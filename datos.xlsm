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\Downloads\CURSOS\nuevosonline\Ofimatica\Excel\practica\"/>
    </mc:Choice>
  </mc:AlternateContent>
  <xr:revisionPtr revIDLastSave="0" documentId="13_ncr:1_{72BB6A58-8CB5-4111-B09F-2BB8F5FDC629}" xr6:coauthVersionLast="45" xr6:coauthVersionMax="45" xr10:uidLastSave="{00000000-0000-0000-0000-000000000000}"/>
  <bookViews>
    <workbookView xWindow="45" yWindow="0" windowWidth="20445" windowHeight="11520" activeTab="3" xr2:uid="{8B6134CC-5B2E-4F73-8CAE-13053EF6A2BA}"/>
  </bookViews>
  <sheets>
    <sheet name="Hoja2" sheetId="2" r:id="rId1"/>
    <sheet name="Hoja1" sheetId="1" r:id="rId2"/>
    <sheet name="Hoja3" sheetId="3" r:id="rId3"/>
    <sheet name="Hoja4" sheetId="4" r:id="rId4"/>
  </sheets>
  <functionGroups builtInGroupCount="19"/>
  <definedNames>
    <definedName name="_xlnm._FilterDatabase" localSheetId="1" hidden="1">Hoja1!$A$1:$O$37</definedName>
    <definedName name="_xlnm._FilterDatabase" localSheetId="0" hidden="1">Hoja2!$A$1:$O$370</definedName>
    <definedName name="_xlnm.Extract" localSheetId="0">Hoja1!$A$1:$O$1</definedName>
    <definedName name="colocar">Hoja1!$A$3</definedName>
    <definedName name="criterio">Hoja2!$Y$1:$Y$2</definedName>
    <definedName name="_xlnm.Criteria" localSheetId="0">Hoja2!$T$1:$Z$2</definedName>
    <definedName name="datos">BaseDeDatos[Producto]</definedName>
    <definedName name="DatosExternos_1" localSheetId="0" hidden="1">Hoja2!$A$1:$N$370</definedName>
    <definedName name="frutas">Hoja1!$P$5:$P$8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3" l="1"/>
  <c r="A9" i="3"/>
  <c r="C6" i="3" s="1"/>
  <c r="C3" i="3"/>
  <c r="A4" i="4" a="1"/>
  <c r="M4" i="3" a="1"/>
  <c r="E9" i="3" a="1"/>
  <c r="D12" i="3" a="1"/>
  <c r="I3" i="3" a="1"/>
  <c r="E7" i="3" a="1"/>
  <c r="A4" i="4" l="1"/>
  <c r="D12" i="3"/>
  <c r="A10" i="3"/>
  <c r="M4" i="3"/>
  <c r="I3" i="3"/>
  <c r="E9" i="3"/>
  <c r="E7" i="3"/>
  <c r="R25" i="1"/>
  <c r="Q25" i="1"/>
  <c r="Q22" i="1"/>
  <c r="Q24" i="1" s="1" a="1"/>
  <c r="Q24" i="1" s="1"/>
  <c r="U21" i="1" a="1"/>
  <c r="U21" i="1" s="1"/>
  <c r="P5" i="1" a="1"/>
  <c r="P5" i="1" s="1"/>
  <c r="P18" i="1"/>
  <c r="R20" i="1"/>
  <c r="Q20" i="1"/>
  <c r="Q5" i="1" a="1"/>
  <c r="Q5" i="1" s="1"/>
  <c r="R1" i="1" l="1" a="1"/>
  <c r="R1" i="1" s="1"/>
  <c r="U2" i="1" l="1"/>
  <c r="V3" i="1"/>
  <c r="V2" i="1"/>
  <c r="Y2" i="2"/>
  <c r="Q9" i="2" l="1"/>
  <c r="Q7" i="2"/>
  <c r="Q6" i="2"/>
  <c r="AK1" i="2" l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Q2" i="2" l="1" a="1"/>
  <c r="Q2" i="2" s="1"/>
  <c r="A15" i="3"/>
  <c r="G1" i="3"/>
  <c r="K1" i="3"/>
  <c r="G1" i="3" a="1"/>
  <c r="A15" i="3" a="1"/>
  <c r="K1" i="3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C2645E-C742-4662-B4B9-C758F5A985B6}" keepAlive="1" name="Consulta - BaseDeDatos" description="Conexión a la consulta 'BaseDeDatos' en el libro." type="5" refreshedVersion="6" background="1" saveData="1">
    <dbPr connection="Provider=Microsoft.Mashup.OleDb.1;Data Source=$Workbook$;Location=BaseDeDatos;Extended Properties=&quot;&quot;" command="SELECT * FROM [BaseDeDato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<sst xmlns="http://schemas.openxmlformats.org/spreadsheetml/2006/main" count="3325" uniqueCount="114">
  <si>
    <t>Documento</t>
  </si>
  <si>
    <t>Fecha</t>
  </si>
  <si>
    <t>Id Cliente</t>
  </si>
  <si>
    <t>Cliente</t>
  </si>
  <si>
    <t>Ciudad</t>
  </si>
  <si>
    <t>Provincia</t>
  </si>
  <si>
    <t>Vendedor</t>
  </si>
  <si>
    <t>Empresa</t>
  </si>
  <si>
    <t>Forma de pago</t>
  </si>
  <si>
    <t>Producto</t>
  </si>
  <si>
    <t>Categoría</t>
  </si>
  <si>
    <t>Precio</t>
  </si>
  <si>
    <t>Cantidad</t>
  </si>
  <si>
    <t>Ventas</t>
  </si>
  <si>
    <t>Empresa AA</t>
  </si>
  <si>
    <t>Cuenca</t>
  </si>
  <si>
    <t>Azuay</t>
  </si>
  <si>
    <t>Mayra Aguilar Sepúlveda</t>
  </si>
  <si>
    <t>Empresa de embarque B</t>
  </si>
  <si>
    <t>Cheque</t>
  </si>
  <si>
    <t>Cerveza</t>
  </si>
  <si>
    <t>Bebidas</t>
  </si>
  <si>
    <t>Ciruelas secas</t>
  </si>
  <si>
    <t>Frutas secas</t>
  </si>
  <si>
    <t>Empresa D</t>
  </si>
  <si>
    <t>Azogues</t>
  </si>
  <si>
    <t>Canar</t>
  </si>
  <si>
    <t>Andrés González Rico</t>
  </si>
  <si>
    <t>Empresa de embarque A</t>
  </si>
  <si>
    <t>Tarjeta de crédito</t>
  </si>
  <si>
    <t>Peras secas</t>
  </si>
  <si>
    <t>Manzanas secas</t>
  </si>
  <si>
    <t>Empresa L</t>
  </si>
  <si>
    <t>Té chai</t>
  </si>
  <si>
    <t>Café</t>
  </si>
  <si>
    <t>Empresa H</t>
  </si>
  <si>
    <t>Riobamba</t>
  </si>
  <si>
    <t>Chimborazo</t>
  </si>
  <si>
    <t>Nancy Gil de la Peña</t>
  </si>
  <si>
    <t>Empresa de embarque C</t>
  </si>
  <si>
    <t>Galletas de chocolate</t>
  </si>
  <si>
    <t>Productos horneados</t>
  </si>
  <si>
    <t>Empresa CC</t>
  </si>
  <si>
    <t>Guayaquil</t>
  </si>
  <si>
    <t>Guayas</t>
  </si>
  <si>
    <t>José de Jesús Morales</t>
  </si>
  <si>
    <t>Chocolate</t>
  </si>
  <si>
    <t>Dulces</t>
  </si>
  <si>
    <t>Empresa C</t>
  </si>
  <si>
    <t>Machala</t>
  </si>
  <si>
    <t>El Oro</t>
  </si>
  <si>
    <t>Efectivo</t>
  </si>
  <si>
    <t>Almejas</t>
  </si>
  <si>
    <t>Sopas</t>
  </si>
  <si>
    <t>Empresa F</t>
  </si>
  <si>
    <t>Ibarra</t>
  </si>
  <si>
    <t>Imbabura</t>
  </si>
  <si>
    <t>Luis Miguel Valdés Garza</t>
  </si>
  <si>
    <t>Salsa curry</t>
  </si>
  <si>
    <t>Salsas</t>
  </si>
  <si>
    <t>Empresa BB</t>
  </si>
  <si>
    <t>Manta</t>
  </si>
  <si>
    <t>Manabi</t>
  </si>
  <si>
    <t>Ana del Valle Hinojosa</t>
  </si>
  <si>
    <t>Empresa J</t>
  </si>
  <si>
    <t>Esmeraldas</t>
  </si>
  <si>
    <t>Laura Gutiérrez Saenz</t>
  </si>
  <si>
    <t>Té verde</t>
  </si>
  <si>
    <t>Empresa G</t>
  </si>
  <si>
    <t>Guaranda</t>
  </si>
  <si>
    <t/>
  </si>
  <si>
    <t>Jalea de fresa</t>
  </si>
  <si>
    <t>Mermeladas y jaleas</t>
  </si>
  <si>
    <t>Condimento cajún</t>
  </si>
  <si>
    <t>Condimentos</t>
  </si>
  <si>
    <t>Empresa K</t>
  </si>
  <si>
    <t>Quito</t>
  </si>
  <si>
    <t>Pichincha</t>
  </si>
  <si>
    <t>Empresa A</t>
  </si>
  <si>
    <t>Ambato</t>
  </si>
  <si>
    <t>Tungurahua</t>
  </si>
  <si>
    <t>Carne de cangrejo</t>
  </si>
  <si>
    <t>Carne enlatada</t>
  </si>
  <si>
    <t>Empresa I</t>
  </si>
  <si>
    <t>Robert Zárate Carrillo</t>
  </si>
  <si>
    <t>Ravioli</t>
  </si>
  <si>
    <t>Pasta</t>
  </si>
  <si>
    <t>Mozzarella</t>
  </si>
  <si>
    <t>Productos lácteos</t>
  </si>
  <si>
    <t>Jarabe</t>
  </si>
  <si>
    <t>Tarifa de envío</t>
  </si>
  <si>
    <t>Almendras</t>
  </si>
  <si>
    <t>Empresa Y</t>
  </si>
  <si>
    <t>Empresa Z</t>
  </si>
  <si>
    <t>Cóctel de frutas</t>
  </si>
  <si>
    <t>Frutas y vegetales</t>
  </si>
  <si>
    <t>Pasta penne</t>
  </si>
  <si>
    <t>Bolillos</t>
  </si>
  <si>
    <t>Aceite de oliva</t>
  </si>
  <si>
    <t>Aceite</t>
  </si>
  <si>
    <t>Mermelada de zarzamora</t>
  </si>
  <si>
    <t>Arroz de grano largo</t>
  </si>
  <si>
    <t>Granos</t>
  </si>
  <si>
    <t>ordenar</t>
  </si>
  <si>
    <t>&lt;8</t>
  </si>
  <si>
    <t>&gt;9</t>
  </si>
  <si>
    <t>&lt;16</t>
  </si>
  <si>
    <t>Techai</t>
  </si>
  <si>
    <t>?e*</t>
  </si>
  <si>
    <t>&lt;10</t>
  </si>
  <si>
    <t>Si</t>
  </si>
  <si>
    <t>No</t>
  </si>
  <si>
    <t xml:space="preserve">la casa </t>
  </si>
  <si>
    <t>es hermosa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</si>
</sst>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/>
  </cellXfs>
  <cellStyles count="1">
    <cellStyle name="Normal" xfId="0" builtinId="0"/>
  </cellStyles>
  <dxfs count="17"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numFmt numFmtId="0" formatCode="General"/>
    </dxf>
    <dxf>
      <numFmt numFmtId="164" formatCode="&quot;$&quot;\ #,##0.00"/>
    </dxf>
    <dxf>
      <numFmt numFmtId="164" formatCode="&quot;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76A75EC-5DD2-498D-8E5D-1A78B969143D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Documento" tableColumnId="1"/>
      <queryTableField id="2" name="Fecha" tableColumnId="2"/>
      <queryTableField id="3" name="Id Cliente" tableColumnId="3"/>
      <queryTableField id="4" name="Cliente" tableColumnId="4"/>
      <queryTableField id="5" name="Ciudad" tableColumnId="5"/>
      <queryTableField id="6" name="Provincia" tableColumnId="6"/>
      <queryTableField id="7" name="Vendedor" tableColumnId="7"/>
      <queryTableField id="8" name="Empresa" tableColumnId="8"/>
      <queryTableField id="9" name="Forma de pago" tableColumnId="9"/>
      <queryTableField id="10" name="Producto" tableColumnId="10"/>
      <queryTableField id="11" name="Categoría" tableColumnId="11"/>
      <queryTableField id="12" name="Precio" tableColumnId="12"/>
      <queryTableField id="13" name="Cantidad" tableColumnId="13"/>
      <queryTableField id="14" name="Ventas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E5E2EE-EE2B-4D3C-86A5-3F54BEC9807A}" name="BaseDeDatos" displayName="BaseDeDatos" ref="A1:O370" tableType="queryTable" totalsRowShown="0">
  <sortState xmlns:xlrd2="http://schemas.microsoft.com/office/spreadsheetml/2017/richdata2" ref="A2:O370">
    <sortCondition ref="A1:A370"/>
  </sortState>
  <tableColumns count="15">
    <tableColumn id="1" xr3:uid="{09ADC488-65C6-406F-8D3D-78FE46686097}" uniqueName="1" name="Documento" queryTableFieldId="1"/>
    <tableColumn id="2" xr3:uid="{F198DACB-A6A4-4E5F-89B5-0875A273E8ED}" uniqueName="2" name="Fecha" queryTableFieldId="2" dataDxfId="16"/>
    <tableColumn id="3" xr3:uid="{8E6452CE-AEA0-4371-B850-947DAD3C85F9}" uniqueName="3" name="Id Cliente" queryTableFieldId="3"/>
    <tableColumn id="4" xr3:uid="{4F4AC02E-C831-4A9F-9967-7BBE021B2FC3}" uniqueName="4" name="Cliente" queryTableFieldId="4" dataDxfId="15"/>
    <tableColumn id="5" xr3:uid="{66B72D57-8B30-4D09-A9A1-1911B914BD5C}" uniqueName="5" name="Ciudad" queryTableFieldId="5" dataDxfId="14"/>
    <tableColumn id="6" xr3:uid="{3DA0C2BB-9549-43A3-972C-48749CB0F9B4}" uniqueName="6" name="Provincia" queryTableFieldId="6" dataDxfId="13"/>
    <tableColumn id="7" xr3:uid="{D29EEE46-731A-4868-AF24-F49C06C954CB}" uniqueName="7" name="Vendedor" queryTableFieldId="7" dataDxfId="12"/>
    <tableColumn id="8" xr3:uid="{243B8F72-024E-42F0-8CCD-440581E1E590}" uniqueName="8" name="Empresa" queryTableFieldId="8" dataDxfId="11"/>
    <tableColumn id="9" xr3:uid="{AEFA5A9B-CA8A-4652-9399-91AFAF679D62}" uniqueName="9" name="Forma de pago" queryTableFieldId="9" dataDxfId="10"/>
    <tableColumn id="10" xr3:uid="{F315B0FC-2AB4-4F72-BCD2-D091E92A6AB4}" uniqueName="10" name="Producto" queryTableFieldId="10" dataDxfId="9"/>
    <tableColumn id="11" xr3:uid="{13F89592-29F4-49FD-9778-60766F2E4147}" uniqueName="11" name="Categoría" queryTableFieldId="11" dataDxfId="8"/>
    <tableColumn id="12" xr3:uid="{44D9630F-F705-479A-9677-2BBEB5F55711}" uniqueName="12" name="Precio" queryTableFieldId="12" dataDxfId="7"/>
    <tableColumn id="13" xr3:uid="{2EAE67A7-E349-4A23-8A52-E241325D558C}" uniqueName="13" name="Cantidad" queryTableFieldId="13"/>
    <tableColumn id="14" xr3:uid="{5F6A3E4A-EFE2-45E8-A56E-61FFC30F9778}" uniqueName="14" name="Ventas" queryTableFieldId="14" dataDxfId="6"/>
    <tableColumn id="15" xr3:uid="{C5A0E731-B787-4E10-BC2B-067529078A1C}" uniqueName="15" name="ordenar" queryTableFieldId="15" dataDxfId="5">
      <calculatedColumnFormula>IF(ISEVEN(ROW()),"Si","No")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4356-0625-43C5-9481-C01F5D403C16}">
  <sheetPr codeName="Hoja1"/>
  <dimension ref="A1:AK414"/>
  <sheetViews>
    <sheetView topLeftCell="L1" workbookViewId="0">
      <selection activeCell="N20" sqref="N20"/>
    </sheetView>
  </sheetViews>
  <sheetFormatPr baseColWidth="10" defaultRowHeight="15" x14ac:dyDescent="0.25"/>
  <cols>
    <col min="1" max="1" width="13.7109375" bestFit="1" customWidth="1"/>
    <col min="2" max="2" width="10.85546875" bestFit="1" customWidth="1"/>
    <col min="3" max="3" width="16.85546875" bestFit="1" customWidth="1"/>
    <col min="4" max="4" width="11.5703125" bestFit="1" customWidth="1"/>
    <col min="5" max="5" width="11" bestFit="1" customWidth="1"/>
    <col min="6" max="6" width="11.5703125" bestFit="1" customWidth="1"/>
    <col min="7" max="7" width="23.140625" bestFit="1" customWidth="1"/>
    <col min="8" max="8" width="22.85546875" bestFit="1" customWidth="1"/>
    <col min="9" max="9" width="16.7109375" bestFit="1" customWidth="1"/>
    <col min="10" max="10" width="23.5703125" bestFit="1" customWidth="1"/>
    <col min="11" max="11" width="19.85546875" bestFit="1" customWidth="1"/>
    <col min="12" max="12" width="9.5703125" bestFit="1" customWidth="1"/>
    <col min="13" max="13" width="11.140625" bestFit="1" customWidth="1"/>
    <col min="14" max="14" width="13.85546875" bestFit="1" customWidth="1"/>
    <col min="16" max="17" width="11.85546875" bestFit="1" customWidth="1"/>
    <col min="19" max="20" width="11.85546875" bestFit="1" customWidth="1"/>
    <col min="24" max="24" width="14" bestFit="1" customWidth="1"/>
    <col min="33" max="33" width="11.85546875" bestFit="1" customWidth="1"/>
  </cols>
  <sheetData>
    <row r="1" spans="1:3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103</v>
      </c>
      <c r="T1" s="5" t="s">
        <v>0</v>
      </c>
      <c r="U1" s="5" t="s">
        <v>4</v>
      </c>
      <c r="V1" s="5" t="s">
        <v>6</v>
      </c>
      <c r="W1" s="5" t="s">
        <v>7</v>
      </c>
      <c r="X1" s="5" t="s">
        <v>8</v>
      </c>
      <c r="Y1" s="5" t="s">
        <v>9</v>
      </c>
      <c r="Z1" s="6" t="s">
        <v>103</v>
      </c>
      <c r="AA1">
        <v>8</v>
      </c>
      <c r="AF1" s="5" t="s">
        <v>0</v>
      </c>
      <c r="AG1" s="5" t="s">
        <v>0</v>
      </c>
      <c r="AH1" s="5" t="s">
        <v>0</v>
      </c>
      <c r="AK1" s="7" t="str">
        <f>"&gt;"&amp;AI2</f>
        <v>&gt;8</v>
      </c>
    </row>
    <row r="2" spans="1:37" x14ac:dyDescent="0.25">
      <c r="A2" s="2">
        <v>1</v>
      </c>
      <c r="B2" s="1">
        <v>43930</v>
      </c>
      <c r="C2" s="2">
        <v>9259377217</v>
      </c>
      <c r="D2" s="4" t="s">
        <v>14</v>
      </c>
      <c r="E2" s="4" t="s">
        <v>15</v>
      </c>
      <c r="F2" s="4" t="s">
        <v>16</v>
      </c>
      <c r="G2" s="4" t="s">
        <v>17</v>
      </c>
      <c r="H2" s="4" t="s">
        <v>18</v>
      </c>
      <c r="I2" s="4" t="s">
        <v>19</v>
      </c>
      <c r="J2" s="4" t="s">
        <v>20</v>
      </c>
      <c r="K2" s="4" t="s">
        <v>21</v>
      </c>
      <c r="L2" s="3">
        <v>14</v>
      </c>
      <c r="M2">
        <v>10</v>
      </c>
      <c r="N2" s="3">
        <v>140</v>
      </c>
      <c r="O2" t="str">
        <f t="shared" ref="O2:O65" si="0">IF(ISEVEN(ROW()),"Si","No")</f>
        <v>Si</v>
      </c>
      <c r="Q2" t="str" cm="1">
        <f t="array" ref="Q2:Q5">_xlfn._xlws.SORT(_xlfn.UNIQUE(BaseDeDatos[Empresa]))</f>
        <v/>
      </c>
      <c r="Y2" t="str">
        <f>"=?e*"</f>
        <v>=?e*</v>
      </c>
      <c r="AF2" t="s">
        <v>104</v>
      </c>
      <c r="AI2">
        <v>8</v>
      </c>
    </row>
    <row r="3" spans="1:37" x14ac:dyDescent="0.25">
      <c r="A3">
        <v>2</v>
      </c>
      <c r="B3" s="1">
        <v>44068</v>
      </c>
      <c r="C3">
        <v>6185253419</v>
      </c>
      <c r="D3" s="2" t="s">
        <v>14</v>
      </c>
      <c r="E3" s="2" t="s">
        <v>15</v>
      </c>
      <c r="F3" s="2" t="s">
        <v>16</v>
      </c>
      <c r="G3" s="2" t="s">
        <v>17</v>
      </c>
      <c r="H3" s="2" t="s">
        <v>18</v>
      </c>
      <c r="I3" s="2" t="s">
        <v>19</v>
      </c>
      <c r="J3" s="2" t="s">
        <v>22</v>
      </c>
      <c r="K3" s="2" t="s">
        <v>23</v>
      </c>
      <c r="L3" s="3">
        <v>34</v>
      </c>
      <c r="M3">
        <v>1</v>
      </c>
      <c r="N3" s="3">
        <v>34</v>
      </c>
      <c r="O3" t="str">
        <f t="shared" si="0"/>
        <v>No</v>
      </c>
      <c r="Q3" t="str">
        <v>Empresa de embarque A</v>
      </c>
      <c r="AG3" t="s">
        <v>105</v>
      </c>
      <c r="AH3" t="s">
        <v>106</v>
      </c>
    </row>
    <row r="4" spans="1:37" x14ac:dyDescent="0.25">
      <c r="A4">
        <v>3</v>
      </c>
      <c r="B4" s="1">
        <v>43908</v>
      </c>
      <c r="C4">
        <v>2308885942</v>
      </c>
      <c r="D4" s="2" t="s">
        <v>24</v>
      </c>
      <c r="E4" s="2" t="s">
        <v>25</v>
      </c>
      <c r="F4" s="2" t="s">
        <v>26</v>
      </c>
      <c r="G4" s="2" t="s">
        <v>27</v>
      </c>
      <c r="H4" s="2" t="s">
        <v>28</v>
      </c>
      <c r="I4" s="2" t="s">
        <v>29</v>
      </c>
      <c r="J4" s="2" t="s">
        <v>30</v>
      </c>
      <c r="K4" s="2" t="s">
        <v>23</v>
      </c>
      <c r="L4" s="3">
        <v>14</v>
      </c>
      <c r="M4">
        <v>57</v>
      </c>
      <c r="N4" s="3">
        <v>798</v>
      </c>
      <c r="O4" t="str">
        <f t="shared" si="0"/>
        <v>Si</v>
      </c>
      <c r="Q4" t="str">
        <v>Empresa de embarque B</v>
      </c>
      <c r="T4" t="s">
        <v>109</v>
      </c>
    </row>
    <row r="5" spans="1:37" x14ac:dyDescent="0.25">
      <c r="A5">
        <v>4</v>
      </c>
      <c r="B5" s="1">
        <v>43974</v>
      </c>
      <c r="C5">
        <v>6199717898</v>
      </c>
      <c r="D5" s="2" t="s">
        <v>24</v>
      </c>
      <c r="E5" s="2" t="s">
        <v>25</v>
      </c>
      <c r="F5" s="2" t="s">
        <v>26</v>
      </c>
      <c r="G5" s="2" t="s">
        <v>27</v>
      </c>
      <c r="H5" s="2" t="s">
        <v>28</v>
      </c>
      <c r="I5" s="2" t="s">
        <v>29</v>
      </c>
      <c r="J5" s="2" t="s">
        <v>31</v>
      </c>
      <c r="K5" s="2" t="s">
        <v>23</v>
      </c>
      <c r="L5" s="3">
        <v>16</v>
      </c>
      <c r="M5">
        <v>72</v>
      </c>
      <c r="N5" s="3">
        <v>1152</v>
      </c>
      <c r="O5" t="str">
        <f t="shared" si="0"/>
        <v>No</v>
      </c>
      <c r="Q5" t="str">
        <v>Empresa de embarque C</v>
      </c>
      <c r="U5" s="1"/>
      <c r="W5" s="2"/>
      <c r="X5" s="2"/>
      <c r="Y5" s="2"/>
      <c r="Z5" s="2"/>
      <c r="AD5" s="2"/>
      <c r="AE5" s="2"/>
      <c r="AF5" s="2"/>
      <c r="AG5" s="2"/>
      <c r="AH5" s="3"/>
      <c r="AJ5" s="3"/>
    </row>
    <row r="6" spans="1:37" x14ac:dyDescent="0.25">
      <c r="A6">
        <v>5</v>
      </c>
      <c r="B6" s="1">
        <v>43944</v>
      </c>
      <c r="C6">
        <v>5540683029</v>
      </c>
      <c r="D6" s="2" t="s">
        <v>24</v>
      </c>
      <c r="E6" s="2" t="s">
        <v>25</v>
      </c>
      <c r="F6" s="2" t="s">
        <v>26</v>
      </c>
      <c r="G6" s="2" t="s">
        <v>27</v>
      </c>
      <c r="H6" s="2" t="s">
        <v>28</v>
      </c>
      <c r="I6" s="2" t="s">
        <v>29</v>
      </c>
      <c r="J6" s="2" t="s">
        <v>22</v>
      </c>
      <c r="K6" s="2" t="s">
        <v>23</v>
      </c>
      <c r="L6" s="3">
        <v>12</v>
      </c>
      <c r="M6">
        <v>68</v>
      </c>
      <c r="N6" s="3">
        <v>816</v>
      </c>
      <c r="O6" t="str">
        <f t="shared" si="0"/>
        <v>Si</v>
      </c>
      <c r="Q6" t="str">
        <f>"&lt;"&amp;AA1</f>
        <v>&lt;8</v>
      </c>
    </row>
    <row r="7" spans="1:37" x14ac:dyDescent="0.25">
      <c r="A7">
        <v>6</v>
      </c>
      <c r="B7" s="1">
        <v>44184</v>
      </c>
      <c r="C7">
        <v>6343955045</v>
      </c>
      <c r="D7" s="2" t="s">
        <v>32</v>
      </c>
      <c r="E7" s="2" t="s">
        <v>15</v>
      </c>
      <c r="F7" s="2" t="s">
        <v>16</v>
      </c>
      <c r="G7" s="2" t="s">
        <v>17</v>
      </c>
      <c r="H7" s="2" t="s">
        <v>18</v>
      </c>
      <c r="I7" s="2" t="s">
        <v>29</v>
      </c>
      <c r="J7" s="2" t="s">
        <v>107</v>
      </c>
      <c r="K7" s="2" t="s">
        <v>21</v>
      </c>
      <c r="L7" s="3">
        <v>22</v>
      </c>
      <c r="M7">
        <v>29</v>
      </c>
      <c r="N7" s="3">
        <v>638</v>
      </c>
      <c r="O7" t="str">
        <f t="shared" si="0"/>
        <v>No</v>
      </c>
      <c r="Q7" t="str">
        <f>"=8"</f>
        <v>=8</v>
      </c>
      <c r="AJ7" s="3"/>
    </row>
    <row r="8" spans="1:37" x14ac:dyDescent="0.25">
      <c r="A8">
        <v>7</v>
      </c>
      <c r="B8" s="1">
        <v>44133</v>
      </c>
      <c r="C8">
        <v>1572125717</v>
      </c>
      <c r="D8" s="2" t="s">
        <v>32</v>
      </c>
      <c r="E8" s="2" t="s">
        <v>15</v>
      </c>
      <c r="F8" s="2" t="s">
        <v>16</v>
      </c>
      <c r="G8" s="2" t="s">
        <v>17</v>
      </c>
      <c r="H8" s="2" t="s">
        <v>18</v>
      </c>
      <c r="I8" s="2" t="s">
        <v>29</v>
      </c>
      <c r="J8" s="2" t="s">
        <v>34</v>
      </c>
      <c r="K8" s="2" t="s">
        <v>21</v>
      </c>
      <c r="L8" s="3">
        <v>42</v>
      </c>
      <c r="M8">
        <v>41</v>
      </c>
      <c r="N8" s="3">
        <v>1722</v>
      </c>
      <c r="O8" t="str">
        <f t="shared" si="0"/>
        <v>Si</v>
      </c>
      <c r="Q8" t="s">
        <v>108</v>
      </c>
      <c r="T8" s="2"/>
      <c r="U8" s="1"/>
      <c r="V8" s="2"/>
      <c r="W8" s="4"/>
      <c r="X8" s="4"/>
      <c r="Y8" s="4"/>
      <c r="Z8" s="4"/>
      <c r="AA8" s="4"/>
      <c r="AB8" s="4"/>
      <c r="AC8" s="4"/>
      <c r="AD8" s="4"/>
      <c r="AE8" s="3"/>
      <c r="AG8" s="3"/>
      <c r="AJ8" s="3"/>
    </row>
    <row r="9" spans="1:37" x14ac:dyDescent="0.25">
      <c r="A9">
        <v>8</v>
      </c>
      <c r="B9" s="1">
        <v>43863</v>
      </c>
      <c r="C9">
        <v>3776895536</v>
      </c>
      <c r="D9" s="2" t="s">
        <v>35</v>
      </c>
      <c r="E9" s="2" t="s">
        <v>36</v>
      </c>
      <c r="F9" s="2" t="s">
        <v>37</v>
      </c>
      <c r="G9" s="2" t="s">
        <v>38</v>
      </c>
      <c r="H9" s="2" t="s">
        <v>39</v>
      </c>
      <c r="I9" s="2" t="s">
        <v>29</v>
      </c>
      <c r="J9" s="2" t="s">
        <v>40</v>
      </c>
      <c r="K9" s="2" t="s">
        <v>41</v>
      </c>
      <c r="L9" s="3">
        <v>11</v>
      </c>
      <c r="M9">
        <v>18</v>
      </c>
      <c r="N9" s="3">
        <v>198</v>
      </c>
      <c r="O9" t="str">
        <f t="shared" si="0"/>
        <v>No</v>
      </c>
      <c r="Q9" t="str">
        <f>"=10"</f>
        <v>=10</v>
      </c>
    </row>
    <row r="10" spans="1:37" x14ac:dyDescent="0.25">
      <c r="A10">
        <v>9</v>
      </c>
      <c r="B10" s="1">
        <v>44158</v>
      </c>
      <c r="C10">
        <v>390733860</v>
      </c>
      <c r="D10" s="2" t="s">
        <v>24</v>
      </c>
      <c r="E10" s="2" t="s">
        <v>25</v>
      </c>
      <c r="F10" s="2" t="s">
        <v>26</v>
      </c>
      <c r="G10" s="2" t="s">
        <v>27</v>
      </c>
      <c r="H10" s="2" t="s">
        <v>39</v>
      </c>
      <c r="I10" s="2" t="s">
        <v>19</v>
      </c>
      <c r="J10" s="2" t="s">
        <v>40</v>
      </c>
      <c r="K10" s="2" t="s">
        <v>41</v>
      </c>
      <c r="L10" s="3">
        <v>29</v>
      </c>
      <c r="M10">
        <v>73</v>
      </c>
      <c r="N10" s="3">
        <v>2117</v>
      </c>
      <c r="O10" t="str">
        <f t="shared" si="0"/>
        <v>Si</v>
      </c>
      <c r="AJ10" s="3"/>
    </row>
    <row r="11" spans="1:37" x14ac:dyDescent="0.25">
      <c r="A11">
        <v>10</v>
      </c>
      <c r="B11" s="1">
        <v>43863</v>
      </c>
      <c r="C11">
        <v>2456709195</v>
      </c>
      <c r="D11" s="2" t="s">
        <v>42</v>
      </c>
      <c r="E11" s="2" t="s">
        <v>43</v>
      </c>
      <c r="F11" s="2" t="s">
        <v>44</v>
      </c>
      <c r="G11" s="2" t="s">
        <v>45</v>
      </c>
      <c r="H11" s="2" t="s">
        <v>18</v>
      </c>
      <c r="I11" s="2" t="s">
        <v>19</v>
      </c>
      <c r="J11" s="2" t="s">
        <v>46</v>
      </c>
      <c r="K11" s="2" t="s">
        <v>47</v>
      </c>
      <c r="L11" s="3">
        <v>12</v>
      </c>
      <c r="M11">
        <v>79</v>
      </c>
      <c r="N11" s="3">
        <v>948</v>
      </c>
      <c r="O11" t="str">
        <f t="shared" si="0"/>
        <v>No</v>
      </c>
      <c r="AJ11" s="3"/>
    </row>
    <row r="12" spans="1:37" x14ac:dyDescent="0.25">
      <c r="A12">
        <v>11</v>
      </c>
      <c r="B12" s="1">
        <v>43999</v>
      </c>
      <c r="C12">
        <v>5766090086</v>
      </c>
      <c r="D12" s="2" t="s">
        <v>48</v>
      </c>
      <c r="E12" s="2" t="s">
        <v>49</v>
      </c>
      <c r="F12" s="2" t="s">
        <v>50</v>
      </c>
      <c r="G12" s="2" t="s">
        <v>17</v>
      </c>
      <c r="H12" s="2" t="s">
        <v>18</v>
      </c>
      <c r="I12" s="2" t="s">
        <v>51</v>
      </c>
      <c r="J12" s="2" t="s">
        <v>52</v>
      </c>
      <c r="K12" s="2" t="s">
        <v>53</v>
      </c>
      <c r="L12" s="3">
        <v>28</v>
      </c>
      <c r="M12">
        <v>37</v>
      </c>
      <c r="N12" s="3">
        <v>1036</v>
      </c>
      <c r="O12" t="str">
        <f t="shared" si="0"/>
        <v>Si</v>
      </c>
      <c r="AJ12" s="3"/>
    </row>
    <row r="13" spans="1:37" x14ac:dyDescent="0.25">
      <c r="A13">
        <v>12</v>
      </c>
      <c r="B13" s="1">
        <v>44045</v>
      </c>
      <c r="C13">
        <v>4872781256</v>
      </c>
      <c r="D13" s="2" t="s">
        <v>54</v>
      </c>
      <c r="E13" s="2" t="s">
        <v>55</v>
      </c>
      <c r="F13" s="2" t="s">
        <v>56</v>
      </c>
      <c r="G13" s="2" t="s">
        <v>57</v>
      </c>
      <c r="H13" s="2" t="s">
        <v>18</v>
      </c>
      <c r="I13" s="2" t="s">
        <v>29</v>
      </c>
      <c r="J13" s="2" t="s">
        <v>58</v>
      </c>
      <c r="K13" s="2" t="s">
        <v>59</v>
      </c>
      <c r="L13" s="3">
        <v>33</v>
      </c>
      <c r="M13">
        <v>64</v>
      </c>
      <c r="N13" s="3">
        <v>2112</v>
      </c>
      <c r="O13" t="str">
        <f t="shared" si="0"/>
        <v>No</v>
      </c>
      <c r="AJ13" s="3"/>
    </row>
    <row r="14" spans="1:37" x14ac:dyDescent="0.25">
      <c r="A14">
        <v>13</v>
      </c>
      <c r="B14" s="1">
        <v>43843</v>
      </c>
      <c r="C14">
        <v>4213140599</v>
      </c>
      <c r="D14" s="2" t="s">
        <v>60</v>
      </c>
      <c r="E14" s="2" t="s">
        <v>61</v>
      </c>
      <c r="F14" s="2" t="s">
        <v>62</v>
      </c>
      <c r="G14" s="2" t="s">
        <v>63</v>
      </c>
      <c r="H14" s="2" t="s">
        <v>39</v>
      </c>
      <c r="I14" s="2" t="s">
        <v>19</v>
      </c>
      <c r="J14" s="2" t="s">
        <v>34</v>
      </c>
      <c r="K14" s="2" t="s">
        <v>21</v>
      </c>
      <c r="L14" s="3">
        <v>21</v>
      </c>
      <c r="M14">
        <v>96</v>
      </c>
      <c r="N14" s="3">
        <v>2016</v>
      </c>
      <c r="O14" t="str">
        <f t="shared" si="0"/>
        <v>Si</v>
      </c>
      <c r="AJ14" s="3"/>
    </row>
    <row r="15" spans="1:37" x14ac:dyDescent="0.25">
      <c r="A15">
        <v>14</v>
      </c>
      <c r="B15" s="1">
        <v>43861</v>
      </c>
      <c r="C15">
        <v>9433063552</v>
      </c>
      <c r="D15" s="2" t="s">
        <v>35</v>
      </c>
      <c r="E15" s="2" t="s">
        <v>36</v>
      </c>
      <c r="F15" s="2" t="s">
        <v>37</v>
      </c>
      <c r="G15" s="2" t="s">
        <v>38</v>
      </c>
      <c r="H15" s="2" t="s">
        <v>39</v>
      </c>
      <c r="I15" s="2" t="s">
        <v>19</v>
      </c>
      <c r="J15" s="2" t="s">
        <v>46</v>
      </c>
      <c r="K15" s="2" t="s">
        <v>47</v>
      </c>
      <c r="L15" s="3">
        <v>46</v>
      </c>
      <c r="M15">
        <v>86</v>
      </c>
      <c r="N15" s="3">
        <v>3956</v>
      </c>
      <c r="O15" t="str">
        <f t="shared" si="0"/>
        <v>No</v>
      </c>
      <c r="AJ15" s="3"/>
    </row>
    <row r="16" spans="1:37" x14ac:dyDescent="0.25">
      <c r="A16">
        <v>15</v>
      </c>
      <c r="B16" s="1">
        <v>44037</v>
      </c>
      <c r="C16">
        <v>8539365209</v>
      </c>
      <c r="D16" s="2" t="s">
        <v>64</v>
      </c>
      <c r="E16" s="2" t="s">
        <v>65</v>
      </c>
      <c r="F16" s="2" t="s">
        <v>65</v>
      </c>
      <c r="G16" s="2" t="s">
        <v>66</v>
      </c>
      <c r="H16" s="2" t="s">
        <v>18</v>
      </c>
      <c r="I16" s="2" t="s">
        <v>29</v>
      </c>
      <c r="J16" s="2" t="s">
        <v>67</v>
      </c>
      <c r="K16" s="2" t="s">
        <v>21</v>
      </c>
      <c r="L16" s="3">
        <v>41</v>
      </c>
      <c r="M16">
        <v>96</v>
      </c>
      <c r="N16" s="3">
        <v>3936</v>
      </c>
      <c r="O16" t="str">
        <f t="shared" si="0"/>
        <v>Si</v>
      </c>
      <c r="AJ16" s="3"/>
    </row>
    <row r="17" spans="1:36" x14ac:dyDescent="0.25">
      <c r="A17">
        <v>16</v>
      </c>
      <c r="B17" s="1">
        <v>44009</v>
      </c>
      <c r="C17">
        <v>6983099686</v>
      </c>
      <c r="D17" s="2" t="s">
        <v>68</v>
      </c>
      <c r="E17" s="2" t="s">
        <v>69</v>
      </c>
      <c r="F17" s="2" t="s">
        <v>69</v>
      </c>
      <c r="G17" s="2" t="s">
        <v>38</v>
      </c>
      <c r="H17" s="2" t="s">
        <v>70</v>
      </c>
      <c r="I17" s="2" t="s">
        <v>70</v>
      </c>
      <c r="J17" s="2" t="s">
        <v>34</v>
      </c>
      <c r="K17" s="2" t="s">
        <v>21</v>
      </c>
      <c r="L17" s="3">
        <v>45</v>
      </c>
      <c r="M17">
        <v>97</v>
      </c>
      <c r="N17" s="3">
        <v>4365</v>
      </c>
      <c r="O17" t="str">
        <f t="shared" si="0"/>
        <v>No</v>
      </c>
      <c r="AJ17" s="3"/>
    </row>
    <row r="18" spans="1:36" x14ac:dyDescent="0.25">
      <c r="A18">
        <v>17</v>
      </c>
      <c r="B18" s="1">
        <v>44065</v>
      </c>
      <c r="C18">
        <v>3008945605</v>
      </c>
      <c r="D18" s="2" t="s">
        <v>64</v>
      </c>
      <c r="E18" s="2" t="s">
        <v>65</v>
      </c>
      <c r="F18" s="2" t="s">
        <v>65</v>
      </c>
      <c r="G18" s="2" t="s">
        <v>66</v>
      </c>
      <c r="H18" s="2" t="s">
        <v>28</v>
      </c>
      <c r="I18" s="2" t="s">
        <v>70</v>
      </c>
      <c r="J18" s="2" t="s">
        <v>71</v>
      </c>
      <c r="K18" s="2" t="s">
        <v>72</v>
      </c>
      <c r="L18" s="3">
        <v>26</v>
      </c>
      <c r="M18">
        <v>65</v>
      </c>
      <c r="N18" s="3">
        <v>1690</v>
      </c>
      <c r="O18" t="str">
        <f t="shared" si="0"/>
        <v>Si</v>
      </c>
      <c r="AJ18" s="3"/>
    </row>
    <row r="19" spans="1:36" x14ac:dyDescent="0.25">
      <c r="A19">
        <v>18</v>
      </c>
      <c r="B19" s="1">
        <v>43937</v>
      </c>
      <c r="C19">
        <v>5388305959</v>
      </c>
      <c r="D19" s="2" t="s">
        <v>64</v>
      </c>
      <c r="E19" s="2" t="s">
        <v>65</v>
      </c>
      <c r="F19" s="2" t="s">
        <v>65</v>
      </c>
      <c r="G19" s="2" t="s">
        <v>66</v>
      </c>
      <c r="H19" s="2" t="s">
        <v>28</v>
      </c>
      <c r="I19" s="2" t="s">
        <v>70</v>
      </c>
      <c r="J19" s="2" t="s">
        <v>73</v>
      </c>
      <c r="K19" s="2" t="s">
        <v>74</v>
      </c>
      <c r="L19" s="3">
        <v>40</v>
      </c>
      <c r="M19">
        <v>88</v>
      </c>
      <c r="N19" s="3">
        <v>3520</v>
      </c>
      <c r="O19" t="str">
        <f t="shared" si="0"/>
        <v>No</v>
      </c>
      <c r="AJ19" s="3"/>
    </row>
    <row r="20" spans="1:36" x14ac:dyDescent="0.25">
      <c r="A20">
        <v>19</v>
      </c>
      <c r="B20" s="1">
        <v>44172</v>
      </c>
      <c r="C20">
        <v>438272084</v>
      </c>
      <c r="D20" s="2" t="s">
        <v>64</v>
      </c>
      <c r="E20" s="2" t="s">
        <v>65</v>
      </c>
      <c r="F20" s="2" t="s">
        <v>65</v>
      </c>
      <c r="G20" s="2" t="s">
        <v>66</v>
      </c>
      <c r="H20" s="2" t="s">
        <v>28</v>
      </c>
      <c r="I20" s="2" t="s">
        <v>70</v>
      </c>
      <c r="J20" s="2" t="s">
        <v>40</v>
      </c>
      <c r="K20" s="2" t="s">
        <v>41</v>
      </c>
      <c r="L20" s="3">
        <v>12</v>
      </c>
      <c r="M20">
        <v>60</v>
      </c>
      <c r="N20" s="3">
        <v>720</v>
      </c>
      <c r="O20" t="str">
        <f t="shared" si="0"/>
        <v>Si</v>
      </c>
      <c r="AJ20" s="3"/>
    </row>
    <row r="21" spans="1:36" x14ac:dyDescent="0.25">
      <c r="A21">
        <v>20</v>
      </c>
      <c r="B21" s="1">
        <v>43875</v>
      </c>
      <c r="C21">
        <v>2536792311</v>
      </c>
      <c r="D21" s="2" t="s">
        <v>75</v>
      </c>
      <c r="E21" s="2" t="s">
        <v>76</v>
      </c>
      <c r="F21" s="2" t="s">
        <v>77</v>
      </c>
      <c r="G21" s="2" t="s">
        <v>63</v>
      </c>
      <c r="H21" s="2" t="s">
        <v>39</v>
      </c>
      <c r="I21" s="2" t="s">
        <v>70</v>
      </c>
      <c r="J21" s="2" t="s">
        <v>22</v>
      </c>
      <c r="K21" s="2" t="s">
        <v>23</v>
      </c>
      <c r="L21" s="3">
        <v>35</v>
      </c>
      <c r="M21">
        <v>96</v>
      </c>
      <c r="N21" s="3">
        <v>3360</v>
      </c>
      <c r="O21" t="str">
        <f t="shared" si="0"/>
        <v>No</v>
      </c>
      <c r="AJ21" s="3"/>
    </row>
    <row r="22" spans="1:36" x14ac:dyDescent="0.25">
      <c r="A22">
        <v>21</v>
      </c>
      <c r="B22" s="1">
        <v>44138</v>
      </c>
      <c r="C22">
        <v>7813757711</v>
      </c>
      <c r="D22" s="2" t="s">
        <v>75</v>
      </c>
      <c r="E22" s="2" t="s">
        <v>76</v>
      </c>
      <c r="F22" s="2" t="s">
        <v>77</v>
      </c>
      <c r="G22" s="2" t="s">
        <v>63</v>
      </c>
      <c r="H22" s="2" t="s">
        <v>39</v>
      </c>
      <c r="I22" s="2" t="s">
        <v>70</v>
      </c>
      <c r="J22" s="2" t="s">
        <v>67</v>
      </c>
      <c r="K22" s="2" t="s">
        <v>21</v>
      </c>
      <c r="L22" s="3">
        <v>20</v>
      </c>
      <c r="M22">
        <v>50</v>
      </c>
      <c r="N22" s="3">
        <v>1000</v>
      </c>
      <c r="O22" t="str">
        <f t="shared" si="0"/>
        <v>Si</v>
      </c>
      <c r="AJ22" s="3"/>
    </row>
    <row r="23" spans="1:36" x14ac:dyDescent="0.25">
      <c r="A23">
        <v>22</v>
      </c>
      <c r="B23" s="1">
        <v>43918</v>
      </c>
      <c r="C23">
        <v>4786931679</v>
      </c>
      <c r="D23" s="2" t="s">
        <v>78</v>
      </c>
      <c r="E23" s="2" t="s">
        <v>79</v>
      </c>
      <c r="F23" s="2" t="s">
        <v>80</v>
      </c>
      <c r="G23" s="2" t="s">
        <v>38</v>
      </c>
      <c r="H23" s="2" t="s">
        <v>70</v>
      </c>
      <c r="I23" s="2" t="s">
        <v>70</v>
      </c>
      <c r="J23" s="2" t="s">
        <v>33</v>
      </c>
      <c r="K23" s="2" t="s">
        <v>21</v>
      </c>
      <c r="L23" s="3">
        <v>50</v>
      </c>
      <c r="M23">
        <v>75</v>
      </c>
      <c r="N23" s="3">
        <v>3750</v>
      </c>
      <c r="O23" t="str">
        <f t="shared" si="0"/>
        <v>No</v>
      </c>
      <c r="AJ23" s="3"/>
    </row>
    <row r="24" spans="1:36" x14ac:dyDescent="0.25">
      <c r="A24">
        <v>23</v>
      </c>
      <c r="B24" s="1">
        <v>44039</v>
      </c>
      <c r="C24">
        <v>3021659728</v>
      </c>
      <c r="D24" s="2" t="s">
        <v>78</v>
      </c>
      <c r="E24" s="2" t="s">
        <v>79</v>
      </c>
      <c r="F24" s="2" t="s">
        <v>80</v>
      </c>
      <c r="G24" s="2" t="s">
        <v>38</v>
      </c>
      <c r="H24" s="2" t="s">
        <v>70</v>
      </c>
      <c r="I24" s="2" t="s">
        <v>70</v>
      </c>
      <c r="J24" s="2" t="s">
        <v>34</v>
      </c>
      <c r="K24" s="2" t="s">
        <v>21</v>
      </c>
      <c r="L24" s="3">
        <v>21</v>
      </c>
      <c r="M24">
        <v>4</v>
      </c>
      <c r="N24" s="3">
        <v>84</v>
      </c>
      <c r="O24" t="str">
        <f t="shared" si="0"/>
        <v>Si</v>
      </c>
      <c r="AJ24" s="3"/>
    </row>
    <row r="25" spans="1:36" x14ac:dyDescent="0.25">
      <c r="A25">
        <v>24</v>
      </c>
      <c r="B25" s="1">
        <v>43993</v>
      </c>
      <c r="C25">
        <v>2591950684</v>
      </c>
      <c r="D25" s="2" t="s">
        <v>78</v>
      </c>
      <c r="E25" s="2" t="s">
        <v>79</v>
      </c>
      <c r="F25" s="2" t="s">
        <v>80</v>
      </c>
      <c r="G25" s="2" t="s">
        <v>38</v>
      </c>
      <c r="H25" s="2" t="s">
        <v>70</v>
      </c>
      <c r="I25" s="2" t="s">
        <v>70</v>
      </c>
      <c r="J25" s="2" t="s">
        <v>67</v>
      </c>
      <c r="K25" s="2" t="s">
        <v>21</v>
      </c>
      <c r="L25" s="3">
        <v>43</v>
      </c>
      <c r="M25">
        <v>18</v>
      </c>
      <c r="N25" s="3">
        <v>774</v>
      </c>
      <c r="O25" t="str">
        <f t="shared" si="0"/>
        <v>No</v>
      </c>
      <c r="AJ25" s="3"/>
    </row>
    <row r="26" spans="1:36" x14ac:dyDescent="0.25">
      <c r="A26">
        <v>25</v>
      </c>
      <c r="B26" s="1">
        <v>43885</v>
      </c>
      <c r="C26">
        <v>9326361454</v>
      </c>
      <c r="D26" s="2" t="s">
        <v>60</v>
      </c>
      <c r="E26" s="2" t="s">
        <v>61</v>
      </c>
      <c r="F26" s="2" t="s">
        <v>62</v>
      </c>
      <c r="G26" s="2" t="s">
        <v>63</v>
      </c>
      <c r="H26" s="2" t="s">
        <v>39</v>
      </c>
      <c r="I26" s="2" t="s">
        <v>29</v>
      </c>
      <c r="J26" s="2" t="s">
        <v>52</v>
      </c>
      <c r="K26" s="2" t="s">
        <v>53</v>
      </c>
      <c r="L26" s="3">
        <v>26</v>
      </c>
      <c r="M26">
        <v>49</v>
      </c>
      <c r="N26" s="3">
        <v>1274</v>
      </c>
      <c r="O26" t="str">
        <f t="shared" si="0"/>
        <v>Si</v>
      </c>
      <c r="AJ26" s="3"/>
    </row>
    <row r="27" spans="1:36" x14ac:dyDescent="0.25">
      <c r="A27">
        <v>26</v>
      </c>
      <c r="B27" s="1">
        <v>44055</v>
      </c>
      <c r="C27">
        <v>3769138349</v>
      </c>
      <c r="D27" s="2" t="s">
        <v>60</v>
      </c>
      <c r="E27" s="2" t="s">
        <v>61</v>
      </c>
      <c r="F27" s="2" t="s">
        <v>62</v>
      </c>
      <c r="G27" s="2" t="s">
        <v>63</v>
      </c>
      <c r="H27" s="2" t="s">
        <v>39</v>
      </c>
      <c r="I27" s="2" t="s">
        <v>29</v>
      </c>
      <c r="J27" s="2" t="s">
        <v>81</v>
      </c>
      <c r="K27" s="2" t="s">
        <v>82</v>
      </c>
      <c r="L27" s="3">
        <v>39</v>
      </c>
      <c r="M27">
        <v>21</v>
      </c>
      <c r="N27" s="3">
        <v>819</v>
      </c>
      <c r="O27" t="str">
        <f t="shared" si="0"/>
        <v>No</v>
      </c>
      <c r="AJ27" s="3"/>
    </row>
    <row r="28" spans="1:36" x14ac:dyDescent="0.25">
      <c r="A28">
        <v>27</v>
      </c>
      <c r="B28" s="1">
        <v>43908</v>
      </c>
      <c r="C28">
        <v>5871657714</v>
      </c>
      <c r="D28" s="2" t="s">
        <v>83</v>
      </c>
      <c r="E28" s="2" t="s">
        <v>43</v>
      </c>
      <c r="F28" s="2" t="s">
        <v>44</v>
      </c>
      <c r="G28" s="2" t="s">
        <v>84</v>
      </c>
      <c r="H28" s="2" t="s">
        <v>28</v>
      </c>
      <c r="I28" s="2" t="s">
        <v>19</v>
      </c>
      <c r="J28" s="2" t="s">
        <v>85</v>
      </c>
      <c r="K28" s="2" t="s">
        <v>86</v>
      </c>
      <c r="L28" s="3">
        <v>33</v>
      </c>
      <c r="M28">
        <v>8</v>
      </c>
      <c r="N28" s="3">
        <v>264</v>
      </c>
      <c r="O28" t="str">
        <f t="shared" si="0"/>
        <v>Si</v>
      </c>
      <c r="AJ28" s="3"/>
    </row>
    <row r="29" spans="1:36" x14ac:dyDescent="0.25">
      <c r="A29">
        <v>28</v>
      </c>
      <c r="B29" s="1">
        <v>43965</v>
      </c>
      <c r="C29">
        <v>1534553307</v>
      </c>
      <c r="D29" s="2" t="s">
        <v>83</v>
      </c>
      <c r="E29" s="2" t="s">
        <v>43</v>
      </c>
      <c r="F29" s="2" t="s">
        <v>44</v>
      </c>
      <c r="G29" s="2" t="s">
        <v>84</v>
      </c>
      <c r="H29" s="2" t="s">
        <v>28</v>
      </c>
      <c r="I29" s="2" t="s">
        <v>19</v>
      </c>
      <c r="J29" s="2" t="s">
        <v>87</v>
      </c>
      <c r="K29" s="2" t="s">
        <v>88</v>
      </c>
      <c r="L29" s="3">
        <v>46</v>
      </c>
      <c r="M29">
        <v>82</v>
      </c>
      <c r="N29" s="3">
        <v>3772</v>
      </c>
      <c r="O29" t="str">
        <f t="shared" si="0"/>
        <v>No</v>
      </c>
      <c r="AJ29" s="3"/>
    </row>
    <row r="30" spans="1:36" x14ac:dyDescent="0.25">
      <c r="A30">
        <v>29</v>
      </c>
      <c r="B30" s="1">
        <v>44146</v>
      </c>
      <c r="C30">
        <v>8474620707</v>
      </c>
      <c r="D30" s="2" t="s">
        <v>54</v>
      </c>
      <c r="E30" s="2" t="s">
        <v>55</v>
      </c>
      <c r="F30" s="2" t="s">
        <v>56</v>
      </c>
      <c r="G30" s="2" t="s">
        <v>57</v>
      </c>
      <c r="H30" s="2" t="s">
        <v>18</v>
      </c>
      <c r="I30" s="2" t="s">
        <v>29</v>
      </c>
      <c r="J30" s="2" t="s">
        <v>20</v>
      </c>
      <c r="K30" s="2" t="s">
        <v>21</v>
      </c>
      <c r="L30" s="3">
        <v>32</v>
      </c>
      <c r="M30">
        <v>75</v>
      </c>
      <c r="N30" s="3">
        <v>2400</v>
      </c>
      <c r="O30" t="str">
        <f t="shared" si="0"/>
        <v>Si</v>
      </c>
      <c r="AJ30" s="3"/>
    </row>
    <row r="31" spans="1:36" x14ac:dyDescent="0.25">
      <c r="A31">
        <v>30</v>
      </c>
      <c r="B31" s="1">
        <v>44144</v>
      </c>
      <c r="C31">
        <v>3530767380</v>
      </c>
      <c r="D31" s="2" t="s">
        <v>35</v>
      </c>
      <c r="E31" s="2" t="s">
        <v>36</v>
      </c>
      <c r="F31" s="2" t="s">
        <v>37</v>
      </c>
      <c r="G31" s="2" t="s">
        <v>38</v>
      </c>
      <c r="H31" s="2" t="s">
        <v>18</v>
      </c>
      <c r="I31" s="2" t="s">
        <v>19</v>
      </c>
      <c r="J31" s="2" t="s">
        <v>58</v>
      </c>
      <c r="K31" s="2" t="s">
        <v>59</v>
      </c>
      <c r="L31" s="3">
        <v>34</v>
      </c>
      <c r="M31">
        <v>3</v>
      </c>
      <c r="N31" s="3">
        <v>102</v>
      </c>
      <c r="O31" t="str">
        <f t="shared" si="0"/>
        <v>No</v>
      </c>
      <c r="AJ31" s="3"/>
    </row>
    <row r="32" spans="1:36" x14ac:dyDescent="0.25">
      <c r="A32">
        <v>31</v>
      </c>
      <c r="B32" s="1">
        <v>43845</v>
      </c>
      <c r="C32">
        <v>6673950624</v>
      </c>
      <c r="D32" s="2" t="s">
        <v>48</v>
      </c>
      <c r="E32" s="2" t="s">
        <v>49</v>
      </c>
      <c r="F32" s="2" t="s">
        <v>50</v>
      </c>
      <c r="G32" s="2" t="s">
        <v>17</v>
      </c>
      <c r="H32" s="2" t="s">
        <v>18</v>
      </c>
      <c r="I32" s="2" t="s">
        <v>51</v>
      </c>
      <c r="J32" s="2" t="s">
        <v>89</v>
      </c>
      <c r="K32" s="2" t="s">
        <v>74</v>
      </c>
      <c r="L32" s="3">
        <v>24</v>
      </c>
      <c r="M32">
        <v>33</v>
      </c>
      <c r="N32" s="3">
        <v>792</v>
      </c>
      <c r="O32" t="str">
        <f t="shared" si="0"/>
        <v>Si</v>
      </c>
      <c r="AJ32" s="3"/>
    </row>
    <row r="33" spans="1:36" x14ac:dyDescent="0.25">
      <c r="A33">
        <v>32</v>
      </c>
      <c r="B33" s="1">
        <v>43967</v>
      </c>
      <c r="C33">
        <v>7137547321</v>
      </c>
      <c r="D33" s="2" t="s">
        <v>48</v>
      </c>
      <c r="E33" s="2" t="s">
        <v>49</v>
      </c>
      <c r="F33" s="2" t="s">
        <v>50</v>
      </c>
      <c r="G33" s="2" t="s">
        <v>17</v>
      </c>
      <c r="H33" s="2" t="s">
        <v>18</v>
      </c>
      <c r="I33" s="2" t="s">
        <v>51</v>
      </c>
      <c r="J33" s="2" t="s">
        <v>58</v>
      </c>
      <c r="K33" s="2" t="s">
        <v>59</v>
      </c>
      <c r="L33" s="3">
        <v>21</v>
      </c>
      <c r="M33">
        <v>51</v>
      </c>
      <c r="N33" s="3">
        <v>1071</v>
      </c>
      <c r="O33" t="str">
        <f t="shared" si="0"/>
        <v>No</v>
      </c>
      <c r="AJ33" s="3"/>
    </row>
    <row r="34" spans="1:36" x14ac:dyDescent="0.25">
      <c r="A34">
        <v>33</v>
      </c>
      <c r="B34" s="1">
        <v>43862</v>
      </c>
      <c r="C34">
        <v>9655985375</v>
      </c>
      <c r="D34" s="2" t="s">
        <v>54</v>
      </c>
      <c r="E34" s="2" t="s">
        <v>55</v>
      </c>
      <c r="F34" s="2" t="s">
        <v>56</v>
      </c>
      <c r="G34" s="2" t="s">
        <v>57</v>
      </c>
      <c r="H34" s="2" t="s">
        <v>18</v>
      </c>
      <c r="I34" s="2" t="s">
        <v>29</v>
      </c>
      <c r="J34" s="2" t="s">
        <v>70</v>
      </c>
      <c r="K34" s="2" t="s">
        <v>90</v>
      </c>
      <c r="L34" s="3">
        <v>0</v>
      </c>
      <c r="M34">
        <v>0</v>
      </c>
      <c r="N34" s="3">
        <v>0</v>
      </c>
      <c r="O34" t="str">
        <f t="shared" si="0"/>
        <v>Si</v>
      </c>
      <c r="AJ34" s="3"/>
    </row>
    <row r="35" spans="1:36" x14ac:dyDescent="0.25">
      <c r="A35">
        <v>34</v>
      </c>
      <c r="B35" s="1">
        <v>44167</v>
      </c>
      <c r="C35">
        <v>299812367</v>
      </c>
      <c r="D35" s="2" t="s">
        <v>60</v>
      </c>
      <c r="E35" s="2" t="s">
        <v>61</v>
      </c>
      <c r="F35" s="2" t="s">
        <v>62</v>
      </c>
      <c r="G35" s="2" t="s">
        <v>63</v>
      </c>
      <c r="H35" s="2" t="s">
        <v>39</v>
      </c>
      <c r="I35" s="2" t="s">
        <v>19</v>
      </c>
      <c r="J35" s="2" t="s">
        <v>70</v>
      </c>
      <c r="K35" s="2" t="s">
        <v>90</v>
      </c>
      <c r="L35" s="3">
        <v>0</v>
      </c>
      <c r="M35">
        <v>0</v>
      </c>
      <c r="N35" s="3">
        <v>0</v>
      </c>
      <c r="O35" t="str">
        <f t="shared" si="0"/>
        <v>No</v>
      </c>
      <c r="AJ35" s="3"/>
    </row>
    <row r="36" spans="1:36" x14ac:dyDescent="0.25">
      <c r="A36">
        <v>35</v>
      </c>
      <c r="B36" s="1">
        <v>43870</v>
      </c>
      <c r="C36">
        <v>7779151222</v>
      </c>
      <c r="D36" s="2" t="s">
        <v>35</v>
      </c>
      <c r="E36" s="2" t="s">
        <v>36</v>
      </c>
      <c r="F36" s="2" t="s">
        <v>37</v>
      </c>
      <c r="G36" s="2" t="s">
        <v>38</v>
      </c>
      <c r="H36" s="2" t="s">
        <v>39</v>
      </c>
      <c r="I36" s="2" t="s">
        <v>19</v>
      </c>
      <c r="J36" s="2" t="s">
        <v>70</v>
      </c>
      <c r="K36" s="2" t="s">
        <v>90</v>
      </c>
      <c r="L36" s="3">
        <v>0</v>
      </c>
      <c r="M36">
        <v>0</v>
      </c>
      <c r="N36" s="3">
        <v>0</v>
      </c>
      <c r="O36" t="str">
        <f t="shared" si="0"/>
        <v>Si</v>
      </c>
      <c r="AJ36" s="3"/>
    </row>
    <row r="37" spans="1:36" x14ac:dyDescent="0.25">
      <c r="A37">
        <v>36</v>
      </c>
      <c r="B37" s="1">
        <v>44192</v>
      </c>
      <c r="C37">
        <v>9282360094</v>
      </c>
      <c r="D37" s="2" t="s">
        <v>64</v>
      </c>
      <c r="E37" s="2" t="s">
        <v>65</v>
      </c>
      <c r="F37" s="2" t="s">
        <v>65</v>
      </c>
      <c r="G37" s="2" t="s">
        <v>66</v>
      </c>
      <c r="H37" s="2" t="s">
        <v>18</v>
      </c>
      <c r="I37" s="2" t="s">
        <v>29</v>
      </c>
      <c r="J37" s="2" t="s">
        <v>91</v>
      </c>
      <c r="K37" s="2" t="s">
        <v>23</v>
      </c>
      <c r="L37" s="3">
        <v>140</v>
      </c>
      <c r="M37">
        <v>47</v>
      </c>
      <c r="N37" s="3">
        <v>6580</v>
      </c>
      <c r="O37" t="str">
        <f t="shared" si="0"/>
        <v>No</v>
      </c>
      <c r="AJ37" s="3"/>
    </row>
    <row r="38" spans="1:36" x14ac:dyDescent="0.25">
      <c r="A38">
        <v>37</v>
      </c>
      <c r="B38" s="1">
        <v>43982</v>
      </c>
      <c r="C38">
        <v>6935804403</v>
      </c>
      <c r="D38" s="2" t="s">
        <v>64</v>
      </c>
      <c r="E38" s="2" t="s">
        <v>65</v>
      </c>
      <c r="F38" s="2" t="s">
        <v>65</v>
      </c>
      <c r="G38" s="2" t="s">
        <v>66</v>
      </c>
      <c r="H38" s="2" t="s">
        <v>28</v>
      </c>
      <c r="I38" s="2" t="s">
        <v>70</v>
      </c>
      <c r="J38" s="2" t="s">
        <v>22</v>
      </c>
      <c r="K38" s="2" t="s">
        <v>23</v>
      </c>
      <c r="L38" s="3">
        <v>49</v>
      </c>
      <c r="M38">
        <v>49</v>
      </c>
      <c r="N38" s="3">
        <v>2401</v>
      </c>
      <c r="O38" t="str">
        <f t="shared" si="0"/>
        <v>Si</v>
      </c>
      <c r="AJ38" s="3"/>
    </row>
    <row r="39" spans="1:36" x14ac:dyDescent="0.25">
      <c r="A39">
        <v>38</v>
      </c>
      <c r="B39" s="1">
        <v>43952</v>
      </c>
      <c r="C39">
        <v>3650322132</v>
      </c>
      <c r="D39" s="2" t="s">
        <v>75</v>
      </c>
      <c r="E39" s="2" t="s">
        <v>76</v>
      </c>
      <c r="F39" s="2" t="s">
        <v>77</v>
      </c>
      <c r="G39" s="2" t="s">
        <v>63</v>
      </c>
      <c r="H39" s="2" t="s">
        <v>39</v>
      </c>
      <c r="I39" s="2" t="s">
        <v>70</v>
      </c>
      <c r="J39" s="2" t="s">
        <v>58</v>
      </c>
      <c r="K39" s="2" t="s">
        <v>59</v>
      </c>
      <c r="L39" s="3">
        <v>560</v>
      </c>
      <c r="M39">
        <v>72</v>
      </c>
      <c r="N39" s="3">
        <v>40320</v>
      </c>
      <c r="O39" t="str">
        <f t="shared" si="0"/>
        <v>No</v>
      </c>
      <c r="AJ39" s="3"/>
    </row>
    <row r="40" spans="1:36" x14ac:dyDescent="0.25">
      <c r="A40">
        <v>39</v>
      </c>
      <c r="B40" s="1">
        <v>43965</v>
      </c>
      <c r="C40">
        <v>1985754250</v>
      </c>
      <c r="D40" s="2" t="s">
        <v>78</v>
      </c>
      <c r="E40" s="2" t="s">
        <v>79</v>
      </c>
      <c r="F40" s="2" t="s">
        <v>80</v>
      </c>
      <c r="G40" s="2" t="s">
        <v>38</v>
      </c>
      <c r="H40" s="2" t="s">
        <v>39</v>
      </c>
      <c r="I40" s="2" t="s">
        <v>70</v>
      </c>
      <c r="J40" s="2" t="s">
        <v>81</v>
      </c>
      <c r="K40" s="2" t="s">
        <v>82</v>
      </c>
      <c r="L40" s="3">
        <v>257.60000000000002</v>
      </c>
      <c r="M40">
        <v>13</v>
      </c>
      <c r="N40" s="3">
        <v>3348.8</v>
      </c>
      <c r="O40" t="str">
        <f t="shared" si="0"/>
        <v>Si</v>
      </c>
      <c r="AJ40" s="3"/>
    </row>
    <row r="41" spans="1:36" x14ac:dyDescent="0.25">
      <c r="A41">
        <v>40</v>
      </c>
      <c r="B41" s="1">
        <v>44090</v>
      </c>
      <c r="C41">
        <v>7293507918</v>
      </c>
      <c r="D41" s="2" t="s">
        <v>60</v>
      </c>
      <c r="E41" s="2" t="s">
        <v>61</v>
      </c>
      <c r="F41" s="2" t="s">
        <v>62</v>
      </c>
      <c r="G41" s="2" t="s">
        <v>63</v>
      </c>
      <c r="H41" s="2" t="s">
        <v>39</v>
      </c>
      <c r="I41" s="2" t="s">
        <v>29</v>
      </c>
      <c r="J41" s="2" t="s">
        <v>34</v>
      </c>
      <c r="K41" s="2" t="s">
        <v>21</v>
      </c>
      <c r="L41" s="3">
        <v>644</v>
      </c>
      <c r="M41">
        <v>32</v>
      </c>
      <c r="N41" s="3">
        <v>20608</v>
      </c>
      <c r="O41" t="str">
        <f t="shared" si="0"/>
        <v>No</v>
      </c>
      <c r="AJ41" s="3"/>
    </row>
    <row r="42" spans="1:36" x14ac:dyDescent="0.25">
      <c r="A42">
        <v>41</v>
      </c>
      <c r="B42" s="1">
        <v>43983</v>
      </c>
      <c r="C42">
        <v>3459323228</v>
      </c>
      <c r="D42" s="2" t="s">
        <v>83</v>
      </c>
      <c r="E42" s="2" t="s">
        <v>43</v>
      </c>
      <c r="F42" s="2" t="s">
        <v>44</v>
      </c>
      <c r="G42" s="2" t="s">
        <v>84</v>
      </c>
      <c r="H42" s="2" t="s">
        <v>28</v>
      </c>
      <c r="I42" s="2" t="s">
        <v>19</v>
      </c>
      <c r="J42" s="2" t="s">
        <v>52</v>
      </c>
      <c r="K42" s="2" t="s">
        <v>53</v>
      </c>
      <c r="L42" s="3">
        <v>135.1</v>
      </c>
      <c r="M42">
        <v>27</v>
      </c>
      <c r="N42" s="3">
        <v>3647.7</v>
      </c>
      <c r="O42" t="str">
        <f t="shared" si="0"/>
        <v>Si</v>
      </c>
      <c r="AJ42" s="3"/>
    </row>
    <row r="43" spans="1:36" x14ac:dyDescent="0.25">
      <c r="A43">
        <v>42</v>
      </c>
      <c r="B43" s="1">
        <v>43999</v>
      </c>
      <c r="C43">
        <v>1144627655</v>
      </c>
      <c r="D43" s="2" t="s">
        <v>54</v>
      </c>
      <c r="E43" s="2" t="s">
        <v>55</v>
      </c>
      <c r="F43" s="2" t="s">
        <v>56</v>
      </c>
      <c r="G43" s="2" t="s">
        <v>57</v>
      </c>
      <c r="H43" s="2" t="s">
        <v>18</v>
      </c>
      <c r="I43" s="2" t="s">
        <v>29</v>
      </c>
      <c r="J43" s="2" t="s">
        <v>46</v>
      </c>
      <c r="K43" s="2" t="s">
        <v>47</v>
      </c>
      <c r="L43" s="3">
        <v>178.5</v>
      </c>
      <c r="M43">
        <v>71</v>
      </c>
      <c r="N43" s="3">
        <v>12673.5</v>
      </c>
      <c r="O43" t="str">
        <f t="shared" si="0"/>
        <v>No</v>
      </c>
      <c r="AJ43" s="3"/>
    </row>
    <row r="44" spans="1:36" x14ac:dyDescent="0.25">
      <c r="A44">
        <v>43</v>
      </c>
      <c r="B44" s="1">
        <v>44070</v>
      </c>
      <c r="C44">
        <v>3986713828</v>
      </c>
      <c r="D44" s="2" t="s">
        <v>35</v>
      </c>
      <c r="E44" s="2" t="s">
        <v>36</v>
      </c>
      <c r="F44" s="2" t="s">
        <v>37</v>
      </c>
      <c r="G44" s="2" t="s">
        <v>38</v>
      </c>
      <c r="H44" s="2" t="s">
        <v>18</v>
      </c>
      <c r="I44" s="2" t="s">
        <v>19</v>
      </c>
      <c r="J44" s="2" t="s">
        <v>46</v>
      </c>
      <c r="K44" s="2" t="s">
        <v>47</v>
      </c>
      <c r="L44" s="3">
        <v>178.5</v>
      </c>
      <c r="M44">
        <v>13</v>
      </c>
      <c r="N44" s="3">
        <v>2320.5</v>
      </c>
      <c r="O44" t="str">
        <f t="shared" si="0"/>
        <v>Si</v>
      </c>
      <c r="AJ44" s="3"/>
    </row>
    <row r="45" spans="1:36" x14ac:dyDescent="0.25">
      <c r="A45">
        <v>44</v>
      </c>
      <c r="B45" s="1">
        <v>43998</v>
      </c>
      <c r="C45">
        <v>9350633665</v>
      </c>
      <c r="D45" s="2" t="s">
        <v>92</v>
      </c>
      <c r="E45" s="2" t="s">
        <v>65</v>
      </c>
      <c r="F45" s="2" t="s">
        <v>65</v>
      </c>
      <c r="G45" s="2" t="s">
        <v>66</v>
      </c>
      <c r="H45" s="2" t="s">
        <v>28</v>
      </c>
      <c r="I45" s="2" t="s">
        <v>51</v>
      </c>
      <c r="J45" s="2" t="s">
        <v>73</v>
      </c>
      <c r="K45" s="2" t="s">
        <v>74</v>
      </c>
      <c r="L45" s="3">
        <v>308</v>
      </c>
      <c r="M45">
        <v>98</v>
      </c>
      <c r="N45" s="3">
        <v>30184</v>
      </c>
      <c r="O45" t="str">
        <f t="shared" si="0"/>
        <v>No</v>
      </c>
      <c r="AJ45" s="3"/>
    </row>
    <row r="46" spans="1:36" x14ac:dyDescent="0.25">
      <c r="A46">
        <v>45</v>
      </c>
      <c r="B46" s="1">
        <v>44129</v>
      </c>
      <c r="C46">
        <v>4918639925</v>
      </c>
      <c r="D46" s="2" t="s">
        <v>93</v>
      </c>
      <c r="E46" s="2" t="s">
        <v>76</v>
      </c>
      <c r="F46" s="2" t="s">
        <v>77</v>
      </c>
      <c r="G46" s="2" t="s">
        <v>63</v>
      </c>
      <c r="H46" s="2" t="s">
        <v>39</v>
      </c>
      <c r="I46" s="2" t="s">
        <v>29</v>
      </c>
      <c r="J46" s="2" t="s">
        <v>71</v>
      </c>
      <c r="K46" s="2" t="s">
        <v>72</v>
      </c>
      <c r="L46" s="3">
        <v>350</v>
      </c>
      <c r="M46">
        <v>21</v>
      </c>
      <c r="N46" s="3">
        <v>7350</v>
      </c>
      <c r="O46" t="str">
        <f t="shared" si="0"/>
        <v>Si</v>
      </c>
      <c r="U46" s="1"/>
      <c r="W46" s="2"/>
      <c r="X46" s="2"/>
      <c r="Y46" s="2"/>
      <c r="Z46" s="2"/>
      <c r="AA46" s="2"/>
      <c r="AB46" s="2"/>
      <c r="AC46" s="2"/>
      <c r="AD46" s="2"/>
      <c r="AE46" s="3"/>
      <c r="AG46" s="3"/>
      <c r="AJ46" s="3"/>
    </row>
    <row r="47" spans="1:36" x14ac:dyDescent="0.25">
      <c r="A47">
        <v>46</v>
      </c>
      <c r="B47" s="1">
        <v>44165</v>
      </c>
      <c r="C47">
        <v>9630006862</v>
      </c>
      <c r="D47" s="2" t="s">
        <v>42</v>
      </c>
      <c r="E47" s="2" t="s">
        <v>43</v>
      </c>
      <c r="F47" s="2" t="s">
        <v>44</v>
      </c>
      <c r="G47" s="2" t="s">
        <v>45</v>
      </c>
      <c r="H47" s="2" t="s">
        <v>18</v>
      </c>
      <c r="I47" s="2" t="s">
        <v>19</v>
      </c>
      <c r="J47" s="2" t="s">
        <v>94</v>
      </c>
      <c r="K47" s="2" t="s">
        <v>95</v>
      </c>
      <c r="L47" s="3">
        <v>546</v>
      </c>
      <c r="M47">
        <v>26</v>
      </c>
      <c r="N47" s="3">
        <v>14196</v>
      </c>
      <c r="O47" t="str">
        <f t="shared" si="0"/>
        <v>No</v>
      </c>
      <c r="U47" s="1"/>
      <c r="W47" s="2"/>
      <c r="X47" s="2"/>
      <c r="Y47" s="2"/>
      <c r="Z47" s="2"/>
      <c r="AA47" s="2"/>
      <c r="AB47" s="2"/>
      <c r="AC47" s="2"/>
      <c r="AD47" s="2"/>
      <c r="AE47" s="3"/>
      <c r="AG47" s="3"/>
      <c r="AJ47" s="3"/>
    </row>
    <row r="48" spans="1:36" x14ac:dyDescent="0.25">
      <c r="A48">
        <v>47</v>
      </c>
      <c r="B48" s="1">
        <v>43920</v>
      </c>
      <c r="C48">
        <v>9029002933</v>
      </c>
      <c r="D48" s="2" t="s">
        <v>54</v>
      </c>
      <c r="E48" s="2" t="s">
        <v>55</v>
      </c>
      <c r="F48" s="2" t="s">
        <v>56</v>
      </c>
      <c r="G48" s="2" t="s">
        <v>57</v>
      </c>
      <c r="H48" s="2" t="s">
        <v>39</v>
      </c>
      <c r="I48" s="2" t="s">
        <v>19</v>
      </c>
      <c r="J48" s="2" t="s">
        <v>30</v>
      </c>
      <c r="K48" s="2" t="s">
        <v>23</v>
      </c>
      <c r="L48" s="3">
        <v>420</v>
      </c>
      <c r="M48">
        <v>96</v>
      </c>
      <c r="N48" s="3">
        <v>40320</v>
      </c>
      <c r="O48" t="str">
        <f t="shared" si="0"/>
        <v>Si</v>
      </c>
      <c r="U48" s="1"/>
      <c r="W48" s="2"/>
      <c r="X48" s="2"/>
      <c r="Y48" s="2"/>
      <c r="Z48" s="2"/>
      <c r="AA48" s="2"/>
      <c r="AB48" s="2"/>
      <c r="AC48" s="2"/>
      <c r="AD48" s="2"/>
      <c r="AE48" s="3"/>
      <c r="AG48" s="3"/>
      <c r="AJ48" s="3"/>
    </row>
    <row r="49" spans="1:36" x14ac:dyDescent="0.25">
      <c r="A49">
        <v>48</v>
      </c>
      <c r="B49" s="1">
        <v>43880</v>
      </c>
      <c r="C49">
        <v>5702300844</v>
      </c>
      <c r="D49" s="2" t="s">
        <v>54</v>
      </c>
      <c r="E49" s="2" t="s">
        <v>55</v>
      </c>
      <c r="F49" s="2" t="s">
        <v>56</v>
      </c>
      <c r="G49" s="2" t="s">
        <v>57</v>
      </c>
      <c r="H49" s="2" t="s">
        <v>39</v>
      </c>
      <c r="I49" s="2" t="s">
        <v>19</v>
      </c>
      <c r="J49" s="2" t="s">
        <v>31</v>
      </c>
      <c r="K49" s="2" t="s">
        <v>23</v>
      </c>
      <c r="L49" s="3">
        <v>742</v>
      </c>
      <c r="M49">
        <v>16</v>
      </c>
      <c r="N49" s="3">
        <v>11872</v>
      </c>
      <c r="O49" t="str">
        <f t="shared" si="0"/>
        <v>No</v>
      </c>
      <c r="U49" s="1"/>
      <c r="W49" s="2"/>
      <c r="X49" s="2"/>
      <c r="Y49" s="2"/>
      <c r="Z49" s="2"/>
      <c r="AA49" s="2"/>
      <c r="AB49" s="2"/>
      <c r="AC49" s="2"/>
      <c r="AD49" s="2"/>
      <c r="AE49" s="3"/>
      <c r="AG49" s="3"/>
      <c r="AJ49" s="3"/>
    </row>
    <row r="50" spans="1:36" x14ac:dyDescent="0.25">
      <c r="A50">
        <v>49</v>
      </c>
      <c r="B50" s="1">
        <v>43922</v>
      </c>
      <c r="C50">
        <v>6885713027</v>
      </c>
      <c r="D50" s="2" t="s">
        <v>24</v>
      </c>
      <c r="E50" s="2" t="s">
        <v>25</v>
      </c>
      <c r="F50" s="2" t="s">
        <v>26</v>
      </c>
      <c r="G50" s="2" t="s">
        <v>27</v>
      </c>
      <c r="H50" s="2" t="s">
        <v>70</v>
      </c>
      <c r="I50" s="2" t="s">
        <v>70</v>
      </c>
      <c r="J50" s="2" t="s">
        <v>96</v>
      </c>
      <c r="K50" s="2" t="s">
        <v>86</v>
      </c>
      <c r="L50" s="3">
        <v>532</v>
      </c>
      <c r="M50">
        <v>96</v>
      </c>
      <c r="N50" s="3">
        <v>51072</v>
      </c>
      <c r="O50" t="str">
        <f t="shared" si="0"/>
        <v>Si</v>
      </c>
      <c r="U50" s="1"/>
      <c r="W50" s="2"/>
      <c r="X50" s="2"/>
      <c r="Y50" s="2"/>
      <c r="Z50" s="2"/>
      <c r="AA50" s="2"/>
      <c r="AB50" s="2"/>
      <c r="AC50" s="2"/>
      <c r="AD50" s="2"/>
      <c r="AE50" s="3"/>
      <c r="AG50" s="3"/>
      <c r="AJ50" s="3"/>
    </row>
    <row r="51" spans="1:36" x14ac:dyDescent="0.25">
      <c r="A51">
        <v>50</v>
      </c>
      <c r="B51" s="1">
        <v>43861</v>
      </c>
      <c r="C51">
        <v>5156178317</v>
      </c>
      <c r="D51" s="2" t="s">
        <v>48</v>
      </c>
      <c r="E51" s="2" t="s">
        <v>49</v>
      </c>
      <c r="F51" s="2" t="s">
        <v>50</v>
      </c>
      <c r="G51" s="2" t="s">
        <v>17</v>
      </c>
      <c r="H51" s="2" t="s">
        <v>70</v>
      </c>
      <c r="I51" s="2" t="s">
        <v>70</v>
      </c>
      <c r="J51" s="2" t="s">
        <v>67</v>
      </c>
      <c r="K51" s="2" t="s">
        <v>21</v>
      </c>
      <c r="L51" s="3">
        <v>41.86</v>
      </c>
      <c r="M51">
        <v>75</v>
      </c>
      <c r="N51" s="3">
        <v>3139.5</v>
      </c>
      <c r="O51" t="str">
        <f t="shared" si="0"/>
        <v>No</v>
      </c>
      <c r="U51" s="1"/>
      <c r="W51" s="2"/>
      <c r="X51" s="2"/>
      <c r="Y51" s="2"/>
      <c r="Z51" s="2"/>
      <c r="AA51" s="2"/>
      <c r="AB51" s="2"/>
      <c r="AC51" s="2"/>
      <c r="AD51" s="2"/>
      <c r="AE51" s="3"/>
      <c r="AG51" s="3"/>
      <c r="AJ51" s="3"/>
    </row>
    <row r="52" spans="1:36" x14ac:dyDescent="0.25">
      <c r="A52">
        <v>51</v>
      </c>
      <c r="B52" s="1">
        <v>43992</v>
      </c>
      <c r="C52">
        <v>9993785470</v>
      </c>
      <c r="D52" s="2" t="s">
        <v>83</v>
      </c>
      <c r="E52" s="2" t="s">
        <v>43</v>
      </c>
      <c r="F52" s="2" t="s">
        <v>44</v>
      </c>
      <c r="G52" s="2" t="s">
        <v>84</v>
      </c>
      <c r="H52" s="2" t="s">
        <v>28</v>
      </c>
      <c r="I52" s="2" t="s">
        <v>19</v>
      </c>
      <c r="J52" s="2" t="s">
        <v>85</v>
      </c>
      <c r="K52" s="2" t="s">
        <v>86</v>
      </c>
      <c r="L52" s="3">
        <v>273</v>
      </c>
      <c r="M52">
        <v>55</v>
      </c>
      <c r="N52" s="3">
        <v>15015</v>
      </c>
      <c r="O52" t="str">
        <f t="shared" si="0"/>
        <v>Si</v>
      </c>
      <c r="U52" s="1"/>
      <c r="W52" s="2"/>
      <c r="X52" s="2"/>
      <c r="Y52" s="2"/>
      <c r="Z52" s="2"/>
      <c r="AA52" s="2"/>
      <c r="AB52" s="2"/>
      <c r="AC52" s="2"/>
      <c r="AD52" s="2"/>
      <c r="AE52" s="3"/>
      <c r="AG52" s="3"/>
      <c r="AJ52" s="3"/>
    </row>
    <row r="53" spans="1:36" x14ac:dyDescent="0.25">
      <c r="A53">
        <v>52</v>
      </c>
      <c r="B53" s="1">
        <v>44107</v>
      </c>
      <c r="C53">
        <v>2344903076</v>
      </c>
      <c r="D53" s="2" t="s">
        <v>83</v>
      </c>
      <c r="E53" s="2" t="s">
        <v>43</v>
      </c>
      <c r="F53" s="2" t="s">
        <v>44</v>
      </c>
      <c r="G53" s="2" t="s">
        <v>84</v>
      </c>
      <c r="H53" s="2" t="s">
        <v>28</v>
      </c>
      <c r="I53" s="2" t="s">
        <v>19</v>
      </c>
      <c r="J53" s="2" t="s">
        <v>87</v>
      </c>
      <c r="K53" s="2" t="s">
        <v>88</v>
      </c>
      <c r="L53" s="3">
        <v>487.2</v>
      </c>
      <c r="M53">
        <v>11</v>
      </c>
      <c r="N53" s="3">
        <v>5359.2</v>
      </c>
      <c r="O53" t="str">
        <f t="shared" si="0"/>
        <v>No</v>
      </c>
      <c r="U53" s="1"/>
      <c r="W53" s="2"/>
      <c r="X53" s="2"/>
      <c r="Y53" s="2"/>
      <c r="Z53" s="2"/>
      <c r="AA53" s="2"/>
      <c r="AB53" s="2"/>
      <c r="AC53" s="2"/>
      <c r="AD53" s="2"/>
      <c r="AE53" s="3"/>
      <c r="AG53" s="3"/>
      <c r="AJ53" s="3"/>
    </row>
    <row r="54" spans="1:36" x14ac:dyDescent="0.25">
      <c r="A54">
        <v>53</v>
      </c>
      <c r="B54" s="1">
        <v>44123</v>
      </c>
      <c r="C54">
        <v>5773601950</v>
      </c>
      <c r="D54" s="2" t="s">
        <v>54</v>
      </c>
      <c r="E54" s="2" t="s">
        <v>55</v>
      </c>
      <c r="F54" s="2" t="s">
        <v>56</v>
      </c>
      <c r="G54" s="2" t="s">
        <v>57</v>
      </c>
      <c r="H54" s="2" t="s">
        <v>18</v>
      </c>
      <c r="I54" s="2" t="s">
        <v>29</v>
      </c>
      <c r="J54" s="2" t="s">
        <v>20</v>
      </c>
      <c r="K54" s="2" t="s">
        <v>21</v>
      </c>
      <c r="L54" s="3">
        <v>196</v>
      </c>
      <c r="M54">
        <v>53</v>
      </c>
      <c r="N54" s="3">
        <v>10388</v>
      </c>
      <c r="O54" t="str">
        <f t="shared" si="0"/>
        <v>Si</v>
      </c>
      <c r="U54" s="1"/>
      <c r="W54" s="2"/>
      <c r="X54" s="2"/>
      <c r="Y54" s="2"/>
      <c r="Z54" s="2"/>
      <c r="AA54" s="2"/>
      <c r="AB54" s="2"/>
      <c r="AC54" s="2"/>
      <c r="AD54" s="2"/>
      <c r="AE54" s="3"/>
      <c r="AG54" s="3"/>
      <c r="AJ54" s="3"/>
    </row>
    <row r="55" spans="1:36" x14ac:dyDescent="0.25">
      <c r="A55">
        <v>54</v>
      </c>
      <c r="B55" s="1">
        <v>44088</v>
      </c>
      <c r="C55">
        <v>4818078168</v>
      </c>
      <c r="D55" s="2" t="s">
        <v>35</v>
      </c>
      <c r="E55" s="2" t="s">
        <v>36</v>
      </c>
      <c r="F55" s="2" t="s">
        <v>37</v>
      </c>
      <c r="G55" s="2" t="s">
        <v>38</v>
      </c>
      <c r="H55" s="2" t="s">
        <v>18</v>
      </c>
      <c r="I55" s="2" t="s">
        <v>19</v>
      </c>
      <c r="J55" s="2" t="s">
        <v>58</v>
      </c>
      <c r="K55" s="2" t="s">
        <v>59</v>
      </c>
      <c r="L55" s="3">
        <v>560</v>
      </c>
      <c r="M55">
        <v>85</v>
      </c>
      <c r="N55" s="3">
        <v>47600</v>
      </c>
      <c r="O55" t="str">
        <f t="shared" si="0"/>
        <v>No</v>
      </c>
      <c r="U55" s="1"/>
      <c r="W55" s="2"/>
      <c r="X55" s="2"/>
      <c r="Y55" s="2"/>
      <c r="Z55" s="2"/>
      <c r="AA55" s="2"/>
      <c r="AB55" s="2"/>
      <c r="AC55" s="2"/>
      <c r="AD55" s="2"/>
      <c r="AE55" s="3"/>
      <c r="AG55" s="3"/>
      <c r="AJ55" s="3"/>
    </row>
    <row r="56" spans="1:36" x14ac:dyDescent="0.25">
      <c r="A56">
        <v>55</v>
      </c>
      <c r="B56" s="1">
        <v>44178</v>
      </c>
      <c r="C56">
        <v>9107195581</v>
      </c>
      <c r="D56" s="2" t="s">
        <v>35</v>
      </c>
      <c r="E56" s="2" t="s">
        <v>36</v>
      </c>
      <c r="F56" s="2" t="s">
        <v>37</v>
      </c>
      <c r="G56" s="2" t="s">
        <v>38</v>
      </c>
      <c r="H56" s="2" t="s">
        <v>18</v>
      </c>
      <c r="I56" s="2" t="s">
        <v>19</v>
      </c>
      <c r="J56" s="2" t="s">
        <v>40</v>
      </c>
      <c r="K56" s="2" t="s">
        <v>41</v>
      </c>
      <c r="L56" s="3">
        <v>128.80000000000001</v>
      </c>
      <c r="M56">
        <v>97</v>
      </c>
      <c r="N56" s="3">
        <v>12493.6</v>
      </c>
      <c r="O56" t="str">
        <f t="shared" si="0"/>
        <v>Si</v>
      </c>
      <c r="U56" s="1"/>
      <c r="W56" s="2"/>
      <c r="X56" s="2"/>
      <c r="Y56" s="2"/>
      <c r="Z56" s="2"/>
      <c r="AA56" s="2"/>
      <c r="AB56" s="2"/>
      <c r="AC56" s="2"/>
      <c r="AD56" s="2"/>
      <c r="AE56" s="3"/>
      <c r="AG56" s="3"/>
      <c r="AJ56" s="3"/>
    </row>
    <row r="57" spans="1:36" x14ac:dyDescent="0.25">
      <c r="A57">
        <v>56</v>
      </c>
      <c r="B57" s="1">
        <v>43964</v>
      </c>
      <c r="C57">
        <v>5806733138</v>
      </c>
      <c r="D57" s="2" t="s">
        <v>92</v>
      </c>
      <c r="E57" s="2" t="s">
        <v>65</v>
      </c>
      <c r="F57" s="2" t="s">
        <v>65</v>
      </c>
      <c r="G57" s="2" t="s">
        <v>66</v>
      </c>
      <c r="H57" s="2" t="s">
        <v>28</v>
      </c>
      <c r="I57" s="2" t="s">
        <v>51</v>
      </c>
      <c r="J57" s="2" t="s">
        <v>97</v>
      </c>
      <c r="K57" s="2" t="s">
        <v>41</v>
      </c>
      <c r="L57" s="3">
        <v>140</v>
      </c>
      <c r="M57">
        <v>46</v>
      </c>
      <c r="N57" s="3">
        <v>6440</v>
      </c>
      <c r="O57" t="str">
        <f t="shared" si="0"/>
        <v>No</v>
      </c>
      <c r="U57" s="1"/>
      <c r="W57" s="2"/>
      <c r="X57" s="2"/>
      <c r="Y57" s="2"/>
      <c r="Z57" s="2"/>
      <c r="AA57" s="2"/>
      <c r="AB57" s="2"/>
      <c r="AC57" s="2"/>
      <c r="AD57" s="2"/>
      <c r="AE57" s="3"/>
      <c r="AG57" s="3"/>
      <c r="AJ57" s="3"/>
    </row>
    <row r="58" spans="1:36" x14ac:dyDescent="0.25">
      <c r="A58">
        <v>57</v>
      </c>
      <c r="B58" s="1">
        <v>43882</v>
      </c>
      <c r="C58">
        <v>3059258597</v>
      </c>
      <c r="D58" s="2" t="s">
        <v>93</v>
      </c>
      <c r="E58" s="2" t="s">
        <v>76</v>
      </c>
      <c r="F58" s="2" t="s">
        <v>77</v>
      </c>
      <c r="G58" s="2" t="s">
        <v>63</v>
      </c>
      <c r="H58" s="2" t="s">
        <v>39</v>
      </c>
      <c r="I58" s="2" t="s">
        <v>29</v>
      </c>
      <c r="J58" s="2" t="s">
        <v>98</v>
      </c>
      <c r="K58" s="2" t="s">
        <v>99</v>
      </c>
      <c r="L58" s="3">
        <v>298.89999999999998</v>
      </c>
      <c r="M58">
        <v>97</v>
      </c>
      <c r="N58" s="3">
        <v>28993.3</v>
      </c>
      <c r="O58" t="str">
        <f t="shared" si="0"/>
        <v>Si</v>
      </c>
      <c r="U58" s="1"/>
      <c r="W58" s="2"/>
      <c r="X58" s="2"/>
      <c r="Y58" s="2"/>
      <c r="Z58" s="2"/>
      <c r="AA58" s="2"/>
      <c r="AB58" s="2"/>
      <c r="AC58" s="2"/>
      <c r="AD58" s="2"/>
      <c r="AE58" s="3"/>
      <c r="AG58" s="3"/>
      <c r="AJ58" s="3"/>
    </row>
    <row r="59" spans="1:36" x14ac:dyDescent="0.25">
      <c r="A59">
        <v>58</v>
      </c>
      <c r="B59" s="1">
        <v>44154</v>
      </c>
      <c r="C59">
        <v>586395005</v>
      </c>
      <c r="D59" s="2" t="s">
        <v>93</v>
      </c>
      <c r="E59" s="2" t="s">
        <v>76</v>
      </c>
      <c r="F59" s="2" t="s">
        <v>77</v>
      </c>
      <c r="G59" s="2" t="s">
        <v>63</v>
      </c>
      <c r="H59" s="2" t="s">
        <v>39</v>
      </c>
      <c r="I59" s="2" t="s">
        <v>29</v>
      </c>
      <c r="J59" s="2" t="s">
        <v>52</v>
      </c>
      <c r="K59" s="2" t="s">
        <v>53</v>
      </c>
      <c r="L59" s="3">
        <v>135.1</v>
      </c>
      <c r="M59">
        <v>97</v>
      </c>
      <c r="N59" s="3">
        <v>13104.7</v>
      </c>
      <c r="O59" t="str">
        <f t="shared" si="0"/>
        <v>No</v>
      </c>
      <c r="U59" s="1"/>
      <c r="W59" s="2"/>
      <c r="X59" s="2"/>
      <c r="Y59" s="2"/>
      <c r="Z59" s="2"/>
      <c r="AA59" s="2"/>
      <c r="AB59" s="2"/>
      <c r="AC59" s="2"/>
      <c r="AD59" s="2"/>
      <c r="AE59" s="3"/>
      <c r="AG59" s="3"/>
      <c r="AJ59" s="3"/>
    </row>
    <row r="60" spans="1:36" x14ac:dyDescent="0.25">
      <c r="A60">
        <v>59</v>
      </c>
      <c r="B60" s="1">
        <v>44075</v>
      </c>
      <c r="C60">
        <v>9281389647</v>
      </c>
      <c r="D60" s="2" t="s">
        <v>93</v>
      </c>
      <c r="E60" s="2" t="s">
        <v>76</v>
      </c>
      <c r="F60" s="2" t="s">
        <v>77</v>
      </c>
      <c r="G60" s="2" t="s">
        <v>63</v>
      </c>
      <c r="H60" s="2" t="s">
        <v>39</v>
      </c>
      <c r="I60" s="2" t="s">
        <v>29</v>
      </c>
      <c r="J60" s="2" t="s">
        <v>81</v>
      </c>
      <c r="K60" s="2" t="s">
        <v>82</v>
      </c>
      <c r="L60" s="3">
        <v>257.60000000000002</v>
      </c>
      <c r="M60">
        <v>65</v>
      </c>
      <c r="N60" s="3">
        <v>16744</v>
      </c>
      <c r="O60" t="str">
        <f t="shared" si="0"/>
        <v>Si</v>
      </c>
      <c r="U60" s="1"/>
      <c r="W60" s="2"/>
      <c r="X60" s="2"/>
      <c r="Y60" s="2"/>
      <c r="Z60" s="2"/>
      <c r="AA60" s="2"/>
      <c r="AB60" s="2"/>
      <c r="AC60" s="2"/>
      <c r="AD60" s="2"/>
      <c r="AE60" s="3"/>
      <c r="AG60" s="3"/>
      <c r="AJ60" s="3"/>
    </row>
    <row r="61" spans="1:36" x14ac:dyDescent="0.25">
      <c r="A61">
        <v>60</v>
      </c>
      <c r="B61" s="1">
        <v>44171</v>
      </c>
      <c r="C61">
        <v>2230409971</v>
      </c>
      <c r="D61" s="2" t="s">
        <v>42</v>
      </c>
      <c r="E61" s="2" t="s">
        <v>43</v>
      </c>
      <c r="F61" s="2" t="s">
        <v>44</v>
      </c>
      <c r="G61" s="2" t="s">
        <v>45</v>
      </c>
      <c r="H61" s="2" t="s">
        <v>18</v>
      </c>
      <c r="I61" s="2" t="s">
        <v>19</v>
      </c>
      <c r="J61" s="2" t="s">
        <v>20</v>
      </c>
      <c r="K61" s="2" t="s">
        <v>21</v>
      </c>
      <c r="L61" s="3">
        <v>196</v>
      </c>
      <c r="M61">
        <v>72</v>
      </c>
      <c r="N61" s="3">
        <v>14112</v>
      </c>
      <c r="O61" t="str">
        <f t="shared" si="0"/>
        <v>No</v>
      </c>
      <c r="U61" s="1"/>
      <c r="W61" s="2"/>
      <c r="X61" s="2"/>
      <c r="Y61" s="2"/>
      <c r="Z61" s="2"/>
      <c r="AA61" s="2"/>
      <c r="AB61" s="2"/>
      <c r="AC61" s="2"/>
      <c r="AD61" s="2"/>
      <c r="AE61" s="3"/>
      <c r="AG61" s="3"/>
      <c r="AJ61" s="3"/>
    </row>
    <row r="62" spans="1:36" x14ac:dyDescent="0.25">
      <c r="A62">
        <v>61</v>
      </c>
      <c r="B62" s="1">
        <v>43982</v>
      </c>
      <c r="C62">
        <v>498762200</v>
      </c>
      <c r="D62" s="2" t="s">
        <v>54</v>
      </c>
      <c r="E62" s="2" t="s">
        <v>55</v>
      </c>
      <c r="F62" s="2" t="s">
        <v>56</v>
      </c>
      <c r="G62" s="2" t="s">
        <v>57</v>
      </c>
      <c r="H62" s="2" t="s">
        <v>39</v>
      </c>
      <c r="I62" s="2" t="s">
        <v>19</v>
      </c>
      <c r="J62" s="2" t="s">
        <v>46</v>
      </c>
      <c r="K62" s="2" t="s">
        <v>47</v>
      </c>
      <c r="L62" s="3">
        <v>178.5</v>
      </c>
      <c r="M62">
        <v>16</v>
      </c>
      <c r="N62" s="3">
        <v>2856</v>
      </c>
      <c r="O62" t="str">
        <f t="shared" si="0"/>
        <v>Si</v>
      </c>
      <c r="U62" s="1"/>
      <c r="W62" s="2"/>
      <c r="X62" s="2"/>
      <c r="Y62" s="2"/>
      <c r="Z62" s="2"/>
      <c r="AA62" s="2"/>
      <c r="AB62" s="2"/>
      <c r="AC62" s="2"/>
      <c r="AD62" s="2"/>
      <c r="AE62" s="3"/>
      <c r="AG62" s="3"/>
      <c r="AJ62" s="3"/>
    </row>
    <row r="63" spans="1:36" x14ac:dyDescent="0.25">
      <c r="A63">
        <v>62</v>
      </c>
      <c r="B63" s="1">
        <v>43855</v>
      </c>
      <c r="C63">
        <v>5059332572</v>
      </c>
      <c r="D63" s="2" t="s">
        <v>24</v>
      </c>
      <c r="E63" s="2" t="s">
        <v>25</v>
      </c>
      <c r="F63" s="2" t="s">
        <v>26</v>
      </c>
      <c r="G63" s="2" t="s">
        <v>27</v>
      </c>
      <c r="H63" s="2" t="s">
        <v>28</v>
      </c>
      <c r="I63" s="2" t="s">
        <v>29</v>
      </c>
      <c r="J63" s="2" t="s">
        <v>100</v>
      </c>
      <c r="K63" s="2" t="s">
        <v>72</v>
      </c>
      <c r="L63" s="3">
        <v>1134</v>
      </c>
      <c r="M63">
        <v>77</v>
      </c>
      <c r="N63" s="3">
        <v>87318</v>
      </c>
      <c r="O63" t="str">
        <f t="shared" si="0"/>
        <v>No</v>
      </c>
      <c r="U63" s="1"/>
      <c r="W63" s="2"/>
      <c r="X63" s="2"/>
      <c r="Y63" s="2"/>
      <c r="Z63" s="2"/>
      <c r="AD63" s="2"/>
      <c r="AE63" s="2"/>
      <c r="AF63" s="2"/>
      <c r="AG63" s="2"/>
      <c r="AH63" s="3"/>
      <c r="AJ63" s="3"/>
    </row>
    <row r="64" spans="1:36" x14ac:dyDescent="0.25">
      <c r="A64">
        <v>63</v>
      </c>
      <c r="B64" s="1">
        <v>44034</v>
      </c>
      <c r="C64">
        <v>807667000</v>
      </c>
      <c r="D64" s="2" t="s">
        <v>24</v>
      </c>
      <c r="E64" s="2" t="s">
        <v>25</v>
      </c>
      <c r="F64" s="2" t="s">
        <v>26</v>
      </c>
      <c r="G64" s="2" t="s">
        <v>27</v>
      </c>
      <c r="H64" s="2" t="s">
        <v>28</v>
      </c>
      <c r="I64" s="2" t="s">
        <v>29</v>
      </c>
      <c r="J64" s="2" t="s">
        <v>101</v>
      </c>
      <c r="K64" s="2" t="s">
        <v>102</v>
      </c>
      <c r="L64" s="3">
        <v>98</v>
      </c>
      <c r="M64">
        <v>37</v>
      </c>
      <c r="N64" s="3">
        <v>3626</v>
      </c>
      <c r="O64" t="str">
        <f t="shared" si="0"/>
        <v>Si</v>
      </c>
      <c r="U64" s="1"/>
      <c r="W64" s="2"/>
      <c r="X64" s="2"/>
      <c r="Y64" s="2"/>
      <c r="Z64" s="2"/>
      <c r="AD64" s="2"/>
      <c r="AE64" s="2"/>
      <c r="AF64" s="2"/>
      <c r="AG64" s="2"/>
      <c r="AH64" s="3"/>
      <c r="AJ64" s="3"/>
    </row>
    <row r="65" spans="1:36" x14ac:dyDescent="0.25">
      <c r="A65">
        <v>64</v>
      </c>
      <c r="B65" s="1">
        <v>44117</v>
      </c>
      <c r="C65">
        <v>4320869422</v>
      </c>
      <c r="D65" s="2" t="s">
        <v>35</v>
      </c>
      <c r="E65" s="2" t="s">
        <v>36</v>
      </c>
      <c r="F65" s="2" t="s">
        <v>37</v>
      </c>
      <c r="G65" s="2" t="s">
        <v>38</v>
      </c>
      <c r="H65" s="2" t="s">
        <v>39</v>
      </c>
      <c r="I65" s="2" t="s">
        <v>29</v>
      </c>
      <c r="J65" s="2" t="s">
        <v>87</v>
      </c>
      <c r="K65" s="2" t="s">
        <v>88</v>
      </c>
      <c r="L65" s="3">
        <v>487.2</v>
      </c>
      <c r="M65">
        <v>63</v>
      </c>
      <c r="N65" s="3">
        <v>30693.599999999999</v>
      </c>
      <c r="O65" t="str">
        <f t="shared" si="0"/>
        <v>No</v>
      </c>
      <c r="U65" s="1"/>
      <c r="W65" s="2"/>
      <c r="X65" s="2"/>
      <c r="Y65" s="2"/>
      <c r="Z65" s="2"/>
      <c r="AD65" s="2"/>
      <c r="AE65" s="2"/>
      <c r="AF65" s="2"/>
      <c r="AG65" s="2"/>
      <c r="AH65" s="3"/>
      <c r="AJ65" s="3"/>
    </row>
    <row r="66" spans="1:36" x14ac:dyDescent="0.25">
      <c r="A66">
        <v>65</v>
      </c>
      <c r="B66" s="1">
        <v>44174</v>
      </c>
      <c r="C66">
        <v>7227542762</v>
      </c>
      <c r="D66" s="2" t="s">
        <v>48</v>
      </c>
      <c r="E66" s="2" t="s">
        <v>49</v>
      </c>
      <c r="F66" s="2" t="s">
        <v>50</v>
      </c>
      <c r="G66" s="2" t="s">
        <v>17</v>
      </c>
      <c r="H66" s="2" t="s">
        <v>18</v>
      </c>
      <c r="I66" s="2" t="s">
        <v>51</v>
      </c>
      <c r="J66" s="2" t="s">
        <v>89</v>
      </c>
      <c r="K66" s="2" t="s">
        <v>74</v>
      </c>
      <c r="L66" s="3">
        <v>140</v>
      </c>
      <c r="M66">
        <v>48</v>
      </c>
      <c r="N66" s="3">
        <v>6720</v>
      </c>
      <c r="O66" t="str">
        <f t="shared" ref="O66:O129" si="1">IF(ISEVEN(ROW()),"Si","No")</f>
        <v>Si</v>
      </c>
      <c r="U66" s="1"/>
      <c r="W66" s="2"/>
      <c r="X66" s="2"/>
      <c r="Y66" s="2"/>
      <c r="Z66" s="2"/>
      <c r="AD66" s="2"/>
      <c r="AE66" s="2"/>
      <c r="AF66" s="2"/>
      <c r="AG66" s="2"/>
      <c r="AH66" s="3"/>
      <c r="AJ66" s="3"/>
    </row>
    <row r="67" spans="1:36" x14ac:dyDescent="0.25">
      <c r="A67">
        <v>66</v>
      </c>
      <c r="B67" s="1">
        <v>43890</v>
      </c>
      <c r="C67">
        <v>4844854212</v>
      </c>
      <c r="D67" s="2" t="s">
        <v>48</v>
      </c>
      <c r="E67" s="2" t="s">
        <v>49</v>
      </c>
      <c r="F67" s="2" t="s">
        <v>50</v>
      </c>
      <c r="G67" s="2" t="s">
        <v>17</v>
      </c>
      <c r="H67" s="2" t="s">
        <v>18</v>
      </c>
      <c r="I67" s="2" t="s">
        <v>51</v>
      </c>
      <c r="J67" s="2" t="s">
        <v>58</v>
      </c>
      <c r="K67" s="2" t="s">
        <v>59</v>
      </c>
      <c r="L67" s="3">
        <v>560</v>
      </c>
      <c r="M67">
        <v>71</v>
      </c>
      <c r="N67" s="3">
        <v>39760</v>
      </c>
      <c r="O67" t="str">
        <f t="shared" si="1"/>
        <v>No</v>
      </c>
      <c r="U67" s="1"/>
      <c r="W67" s="2"/>
      <c r="X67" s="2"/>
      <c r="Y67" s="2"/>
      <c r="Z67" s="2"/>
      <c r="AD67" s="2"/>
      <c r="AE67" s="2"/>
      <c r="AF67" s="2"/>
      <c r="AG67" s="2"/>
      <c r="AH67" s="3"/>
      <c r="AJ67" s="3"/>
    </row>
    <row r="68" spans="1:36" x14ac:dyDescent="0.25">
      <c r="A68">
        <v>67</v>
      </c>
      <c r="B68" s="1">
        <v>43945</v>
      </c>
      <c r="C68">
        <v>6476704094</v>
      </c>
      <c r="D68" s="2" t="s">
        <v>64</v>
      </c>
      <c r="E68" s="2" t="s">
        <v>65</v>
      </c>
      <c r="F68" s="2" t="s">
        <v>65</v>
      </c>
      <c r="G68" s="2" t="s">
        <v>66</v>
      </c>
      <c r="H68" s="2" t="s">
        <v>18</v>
      </c>
      <c r="I68" s="2" t="s">
        <v>29</v>
      </c>
      <c r="J68" s="2" t="s">
        <v>91</v>
      </c>
      <c r="K68" s="2" t="s">
        <v>23</v>
      </c>
      <c r="L68" s="3">
        <v>140</v>
      </c>
      <c r="M68">
        <v>55</v>
      </c>
      <c r="N68" s="3">
        <v>7700</v>
      </c>
      <c r="O68" t="str">
        <f t="shared" si="1"/>
        <v>Si</v>
      </c>
      <c r="U68" s="1"/>
      <c r="W68" s="2"/>
      <c r="X68" s="2"/>
      <c r="Y68" s="2"/>
      <c r="Z68" s="2"/>
      <c r="AD68" s="2"/>
      <c r="AE68" s="2"/>
      <c r="AF68" s="2"/>
      <c r="AG68" s="2"/>
      <c r="AH68" s="3"/>
      <c r="AJ68" s="3"/>
    </row>
    <row r="69" spans="1:36" x14ac:dyDescent="0.25">
      <c r="A69">
        <v>68</v>
      </c>
      <c r="B69" s="1">
        <v>44052</v>
      </c>
      <c r="C69">
        <v>289513623</v>
      </c>
      <c r="D69" s="2" t="s">
        <v>64</v>
      </c>
      <c r="E69" s="2" t="s">
        <v>65</v>
      </c>
      <c r="F69" s="2" t="s">
        <v>65</v>
      </c>
      <c r="G69" s="2" t="s">
        <v>66</v>
      </c>
      <c r="H69" s="2" t="s">
        <v>28</v>
      </c>
      <c r="I69" s="2" t="s">
        <v>70</v>
      </c>
      <c r="J69" s="2" t="s">
        <v>22</v>
      </c>
      <c r="K69" s="2" t="s">
        <v>23</v>
      </c>
      <c r="L69" s="3">
        <v>49</v>
      </c>
      <c r="M69">
        <v>21</v>
      </c>
      <c r="N69" s="3">
        <v>1029</v>
      </c>
      <c r="O69" t="str">
        <f t="shared" si="1"/>
        <v>No</v>
      </c>
      <c r="U69" s="1"/>
      <c r="W69" s="2"/>
      <c r="X69" s="2"/>
      <c r="Y69" s="2"/>
      <c r="Z69" s="2"/>
      <c r="AD69" s="2"/>
      <c r="AE69" s="2"/>
      <c r="AF69" s="2"/>
      <c r="AG69" s="2"/>
      <c r="AH69" s="3"/>
      <c r="AJ69" s="3"/>
    </row>
    <row r="70" spans="1:36" x14ac:dyDescent="0.25">
      <c r="A70">
        <v>69</v>
      </c>
      <c r="B70" s="1">
        <v>44115</v>
      </c>
      <c r="C70">
        <v>4360909288</v>
      </c>
      <c r="D70" s="2" t="s">
        <v>75</v>
      </c>
      <c r="E70" s="2" t="s">
        <v>76</v>
      </c>
      <c r="F70" s="2" t="s">
        <v>77</v>
      </c>
      <c r="G70" s="2" t="s">
        <v>63</v>
      </c>
      <c r="H70" s="2" t="s">
        <v>39</v>
      </c>
      <c r="I70" s="2" t="s">
        <v>70</v>
      </c>
      <c r="J70" s="2" t="s">
        <v>58</v>
      </c>
      <c r="K70" s="2" t="s">
        <v>59</v>
      </c>
      <c r="L70" s="3">
        <v>560</v>
      </c>
      <c r="M70">
        <v>67</v>
      </c>
      <c r="N70" s="3">
        <v>37520</v>
      </c>
      <c r="O70" t="str">
        <f t="shared" si="1"/>
        <v>Si</v>
      </c>
      <c r="U70" s="1"/>
      <c r="W70" s="2"/>
      <c r="X70" s="2"/>
      <c r="Y70" s="2"/>
      <c r="Z70" s="2"/>
      <c r="AD70" s="2"/>
      <c r="AE70" s="2"/>
      <c r="AF70" s="2"/>
      <c r="AG70" s="2"/>
      <c r="AH70" s="3"/>
      <c r="AJ70" s="3"/>
    </row>
    <row r="71" spans="1:36" x14ac:dyDescent="0.25">
      <c r="A71">
        <v>70</v>
      </c>
      <c r="B71" s="1">
        <v>43966</v>
      </c>
      <c r="C71">
        <v>1569352924</v>
      </c>
      <c r="D71" s="2" t="s">
        <v>78</v>
      </c>
      <c r="E71" s="2" t="s">
        <v>79</v>
      </c>
      <c r="F71" s="2" t="s">
        <v>80</v>
      </c>
      <c r="G71" s="2" t="s">
        <v>38</v>
      </c>
      <c r="H71" s="2" t="s">
        <v>39</v>
      </c>
      <c r="I71" s="2" t="s">
        <v>70</v>
      </c>
      <c r="J71" s="2" t="s">
        <v>81</v>
      </c>
      <c r="K71" s="2" t="s">
        <v>82</v>
      </c>
      <c r="L71" s="3">
        <v>257.60000000000002</v>
      </c>
      <c r="M71">
        <v>75</v>
      </c>
      <c r="N71" s="3">
        <v>19320</v>
      </c>
      <c r="O71" t="str">
        <f t="shared" si="1"/>
        <v>No</v>
      </c>
      <c r="U71" s="1"/>
      <c r="W71" s="2"/>
      <c r="X71" s="2"/>
      <c r="Y71" s="2"/>
      <c r="Z71" s="2"/>
      <c r="AD71" s="2"/>
      <c r="AE71" s="2"/>
      <c r="AF71" s="2"/>
      <c r="AG71" s="2"/>
      <c r="AH71" s="3"/>
      <c r="AJ71" s="3"/>
    </row>
    <row r="72" spans="1:36" x14ac:dyDescent="0.25">
      <c r="A72">
        <v>71</v>
      </c>
      <c r="B72" s="1">
        <v>43962</v>
      </c>
      <c r="C72">
        <v>4417023777</v>
      </c>
      <c r="D72" s="2" t="s">
        <v>60</v>
      </c>
      <c r="E72" s="2" t="s">
        <v>61</v>
      </c>
      <c r="F72" s="2" t="s">
        <v>62</v>
      </c>
      <c r="G72" s="2" t="s">
        <v>63</v>
      </c>
      <c r="H72" s="2" t="s">
        <v>39</v>
      </c>
      <c r="I72" s="2" t="s">
        <v>29</v>
      </c>
      <c r="J72" s="2" t="s">
        <v>34</v>
      </c>
      <c r="K72" s="2" t="s">
        <v>21</v>
      </c>
      <c r="L72" s="3">
        <v>644</v>
      </c>
      <c r="M72">
        <v>17</v>
      </c>
      <c r="N72" s="3">
        <v>10948</v>
      </c>
      <c r="O72" t="str">
        <f t="shared" si="1"/>
        <v>Si</v>
      </c>
      <c r="U72" s="1"/>
      <c r="W72" s="2"/>
      <c r="X72" s="2"/>
      <c r="Y72" s="2"/>
      <c r="Z72" s="2"/>
      <c r="AD72" s="2"/>
      <c r="AE72" s="2"/>
      <c r="AF72" s="2"/>
      <c r="AG72" s="2"/>
      <c r="AH72" s="3"/>
      <c r="AJ72" s="3"/>
    </row>
    <row r="73" spans="1:36" x14ac:dyDescent="0.25">
      <c r="A73">
        <v>72</v>
      </c>
      <c r="B73" s="1">
        <v>43845</v>
      </c>
      <c r="C73">
        <v>5213348963</v>
      </c>
      <c r="D73" s="2" t="s">
        <v>24</v>
      </c>
      <c r="E73" s="2" t="s">
        <v>25</v>
      </c>
      <c r="F73" s="2" t="s">
        <v>26</v>
      </c>
      <c r="G73" s="2" t="s">
        <v>27</v>
      </c>
      <c r="H73" s="2" t="s">
        <v>28</v>
      </c>
      <c r="I73" s="2" t="s">
        <v>29</v>
      </c>
      <c r="J73" s="2" t="s">
        <v>22</v>
      </c>
      <c r="K73" s="2" t="s">
        <v>23</v>
      </c>
      <c r="L73" s="3">
        <v>49</v>
      </c>
      <c r="M73">
        <v>48</v>
      </c>
      <c r="N73" s="3">
        <v>2352</v>
      </c>
      <c r="O73" t="str">
        <f t="shared" si="1"/>
        <v>No</v>
      </c>
      <c r="U73" s="1"/>
      <c r="W73" s="2"/>
      <c r="X73" s="2"/>
      <c r="Y73" s="2"/>
      <c r="Z73" s="2"/>
      <c r="AD73" s="2"/>
      <c r="AE73" s="2"/>
      <c r="AF73" s="2"/>
      <c r="AG73" s="2"/>
      <c r="AH73" s="3"/>
      <c r="AJ73" s="3"/>
    </row>
    <row r="74" spans="1:36" x14ac:dyDescent="0.25">
      <c r="A74">
        <v>73</v>
      </c>
      <c r="B74" s="1">
        <v>44010</v>
      </c>
      <c r="C74">
        <v>6039525395</v>
      </c>
      <c r="D74" s="2" t="s">
        <v>32</v>
      </c>
      <c r="E74" s="2" t="s">
        <v>15</v>
      </c>
      <c r="F74" s="2" t="s">
        <v>16</v>
      </c>
      <c r="G74" s="2" t="s">
        <v>17</v>
      </c>
      <c r="H74" s="2" t="s">
        <v>18</v>
      </c>
      <c r="I74" s="2" t="s">
        <v>29</v>
      </c>
      <c r="J74" s="2" t="s">
        <v>33</v>
      </c>
      <c r="K74" s="2" t="s">
        <v>21</v>
      </c>
      <c r="L74" s="3">
        <v>252</v>
      </c>
      <c r="M74">
        <v>74</v>
      </c>
      <c r="N74" s="3">
        <v>18648</v>
      </c>
      <c r="O74" t="str">
        <f t="shared" si="1"/>
        <v>Si</v>
      </c>
      <c r="U74" s="1"/>
      <c r="W74" s="2"/>
      <c r="X74" s="2"/>
      <c r="Y74" s="2"/>
      <c r="Z74" s="2"/>
      <c r="AD74" s="2"/>
      <c r="AE74" s="2"/>
      <c r="AF74" s="2"/>
      <c r="AG74" s="2"/>
      <c r="AH74" s="3"/>
      <c r="AJ74" s="3"/>
    </row>
    <row r="75" spans="1:36" x14ac:dyDescent="0.25">
      <c r="A75">
        <v>74</v>
      </c>
      <c r="B75" s="1">
        <v>44123</v>
      </c>
      <c r="C75">
        <v>7564866770</v>
      </c>
      <c r="D75" s="2" t="s">
        <v>32</v>
      </c>
      <c r="E75" s="2" t="s">
        <v>15</v>
      </c>
      <c r="F75" s="2" t="s">
        <v>16</v>
      </c>
      <c r="G75" s="2" t="s">
        <v>17</v>
      </c>
      <c r="H75" s="2" t="s">
        <v>18</v>
      </c>
      <c r="I75" s="2" t="s">
        <v>29</v>
      </c>
      <c r="J75" s="2" t="s">
        <v>34</v>
      </c>
      <c r="K75" s="2" t="s">
        <v>21</v>
      </c>
      <c r="L75" s="3">
        <v>644</v>
      </c>
      <c r="M75">
        <v>96</v>
      </c>
      <c r="N75" s="3">
        <v>61824</v>
      </c>
      <c r="O75" t="str">
        <f t="shared" si="1"/>
        <v>No</v>
      </c>
      <c r="U75" s="1"/>
      <c r="W75" s="2"/>
      <c r="X75" s="2"/>
      <c r="Y75" s="2"/>
      <c r="Z75" s="2"/>
      <c r="AD75" s="2"/>
      <c r="AE75" s="2"/>
      <c r="AF75" s="2"/>
      <c r="AG75" s="2"/>
      <c r="AH75" s="3"/>
      <c r="AJ75" s="3"/>
    </row>
    <row r="76" spans="1:36" x14ac:dyDescent="0.25">
      <c r="A76">
        <v>75</v>
      </c>
      <c r="B76" s="1">
        <v>43976</v>
      </c>
      <c r="C76">
        <v>9161740728</v>
      </c>
      <c r="D76" s="2" t="s">
        <v>35</v>
      </c>
      <c r="E76" s="2" t="s">
        <v>36</v>
      </c>
      <c r="F76" s="2" t="s">
        <v>37</v>
      </c>
      <c r="G76" s="2" t="s">
        <v>38</v>
      </c>
      <c r="H76" s="2" t="s">
        <v>39</v>
      </c>
      <c r="I76" s="2" t="s">
        <v>29</v>
      </c>
      <c r="J76" s="2" t="s">
        <v>40</v>
      </c>
      <c r="K76" s="2" t="s">
        <v>41</v>
      </c>
      <c r="L76" s="3">
        <v>128.80000000000001</v>
      </c>
      <c r="M76">
        <v>12</v>
      </c>
      <c r="N76" s="3">
        <v>1545.6</v>
      </c>
      <c r="O76" t="str">
        <f t="shared" si="1"/>
        <v>Si</v>
      </c>
      <c r="U76" s="1"/>
      <c r="W76" s="2"/>
      <c r="X76" s="2"/>
      <c r="Y76" s="2"/>
      <c r="Z76" s="2"/>
      <c r="AD76" s="2"/>
      <c r="AE76" s="2"/>
      <c r="AF76" s="2"/>
      <c r="AG76" s="2"/>
      <c r="AH76" s="3"/>
      <c r="AJ76" s="3"/>
    </row>
    <row r="77" spans="1:36" x14ac:dyDescent="0.25">
      <c r="A77">
        <v>76</v>
      </c>
      <c r="B77" s="1">
        <v>43939</v>
      </c>
      <c r="C77">
        <v>5854661633</v>
      </c>
      <c r="D77" s="2" t="s">
        <v>24</v>
      </c>
      <c r="E77" s="2" t="s">
        <v>25</v>
      </c>
      <c r="F77" s="2" t="s">
        <v>26</v>
      </c>
      <c r="G77" s="2" t="s">
        <v>27</v>
      </c>
      <c r="H77" s="2" t="s">
        <v>39</v>
      </c>
      <c r="I77" s="2" t="s">
        <v>19</v>
      </c>
      <c r="J77" s="2" t="s">
        <v>40</v>
      </c>
      <c r="K77" s="2" t="s">
        <v>41</v>
      </c>
      <c r="L77" s="3">
        <v>128.80000000000001</v>
      </c>
      <c r="M77">
        <v>62</v>
      </c>
      <c r="N77" s="3">
        <v>7985.6</v>
      </c>
      <c r="O77" t="str">
        <f t="shared" si="1"/>
        <v>No</v>
      </c>
      <c r="U77" s="1"/>
      <c r="W77" s="2"/>
      <c r="X77" s="2"/>
      <c r="Y77" s="2"/>
      <c r="Z77" s="2"/>
      <c r="AD77" s="2"/>
      <c r="AE77" s="2"/>
      <c r="AF77" s="2"/>
      <c r="AG77" s="2"/>
      <c r="AH77" s="3"/>
      <c r="AJ77" s="3"/>
    </row>
    <row r="78" spans="1:36" x14ac:dyDescent="0.25">
      <c r="A78">
        <v>77</v>
      </c>
      <c r="B78" s="1">
        <v>43995</v>
      </c>
      <c r="C78">
        <v>9782824487</v>
      </c>
      <c r="D78" s="2" t="s">
        <v>42</v>
      </c>
      <c r="E78" s="2" t="s">
        <v>43</v>
      </c>
      <c r="F78" s="2" t="s">
        <v>44</v>
      </c>
      <c r="G78" s="2" t="s">
        <v>45</v>
      </c>
      <c r="H78" s="2" t="s">
        <v>18</v>
      </c>
      <c r="I78" s="2" t="s">
        <v>19</v>
      </c>
      <c r="J78" s="2" t="s">
        <v>46</v>
      </c>
      <c r="K78" s="2" t="s">
        <v>47</v>
      </c>
      <c r="L78" s="3">
        <v>178.5</v>
      </c>
      <c r="M78">
        <v>35</v>
      </c>
      <c r="N78" s="3">
        <v>6247.5</v>
      </c>
      <c r="O78" t="str">
        <f t="shared" si="1"/>
        <v>Si</v>
      </c>
      <c r="U78" s="1"/>
      <c r="W78" s="2"/>
      <c r="X78" s="2"/>
      <c r="Y78" s="2"/>
      <c r="Z78" s="2"/>
      <c r="AD78" s="2"/>
      <c r="AE78" s="2"/>
      <c r="AF78" s="2"/>
      <c r="AG78" s="2"/>
      <c r="AH78" s="3"/>
      <c r="AJ78" s="3"/>
    </row>
    <row r="79" spans="1:36" x14ac:dyDescent="0.25">
      <c r="A79">
        <v>78</v>
      </c>
      <c r="B79" s="1">
        <v>43888</v>
      </c>
      <c r="C79">
        <v>5368581132</v>
      </c>
      <c r="D79" s="2" t="s">
        <v>48</v>
      </c>
      <c r="E79" s="2" t="s">
        <v>49</v>
      </c>
      <c r="F79" s="2" t="s">
        <v>50</v>
      </c>
      <c r="G79" s="2" t="s">
        <v>17</v>
      </c>
      <c r="H79" s="2" t="s">
        <v>18</v>
      </c>
      <c r="I79" s="2" t="s">
        <v>51</v>
      </c>
      <c r="J79" s="2" t="s">
        <v>52</v>
      </c>
      <c r="K79" s="2" t="s">
        <v>53</v>
      </c>
      <c r="L79" s="3">
        <v>135.1</v>
      </c>
      <c r="M79">
        <v>95</v>
      </c>
      <c r="N79" s="3">
        <v>12834.5</v>
      </c>
      <c r="O79" t="str">
        <f t="shared" si="1"/>
        <v>No</v>
      </c>
      <c r="U79" s="1"/>
      <c r="W79" s="2"/>
      <c r="X79" s="2"/>
      <c r="Y79" s="2"/>
      <c r="Z79" s="2"/>
      <c r="AD79" s="2"/>
      <c r="AE79" s="2"/>
      <c r="AF79" s="2"/>
      <c r="AG79" s="2"/>
      <c r="AH79" s="3"/>
      <c r="AJ79" s="3"/>
    </row>
    <row r="80" spans="1:36" x14ac:dyDescent="0.25">
      <c r="A80">
        <v>79</v>
      </c>
      <c r="B80" s="1">
        <v>43991</v>
      </c>
      <c r="C80">
        <v>1972466220</v>
      </c>
      <c r="D80" s="2" t="s">
        <v>54</v>
      </c>
      <c r="E80" s="2" t="s">
        <v>55</v>
      </c>
      <c r="F80" s="2" t="s">
        <v>56</v>
      </c>
      <c r="G80" s="2" t="s">
        <v>57</v>
      </c>
      <c r="H80" s="2" t="s">
        <v>18</v>
      </c>
      <c r="I80" s="2" t="s">
        <v>29</v>
      </c>
      <c r="J80" s="2" t="s">
        <v>58</v>
      </c>
      <c r="K80" s="2" t="s">
        <v>59</v>
      </c>
      <c r="L80" s="3">
        <v>560</v>
      </c>
      <c r="M80">
        <v>17</v>
      </c>
      <c r="N80" s="3">
        <v>9520</v>
      </c>
      <c r="O80" t="str">
        <f t="shared" si="1"/>
        <v>Si</v>
      </c>
      <c r="U80" s="1"/>
      <c r="W80" s="2"/>
      <c r="X80" s="2"/>
      <c r="Y80" s="2"/>
      <c r="Z80" s="2"/>
      <c r="AD80" s="2"/>
      <c r="AE80" s="2"/>
      <c r="AF80" s="2"/>
      <c r="AG80" s="2"/>
      <c r="AH80" s="3"/>
      <c r="AJ80" s="3"/>
    </row>
    <row r="81" spans="1:36" x14ac:dyDescent="0.25">
      <c r="A81">
        <v>80</v>
      </c>
      <c r="B81" s="1">
        <v>44149</v>
      </c>
      <c r="C81">
        <v>6835780904</v>
      </c>
      <c r="D81" s="2" t="s">
        <v>60</v>
      </c>
      <c r="E81" s="2" t="s">
        <v>61</v>
      </c>
      <c r="F81" s="2" t="s">
        <v>62</v>
      </c>
      <c r="G81" s="2" t="s">
        <v>63</v>
      </c>
      <c r="H81" s="2" t="s">
        <v>39</v>
      </c>
      <c r="I81" s="2" t="s">
        <v>19</v>
      </c>
      <c r="J81" s="2" t="s">
        <v>34</v>
      </c>
      <c r="K81" s="2" t="s">
        <v>21</v>
      </c>
      <c r="L81" s="3">
        <v>644</v>
      </c>
      <c r="M81">
        <v>96</v>
      </c>
      <c r="N81" s="3">
        <v>61824</v>
      </c>
      <c r="O81" t="str">
        <f t="shared" si="1"/>
        <v>No</v>
      </c>
      <c r="U81" s="1"/>
      <c r="W81" s="2"/>
      <c r="X81" s="2"/>
      <c r="Y81" s="2"/>
      <c r="Z81" s="2"/>
      <c r="AD81" s="2"/>
      <c r="AE81" s="2"/>
      <c r="AF81" s="2"/>
      <c r="AG81" s="2"/>
      <c r="AH81" s="3"/>
      <c r="AJ81" s="3"/>
    </row>
    <row r="82" spans="1:36" x14ac:dyDescent="0.25">
      <c r="A82">
        <v>81</v>
      </c>
      <c r="B82" s="1">
        <v>44029</v>
      </c>
      <c r="C82">
        <v>9361876990</v>
      </c>
      <c r="D82" s="2" t="s">
        <v>35</v>
      </c>
      <c r="E82" s="2" t="s">
        <v>36</v>
      </c>
      <c r="F82" s="2" t="s">
        <v>37</v>
      </c>
      <c r="G82" s="2" t="s">
        <v>38</v>
      </c>
      <c r="H82" s="2" t="s">
        <v>39</v>
      </c>
      <c r="I82" s="2" t="s">
        <v>19</v>
      </c>
      <c r="J82" s="2" t="s">
        <v>46</v>
      </c>
      <c r="K82" s="2" t="s">
        <v>47</v>
      </c>
      <c r="L82" s="3">
        <v>178.5</v>
      </c>
      <c r="M82">
        <v>83</v>
      </c>
      <c r="N82" s="3">
        <v>14815.5</v>
      </c>
      <c r="O82" t="str">
        <f t="shared" si="1"/>
        <v>Si</v>
      </c>
      <c r="U82" s="1"/>
      <c r="W82" s="2"/>
      <c r="X82" s="2"/>
      <c r="Y82" s="2"/>
      <c r="Z82" s="2"/>
      <c r="AD82" s="2"/>
      <c r="AE82" s="2"/>
      <c r="AF82" s="2"/>
      <c r="AG82" s="2"/>
      <c r="AH82" s="3"/>
      <c r="AJ82" s="3"/>
    </row>
    <row r="83" spans="1:36" x14ac:dyDescent="0.25">
      <c r="A83">
        <v>82</v>
      </c>
      <c r="B83" s="1">
        <v>43831</v>
      </c>
      <c r="C83">
        <v>7655628230</v>
      </c>
      <c r="D83" s="2" t="s">
        <v>64</v>
      </c>
      <c r="E83" s="2" t="s">
        <v>65</v>
      </c>
      <c r="F83" s="2" t="s">
        <v>65</v>
      </c>
      <c r="G83" s="2" t="s">
        <v>66</v>
      </c>
      <c r="H83" s="2" t="s">
        <v>18</v>
      </c>
      <c r="I83" s="2" t="s">
        <v>29</v>
      </c>
      <c r="J83" s="2" t="s">
        <v>67</v>
      </c>
      <c r="K83" s="2" t="s">
        <v>21</v>
      </c>
      <c r="L83" s="3">
        <v>41.86</v>
      </c>
      <c r="M83">
        <v>88</v>
      </c>
      <c r="N83" s="3">
        <v>3683.68</v>
      </c>
      <c r="O83" t="str">
        <f t="shared" si="1"/>
        <v>No</v>
      </c>
      <c r="U83" s="1"/>
      <c r="W83" s="2"/>
      <c r="X83" s="2"/>
      <c r="Y83" s="2"/>
      <c r="Z83" s="2"/>
      <c r="AD83" s="2"/>
      <c r="AE83" s="2"/>
      <c r="AF83" s="2"/>
      <c r="AG83" s="2"/>
      <c r="AH83" s="3"/>
      <c r="AJ83" s="3"/>
    </row>
    <row r="84" spans="1:36" x14ac:dyDescent="0.25">
      <c r="A84">
        <v>83</v>
      </c>
      <c r="B84" s="1">
        <v>43952</v>
      </c>
      <c r="C84">
        <v>6770397729</v>
      </c>
      <c r="D84" s="2" t="s">
        <v>68</v>
      </c>
      <c r="E84" s="2" t="s">
        <v>69</v>
      </c>
      <c r="F84" s="2" t="s">
        <v>69</v>
      </c>
      <c r="G84" s="2" t="s">
        <v>38</v>
      </c>
      <c r="H84" s="2" t="s">
        <v>70</v>
      </c>
      <c r="I84" s="2" t="s">
        <v>70</v>
      </c>
      <c r="J84" s="2" t="s">
        <v>34</v>
      </c>
      <c r="K84" s="2" t="s">
        <v>21</v>
      </c>
      <c r="L84" s="3">
        <v>644</v>
      </c>
      <c r="M84">
        <v>59</v>
      </c>
      <c r="N84" s="3">
        <v>37996</v>
      </c>
      <c r="O84" t="str">
        <f t="shared" si="1"/>
        <v>Si</v>
      </c>
      <c r="U84" s="1"/>
      <c r="W84" s="2"/>
      <c r="X84" s="2"/>
      <c r="Y84" s="2"/>
      <c r="Z84" s="2"/>
      <c r="AD84" s="2"/>
      <c r="AE84" s="2"/>
      <c r="AF84" s="2"/>
      <c r="AG84" s="2"/>
      <c r="AH84" s="3"/>
      <c r="AJ84" s="3"/>
    </row>
    <row r="85" spans="1:36" x14ac:dyDescent="0.25">
      <c r="A85">
        <v>84</v>
      </c>
      <c r="B85" s="1">
        <v>44099</v>
      </c>
      <c r="C85">
        <v>6622149015</v>
      </c>
      <c r="D85" s="2" t="s">
        <v>64</v>
      </c>
      <c r="E85" s="2" t="s">
        <v>65</v>
      </c>
      <c r="F85" s="2" t="s">
        <v>65</v>
      </c>
      <c r="G85" s="2" t="s">
        <v>66</v>
      </c>
      <c r="H85" s="2" t="s">
        <v>28</v>
      </c>
      <c r="I85" s="2" t="s">
        <v>70</v>
      </c>
      <c r="J85" s="2" t="s">
        <v>71</v>
      </c>
      <c r="K85" s="2" t="s">
        <v>72</v>
      </c>
      <c r="L85" s="3">
        <v>350</v>
      </c>
      <c r="M85">
        <v>27</v>
      </c>
      <c r="N85" s="3">
        <v>9450</v>
      </c>
      <c r="O85" t="str">
        <f t="shared" si="1"/>
        <v>No</v>
      </c>
      <c r="U85" s="1"/>
      <c r="W85" s="2"/>
      <c r="X85" s="2"/>
      <c r="Y85" s="2"/>
      <c r="Z85" s="2"/>
      <c r="AD85" s="2"/>
      <c r="AE85" s="2"/>
      <c r="AF85" s="2"/>
      <c r="AG85" s="2"/>
      <c r="AH85" s="3"/>
      <c r="AJ85" s="3"/>
    </row>
    <row r="86" spans="1:36" x14ac:dyDescent="0.25">
      <c r="A86">
        <v>85</v>
      </c>
      <c r="B86" s="1">
        <v>44071</v>
      </c>
      <c r="C86">
        <v>8859429908</v>
      </c>
      <c r="D86" s="2" t="s">
        <v>64</v>
      </c>
      <c r="E86" s="2" t="s">
        <v>65</v>
      </c>
      <c r="F86" s="2" t="s">
        <v>65</v>
      </c>
      <c r="G86" s="2" t="s">
        <v>66</v>
      </c>
      <c r="H86" s="2" t="s">
        <v>28</v>
      </c>
      <c r="I86" s="2" t="s">
        <v>70</v>
      </c>
      <c r="J86" s="2" t="s">
        <v>73</v>
      </c>
      <c r="K86" s="2" t="s">
        <v>74</v>
      </c>
      <c r="L86" s="3">
        <v>308</v>
      </c>
      <c r="M86">
        <v>37</v>
      </c>
      <c r="N86" s="3">
        <v>11396</v>
      </c>
      <c r="O86" t="str">
        <f t="shared" si="1"/>
        <v>Si</v>
      </c>
      <c r="U86" s="1"/>
      <c r="W86" s="2"/>
      <c r="X86" s="2"/>
      <c r="Y86" s="2"/>
      <c r="Z86" s="2"/>
      <c r="AD86" s="2"/>
      <c r="AE86" s="2"/>
      <c r="AF86" s="2"/>
      <c r="AG86" s="2"/>
      <c r="AH86" s="3"/>
      <c r="AJ86" s="3"/>
    </row>
    <row r="87" spans="1:36" x14ac:dyDescent="0.25">
      <c r="A87">
        <v>86</v>
      </c>
      <c r="B87" s="1">
        <v>44104</v>
      </c>
      <c r="C87">
        <v>146252536</v>
      </c>
      <c r="D87" s="2" t="s">
        <v>64</v>
      </c>
      <c r="E87" s="2" t="s">
        <v>65</v>
      </c>
      <c r="F87" s="2" t="s">
        <v>65</v>
      </c>
      <c r="G87" s="2" t="s">
        <v>66</v>
      </c>
      <c r="H87" s="2" t="s">
        <v>28</v>
      </c>
      <c r="I87" s="2" t="s">
        <v>70</v>
      </c>
      <c r="J87" s="2" t="s">
        <v>40</v>
      </c>
      <c r="K87" s="2" t="s">
        <v>41</v>
      </c>
      <c r="L87" s="3">
        <v>128.80000000000001</v>
      </c>
      <c r="M87">
        <v>75</v>
      </c>
      <c r="N87" s="3">
        <v>9660</v>
      </c>
      <c r="O87" t="str">
        <f t="shared" si="1"/>
        <v>No</v>
      </c>
      <c r="U87" s="1"/>
      <c r="W87" s="2"/>
      <c r="X87" s="2"/>
      <c r="Y87" s="2"/>
      <c r="Z87" s="2"/>
      <c r="AD87" s="2"/>
      <c r="AE87" s="2"/>
      <c r="AF87" s="2"/>
      <c r="AG87" s="2"/>
      <c r="AH87" s="3"/>
      <c r="AJ87" s="3"/>
    </row>
    <row r="88" spans="1:36" x14ac:dyDescent="0.25">
      <c r="A88">
        <v>87</v>
      </c>
      <c r="B88" s="1">
        <v>43866</v>
      </c>
      <c r="C88">
        <v>9010865731</v>
      </c>
      <c r="D88" s="2" t="s">
        <v>75</v>
      </c>
      <c r="E88" s="2" t="s">
        <v>76</v>
      </c>
      <c r="F88" s="2" t="s">
        <v>77</v>
      </c>
      <c r="G88" s="2" t="s">
        <v>63</v>
      </c>
      <c r="H88" s="2" t="s">
        <v>39</v>
      </c>
      <c r="I88" s="2" t="s">
        <v>70</v>
      </c>
      <c r="J88" s="2" t="s">
        <v>22</v>
      </c>
      <c r="K88" s="2" t="s">
        <v>23</v>
      </c>
      <c r="L88" s="3">
        <v>49</v>
      </c>
      <c r="M88">
        <v>71</v>
      </c>
      <c r="N88" s="3">
        <v>3479</v>
      </c>
      <c r="O88" t="str">
        <f t="shared" si="1"/>
        <v>Si</v>
      </c>
      <c r="U88" s="1"/>
      <c r="W88" s="2"/>
      <c r="X88" s="2"/>
      <c r="Y88" s="2"/>
      <c r="Z88" s="2"/>
      <c r="AD88" s="2"/>
      <c r="AE88" s="2"/>
      <c r="AF88" s="2"/>
      <c r="AG88" s="2"/>
      <c r="AH88" s="3"/>
      <c r="AJ88" s="3"/>
    </row>
    <row r="89" spans="1:36" x14ac:dyDescent="0.25">
      <c r="A89">
        <v>88</v>
      </c>
      <c r="B89" s="1">
        <v>44017</v>
      </c>
      <c r="C89">
        <v>9076170123</v>
      </c>
      <c r="D89" s="2" t="s">
        <v>75</v>
      </c>
      <c r="E89" s="2" t="s">
        <v>76</v>
      </c>
      <c r="F89" s="2" t="s">
        <v>77</v>
      </c>
      <c r="G89" s="2" t="s">
        <v>63</v>
      </c>
      <c r="H89" s="2" t="s">
        <v>39</v>
      </c>
      <c r="I89" s="2" t="s">
        <v>70</v>
      </c>
      <c r="J89" s="2" t="s">
        <v>67</v>
      </c>
      <c r="K89" s="2" t="s">
        <v>21</v>
      </c>
      <c r="L89" s="3">
        <v>41.86</v>
      </c>
      <c r="M89">
        <v>88</v>
      </c>
      <c r="N89" s="3">
        <v>3683.68</v>
      </c>
      <c r="O89" t="str">
        <f t="shared" si="1"/>
        <v>No</v>
      </c>
      <c r="U89" s="1"/>
      <c r="W89" s="2"/>
      <c r="X89" s="2"/>
      <c r="Y89" s="2"/>
      <c r="Z89" s="2"/>
      <c r="AD89" s="2"/>
      <c r="AE89" s="2"/>
      <c r="AF89" s="2"/>
      <c r="AG89" s="2"/>
      <c r="AH89" s="3"/>
      <c r="AJ89" s="3"/>
    </row>
    <row r="90" spans="1:36" x14ac:dyDescent="0.25">
      <c r="A90">
        <v>89</v>
      </c>
      <c r="B90" s="1">
        <v>43924</v>
      </c>
      <c r="C90">
        <v>4412491838</v>
      </c>
      <c r="D90" s="2" t="s">
        <v>78</v>
      </c>
      <c r="E90" s="2" t="s">
        <v>79</v>
      </c>
      <c r="F90" s="2" t="s">
        <v>80</v>
      </c>
      <c r="G90" s="2" t="s">
        <v>38</v>
      </c>
      <c r="H90" s="2" t="s">
        <v>70</v>
      </c>
      <c r="I90" s="2" t="s">
        <v>70</v>
      </c>
      <c r="J90" s="2" t="s">
        <v>33</v>
      </c>
      <c r="K90" s="2" t="s">
        <v>21</v>
      </c>
      <c r="L90" s="3">
        <v>252</v>
      </c>
      <c r="M90">
        <v>55</v>
      </c>
      <c r="N90" s="3">
        <v>13860</v>
      </c>
      <c r="O90" t="str">
        <f t="shared" si="1"/>
        <v>Si</v>
      </c>
      <c r="U90" s="1"/>
      <c r="W90" s="2"/>
      <c r="X90" s="2"/>
      <c r="Y90" s="2"/>
      <c r="Z90" s="2"/>
      <c r="AD90" s="2"/>
      <c r="AE90" s="2"/>
      <c r="AF90" s="2"/>
      <c r="AG90" s="2"/>
      <c r="AH90" s="3"/>
      <c r="AJ90" s="3"/>
    </row>
    <row r="91" spans="1:36" x14ac:dyDescent="0.25">
      <c r="A91">
        <v>90</v>
      </c>
      <c r="B91" s="1">
        <v>43964</v>
      </c>
      <c r="C91">
        <v>7223227521</v>
      </c>
      <c r="D91" s="2" t="s">
        <v>42</v>
      </c>
      <c r="E91" s="2" t="s">
        <v>43</v>
      </c>
      <c r="F91" s="2" t="s">
        <v>44</v>
      </c>
      <c r="G91" s="2" t="s">
        <v>45</v>
      </c>
      <c r="H91" s="2" t="s">
        <v>18</v>
      </c>
      <c r="I91" s="2" t="s">
        <v>19</v>
      </c>
      <c r="J91" s="2" t="s">
        <v>46</v>
      </c>
      <c r="K91" s="2" t="s">
        <v>47</v>
      </c>
      <c r="L91" s="3">
        <v>178.5</v>
      </c>
      <c r="M91">
        <v>14</v>
      </c>
      <c r="N91" s="3">
        <v>2499</v>
      </c>
      <c r="O91" t="str">
        <f t="shared" si="1"/>
        <v>No</v>
      </c>
      <c r="U91" s="1"/>
      <c r="W91" s="2"/>
      <c r="X91" s="2"/>
      <c r="Y91" s="2"/>
      <c r="Z91" s="2"/>
      <c r="AD91" s="2"/>
      <c r="AE91" s="2"/>
      <c r="AF91" s="2"/>
      <c r="AG91" s="2"/>
      <c r="AH91" s="3"/>
      <c r="AJ91" s="3"/>
    </row>
    <row r="92" spans="1:36" x14ac:dyDescent="0.25">
      <c r="A92">
        <v>91</v>
      </c>
      <c r="B92" s="1">
        <v>43994</v>
      </c>
      <c r="C92">
        <v>9595973394</v>
      </c>
      <c r="D92" s="2" t="s">
        <v>48</v>
      </c>
      <c r="E92" s="2" t="s">
        <v>49</v>
      </c>
      <c r="F92" s="2" t="s">
        <v>50</v>
      </c>
      <c r="G92" s="2" t="s">
        <v>17</v>
      </c>
      <c r="H92" s="2" t="s">
        <v>18</v>
      </c>
      <c r="I92" s="2" t="s">
        <v>51</v>
      </c>
      <c r="J92" s="2" t="s">
        <v>52</v>
      </c>
      <c r="K92" s="2" t="s">
        <v>53</v>
      </c>
      <c r="L92" s="3">
        <v>135.1</v>
      </c>
      <c r="M92">
        <v>43</v>
      </c>
      <c r="N92" s="3">
        <v>5809.3</v>
      </c>
      <c r="O92" t="str">
        <f t="shared" si="1"/>
        <v>Si</v>
      </c>
      <c r="U92" s="1"/>
      <c r="W92" s="2"/>
      <c r="X92" s="2"/>
      <c r="Y92" s="2"/>
      <c r="Z92" s="2"/>
      <c r="AD92" s="2"/>
      <c r="AE92" s="2"/>
      <c r="AF92" s="2"/>
      <c r="AG92" s="2"/>
      <c r="AH92" s="3"/>
      <c r="AJ92" s="3"/>
    </row>
    <row r="93" spans="1:36" x14ac:dyDescent="0.25">
      <c r="A93">
        <v>92</v>
      </c>
      <c r="B93" s="1">
        <v>43891</v>
      </c>
      <c r="C93">
        <v>2755531090</v>
      </c>
      <c r="D93" s="2" t="s">
        <v>54</v>
      </c>
      <c r="E93" s="2" t="s">
        <v>55</v>
      </c>
      <c r="F93" s="2" t="s">
        <v>56</v>
      </c>
      <c r="G93" s="2" t="s">
        <v>57</v>
      </c>
      <c r="H93" s="2" t="s">
        <v>18</v>
      </c>
      <c r="I93" s="2" t="s">
        <v>29</v>
      </c>
      <c r="J93" s="2" t="s">
        <v>58</v>
      </c>
      <c r="K93" s="2" t="s">
        <v>59</v>
      </c>
      <c r="L93" s="3">
        <v>560</v>
      </c>
      <c r="M93">
        <v>63</v>
      </c>
      <c r="N93" s="3">
        <v>35280</v>
      </c>
      <c r="O93" t="str">
        <f t="shared" si="1"/>
        <v>No</v>
      </c>
      <c r="U93" s="1"/>
      <c r="W93" s="2"/>
      <c r="X93" s="2"/>
      <c r="Y93" s="2"/>
      <c r="Z93" s="2"/>
      <c r="AD93" s="2"/>
      <c r="AE93" s="2"/>
      <c r="AF93" s="2"/>
      <c r="AG93" s="2"/>
      <c r="AH93" s="3"/>
      <c r="AJ93" s="3"/>
    </row>
    <row r="94" spans="1:36" x14ac:dyDescent="0.25">
      <c r="A94">
        <v>93</v>
      </c>
      <c r="B94" s="1">
        <v>44069</v>
      </c>
      <c r="C94">
        <v>5306800000</v>
      </c>
      <c r="D94" s="2" t="s">
        <v>60</v>
      </c>
      <c r="E94" s="2" t="s">
        <v>61</v>
      </c>
      <c r="F94" s="2" t="s">
        <v>62</v>
      </c>
      <c r="G94" s="2" t="s">
        <v>63</v>
      </c>
      <c r="H94" s="2" t="s">
        <v>39</v>
      </c>
      <c r="I94" s="2" t="s">
        <v>19</v>
      </c>
      <c r="J94" s="2" t="s">
        <v>34</v>
      </c>
      <c r="K94" s="2" t="s">
        <v>21</v>
      </c>
      <c r="L94" s="3">
        <v>644</v>
      </c>
      <c r="M94">
        <v>36</v>
      </c>
      <c r="N94" s="3">
        <v>23184</v>
      </c>
      <c r="O94" t="str">
        <f t="shared" si="1"/>
        <v>Si</v>
      </c>
      <c r="U94" s="1"/>
      <c r="W94" s="2"/>
      <c r="X94" s="2"/>
      <c r="Y94" s="2"/>
      <c r="Z94" s="2"/>
      <c r="AD94" s="2"/>
      <c r="AE94" s="2"/>
      <c r="AF94" s="2"/>
      <c r="AG94" s="2"/>
      <c r="AH94" s="3"/>
      <c r="AJ94" s="3"/>
    </row>
    <row r="95" spans="1:36" x14ac:dyDescent="0.25">
      <c r="A95">
        <v>94</v>
      </c>
      <c r="B95" s="1">
        <v>44171</v>
      </c>
      <c r="C95">
        <v>6768826719</v>
      </c>
      <c r="D95" s="2" t="s">
        <v>35</v>
      </c>
      <c r="E95" s="2" t="s">
        <v>36</v>
      </c>
      <c r="F95" s="2" t="s">
        <v>37</v>
      </c>
      <c r="G95" s="2" t="s">
        <v>38</v>
      </c>
      <c r="H95" s="2" t="s">
        <v>39</v>
      </c>
      <c r="I95" s="2" t="s">
        <v>19</v>
      </c>
      <c r="J95" s="2" t="s">
        <v>46</v>
      </c>
      <c r="K95" s="2" t="s">
        <v>47</v>
      </c>
      <c r="L95" s="3">
        <v>178.5</v>
      </c>
      <c r="M95">
        <v>41</v>
      </c>
      <c r="N95" s="3">
        <v>7318.5</v>
      </c>
      <c r="O95" t="str">
        <f t="shared" si="1"/>
        <v>No</v>
      </c>
      <c r="U95" s="1"/>
      <c r="W95" s="2"/>
      <c r="X95" s="2"/>
      <c r="Y95" s="2"/>
      <c r="Z95" s="2"/>
      <c r="AD95" s="2"/>
      <c r="AE95" s="2"/>
      <c r="AF95" s="2"/>
      <c r="AG95" s="2"/>
      <c r="AH95" s="3"/>
      <c r="AJ95" s="3"/>
    </row>
    <row r="96" spans="1:36" x14ac:dyDescent="0.25">
      <c r="A96">
        <v>95</v>
      </c>
      <c r="B96" s="1">
        <v>43923</v>
      </c>
      <c r="C96">
        <v>7945500000</v>
      </c>
      <c r="D96" s="2" t="s">
        <v>64</v>
      </c>
      <c r="E96" s="2" t="s">
        <v>65</v>
      </c>
      <c r="F96" s="2" t="s">
        <v>65</v>
      </c>
      <c r="G96" s="2" t="s">
        <v>66</v>
      </c>
      <c r="H96" s="2" t="s">
        <v>18</v>
      </c>
      <c r="I96" s="2" t="s">
        <v>29</v>
      </c>
      <c r="J96" s="2" t="s">
        <v>67</v>
      </c>
      <c r="K96" s="2" t="s">
        <v>21</v>
      </c>
      <c r="L96" s="3">
        <v>41.86</v>
      </c>
      <c r="M96">
        <v>35</v>
      </c>
      <c r="N96" s="3">
        <v>1465.1</v>
      </c>
      <c r="O96" t="str">
        <f t="shared" si="1"/>
        <v>Si</v>
      </c>
      <c r="U96" s="1"/>
      <c r="W96" s="2"/>
      <c r="X96" s="2"/>
      <c r="Y96" s="2"/>
      <c r="Z96" s="2"/>
      <c r="AD96" s="2"/>
      <c r="AE96" s="2"/>
      <c r="AF96" s="2"/>
      <c r="AG96" s="2"/>
      <c r="AH96" s="3"/>
      <c r="AJ96" s="3"/>
    </row>
    <row r="97" spans="1:36" x14ac:dyDescent="0.25">
      <c r="A97">
        <v>96</v>
      </c>
      <c r="B97" s="1">
        <v>43923</v>
      </c>
      <c r="C97">
        <v>4671327569</v>
      </c>
      <c r="D97" s="2" t="s">
        <v>68</v>
      </c>
      <c r="E97" s="2" t="s">
        <v>69</v>
      </c>
      <c r="F97" s="2" t="s">
        <v>69</v>
      </c>
      <c r="G97" s="2" t="s">
        <v>38</v>
      </c>
      <c r="H97" s="2" t="s">
        <v>70</v>
      </c>
      <c r="I97" s="2" t="s">
        <v>70</v>
      </c>
      <c r="J97" s="2" t="s">
        <v>34</v>
      </c>
      <c r="K97" s="2" t="s">
        <v>21</v>
      </c>
      <c r="L97" s="3">
        <v>644</v>
      </c>
      <c r="M97">
        <v>31</v>
      </c>
      <c r="N97" s="3">
        <v>19964</v>
      </c>
      <c r="O97" t="str">
        <f t="shared" si="1"/>
        <v>No</v>
      </c>
      <c r="U97" s="1"/>
      <c r="W97" s="2"/>
      <c r="X97" s="2"/>
      <c r="Y97" s="2"/>
      <c r="Z97" s="2"/>
      <c r="AD97" s="2"/>
      <c r="AE97" s="2"/>
      <c r="AF97" s="2"/>
      <c r="AG97" s="2"/>
      <c r="AH97" s="3"/>
      <c r="AJ97" s="3"/>
    </row>
    <row r="98" spans="1:36" x14ac:dyDescent="0.25">
      <c r="A98">
        <v>97</v>
      </c>
      <c r="B98" s="1">
        <v>44100</v>
      </c>
      <c r="C98">
        <v>5750783013</v>
      </c>
      <c r="D98" s="2" t="s">
        <v>64</v>
      </c>
      <c r="E98" s="2" t="s">
        <v>65</v>
      </c>
      <c r="F98" s="2" t="s">
        <v>65</v>
      </c>
      <c r="G98" s="2" t="s">
        <v>66</v>
      </c>
      <c r="H98" s="2" t="s">
        <v>28</v>
      </c>
      <c r="I98" s="2" t="s">
        <v>70</v>
      </c>
      <c r="J98" s="2" t="s">
        <v>71</v>
      </c>
      <c r="K98" s="2" t="s">
        <v>72</v>
      </c>
      <c r="L98" s="3">
        <v>350</v>
      </c>
      <c r="M98">
        <v>52</v>
      </c>
      <c r="N98" s="3">
        <v>18200</v>
      </c>
      <c r="O98" t="str">
        <f t="shared" si="1"/>
        <v>Si</v>
      </c>
      <c r="U98" s="1"/>
      <c r="W98" s="2"/>
      <c r="X98" s="2"/>
      <c r="Y98" s="2"/>
      <c r="Z98" s="2"/>
      <c r="AD98" s="2"/>
      <c r="AE98" s="2"/>
      <c r="AF98" s="2"/>
      <c r="AG98" s="2"/>
      <c r="AH98" s="3"/>
      <c r="AJ98" s="3"/>
    </row>
    <row r="99" spans="1:36" x14ac:dyDescent="0.25">
      <c r="A99">
        <v>98</v>
      </c>
      <c r="B99" s="1">
        <v>44024</v>
      </c>
      <c r="C99">
        <v>1216202808</v>
      </c>
      <c r="D99" s="2" t="s">
        <v>64</v>
      </c>
      <c r="E99" s="2" t="s">
        <v>65</v>
      </c>
      <c r="F99" s="2" t="s">
        <v>65</v>
      </c>
      <c r="G99" s="2" t="s">
        <v>66</v>
      </c>
      <c r="H99" s="2" t="s">
        <v>28</v>
      </c>
      <c r="I99" s="2" t="s">
        <v>70</v>
      </c>
      <c r="J99" s="2" t="s">
        <v>73</v>
      </c>
      <c r="K99" s="2" t="s">
        <v>74</v>
      </c>
      <c r="L99" s="3">
        <v>308</v>
      </c>
      <c r="M99">
        <v>30</v>
      </c>
      <c r="N99" s="3">
        <v>9240</v>
      </c>
      <c r="O99" t="str">
        <f t="shared" si="1"/>
        <v>No</v>
      </c>
      <c r="U99" s="1"/>
      <c r="W99" s="2"/>
      <c r="X99" s="2"/>
      <c r="Y99" s="2"/>
      <c r="Z99" s="2"/>
      <c r="AD99" s="2"/>
      <c r="AE99" s="2"/>
      <c r="AF99" s="2"/>
      <c r="AG99" s="2"/>
      <c r="AH99" s="3"/>
      <c r="AJ99" s="3"/>
    </row>
    <row r="100" spans="1:36" x14ac:dyDescent="0.25">
      <c r="A100">
        <v>99</v>
      </c>
      <c r="B100" s="1">
        <v>43934</v>
      </c>
      <c r="C100">
        <v>7167041532</v>
      </c>
      <c r="D100" s="2" t="s">
        <v>64</v>
      </c>
      <c r="E100" s="2" t="s">
        <v>65</v>
      </c>
      <c r="F100" s="2" t="s">
        <v>65</v>
      </c>
      <c r="G100" s="2" t="s">
        <v>66</v>
      </c>
      <c r="H100" s="2" t="s">
        <v>28</v>
      </c>
      <c r="I100" s="2" t="s">
        <v>70</v>
      </c>
      <c r="J100" s="2" t="s">
        <v>40</v>
      </c>
      <c r="K100" s="2" t="s">
        <v>41</v>
      </c>
      <c r="L100" s="3">
        <v>128.80000000000001</v>
      </c>
      <c r="M100">
        <v>41</v>
      </c>
      <c r="N100" s="3">
        <v>5280.8</v>
      </c>
      <c r="O100" t="str">
        <f t="shared" si="1"/>
        <v>Si</v>
      </c>
      <c r="U100" s="1"/>
      <c r="W100" s="2"/>
      <c r="X100" s="2"/>
      <c r="Y100" s="2"/>
      <c r="Z100" s="2"/>
      <c r="AD100" s="2"/>
      <c r="AE100" s="2"/>
      <c r="AF100" s="2"/>
      <c r="AG100" s="2"/>
      <c r="AH100" s="3"/>
      <c r="AJ100" s="3"/>
    </row>
    <row r="101" spans="1:36" x14ac:dyDescent="0.25">
      <c r="A101">
        <v>100</v>
      </c>
      <c r="B101" s="1">
        <v>44096</v>
      </c>
      <c r="C101">
        <v>2241191338</v>
      </c>
      <c r="D101" s="2" t="s">
        <v>75</v>
      </c>
      <c r="E101" s="2" t="s">
        <v>76</v>
      </c>
      <c r="F101" s="2" t="s">
        <v>77</v>
      </c>
      <c r="G101" s="2" t="s">
        <v>63</v>
      </c>
      <c r="H101" s="2" t="s">
        <v>39</v>
      </c>
      <c r="I101" s="2" t="s">
        <v>70</v>
      </c>
      <c r="J101" s="2" t="s">
        <v>22</v>
      </c>
      <c r="K101" s="2" t="s">
        <v>23</v>
      </c>
      <c r="L101" s="3">
        <v>49</v>
      </c>
      <c r="M101">
        <v>44</v>
      </c>
      <c r="N101" s="3">
        <v>2156</v>
      </c>
      <c r="O101" t="str">
        <f t="shared" si="1"/>
        <v>No</v>
      </c>
      <c r="U101" s="1"/>
      <c r="W101" s="2"/>
      <c r="X101" s="2"/>
      <c r="Y101" s="2"/>
      <c r="Z101" s="2"/>
      <c r="AD101" s="2"/>
      <c r="AE101" s="2"/>
      <c r="AF101" s="2"/>
      <c r="AG101" s="2"/>
      <c r="AH101" s="3"/>
      <c r="AJ101" s="3"/>
    </row>
    <row r="102" spans="1:36" x14ac:dyDescent="0.25">
      <c r="A102">
        <v>101</v>
      </c>
      <c r="B102" s="1">
        <v>44106</v>
      </c>
      <c r="C102">
        <v>806264266</v>
      </c>
      <c r="D102" s="2" t="s">
        <v>75</v>
      </c>
      <c r="E102" s="2" t="s">
        <v>76</v>
      </c>
      <c r="F102" s="2" t="s">
        <v>77</v>
      </c>
      <c r="G102" s="2" t="s">
        <v>63</v>
      </c>
      <c r="H102" s="2" t="s">
        <v>39</v>
      </c>
      <c r="I102" s="2" t="s">
        <v>70</v>
      </c>
      <c r="J102" s="2" t="s">
        <v>67</v>
      </c>
      <c r="K102" s="2" t="s">
        <v>21</v>
      </c>
      <c r="L102" s="3">
        <v>41.86</v>
      </c>
      <c r="M102">
        <v>77</v>
      </c>
      <c r="N102" s="3">
        <v>3223.22</v>
      </c>
      <c r="O102" t="str">
        <f t="shared" si="1"/>
        <v>Si</v>
      </c>
      <c r="U102" s="1"/>
      <c r="W102" s="2"/>
      <c r="X102" s="2"/>
      <c r="Y102" s="2"/>
      <c r="Z102" s="2"/>
      <c r="AD102" s="2"/>
      <c r="AE102" s="2"/>
      <c r="AF102" s="2"/>
      <c r="AG102" s="2"/>
      <c r="AH102" s="3"/>
      <c r="AJ102" s="3"/>
    </row>
    <row r="103" spans="1:36" x14ac:dyDescent="0.25">
      <c r="A103">
        <v>102</v>
      </c>
      <c r="B103" s="1">
        <v>43902</v>
      </c>
      <c r="C103">
        <v>3820174684</v>
      </c>
      <c r="D103" s="2" t="s">
        <v>78</v>
      </c>
      <c r="E103" s="2" t="s">
        <v>79</v>
      </c>
      <c r="F103" s="2" t="s">
        <v>80</v>
      </c>
      <c r="G103" s="2" t="s">
        <v>38</v>
      </c>
      <c r="H103" s="2" t="s">
        <v>70</v>
      </c>
      <c r="I103" s="2" t="s">
        <v>70</v>
      </c>
      <c r="J103" s="2" t="s">
        <v>33</v>
      </c>
      <c r="K103" s="2" t="s">
        <v>21</v>
      </c>
      <c r="L103" s="3">
        <v>252</v>
      </c>
      <c r="M103">
        <v>29</v>
      </c>
      <c r="N103" s="3">
        <v>7308</v>
      </c>
      <c r="O103" t="str">
        <f t="shared" si="1"/>
        <v>No</v>
      </c>
      <c r="U103" s="1"/>
      <c r="W103" s="2"/>
      <c r="X103" s="2"/>
      <c r="Y103" s="2"/>
      <c r="Z103" s="2"/>
      <c r="AD103" s="2"/>
      <c r="AE103" s="2"/>
      <c r="AF103" s="2"/>
      <c r="AG103" s="2"/>
      <c r="AH103" s="3"/>
      <c r="AJ103" s="3"/>
    </row>
    <row r="104" spans="1:36" x14ac:dyDescent="0.25">
      <c r="A104">
        <v>103</v>
      </c>
      <c r="B104" s="1">
        <v>44074</v>
      </c>
      <c r="C104">
        <v>5541796483</v>
      </c>
      <c r="D104" s="2" t="s">
        <v>78</v>
      </c>
      <c r="E104" s="2" t="s">
        <v>79</v>
      </c>
      <c r="F104" s="2" t="s">
        <v>80</v>
      </c>
      <c r="G104" s="2" t="s">
        <v>38</v>
      </c>
      <c r="H104" s="2" t="s">
        <v>70</v>
      </c>
      <c r="I104" s="2" t="s">
        <v>70</v>
      </c>
      <c r="J104" s="2" t="s">
        <v>34</v>
      </c>
      <c r="K104" s="2" t="s">
        <v>21</v>
      </c>
      <c r="L104" s="3">
        <v>644</v>
      </c>
      <c r="M104">
        <v>77</v>
      </c>
      <c r="N104" s="3">
        <v>49588</v>
      </c>
      <c r="O104" t="str">
        <f t="shared" si="1"/>
        <v>Si</v>
      </c>
      <c r="U104" s="1"/>
      <c r="W104" s="2"/>
      <c r="X104" s="2"/>
      <c r="Y104" s="2"/>
      <c r="Z104" s="2"/>
      <c r="AD104" s="2"/>
      <c r="AE104" s="2"/>
      <c r="AF104" s="2"/>
      <c r="AG104" s="2"/>
      <c r="AH104" s="3"/>
      <c r="AJ104" s="3"/>
    </row>
    <row r="105" spans="1:36" x14ac:dyDescent="0.25">
      <c r="A105">
        <v>104</v>
      </c>
      <c r="B105" s="1">
        <v>44025</v>
      </c>
      <c r="C105">
        <v>7096714976</v>
      </c>
      <c r="D105" s="2" t="s">
        <v>78</v>
      </c>
      <c r="E105" s="2" t="s">
        <v>79</v>
      </c>
      <c r="F105" s="2" t="s">
        <v>80</v>
      </c>
      <c r="G105" s="2" t="s">
        <v>38</v>
      </c>
      <c r="H105" s="2" t="s">
        <v>70</v>
      </c>
      <c r="I105" s="2" t="s">
        <v>70</v>
      </c>
      <c r="J105" s="2" t="s">
        <v>67</v>
      </c>
      <c r="K105" s="2" t="s">
        <v>21</v>
      </c>
      <c r="L105" s="3">
        <v>41.86</v>
      </c>
      <c r="M105">
        <v>73</v>
      </c>
      <c r="N105" s="3">
        <v>3055.78</v>
      </c>
      <c r="O105" t="str">
        <f t="shared" si="1"/>
        <v>No</v>
      </c>
      <c r="U105" s="1"/>
      <c r="W105" s="2"/>
      <c r="X105" s="2"/>
      <c r="Y105" s="2"/>
      <c r="Z105" s="2"/>
      <c r="AD105" s="2"/>
      <c r="AE105" s="2"/>
      <c r="AF105" s="2"/>
      <c r="AG105" s="2"/>
      <c r="AH105" s="3"/>
      <c r="AJ105" s="3"/>
    </row>
    <row r="106" spans="1:36" x14ac:dyDescent="0.25">
      <c r="A106">
        <v>105</v>
      </c>
      <c r="B106" s="1">
        <v>44160</v>
      </c>
      <c r="C106">
        <v>2543114862</v>
      </c>
      <c r="D106" s="2" t="s">
        <v>60</v>
      </c>
      <c r="E106" s="2" t="s">
        <v>61</v>
      </c>
      <c r="F106" s="2" t="s">
        <v>62</v>
      </c>
      <c r="G106" s="2" t="s">
        <v>63</v>
      </c>
      <c r="H106" s="2" t="s">
        <v>39</v>
      </c>
      <c r="I106" s="2" t="s">
        <v>29</v>
      </c>
      <c r="J106" s="2" t="s">
        <v>52</v>
      </c>
      <c r="K106" s="2" t="s">
        <v>53</v>
      </c>
      <c r="L106" s="3">
        <v>135.1</v>
      </c>
      <c r="M106">
        <v>74</v>
      </c>
      <c r="N106" s="3">
        <v>9997.4</v>
      </c>
      <c r="O106" t="str">
        <f t="shared" si="1"/>
        <v>Si</v>
      </c>
      <c r="U106" s="1"/>
      <c r="W106" s="2"/>
      <c r="X106" s="2"/>
      <c r="Y106" s="2"/>
      <c r="Z106" s="2"/>
      <c r="AD106" s="2"/>
      <c r="AE106" s="2"/>
      <c r="AF106" s="2"/>
      <c r="AG106" s="2"/>
      <c r="AH106" s="3"/>
      <c r="AJ106" s="3"/>
    </row>
    <row r="107" spans="1:36" x14ac:dyDescent="0.25">
      <c r="A107">
        <v>106</v>
      </c>
      <c r="B107" s="1">
        <v>44070</v>
      </c>
      <c r="C107">
        <v>6501127347</v>
      </c>
      <c r="D107" s="2" t="s">
        <v>60</v>
      </c>
      <c r="E107" s="2" t="s">
        <v>61</v>
      </c>
      <c r="F107" s="2" t="s">
        <v>62</v>
      </c>
      <c r="G107" s="2" t="s">
        <v>63</v>
      </c>
      <c r="H107" s="2" t="s">
        <v>39</v>
      </c>
      <c r="I107" s="2" t="s">
        <v>29</v>
      </c>
      <c r="J107" s="2" t="s">
        <v>81</v>
      </c>
      <c r="K107" s="2" t="s">
        <v>82</v>
      </c>
      <c r="L107" s="3">
        <v>257.60000000000002</v>
      </c>
      <c r="M107">
        <v>25</v>
      </c>
      <c r="N107" s="3">
        <v>6440</v>
      </c>
      <c r="O107" t="str">
        <f t="shared" si="1"/>
        <v>No</v>
      </c>
      <c r="U107" s="1"/>
      <c r="W107" s="2"/>
      <c r="X107" s="2"/>
      <c r="Y107" s="2"/>
      <c r="Z107" s="2"/>
      <c r="AD107" s="2"/>
      <c r="AE107" s="2"/>
      <c r="AF107" s="2"/>
      <c r="AG107" s="2"/>
      <c r="AH107" s="3"/>
      <c r="AJ107" s="3"/>
    </row>
    <row r="108" spans="1:36" x14ac:dyDescent="0.25">
      <c r="A108">
        <v>107</v>
      </c>
      <c r="B108" s="1">
        <v>43947</v>
      </c>
      <c r="C108">
        <v>1322296163</v>
      </c>
      <c r="D108" s="2" t="s">
        <v>83</v>
      </c>
      <c r="E108" s="2" t="s">
        <v>43</v>
      </c>
      <c r="F108" s="2" t="s">
        <v>44</v>
      </c>
      <c r="G108" s="2" t="s">
        <v>84</v>
      </c>
      <c r="H108" s="2" t="s">
        <v>28</v>
      </c>
      <c r="I108" s="2" t="s">
        <v>19</v>
      </c>
      <c r="J108" s="2" t="s">
        <v>85</v>
      </c>
      <c r="K108" s="2" t="s">
        <v>86</v>
      </c>
      <c r="L108" s="3">
        <v>273</v>
      </c>
      <c r="M108">
        <v>82</v>
      </c>
      <c r="N108" s="3">
        <v>22386</v>
      </c>
      <c r="O108" t="str">
        <f t="shared" si="1"/>
        <v>Si</v>
      </c>
      <c r="U108" s="1"/>
      <c r="W108" s="2"/>
      <c r="X108" s="2"/>
      <c r="Y108" s="2"/>
      <c r="Z108" s="2"/>
      <c r="AD108" s="2"/>
      <c r="AE108" s="2"/>
      <c r="AF108" s="2"/>
      <c r="AG108" s="2"/>
      <c r="AH108" s="3"/>
      <c r="AJ108" s="3"/>
    </row>
    <row r="109" spans="1:36" x14ac:dyDescent="0.25">
      <c r="A109">
        <v>108</v>
      </c>
      <c r="B109" s="1">
        <v>44122</v>
      </c>
      <c r="C109">
        <v>5162222472</v>
      </c>
      <c r="D109" s="2" t="s">
        <v>83</v>
      </c>
      <c r="E109" s="2" t="s">
        <v>43</v>
      </c>
      <c r="F109" s="2" t="s">
        <v>44</v>
      </c>
      <c r="G109" s="2" t="s">
        <v>84</v>
      </c>
      <c r="H109" s="2" t="s">
        <v>28</v>
      </c>
      <c r="I109" s="2" t="s">
        <v>19</v>
      </c>
      <c r="J109" s="2" t="s">
        <v>87</v>
      </c>
      <c r="K109" s="2" t="s">
        <v>88</v>
      </c>
      <c r="L109" s="3">
        <v>487.2</v>
      </c>
      <c r="M109">
        <v>37</v>
      </c>
      <c r="N109" s="3">
        <v>18026.400000000001</v>
      </c>
      <c r="O109" t="str">
        <f t="shared" si="1"/>
        <v>No</v>
      </c>
      <c r="U109" s="1"/>
      <c r="W109" s="2"/>
      <c r="X109" s="2"/>
      <c r="Y109" s="2"/>
      <c r="Z109" s="2"/>
      <c r="AD109" s="2"/>
      <c r="AE109" s="2"/>
      <c r="AF109" s="2"/>
      <c r="AG109" s="2"/>
      <c r="AH109" s="3"/>
      <c r="AJ109" s="3"/>
    </row>
    <row r="110" spans="1:36" x14ac:dyDescent="0.25">
      <c r="A110">
        <v>109</v>
      </c>
      <c r="B110" s="1">
        <v>44103</v>
      </c>
      <c r="C110">
        <v>5752777715</v>
      </c>
      <c r="D110" s="2" t="s">
        <v>54</v>
      </c>
      <c r="E110" s="2" t="s">
        <v>55</v>
      </c>
      <c r="F110" s="2" t="s">
        <v>56</v>
      </c>
      <c r="G110" s="2" t="s">
        <v>57</v>
      </c>
      <c r="H110" s="2" t="s">
        <v>18</v>
      </c>
      <c r="I110" s="2" t="s">
        <v>29</v>
      </c>
      <c r="J110" s="2" t="s">
        <v>20</v>
      </c>
      <c r="K110" s="2" t="s">
        <v>21</v>
      </c>
      <c r="L110" s="3">
        <v>196</v>
      </c>
      <c r="M110">
        <v>84</v>
      </c>
      <c r="N110" s="3">
        <v>16464</v>
      </c>
      <c r="O110" t="str">
        <f t="shared" si="1"/>
        <v>Si</v>
      </c>
      <c r="U110" s="1"/>
      <c r="W110" s="2"/>
      <c r="X110" s="2"/>
      <c r="Y110" s="2"/>
      <c r="Z110" s="2"/>
      <c r="AD110" s="2"/>
      <c r="AE110" s="2"/>
      <c r="AF110" s="2"/>
      <c r="AG110" s="2"/>
      <c r="AH110" s="3"/>
      <c r="AJ110" s="3"/>
    </row>
    <row r="111" spans="1:36" x14ac:dyDescent="0.25">
      <c r="A111">
        <v>110</v>
      </c>
      <c r="B111" s="1">
        <v>44024</v>
      </c>
      <c r="C111">
        <v>2261700341</v>
      </c>
      <c r="D111" s="2" t="s">
        <v>35</v>
      </c>
      <c r="E111" s="2" t="s">
        <v>36</v>
      </c>
      <c r="F111" s="2" t="s">
        <v>37</v>
      </c>
      <c r="G111" s="2" t="s">
        <v>38</v>
      </c>
      <c r="H111" s="2" t="s">
        <v>18</v>
      </c>
      <c r="I111" s="2" t="s">
        <v>19</v>
      </c>
      <c r="J111" s="2" t="s">
        <v>58</v>
      </c>
      <c r="K111" s="2" t="s">
        <v>59</v>
      </c>
      <c r="L111" s="3">
        <v>560</v>
      </c>
      <c r="M111">
        <v>73</v>
      </c>
      <c r="N111" s="3">
        <v>40880</v>
      </c>
      <c r="O111" t="str">
        <f t="shared" si="1"/>
        <v>No</v>
      </c>
      <c r="U111" s="1"/>
      <c r="W111" s="2"/>
      <c r="X111" s="2"/>
      <c r="Y111" s="2"/>
      <c r="Z111" s="2"/>
      <c r="AD111" s="2"/>
      <c r="AE111" s="2"/>
      <c r="AF111" s="2"/>
      <c r="AG111" s="2"/>
      <c r="AH111" s="3"/>
      <c r="AJ111" s="3"/>
    </row>
    <row r="112" spans="1:36" x14ac:dyDescent="0.25">
      <c r="A112">
        <v>111</v>
      </c>
      <c r="B112" s="1">
        <v>44073</v>
      </c>
      <c r="C112">
        <v>9950546196</v>
      </c>
      <c r="D112" s="2" t="s">
        <v>35</v>
      </c>
      <c r="E112" s="2" t="s">
        <v>36</v>
      </c>
      <c r="F112" s="2" t="s">
        <v>37</v>
      </c>
      <c r="G112" s="2" t="s">
        <v>38</v>
      </c>
      <c r="H112" s="2" t="s">
        <v>18</v>
      </c>
      <c r="I112" s="2" t="s">
        <v>19</v>
      </c>
      <c r="J112" s="2" t="s">
        <v>40</v>
      </c>
      <c r="K112" s="2" t="s">
        <v>41</v>
      </c>
      <c r="L112" s="3">
        <v>128.80000000000001</v>
      </c>
      <c r="M112">
        <v>51</v>
      </c>
      <c r="N112" s="3">
        <v>6568.8</v>
      </c>
      <c r="O112" t="str">
        <f t="shared" si="1"/>
        <v>Si</v>
      </c>
      <c r="U112" s="1"/>
      <c r="W112" s="2"/>
      <c r="X112" s="2"/>
      <c r="Y112" s="2"/>
      <c r="Z112" s="2"/>
      <c r="AD112" s="2"/>
      <c r="AE112" s="2"/>
      <c r="AF112" s="2"/>
      <c r="AG112" s="2"/>
      <c r="AH112" s="3"/>
      <c r="AJ112" s="3"/>
    </row>
    <row r="113" spans="1:36" x14ac:dyDescent="0.25">
      <c r="A113">
        <v>112</v>
      </c>
      <c r="B113" s="1">
        <v>44191</v>
      </c>
      <c r="C113">
        <v>9911266011</v>
      </c>
      <c r="D113" s="2" t="s">
        <v>92</v>
      </c>
      <c r="E113" s="2" t="s">
        <v>65</v>
      </c>
      <c r="F113" s="2" t="s">
        <v>65</v>
      </c>
      <c r="G113" s="2" t="s">
        <v>66</v>
      </c>
      <c r="H113" s="2" t="s">
        <v>28</v>
      </c>
      <c r="I113" s="2" t="s">
        <v>51</v>
      </c>
      <c r="J113" s="2" t="s">
        <v>97</v>
      </c>
      <c r="K113" s="2" t="s">
        <v>41</v>
      </c>
      <c r="L113" s="3">
        <v>140</v>
      </c>
      <c r="M113">
        <v>66</v>
      </c>
      <c r="N113" s="3">
        <v>9240</v>
      </c>
      <c r="O113" t="str">
        <f t="shared" si="1"/>
        <v>No</v>
      </c>
      <c r="U113" s="1"/>
      <c r="W113" s="2"/>
      <c r="X113" s="2"/>
      <c r="Y113" s="2"/>
      <c r="Z113" s="2"/>
      <c r="AD113" s="2"/>
      <c r="AE113" s="2"/>
      <c r="AF113" s="2"/>
      <c r="AG113" s="2"/>
      <c r="AH113" s="3"/>
      <c r="AJ113" s="3"/>
    </row>
    <row r="114" spans="1:36" x14ac:dyDescent="0.25">
      <c r="A114">
        <v>113</v>
      </c>
      <c r="B114" s="1">
        <v>44183</v>
      </c>
      <c r="C114">
        <v>8455987495</v>
      </c>
      <c r="D114" s="2" t="s">
        <v>93</v>
      </c>
      <c r="E114" s="2" t="s">
        <v>76</v>
      </c>
      <c r="F114" s="2" t="s">
        <v>77</v>
      </c>
      <c r="G114" s="2" t="s">
        <v>63</v>
      </c>
      <c r="H114" s="2" t="s">
        <v>39</v>
      </c>
      <c r="I114" s="2" t="s">
        <v>29</v>
      </c>
      <c r="J114" s="2" t="s">
        <v>98</v>
      </c>
      <c r="K114" s="2" t="s">
        <v>99</v>
      </c>
      <c r="L114" s="3">
        <v>298.89999999999998</v>
      </c>
      <c r="M114">
        <v>36</v>
      </c>
      <c r="N114" s="3">
        <v>10760.4</v>
      </c>
      <c r="O114" t="str">
        <f t="shared" si="1"/>
        <v>Si</v>
      </c>
      <c r="U114" s="1"/>
      <c r="W114" s="2"/>
      <c r="X114" s="2"/>
      <c r="Y114" s="2"/>
      <c r="Z114" s="2"/>
      <c r="AD114" s="2"/>
      <c r="AE114" s="2"/>
      <c r="AF114" s="2"/>
      <c r="AG114" s="2"/>
      <c r="AH114" s="3"/>
      <c r="AJ114" s="3"/>
    </row>
    <row r="115" spans="1:36" x14ac:dyDescent="0.25">
      <c r="A115">
        <v>114</v>
      </c>
      <c r="B115" s="1">
        <v>43966</v>
      </c>
      <c r="C115">
        <v>6668567210</v>
      </c>
      <c r="D115" s="2" t="s">
        <v>93</v>
      </c>
      <c r="E115" s="2" t="s">
        <v>76</v>
      </c>
      <c r="F115" s="2" t="s">
        <v>77</v>
      </c>
      <c r="G115" s="2" t="s">
        <v>63</v>
      </c>
      <c r="H115" s="2" t="s">
        <v>39</v>
      </c>
      <c r="I115" s="2" t="s">
        <v>29</v>
      </c>
      <c r="J115" s="2" t="s">
        <v>52</v>
      </c>
      <c r="K115" s="2" t="s">
        <v>53</v>
      </c>
      <c r="L115" s="3">
        <v>135.1</v>
      </c>
      <c r="M115">
        <v>87</v>
      </c>
      <c r="N115" s="3">
        <v>11753.7</v>
      </c>
      <c r="O115" t="str">
        <f t="shared" si="1"/>
        <v>No</v>
      </c>
      <c r="U115" s="1"/>
      <c r="W115" s="2"/>
      <c r="X115" s="2"/>
      <c r="Y115" s="2"/>
      <c r="Z115" s="2"/>
      <c r="AD115" s="2"/>
      <c r="AE115" s="2"/>
      <c r="AF115" s="2"/>
      <c r="AG115" s="2"/>
      <c r="AH115" s="3"/>
      <c r="AJ115" s="3"/>
    </row>
    <row r="116" spans="1:36" x14ac:dyDescent="0.25">
      <c r="A116">
        <v>115</v>
      </c>
      <c r="B116" s="1">
        <v>44019</v>
      </c>
      <c r="C116">
        <v>9528620750</v>
      </c>
      <c r="D116" s="2" t="s">
        <v>93</v>
      </c>
      <c r="E116" s="2" t="s">
        <v>76</v>
      </c>
      <c r="F116" s="2" t="s">
        <v>77</v>
      </c>
      <c r="G116" s="2" t="s">
        <v>63</v>
      </c>
      <c r="H116" s="2" t="s">
        <v>39</v>
      </c>
      <c r="I116" s="2" t="s">
        <v>29</v>
      </c>
      <c r="J116" s="2" t="s">
        <v>81</v>
      </c>
      <c r="K116" s="2" t="s">
        <v>82</v>
      </c>
      <c r="L116" s="3">
        <v>257.60000000000002</v>
      </c>
      <c r="M116">
        <v>64</v>
      </c>
      <c r="N116" s="3">
        <v>16486.400000000001</v>
      </c>
      <c r="O116" t="str">
        <f t="shared" si="1"/>
        <v>Si</v>
      </c>
      <c r="U116" s="1"/>
      <c r="W116" s="2"/>
      <c r="X116" s="2"/>
      <c r="Y116" s="2"/>
      <c r="Z116" s="2"/>
      <c r="AD116" s="2"/>
      <c r="AE116" s="2"/>
      <c r="AF116" s="2"/>
      <c r="AG116" s="2"/>
      <c r="AH116" s="3"/>
      <c r="AJ116" s="3"/>
    </row>
    <row r="117" spans="1:36" x14ac:dyDescent="0.25">
      <c r="A117">
        <v>116</v>
      </c>
      <c r="B117" s="1">
        <v>43876</v>
      </c>
      <c r="C117">
        <v>1951835035</v>
      </c>
      <c r="D117" s="2" t="s">
        <v>42</v>
      </c>
      <c r="E117" s="2" t="s">
        <v>43</v>
      </c>
      <c r="F117" s="2" t="s">
        <v>44</v>
      </c>
      <c r="G117" s="2" t="s">
        <v>45</v>
      </c>
      <c r="H117" s="2" t="s">
        <v>18</v>
      </c>
      <c r="I117" s="2" t="s">
        <v>19</v>
      </c>
      <c r="J117" s="2" t="s">
        <v>20</v>
      </c>
      <c r="K117" s="2" t="s">
        <v>21</v>
      </c>
      <c r="L117" s="3">
        <v>196</v>
      </c>
      <c r="M117">
        <v>21</v>
      </c>
      <c r="N117" s="3">
        <v>4116</v>
      </c>
      <c r="O117" t="str">
        <f t="shared" si="1"/>
        <v>No</v>
      </c>
      <c r="U117" s="1"/>
      <c r="W117" s="2"/>
      <c r="X117" s="2"/>
      <c r="Y117" s="2"/>
      <c r="Z117" s="2"/>
      <c r="AD117" s="2"/>
      <c r="AE117" s="2"/>
      <c r="AF117" s="2"/>
      <c r="AG117" s="2"/>
      <c r="AH117" s="3"/>
      <c r="AJ117" s="3"/>
    </row>
    <row r="118" spans="1:36" x14ac:dyDescent="0.25">
      <c r="A118">
        <v>117</v>
      </c>
      <c r="B118" s="1">
        <v>44101</v>
      </c>
      <c r="C118">
        <v>8464805926</v>
      </c>
      <c r="D118" s="2" t="s">
        <v>54</v>
      </c>
      <c r="E118" s="2" t="s">
        <v>55</v>
      </c>
      <c r="F118" s="2" t="s">
        <v>56</v>
      </c>
      <c r="G118" s="2" t="s">
        <v>57</v>
      </c>
      <c r="H118" s="2" t="s">
        <v>39</v>
      </c>
      <c r="I118" s="2" t="s">
        <v>19</v>
      </c>
      <c r="J118" s="2" t="s">
        <v>46</v>
      </c>
      <c r="K118" s="2" t="s">
        <v>47</v>
      </c>
      <c r="L118" s="3">
        <v>178.5</v>
      </c>
      <c r="M118">
        <v>19</v>
      </c>
      <c r="N118" s="3">
        <v>3391.5</v>
      </c>
      <c r="O118" t="str">
        <f t="shared" si="1"/>
        <v>Si</v>
      </c>
      <c r="U118" s="1"/>
      <c r="W118" s="2"/>
      <c r="X118" s="2"/>
      <c r="Y118" s="2"/>
      <c r="Z118" s="2"/>
      <c r="AD118" s="2"/>
      <c r="AE118" s="2"/>
      <c r="AF118" s="2"/>
      <c r="AG118" s="2"/>
      <c r="AH118" s="3"/>
      <c r="AJ118" s="3"/>
    </row>
    <row r="119" spans="1:36" x14ac:dyDescent="0.25">
      <c r="A119">
        <v>118</v>
      </c>
      <c r="B119" s="1">
        <v>44094</v>
      </c>
      <c r="C119">
        <v>1040241832</v>
      </c>
      <c r="D119" s="2" t="s">
        <v>24</v>
      </c>
      <c r="E119" s="2" t="s">
        <v>25</v>
      </c>
      <c r="F119" s="2" t="s">
        <v>26</v>
      </c>
      <c r="G119" s="2" t="s">
        <v>27</v>
      </c>
      <c r="H119" s="2" t="s">
        <v>28</v>
      </c>
      <c r="I119" s="2" t="s">
        <v>29</v>
      </c>
      <c r="J119" s="2" t="s">
        <v>100</v>
      </c>
      <c r="K119" s="2" t="s">
        <v>72</v>
      </c>
      <c r="L119" s="3">
        <v>1134</v>
      </c>
      <c r="M119">
        <v>23</v>
      </c>
      <c r="N119" s="3">
        <v>26082</v>
      </c>
      <c r="O119" t="str">
        <f t="shared" si="1"/>
        <v>No</v>
      </c>
      <c r="U119" s="1"/>
      <c r="W119" s="2"/>
      <c r="X119" s="2"/>
      <c r="Y119" s="2"/>
      <c r="Z119" s="2"/>
      <c r="AD119" s="2"/>
      <c r="AE119" s="2"/>
      <c r="AF119" s="2"/>
      <c r="AG119" s="2"/>
      <c r="AH119" s="3"/>
      <c r="AJ119" s="3"/>
    </row>
    <row r="120" spans="1:36" x14ac:dyDescent="0.25">
      <c r="A120">
        <v>119</v>
      </c>
      <c r="B120" s="1">
        <v>44157</v>
      </c>
      <c r="C120">
        <v>5032769390</v>
      </c>
      <c r="D120" s="2" t="s">
        <v>24</v>
      </c>
      <c r="E120" s="2" t="s">
        <v>25</v>
      </c>
      <c r="F120" s="2" t="s">
        <v>26</v>
      </c>
      <c r="G120" s="2" t="s">
        <v>27</v>
      </c>
      <c r="H120" s="2" t="s">
        <v>28</v>
      </c>
      <c r="I120" s="2" t="s">
        <v>29</v>
      </c>
      <c r="J120" s="2" t="s">
        <v>101</v>
      </c>
      <c r="K120" s="2" t="s">
        <v>102</v>
      </c>
      <c r="L120" s="3">
        <v>98</v>
      </c>
      <c r="M120">
        <v>72</v>
      </c>
      <c r="N120" s="3">
        <v>7056</v>
      </c>
      <c r="O120" t="str">
        <f t="shared" si="1"/>
        <v>Si</v>
      </c>
      <c r="U120" s="1"/>
      <c r="W120" s="2"/>
      <c r="X120" s="2"/>
      <c r="Y120" s="2"/>
      <c r="Z120" s="2"/>
      <c r="AD120" s="2"/>
      <c r="AE120" s="2"/>
      <c r="AF120" s="2"/>
      <c r="AG120" s="2"/>
      <c r="AH120" s="3"/>
      <c r="AJ120" s="3"/>
    </row>
    <row r="121" spans="1:36" x14ac:dyDescent="0.25">
      <c r="A121">
        <v>120</v>
      </c>
      <c r="B121" s="1">
        <v>43916</v>
      </c>
      <c r="C121">
        <v>5375997402</v>
      </c>
      <c r="D121" s="2" t="s">
        <v>35</v>
      </c>
      <c r="E121" s="2" t="s">
        <v>36</v>
      </c>
      <c r="F121" s="2" t="s">
        <v>37</v>
      </c>
      <c r="G121" s="2" t="s">
        <v>38</v>
      </c>
      <c r="H121" s="2" t="s">
        <v>39</v>
      </c>
      <c r="I121" s="2" t="s">
        <v>29</v>
      </c>
      <c r="J121" s="2" t="s">
        <v>87</v>
      </c>
      <c r="K121" s="2" t="s">
        <v>88</v>
      </c>
      <c r="L121" s="3">
        <v>487.2</v>
      </c>
      <c r="M121">
        <v>22</v>
      </c>
      <c r="N121" s="3">
        <v>10718.4</v>
      </c>
      <c r="O121" t="str">
        <f t="shared" si="1"/>
        <v>No</v>
      </c>
      <c r="U121" s="1"/>
      <c r="W121" s="2"/>
      <c r="X121" s="2"/>
      <c r="Y121" s="2"/>
      <c r="Z121" s="2"/>
      <c r="AD121" s="2"/>
      <c r="AE121" s="2"/>
      <c r="AF121" s="2"/>
      <c r="AG121" s="2"/>
      <c r="AH121" s="3"/>
      <c r="AJ121" s="3"/>
    </row>
    <row r="122" spans="1:36" x14ac:dyDescent="0.25">
      <c r="A122">
        <v>121</v>
      </c>
      <c r="B122" s="1">
        <v>43837</v>
      </c>
      <c r="C122">
        <v>967566383</v>
      </c>
      <c r="D122" s="2" t="s">
        <v>48</v>
      </c>
      <c r="E122" s="2" t="s">
        <v>49</v>
      </c>
      <c r="F122" s="2" t="s">
        <v>50</v>
      </c>
      <c r="G122" s="2" t="s">
        <v>17</v>
      </c>
      <c r="H122" s="2" t="s">
        <v>18</v>
      </c>
      <c r="I122" s="2" t="s">
        <v>51</v>
      </c>
      <c r="J122" s="2" t="s">
        <v>89</v>
      </c>
      <c r="K122" s="2" t="s">
        <v>74</v>
      </c>
      <c r="L122" s="3">
        <v>140</v>
      </c>
      <c r="M122">
        <v>82</v>
      </c>
      <c r="N122" s="3">
        <v>11480</v>
      </c>
      <c r="O122" t="str">
        <f t="shared" si="1"/>
        <v>Si</v>
      </c>
      <c r="U122" s="1"/>
      <c r="W122" s="2"/>
      <c r="X122" s="2"/>
      <c r="Y122" s="2"/>
      <c r="Z122" s="2"/>
      <c r="AD122" s="2"/>
      <c r="AE122" s="2"/>
      <c r="AF122" s="2"/>
      <c r="AG122" s="2"/>
      <c r="AH122" s="3"/>
      <c r="AJ122" s="3"/>
    </row>
    <row r="123" spans="1:36" x14ac:dyDescent="0.25">
      <c r="A123">
        <v>122</v>
      </c>
      <c r="B123" s="1">
        <v>44042</v>
      </c>
      <c r="C123">
        <v>7607007457</v>
      </c>
      <c r="D123" s="2" t="s">
        <v>48</v>
      </c>
      <c r="E123" s="2" t="s">
        <v>49</v>
      </c>
      <c r="F123" s="2" t="s">
        <v>50</v>
      </c>
      <c r="G123" s="2" t="s">
        <v>17</v>
      </c>
      <c r="H123" s="2" t="s">
        <v>18</v>
      </c>
      <c r="I123" s="2" t="s">
        <v>51</v>
      </c>
      <c r="J123" s="2" t="s">
        <v>58</v>
      </c>
      <c r="K123" s="2" t="s">
        <v>59</v>
      </c>
      <c r="L123" s="3">
        <v>560</v>
      </c>
      <c r="M123">
        <v>98</v>
      </c>
      <c r="N123" s="3">
        <v>54880</v>
      </c>
      <c r="O123" t="str">
        <f t="shared" si="1"/>
        <v>No</v>
      </c>
      <c r="U123" s="1"/>
      <c r="W123" s="2"/>
      <c r="X123" s="2"/>
      <c r="Y123" s="2"/>
      <c r="Z123" s="2"/>
      <c r="AD123" s="2"/>
      <c r="AE123" s="2"/>
      <c r="AF123" s="2"/>
      <c r="AG123" s="2"/>
      <c r="AH123" s="3"/>
      <c r="AJ123" s="3"/>
    </row>
    <row r="124" spans="1:36" x14ac:dyDescent="0.25">
      <c r="A124">
        <v>123</v>
      </c>
      <c r="B124" s="1">
        <v>44092</v>
      </c>
      <c r="C124">
        <v>6139722497</v>
      </c>
      <c r="D124" s="2" t="s">
        <v>68</v>
      </c>
      <c r="E124" s="2" t="s">
        <v>69</v>
      </c>
      <c r="F124" s="2" t="s">
        <v>69</v>
      </c>
      <c r="G124" s="2" t="s">
        <v>38</v>
      </c>
      <c r="H124" s="2" t="s">
        <v>70</v>
      </c>
      <c r="I124" s="2" t="s">
        <v>70</v>
      </c>
      <c r="J124" s="2" t="s">
        <v>34</v>
      </c>
      <c r="K124" s="2" t="s">
        <v>21</v>
      </c>
      <c r="L124" s="3">
        <v>644</v>
      </c>
      <c r="M124">
        <v>71</v>
      </c>
      <c r="N124" s="3">
        <v>45724</v>
      </c>
      <c r="O124" t="str">
        <f t="shared" si="1"/>
        <v>Si</v>
      </c>
      <c r="U124" s="1"/>
      <c r="W124" s="2"/>
      <c r="X124" s="2"/>
      <c r="Y124" s="2"/>
      <c r="Z124" s="2"/>
      <c r="AD124" s="2"/>
      <c r="AE124" s="2"/>
      <c r="AF124" s="2"/>
      <c r="AG124" s="2"/>
      <c r="AH124" s="3"/>
      <c r="AJ124" s="3"/>
    </row>
    <row r="125" spans="1:36" x14ac:dyDescent="0.25">
      <c r="A125">
        <v>124</v>
      </c>
      <c r="B125" s="1">
        <v>43924</v>
      </c>
      <c r="C125">
        <v>6071133871</v>
      </c>
      <c r="D125" s="2" t="s">
        <v>64</v>
      </c>
      <c r="E125" s="2" t="s">
        <v>65</v>
      </c>
      <c r="F125" s="2" t="s">
        <v>65</v>
      </c>
      <c r="G125" s="2" t="s">
        <v>66</v>
      </c>
      <c r="H125" s="2" t="s">
        <v>28</v>
      </c>
      <c r="I125" s="2" t="s">
        <v>70</v>
      </c>
      <c r="J125" s="2" t="s">
        <v>71</v>
      </c>
      <c r="K125" s="2" t="s">
        <v>72</v>
      </c>
      <c r="L125" s="3">
        <v>350</v>
      </c>
      <c r="M125">
        <v>40</v>
      </c>
      <c r="N125" s="3">
        <v>14000</v>
      </c>
      <c r="O125" t="str">
        <f t="shared" si="1"/>
        <v>No</v>
      </c>
      <c r="U125" s="1"/>
      <c r="W125" s="2"/>
      <c r="X125" s="2"/>
      <c r="Y125" s="2"/>
      <c r="Z125" s="2"/>
      <c r="AD125" s="2"/>
      <c r="AE125" s="2"/>
      <c r="AF125" s="2"/>
      <c r="AG125" s="2"/>
      <c r="AH125" s="3"/>
      <c r="AJ125" s="3"/>
    </row>
    <row r="126" spans="1:36" x14ac:dyDescent="0.25">
      <c r="A126">
        <v>125</v>
      </c>
      <c r="B126" s="1">
        <v>43887</v>
      </c>
      <c r="C126">
        <v>8634772142</v>
      </c>
      <c r="D126" s="2" t="s">
        <v>64</v>
      </c>
      <c r="E126" s="2" t="s">
        <v>65</v>
      </c>
      <c r="F126" s="2" t="s">
        <v>65</v>
      </c>
      <c r="G126" s="2" t="s">
        <v>66</v>
      </c>
      <c r="H126" s="2" t="s">
        <v>28</v>
      </c>
      <c r="I126" s="2" t="s">
        <v>70</v>
      </c>
      <c r="J126" s="2" t="s">
        <v>73</v>
      </c>
      <c r="K126" s="2" t="s">
        <v>74</v>
      </c>
      <c r="L126" s="3">
        <v>308</v>
      </c>
      <c r="M126">
        <v>80</v>
      </c>
      <c r="N126" s="3">
        <v>24640</v>
      </c>
      <c r="O126" t="str">
        <f t="shared" si="1"/>
        <v>Si</v>
      </c>
      <c r="U126" s="1"/>
      <c r="W126" s="2"/>
      <c r="X126" s="2"/>
      <c r="Y126" s="2"/>
      <c r="Z126" s="2"/>
      <c r="AD126" s="2"/>
      <c r="AE126" s="2"/>
      <c r="AF126" s="2"/>
      <c r="AG126" s="2"/>
      <c r="AH126" s="3"/>
      <c r="AJ126" s="3"/>
    </row>
    <row r="127" spans="1:36" x14ac:dyDescent="0.25">
      <c r="A127">
        <v>126</v>
      </c>
      <c r="B127" s="1">
        <v>44080</v>
      </c>
      <c r="C127">
        <v>5431718510</v>
      </c>
      <c r="D127" s="2" t="s">
        <v>64</v>
      </c>
      <c r="E127" s="2" t="s">
        <v>65</v>
      </c>
      <c r="F127" s="2" t="s">
        <v>65</v>
      </c>
      <c r="G127" s="2" t="s">
        <v>66</v>
      </c>
      <c r="H127" s="2" t="s">
        <v>28</v>
      </c>
      <c r="I127" s="2" t="s">
        <v>70</v>
      </c>
      <c r="J127" s="2" t="s">
        <v>40</v>
      </c>
      <c r="K127" s="2" t="s">
        <v>41</v>
      </c>
      <c r="L127" s="3">
        <v>128.80000000000001</v>
      </c>
      <c r="M127">
        <v>38</v>
      </c>
      <c r="N127" s="3">
        <v>4894.3999999999996</v>
      </c>
      <c r="O127" t="str">
        <f t="shared" si="1"/>
        <v>No</v>
      </c>
      <c r="U127" s="1"/>
      <c r="W127" s="2"/>
      <c r="X127" s="2"/>
      <c r="Y127" s="2"/>
      <c r="Z127" s="2"/>
      <c r="AD127" s="2"/>
      <c r="AE127" s="2"/>
      <c r="AF127" s="2"/>
      <c r="AG127" s="2"/>
      <c r="AH127" s="3"/>
      <c r="AJ127" s="3"/>
    </row>
    <row r="128" spans="1:36" x14ac:dyDescent="0.25">
      <c r="A128">
        <v>127</v>
      </c>
      <c r="B128" s="1">
        <v>44093</v>
      </c>
      <c r="C128">
        <v>7109276915</v>
      </c>
      <c r="D128" s="2" t="s">
        <v>75</v>
      </c>
      <c r="E128" s="2" t="s">
        <v>76</v>
      </c>
      <c r="F128" s="2" t="s">
        <v>77</v>
      </c>
      <c r="G128" s="2" t="s">
        <v>63</v>
      </c>
      <c r="H128" s="2" t="s">
        <v>39</v>
      </c>
      <c r="I128" s="2" t="s">
        <v>70</v>
      </c>
      <c r="J128" s="2" t="s">
        <v>22</v>
      </c>
      <c r="K128" s="2" t="s">
        <v>23</v>
      </c>
      <c r="L128" s="3">
        <v>49</v>
      </c>
      <c r="M128">
        <v>28</v>
      </c>
      <c r="N128" s="3">
        <v>1372</v>
      </c>
      <c r="O128" t="str">
        <f t="shared" si="1"/>
        <v>Si</v>
      </c>
      <c r="U128" s="1"/>
      <c r="W128" s="2"/>
      <c r="X128" s="2"/>
      <c r="Y128" s="2"/>
      <c r="Z128" s="2"/>
      <c r="AD128" s="2"/>
      <c r="AE128" s="2"/>
      <c r="AF128" s="2"/>
      <c r="AG128" s="2"/>
      <c r="AH128" s="3"/>
      <c r="AJ128" s="3"/>
    </row>
    <row r="129" spans="1:36" x14ac:dyDescent="0.25">
      <c r="A129">
        <v>128</v>
      </c>
      <c r="B129" s="1">
        <v>44119</v>
      </c>
      <c r="C129">
        <v>8479136081</v>
      </c>
      <c r="D129" s="2" t="s">
        <v>75</v>
      </c>
      <c r="E129" s="2" t="s">
        <v>76</v>
      </c>
      <c r="F129" s="2" t="s">
        <v>77</v>
      </c>
      <c r="G129" s="2" t="s">
        <v>63</v>
      </c>
      <c r="H129" s="2" t="s">
        <v>39</v>
      </c>
      <c r="I129" s="2" t="s">
        <v>70</v>
      </c>
      <c r="J129" s="2" t="s">
        <v>67</v>
      </c>
      <c r="K129" s="2" t="s">
        <v>21</v>
      </c>
      <c r="L129" s="3">
        <v>41.86</v>
      </c>
      <c r="M129">
        <v>60</v>
      </c>
      <c r="N129" s="3">
        <v>2511.6</v>
      </c>
      <c r="O129" t="str">
        <f t="shared" si="1"/>
        <v>No</v>
      </c>
      <c r="U129" s="1"/>
      <c r="W129" s="2"/>
      <c r="X129" s="2"/>
      <c r="Y129" s="2"/>
      <c r="Z129" s="2"/>
      <c r="AD129" s="2"/>
      <c r="AE129" s="2"/>
      <c r="AF129" s="2"/>
      <c r="AG129" s="2"/>
      <c r="AH129" s="3"/>
      <c r="AJ129" s="3"/>
    </row>
    <row r="130" spans="1:36" x14ac:dyDescent="0.25">
      <c r="A130">
        <v>129</v>
      </c>
      <c r="B130" s="1">
        <v>44146</v>
      </c>
      <c r="C130">
        <v>7132355278</v>
      </c>
      <c r="D130" s="2" t="s">
        <v>78</v>
      </c>
      <c r="E130" s="2" t="s">
        <v>79</v>
      </c>
      <c r="F130" s="2" t="s">
        <v>80</v>
      </c>
      <c r="G130" s="2" t="s">
        <v>38</v>
      </c>
      <c r="H130" s="2" t="s">
        <v>70</v>
      </c>
      <c r="I130" s="2" t="s">
        <v>70</v>
      </c>
      <c r="J130" s="2" t="s">
        <v>33</v>
      </c>
      <c r="K130" s="2" t="s">
        <v>21</v>
      </c>
      <c r="L130" s="3">
        <v>252</v>
      </c>
      <c r="M130">
        <v>33</v>
      </c>
      <c r="N130" s="3">
        <v>8316</v>
      </c>
      <c r="O130" t="str">
        <f t="shared" ref="O130:O193" si="2">IF(ISEVEN(ROW()),"Si","No")</f>
        <v>Si</v>
      </c>
      <c r="U130" s="1"/>
      <c r="W130" s="2"/>
      <c r="X130" s="2"/>
      <c r="Y130" s="2"/>
      <c r="Z130" s="2"/>
      <c r="AD130" s="2"/>
      <c r="AE130" s="2"/>
      <c r="AF130" s="2"/>
      <c r="AG130" s="2"/>
      <c r="AH130" s="3"/>
      <c r="AJ130" s="3"/>
    </row>
    <row r="131" spans="1:36" x14ac:dyDescent="0.25">
      <c r="A131">
        <v>130</v>
      </c>
      <c r="B131" s="1">
        <v>44017</v>
      </c>
      <c r="C131">
        <v>2885792785</v>
      </c>
      <c r="D131" s="2" t="s">
        <v>78</v>
      </c>
      <c r="E131" s="2" t="s">
        <v>79</v>
      </c>
      <c r="F131" s="2" t="s">
        <v>80</v>
      </c>
      <c r="G131" s="2" t="s">
        <v>38</v>
      </c>
      <c r="H131" s="2" t="s">
        <v>70</v>
      </c>
      <c r="I131" s="2" t="s">
        <v>70</v>
      </c>
      <c r="J131" s="2" t="s">
        <v>34</v>
      </c>
      <c r="K131" s="2" t="s">
        <v>21</v>
      </c>
      <c r="L131" s="3">
        <v>644</v>
      </c>
      <c r="M131">
        <v>22</v>
      </c>
      <c r="N131" s="3">
        <v>14168</v>
      </c>
      <c r="O131" t="str">
        <f t="shared" si="2"/>
        <v>No</v>
      </c>
      <c r="U131" s="1"/>
      <c r="W131" s="2"/>
      <c r="X131" s="2"/>
      <c r="Y131" s="2"/>
      <c r="Z131" s="2"/>
      <c r="AD131" s="2"/>
      <c r="AE131" s="2"/>
      <c r="AF131" s="2"/>
      <c r="AG131" s="2"/>
      <c r="AH131" s="3"/>
      <c r="AJ131" s="3"/>
    </row>
    <row r="132" spans="1:36" x14ac:dyDescent="0.25">
      <c r="A132">
        <v>131</v>
      </c>
      <c r="B132" s="1">
        <v>44085</v>
      </c>
      <c r="C132">
        <v>3723941023</v>
      </c>
      <c r="D132" s="2" t="s">
        <v>78</v>
      </c>
      <c r="E132" s="2" t="s">
        <v>79</v>
      </c>
      <c r="F132" s="2" t="s">
        <v>80</v>
      </c>
      <c r="G132" s="2" t="s">
        <v>38</v>
      </c>
      <c r="H132" s="2" t="s">
        <v>70</v>
      </c>
      <c r="I132" s="2" t="s">
        <v>70</v>
      </c>
      <c r="J132" s="2" t="s">
        <v>67</v>
      </c>
      <c r="K132" s="2" t="s">
        <v>21</v>
      </c>
      <c r="L132" s="3">
        <v>41.86</v>
      </c>
      <c r="M132">
        <v>51</v>
      </c>
      <c r="N132" s="3">
        <v>2134.86</v>
      </c>
      <c r="O132" t="str">
        <f t="shared" si="2"/>
        <v>Si</v>
      </c>
      <c r="U132" s="1"/>
      <c r="W132" s="2"/>
      <c r="X132" s="2"/>
      <c r="Y132" s="2"/>
      <c r="Z132" s="2"/>
      <c r="AD132" s="2"/>
      <c r="AE132" s="2"/>
      <c r="AF132" s="2"/>
      <c r="AG132" s="2"/>
      <c r="AH132" s="3"/>
      <c r="AJ132" s="3"/>
    </row>
    <row r="133" spans="1:36" x14ac:dyDescent="0.25">
      <c r="A133">
        <v>132</v>
      </c>
      <c r="B133" s="1">
        <v>43943</v>
      </c>
      <c r="C133">
        <v>4827836337</v>
      </c>
      <c r="D133" s="2" t="s">
        <v>60</v>
      </c>
      <c r="E133" s="2" t="s">
        <v>61</v>
      </c>
      <c r="F133" s="2" t="s">
        <v>62</v>
      </c>
      <c r="G133" s="2" t="s">
        <v>63</v>
      </c>
      <c r="H133" s="2" t="s">
        <v>39</v>
      </c>
      <c r="I133" s="2" t="s">
        <v>29</v>
      </c>
      <c r="J133" s="2" t="s">
        <v>52</v>
      </c>
      <c r="K133" s="2" t="s">
        <v>53</v>
      </c>
      <c r="L133" s="3">
        <v>135.1</v>
      </c>
      <c r="M133">
        <v>60</v>
      </c>
      <c r="N133" s="3">
        <v>8106</v>
      </c>
      <c r="O133" t="str">
        <f t="shared" si="2"/>
        <v>No</v>
      </c>
      <c r="U133" s="1"/>
      <c r="W133" s="2"/>
      <c r="X133" s="2"/>
      <c r="Y133" s="2"/>
      <c r="Z133" s="2"/>
      <c r="AD133" s="2"/>
      <c r="AE133" s="2"/>
      <c r="AF133" s="2"/>
      <c r="AG133" s="2"/>
      <c r="AH133" s="3"/>
      <c r="AJ133" s="3"/>
    </row>
    <row r="134" spans="1:36" x14ac:dyDescent="0.25">
      <c r="A134">
        <v>133</v>
      </c>
      <c r="B134" s="1">
        <v>44057</v>
      </c>
      <c r="C134">
        <v>2633840866</v>
      </c>
      <c r="D134" s="2" t="s">
        <v>60</v>
      </c>
      <c r="E134" s="2" t="s">
        <v>61</v>
      </c>
      <c r="F134" s="2" t="s">
        <v>62</v>
      </c>
      <c r="G134" s="2" t="s">
        <v>63</v>
      </c>
      <c r="H134" s="2" t="s">
        <v>39</v>
      </c>
      <c r="I134" s="2" t="s">
        <v>29</v>
      </c>
      <c r="J134" s="2" t="s">
        <v>81</v>
      </c>
      <c r="K134" s="2" t="s">
        <v>82</v>
      </c>
      <c r="L134" s="3">
        <v>257.60000000000002</v>
      </c>
      <c r="M134">
        <v>98</v>
      </c>
      <c r="N134" s="3">
        <v>25244.799999999999</v>
      </c>
      <c r="O134" t="str">
        <f t="shared" si="2"/>
        <v>Si</v>
      </c>
      <c r="U134" s="1"/>
      <c r="W134" s="2"/>
      <c r="X134" s="2"/>
      <c r="Y134" s="2"/>
      <c r="Z134" s="2"/>
      <c r="AD134" s="2"/>
      <c r="AE134" s="2"/>
      <c r="AF134" s="2"/>
      <c r="AG134" s="2"/>
      <c r="AH134" s="3"/>
      <c r="AJ134" s="3"/>
    </row>
    <row r="135" spans="1:36" x14ac:dyDescent="0.25">
      <c r="A135">
        <v>134</v>
      </c>
      <c r="B135" s="1">
        <v>43929</v>
      </c>
      <c r="C135">
        <v>2489359003</v>
      </c>
      <c r="D135" s="2" t="s">
        <v>83</v>
      </c>
      <c r="E135" s="2" t="s">
        <v>43</v>
      </c>
      <c r="F135" s="2" t="s">
        <v>44</v>
      </c>
      <c r="G135" s="2" t="s">
        <v>84</v>
      </c>
      <c r="H135" s="2" t="s">
        <v>28</v>
      </c>
      <c r="I135" s="2" t="s">
        <v>19</v>
      </c>
      <c r="J135" s="2" t="s">
        <v>85</v>
      </c>
      <c r="K135" s="2" t="s">
        <v>86</v>
      </c>
      <c r="L135" s="3">
        <v>273</v>
      </c>
      <c r="M135">
        <v>27</v>
      </c>
      <c r="N135" s="3">
        <v>7371</v>
      </c>
      <c r="O135" t="str">
        <f t="shared" si="2"/>
        <v>No</v>
      </c>
      <c r="U135" s="1"/>
      <c r="W135" s="2"/>
      <c r="X135" s="2"/>
      <c r="Y135" s="2"/>
      <c r="Z135" s="2"/>
      <c r="AD135" s="2"/>
      <c r="AE135" s="2"/>
      <c r="AF135" s="2"/>
      <c r="AG135" s="2"/>
      <c r="AH135" s="3"/>
      <c r="AJ135" s="3"/>
    </row>
    <row r="136" spans="1:36" x14ac:dyDescent="0.25">
      <c r="A136">
        <v>135</v>
      </c>
      <c r="B136" s="1">
        <v>43986</v>
      </c>
      <c r="C136">
        <v>2347277376</v>
      </c>
      <c r="D136" s="2" t="s">
        <v>83</v>
      </c>
      <c r="E136" s="2" t="s">
        <v>43</v>
      </c>
      <c r="F136" s="2" t="s">
        <v>44</v>
      </c>
      <c r="G136" s="2" t="s">
        <v>84</v>
      </c>
      <c r="H136" s="2" t="s">
        <v>28</v>
      </c>
      <c r="I136" s="2" t="s">
        <v>19</v>
      </c>
      <c r="J136" s="2" t="s">
        <v>87</v>
      </c>
      <c r="K136" s="2" t="s">
        <v>88</v>
      </c>
      <c r="L136" s="3">
        <v>487.2</v>
      </c>
      <c r="M136">
        <v>88</v>
      </c>
      <c r="N136" s="3">
        <v>42873.599999999999</v>
      </c>
      <c r="O136" t="str">
        <f t="shared" si="2"/>
        <v>Si</v>
      </c>
      <c r="U136" s="1"/>
      <c r="W136" s="2"/>
      <c r="X136" s="2"/>
      <c r="Y136" s="2"/>
      <c r="Z136" s="2"/>
      <c r="AD136" s="2"/>
      <c r="AE136" s="2"/>
      <c r="AF136" s="2"/>
      <c r="AG136" s="2"/>
      <c r="AH136" s="3"/>
      <c r="AJ136" s="3"/>
    </row>
    <row r="137" spans="1:36" x14ac:dyDescent="0.25">
      <c r="A137">
        <v>136</v>
      </c>
      <c r="B137" s="1">
        <v>44058</v>
      </c>
      <c r="C137">
        <v>2071690973</v>
      </c>
      <c r="D137" s="2" t="s">
        <v>54</v>
      </c>
      <c r="E137" s="2" t="s">
        <v>55</v>
      </c>
      <c r="F137" s="2" t="s">
        <v>56</v>
      </c>
      <c r="G137" s="2" t="s">
        <v>57</v>
      </c>
      <c r="H137" s="2" t="s">
        <v>18</v>
      </c>
      <c r="I137" s="2" t="s">
        <v>29</v>
      </c>
      <c r="J137" s="2" t="s">
        <v>20</v>
      </c>
      <c r="K137" s="2" t="s">
        <v>21</v>
      </c>
      <c r="L137" s="3">
        <v>196</v>
      </c>
      <c r="M137">
        <v>65</v>
      </c>
      <c r="N137" s="3">
        <v>12740</v>
      </c>
      <c r="O137" t="str">
        <f t="shared" si="2"/>
        <v>No</v>
      </c>
      <c r="U137" s="1"/>
      <c r="W137" s="2"/>
      <c r="X137" s="2"/>
      <c r="Y137" s="2"/>
      <c r="Z137" s="2"/>
      <c r="AD137" s="2"/>
      <c r="AE137" s="2"/>
      <c r="AF137" s="2"/>
      <c r="AG137" s="2"/>
      <c r="AH137" s="3"/>
      <c r="AJ137" s="3"/>
    </row>
    <row r="138" spans="1:36" x14ac:dyDescent="0.25">
      <c r="A138">
        <v>137</v>
      </c>
      <c r="B138" s="1">
        <v>44047</v>
      </c>
      <c r="C138">
        <v>1196729221</v>
      </c>
      <c r="D138" s="2" t="s">
        <v>35</v>
      </c>
      <c r="E138" s="2" t="s">
        <v>36</v>
      </c>
      <c r="F138" s="2" t="s">
        <v>37</v>
      </c>
      <c r="G138" s="2" t="s">
        <v>38</v>
      </c>
      <c r="H138" s="2" t="s">
        <v>18</v>
      </c>
      <c r="I138" s="2" t="s">
        <v>19</v>
      </c>
      <c r="J138" s="2" t="s">
        <v>58</v>
      </c>
      <c r="K138" s="2" t="s">
        <v>59</v>
      </c>
      <c r="L138" s="3">
        <v>560</v>
      </c>
      <c r="M138">
        <v>38</v>
      </c>
      <c r="N138" s="3">
        <v>21280</v>
      </c>
      <c r="O138" t="str">
        <f t="shared" si="2"/>
        <v>Si</v>
      </c>
      <c r="U138" s="1"/>
      <c r="W138" s="2"/>
      <c r="X138" s="2"/>
      <c r="Y138" s="2"/>
      <c r="Z138" s="2"/>
      <c r="AD138" s="2"/>
      <c r="AE138" s="2"/>
      <c r="AF138" s="2"/>
      <c r="AG138" s="2"/>
      <c r="AH138" s="3"/>
      <c r="AJ138" s="3"/>
    </row>
    <row r="139" spans="1:36" x14ac:dyDescent="0.25">
      <c r="A139">
        <v>138</v>
      </c>
      <c r="B139" s="1">
        <v>43948</v>
      </c>
      <c r="C139">
        <v>9020365601</v>
      </c>
      <c r="D139" s="2" t="s">
        <v>35</v>
      </c>
      <c r="E139" s="2" t="s">
        <v>36</v>
      </c>
      <c r="F139" s="2" t="s">
        <v>37</v>
      </c>
      <c r="G139" s="2" t="s">
        <v>38</v>
      </c>
      <c r="H139" s="2" t="s">
        <v>18</v>
      </c>
      <c r="I139" s="2" t="s">
        <v>19</v>
      </c>
      <c r="J139" s="2" t="s">
        <v>40</v>
      </c>
      <c r="K139" s="2" t="s">
        <v>41</v>
      </c>
      <c r="L139" s="3">
        <v>128.80000000000001</v>
      </c>
      <c r="M139">
        <v>80</v>
      </c>
      <c r="N139" s="3">
        <v>10304</v>
      </c>
      <c r="O139" t="str">
        <f t="shared" si="2"/>
        <v>No</v>
      </c>
      <c r="U139" s="1"/>
      <c r="W139" s="2"/>
      <c r="X139" s="2"/>
      <c r="Y139" s="2"/>
      <c r="Z139" s="2"/>
      <c r="AD139" s="2"/>
      <c r="AE139" s="2"/>
      <c r="AF139" s="2"/>
      <c r="AG139" s="2"/>
      <c r="AH139" s="3"/>
      <c r="AJ139" s="3"/>
    </row>
    <row r="140" spans="1:36" x14ac:dyDescent="0.25">
      <c r="A140">
        <v>139</v>
      </c>
      <c r="B140" s="1">
        <v>44054</v>
      </c>
      <c r="C140">
        <v>4818692078</v>
      </c>
      <c r="D140" s="2" t="s">
        <v>92</v>
      </c>
      <c r="E140" s="2" t="s">
        <v>65</v>
      </c>
      <c r="F140" s="2" t="s">
        <v>65</v>
      </c>
      <c r="G140" s="2" t="s">
        <v>66</v>
      </c>
      <c r="H140" s="2" t="s">
        <v>28</v>
      </c>
      <c r="I140" s="2" t="s">
        <v>51</v>
      </c>
      <c r="J140" s="2" t="s">
        <v>97</v>
      </c>
      <c r="K140" s="2" t="s">
        <v>41</v>
      </c>
      <c r="L140" s="3">
        <v>140</v>
      </c>
      <c r="M140">
        <v>49</v>
      </c>
      <c r="N140" s="3">
        <v>6860</v>
      </c>
      <c r="O140" t="str">
        <f t="shared" si="2"/>
        <v>Si</v>
      </c>
      <c r="U140" s="1"/>
      <c r="W140" s="2"/>
      <c r="X140" s="2"/>
      <c r="Y140" s="2"/>
      <c r="Z140" s="2"/>
      <c r="AD140" s="2"/>
      <c r="AE140" s="2"/>
      <c r="AF140" s="2"/>
      <c r="AG140" s="2"/>
      <c r="AH140" s="3"/>
      <c r="AJ140" s="3"/>
    </row>
    <row r="141" spans="1:36" x14ac:dyDescent="0.25">
      <c r="A141">
        <v>140</v>
      </c>
      <c r="B141" s="1">
        <v>44120</v>
      </c>
      <c r="C141">
        <v>6502762369</v>
      </c>
      <c r="D141" s="2" t="s">
        <v>93</v>
      </c>
      <c r="E141" s="2" t="s">
        <v>76</v>
      </c>
      <c r="F141" s="2" t="s">
        <v>77</v>
      </c>
      <c r="G141" s="2" t="s">
        <v>63</v>
      </c>
      <c r="H141" s="2" t="s">
        <v>39</v>
      </c>
      <c r="I141" s="2" t="s">
        <v>29</v>
      </c>
      <c r="J141" s="2" t="s">
        <v>98</v>
      </c>
      <c r="K141" s="2" t="s">
        <v>99</v>
      </c>
      <c r="L141" s="3">
        <v>298.89999999999998</v>
      </c>
      <c r="M141">
        <v>90</v>
      </c>
      <c r="N141" s="3">
        <v>26901</v>
      </c>
      <c r="O141" t="str">
        <f t="shared" si="2"/>
        <v>No</v>
      </c>
      <c r="U141" s="1"/>
      <c r="W141" s="2"/>
      <c r="X141" s="2"/>
      <c r="Y141" s="2"/>
      <c r="Z141" s="2"/>
      <c r="AD141" s="2"/>
      <c r="AE141" s="2"/>
      <c r="AF141" s="2"/>
      <c r="AG141" s="2"/>
      <c r="AH141" s="3"/>
      <c r="AJ141" s="3"/>
    </row>
    <row r="142" spans="1:36" x14ac:dyDescent="0.25">
      <c r="A142">
        <v>141</v>
      </c>
      <c r="B142" s="1">
        <v>43846</v>
      </c>
      <c r="C142">
        <v>924402492</v>
      </c>
      <c r="D142" s="2" t="s">
        <v>93</v>
      </c>
      <c r="E142" s="2" t="s">
        <v>76</v>
      </c>
      <c r="F142" s="2" t="s">
        <v>77</v>
      </c>
      <c r="G142" s="2" t="s">
        <v>63</v>
      </c>
      <c r="H142" s="2" t="s">
        <v>39</v>
      </c>
      <c r="I142" s="2" t="s">
        <v>29</v>
      </c>
      <c r="J142" s="2" t="s">
        <v>52</v>
      </c>
      <c r="K142" s="2" t="s">
        <v>53</v>
      </c>
      <c r="L142" s="3">
        <v>135.1</v>
      </c>
      <c r="M142">
        <v>60</v>
      </c>
      <c r="N142" s="3">
        <v>8106</v>
      </c>
      <c r="O142" t="str">
        <f t="shared" si="2"/>
        <v>Si</v>
      </c>
      <c r="U142" s="1"/>
      <c r="W142" s="2"/>
      <c r="X142" s="2"/>
      <c r="Y142" s="2"/>
      <c r="Z142" s="2"/>
      <c r="AD142" s="2"/>
      <c r="AE142" s="2"/>
      <c r="AF142" s="2"/>
      <c r="AG142" s="2"/>
      <c r="AH142" s="3"/>
      <c r="AJ142" s="3"/>
    </row>
    <row r="143" spans="1:36" x14ac:dyDescent="0.25">
      <c r="A143">
        <v>142</v>
      </c>
      <c r="B143" s="1">
        <v>44001</v>
      </c>
      <c r="C143">
        <v>5633857209</v>
      </c>
      <c r="D143" s="2" t="s">
        <v>93</v>
      </c>
      <c r="E143" s="2" t="s">
        <v>76</v>
      </c>
      <c r="F143" s="2" t="s">
        <v>77</v>
      </c>
      <c r="G143" s="2" t="s">
        <v>63</v>
      </c>
      <c r="H143" s="2" t="s">
        <v>39</v>
      </c>
      <c r="I143" s="2" t="s">
        <v>29</v>
      </c>
      <c r="J143" s="2" t="s">
        <v>81</v>
      </c>
      <c r="K143" s="2" t="s">
        <v>82</v>
      </c>
      <c r="L143" s="3">
        <v>257.60000000000002</v>
      </c>
      <c r="M143">
        <v>39</v>
      </c>
      <c r="N143" s="3">
        <v>10046.4</v>
      </c>
      <c r="O143" t="str">
        <f t="shared" si="2"/>
        <v>No</v>
      </c>
      <c r="U143" s="1"/>
      <c r="W143" s="2"/>
      <c r="X143" s="2"/>
      <c r="Y143" s="2"/>
      <c r="Z143" s="2"/>
      <c r="AD143" s="2"/>
      <c r="AE143" s="2"/>
      <c r="AF143" s="2"/>
      <c r="AG143" s="2"/>
      <c r="AH143" s="3"/>
      <c r="AJ143" s="3"/>
    </row>
    <row r="144" spans="1:36" x14ac:dyDescent="0.25">
      <c r="A144">
        <v>143</v>
      </c>
      <c r="B144" s="1">
        <v>43927</v>
      </c>
      <c r="C144">
        <v>9715216432</v>
      </c>
      <c r="D144" s="2" t="s">
        <v>42</v>
      </c>
      <c r="E144" s="2" t="s">
        <v>43</v>
      </c>
      <c r="F144" s="2" t="s">
        <v>44</v>
      </c>
      <c r="G144" s="2" t="s">
        <v>45</v>
      </c>
      <c r="H144" s="2" t="s">
        <v>18</v>
      </c>
      <c r="I144" s="2" t="s">
        <v>19</v>
      </c>
      <c r="J144" s="2" t="s">
        <v>20</v>
      </c>
      <c r="K144" s="2" t="s">
        <v>21</v>
      </c>
      <c r="L144" s="3">
        <v>196</v>
      </c>
      <c r="M144">
        <v>79</v>
      </c>
      <c r="N144" s="3">
        <v>15484</v>
      </c>
      <c r="O144" t="str">
        <f t="shared" si="2"/>
        <v>Si</v>
      </c>
      <c r="U144" s="1"/>
      <c r="W144" s="2"/>
      <c r="X144" s="2"/>
      <c r="Y144" s="2"/>
      <c r="Z144" s="2"/>
      <c r="AD144" s="2"/>
      <c r="AE144" s="2"/>
      <c r="AF144" s="2"/>
      <c r="AG144" s="2"/>
      <c r="AH144" s="3"/>
      <c r="AJ144" s="3"/>
    </row>
    <row r="145" spans="1:36" x14ac:dyDescent="0.25">
      <c r="A145">
        <v>144</v>
      </c>
      <c r="B145" s="1">
        <v>44100</v>
      </c>
      <c r="C145">
        <v>2808433382</v>
      </c>
      <c r="D145" s="2" t="s">
        <v>54</v>
      </c>
      <c r="E145" s="2" t="s">
        <v>55</v>
      </c>
      <c r="F145" s="2" t="s">
        <v>56</v>
      </c>
      <c r="G145" s="2" t="s">
        <v>57</v>
      </c>
      <c r="H145" s="2" t="s">
        <v>39</v>
      </c>
      <c r="I145" s="2" t="s">
        <v>19</v>
      </c>
      <c r="J145" s="2" t="s">
        <v>46</v>
      </c>
      <c r="K145" s="2" t="s">
        <v>47</v>
      </c>
      <c r="L145" s="3">
        <v>178.5</v>
      </c>
      <c r="M145">
        <v>44</v>
      </c>
      <c r="N145" s="3">
        <v>7854</v>
      </c>
      <c r="O145" t="str">
        <f t="shared" si="2"/>
        <v>No</v>
      </c>
      <c r="U145" s="1"/>
      <c r="W145" s="2"/>
      <c r="X145" s="2"/>
      <c r="Y145" s="2"/>
      <c r="Z145" s="2"/>
      <c r="AD145" s="2"/>
      <c r="AE145" s="2"/>
      <c r="AF145" s="2"/>
      <c r="AG145" s="2"/>
      <c r="AH145" s="3"/>
      <c r="AJ145" s="3"/>
    </row>
    <row r="146" spans="1:36" x14ac:dyDescent="0.25">
      <c r="A146">
        <v>145</v>
      </c>
      <c r="B146" s="1">
        <v>44046</v>
      </c>
      <c r="C146">
        <v>5585231955</v>
      </c>
      <c r="D146" s="2" t="s">
        <v>24</v>
      </c>
      <c r="E146" s="2" t="s">
        <v>25</v>
      </c>
      <c r="F146" s="2" t="s">
        <v>26</v>
      </c>
      <c r="G146" s="2" t="s">
        <v>27</v>
      </c>
      <c r="H146" s="2" t="s">
        <v>28</v>
      </c>
      <c r="I146" s="2" t="s">
        <v>29</v>
      </c>
      <c r="J146" s="2" t="s">
        <v>100</v>
      </c>
      <c r="K146" s="2" t="s">
        <v>72</v>
      </c>
      <c r="L146" s="3">
        <v>1134</v>
      </c>
      <c r="M146">
        <v>98</v>
      </c>
      <c r="N146" s="3">
        <v>111132</v>
      </c>
      <c r="O146" t="str">
        <f t="shared" si="2"/>
        <v>Si</v>
      </c>
      <c r="U146" s="1"/>
      <c r="W146" s="2"/>
      <c r="X146" s="2"/>
      <c r="Y146" s="2"/>
      <c r="Z146" s="2"/>
      <c r="AD146" s="2"/>
      <c r="AE146" s="2"/>
      <c r="AF146" s="2"/>
      <c r="AG146" s="2"/>
      <c r="AH146" s="3"/>
      <c r="AJ146" s="3"/>
    </row>
    <row r="147" spans="1:36" x14ac:dyDescent="0.25">
      <c r="A147">
        <v>146</v>
      </c>
      <c r="B147" s="1">
        <v>44169</v>
      </c>
      <c r="C147">
        <v>4338999814</v>
      </c>
      <c r="D147" s="2" t="s">
        <v>24</v>
      </c>
      <c r="E147" s="2" t="s">
        <v>25</v>
      </c>
      <c r="F147" s="2" t="s">
        <v>26</v>
      </c>
      <c r="G147" s="2" t="s">
        <v>27</v>
      </c>
      <c r="H147" s="2" t="s">
        <v>28</v>
      </c>
      <c r="I147" s="2" t="s">
        <v>29</v>
      </c>
      <c r="J147" s="2" t="s">
        <v>101</v>
      </c>
      <c r="K147" s="2" t="s">
        <v>102</v>
      </c>
      <c r="L147" s="3">
        <v>98</v>
      </c>
      <c r="M147">
        <v>61</v>
      </c>
      <c r="N147" s="3">
        <v>5978</v>
      </c>
      <c r="O147" t="str">
        <f t="shared" si="2"/>
        <v>No</v>
      </c>
      <c r="U147" s="1"/>
      <c r="W147" s="2"/>
      <c r="X147" s="2"/>
      <c r="Y147" s="2"/>
      <c r="Z147" s="2"/>
      <c r="AD147" s="2"/>
      <c r="AE147" s="2"/>
      <c r="AF147" s="2"/>
      <c r="AG147" s="2"/>
      <c r="AH147" s="3"/>
      <c r="AJ147" s="3"/>
    </row>
    <row r="148" spans="1:36" x14ac:dyDescent="0.25">
      <c r="A148">
        <v>147</v>
      </c>
      <c r="B148" s="1">
        <v>44056</v>
      </c>
      <c r="C148">
        <v>3475726472</v>
      </c>
      <c r="D148" s="2" t="s">
        <v>35</v>
      </c>
      <c r="E148" s="2" t="s">
        <v>36</v>
      </c>
      <c r="F148" s="2" t="s">
        <v>37</v>
      </c>
      <c r="G148" s="2" t="s">
        <v>38</v>
      </c>
      <c r="H148" s="2" t="s">
        <v>39</v>
      </c>
      <c r="I148" s="2" t="s">
        <v>29</v>
      </c>
      <c r="J148" s="2" t="s">
        <v>87</v>
      </c>
      <c r="K148" s="2" t="s">
        <v>88</v>
      </c>
      <c r="L148" s="3">
        <v>487.2</v>
      </c>
      <c r="M148">
        <v>30</v>
      </c>
      <c r="N148" s="3">
        <v>14616</v>
      </c>
      <c r="O148" t="str">
        <f t="shared" si="2"/>
        <v>Si</v>
      </c>
      <c r="U148" s="1"/>
      <c r="W148" s="2"/>
      <c r="X148" s="2"/>
      <c r="Y148" s="2"/>
      <c r="Z148" s="2"/>
      <c r="AD148" s="2"/>
      <c r="AE148" s="2"/>
      <c r="AF148" s="2"/>
      <c r="AG148" s="2"/>
      <c r="AH148" s="3"/>
      <c r="AJ148" s="3"/>
    </row>
    <row r="149" spans="1:36" x14ac:dyDescent="0.25">
      <c r="A149">
        <v>148</v>
      </c>
      <c r="B149" s="1">
        <v>43946</v>
      </c>
      <c r="C149">
        <v>9727843310</v>
      </c>
      <c r="D149" s="2" t="s">
        <v>48</v>
      </c>
      <c r="E149" s="2" t="s">
        <v>49</v>
      </c>
      <c r="F149" s="2" t="s">
        <v>50</v>
      </c>
      <c r="G149" s="2" t="s">
        <v>17</v>
      </c>
      <c r="H149" s="2" t="s">
        <v>18</v>
      </c>
      <c r="I149" s="2" t="s">
        <v>51</v>
      </c>
      <c r="J149" s="2" t="s">
        <v>89</v>
      </c>
      <c r="K149" s="2" t="s">
        <v>74</v>
      </c>
      <c r="L149" s="3">
        <v>140</v>
      </c>
      <c r="M149">
        <v>24</v>
      </c>
      <c r="N149" s="3">
        <v>3360</v>
      </c>
      <c r="O149" t="str">
        <f t="shared" si="2"/>
        <v>No</v>
      </c>
      <c r="U149" s="1"/>
      <c r="W149" s="2"/>
      <c r="X149" s="2"/>
      <c r="Y149" s="2"/>
      <c r="Z149" s="2"/>
      <c r="AD149" s="2"/>
      <c r="AE149" s="2"/>
      <c r="AF149" s="2"/>
      <c r="AG149" s="2"/>
      <c r="AH149" s="3"/>
      <c r="AJ149" s="3"/>
    </row>
    <row r="150" spans="1:36" x14ac:dyDescent="0.25">
      <c r="A150">
        <v>149</v>
      </c>
      <c r="B150" s="1">
        <v>43951</v>
      </c>
      <c r="C150">
        <v>536031236</v>
      </c>
      <c r="D150" s="2" t="s">
        <v>48</v>
      </c>
      <c r="E150" s="2" t="s">
        <v>49</v>
      </c>
      <c r="F150" s="2" t="s">
        <v>50</v>
      </c>
      <c r="G150" s="2" t="s">
        <v>17</v>
      </c>
      <c r="H150" s="2" t="s">
        <v>18</v>
      </c>
      <c r="I150" s="2" t="s">
        <v>51</v>
      </c>
      <c r="J150" s="2" t="s">
        <v>58</v>
      </c>
      <c r="K150" s="2" t="s">
        <v>59</v>
      </c>
      <c r="L150" s="3">
        <v>560</v>
      </c>
      <c r="M150">
        <v>28</v>
      </c>
      <c r="N150" s="3">
        <v>15680</v>
      </c>
      <c r="O150" t="str">
        <f t="shared" si="2"/>
        <v>Si</v>
      </c>
      <c r="U150" s="1"/>
      <c r="W150" s="2"/>
      <c r="X150" s="2"/>
      <c r="Y150" s="2"/>
      <c r="Z150" s="2"/>
      <c r="AD150" s="2"/>
      <c r="AE150" s="2"/>
      <c r="AF150" s="2"/>
      <c r="AG150" s="2"/>
      <c r="AH150" s="3"/>
      <c r="AJ150" s="3"/>
    </row>
    <row r="151" spans="1:36" x14ac:dyDescent="0.25">
      <c r="A151">
        <v>150</v>
      </c>
      <c r="B151" s="1">
        <v>44039</v>
      </c>
      <c r="C151">
        <v>1875435757</v>
      </c>
      <c r="D151" s="2" t="s">
        <v>64</v>
      </c>
      <c r="E151" s="2" t="s">
        <v>65</v>
      </c>
      <c r="F151" s="2" t="s">
        <v>65</v>
      </c>
      <c r="G151" s="2" t="s">
        <v>66</v>
      </c>
      <c r="H151" s="2" t="s">
        <v>18</v>
      </c>
      <c r="I151" s="2" t="s">
        <v>29</v>
      </c>
      <c r="J151" s="2" t="s">
        <v>91</v>
      </c>
      <c r="K151" s="2" t="s">
        <v>23</v>
      </c>
      <c r="L151" s="3">
        <v>140</v>
      </c>
      <c r="M151">
        <v>74</v>
      </c>
      <c r="N151" s="3">
        <v>10360</v>
      </c>
      <c r="O151" t="str">
        <f t="shared" si="2"/>
        <v>No</v>
      </c>
      <c r="U151" s="1"/>
      <c r="W151" s="2"/>
      <c r="X151" s="2"/>
      <c r="Y151" s="2"/>
      <c r="Z151" s="2"/>
      <c r="AD151" s="2"/>
      <c r="AE151" s="2"/>
      <c r="AF151" s="2"/>
      <c r="AG151" s="2"/>
      <c r="AH151" s="3"/>
      <c r="AJ151" s="3"/>
    </row>
    <row r="152" spans="1:36" x14ac:dyDescent="0.25">
      <c r="A152">
        <v>151</v>
      </c>
      <c r="B152" s="1">
        <v>44141</v>
      </c>
      <c r="C152">
        <v>8711973073</v>
      </c>
      <c r="D152" s="2" t="s">
        <v>64</v>
      </c>
      <c r="E152" s="2" t="s">
        <v>65</v>
      </c>
      <c r="F152" s="2" t="s">
        <v>65</v>
      </c>
      <c r="G152" s="2" t="s">
        <v>66</v>
      </c>
      <c r="H152" s="2" t="s">
        <v>28</v>
      </c>
      <c r="I152" s="2" t="s">
        <v>70</v>
      </c>
      <c r="J152" s="2" t="s">
        <v>22</v>
      </c>
      <c r="K152" s="2" t="s">
        <v>23</v>
      </c>
      <c r="L152" s="3">
        <v>49</v>
      </c>
      <c r="M152">
        <v>90</v>
      </c>
      <c r="N152" s="3">
        <v>4410</v>
      </c>
      <c r="O152" t="str">
        <f t="shared" si="2"/>
        <v>Si</v>
      </c>
      <c r="U152" s="1"/>
      <c r="W152" s="2"/>
      <c r="X152" s="2"/>
      <c r="Y152" s="2"/>
      <c r="Z152" s="2"/>
      <c r="AD152" s="2"/>
      <c r="AE152" s="2"/>
      <c r="AF152" s="2"/>
      <c r="AG152" s="2"/>
      <c r="AH152" s="3"/>
      <c r="AJ152" s="3"/>
    </row>
    <row r="153" spans="1:36" x14ac:dyDescent="0.25">
      <c r="A153">
        <v>152</v>
      </c>
      <c r="B153" s="1">
        <v>44169</v>
      </c>
      <c r="C153">
        <v>1214228285</v>
      </c>
      <c r="D153" s="2" t="s">
        <v>75</v>
      </c>
      <c r="E153" s="2" t="s">
        <v>76</v>
      </c>
      <c r="F153" s="2" t="s">
        <v>77</v>
      </c>
      <c r="G153" s="2" t="s">
        <v>63</v>
      </c>
      <c r="H153" s="2" t="s">
        <v>39</v>
      </c>
      <c r="I153" s="2" t="s">
        <v>70</v>
      </c>
      <c r="J153" s="2" t="s">
        <v>58</v>
      </c>
      <c r="K153" s="2" t="s">
        <v>59</v>
      </c>
      <c r="L153" s="3">
        <v>560</v>
      </c>
      <c r="M153">
        <v>27</v>
      </c>
      <c r="N153" s="3">
        <v>15120</v>
      </c>
      <c r="O153" t="str">
        <f t="shared" si="2"/>
        <v>No</v>
      </c>
      <c r="U153" s="1"/>
      <c r="W153" s="2"/>
      <c r="X153" s="2"/>
      <c r="Y153" s="2"/>
      <c r="Z153" s="2"/>
      <c r="AD153" s="2"/>
      <c r="AE153" s="2"/>
      <c r="AF153" s="2"/>
      <c r="AG153" s="2"/>
      <c r="AH153" s="3"/>
      <c r="AJ153" s="3"/>
    </row>
    <row r="154" spans="1:36" x14ac:dyDescent="0.25">
      <c r="A154">
        <v>153</v>
      </c>
      <c r="B154" s="1">
        <v>44083</v>
      </c>
      <c r="C154">
        <v>3447948983</v>
      </c>
      <c r="D154" s="2" t="s">
        <v>78</v>
      </c>
      <c r="E154" s="2" t="s">
        <v>79</v>
      </c>
      <c r="F154" s="2" t="s">
        <v>80</v>
      </c>
      <c r="G154" s="2" t="s">
        <v>38</v>
      </c>
      <c r="H154" s="2" t="s">
        <v>39</v>
      </c>
      <c r="I154" s="2" t="s">
        <v>70</v>
      </c>
      <c r="J154" s="2" t="s">
        <v>81</v>
      </c>
      <c r="K154" s="2" t="s">
        <v>82</v>
      </c>
      <c r="L154" s="3">
        <v>257.60000000000002</v>
      </c>
      <c r="M154">
        <v>71</v>
      </c>
      <c r="N154" s="3">
        <v>18289.599999999999</v>
      </c>
      <c r="O154" t="str">
        <f t="shared" si="2"/>
        <v>Si</v>
      </c>
      <c r="U154" s="1"/>
      <c r="W154" s="2"/>
      <c r="X154" s="2"/>
      <c r="Y154" s="2"/>
      <c r="Z154" s="2"/>
      <c r="AD154" s="2"/>
      <c r="AE154" s="2"/>
      <c r="AF154" s="2"/>
      <c r="AG154" s="2"/>
      <c r="AH154" s="3"/>
      <c r="AJ154" s="3"/>
    </row>
    <row r="155" spans="1:36" x14ac:dyDescent="0.25">
      <c r="A155">
        <v>154</v>
      </c>
      <c r="B155" s="1">
        <v>43963</v>
      </c>
      <c r="C155">
        <v>8753770178</v>
      </c>
      <c r="D155" s="2" t="s">
        <v>60</v>
      </c>
      <c r="E155" s="2" t="s">
        <v>61</v>
      </c>
      <c r="F155" s="2" t="s">
        <v>62</v>
      </c>
      <c r="G155" s="2" t="s">
        <v>63</v>
      </c>
      <c r="H155" s="2" t="s">
        <v>39</v>
      </c>
      <c r="I155" s="2" t="s">
        <v>29</v>
      </c>
      <c r="J155" s="2" t="s">
        <v>34</v>
      </c>
      <c r="K155" s="2" t="s">
        <v>21</v>
      </c>
      <c r="L155" s="3">
        <v>644</v>
      </c>
      <c r="M155">
        <v>74</v>
      </c>
      <c r="N155" s="3">
        <v>47656</v>
      </c>
      <c r="O155" t="str">
        <f t="shared" si="2"/>
        <v>No</v>
      </c>
      <c r="U155" s="1"/>
      <c r="W155" s="2"/>
      <c r="X155" s="2"/>
      <c r="Y155" s="2"/>
      <c r="Z155" s="2"/>
      <c r="AD155" s="2"/>
      <c r="AE155" s="2"/>
      <c r="AF155" s="2"/>
      <c r="AG155" s="2"/>
      <c r="AH155" s="3"/>
      <c r="AJ155" s="3"/>
    </row>
    <row r="156" spans="1:36" x14ac:dyDescent="0.25">
      <c r="A156">
        <v>155</v>
      </c>
      <c r="B156" s="1">
        <v>43855</v>
      </c>
      <c r="C156">
        <v>493013693</v>
      </c>
      <c r="D156" s="2" t="s">
        <v>83</v>
      </c>
      <c r="E156" s="2" t="s">
        <v>43</v>
      </c>
      <c r="F156" s="2" t="s">
        <v>44</v>
      </c>
      <c r="G156" s="2" t="s">
        <v>84</v>
      </c>
      <c r="H156" s="2" t="s">
        <v>28</v>
      </c>
      <c r="I156" s="2" t="s">
        <v>19</v>
      </c>
      <c r="J156" s="2" t="s">
        <v>52</v>
      </c>
      <c r="K156" s="2" t="s">
        <v>53</v>
      </c>
      <c r="L156" s="3">
        <v>135.1</v>
      </c>
      <c r="M156">
        <v>76</v>
      </c>
      <c r="N156" s="3">
        <v>10267.6</v>
      </c>
      <c r="O156" t="str">
        <f t="shared" si="2"/>
        <v>Si</v>
      </c>
      <c r="U156" s="1"/>
      <c r="W156" s="2"/>
      <c r="X156" s="2"/>
      <c r="Y156" s="2"/>
      <c r="Z156" s="2"/>
      <c r="AD156" s="2"/>
      <c r="AE156" s="2"/>
      <c r="AF156" s="2"/>
      <c r="AG156" s="2"/>
      <c r="AH156" s="3"/>
      <c r="AJ156" s="3"/>
    </row>
    <row r="157" spans="1:36" x14ac:dyDescent="0.25">
      <c r="A157">
        <v>156</v>
      </c>
      <c r="B157" s="1">
        <v>44132</v>
      </c>
      <c r="C157">
        <v>4097578178</v>
      </c>
      <c r="D157" s="2" t="s">
        <v>54</v>
      </c>
      <c r="E157" s="2" t="s">
        <v>55</v>
      </c>
      <c r="F157" s="2" t="s">
        <v>56</v>
      </c>
      <c r="G157" s="2" t="s">
        <v>57</v>
      </c>
      <c r="H157" s="2" t="s">
        <v>18</v>
      </c>
      <c r="I157" s="2" t="s">
        <v>29</v>
      </c>
      <c r="J157" s="2" t="s">
        <v>46</v>
      </c>
      <c r="K157" s="2" t="s">
        <v>47</v>
      </c>
      <c r="L157" s="3">
        <v>178.5</v>
      </c>
      <c r="M157">
        <v>96</v>
      </c>
      <c r="N157" s="3">
        <v>17136</v>
      </c>
      <c r="O157" t="str">
        <f t="shared" si="2"/>
        <v>No</v>
      </c>
      <c r="U157" s="1"/>
      <c r="W157" s="2"/>
      <c r="X157" s="2"/>
      <c r="Y157" s="2"/>
      <c r="Z157" s="2"/>
      <c r="AD157" s="2"/>
      <c r="AE157" s="2"/>
      <c r="AF157" s="2"/>
      <c r="AG157" s="2"/>
      <c r="AH157" s="3"/>
      <c r="AJ157" s="3"/>
    </row>
    <row r="158" spans="1:36" x14ac:dyDescent="0.25">
      <c r="A158">
        <v>157</v>
      </c>
      <c r="B158" s="1">
        <v>44018</v>
      </c>
      <c r="C158">
        <v>9949307477</v>
      </c>
      <c r="D158" s="2" t="s">
        <v>35</v>
      </c>
      <c r="E158" s="2" t="s">
        <v>36</v>
      </c>
      <c r="F158" s="2" t="s">
        <v>37</v>
      </c>
      <c r="G158" s="2" t="s">
        <v>38</v>
      </c>
      <c r="H158" s="2" t="s">
        <v>18</v>
      </c>
      <c r="I158" s="2" t="s">
        <v>19</v>
      </c>
      <c r="J158" s="2" t="s">
        <v>46</v>
      </c>
      <c r="K158" s="2" t="s">
        <v>47</v>
      </c>
      <c r="L158" s="3">
        <v>178.5</v>
      </c>
      <c r="M158">
        <v>92</v>
      </c>
      <c r="N158" s="3">
        <v>16422</v>
      </c>
      <c r="O158" t="str">
        <f t="shared" si="2"/>
        <v>Si</v>
      </c>
      <c r="U158" s="1"/>
      <c r="W158" s="2"/>
      <c r="X158" s="2"/>
      <c r="Y158" s="2"/>
      <c r="Z158" s="2"/>
      <c r="AD158" s="2"/>
      <c r="AE158" s="2"/>
      <c r="AF158" s="2"/>
      <c r="AG158" s="2"/>
      <c r="AH158" s="3"/>
      <c r="AJ158" s="3"/>
    </row>
    <row r="159" spans="1:36" x14ac:dyDescent="0.25">
      <c r="A159">
        <v>158</v>
      </c>
      <c r="B159" s="1">
        <v>43972</v>
      </c>
      <c r="C159">
        <v>2521830520</v>
      </c>
      <c r="D159" s="2" t="s">
        <v>92</v>
      </c>
      <c r="E159" s="2" t="s">
        <v>65</v>
      </c>
      <c r="F159" s="2" t="s">
        <v>65</v>
      </c>
      <c r="G159" s="2" t="s">
        <v>66</v>
      </c>
      <c r="H159" s="2" t="s">
        <v>28</v>
      </c>
      <c r="I159" s="2" t="s">
        <v>51</v>
      </c>
      <c r="J159" s="2" t="s">
        <v>73</v>
      </c>
      <c r="K159" s="2" t="s">
        <v>74</v>
      </c>
      <c r="L159" s="3">
        <v>308</v>
      </c>
      <c r="M159">
        <v>93</v>
      </c>
      <c r="N159" s="3">
        <v>28644</v>
      </c>
      <c r="O159" t="str">
        <f t="shared" si="2"/>
        <v>No</v>
      </c>
      <c r="U159" s="1"/>
      <c r="W159" s="2"/>
      <c r="X159" s="2"/>
      <c r="Y159" s="2"/>
      <c r="Z159" s="2"/>
      <c r="AD159" s="2"/>
      <c r="AE159" s="2"/>
      <c r="AF159" s="2"/>
      <c r="AG159" s="2"/>
      <c r="AH159" s="3"/>
      <c r="AJ159" s="3"/>
    </row>
    <row r="160" spans="1:36" x14ac:dyDescent="0.25">
      <c r="A160">
        <v>159</v>
      </c>
      <c r="B160" s="1">
        <v>43982</v>
      </c>
      <c r="C160">
        <v>4224616034</v>
      </c>
      <c r="D160" s="2" t="s">
        <v>93</v>
      </c>
      <c r="E160" s="2" t="s">
        <v>76</v>
      </c>
      <c r="F160" s="2" t="s">
        <v>77</v>
      </c>
      <c r="G160" s="2" t="s">
        <v>63</v>
      </c>
      <c r="H160" s="2" t="s">
        <v>39</v>
      </c>
      <c r="I160" s="2" t="s">
        <v>29</v>
      </c>
      <c r="J160" s="2" t="s">
        <v>71</v>
      </c>
      <c r="K160" s="2" t="s">
        <v>72</v>
      </c>
      <c r="L160" s="3">
        <v>350</v>
      </c>
      <c r="M160">
        <v>18</v>
      </c>
      <c r="N160" s="3">
        <v>6300</v>
      </c>
      <c r="O160" t="str">
        <f t="shared" si="2"/>
        <v>Si</v>
      </c>
      <c r="U160" s="1"/>
      <c r="W160" s="2"/>
      <c r="X160" s="2"/>
      <c r="Y160" s="2"/>
      <c r="Z160" s="2"/>
      <c r="AD160" s="2"/>
      <c r="AE160" s="2"/>
      <c r="AF160" s="2"/>
      <c r="AG160" s="2"/>
      <c r="AH160" s="3"/>
      <c r="AJ160" s="3"/>
    </row>
    <row r="161" spans="1:36" x14ac:dyDescent="0.25">
      <c r="A161">
        <v>160</v>
      </c>
      <c r="B161" s="1">
        <v>44049</v>
      </c>
      <c r="C161">
        <v>7169314881</v>
      </c>
      <c r="D161" s="2" t="s">
        <v>42</v>
      </c>
      <c r="E161" s="2" t="s">
        <v>43</v>
      </c>
      <c r="F161" s="2" t="s">
        <v>44</v>
      </c>
      <c r="G161" s="2" t="s">
        <v>45</v>
      </c>
      <c r="H161" s="2" t="s">
        <v>18</v>
      </c>
      <c r="I161" s="2" t="s">
        <v>19</v>
      </c>
      <c r="J161" s="2" t="s">
        <v>94</v>
      </c>
      <c r="K161" s="2" t="s">
        <v>95</v>
      </c>
      <c r="L161" s="3">
        <v>546</v>
      </c>
      <c r="M161">
        <v>98</v>
      </c>
      <c r="N161" s="3">
        <v>53508</v>
      </c>
      <c r="O161" t="str">
        <f t="shared" si="2"/>
        <v>No</v>
      </c>
      <c r="U161" s="1"/>
      <c r="W161" s="2"/>
      <c r="X161" s="2"/>
      <c r="Y161" s="2"/>
      <c r="Z161" s="2"/>
      <c r="AD161" s="2"/>
      <c r="AE161" s="2"/>
      <c r="AF161" s="2"/>
      <c r="AG161" s="2"/>
      <c r="AH161" s="3"/>
      <c r="AJ161" s="3"/>
    </row>
    <row r="162" spans="1:36" x14ac:dyDescent="0.25">
      <c r="A162">
        <v>161</v>
      </c>
      <c r="B162" s="1">
        <v>44018</v>
      </c>
      <c r="C162">
        <v>8313545064</v>
      </c>
      <c r="D162" s="2" t="s">
        <v>54</v>
      </c>
      <c r="E162" s="2" t="s">
        <v>55</v>
      </c>
      <c r="F162" s="2" t="s">
        <v>56</v>
      </c>
      <c r="G162" s="2" t="s">
        <v>57</v>
      </c>
      <c r="H162" s="2" t="s">
        <v>39</v>
      </c>
      <c r="I162" s="2" t="s">
        <v>19</v>
      </c>
      <c r="J162" s="2" t="s">
        <v>30</v>
      </c>
      <c r="K162" s="2" t="s">
        <v>23</v>
      </c>
      <c r="L162" s="3">
        <v>420</v>
      </c>
      <c r="M162">
        <v>46</v>
      </c>
      <c r="N162" s="3">
        <v>19320</v>
      </c>
      <c r="O162" t="str">
        <f t="shared" si="2"/>
        <v>Si</v>
      </c>
      <c r="U162" s="1"/>
      <c r="W162" s="2"/>
      <c r="X162" s="2"/>
      <c r="Y162" s="2"/>
      <c r="Z162" s="2"/>
      <c r="AD162" s="2"/>
      <c r="AE162" s="2"/>
      <c r="AF162" s="2"/>
      <c r="AG162" s="2"/>
      <c r="AH162" s="3"/>
      <c r="AJ162" s="3"/>
    </row>
    <row r="163" spans="1:36" x14ac:dyDescent="0.25">
      <c r="A163">
        <v>162</v>
      </c>
      <c r="B163" s="1">
        <v>44064</v>
      </c>
      <c r="C163">
        <v>5739621013</v>
      </c>
      <c r="D163" s="2" t="s">
        <v>54</v>
      </c>
      <c r="E163" s="2" t="s">
        <v>55</v>
      </c>
      <c r="F163" s="2" t="s">
        <v>56</v>
      </c>
      <c r="G163" s="2" t="s">
        <v>57</v>
      </c>
      <c r="H163" s="2" t="s">
        <v>39</v>
      </c>
      <c r="I163" s="2" t="s">
        <v>19</v>
      </c>
      <c r="J163" s="2" t="s">
        <v>31</v>
      </c>
      <c r="K163" s="2" t="s">
        <v>23</v>
      </c>
      <c r="L163" s="3">
        <v>742</v>
      </c>
      <c r="M163">
        <v>14</v>
      </c>
      <c r="N163" s="3">
        <v>10388</v>
      </c>
      <c r="O163" t="str">
        <f t="shared" si="2"/>
        <v>No</v>
      </c>
      <c r="U163" s="1"/>
      <c r="W163" s="2"/>
      <c r="X163" s="2"/>
      <c r="Y163" s="2"/>
      <c r="Z163" s="2"/>
      <c r="AD163" s="2"/>
      <c r="AE163" s="2"/>
      <c r="AF163" s="2"/>
      <c r="AG163" s="2"/>
      <c r="AH163" s="3"/>
      <c r="AJ163" s="3"/>
    </row>
    <row r="164" spans="1:36" x14ac:dyDescent="0.25">
      <c r="A164">
        <v>163</v>
      </c>
      <c r="B164" s="1">
        <v>43942</v>
      </c>
      <c r="C164">
        <v>1789830506</v>
      </c>
      <c r="D164" s="2" t="s">
        <v>24</v>
      </c>
      <c r="E164" s="2" t="s">
        <v>25</v>
      </c>
      <c r="F164" s="2" t="s">
        <v>26</v>
      </c>
      <c r="G164" s="2" t="s">
        <v>27</v>
      </c>
      <c r="H164" s="2" t="s">
        <v>70</v>
      </c>
      <c r="I164" s="2" t="s">
        <v>70</v>
      </c>
      <c r="J164" s="2" t="s">
        <v>96</v>
      </c>
      <c r="K164" s="2" t="s">
        <v>86</v>
      </c>
      <c r="L164" s="3">
        <v>532</v>
      </c>
      <c r="M164">
        <v>85</v>
      </c>
      <c r="N164" s="3">
        <v>45220</v>
      </c>
      <c r="O164" t="str">
        <f t="shared" si="2"/>
        <v>Si</v>
      </c>
      <c r="U164" s="1"/>
      <c r="W164" s="2"/>
      <c r="X164" s="2"/>
      <c r="Y164" s="2"/>
      <c r="Z164" s="2"/>
      <c r="AD164" s="2"/>
      <c r="AE164" s="2"/>
      <c r="AF164" s="2"/>
      <c r="AG164" s="2"/>
      <c r="AH164" s="3"/>
      <c r="AJ164" s="3"/>
    </row>
    <row r="165" spans="1:36" x14ac:dyDescent="0.25">
      <c r="A165">
        <v>164</v>
      </c>
      <c r="B165" s="1">
        <v>44098</v>
      </c>
      <c r="C165">
        <v>6281652174</v>
      </c>
      <c r="D165" s="2" t="s">
        <v>48</v>
      </c>
      <c r="E165" s="2" t="s">
        <v>49</v>
      </c>
      <c r="F165" s="2" t="s">
        <v>50</v>
      </c>
      <c r="G165" s="2" t="s">
        <v>17</v>
      </c>
      <c r="H165" s="2" t="s">
        <v>70</v>
      </c>
      <c r="I165" s="2" t="s">
        <v>70</v>
      </c>
      <c r="J165" s="2" t="s">
        <v>67</v>
      </c>
      <c r="K165" s="2" t="s">
        <v>21</v>
      </c>
      <c r="L165" s="3">
        <v>41.86</v>
      </c>
      <c r="M165">
        <v>88</v>
      </c>
      <c r="N165" s="3">
        <v>3683.68</v>
      </c>
      <c r="O165" t="str">
        <f t="shared" si="2"/>
        <v>No</v>
      </c>
      <c r="U165" s="1"/>
      <c r="W165" s="2"/>
      <c r="X165" s="2"/>
      <c r="Y165" s="2"/>
      <c r="Z165" s="2"/>
      <c r="AD165" s="2"/>
      <c r="AE165" s="2"/>
      <c r="AF165" s="2"/>
      <c r="AG165" s="2"/>
      <c r="AH165" s="3"/>
      <c r="AJ165" s="3"/>
    </row>
    <row r="166" spans="1:36" x14ac:dyDescent="0.25">
      <c r="A166">
        <v>165</v>
      </c>
      <c r="B166" s="1">
        <v>43859</v>
      </c>
      <c r="C166">
        <v>8126696083</v>
      </c>
      <c r="D166" s="2" t="s">
        <v>78</v>
      </c>
      <c r="E166" s="2" t="s">
        <v>79</v>
      </c>
      <c r="F166" s="2" t="s">
        <v>80</v>
      </c>
      <c r="G166" s="2" t="s">
        <v>38</v>
      </c>
      <c r="H166" s="2" t="s">
        <v>70</v>
      </c>
      <c r="I166" s="2" t="s">
        <v>70</v>
      </c>
      <c r="J166" s="2" t="s">
        <v>67</v>
      </c>
      <c r="K166" s="2" t="s">
        <v>21</v>
      </c>
      <c r="L166" s="3">
        <v>41.86</v>
      </c>
      <c r="M166">
        <v>81</v>
      </c>
      <c r="N166" s="3">
        <v>3390.66</v>
      </c>
      <c r="O166" t="str">
        <f t="shared" si="2"/>
        <v>Si</v>
      </c>
      <c r="U166" s="1"/>
      <c r="W166" s="2"/>
      <c r="X166" s="2"/>
      <c r="Y166" s="2"/>
      <c r="Z166" s="2"/>
      <c r="AD166" s="2"/>
      <c r="AE166" s="2"/>
      <c r="AF166" s="2"/>
      <c r="AG166" s="2"/>
      <c r="AH166" s="3"/>
      <c r="AJ166" s="3"/>
    </row>
    <row r="167" spans="1:36" x14ac:dyDescent="0.25">
      <c r="A167">
        <v>166</v>
      </c>
      <c r="B167" s="1">
        <v>44160</v>
      </c>
      <c r="C167">
        <v>2706456269</v>
      </c>
      <c r="D167" s="2" t="s">
        <v>60</v>
      </c>
      <c r="E167" s="2" t="s">
        <v>61</v>
      </c>
      <c r="F167" s="2" t="s">
        <v>62</v>
      </c>
      <c r="G167" s="2" t="s">
        <v>63</v>
      </c>
      <c r="H167" s="2" t="s">
        <v>39</v>
      </c>
      <c r="I167" s="2" t="s">
        <v>29</v>
      </c>
      <c r="J167" s="2" t="s">
        <v>52</v>
      </c>
      <c r="K167" s="2" t="s">
        <v>53</v>
      </c>
      <c r="L167" s="3">
        <v>135.1</v>
      </c>
      <c r="M167">
        <v>33</v>
      </c>
      <c r="N167" s="3">
        <v>4458.3</v>
      </c>
      <c r="O167" t="str">
        <f t="shared" si="2"/>
        <v>No</v>
      </c>
      <c r="U167" s="1"/>
      <c r="W167" s="2"/>
      <c r="X167" s="2"/>
      <c r="Y167" s="2"/>
      <c r="Z167" s="2"/>
      <c r="AD167" s="2"/>
      <c r="AE167" s="2"/>
      <c r="AF167" s="2"/>
      <c r="AG167" s="2"/>
      <c r="AH167" s="3"/>
      <c r="AJ167" s="3"/>
    </row>
    <row r="168" spans="1:36" x14ac:dyDescent="0.25">
      <c r="A168">
        <v>167</v>
      </c>
      <c r="B168" s="1">
        <v>44167</v>
      </c>
      <c r="C168">
        <v>6159315697</v>
      </c>
      <c r="D168" s="2" t="s">
        <v>60</v>
      </c>
      <c r="E168" s="2" t="s">
        <v>61</v>
      </c>
      <c r="F168" s="2" t="s">
        <v>62</v>
      </c>
      <c r="G168" s="2" t="s">
        <v>63</v>
      </c>
      <c r="H168" s="2" t="s">
        <v>39</v>
      </c>
      <c r="I168" s="2" t="s">
        <v>29</v>
      </c>
      <c r="J168" s="2" t="s">
        <v>81</v>
      </c>
      <c r="K168" s="2" t="s">
        <v>82</v>
      </c>
      <c r="L168" s="3">
        <v>257.60000000000002</v>
      </c>
      <c r="M168">
        <v>47</v>
      </c>
      <c r="N168" s="3">
        <v>12107.2</v>
      </c>
      <c r="O168" t="str">
        <f t="shared" si="2"/>
        <v>Si</v>
      </c>
      <c r="U168" s="1"/>
      <c r="W168" s="2"/>
      <c r="X168" s="2"/>
      <c r="Y168" s="2"/>
      <c r="Z168" s="2"/>
      <c r="AD168" s="2"/>
      <c r="AE168" s="2"/>
      <c r="AF168" s="2"/>
      <c r="AG168" s="2"/>
      <c r="AH168" s="3"/>
      <c r="AJ168" s="3"/>
    </row>
    <row r="169" spans="1:36" x14ac:dyDescent="0.25">
      <c r="A169">
        <v>168</v>
      </c>
      <c r="B169" s="1">
        <v>44026</v>
      </c>
      <c r="C169">
        <v>2749029538</v>
      </c>
      <c r="D169" s="2" t="s">
        <v>83</v>
      </c>
      <c r="E169" s="2" t="s">
        <v>43</v>
      </c>
      <c r="F169" s="2" t="s">
        <v>44</v>
      </c>
      <c r="G169" s="2" t="s">
        <v>84</v>
      </c>
      <c r="H169" s="2" t="s">
        <v>28</v>
      </c>
      <c r="I169" s="2" t="s">
        <v>19</v>
      </c>
      <c r="J169" s="2" t="s">
        <v>85</v>
      </c>
      <c r="K169" s="2" t="s">
        <v>86</v>
      </c>
      <c r="L169" s="3">
        <v>273</v>
      </c>
      <c r="M169">
        <v>61</v>
      </c>
      <c r="N169" s="3">
        <v>16653</v>
      </c>
      <c r="O169" t="str">
        <f t="shared" si="2"/>
        <v>No</v>
      </c>
      <c r="U169" s="1"/>
      <c r="W169" s="2"/>
      <c r="X169" s="2"/>
      <c r="Y169" s="2"/>
      <c r="Z169" s="2"/>
      <c r="AD169" s="2"/>
      <c r="AE169" s="2"/>
      <c r="AF169" s="2"/>
      <c r="AG169" s="2"/>
      <c r="AH169" s="3"/>
      <c r="AJ169" s="3"/>
    </row>
    <row r="170" spans="1:36" x14ac:dyDescent="0.25">
      <c r="A170">
        <v>169</v>
      </c>
      <c r="B170" s="1">
        <v>43998</v>
      </c>
      <c r="C170">
        <v>9017454158</v>
      </c>
      <c r="D170" s="2" t="s">
        <v>83</v>
      </c>
      <c r="E170" s="2" t="s">
        <v>43</v>
      </c>
      <c r="F170" s="2" t="s">
        <v>44</v>
      </c>
      <c r="G170" s="2" t="s">
        <v>84</v>
      </c>
      <c r="H170" s="2" t="s">
        <v>28</v>
      </c>
      <c r="I170" s="2" t="s">
        <v>19</v>
      </c>
      <c r="J170" s="2" t="s">
        <v>87</v>
      </c>
      <c r="K170" s="2" t="s">
        <v>88</v>
      </c>
      <c r="L170" s="3">
        <v>487.2</v>
      </c>
      <c r="M170">
        <v>27</v>
      </c>
      <c r="N170" s="3">
        <v>13154.4</v>
      </c>
      <c r="O170" t="str">
        <f t="shared" si="2"/>
        <v>Si</v>
      </c>
      <c r="U170" s="1"/>
      <c r="W170" s="2"/>
      <c r="X170" s="2"/>
      <c r="Y170" s="2"/>
      <c r="Z170" s="2"/>
      <c r="AD170" s="2"/>
      <c r="AE170" s="2"/>
      <c r="AF170" s="2"/>
      <c r="AG170" s="2"/>
      <c r="AH170" s="3"/>
      <c r="AJ170" s="3"/>
    </row>
    <row r="171" spans="1:36" x14ac:dyDescent="0.25">
      <c r="A171">
        <v>170</v>
      </c>
      <c r="B171" s="1">
        <v>43893</v>
      </c>
      <c r="C171">
        <v>445300235</v>
      </c>
      <c r="D171" s="2" t="s">
        <v>54</v>
      </c>
      <c r="E171" s="2" t="s">
        <v>55</v>
      </c>
      <c r="F171" s="2" t="s">
        <v>56</v>
      </c>
      <c r="G171" s="2" t="s">
        <v>57</v>
      </c>
      <c r="H171" s="2" t="s">
        <v>18</v>
      </c>
      <c r="I171" s="2" t="s">
        <v>29</v>
      </c>
      <c r="J171" s="2" t="s">
        <v>20</v>
      </c>
      <c r="K171" s="2" t="s">
        <v>21</v>
      </c>
      <c r="L171" s="3">
        <v>196</v>
      </c>
      <c r="M171">
        <v>84</v>
      </c>
      <c r="N171" s="3">
        <v>16464</v>
      </c>
      <c r="O171" t="str">
        <f t="shared" si="2"/>
        <v>No</v>
      </c>
      <c r="U171" s="1"/>
      <c r="W171" s="2"/>
      <c r="X171" s="2"/>
      <c r="Y171" s="2"/>
      <c r="Z171" s="2"/>
      <c r="AD171" s="2"/>
      <c r="AE171" s="2"/>
      <c r="AF171" s="2"/>
      <c r="AG171" s="2"/>
      <c r="AH171" s="3"/>
      <c r="AJ171" s="3"/>
    </row>
    <row r="172" spans="1:36" x14ac:dyDescent="0.25">
      <c r="A172">
        <v>171</v>
      </c>
      <c r="B172" s="1">
        <v>43844</v>
      </c>
      <c r="C172">
        <v>3498781571</v>
      </c>
      <c r="D172" s="2" t="s">
        <v>35</v>
      </c>
      <c r="E172" s="2" t="s">
        <v>36</v>
      </c>
      <c r="F172" s="2" t="s">
        <v>37</v>
      </c>
      <c r="G172" s="2" t="s">
        <v>38</v>
      </c>
      <c r="H172" s="2" t="s">
        <v>18</v>
      </c>
      <c r="I172" s="2" t="s">
        <v>19</v>
      </c>
      <c r="J172" s="2" t="s">
        <v>58</v>
      </c>
      <c r="K172" s="2" t="s">
        <v>59</v>
      </c>
      <c r="L172" s="3">
        <v>560</v>
      </c>
      <c r="M172">
        <v>91</v>
      </c>
      <c r="N172" s="3">
        <v>50960</v>
      </c>
      <c r="O172" t="str">
        <f t="shared" si="2"/>
        <v>Si</v>
      </c>
      <c r="U172" s="1"/>
      <c r="W172" s="2"/>
      <c r="X172" s="2"/>
      <c r="Y172" s="2"/>
      <c r="Z172" s="2"/>
      <c r="AD172" s="2"/>
      <c r="AE172" s="2"/>
      <c r="AF172" s="2"/>
      <c r="AG172" s="2"/>
      <c r="AH172" s="3"/>
      <c r="AJ172" s="3"/>
    </row>
    <row r="173" spans="1:36" x14ac:dyDescent="0.25">
      <c r="A173">
        <v>172</v>
      </c>
      <c r="B173" s="1">
        <v>44008</v>
      </c>
      <c r="C173">
        <v>376477229</v>
      </c>
      <c r="D173" s="2" t="s">
        <v>35</v>
      </c>
      <c r="E173" s="2" t="s">
        <v>36</v>
      </c>
      <c r="F173" s="2" t="s">
        <v>37</v>
      </c>
      <c r="G173" s="2" t="s">
        <v>38</v>
      </c>
      <c r="H173" s="2" t="s">
        <v>18</v>
      </c>
      <c r="I173" s="2" t="s">
        <v>19</v>
      </c>
      <c r="J173" s="2" t="s">
        <v>40</v>
      </c>
      <c r="K173" s="2" t="s">
        <v>41</v>
      </c>
      <c r="L173" s="3">
        <v>128.80000000000001</v>
      </c>
      <c r="M173">
        <v>36</v>
      </c>
      <c r="N173" s="3">
        <v>4636.8</v>
      </c>
      <c r="O173" t="str">
        <f t="shared" si="2"/>
        <v>No</v>
      </c>
      <c r="U173" s="1"/>
      <c r="W173" s="2"/>
      <c r="X173" s="2"/>
      <c r="Y173" s="2"/>
      <c r="Z173" s="2"/>
      <c r="AD173" s="2"/>
      <c r="AE173" s="2"/>
      <c r="AF173" s="2"/>
      <c r="AG173" s="2"/>
      <c r="AH173" s="3"/>
      <c r="AJ173" s="3"/>
    </row>
    <row r="174" spans="1:36" x14ac:dyDescent="0.25">
      <c r="A174">
        <v>173</v>
      </c>
      <c r="B174" s="1">
        <v>44119</v>
      </c>
      <c r="C174">
        <v>1790721708</v>
      </c>
      <c r="D174" s="2" t="s">
        <v>92</v>
      </c>
      <c r="E174" s="2" t="s">
        <v>65</v>
      </c>
      <c r="F174" s="2" t="s">
        <v>65</v>
      </c>
      <c r="G174" s="2" t="s">
        <v>66</v>
      </c>
      <c r="H174" s="2" t="s">
        <v>28</v>
      </c>
      <c r="I174" s="2" t="s">
        <v>51</v>
      </c>
      <c r="J174" s="2" t="s">
        <v>97</v>
      </c>
      <c r="K174" s="2" t="s">
        <v>41</v>
      </c>
      <c r="L174" s="3">
        <v>140</v>
      </c>
      <c r="M174">
        <v>34</v>
      </c>
      <c r="N174" s="3">
        <v>4760</v>
      </c>
      <c r="O174" t="str">
        <f t="shared" si="2"/>
        <v>Si</v>
      </c>
      <c r="U174" s="1"/>
      <c r="W174" s="2"/>
      <c r="X174" s="2"/>
      <c r="Y174" s="2"/>
      <c r="Z174" s="2"/>
      <c r="AD174" s="2"/>
      <c r="AE174" s="2"/>
      <c r="AF174" s="2"/>
      <c r="AG174" s="2"/>
      <c r="AH174" s="3"/>
      <c r="AJ174" s="3"/>
    </row>
    <row r="175" spans="1:36" x14ac:dyDescent="0.25">
      <c r="A175">
        <v>174</v>
      </c>
      <c r="B175" s="1">
        <v>43831</v>
      </c>
      <c r="C175">
        <v>434033868</v>
      </c>
      <c r="D175" s="2" t="s">
        <v>93</v>
      </c>
      <c r="E175" s="2" t="s">
        <v>76</v>
      </c>
      <c r="F175" s="2" t="s">
        <v>77</v>
      </c>
      <c r="G175" s="2" t="s">
        <v>63</v>
      </c>
      <c r="H175" s="2" t="s">
        <v>39</v>
      </c>
      <c r="I175" s="2" t="s">
        <v>29</v>
      </c>
      <c r="J175" s="2" t="s">
        <v>98</v>
      </c>
      <c r="K175" s="2" t="s">
        <v>99</v>
      </c>
      <c r="L175" s="3">
        <v>298.89999999999998</v>
      </c>
      <c r="M175">
        <v>81</v>
      </c>
      <c r="N175" s="3">
        <v>24210.9</v>
      </c>
      <c r="O175" t="str">
        <f t="shared" si="2"/>
        <v>No</v>
      </c>
      <c r="U175" s="1"/>
      <c r="W175" s="2"/>
      <c r="X175" s="2"/>
      <c r="Y175" s="2"/>
      <c r="Z175" s="2"/>
      <c r="AD175" s="2"/>
      <c r="AE175" s="2"/>
      <c r="AF175" s="2"/>
      <c r="AG175" s="2"/>
      <c r="AH175" s="3"/>
      <c r="AJ175" s="3"/>
    </row>
    <row r="176" spans="1:36" x14ac:dyDescent="0.25">
      <c r="A176">
        <v>175</v>
      </c>
      <c r="B176" s="1">
        <v>44054</v>
      </c>
      <c r="C176">
        <v>3247684317</v>
      </c>
      <c r="D176" s="2" t="s">
        <v>93</v>
      </c>
      <c r="E176" s="2" t="s">
        <v>76</v>
      </c>
      <c r="F176" s="2" t="s">
        <v>77</v>
      </c>
      <c r="G176" s="2" t="s">
        <v>63</v>
      </c>
      <c r="H176" s="2" t="s">
        <v>39</v>
      </c>
      <c r="I176" s="2" t="s">
        <v>29</v>
      </c>
      <c r="J176" s="2" t="s">
        <v>52</v>
      </c>
      <c r="K176" s="2" t="s">
        <v>53</v>
      </c>
      <c r="L176" s="3">
        <v>135.1</v>
      </c>
      <c r="M176">
        <v>25</v>
      </c>
      <c r="N176" s="3">
        <v>3377.5</v>
      </c>
      <c r="O176" t="str">
        <f t="shared" si="2"/>
        <v>Si</v>
      </c>
      <c r="U176" s="1"/>
      <c r="W176" s="2"/>
      <c r="X176" s="2"/>
      <c r="Y176" s="2"/>
      <c r="Z176" s="2"/>
      <c r="AD176" s="2"/>
      <c r="AE176" s="2"/>
      <c r="AF176" s="2"/>
      <c r="AG176" s="2"/>
      <c r="AH176" s="3"/>
      <c r="AJ176" s="3"/>
    </row>
    <row r="177" spans="1:36" x14ac:dyDescent="0.25">
      <c r="A177">
        <v>176</v>
      </c>
      <c r="B177" s="1">
        <v>43933</v>
      </c>
      <c r="C177">
        <v>6492121203</v>
      </c>
      <c r="D177" s="2" t="s">
        <v>93</v>
      </c>
      <c r="E177" s="2" t="s">
        <v>76</v>
      </c>
      <c r="F177" s="2" t="s">
        <v>77</v>
      </c>
      <c r="G177" s="2" t="s">
        <v>63</v>
      </c>
      <c r="H177" s="2" t="s">
        <v>39</v>
      </c>
      <c r="I177" s="2" t="s">
        <v>29</v>
      </c>
      <c r="J177" s="2" t="s">
        <v>81</v>
      </c>
      <c r="K177" s="2" t="s">
        <v>82</v>
      </c>
      <c r="L177" s="3">
        <v>257.60000000000002</v>
      </c>
      <c r="M177">
        <v>12</v>
      </c>
      <c r="N177" s="3">
        <v>3091.2</v>
      </c>
      <c r="O177" t="str">
        <f t="shared" si="2"/>
        <v>No</v>
      </c>
      <c r="U177" s="1"/>
      <c r="W177" s="2"/>
      <c r="X177" s="2"/>
      <c r="Y177" s="2"/>
      <c r="Z177" s="2"/>
      <c r="AD177" s="2"/>
      <c r="AE177" s="2"/>
      <c r="AF177" s="2"/>
      <c r="AG177" s="2"/>
      <c r="AH177" s="3"/>
      <c r="AJ177" s="3"/>
    </row>
    <row r="178" spans="1:36" x14ac:dyDescent="0.25">
      <c r="A178">
        <v>177</v>
      </c>
      <c r="B178" s="1">
        <v>43859</v>
      </c>
      <c r="C178">
        <v>1661667624</v>
      </c>
      <c r="D178" s="2" t="s">
        <v>42</v>
      </c>
      <c r="E178" s="2" t="s">
        <v>43</v>
      </c>
      <c r="F178" s="2" t="s">
        <v>44</v>
      </c>
      <c r="G178" s="2" t="s">
        <v>45</v>
      </c>
      <c r="H178" s="2" t="s">
        <v>18</v>
      </c>
      <c r="I178" s="2" t="s">
        <v>19</v>
      </c>
      <c r="J178" s="2" t="s">
        <v>20</v>
      </c>
      <c r="K178" s="2" t="s">
        <v>21</v>
      </c>
      <c r="L178" s="3">
        <v>196</v>
      </c>
      <c r="M178">
        <v>23</v>
      </c>
      <c r="N178" s="3">
        <v>4508</v>
      </c>
      <c r="O178" t="str">
        <f t="shared" si="2"/>
        <v>Si</v>
      </c>
      <c r="U178" s="1"/>
      <c r="W178" s="2"/>
      <c r="X178" s="2"/>
      <c r="Y178" s="2"/>
      <c r="Z178" s="2"/>
      <c r="AD178" s="2"/>
      <c r="AE178" s="2"/>
      <c r="AF178" s="2"/>
      <c r="AG178" s="2"/>
      <c r="AH178" s="3"/>
      <c r="AJ178" s="3"/>
    </row>
    <row r="179" spans="1:36" x14ac:dyDescent="0.25">
      <c r="A179">
        <v>178</v>
      </c>
      <c r="B179" s="1">
        <v>44188</v>
      </c>
      <c r="C179">
        <v>1127190015</v>
      </c>
      <c r="D179" s="2" t="s">
        <v>54</v>
      </c>
      <c r="E179" s="2" t="s">
        <v>55</v>
      </c>
      <c r="F179" s="2" t="s">
        <v>56</v>
      </c>
      <c r="G179" s="2" t="s">
        <v>57</v>
      </c>
      <c r="H179" s="2" t="s">
        <v>39</v>
      </c>
      <c r="I179" s="2" t="s">
        <v>19</v>
      </c>
      <c r="J179" s="2" t="s">
        <v>46</v>
      </c>
      <c r="K179" s="2" t="s">
        <v>47</v>
      </c>
      <c r="L179" s="3">
        <v>178.5</v>
      </c>
      <c r="M179">
        <v>76</v>
      </c>
      <c r="N179" s="3">
        <v>13566</v>
      </c>
      <c r="O179" t="str">
        <f t="shared" si="2"/>
        <v>No</v>
      </c>
      <c r="U179" s="1"/>
      <c r="W179" s="2"/>
      <c r="X179" s="2"/>
      <c r="Y179" s="2"/>
      <c r="Z179" s="2"/>
      <c r="AD179" s="2"/>
      <c r="AE179" s="2"/>
      <c r="AF179" s="2"/>
      <c r="AG179" s="2"/>
      <c r="AH179" s="3"/>
      <c r="AJ179" s="3"/>
    </row>
    <row r="180" spans="1:36" x14ac:dyDescent="0.25">
      <c r="A180">
        <v>179</v>
      </c>
      <c r="B180" s="1">
        <v>43937</v>
      </c>
      <c r="C180">
        <v>7862399002</v>
      </c>
      <c r="D180" s="2" t="s">
        <v>24</v>
      </c>
      <c r="E180" s="2" t="s">
        <v>25</v>
      </c>
      <c r="F180" s="2" t="s">
        <v>26</v>
      </c>
      <c r="G180" s="2" t="s">
        <v>27</v>
      </c>
      <c r="H180" s="2" t="s">
        <v>28</v>
      </c>
      <c r="I180" s="2" t="s">
        <v>29</v>
      </c>
      <c r="J180" s="2" t="s">
        <v>100</v>
      </c>
      <c r="K180" s="2" t="s">
        <v>72</v>
      </c>
      <c r="L180" s="3">
        <v>1134</v>
      </c>
      <c r="M180">
        <v>55</v>
      </c>
      <c r="N180" s="3">
        <v>62370</v>
      </c>
      <c r="O180" t="str">
        <f t="shared" si="2"/>
        <v>Si</v>
      </c>
      <c r="U180" s="1"/>
      <c r="W180" s="2"/>
      <c r="X180" s="2"/>
      <c r="Y180" s="2"/>
      <c r="Z180" s="2"/>
      <c r="AD180" s="2"/>
      <c r="AE180" s="2"/>
      <c r="AF180" s="2"/>
      <c r="AG180" s="2"/>
      <c r="AH180" s="3"/>
      <c r="AJ180" s="3"/>
    </row>
    <row r="181" spans="1:36" x14ac:dyDescent="0.25">
      <c r="A181">
        <v>180</v>
      </c>
      <c r="B181" s="1">
        <v>44083</v>
      </c>
      <c r="C181">
        <v>9568142105</v>
      </c>
      <c r="D181" s="2" t="s">
        <v>24</v>
      </c>
      <c r="E181" s="2" t="s">
        <v>25</v>
      </c>
      <c r="F181" s="2" t="s">
        <v>26</v>
      </c>
      <c r="G181" s="2" t="s">
        <v>27</v>
      </c>
      <c r="H181" s="2" t="s">
        <v>28</v>
      </c>
      <c r="I181" s="2" t="s">
        <v>29</v>
      </c>
      <c r="J181" s="2" t="s">
        <v>101</v>
      </c>
      <c r="K181" s="2" t="s">
        <v>102</v>
      </c>
      <c r="L181" s="3">
        <v>98</v>
      </c>
      <c r="M181">
        <v>19</v>
      </c>
      <c r="N181" s="3">
        <v>1862</v>
      </c>
      <c r="O181" t="str">
        <f t="shared" si="2"/>
        <v>No</v>
      </c>
      <c r="U181" s="1"/>
      <c r="W181" s="2"/>
      <c r="X181" s="2"/>
      <c r="Y181" s="2"/>
      <c r="Z181" s="2"/>
      <c r="AD181" s="2"/>
      <c r="AE181" s="2"/>
      <c r="AF181" s="2"/>
      <c r="AG181" s="2"/>
      <c r="AH181" s="3"/>
      <c r="AJ181" s="3"/>
    </row>
    <row r="182" spans="1:36" x14ac:dyDescent="0.25">
      <c r="A182">
        <v>181</v>
      </c>
      <c r="B182" s="1">
        <v>43864</v>
      </c>
      <c r="C182">
        <v>1181634254</v>
      </c>
      <c r="D182" s="2" t="s">
        <v>35</v>
      </c>
      <c r="E182" s="2" t="s">
        <v>36</v>
      </c>
      <c r="F182" s="2" t="s">
        <v>37</v>
      </c>
      <c r="G182" s="2" t="s">
        <v>38</v>
      </c>
      <c r="H182" s="2" t="s">
        <v>39</v>
      </c>
      <c r="I182" s="2" t="s">
        <v>29</v>
      </c>
      <c r="J182" s="2" t="s">
        <v>87</v>
      </c>
      <c r="K182" s="2" t="s">
        <v>88</v>
      </c>
      <c r="L182" s="3">
        <v>487.2</v>
      </c>
      <c r="M182">
        <v>27</v>
      </c>
      <c r="N182" s="3">
        <v>13154.4</v>
      </c>
      <c r="O182" t="str">
        <f t="shared" si="2"/>
        <v>Si</v>
      </c>
      <c r="U182" s="1"/>
      <c r="W182" s="2"/>
      <c r="X182" s="2"/>
      <c r="Y182" s="2"/>
      <c r="Z182" s="2"/>
      <c r="AD182" s="2"/>
      <c r="AE182" s="2"/>
      <c r="AF182" s="2"/>
      <c r="AG182" s="2"/>
      <c r="AH182" s="3"/>
      <c r="AJ182" s="3"/>
    </row>
    <row r="183" spans="1:36" x14ac:dyDescent="0.25">
      <c r="A183">
        <v>182</v>
      </c>
      <c r="B183" s="1">
        <v>44052</v>
      </c>
      <c r="C183">
        <v>5404968765</v>
      </c>
      <c r="D183" s="2" t="s">
        <v>48</v>
      </c>
      <c r="E183" s="2" t="s">
        <v>49</v>
      </c>
      <c r="F183" s="2" t="s">
        <v>50</v>
      </c>
      <c r="G183" s="2" t="s">
        <v>17</v>
      </c>
      <c r="H183" s="2" t="s">
        <v>18</v>
      </c>
      <c r="I183" s="2" t="s">
        <v>51</v>
      </c>
      <c r="J183" s="2" t="s">
        <v>89</v>
      </c>
      <c r="K183" s="2" t="s">
        <v>74</v>
      </c>
      <c r="L183" s="3">
        <v>140</v>
      </c>
      <c r="M183">
        <v>99</v>
      </c>
      <c r="N183" s="3">
        <v>13860</v>
      </c>
      <c r="O183" t="str">
        <f t="shared" si="2"/>
        <v>No</v>
      </c>
      <c r="U183" s="1"/>
      <c r="W183" s="2"/>
      <c r="X183" s="2"/>
      <c r="Y183" s="2"/>
      <c r="Z183" s="2"/>
      <c r="AD183" s="2"/>
      <c r="AE183" s="2"/>
      <c r="AF183" s="2"/>
      <c r="AG183" s="2"/>
      <c r="AH183" s="3"/>
      <c r="AJ183" s="3"/>
    </row>
    <row r="184" spans="1:36" x14ac:dyDescent="0.25">
      <c r="A184">
        <v>183</v>
      </c>
      <c r="B184" s="1">
        <v>43959</v>
      </c>
      <c r="C184">
        <v>2431996009</v>
      </c>
      <c r="D184" s="2" t="s">
        <v>48</v>
      </c>
      <c r="E184" s="2" t="s">
        <v>49</v>
      </c>
      <c r="F184" s="2" t="s">
        <v>50</v>
      </c>
      <c r="G184" s="2" t="s">
        <v>17</v>
      </c>
      <c r="H184" s="2" t="s">
        <v>18</v>
      </c>
      <c r="I184" s="2" t="s">
        <v>51</v>
      </c>
      <c r="J184" s="2" t="s">
        <v>58</v>
      </c>
      <c r="K184" s="2" t="s">
        <v>59</v>
      </c>
      <c r="L184" s="3">
        <v>560</v>
      </c>
      <c r="M184">
        <v>10</v>
      </c>
      <c r="N184" s="3">
        <v>5600</v>
      </c>
      <c r="O184" t="str">
        <f t="shared" si="2"/>
        <v>Si</v>
      </c>
      <c r="U184" s="1"/>
      <c r="W184" s="2"/>
      <c r="X184" s="2"/>
      <c r="Y184" s="2"/>
      <c r="Z184" s="2"/>
      <c r="AD184" s="2"/>
      <c r="AE184" s="2"/>
      <c r="AF184" s="2"/>
      <c r="AG184" s="2"/>
      <c r="AH184" s="3"/>
      <c r="AJ184" s="3"/>
    </row>
    <row r="185" spans="1:36" x14ac:dyDescent="0.25">
      <c r="A185">
        <v>184</v>
      </c>
      <c r="B185" s="1">
        <v>44101</v>
      </c>
      <c r="C185">
        <v>6373385557</v>
      </c>
      <c r="D185" s="2" t="s">
        <v>64</v>
      </c>
      <c r="E185" s="2" t="s">
        <v>65</v>
      </c>
      <c r="F185" s="2" t="s">
        <v>65</v>
      </c>
      <c r="G185" s="2" t="s">
        <v>66</v>
      </c>
      <c r="H185" s="2" t="s">
        <v>18</v>
      </c>
      <c r="I185" s="2" t="s">
        <v>29</v>
      </c>
      <c r="J185" s="2" t="s">
        <v>91</v>
      </c>
      <c r="K185" s="2" t="s">
        <v>23</v>
      </c>
      <c r="L185" s="3">
        <v>140</v>
      </c>
      <c r="M185">
        <v>80</v>
      </c>
      <c r="N185" s="3">
        <v>11200</v>
      </c>
      <c r="O185" t="str">
        <f t="shared" si="2"/>
        <v>No</v>
      </c>
      <c r="U185" s="1"/>
      <c r="W185" s="2"/>
      <c r="X185" s="2"/>
      <c r="Y185" s="2"/>
      <c r="Z185" s="2"/>
      <c r="AD185" s="2"/>
      <c r="AE185" s="2"/>
      <c r="AF185" s="2"/>
      <c r="AG185" s="2"/>
      <c r="AH185" s="3"/>
      <c r="AJ185" s="3"/>
    </row>
    <row r="186" spans="1:36" x14ac:dyDescent="0.25">
      <c r="A186">
        <v>185</v>
      </c>
      <c r="B186" s="1">
        <v>44069</v>
      </c>
      <c r="C186">
        <v>5411926783</v>
      </c>
      <c r="D186" s="2" t="s">
        <v>64</v>
      </c>
      <c r="E186" s="2" t="s">
        <v>65</v>
      </c>
      <c r="F186" s="2" t="s">
        <v>65</v>
      </c>
      <c r="G186" s="2" t="s">
        <v>66</v>
      </c>
      <c r="H186" s="2" t="s">
        <v>28</v>
      </c>
      <c r="I186" s="2" t="s">
        <v>70</v>
      </c>
      <c r="J186" s="2" t="s">
        <v>22</v>
      </c>
      <c r="K186" s="2" t="s">
        <v>23</v>
      </c>
      <c r="L186" s="3">
        <v>49</v>
      </c>
      <c r="M186">
        <v>27</v>
      </c>
      <c r="N186" s="3">
        <v>1323</v>
      </c>
      <c r="O186" t="str">
        <f t="shared" si="2"/>
        <v>Si</v>
      </c>
      <c r="U186" s="1"/>
      <c r="W186" s="2"/>
      <c r="X186" s="2"/>
      <c r="Y186" s="2"/>
      <c r="Z186" s="2"/>
      <c r="AD186" s="2"/>
      <c r="AE186" s="2"/>
      <c r="AF186" s="2"/>
      <c r="AG186" s="2"/>
      <c r="AH186" s="3"/>
      <c r="AJ186" s="3"/>
    </row>
    <row r="187" spans="1:36" x14ac:dyDescent="0.25">
      <c r="A187">
        <v>186</v>
      </c>
      <c r="B187" s="1">
        <v>44118</v>
      </c>
      <c r="C187">
        <v>8397590471</v>
      </c>
      <c r="D187" s="2" t="s">
        <v>75</v>
      </c>
      <c r="E187" s="2" t="s">
        <v>76</v>
      </c>
      <c r="F187" s="2" t="s">
        <v>77</v>
      </c>
      <c r="G187" s="2" t="s">
        <v>63</v>
      </c>
      <c r="H187" s="2" t="s">
        <v>39</v>
      </c>
      <c r="I187" s="2" t="s">
        <v>70</v>
      </c>
      <c r="J187" s="2" t="s">
        <v>58</v>
      </c>
      <c r="K187" s="2" t="s">
        <v>59</v>
      </c>
      <c r="L187" s="3">
        <v>560</v>
      </c>
      <c r="M187">
        <v>97</v>
      </c>
      <c r="N187" s="3">
        <v>54320</v>
      </c>
      <c r="O187" t="str">
        <f t="shared" si="2"/>
        <v>No</v>
      </c>
      <c r="U187" s="1"/>
      <c r="W187" s="2"/>
      <c r="X187" s="2"/>
      <c r="Y187" s="2"/>
      <c r="Z187" s="2"/>
      <c r="AD187" s="2"/>
      <c r="AE187" s="2"/>
      <c r="AF187" s="2"/>
      <c r="AG187" s="2"/>
      <c r="AH187" s="3"/>
      <c r="AJ187" s="3"/>
    </row>
    <row r="188" spans="1:36" x14ac:dyDescent="0.25">
      <c r="A188">
        <v>187</v>
      </c>
      <c r="B188" s="1">
        <v>44038</v>
      </c>
      <c r="C188">
        <v>5905399576</v>
      </c>
      <c r="D188" s="2" t="s">
        <v>78</v>
      </c>
      <c r="E188" s="2" t="s">
        <v>79</v>
      </c>
      <c r="F188" s="2" t="s">
        <v>80</v>
      </c>
      <c r="G188" s="2" t="s">
        <v>38</v>
      </c>
      <c r="H188" s="2" t="s">
        <v>39</v>
      </c>
      <c r="I188" s="2" t="s">
        <v>70</v>
      </c>
      <c r="J188" s="2" t="s">
        <v>81</v>
      </c>
      <c r="K188" s="2" t="s">
        <v>82</v>
      </c>
      <c r="L188" s="3">
        <v>257.60000000000002</v>
      </c>
      <c r="M188">
        <v>42</v>
      </c>
      <c r="N188" s="3">
        <v>10819.2</v>
      </c>
      <c r="O188" t="str">
        <f t="shared" si="2"/>
        <v>Si</v>
      </c>
      <c r="U188" s="1"/>
      <c r="W188" s="2"/>
      <c r="X188" s="2"/>
      <c r="Y188" s="2"/>
      <c r="Z188" s="2"/>
      <c r="AD188" s="2"/>
      <c r="AE188" s="2"/>
      <c r="AF188" s="2"/>
      <c r="AG188" s="2"/>
      <c r="AH188" s="3"/>
      <c r="AJ188" s="3"/>
    </row>
    <row r="189" spans="1:36" x14ac:dyDescent="0.25">
      <c r="A189">
        <v>188</v>
      </c>
      <c r="B189" s="1">
        <v>43947</v>
      </c>
      <c r="C189">
        <v>168682758</v>
      </c>
      <c r="D189" s="2" t="s">
        <v>60</v>
      </c>
      <c r="E189" s="2" t="s">
        <v>61</v>
      </c>
      <c r="F189" s="2" t="s">
        <v>62</v>
      </c>
      <c r="G189" s="2" t="s">
        <v>63</v>
      </c>
      <c r="H189" s="2" t="s">
        <v>39</v>
      </c>
      <c r="I189" s="2" t="s">
        <v>29</v>
      </c>
      <c r="J189" s="2" t="s">
        <v>34</v>
      </c>
      <c r="K189" s="2" t="s">
        <v>21</v>
      </c>
      <c r="L189" s="3">
        <v>644</v>
      </c>
      <c r="M189">
        <v>24</v>
      </c>
      <c r="N189" s="3">
        <v>15456</v>
      </c>
      <c r="O189" t="str">
        <f t="shared" si="2"/>
        <v>No</v>
      </c>
      <c r="U189" s="1"/>
      <c r="W189" s="2"/>
      <c r="X189" s="2"/>
      <c r="Y189" s="2"/>
      <c r="Z189" s="2"/>
      <c r="AD189" s="2"/>
      <c r="AE189" s="2"/>
      <c r="AF189" s="2"/>
      <c r="AG189" s="2"/>
      <c r="AH189" s="3"/>
      <c r="AJ189" s="3"/>
    </row>
    <row r="190" spans="1:36" x14ac:dyDescent="0.25">
      <c r="A190">
        <v>189</v>
      </c>
      <c r="B190" s="1">
        <v>44162</v>
      </c>
      <c r="C190">
        <v>4992553897</v>
      </c>
      <c r="D190" s="2" t="s">
        <v>83</v>
      </c>
      <c r="E190" s="2" t="s">
        <v>43</v>
      </c>
      <c r="F190" s="2" t="s">
        <v>44</v>
      </c>
      <c r="G190" s="2" t="s">
        <v>84</v>
      </c>
      <c r="H190" s="2" t="s">
        <v>28</v>
      </c>
      <c r="I190" s="2" t="s">
        <v>19</v>
      </c>
      <c r="J190" s="2" t="s">
        <v>52</v>
      </c>
      <c r="K190" s="2" t="s">
        <v>53</v>
      </c>
      <c r="L190" s="3">
        <v>135.1</v>
      </c>
      <c r="M190">
        <v>90</v>
      </c>
      <c r="N190" s="3">
        <v>12159</v>
      </c>
      <c r="O190" t="str">
        <f t="shared" si="2"/>
        <v>Si</v>
      </c>
      <c r="U190" s="1"/>
      <c r="W190" s="2"/>
      <c r="X190" s="2"/>
      <c r="Y190" s="2"/>
      <c r="Z190" s="2"/>
      <c r="AD190" s="2"/>
      <c r="AE190" s="2"/>
      <c r="AF190" s="2"/>
      <c r="AG190" s="2"/>
      <c r="AH190" s="3"/>
      <c r="AJ190" s="3"/>
    </row>
    <row r="191" spans="1:36" x14ac:dyDescent="0.25">
      <c r="A191">
        <v>190</v>
      </c>
      <c r="B191" s="1">
        <v>44160</v>
      </c>
      <c r="C191">
        <v>9609810399</v>
      </c>
      <c r="D191" s="2" t="s">
        <v>54</v>
      </c>
      <c r="E191" s="2" t="s">
        <v>55</v>
      </c>
      <c r="F191" s="2" t="s">
        <v>56</v>
      </c>
      <c r="G191" s="2" t="s">
        <v>57</v>
      </c>
      <c r="H191" s="2" t="s">
        <v>18</v>
      </c>
      <c r="I191" s="2" t="s">
        <v>29</v>
      </c>
      <c r="J191" s="2" t="s">
        <v>46</v>
      </c>
      <c r="K191" s="2" t="s">
        <v>47</v>
      </c>
      <c r="L191" s="3">
        <v>178.5</v>
      </c>
      <c r="M191">
        <v>28</v>
      </c>
      <c r="N191" s="3">
        <v>4998</v>
      </c>
      <c r="O191" t="str">
        <f t="shared" si="2"/>
        <v>No</v>
      </c>
      <c r="U191" s="1"/>
      <c r="W191" s="2"/>
      <c r="X191" s="2"/>
      <c r="Y191" s="2"/>
      <c r="Z191" s="2"/>
      <c r="AD191" s="2"/>
      <c r="AE191" s="2"/>
      <c r="AF191" s="2"/>
      <c r="AG191" s="2"/>
      <c r="AH191" s="3"/>
      <c r="AJ191" s="3"/>
    </row>
    <row r="192" spans="1:36" x14ac:dyDescent="0.25">
      <c r="A192">
        <v>191</v>
      </c>
      <c r="B192" s="1">
        <v>44045</v>
      </c>
      <c r="C192">
        <v>1537469039</v>
      </c>
      <c r="D192" s="2" t="s">
        <v>60</v>
      </c>
      <c r="E192" s="2" t="s">
        <v>61</v>
      </c>
      <c r="F192" s="2" t="s">
        <v>62</v>
      </c>
      <c r="G192" s="2" t="s">
        <v>63</v>
      </c>
      <c r="H192" s="2" t="s">
        <v>39</v>
      </c>
      <c r="I192" s="2" t="s">
        <v>19</v>
      </c>
      <c r="J192" s="2" t="s">
        <v>34</v>
      </c>
      <c r="K192" s="2" t="s">
        <v>21</v>
      </c>
      <c r="L192" s="3">
        <v>644</v>
      </c>
      <c r="M192">
        <v>28</v>
      </c>
      <c r="N192" s="3">
        <v>18032</v>
      </c>
      <c r="O192" t="str">
        <f t="shared" si="2"/>
        <v>Si</v>
      </c>
      <c r="U192" s="1"/>
      <c r="W192" s="2"/>
      <c r="X192" s="2"/>
      <c r="Y192" s="2"/>
      <c r="Z192" s="2"/>
      <c r="AD192" s="2"/>
      <c r="AE192" s="2"/>
      <c r="AF192" s="2"/>
      <c r="AG192" s="2"/>
      <c r="AH192" s="3"/>
      <c r="AJ192" s="3"/>
    </row>
    <row r="193" spans="1:36" x14ac:dyDescent="0.25">
      <c r="A193">
        <v>192</v>
      </c>
      <c r="B193" s="1">
        <v>44049</v>
      </c>
      <c r="C193">
        <v>2018401595</v>
      </c>
      <c r="D193" s="2" t="s">
        <v>35</v>
      </c>
      <c r="E193" s="2" t="s">
        <v>36</v>
      </c>
      <c r="F193" s="2" t="s">
        <v>37</v>
      </c>
      <c r="G193" s="2" t="s">
        <v>38</v>
      </c>
      <c r="H193" s="2" t="s">
        <v>39</v>
      </c>
      <c r="I193" s="2" t="s">
        <v>19</v>
      </c>
      <c r="J193" s="2" t="s">
        <v>46</v>
      </c>
      <c r="K193" s="2" t="s">
        <v>47</v>
      </c>
      <c r="L193" s="3">
        <v>178.5</v>
      </c>
      <c r="M193">
        <v>57</v>
      </c>
      <c r="N193" s="3">
        <v>10174.5</v>
      </c>
      <c r="O193" t="str">
        <f t="shared" si="2"/>
        <v>No</v>
      </c>
      <c r="U193" s="1"/>
      <c r="W193" s="2"/>
      <c r="X193" s="2"/>
      <c r="Y193" s="2"/>
      <c r="Z193" s="2"/>
      <c r="AD193" s="2"/>
      <c r="AE193" s="2"/>
      <c r="AF193" s="2"/>
      <c r="AG193" s="2"/>
      <c r="AH193" s="3"/>
      <c r="AJ193" s="3"/>
    </row>
    <row r="194" spans="1:36" x14ac:dyDescent="0.25">
      <c r="A194">
        <v>193</v>
      </c>
      <c r="B194" s="1">
        <v>43961</v>
      </c>
      <c r="C194">
        <v>1129934476</v>
      </c>
      <c r="D194" s="2" t="s">
        <v>64</v>
      </c>
      <c r="E194" s="2" t="s">
        <v>65</v>
      </c>
      <c r="F194" s="2" t="s">
        <v>65</v>
      </c>
      <c r="G194" s="2" t="s">
        <v>66</v>
      </c>
      <c r="H194" s="2" t="s">
        <v>18</v>
      </c>
      <c r="I194" s="2" t="s">
        <v>29</v>
      </c>
      <c r="J194" s="2" t="s">
        <v>67</v>
      </c>
      <c r="K194" s="2" t="s">
        <v>21</v>
      </c>
      <c r="L194" s="3">
        <v>41.86</v>
      </c>
      <c r="M194">
        <v>23</v>
      </c>
      <c r="N194" s="3">
        <v>962.78</v>
      </c>
      <c r="O194" t="str">
        <f t="shared" ref="O194:O257" si="3">IF(ISEVEN(ROW()),"Si","No")</f>
        <v>Si</v>
      </c>
      <c r="U194" s="1"/>
      <c r="W194" s="2"/>
      <c r="X194" s="2"/>
      <c r="Y194" s="2"/>
      <c r="Z194" s="2"/>
      <c r="AD194" s="2"/>
      <c r="AE194" s="2"/>
      <c r="AF194" s="2"/>
      <c r="AG194" s="2"/>
      <c r="AH194" s="3"/>
      <c r="AJ194" s="3"/>
    </row>
    <row r="195" spans="1:36" x14ac:dyDescent="0.25">
      <c r="A195">
        <v>194</v>
      </c>
      <c r="B195" s="1">
        <v>43929</v>
      </c>
      <c r="C195">
        <v>878400496</v>
      </c>
      <c r="D195" s="2" t="s">
        <v>68</v>
      </c>
      <c r="E195" s="2" t="s">
        <v>69</v>
      </c>
      <c r="F195" s="2" t="s">
        <v>69</v>
      </c>
      <c r="G195" s="2" t="s">
        <v>38</v>
      </c>
      <c r="H195" s="2" t="s">
        <v>70</v>
      </c>
      <c r="I195" s="2" t="s">
        <v>70</v>
      </c>
      <c r="J195" s="2" t="s">
        <v>34</v>
      </c>
      <c r="K195" s="2" t="s">
        <v>21</v>
      </c>
      <c r="L195" s="3">
        <v>644</v>
      </c>
      <c r="M195">
        <v>86</v>
      </c>
      <c r="N195" s="3">
        <v>55384</v>
      </c>
      <c r="O195" t="str">
        <f t="shared" si="3"/>
        <v>No</v>
      </c>
      <c r="U195" s="1"/>
      <c r="W195" s="2"/>
      <c r="X195" s="2"/>
      <c r="Y195" s="2"/>
      <c r="Z195" s="2"/>
      <c r="AD195" s="2"/>
      <c r="AE195" s="2"/>
      <c r="AF195" s="2"/>
      <c r="AG195" s="2"/>
      <c r="AH195" s="3"/>
      <c r="AJ195" s="3"/>
    </row>
    <row r="196" spans="1:36" x14ac:dyDescent="0.25">
      <c r="A196">
        <v>195</v>
      </c>
      <c r="B196" s="1">
        <v>44043</v>
      </c>
      <c r="C196">
        <v>6271764467</v>
      </c>
      <c r="D196" s="2" t="s">
        <v>64</v>
      </c>
      <c r="E196" s="2" t="s">
        <v>65</v>
      </c>
      <c r="F196" s="2" t="s">
        <v>65</v>
      </c>
      <c r="G196" s="2" t="s">
        <v>66</v>
      </c>
      <c r="H196" s="2" t="s">
        <v>28</v>
      </c>
      <c r="I196" s="2" t="s">
        <v>70</v>
      </c>
      <c r="J196" s="2" t="s">
        <v>71</v>
      </c>
      <c r="K196" s="2" t="s">
        <v>72</v>
      </c>
      <c r="L196" s="3">
        <v>350</v>
      </c>
      <c r="M196">
        <v>47</v>
      </c>
      <c r="N196" s="3">
        <v>16450</v>
      </c>
      <c r="O196" t="str">
        <f t="shared" si="3"/>
        <v>Si</v>
      </c>
      <c r="U196" s="1"/>
      <c r="W196" s="2"/>
      <c r="X196" s="2"/>
      <c r="Y196" s="2"/>
      <c r="Z196" s="2"/>
      <c r="AD196" s="2"/>
      <c r="AE196" s="2"/>
      <c r="AF196" s="2"/>
      <c r="AG196" s="2"/>
      <c r="AH196" s="3"/>
      <c r="AJ196" s="3"/>
    </row>
    <row r="197" spans="1:36" x14ac:dyDescent="0.25">
      <c r="A197">
        <v>196</v>
      </c>
      <c r="B197" s="1">
        <v>43853</v>
      </c>
      <c r="C197">
        <v>5954546839</v>
      </c>
      <c r="D197" s="2" t="s">
        <v>64</v>
      </c>
      <c r="E197" s="2" t="s">
        <v>65</v>
      </c>
      <c r="F197" s="2" t="s">
        <v>65</v>
      </c>
      <c r="G197" s="2" t="s">
        <v>66</v>
      </c>
      <c r="H197" s="2" t="s">
        <v>28</v>
      </c>
      <c r="I197" s="2" t="s">
        <v>70</v>
      </c>
      <c r="J197" s="2" t="s">
        <v>73</v>
      </c>
      <c r="K197" s="2" t="s">
        <v>74</v>
      </c>
      <c r="L197" s="3">
        <v>308</v>
      </c>
      <c r="M197">
        <v>97</v>
      </c>
      <c r="N197" s="3">
        <v>29876</v>
      </c>
      <c r="O197" t="str">
        <f t="shared" si="3"/>
        <v>No</v>
      </c>
      <c r="U197" s="1"/>
      <c r="W197" s="2"/>
      <c r="X197" s="2"/>
      <c r="Y197" s="2"/>
      <c r="Z197" s="2"/>
      <c r="AD197" s="2"/>
      <c r="AE197" s="2"/>
      <c r="AF197" s="2"/>
      <c r="AG197" s="2"/>
      <c r="AH197" s="3"/>
      <c r="AJ197" s="3"/>
    </row>
    <row r="198" spans="1:36" x14ac:dyDescent="0.25">
      <c r="A198">
        <v>197</v>
      </c>
      <c r="B198" s="1">
        <v>43905</v>
      </c>
      <c r="C198">
        <v>1007419194</v>
      </c>
      <c r="D198" s="2" t="s">
        <v>64</v>
      </c>
      <c r="E198" s="2" t="s">
        <v>65</v>
      </c>
      <c r="F198" s="2" t="s">
        <v>65</v>
      </c>
      <c r="G198" s="2" t="s">
        <v>66</v>
      </c>
      <c r="H198" s="2" t="s">
        <v>28</v>
      </c>
      <c r="I198" s="2" t="s">
        <v>70</v>
      </c>
      <c r="J198" s="2" t="s">
        <v>40</v>
      </c>
      <c r="K198" s="2" t="s">
        <v>41</v>
      </c>
      <c r="L198" s="3">
        <v>128.80000000000001</v>
      </c>
      <c r="M198">
        <v>96</v>
      </c>
      <c r="N198" s="3">
        <v>12364.8</v>
      </c>
      <c r="O198" t="str">
        <f t="shared" si="3"/>
        <v>Si</v>
      </c>
      <c r="U198" s="1"/>
      <c r="W198" s="2"/>
      <c r="X198" s="2"/>
      <c r="Y198" s="2"/>
      <c r="Z198" s="2"/>
      <c r="AD198" s="2"/>
      <c r="AE198" s="2"/>
      <c r="AF198" s="2"/>
      <c r="AG198" s="2"/>
      <c r="AH198" s="3"/>
      <c r="AJ198" s="3"/>
    </row>
    <row r="199" spans="1:36" x14ac:dyDescent="0.25">
      <c r="A199">
        <v>198</v>
      </c>
      <c r="B199" s="1">
        <v>43891</v>
      </c>
      <c r="C199">
        <v>2749506386</v>
      </c>
      <c r="D199" s="2" t="s">
        <v>75</v>
      </c>
      <c r="E199" s="2" t="s">
        <v>76</v>
      </c>
      <c r="F199" s="2" t="s">
        <v>77</v>
      </c>
      <c r="G199" s="2" t="s">
        <v>63</v>
      </c>
      <c r="H199" s="2" t="s">
        <v>39</v>
      </c>
      <c r="I199" s="2" t="s">
        <v>70</v>
      </c>
      <c r="J199" s="2" t="s">
        <v>22</v>
      </c>
      <c r="K199" s="2" t="s">
        <v>23</v>
      </c>
      <c r="L199" s="3">
        <v>49</v>
      </c>
      <c r="M199">
        <v>31</v>
      </c>
      <c r="N199" s="3">
        <v>1519</v>
      </c>
      <c r="O199" t="str">
        <f t="shared" si="3"/>
        <v>No</v>
      </c>
      <c r="U199" s="1"/>
      <c r="W199" s="2"/>
      <c r="X199" s="2"/>
      <c r="Y199" s="2"/>
      <c r="Z199" s="2"/>
      <c r="AD199" s="2"/>
      <c r="AE199" s="2"/>
      <c r="AF199" s="2"/>
      <c r="AG199" s="2"/>
      <c r="AH199" s="3"/>
      <c r="AJ199" s="3"/>
    </row>
    <row r="200" spans="1:36" x14ac:dyDescent="0.25">
      <c r="A200">
        <v>199</v>
      </c>
      <c r="B200" s="1">
        <v>43997</v>
      </c>
      <c r="C200">
        <v>3279160134</v>
      </c>
      <c r="D200" s="2" t="s">
        <v>75</v>
      </c>
      <c r="E200" s="2" t="s">
        <v>76</v>
      </c>
      <c r="F200" s="2" t="s">
        <v>77</v>
      </c>
      <c r="G200" s="2" t="s">
        <v>63</v>
      </c>
      <c r="H200" s="2" t="s">
        <v>39</v>
      </c>
      <c r="I200" s="2" t="s">
        <v>70</v>
      </c>
      <c r="J200" s="2" t="s">
        <v>67</v>
      </c>
      <c r="K200" s="2" t="s">
        <v>21</v>
      </c>
      <c r="L200" s="3">
        <v>41.86</v>
      </c>
      <c r="M200">
        <v>52</v>
      </c>
      <c r="N200" s="3">
        <v>2176.7199999999998</v>
      </c>
      <c r="O200" t="str">
        <f t="shared" si="3"/>
        <v>Si</v>
      </c>
      <c r="U200" s="1"/>
      <c r="W200" s="2"/>
      <c r="X200" s="2"/>
      <c r="Y200" s="2"/>
      <c r="Z200" s="2"/>
      <c r="AD200" s="2"/>
      <c r="AE200" s="2"/>
      <c r="AF200" s="2"/>
      <c r="AG200" s="2"/>
      <c r="AH200" s="3"/>
      <c r="AJ200" s="3"/>
    </row>
    <row r="201" spans="1:36" x14ac:dyDescent="0.25">
      <c r="A201">
        <v>200</v>
      </c>
      <c r="B201" s="1">
        <v>43994</v>
      </c>
      <c r="C201">
        <v>6789089883</v>
      </c>
      <c r="D201" s="2" t="s">
        <v>78</v>
      </c>
      <c r="E201" s="2" t="s">
        <v>79</v>
      </c>
      <c r="F201" s="2" t="s">
        <v>80</v>
      </c>
      <c r="G201" s="2" t="s">
        <v>38</v>
      </c>
      <c r="H201" s="2" t="s">
        <v>70</v>
      </c>
      <c r="I201" s="2" t="s">
        <v>70</v>
      </c>
      <c r="J201" s="2" t="s">
        <v>33</v>
      </c>
      <c r="K201" s="2" t="s">
        <v>21</v>
      </c>
      <c r="L201" s="3">
        <v>252</v>
      </c>
      <c r="M201">
        <v>91</v>
      </c>
      <c r="N201" s="3">
        <v>22932</v>
      </c>
      <c r="O201" t="str">
        <f t="shared" si="3"/>
        <v>No</v>
      </c>
      <c r="U201" s="1"/>
      <c r="W201" s="2"/>
      <c r="X201" s="2"/>
      <c r="Y201" s="2"/>
      <c r="Z201" s="2"/>
      <c r="AD201" s="2"/>
      <c r="AE201" s="2"/>
      <c r="AF201" s="2"/>
      <c r="AG201" s="2"/>
      <c r="AH201" s="3"/>
      <c r="AJ201" s="3"/>
    </row>
    <row r="202" spans="1:36" x14ac:dyDescent="0.25">
      <c r="A202">
        <v>201</v>
      </c>
      <c r="B202" s="1">
        <v>44004</v>
      </c>
      <c r="C202">
        <v>7775981065</v>
      </c>
      <c r="D202" s="2" t="s">
        <v>78</v>
      </c>
      <c r="E202" s="2" t="s">
        <v>79</v>
      </c>
      <c r="F202" s="2" t="s">
        <v>80</v>
      </c>
      <c r="G202" s="2" t="s">
        <v>38</v>
      </c>
      <c r="H202" s="2" t="s">
        <v>70</v>
      </c>
      <c r="I202" s="2" t="s">
        <v>70</v>
      </c>
      <c r="J202" s="2" t="s">
        <v>34</v>
      </c>
      <c r="K202" s="2" t="s">
        <v>21</v>
      </c>
      <c r="L202" s="3">
        <v>644</v>
      </c>
      <c r="M202">
        <v>14</v>
      </c>
      <c r="N202" s="3">
        <v>9016</v>
      </c>
      <c r="O202" t="str">
        <f t="shared" si="3"/>
        <v>Si</v>
      </c>
      <c r="U202" s="1"/>
      <c r="W202" s="2"/>
      <c r="X202" s="2"/>
      <c r="Y202" s="2"/>
      <c r="Z202" s="2"/>
      <c r="AD202" s="2"/>
      <c r="AE202" s="2"/>
      <c r="AF202" s="2"/>
      <c r="AG202" s="2"/>
      <c r="AH202" s="3"/>
      <c r="AJ202" s="3"/>
    </row>
    <row r="203" spans="1:36" x14ac:dyDescent="0.25">
      <c r="A203">
        <v>202</v>
      </c>
      <c r="B203" s="1">
        <v>43923</v>
      </c>
      <c r="C203">
        <v>5357417804</v>
      </c>
      <c r="D203" s="2" t="s">
        <v>78</v>
      </c>
      <c r="E203" s="2" t="s">
        <v>79</v>
      </c>
      <c r="F203" s="2" t="s">
        <v>80</v>
      </c>
      <c r="G203" s="2" t="s">
        <v>38</v>
      </c>
      <c r="H203" s="2" t="s">
        <v>70</v>
      </c>
      <c r="I203" s="2" t="s">
        <v>70</v>
      </c>
      <c r="J203" s="2" t="s">
        <v>67</v>
      </c>
      <c r="K203" s="2" t="s">
        <v>21</v>
      </c>
      <c r="L203" s="3">
        <v>41.86</v>
      </c>
      <c r="M203">
        <v>44</v>
      </c>
      <c r="N203" s="3">
        <v>1841.84</v>
      </c>
      <c r="O203" t="str">
        <f t="shared" si="3"/>
        <v>No</v>
      </c>
      <c r="U203" s="1"/>
      <c r="W203" s="2"/>
      <c r="X203" s="2"/>
      <c r="Y203" s="2"/>
      <c r="Z203" s="2"/>
      <c r="AD203" s="2"/>
      <c r="AE203" s="2"/>
      <c r="AF203" s="2"/>
      <c r="AG203" s="2"/>
      <c r="AH203" s="3"/>
      <c r="AJ203" s="3"/>
    </row>
    <row r="204" spans="1:36" x14ac:dyDescent="0.25">
      <c r="A204">
        <v>203</v>
      </c>
      <c r="B204" s="1">
        <v>44109</v>
      </c>
      <c r="C204">
        <v>4986720222</v>
      </c>
      <c r="D204" s="2" t="s">
        <v>60</v>
      </c>
      <c r="E204" s="2" t="s">
        <v>61</v>
      </c>
      <c r="F204" s="2" t="s">
        <v>62</v>
      </c>
      <c r="G204" s="2" t="s">
        <v>63</v>
      </c>
      <c r="H204" s="2" t="s">
        <v>39</v>
      </c>
      <c r="I204" s="2" t="s">
        <v>29</v>
      </c>
      <c r="J204" s="2" t="s">
        <v>52</v>
      </c>
      <c r="K204" s="2" t="s">
        <v>53</v>
      </c>
      <c r="L204" s="3">
        <v>135.1</v>
      </c>
      <c r="M204">
        <v>97</v>
      </c>
      <c r="N204" s="3">
        <v>13104.7</v>
      </c>
      <c r="O204" t="str">
        <f t="shared" si="3"/>
        <v>Si</v>
      </c>
      <c r="U204" s="1"/>
      <c r="W204" s="2"/>
      <c r="X204" s="2"/>
      <c r="Y204" s="2"/>
      <c r="Z204" s="2"/>
      <c r="AD204" s="2"/>
      <c r="AE204" s="2"/>
      <c r="AF204" s="2"/>
      <c r="AG204" s="2"/>
      <c r="AH204" s="3"/>
      <c r="AJ204" s="3"/>
    </row>
    <row r="205" spans="1:36" x14ac:dyDescent="0.25">
      <c r="A205">
        <v>204</v>
      </c>
      <c r="B205" s="1">
        <v>43932</v>
      </c>
      <c r="C205">
        <v>9264353300</v>
      </c>
      <c r="D205" s="2" t="s">
        <v>60</v>
      </c>
      <c r="E205" s="2" t="s">
        <v>61</v>
      </c>
      <c r="F205" s="2" t="s">
        <v>62</v>
      </c>
      <c r="G205" s="2" t="s">
        <v>63</v>
      </c>
      <c r="H205" s="2" t="s">
        <v>39</v>
      </c>
      <c r="I205" s="2" t="s">
        <v>29</v>
      </c>
      <c r="J205" s="2" t="s">
        <v>81</v>
      </c>
      <c r="K205" s="2" t="s">
        <v>82</v>
      </c>
      <c r="L205" s="3">
        <v>257.60000000000002</v>
      </c>
      <c r="M205">
        <v>80</v>
      </c>
      <c r="N205" s="3">
        <v>20608</v>
      </c>
      <c r="O205" t="str">
        <f t="shared" si="3"/>
        <v>No</v>
      </c>
      <c r="U205" s="1"/>
      <c r="W205" s="2"/>
      <c r="X205" s="2"/>
      <c r="Y205" s="2"/>
      <c r="Z205" s="2"/>
      <c r="AD205" s="2"/>
      <c r="AE205" s="2"/>
      <c r="AF205" s="2"/>
      <c r="AG205" s="2"/>
      <c r="AH205" s="3"/>
      <c r="AJ205" s="3"/>
    </row>
    <row r="206" spans="1:36" x14ac:dyDescent="0.25">
      <c r="A206">
        <v>205</v>
      </c>
      <c r="B206" s="1">
        <v>44131</v>
      </c>
      <c r="C206">
        <v>4507840734</v>
      </c>
      <c r="D206" s="2" t="s">
        <v>83</v>
      </c>
      <c r="E206" s="2" t="s">
        <v>43</v>
      </c>
      <c r="F206" s="2" t="s">
        <v>44</v>
      </c>
      <c r="G206" s="2" t="s">
        <v>84</v>
      </c>
      <c r="H206" s="2" t="s">
        <v>28</v>
      </c>
      <c r="I206" s="2" t="s">
        <v>19</v>
      </c>
      <c r="J206" s="2" t="s">
        <v>85</v>
      </c>
      <c r="K206" s="2" t="s">
        <v>86</v>
      </c>
      <c r="L206" s="3">
        <v>273</v>
      </c>
      <c r="M206">
        <v>66</v>
      </c>
      <c r="N206" s="3">
        <v>18018</v>
      </c>
      <c r="O206" t="str">
        <f t="shared" si="3"/>
        <v>Si</v>
      </c>
      <c r="U206" s="1"/>
      <c r="W206" s="2"/>
      <c r="X206" s="2"/>
      <c r="Y206" s="2"/>
      <c r="Z206" s="2"/>
      <c r="AD206" s="2"/>
      <c r="AE206" s="2"/>
      <c r="AF206" s="2"/>
      <c r="AG206" s="2"/>
      <c r="AH206" s="3"/>
      <c r="AJ206" s="3"/>
    </row>
    <row r="207" spans="1:36" x14ac:dyDescent="0.25">
      <c r="A207">
        <v>206</v>
      </c>
      <c r="B207" s="1">
        <v>43926</v>
      </c>
      <c r="C207">
        <v>1926814553</v>
      </c>
      <c r="D207" s="2" t="s">
        <v>83</v>
      </c>
      <c r="E207" s="2" t="s">
        <v>43</v>
      </c>
      <c r="F207" s="2" t="s">
        <v>44</v>
      </c>
      <c r="G207" s="2" t="s">
        <v>84</v>
      </c>
      <c r="H207" s="2" t="s">
        <v>28</v>
      </c>
      <c r="I207" s="2" t="s">
        <v>19</v>
      </c>
      <c r="J207" s="2" t="s">
        <v>87</v>
      </c>
      <c r="K207" s="2" t="s">
        <v>88</v>
      </c>
      <c r="L207" s="3">
        <v>487.2</v>
      </c>
      <c r="M207">
        <v>32</v>
      </c>
      <c r="N207" s="3">
        <v>15590.4</v>
      </c>
      <c r="O207" t="str">
        <f t="shared" si="3"/>
        <v>No</v>
      </c>
      <c r="U207" s="1"/>
      <c r="W207" s="2"/>
      <c r="X207" s="2"/>
      <c r="Y207" s="2"/>
      <c r="Z207" s="2"/>
      <c r="AD207" s="2"/>
      <c r="AE207" s="2"/>
      <c r="AF207" s="2"/>
      <c r="AG207" s="2"/>
      <c r="AH207" s="3"/>
      <c r="AJ207" s="3"/>
    </row>
    <row r="208" spans="1:36" x14ac:dyDescent="0.25">
      <c r="A208">
        <v>207</v>
      </c>
      <c r="B208" s="1">
        <v>44139</v>
      </c>
      <c r="C208">
        <v>1115906573</v>
      </c>
      <c r="D208" s="2" t="s">
        <v>54</v>
      </c>
      <c r="E208" s="2" t="s">
        <v>55</v>
      </c>
      <c r="F208" s="2" t="s">
        <v>56</v>
      </c>
      <c r="G208" s="2" t="s">
        <v>57</v>
      </c>
      <c r="H208" s="2" t="s">
        <v>18</v>
      </c>
      <c r="I208" s="2" t="s">
        <v>29</v>
      </c>
      <c r="J208" s="2" t="s">
        <v>20</v>
      </c>
      <c r="K208" s="2" t="s">
        <v>21</v>
      </c>
      <c r="L208" s="3">
        <v>196</v>
      </c>
      <c r="M208">
        <v>52</v>
      </c>
      <c r="N208" s="3">
        <v>10192</v>
      </c>
      <c r="O208" t="str">
        <f t="shared" si="3"/>
        <v>Si</v>
      </c>
      <c r="U208" s="1"/>
      <c r="W208" s="2"/>
      <c r="X208" s="2"/>
      <c r="Y208" s="2"/>
      <c r="Z208" s="2"/>
      <c r="AD208" s="2"/>
      <c r="AE208" s="2"/>
      <c r="AF208" s="2"/>
      <c r="AG208" s="2"/>
      <c r="AH208" s="3"/>
      <c r="AJ208" s="3"/>
    </row>
    <row r="209" spans="1:36" x14ac:dyDescent="0.25">
      <c r="A209">
        <v>208</v>
      </c>
      <c r="B209" s="1">
        <v>43905</v>
      </c>
      <c r="C209">
        <v>4298972271</v>
      </c>
      <c r="D209" s="2" t="s">
        <v>35</v>
      </c>
      <c r="E209" s="2" t="s">
        <v>36</v>
      </c>
      <c r="F209" s="2" t="s">
        <v>37</v>
      </c>
      <c r="G209" s="2" t="s">
        <v>38</v>
      </c>
      <c r="H209" s="2" t="s">
        <v>18</v>
      </c>
      <c r="I209" s="2" t="s">
        <v>19</v>
      </c>
      <c r="J209" s="2" t="s">
        <v>58</v>
      </c>
      <c r="K209" s="2" t="s">
        <v>59</v>
      </c>
      <c r="L209" s="3">
        <v>560</v>
      </c>
      <c r="M209">
        <v>78</v>
      </c>
      <c r="N209" s="3">
        <v>43680</v>
      </c>
      <c r="O209" t="str">
        <f t="shared" si="3"/>
        <v>No</v>
      </c>
      <c r="U209" s="1"/>
      <c r="W209" s="2"/>
      <c r="X209" s="2"/>
      <c r="Y209" s="2"/>
      <c r="Z209" s="2"/>
      <c r="AD209" s="2"/>
      <c r="AE209" s="2"/>
      <c r="AF209" s="2"/>
      <c r="AG209" s="2"/>
      <c r="AH209" s="3"/>
      <c r="AJ209" s="3"/>
    </row>
    <row r="210" spans="1:36" x14ac:dyDescent="0.25">
      <c r="A210">
        <v>209</v>
      </c>
      <c r="B210" s="1">
        <v>43899</v>
      </c>
      <c r="C210">
        <v>1419202858</v>
      </c>
      <c r="D210" s="2" t="s">
        <v>35</v>
      </c>
      <c r="E210" s="2" t="s">
        <v>36</v>
      </c>
      <c r="F210" s="2" t="s">
        <v>37</v>
      </c>
      <c r="G210" s="2" t="s">
        <v>38</v>
      </c>
      <c r="H210" s="2" t="s">
        <v>18</v>
      </c>
      <c r="I210" s="2" t="s">
        <v>19</v>
      </c>
      <c r="J210" s="2" t="s">
        <v>40</v>
      </c>
      <c r="K210" s="2" t="s">
        <v>41</v>
      </c>
      <c r="L210" s="3">
        <v>128.80000000000001</v>
      </c>
      <c r="M210">
        <v>54</v>
      </c>
      <c r="N210" s="3">
        <v>6955.2</v>
      </c>
      <c r="O210" t="str">
        <f t="shared" si="3"/>
        <v>Si</v>
      </c>
      <c r="U210" s="1"/>
      <c r="W210" s="2"/>
      <c r="X210" s="2"/>
      <c r="Y210" s="2"/>
      <c r="Z210" s="2"/>
      <c r="AD210" s="2"/>
      <c r="AE210" s="2"/>
      <c r="AF210" s="2"/>
      <c r="AG210" s="2"/>
      <c r="AH210" s="3"/>
      <c r="AJ210" s="3"/>
    </row>
    <row r="211" spans="1:36" x14ac:dyDescent="0.25">
      <c r="A211">
        <v>210</v>
      </c>
      <c r="B211" s="1">
        <v>44154</v>
      </c>
      <c r="C211">
        <v>3516608759</v>
      </c>
      <c r="D211" s="2" t="s">
        <v>92</v>
      </c>
      <c r="E211" s="2" t="s">
        <v>65</v>
      </c>
      <c r="F211" s="2" t="s">
        <v>65</v>
      </c>
      <c r="G211" s="2" t="s">
        <v>66</v>
      </c>
      <c r="H211" s="2" t="s">
        <v>28</v>
      </c>
      <c r="I211" s="2" t="s">
        <v>51</v>
      </c>
      <c r="J211" s="2" t="s">
        <v>97</v>
      </c>
      <c r="K211" s="2" t="s">
        <v>41</v>
      </c>
      <c r="L211" s="3">
        <v>140</v>
      </c>
      <c r="M211">
        <v>55</v>
      </c>
      <c r="N211" s="3">
        <v>7700</v>
      </c>
      <c r="O211" t="str">
        <f t="shared" si="3"/>
        <v>No</v>
      </c>
      <c r="U211" s="1"/>
      <c r="W211" s="2"/>
      <c r="X211" s="2"/>
      <c r="Y211" s="2"/>
      <c r="Z211" s="2"/>
      <c r="AD211" s="2"/>
      <c r="AE211" s="2"/>
      <c r="AF211" s="2"/>
      <c r="AG211" s="2"/>
      <c r="AH211" s="3"/>
      <c r="AJ211" s="3"/>
    </row>
    <row r="212" spans="1:36" x14ac:dyDescent="0.25">
      <c r="A212">
        <v>211</v>
      </c>
      <c r="B212" s="1">
        <v>44076</v>
      </c>
      <c r="C212">
        <v>8191358442</v>
      </c>
      <c r="D212" s="2" t="s">
        <v>93</v>
      </c>
      <c r="E212" s="2" t="s">
        <v>76</v>
      </c>
      <c r="F212" s="2" t="s">
        <v>77</v>
      </c>
      <c r="G212" s="2" t="s">
        <v>63</v>
      </c>
      <c r="H212" s="2" t="s">
        <v>39</v>
      </c>
      <c r="I212" s="2" t="s">
        <v>29</v>
      </c>
      <c r="J212" s="2" t="s">
        <v>98</v>
      </c>
      <c r="K212" s="2" t="s">
        <v>99</v>
      </c>
      <c r="L212" s="3">
        <v>298.89999999999998</v>
      </c>
      <c r="M212">
        <v>60</v>
      </c>
      <c r="N212" s="3">
        <v>17934</v>
      </c>
      <c r="O212" t="str">
        <f t="shared" si="3"/>
        <v>Si</v>
      </c>
      <c r="U212" s="1"/>
      <c r="W212" s="2"/>
      <c r="X212" s="2"/>
      <c r="Y212" s="2"/>
      <c r="Z212" s="2"/>
      <c r="AD212" s="2"/>
      <c r="AE212" s="2"/>
      <c r="AF212" s="2"/>
      <c r="AG212" s="2"/>
      <c r="AH212" s="3"/>
      <c r="AJ212" s="3"/>
    </row>
    <row r="213" spans="1:36" x14ac:dyDescent="0.25">
      <c r="A213">
        <v>212</v>
      </c>
      <c r="B213" s="1">
        <v>43851</v>
      </c>
      <c r="C213">
        <v>8451227157</v>
      </c>
      <c r="D213" s="2" t="s">
        <v>93</v>
      </c>
      <c r="E213" s="2" t="s">
        <v>76</v>
      </c>
      <c r="F213" s="2" t="s">
        <v>77</v>
      </c>
      <c r="G213" s="2" t="s">
        <v>63</v>
      </c>
      <c r="H213" s="2" t="s">
        <v>39</v>
      </c>
      <c r="I213" s="2" t="s">
        <v>29</v>
      </c>
      <c r="J213" s="2" t="s">
        <v>52</v>
      </c>
      <c r="K213" s="2" t="s">
        <v>53</v>
      </c>
      <c r="L213" s="3">
        <v>135.1</v>
      </c>
      <c r="M213">
        <v>19</v>
      </c>
      <c r="N213" s="3">
        <v>2566.9</v>
      </c>
      <c r="O213" t="str">
        <f t="shared" si="3"/>
        <v>No</v>
      </c>
      <c r="U213" s="1"/>
      <c r="W213" s="2"/>
      <c r="X213" s="2"/>
      <c r="Y213" s="2"/>
      <c r="Z213" s="2"/>
      <c r="AD213" s="2"/>
      <c r="AE213" s="2"/>
      <c r="AF213" s="2"/>
      <c r="AG213" s="2"/>
      <c r="AH213" s="3"/>
      <c r="AJ213" s="3"/>
    </row>
    <row r="214" spans="1:36" x14ac:dyDescent="0.25">
      <c r="A214">
        <v>213</v>
      </c>
      <c r="B214" s="1">
        <v>43878</v>
      </c>
      <c r="C214">
        <v>9847155245</v>
      </c>
      <c r="D214" s="2" t="s">
        <v>93</v>
      </c>
      <c r="E214" s="2" t="s">
        <v>76</v>
      </c>
      <c r="F214" s="2" t="s">
        <v>77</v>
      </c>
      <c r="G214" s="2" t="s">
        <v>63</v>
      </c>
      <c r="H214" s="2" t="s">
        <v>39</v>
      </c>
      <c r="I214" s="2" t="s">
        <v>29</v>
      </c>
      <c r="J214" s="2" t="s">
        <v>81</v>
      </c>
      <c r="K214" s="2" t="s">
        <v>82</v>
      </c>
      <c r="L214" s="3">
        <v>257.60000000000002</v>
      </c>
      <c r="M214">
        <v>66</v>
      </c>
      <c r="N214" s="3">
        <v>17001.599999999999</v>
      </c>
      <c r="O214" t="str">
        <f t="shared" si="3"/>
        <v>Si</v>
      </c>
      <c r="U214" s="1"/>
      <c r="W214" s="2"/>
      <c r="X214" s="2"/>
      <c r="Y214" s="2"/>
      <c r="Z214" s="2"/>
      <c r="AD214" s="2"/>
      <c r="AE214" s="2"/>
      <c r="AF214" s="2"/>
      <c r="AG214" s="2"/>
      <c r="AH214" s="3"/>
      <c r="AJ214" s="3"/>
    </row>
    <row r="215" spans="1:36" x14ac:dyDescent="0.25">
      <c r="A215">
        <v>214</v>
      </c>
      <c r="B215" s="1">
        <v>43886</v>
      </c>
      <c r="C215">
        <v>5189485028</v>
      </c>
      <c r="D215" s="2" t="s">
        <v>42</v>
      </c>
      <c r="E215" s="2" t="s">
        <v>43</v>
      </c>
      <c r="F215" s="2" t="s">
        <v>44</v>
      </c>
      <c r="G215" s="2" t="s">
        <v>45</v>
      </c>
      <c r="H215" s="2" t="s">
        <v>18</v>
      </c>
      <c r="I215" s="2" t="s">
        <v>19</v>
      </c>
      <c r="J215" s="2" t="s">
        <v>20</v>
      </c>
      <c r="K215" s="2" t="s">
        <v>21</v>
      </c>
      <c r="L215" s="3">
        <v>196</v>
      </c>
      <c r="M215">
        <v>42</v>
      </c>
      <c r="N215" s="3">
        <v>8232</v>
      </c>
      <c r="O215" t="str">
        <f t="shared" si="3"/>
        <v>No</v>
      </c>
      <c r="U215" s="1"/>
      <c r="W215" s="2"/>
      <c r="X215" s="2"/>
      <c r="Y215" s="2"/>
      <c r="Z215" s="2"/>
      <c r="AD215" s="2"/>
      <c r="AE215" s="2"/>
      <c r="AF215" s="2"/>
      <c r="AG215" s="2"/>
      <c r="AH215" s="3"/>
      <c r="AJ215" s="3"/>
    </row>
    <row r="216" spans="1:36" x14ac:dyDescent="0.25">
      <c r="A216">
        <v>215</v>
      </c>
      <c r="B216" s="1">
        <v>44037</v>
      </c>
      <c r="C216">
        <v>2367569858</v>
      </c>
      <c r="D216" s="2" t="s">
        <v>54</v>
      </c>
      <c r="E216" s="2" t="s">
        <v>55</v>
      </c>
      <c r="F216" s="2" t="s">
        <v>56</v>
      </c>
      <c r="G216" s="2" t="s">
        <v>57</v>
      </c>
      <c r="H216" s="2" t="s">
        <v>39</v>
      </c>
      <c r="I216" s="2" t="s">
        <v>19</v>
      </c>
      <c r="J216" s="2" t="s">
        <v>46</v>
      </c>
      <c r="K216" s="2" t="s">
        <v>47</v>
      </c>
      <c r="L216" s="3">
        <v>178.5</v>
      </c>
      <c r="M216">
        <v>72</v>
      </c>
      <c r="N216" s="3">
        <v>12852</v>
      </c>
      <c r="O216" t="str">
        <f t="shared" si="3"/>
        <v>Si</v>
      </c>
      <c r="U216" s="1"/>
      <c r="W216" s="2"/>
      <c r="X216" s="2"/>
      <c r="Y216" s="2"/>
      <c r="Z216" s="2"/>
      <c r="AD216" s="2"/>
      <c r="AE216" s="2"/>
      <c r="AF216" s="2"/>
      <c r="AG216" s="2"/>
      <c r="AH216" s="3"/>
      <c r="AJ216" s="3"/>
    </row>
    <row r="217" spans="1:36" x14ac:dyDescent="0.25">
      <c r="A217">
        <v>216</v>
      </c>
      <c r="B217" s="1">
        <v>44036</v>
      </c>
      <c r="C217">
        <v>1241520334</v>
      </c>
      <c r="D217" s="2" t="s">
        <v>24</v>
      </c>
      <c r="E217" s="2" t="s">
        <v>25</v>
      </c>
      <c r="F217" s="2" t="s">
        <v>26</v>
      </c>
      <c r="G217" s="2" t="s">
        <v>27</v>
      </c>
      <c r="H217" s="2" t="s">
        <v>28</v>
      </c>
      <c r="I217" s="2" t="s">
        <v>29</v>
      </c>
      <c r="J217" s="2" t="s">
        <v>100</v>
      </c>
      <c r="K217" s="2" t="s">
        <v>72</v>
      </c>
      <c r="L217" s="3">
        <v>1134</v>
      </c>
      <c r="M217">
        <v>32</v>
      </c>
      <c r="N217" s="3">
        <v>36288</v>
      </c>
      <c r="O217" t="str">
        <f t="shared" si="3"/>
        <v>No</v>
      </c>
      <c r="U217" s="1"/>
      <c r="W217" s="2"/>
      <c r="X217" s="2"/>
      <c r="Y217" s="2"/>
      <c r="Z217" s="2"/>
      <c r="AD217" s="2"/>
      <c r="AE217" s="2"/>
      <c r="AF217" s="2"/>
      <c r="AG217" s="2"/>
      <c r="AH217" s="3"/>
      <c r="AJ217" s="3"/>
    </row>
    <row r="218" spans="1:36" x14ac:dyDescent="0.25">
      <c r="A218">
        <v>217</v>
      </c>
      <c r="B218" s="1">
        <v>43895</v>
      </c>
      <c r="C218">
        <v>6999895697</v>
      </c>
      <c r="D218" s="2" t="s">
        <v>24</v>
      </c>
      <c r="E218" s="2" t="s">
        <v>25</v>
      </c>
      <c r="F218" s="2" t="s">
        <v>26</v>
      </c>
      <c r="G218" s="2" t="s">
        <v>27</v>
      </c>
      <c r="H218" s="2" t="s">
        <v>28</v>
      </c>
      <c r="I218" s="2" t="s">
        <v>29</v>
      </c>
      <c r="J218" s="2" t="s">
        <v>101</v>
      </c>
      <c r="K218" s="2" t="s">
        <v>102</v>
      </c>
      <c r="L218" s="3">
        <v>98</v>
      </c>
      <c r="M218">
        <v>76</v>
      </c>
      <c r="N218" s="3">
        <v>7448</v>
      </c>
      <c r="O218" t="str">
        <f t="shared" si="3"/>
        <v>Si</v>
      </c>
      <c r="U218" s="1"/>
      <c r="W218" s="2"/>
      <c r="X218" s="2"/>
      <c r="Y218" s="2"/>
      <c r="Z218" s="2"/>
      <c r="AD218" s="2"/>
      <c r="AE218" s="2"/>
      <c r="AF218" s="2"/>
      <c r="AG218" s="2"/>
      <c r="AH218" s="3"/>
      <c r="AJ218" s="3"/>
    </row>
    <row r="219" spans="1:36" x14ac:dyDescent="0.25">
      <c r="A219">
        <v>218</v>
      </c>
      <c r="B219" s="1">
        <v>44026</v>
      </c>
      <c r="C219">
        <v>2931440223</v>
      </c>
      <c r="D219" s="2" t="s">
        <v>64</v>
      </c>
      <c r="E219" s="2" t="s">
        <v>65</v>
      </c>
      <c r="F219" s="2" t="s">
        <v>65</v>
      </c>
      <c r="G219" s="2" t="s">
        <v>66</v>
      </c>
      <c r="H219" s="2" t="s">
        <v>28</v>
      </c>
      <c r="I219" s="2" t="s">
        <v>70</v>
      </c>
      <c r="J219" s="2" t="s">
        <v>40</v>
      </c>
      <c r="K219" s="2" t="s">
        <v>41</v>
      </c>
      <c r="L219" s="3">
        <v>128.80000000000001</v>
      </c>
      <c r="M219">
        <v>83</v>
      </c>
      <c r="N219" s="3">
        <v>10690.4</v>
      </c>
      <c r="O219" t="str">
        <f t="shared" si="3"/>
        <v>No</v>
      </c>
      <c r="U219" s="1"/>
      <c r="W219" s="2"/>
      <c r="X219" s="2"/>
      <c r="Y219" s="2"/>
      <c r="Z219" s="2"/>
      <c r="AD219" s="2"/>
      <c r="AE219" s="2"/>
      <c r="AF219" s="2"/>
      <c r="AG219" s="2"/>
      <c r="AH219" s="3"/>
      <c r="AJ219" s="3"/>
    </row>
    <row r="220" spans="1:36" x14ac:dyDescent="0.25">
      <c r="A220">
        <v>219</v>
      </c>
      <c r="B220" s="1">
        <v>43965</v>
      </c>
      <c r="C220">
        <v>6045555436</v>
      </c>
      <c r="D220" s="2" t="s">
        <v>75</v>
      </c>
      <c r="E220" s="2" t="s">
        <v>76</v>
      </c>
      <c r="F220" s="2" t="s">
        <v>77</v>
      </c>
      <c r="G220" s="2" t="s">
        <v>63</v>
      </c>
      <c r="H220" s="2" t="s">
        <v>39</v>
      </c>
      <c r="I220" s="2" t="s">
        <v>70</v>
      </c>
      <c r="J220" s="2" t="s">
        <v>22</v>
      </c>
      <c r="K220" s="2" t="s">
        <v>23</v>
      </c>
      <c r="L220" s="3">
        <v>49</v>
      </c>
      <c r="M220">
        <v>91</v>
      </c>
      <c r="N220" s="3">
        <v>4459</v>
      </c>
      <c r="O220" t="str">
        <f t="shared" si="3"/>
        <v>Si</v>
      </c>
      <c r="U220" s="1"/>
      <c r="W220" s="2"/>
      <c r="X220" s="2"/>
      <c r="Y220" s="2"/>
      <c r="Z220" s="2"/>
      <c r="AD220" s="2"/>
      <c r="AE220" s="2"/>
      <c r="AF220" s="2"/>
      <c r="AG220" s="2"/>
      <c r="AH220" s="3"/>
      <c r="AJ220" s="3"/>
    </row>
    <row r="221" spans="1:36" x14ac:dyDescent="0.25">
      <c r="A221">
        <v>220</v>
      </c>
      <c r="B221" s="1">
        <v>44117</v>
      </c>
      <c r="C221">
        <v>4985084204</v>
      </c>
      <c r="D221" s="2" t="s">
        <v>75</v>
      </c>
      <c r="E221" s="2" t="s">
        <v>76</v>
      </c>
      <c r="F221" s="2" t="s">
        <v>77</v>
      </c>
      <c r="G221" s="2" t="s">
        <v>63</v>
      </c>
      <c r="H221" s="2" t="s">
        <v>39</v>
      </c>
      <c r="I221" s="2" t="s">
        <v>70</v>
      </c>
      <c r="J221" s="2" t="s">
        <v>67</v>
      </c>
      <c r="K221" s="2" t="s">
        <v>21</v>
      </c>
      <c r="L221" s="3">
        <v>41.86</v>
      </c>
      <c r="M221">
        <v>64</v>
      </c>
      <c r="N221" s="3">
        <v>2679.04</v>
      </c>
      <c r="O221" t="str">
        <f t="shared" si="3"/>
        <v>No</v>
      </c>
      <c r="U221" s="1"/>
      <c r="W221" s="2"/>
      <c r="X221" s="2"/>
      <c r="Y221" s="2"/>
      <c r="Z221" s="2"/>
      <c r="AD221" s="2"/>
      <c r="AE221" s="2"/>
      <c r="AF221" s="2"/>
      <c r="AG221" s="2"/>
      <c r="AH221" s="3"/>
      <c r="AJ221" s="3"/>
    </row>
    <row r="222" spans="1:36" x14ac:dyDescent="0.25">
      <c r="A222">
        <v>221</v>
      </c>
      <c r="B222" s="1">
        <v>44019</v>
      </c>
      <c r="C222">
        <v>8950774476</v>
      </c>
      <c r="D222" s="2" t="s">
        <v>78</v>
      </c>
      <c r="E222" s="2" t="s">
        <v>79</v>
      </c>
      <c r="F222" s="2" t="s">
        <v>80</v>
      </c>
      <c r="G222" s="2" t="s">
        <v>38</v>
      </c>
      <c r="H222" s="2" t="s">
        <v>70</v>
      </c>
      <c r="I222" s="2" t="s">
        <v>70</v>
      </c>
      <c r="J222" s="2" t="s">
        <v>33</v>
      </c>
      <c r="K222" s="2" t="s">
        <v>21</v>
      </c>
      <c r="L222" s="3">
        <v>252</v>
      </c>
      <c r="M222">
        <v>58</v>
      </c>
      <c r="N222" s="3">
        <v>14616</v>
      </c>
      <c r="O222" t="str">
        <f t="shared" si="3"/>
        <v>Si</v>
      </c>
      <c r="U222" s="1"/>
      <c r="W222" s="2"/>
      <c r="X222" s="2"/>
      <c r="Y222" s="2"/>
      <c r="Z222" s="2"/>
      <c r="AD222" s="2"/>
      <c r="AE222" s="2"/>
      <c r="AF222" s="2"/>
      <c r="AG222" s="2"/>
      <c r="AH222" s="3"/>
      <c r="AJ222" s="3"/>
    </row>
    <row r="223" spans="1:36" x14ac:dyDescent="0.25">
      <c r="A223">
        <v>222</v>
      </c>
      <c r="B223" s="1">
        <v>43977</v>
      </c>
      <c r="C223">
        <v>4091794218</v>
      </c>
      <c r="D223" s="2" t="s">
        <v>78</v>
      </c>
      <c r="E223" s="2" t="s">
        <v>79</v>
      </c>
      <c r="F223" s="2" t="s">
        <v>80</v>
      </c>
      <c r="G223" s="2" t="s">
        <v>38</v>
      </c>
      <c r="H223" s="2" t="s">
        <v>70</v>
      </c>
      <c r="I223" s="2" t="s">
        <v>70</v>
      </c>
      <c r="J223" s="2" t="s">
        <v>34</v>
      </c>
      <c r="K223" s="2" t="s">
        <v>21</v>
      </c>
      <c r="L223" s="3">
        <v>644</v>
      </c>
      <c r="M223">
        <v>97</v>
      </c>
      <c r="N223" s="3">
        <v>62468</v>
      </c>
      <c r="O223" t="str">
        <f t="shared" si="3"/>
        <v>No</v>
      </c>
      <c r="U223" s="1"/>
      <c r="W223" s="2"/>
      <c r="X223" s="2"/>
      <c r="Y223" s="2"/>
      <c r="Z223" s="2"/>
      <c r="AD223" s="2"/>
      <c r="AE223" s="2"/>
      <c r="AF223" s="2"/>
      <c r="AG223" s="2"/>
      <c r="AH223" s="3"/>
      <c r="AJ223" s="3"/>
    </row>
    <row r="224" spans="1:36" x14ac:dyDescent="0.25">
      <c r="A224">
        <v>223</v>
      </c>
      <c r="B224" s="1">
        <v>44043</v>
      </c>
      <c r="C224">
        <v>2789876793</v>
      </c>
      <c r="D224" s="2" t="s">
        <v>78</v>
      </c>
      <c r="E224" s="2" t="s">
        <v>79</v>
      </c>
      <c r="F224" s="2" t="s">
        <v>80</v>
      </c>
      <c r="G224" s="2" t="s">
        <v>38</v>
      </c>
      <c r="H224" s="2" t="s">
        <v>70</v>
      </c>
      <c r="I224" s="2" t="s">
        <v>70</v>
      </c>
      <c r="J224" s="2" t="s">
        <v>67</v>
      </c>
      <c r="K224" s="2" t="s">
        <v>21</v>
      </c>
      <c r="L224" s="3">
        <v>41.86</v>
      </c>
      <c r="M224">
        <v>14</v>
      </c>
      <c r="N224" s="3">
        <v>586.04</v>
      </c>
      <c r="O224" t="str">
        <f t="shared" si="3"/>
        <v>Si</v>
      </c>
      <c r="U224" s="1"/>
      <c r="W224" s="2"/>
      <c r="X224" s="2"/>
      <c r="Y224" s="2"/>
      <c r="Z224" s="2"/>
      <c r="AD224" s="2"/>
      <c r="AE224" s="2"/>
      <c r="AF224" s="2"/>
      <c r="AG224" s="2"/>
      <c r="AH224" s="3"/>
      <c r="AJ224" s="3"/>
    </row>
    <row r="225" spans="1:36" x14ac:dyDescent="0.25">
      <c r="A225">
        <v>224</v>
      </c>
      <c r="B225" s="1">
        <v>43940</v>
      </c>
      <c r="C225">
        <v>4338385582</v>
      </c>
      <c r="D225" s="2" t="s">
        <v>60</v>
      </c>
      <c r="E225" s="2" t="s">
        <v>61</v>
      </c>
      <c r="F225" s="2" t="s">
        <v>62</v>
      </c>
      <c r="G225" s="2" t="s">
        <v>63</v>
      </c>
      <c r="H225" s="2" t="s">
        <v>39</v>
      </c>
      <c r="I225" s="2" t="s">
        <v>29</v>
      </c>
      <c r="J225" s="2" t="s">
        <v>52</v>
      </c>
      <c r="K225" s="2" t="s">
        <v>53</v>
      </c>
      <c r="L225" s="3">
        <v>135.1</v>
      </c>
      <c r="M225">
        <v>68</v>
      </c>
      <c r="N225" s="3">
        <v>9186.7999999999993</v>
      </c>
      <c r="O225" t="str">
        <f t="shared" si="3"/>
        <v>No</v>
      </c>
      <c r="U225" s="1"/>
      <c r="W225" s="2"/>
      <c r="X225" s="2"/>
      <c r="Y225" s="2"/>
      <c r="Z225" s="2"/>
      <c r="AD225" s="2"/>
      <c r="AE225" s="2"/>
      <c r="AF225" s="2"/>
      <c r="AG225" s="2"/>
      <c r="AH225" s="3"/>
      <c r="AJ225" s="3"/>
    </row>
    <row r="226" spans="1:36" x14ac:dyDescent="0.25">
      <c r="A226">
        <v>225</v>
      </c>
      <c r="B226" s="1">
        <v>44008</v>
      </c>
      <c r="C226">
        <v>9159410824</v>
      </c>
      <c r="D226" s="2" t="s">
        <v>60</v>
      </c>
      <c r="E226" s="2" t="s">
        <v>61</v>
      </c>
      <c r="F226" s="2" t="s">
        <v>62</v>
      </c>
      <c r="G226" s="2" t="s">
        <v>63</v>
      </c>
      <c r="H226" s="2" t="s">
        <v>39</v>
      </c>
      <c r="I226" s="2" t="s">
        <v>29</v>
      </c>
      <c r="J226" s="2" t="s">
        <v>81</v>
      </c>
      <c r="K226" s="2" t="s">
        <v>82</v>
      </c>
      <c r="L226" s="3">
        <v>257.60000000000002</v>
      </c>
      <c r="M226">
        <v>32</v>
      </c>
      <c r="N226" s="3">
        <v>8243.2000000000007</v>
      </c>
      <c r="O226" t="str">
        <f t="shared" si="3"/>
        <v>Si</v>
      </c>
      <c r="U226" s="1"/>
      <c r="W226" s="2"/>
      <c r="X226" s="2"/>
      <c r="Y226" s="2"/>
      <c r="Z226" s="2"/>
      <c r="AD226" s="2"/>
      <c r="AE226" s="2"/>
      <c r="AF226" s="2"/>
      <c r="AG226" s="2"/>
      <c r="AH226" s="3"/>
      <c r="AJ226" s="3"/>
    </row>
    <row r="227" spans="1:36" x14ac:dyDescent="0.25">
      <c r="A227">
        <v>226</v>
      </c>
      <c r="B227" s="1">
        <v>44168</v>
      </c>
      <c r="C227">
        <v>6562657766</v>
      </c>
      <c r="D227" s="2" t="s">
        <v>83</v>
      </c>
      <c r="E227" s="2" t="s">
        <v>43</v>
      </c>
      <c r="F227" s="2" t="s">
        <v>44</v>
      </c>
      <c r="G227" s="2" t="s">
        <v>84</v>
      </c>
      <c r="H227" s="2" t="s">
        <v>28</v>
      </c>
      <c r="I227" s="2" t="s">
        <v>19</v>
      </c>
      <c r="J227" s="2" t="s">
        <v>85</v>
      </c>
      <c r="K227" s="2" t="s">
        <v>86</v>
      </c>
      <c r="L227" s="3">
        <v>273</v>
      </c>
      <c r="M227">
        <v>48</v>
      </c>
      <c r="N227" s="3">
        <v>13104</v>
      </c>
      <c r="O227" t="str">
        <f t="shared" si="3"/>
        <v>No</v>
      </c>
      <c r="U227" s="1"/>
      <c r="W227" s="2"/>
      <c r="X227" s="2"/>
      <c r="Y227" s="2"/>
      <c r="Z227" s="2"/>
      <c r="AD227" s="2"/>
      <c r="AE227" s="2"/>
      <c r="AF227" s="2"/>
      <c r="AG227" s="2"/>
      <c r="AH227" s="3"/>
      <c r="AJ227" s="3"/>
    </row>
    <row r="228" spans="1:36" x14ac:dyDescent="0.25">
      <c r="A228">
        <v>227</v>
      </c>
      <c r="B228" s="1">
        <v>44177</v>
      </c>
      <c r="C228">
        <v>4160634865</v>
      </c>
      <c r="D228" s="2" t="s">
        <v>83</v>
      </c>
      <c r="E228" s="2" t="s">
        <v>43</v>
      </c>
      <c r="F228" s="2" t="s">
        <v>44</v>
      </c>
      <c r="G228" s="2" t="s">
        <v>84</v>
      </c>
      <c r="H228" s="2" t="s">
        <v>28</v>
      </c>
      <c r="I228" s="2" t="s">
        <v>19</v>
      </c>
      <c r="J228" s="2" t="s">
        <v>87</v>
      </c>
      <c r="K228" s="2" t="s">
        <v>88</v>
      </c>
      <c r="L228" s="3">
        <v>487.2</v>
      </c>
      <c r="M228">
        <v>57</v>
      </c>
      <c r="N228" s="3">
        <v>27770.400000000001</v>
      </c>
      <c r="O228" t="str">
        <f t="shared" si="3"/>
        <v>Si</v>
      </c>
      <c r="U228" s="1"/>
      <c r="W228" s="2"/>
      <c r="X228" s="2"/>
      <c r="Y228" s="2"/>
      <c r="Z228" s="2"/>
      <c r="AD228" s="2"/>
      <c r="AE228" s="2"/>
      <c r="AF228" s="2"/>
      <c r="AG228" s="2"/>
      <c r="AH228" s="3"/>
      <c r="AJ228" s="3"/>
    </row>
    <row r="229" spans="1:36" x14ac:dyDescent="0.25">
      <c r="A229">
        <v>228</v>
      </c>
      <c r="B229" s="1">
        <v>43864</v>
      </c>
      <c r="C229">
        <v>142416687</v>
      </c>
      <c r="D229" s="2" t="s">
        <v>54</v>
      </c>
      <c r="E229" s="2" t="s">
        <v>55</v>
      </c>
      <c r="F229" s="2" t="s">
        <v>56</v>
      </c>
      <c r="G229" s="2" t="s">
        <v>57</v>
      </c>
      <c r="H229" s="2" t="s">
        <v>18</v>
      </c>
      <c r="I229" s="2" t="s">
        <v>29</v>
      </c>
      <c r="J229" s="2" t="s">
        <v>20</v>
      </c>
      <c r="K229" s="2" t="s">
        <v>21</v>
      </c>
      <c r="L229" s="3">
        <v>196</v>
      </c>
      <c r="M229">
        <v>67</v>
      </c>
      <c r="N229" s="3">
        <v>13132</v>
      </c>
      <c r="O229" t="str">
        <f t="shared" si="3"/>
        <v>No</v>
      </c>
      <c r="U229" s="1"/>
      <c r="W229" s="2"/>
      <c r="X229" s="2"/>
      <c r="Y229" s="2"/>
      <c r="Z229" s="2"/>
      <c r="AD229" s="2"/>
      <c r="AE229" s="2"/>
      <c r="AF229" s="2"/>
      <c r="AG229" s="2"/>
      <c r="AH229" s="3"/>
      <c r="AJ229" s="3"/>
    </row>
    <row r="230" spans="1:36" x14ac:dyDescent="0.25">
      <c r="A230">
        <v>229</v>
      </c>
      <c r="B230" s="1">
        <v>43887</v>
      </c>
      <c r="C230">
        <v>6114991349</v>
      </c>
      <c r="D230" s="2" t="s">
        <v>35</v>
      </c>
      <c r="E230" s="2" t="s">
        <v>36</v>
      </c>
      <c r="F230" s="2" t="s">
        <v>37</v>
      </c>
      <c r="G230" s="2" t="s">
        <v>38</v>
      </c>
      <c r="H230" s="2" t="s">
        <v>18</v>
      </c>
      <c r="I230" s="2" t="s">
        <v>19</v>
      </c>
      <c r="J230" s="2" t="s">
        <v>58</v>
      </c>
      <c r="K230" s="2" t="s">
        <v>59</v>
      </c>
      <c r="L230" s="3">
        <v>560</v>
      </c>
      <c r="M230">
        <v>48</v>
      </c>
      <c r="N230" s="3">
        <v>26880</v>
      </c>
      <c r="O230" t="str">
        <f t="shared" si="3"/>
        <v>Si</v>
      </c>
      <c r="U230" s="1"/>
      <c r="W230" s="2"/>
      <c r="X230" s="2"/>
      <c r="Y230" s="2"/>
      <c r="Z230" s="2"/>
      <c r="AD230" s="2"/>
      <c r="AE230" s="2"/>
      <c r="AF230" s="2"/>
      <c r="AG230" s="2"/>
      <c r="AH230" s="3"/>
      <c r="AJ230" s="3"/>
    </row>
    <row r="231" spans="1:36" x14ac:dyDescent="0.25">
      <c r="A231">
        <v>230</v>
      </c>
      <c r="B231" s="1">
        <v>43925</v>
      </c>
      <c r="C231">
        <v>6472352060</v>
      </c>
      <c r="D231" s="2" t="s">
        <v>35</v>
      </c>
      <c r="E231" s="2" t="s">
        <v>36</v>
      </c>
      <c r="F231" s="2" t="s">
        <v>37</v>
      </c>
      <c r="G231" s="2" t="s">
        <v>38</v>
      </c>
      <c r="H231" s="2" t="s">
        <v>18</v>
      </c>
      <c r="I231" s="2" t="s">
        <v>19</v>
      </c>
      <c r="J231" s="2" t="s">
        <v>40</v>
      </c>
      <c r="K231" s="2" t="s">
        <v>41</v>
      </c>
      <c r="L231" s="3">
        <v>128.80000000000001</v>
      </c>
      <c r="M231">
        <v>77</v>
      </c>
      <c r="N231" s="3">
        <v>9917.6</v>
      </c>
      <c r="O231" t="str">
        <f t="shared" si="3"/>
        <v>No</v>
      </c>
      <c r="U231" s="1"/>
      <c r="W231" s="2"/>
      <c r="X231" s="2"/>
      <c r="Y231" s="2"/>
      <c r="Z231" s="2"/>
      <c r="AD231" s="2"/>
      <c r="AE231" s="2"/>
      <c r="AF231" s="2"/>
      <c r="AG231" s="2"/>
      <c r="AH231" s="3"/>
      <c r="AJ231" s="3"/>
    </row>
    <row r="232" spans="1:36" x14ac:dyDescent="0.25">
      <c r="A232">
        <v>231</v>
      </c>
      <c r="B232" s="1">
        <v>43942</v>
      </c>
      <c r="C232">
        <v>5399077795</v>
      </c>
      <c r="D232" s="2" t="s">
        <v>92</v>
      </c>
      <c r="E232" s="2" t="s">
        <v>65</v>
      </c>
      <c r="F232" s="2" t="s">
        <v>65</v>
      </c>
      <c r="G232" s="2" t="s">
        <v>66</v>
      </c>
      <c r="H232" s="2" t="s">
        <v>28</v>
      </c>
      <c r="I232" s="2" t="s">
        <v>51</v>
      </c>
      <c r="J232" s="2" t="s">
        <v>97</v>
      </c>
      <c r="K232" s="2" t="s">
        <v>41</v>
      </c>
      <c r="L232" s="3">
        <v>140</v>
      </c>
      <c r="M232">
        <v>94</v>
      </c>
      <c r="N232" s="3">
        <v>13160</v>
      </c>
      <c r="O232" t="str">
        <f t="shared" si="3"/>
        <v>Si</v>
      </c>
      <c r="U232" s="1"/>
      <c r="W232" s="2"/>
      <c r="X232" s="2"/>
      <c r="Y232" s="2"/>
      <c r="Z232" s="2"/>
      <c r="AD232" s="2"/>
      <c r="AE232" s="2"/>
      <c r="AF232" s="2"/>
      <c r="AG232" s="2"/>
      <c r="AH232" s="3"/>
      <c r="AJ232" s="3"/>
    </row>
    <row r="233" spans="1:36" x14ac:dyDescent="0.25">
      <c r="A233">
        <v>232</v>
      </c>
      <c r="B233" s="1">
        <v>44079</v>
      </c>
      <c r="C233">
        <v>6275645168</v>
      </c>
      <c r="D233" s="2" t="s">
        <v>93</v>
      </c>
      <c r="E233" s="2" t="s">
        <v>76</v>
      </c>
      <c r="F233" s="2" t="s">
        <v>77</v>
      </c>
      <c r="G233" s="2" t="s">
        <v>63</v>
      </c>
      <c r="H233" s="2" t="s">
        <v>39</v>
      </c>
      <c r="I233" s="2" t="s">
        <v>29</v>
      </c>
      <c r="J233" s="2" t="s">
        <v>98</v>
      </c>
      <c r="K233" s="2" t="s">
        <v>99</v>
      </c>
      <c r="L233" s="3">
        <v>298.89999999999998</v>
      </c>
      <c r="M233">
        <v>54</v>
      </c>
      <c r="N233" s="3">
        <v>16140.6</v>
      </c>
      <c r="O233" t="str">
        <f t="shared" si="3"/>
        <v>No</v>
      </c>
      <c r="U233" s="1"/>
      <c r="W233" s="2"/>
      <c r="X233" s="2"/>
      <c r="Y233" s="2"/>
      <c r="Z233" s="2"/>
      <c r="AD233" s="2"/>
      <c r="AE233" s="2"/>
      <c r="AF233" s="2"/>
      <c r="AG233" s="2"/>
      <c r="AH233" s="3"/>
      <c r="AJ233" s="3"/>
    </row>
    <row r="234" spans="1:36" x14ac:dyDescent="0.25">
      <c r="A234">
        <v>233</v>
      </c>
      <c r="B234" s="1">
        <v>43882</v>
      </c>
      <c r="C234">
        <v>597069969</v>
      </c>
      <c r="D234" s="2" t="s">
        <v>93</v>
      </c>
      <c r="E234" s="2" t="s">
        <v>76</v>
      </c>
      <c r="F234" s="2" t="s">
        <v>77</v>
      </c>
      <c r="G234" s="2" t="s">
        <v>63</v>
      </c>
      <c r="H234" s="2" t="s">
        <v>39</v>
      </c>
      <c r="I234" s="2" t="s">
        <v>29</v>
      </c>
      <c r="J234" s="2" t="s">
        <v>52</v>
      </c>
      <c r="K234" s="2" t="s">
        <v>53</v>
      </c>
      <c r="L234" s="3">
        <v>135.1</v>
      </c>
      <c r="M234">
        <v>43</v>
      </c>
      <c r="N234" s="3">
        <v>5809.3</v>
      </c>
      <c r="O234" t="str">
        <f t="shared" si="3"/>
        <v>Si</v>
      </c>
      <c r="U234" s="1"/>
      <c r="W234" s="2"/>
      <c r="X234" s="2"/>
      <c r="Y234" s="2"/>
      <c r="Z234" s="2"/>
      <c r="AD234" s="2"/>
      <c r="AE234" s="2"/>
      <c r="AF234" s="2"/>
      <c r="AG234" s="2"/>
      <c r="AH234" s="3"/>
      <c r="AJ234" s="3"/>
    </row>
    <row r="235" spans="1:36" x14ac:dyDescent="0.25">
      <c r="A235">
        <v>234</v>
      </c>
      <c r="B235" s="1">
        <v>44174</v>
      </c>
      <c r="C235">
        <v>1323169656</v>
      </c>
      <c r="D235" s="2" t="s">
        <v>93</v>
      </c>
      <c r="E235" s="2" t="s">
        <v>76</v>
      </c>
      <c r="F235" s="2" t="s">
        <v>77</v>
      </c>
      <c r="G235" s="2" t="s">
        <v>63</v>
      </c>
      <c r="H235" s="2" t="s">
        <v>39</v>
      </c>
      <c r="I235" s="2" t="s">
        <v>29</v>
      </c>
      <c r="J235" s="2" t="s">
        <v>81</v>
      </c>
      <c r="K235" s="2" t="s">
        <v>82</v>
      </c>
      <c r="L235" s="3">
        <v>257.60000000000002</v>
      </c>
      <c r="M235">
        <v>71</v>
      </c>
      <c r="N235" s="3">
        <v>18289.599999999999</v>
      </c>
      <c r="O235" t="str">
        <f t="shared" si="3"/>
        <v>No</v>
      </c>
      <c r="U235" s="1"/>
      <c r="W235" s="2"/>
      <c r="X235" s="2"/>
      <c r="Y235" s="2"/>
      <c r="Z235" s="2"/>
      <c r="AD235" s="2"/>
      <c r="AE235" s="2"/>
      <c r="AF235" s="2"/>
      <c r="AG235" s="2"/>
      <c r="AH235" s="3"/>
      <c r="AJ235" s="3"/>
    </row>
    <row r="236" spans="1:36" x14ac:dyDescent="0.25">
      <c r="A236">
        <v>235</v>
      </c>
      <c r="B236" s="1">
        <v>44142</v>
      </c>
      <c r="C236">
        <v>2932971142</v>
      </c>
      <c r="D236" s="2" t="s">
        <v>42</v>
      </c>
      <c r="E236" s="2" t="s">
        <v>43</v>
      </c>
      <c r="F236" s="2" t="s">
        <v>44</v>
      </c>
      <c r="G236" s="2" t="s">
        <v>45</v>
      </c>
      <c r="H236" s="2" t="s">
        <v>18</v>
      </c>
      <c r="I236" s="2" t="s">
        <v>19</v>
      </c>
      <c r="J236" s="2" t="s">
        <v>20</v>
      </c>
      <c r="K236" s="2" t="s">
        <v>21</v>
      </c>
      <c r="L236" s="3">
        <v>196</v>
      </c>
      <c r="M236">
        <v>50</v>
      </c>
      <c r="N236" s="3">
        <v>9800</v>
      </c>
      <c r="O236" t="str">
        <f t="shared" si="3"/>
        <v>Si</v>
      </c>
      <c r="U236" s="1"/>
      <c r="W236" s="2"/>
      <c r="X236" s="2"/>
      <c r="Y236" s="2"/>
      <c r="Z236" s="2"/>
      <c r="AD236" s="2"/>
      <c r="AE236" s="2"/>
      <c r="AF236" s="2"/>
      <c r="AG236" s="2"/>
      <c r="AH236" s="3"/>
      <c r="AJ236" s="3"/>
    </row>
    <row r="237" spans="1:36" x14ac:dyDescent="0.25">
      <c r="A237">
        <v>236</v>
      </c>
      <c r="B237" s="1">
        <v>44152</v>
      </c>
      <c r="C237">
        <v>3634141900</v>
      </c>
      <c r="D237" s="2" t="s">
        <v>54</v>
      </c>
      <c r="E237" s="2" t="s">
        <v>55</v>
      </c>
      <c r="F237" s="2" t="s">
        <v>56</v>
      </c>
      <c r="G237" s="2" t="s">
        <v>57</v>
      </c>
      <c r="H237" s="2" t="s">
        <v>39</v>
      </c>
      <c r="I237" s="2" t="s">
        <v>19</v>
      </c>
      <c r="J237" s="2" t="s">
        <v>46</v>
      </c>
      <c r="K237" s="2" t="s">
        <v>47</v>
      </c>
      <c r="L237" s="3">
        <v>178.5</v>
      </c>
      <c r="M237">
        <v>96</v>
      </c>
      <c r="N237" s="3">
        <v>17136</v>
      </c>
      <c r="O237" t="str">
        <f t="shared" si="3"/>
        <v>No</v>
      </c>
      <c r="U237" s="1"/>
      <c r="W237" s="2"/>
      <c r="X237" s="2"/>
      <c r="Y237" s="2"/>
      <c r="Z237" s="2"/>
      <c r="AD237" s="2"/>
      <c r="AE237" s="2"/>
      <c r="AF237" s="2"/>
      <c r="AG237" s="2"/>
      <c r="AH237" s="3"/>
      <c r="AJ237" s="3"/>
    </row>
    <row r="238" spans="1:36" x14ac:dyDescent="0.25">
      <c r="A238">
        <v>237</v>
      </c>
      <c r="B238" s="1">
        <v>43926</v>
      </c>
      <c r="C238">
        <v>8872627168</v>
      </c>
      <c r="D238" s="2" t="s">
        <v>24</v>
      </c>
      <c r="E238" s="2" t="s">
        <v>25</v>
      </c>
      <c r="F238" s="2" t="s">
        <v>26</v>
      </c>
      <c r="G238" s="2" t="s">
        <v>27</v>
      </c>
      <c r="H238" s="2" t="s">
        <v>28</v>
      </c>
      <c r="I238" s="2" t="s">
        <v>29</v>
      </c>
      <c r="J238" s="2" t="s">
        <v>100</v>
      </c>
      <c r="K238" s="2" t="s">
        <v>72</v>
      </c>
      <c r="L238" s="3">
        <v>1134</v>
      </c>
      <c r="M238">
        <v>54</v>
      </c>
      <c r="N238" s="3">
        <v>61236</v>
      </c>
      <c r="O238" t="str">
        <f t="shared" si="3"/>
        <v>Si</v>
      </c>
      <c r="U238" s="1"/>
      <c r="W238" s="2"/>
      <c r="X238" s="2"/>
      <c r="Y238" s="2"/>
      <c r="Z238" s="2"/>
      <c r="AD238" s="2"/>
      <c r="AE238" s="2"/>
      <c r="AF238" s="2"/>
      <c r="AG238" s="2"/>
      <c r="AH238" s="3"/>
      <c r="AJ238" s="3"/>
    </row>
    <row r="239" spans="1:36" x14ac:dyDescent="0.25">
      <c r="A239">
        <v>238</v>
      </c>
      <c r="B239" s="1">
        <v>43849</v>
      </c>
      <c r="C239">
        <v>5571010485</v>
      </c>
      <c r="D239" s="2" t="s">
        <v>24</v>
      </c>
      <c r="E239" s="2" t="s">
        <v>25</v>
      </c>
      <c r="F239" s="2" t="s">
        <v>26</v>
      </c>
      <c r="G239" s="2" t="s">
        <v>27</v>
      </c>
      <c r="H239" s="2" t="s">
        <v>28</v>
      </c>
      <c r="I239" s="2" t="s">
        <v>29</v>
      </c>
      <c r="J239" s="2" t="s">
        <v>101</v>
      </c>
      <c r="K239" s="2" t="s">
        <v>102</v>
      </c>
      <c r="L239" s="3">
        <v>98</v>
      </c>
      <c r="M239">
        <v>39</v>
      </c>
      <c r="N239" s="3">
        <v>3822</v>
      </c>
      <c r="O239" t="str">
        <f t="shared" si="3"/>
        <v>No</v>
      </c>
      <c r="U239" s="1"/>
      <c r="W239" s="2"/>
      <c r="X239" s="2"/>
      <c r="Y239" s="2"/>
      <c r="Z239" s="2"/>
      <c r="AD239" s="2"/>
      <c r="AE239" s="2"/>
      <c r="AF239" s="2"/>
      <c r="AG239" s="2"/>
      <c r="AH239" s="3"/>
      <c r="AJ239" s="3"/>
    </row>
    <row r="240" spans="1:36" x14ac:dyDescent="0.25">
      <c r="A240">
        <v>239</v>
      </c>
      <c r="B240" s="1">
        <v>43976</v>
      </c>
      <c r="C240">
        <v>7703467924</v>
      </c>
      <c r="D240" s="2" t="s">
        <v>35</v>
      </c>
      <c r="E240" s="2" t="s">
        <v>36</v>
      </c>
      <c r="F240" s="2" t="s">
        <v>37</v>
      </c>
      <c r="G240" s="2" t="s">
        <v>38</v>
      </c>
      <c r="H240" s="2" t="s">
        <v>39</v>
      </c>
      <c r="I240" s="2" t="s">
        <v>29</v>
      </c>
      <c r="J240" s="2" t="s">
        <v>87</v>
      </c>
      <c r="K240" s="2" t="s">
        <v>88</v>
      </c>
      <c r="L240" s="3">
        <v>487.2</v>
      </c>
      <c r="M240">
        <v>63</v>
      </c>
      <c r="N240" s="3">
        <v>30693.599999999999</v>
      </c>
      <c r="O240" t="str">
        <f t="shared" si="3"/>
        <v>Si</v>
      </c>
      <c r="U240" s="1"/>
      <c r="W240" s="2"/>
      <c r="X240" s="2"/>
      <c r="Y240" s="2"/>
      <c r="Z240" s="2"/>
      <c r="AD240" s="2"/>
      <c r="AE240" s="2"/>
      <c r="AF240" s="2"/>
      <c r="AG240" s="2"/>
      <c r="AH240" s="3"/>
      <c r="AJ240" s="3"/>
    </row>
    <row r="241" spans="1:36" x14ac:dyDescent="0.25">
      <c r="A241">
        <v>240</v>
      </c>
      <c r="B241" s="1">
        <v>43844</v>
      </c>
      <c r="C241">
        <v>7747820326</v>
      </c>
      <c r="D241" s="2" t="s">
        <v>48</v>
      </c>
      <c r="E241" s="2" t="s">
        <v>49</v>
      </c>
      <c r="F241" s="2" t="s">
        <v>50</v>
      </c>
      <c r="G241" s="2" t="s">
        <v>17</v>
      </c>
      <c r="H241" s="2" t="s">
        <v>18</v>
      </c>
      <c r="I241" s="2" t="s">
        <v>51</v>
      </c>
      <c r="J241" s="2" t="s">
        <v>89</v>
      </c>
      <c r="K241" s="2" t="s">
        <v>74</v>
      </c>
      <c r="L241" s="3">
        <v>140</v>
      </c>
      <c r="M241">
        <v>71</v>
      </c>
      <c r="N241" s="3">
        <v>9940</v>
      </c>
      <c r="O241" t="str">
        <f t="shared" si="3"/>
        <v>No</v>
      </c>
      <c r="U241" s="1"/>
      <c r="W241" s="2"/>
      <c r="X241" s="2"/>
      <c r="Y241" s="2"/>
      <c r="Z241" s="2"/>
      <c r="AD241" s="2"/>
      <c r="AE241" s="2"/>
      <c r="AF241" s="2"/>
      <c r="AG241" s="2"/>
      <c r="AH241" s="3"/>
      <c r="AJ241" s="3"/>
    </row>
    <row r="242" spans="1:36" x14ac:dyDescent="0.25">
      <c r="A242">
        <v>241</v>
      </c>
      <c r="B242" s="1">
        <v>43858</v>
      </c>
      <c r="C242">
        <v>5769101754</v>
      </c>
      <c r="D242" s="2" t="s">
        <v>48</v>
      </c>
      <c r="E242" s="2" t="s">
        <v>49</v>
      </c>
      <c r="F242" s="2" t="s">
        <v>50</v>
      </c>
      <c r="G242" s="2" t="s">
        <v>17</v>
      </c>
      <c r="H242" s="2" t="s">
        <v>18</v>
      </c>
      <c r="I242" s="2" t="s">
        <v>51</v>
      </c>
      <c r="J242" s="2" t="s">
        <v>58</v>
      </c>
      <c r="K242" s="2" t="s">
        <v>59</v>
      </c>
      <c r="L242" s="3">
        <v>560</v>
      </c>
      <c r="M242">
        <v>88</v>
      </c>
      <c r="N242" s="3">
        <v>49280</v>
      </c>
      <c r="O242" t="str">
        <f t="shared" si="3"/>
        <v>Si</v>
      </c>
      <c r="U242" s="1"/>
      <c r="W242" s="2"/>
      <c r="X242" s="2"/>
      <c r="Y242" s="2"/>
      <c r="Z242" s="2"/>
      <c r="AD242" s="2"/>
      <c r="AE242" s="2"/>
      <c r="AF242" s="2"/>
      <c r="AG242" s="2"/>
      <c r="AH242" s="3"/>
      <c r="AJ242" s="3"/>
    </row>
    <row r="243" spans="1:36" x14ac:dyDescent="0.25">
      <c r="A243">
        <v>242</v>
      </c>
      <c r="B243" s="1">
        <v>43891</v>
      </c>
      <c r="C243">
        <v>7427615835</v>
      </c>
      <c r="D243" s="2" t="s">
        <v>64</v>
      </c>
      <c r="E243" s="2" t="s">
        <v>65</v>
      </c>
      <c r="F243" s="2" t="s">
        <v>65</v>
      </c>
      <c r="G243" s="2" t="s">
        <v>66</v>
      </c>
      <c r="H243" s="2" t="s">
        <v>18</v>
      </c>
      <c r="I243" s="2" t="s">
        <v>29</v>
      </c>
      <c r="J243" s="2" t="s">
        <v>91</v>
      </c>
      <c r="K243" s="2" t="s">
        <v>23</v>
      </c>
      <c r="L243" s="3">
        <v>140</v>
      </c>
      <c r="M243">
        <v>59</v>
      </c>
      <c r="N243" s="3">
        <v>8260</v>
      </c>
      <c r="O243" t="str">
        <f t="shared" si="3"/>
        <v>No</v>
      </c>
      <c r="U243" s="1"/>
      <c r="W243" s="2"/>
      <c r="X243" s="2"/>
      <c r="Y243" s="2"/>
      <c r="Z243" s="2"/>
      <c r="AD243" s="2"/>
      <c r="AE243" s="2"/>
      <c r="AF243" s="2"/>
      <c r="AG243" s="2"/>
      <c r="AH243" s="3"/>
      <c r="AJ243" s="3"/>
    </row>
    <row r="244" spans="1:36" x14ac:dyDescent="0.25">
      <c r="A244">
        <v>243</v>
      </c>
      <c r="B244" s="1">
        <v>43984</v>
      </c>
      <c r="C244">
        <v>242336558</v>
      </c>
      <c r="D244" s="2" t="s">
        <v>54</v>
      </c>
      <c r="E244" s="2" t="s">
        <v>55</v>
      </c>
      <c r="F244" s="2" t="s">
        <v>56</v>
      </c>
      <c r="G244" s="2" t="s">
        <v>57</v>
      </c>
      <c r="H244" s="2" t="s">
        <v>18</v>
      </c>
      <c r="I244" s="2" t="s">
        <v>29</v>
      </c>
      <c r="J244" s="2" t="s">
        <v>58</v>
      </c>
      <c r="K244" s="2" t="s">
        <v>59</v>
      </c>
      <c r="L244" s="3">
        <v>560</v>
      </c>
      <c r="M244">
        <v>94</v>
      </c>
      <c r="N244" s="3">
        <v>52640</v>
      </c>
      <c r="O244" t="str">
        <f t="shared" si="3"/>
        <v>Si</v>
      </c>
      <c r="U244" s="1"/>
      <c r="W244" s="2"/>
      <c r="X244" s="2"/>
      <c r="Y244" s="2"/>
      <c r="Z244" s="2"/>
      <c r="AD244" s="2"/>
      <c r="AE244" s="2"/>
      <c r="AF244" s="2"/>
      <c r="AG244" s="2"/>
      <c r="AH244" s="3"/>
      <c r="AJ244" s="3"/>
    </row>
    <row r="245" spans="1:36" x14ac:dyDescent="0.25">
      <c r="A245">
        <v>244</v>
      </c>
      <c r="B245" s="1">
        <v>44098</v>
      </c>
      <c r="C245">
        <v>2520819737</v>
      </c>
      <c r="D245" s="2" t="s">
        <v>60</v>
      </c>
      <c r="E245" s="2" t="s">
        <v>61</v>
      </c>
      <c r="F245" s="2" t="s">
        <v>62</v>
      </c>
      <c r="G245" s="2" t="s">
        <v>63</v>
      </c>
      <c r="H245" s="2" t="s">
        <v>39</v>
      </c>
      <c r="I245" s="2" t="s">
        <v>19</v>
      </c>
      <c r="J245" s="2" t="s">
        <v>34</v>
      </c>
      <c r="K245" s="2" t="s">
        <v>21</v>
      </c>
      <c r="L245" s="3">
        <v>644</v>
      </c>
      <c r="M245">
        <v>86</v>
      </c>
      <c r="N245" s="3">
        <v>55384</v>
      </c>
      <c r="O245" t="str">
        <f t="shared" si="3"/>
        <v>No</v>
      </c>
      <c r="U245" s="1"/>
      <c r="W245" s="2"/>
      <c r="X245" s="2"/>
      <c r="Y245" s="2"/>
      <c r="Z245" s="2"/>
      <c r="AD245" s="2"/>
      <c r="AE245" s="2"/>
      <c r="AF245" s="2"/>
      <c r="AG245" s="2"/>
      <c r="AH245" s="3"/>
      <c r="AJ245" s="3"/>
    </row>
    <row r="246" spans="1:36" x14ac:dyDescent="0.25">
      <c r="A246">
        <v>245</v>
      </c>
      <c r="B246" s="1">
        <v>43988</v>
      </c>
      <c r="C246">
        <v>8828389188</v>
      </c>
      <c r="D246" s="2" t="s">
        <v>35</v>
      </c>
      <c r="E246" s="2" t="s">
        <v>36</v>
      </c>
      <c r="F246" s="2" t="s">
        <v>37</v>
      </c>
      <c r="G246" s="2" t="s">
        <v>38</v>
      </c>
      <c r="H246" s="2" t="s">
        <v>39</v>
      </c>
      <c r="I246" s="2" t="s">
        <v>19</v>
      </c>
      <c r="J246" s="2" t="s">
        <v>46</v>
      </c>
      <c r="K246" s="2" t="s">
        <v>47</v>
      </c>
      <c r="L246" s="3">
        <v>178.5</v>
      </c>
      <c r="M246">
        <v>61</v>
      </c>
      <c r="N246" s="3">
        <v>10888.5</v>
      </c>
      <c r="O246" t="str">
        <f t="shared" si="3"/>
        <v>Si</v>
      </c>
      <c r="U246" s="1"/>
      <c r="W246" s="2"/>
      <c r="X246" s="2"/>
      <c r="Y246" s="2"/>
      <c r="Z246" s="2"/>
      <c r="AD246" s="2"/>
      <c r="AE246" s="2"/>
      <c r="AF246" s="2"/>
      <c r="AG246" s="2"/>
      <c r="AH246" s="3"/>
      <c r="AJ246" s="3"/>
    </row>
    <row r="247" spans="1:36" x14ac:dyDescent="0.25">
      <c r="A247">
        <v>246</v>
      </c>
      <c r="B247" s="1">
        <v>44095</v>
      </c>
      <c r="C247">
        <v>164422904</v>
      </c>
      <c r="D247" s="2" t="s">
        <v>64</v>
      </c>
      <c r="E247" s="2" t="s">
        <v>65</v>
      </c>
      <c r="F247" s="2" t="s">
        <v>65</v>
      </c>
      <c r="G247" s="2" t="s">
        <v>66</v>
      </c>
      <c r="H247" s="2" t="s">
        <v>18</v>
      </c>
      <c r="I247" s="2" t="s">
        <v>29</v>
      </c>
      <c r="J247" s="2" t="s">
        <v>67</v>
      </c>
      <c r="K247" s="2" t="s">
        <v>21</v>
      </c>
      <c r="L247" s="3">
        <v>41.86</v>
      </c>
      <c r="M247">
        <v>32</v>
      </c>
      <c r="N247" s="3">
        <v>1339.52</v>
      </c>
      <c r="O247" t="str">
        <f t="shared" si="3"/>
        <v>No</v>
      </c>
      <c r="U247" s="1"/>
      <c r="W247" s="2"/>
      <c r="X247" s="2"/>
      <c r="Y247" s="2"/>
      <c r="Z247" s="2"/>
      <c r="AD247" s="2"/>
      <c r="AE247" s="2"/>
      <c r="AF247" s="2"/>
      <c r="AG247" s="2"/>
      <c r="AH247" s="3"/>
      <c r="AJ247" s="3"/>
    </row>
    <row r="248" spans="1:36" x14ac:dyDescent="0.25">
      <c r="A248">
        <v>247</v>
      </c>
      <c r="B248" s="1">
        <v>43870</v>
      </c>
      <c r="C248">
        <v>7991995786</v>
      </c>
      <c r="D248" s="2" t="s">
        <v>68</v>
      </c>
      <c r="E248" s="2" t="s">
        <v>69</v>
      </c>
      <c r="F248" s="2" t="s">
        <v>69</v>
      </c>
      <c r="G248" s="2" t="s">
        <v>38</v>
      </c>
      <c r="H248" s="2" t="s">
        <v>70</v>
      </c>
      <c r="I248" s="2" t="s">
        <v>70</v>
      </c>
      <c r="J248" s="2" t="s">
        <v>34</v>
      </c>
      <c r="K248" s="2" t="s">
        <v>21</v>
      </c>
      <c r="L248" s="3">
        <v>644</v>
      </c>
      <c r="M248">
        <v>62</v>
      </c>
      <c r="N248" s="3">
        <v>39928</v>
      </c>
      <c r="O248" t="str">
        <f t="shared" si="3"/>
        <v>Si</v>
      </c>
      <c r="U248" s="1"/>
      <c r="W248" s="2"/>
      <c r="X248" s="2"/>
      <c r="Y248" s="2"/>
      <c r="Z248" s="2"/>
      <c r="AD248" s="2"/>
      <c r="AE248" s="2"/>
      <c r="AF248" s="2"/>
      <c r="AG248" s="2"/>
      <c r="AH248" s="3"/>
      <c r="AJ248" s="3"/>
    </row>
    <row r="249" spans="1:36" x14ac:dyDescent="0.25">
      <c r="A249">
        <v>248</v>
      </c>
      <c r="B249" s="1">
        <v>44113</v>
      </c>
      <c r="C249">
        <v>4149364306</v>
      </c>
      <c r="D249" s="2" t="s">
        <v>64</v>
      </c>
      <c r="E249" s="2" t="s">
        <v>65</v>
      </c>
      <c r="F249" s="2" t="s">
        <v>65</v>
      </c>
      <c r="G249" s="2" t="s">
        <v>66</v>
      </c>
      <c r="H249" s="2" t="s">
        <v>28</v>
      </c>
      <c r="I249" s="2" t="s">
        <v>70</v>
      </c>
      <c r="J249" s="2" t="s">
        <v>71</v>
      </c>
      <c r="K249" s="2" t="s">
        <v>72</v>
      </c>
      <c r="L249" s="3">
        <v>350</v>
      </c>
      <c r="M249">
        <v>60</v>
      </c>
      <c r="N249" s="3">
        <v>21000</v>
      </c>
      <c r="O249" t="str">
        <f t="shared" si="3"/>
        <v>No</v>
      </c>
      <c r="U249" s="1"/>
      <c r="W249" s="2"/>
      <c r="X249" s="2"/>
      <c r="Y249" s="2"/>
      <c r="Z249" s="2"/>
      <c r="AD249" s="2"/>
      <c r="AE249" s="2"/>
      <c r="AF249" s="2"/>
      <c r="AG249" s="2"/>
      <c r="AH249" s="3"/>
      <c r="AJ249" s="3"/>
    </row>
    <row r="250" spans="1:36" x14ac:dyDescent="0.25">
      <c r="A250">
        <v>249</v>
      </c>
      <c r="B250" s="1">
        <v>44191</v>
      </c>
      <c r="C250">
        <v>6397472642</v>
      </c>
      <c r="D250" s="2" t="s">
        <v>64</v>
      </c>
      <c r="E250" s="2" t="s">
        <v>65</v>
      </c>
      <c r="F250" s="2" t="s">
        <v>65</v>
      </c>
      <c r="G250" s="2" t="s">
        <v>66</v>
      </c>
      <c r="H250" s="2" t="s">
        <v>28</v>
      </c>
      <c r="I250" s="2" t="s">
        <v>70</v>
      </c>
      <c r="J250" s="2" t="s">
        <v>73</v>
      </c>
      <c r="K250" s="2" t="s">
        <v>74</v>
      </c>
      <c r="L250" s="3">
        <v>308</v>
      </c>
      <c r="M250">
        <v>51</v>
      </c>
      <c r="N250" s="3">
        <v>15708</v>
      </c>
      <c r="O250" t="str">
        <f t="shared" si="3"/>
        <v>Si</v>
      </c>
      <c r="U250" s="1"/>
      <c r="W250" s="2"/>
      <c r="X250" s="2"/>
      <c r="Y250" s="2"/>
      <c r="Z250" s="2"/>
      <c r="AD250" s="2"/>
      <c r="AE250" s="2"/>
      <c r="AF250" s="2"/>
      <c r="AG250" s="2"/>
      <c r="AH250" s="3"/>
      <c r="AJ250" s="3"/>
    </row>
    <row r="251" spans="1:36" x14ac:dyDescent="0.25">
      <c r="A251">
        <v>250</v>
      </c>
      <c r="B251" s="1">
        <v>43831</v>
      </c>
      <c r="C251">
        <v>1168651383</v>
      </c>
      <c r="D251" s="2" t="s">
        <v>64</v>
      </c>
      <c r="E251" s="2" t="s">
        <v>65</v>
      </c>
      <c r="F251" s="2" t="s">
        <v>65</v>
      </c>
      <c r="G251" s="2" t="s">
        <v>66</v>
      </c>
      <c r="H251" s="2" t="s">
        <v>28</v>
      </c>
      <c r="I251" s="2" t="s">
        <v>70</v>
      </c>
      <c r="J251" s="2" t="s">
        <v>40</v>
      </c>
      <c r="K251" s="2" t="s">
        <v>41</v>
      </c>
      <c r="L251" s="3">
        <v>128.80000000000001</v>
      </c>
      <c r="M251">
        <v>49</v>
      </c>
      <c r="N251" s="3">
        <v>6311.2</v>
      </c>
      <c r="O251" t="str">
        <f t="shared" si="3"/>
        <v>No</v>
      </c>
      <c r="U251" s="1"/>
      <c r="W251" s="2"/>
      <c r="X251" s="2"/>
      <c r="Y251" s="2"/>
      <c r="Z251" s="2"/>
      <c r="AD251" s="2"/>
      <c r="AE251" s="2"/>
      <c r="AF251" s="2"/>
      <c r="AG251" s="2"/>
      <c r="AH251" s="3"/>
      <c r="AJ251" s="3"/>
    </row>
    <row r="252" spans="1:36" x14ac:dyDescent="0.25">
      <c r="A252">
        <v>251</v>
      </c>
      <c r="B252" s="1">
        <v>43877</v>
      </c>
      <c r="C252">
        <v>1309311215</v>
      </c>
      <c r="D252" s="2" t="s">
        <v>75</v>
      </c>
      <c r="E252" s="2" t="s">
        <v>76</v>
      </c>
      <c r="F252" s="2" t="s">
        <v>77</v>
      </c>
      <c r="G252" s="2" t="s">
        <v>63</v>
      </c>
      <c r="H252" s="2" t="s">
        <v>39</v>
      </c>
      <c r="I252" s="2" t="s">
        <v>70</v>
      </c>
      <c r="J252" s="2" t="s">
        <v>22</v>
      </c>
      <c r="K252" s="2" t="s">
        <v>23</v>
      </c>
      <c r="L252" s="3">
        <v>49</v>
      </c>
      <c r="M252">
        <v>20</v>
      </c>
      <c r="N252" s="3">
        <v>980</v>
      </c>
      <c r="O252" t="str">
        <f t="shared" si="3"/>
        <v>Si</v>
      </c>
      <c r="U252" s="1"/>
      <c r="W252" s="2"/>
      <c r="X252" s="2"/>
      <c r="Y252" s="2"/>
      <c r="Z252" s="2"/>
      <c r="AD252" s="2"/>
      <c r="AE252" s="2"/>
      <c r="AF252" s="2"/>
      <c r="AG252" s="2"/>
      <c r="AH252" s="3"/>
      <c r="AJ252" s="3"/>
    </row>
    <row r="253" spans="1:36" x14ac:dyDescent="0.25">
      <c r="A253">
        <v>252</v>
      </c>
      <c r="B253" s="1">
        <v>44000</v>
      </c>
      <c r="C253">
        <v>4552083877</v>
      </c>
      <c r="D253" s="2" t="s">
        <v>75</v>
      </c>
      <c r="E253" s="2" t="s">
        <v>76</v>
      </c>
      <c r="F253" s="2" t="s">
        <v>77</v>
      </c>
      <c r="G253" s="2" t="s">
        <v>63</v>
      </c>
      <c r="H253" s="2" t="s">
        <v>39</v>
      </c>
      <c r="I253" s="2" t="s">
        <v>70</v>
      </c>
      <c r="J253" s="2" t="s">
        <v>67</v>
      </c>
      <c r="K253" s="2" t="s">
        <v>21</v>
      </c>
      <c r="L253" s="3">
        <v>41.86</v>
      </c>
      <c r="M253">
        <v>49</v>
      </c>
      <c r="N253" s="3">
        <v>2051.14</v>
      </c>
      <c r="O253" t="str">
        <f t="shared" si="3"/>
        <v>No</v>
      </c>
      <c r="U253" s="1"/>
      <c r="W253" s="2"/>
      <c r="X253" s="2"/>
      <c r="Y253" s="2"/>
      <c r="Z253" s="2"/>
      <c r="AD253" s="2"/>
      <c r="AE253" s="2"/>
      <c r="AF253" s="2"/>
      <c r="AG253" s="2"/>
      <c r="AH253" s="3"/>
      <c r="AJ253" s="3"/>
    </row>
    <row r="254" spans="1:36" x14ac:dyDescent="0.25">
      <c r="A254">
        <v>253</v>
      </c>
      <c r="B254" s="1">
        <v>43906</v>
      </c>
      <c r="C254">
        <v>6119453494</v>
      </c>
      <c r="D254" s="2" t="s">
        <v>78</v>
      </c>
      <c r="E254" s="2" t="s">
        <v>79</v>
      </c>
      <c r="F254" s="2" t="s">
        <v>80</v>
      </c>
      <c r="G254" s="2" t="s">
        <v>38</v>
      </c>
      <c r="H254" s="2" t="s">
        <v>70</v>
      </c>
      <c r="I254" s="2" t="s">
        <v>70</v>
      </c>
      <c r="J254" s="2" t="s">
        <v>33</v>
      </c>
      <c r="K254" s="2" t="s">
        <v>21</v>
      </c>
      <c r="L254" s="3">
        <v>252</v>
      </c>
      <c r="M254">
        <v>22</v>
      </c>
      <c r="N254" s="3">
        <v>5544</v>
      </c>
      <c r="O254" t="str">
        <f t="shared" si="3"/>
        <v>Si</v>
      </c>
      <c r="U254" s="1"/>
      <c r="W254" s="2"/>
      <c r="X254" s="2"/>
      <c r="Y254" s="2"/>
      <c r="Z254" s="2"/>
      <c r="AD254" s="2"/>
      <c r="AE254" s="2"/>
      <c r="AF254" s="2"/>
      <c r="AG254" s="2"/>
      <c r="AH254" s="3"/>
      <c r="AJ254" s="3"/>
    </row>
    <row r="255" spans="1:36" x14ac:dyDescent="0.25">
      <c r="A255">
        <v>254</v>
      </c>
      <c r="B255" s="1">
        <v>43855</v>
      </c>
      <c r="C255">
        <v>8815781249</v>
      </c>
      <c r="D255" s="2" t="s">
        <v>78</v>
      </c>
      <c r="E255" s="2" t="s">
        <v>79</v>
      </c>
      <c r="F255" s="2" t="s">
        <v>80</v>
      </c>
      <c r="G255" s="2" t="s">
        <v>38</v>
      </c>
      <c r="H255" s="2" t="s">
        <v>70</v>
      </c>
      <c r="I255" s="2" t="s">
        <v>70</v>
      </c>
      <c r="J255" s="2" t="s">
        <v>34</v>
      </c>
      <c r="K255" s="2" t="s">
        <v>21</v>
      </c>
      <c r="L255" s="3">
        <v>644</v>
      </c>
      <c r="M255">
        <v>73</v>
      </c>
      <c r="N255" s="3">
        <v>47012</v>
      </c>
      <c r="O255" t="str">
        <f t="shared" si="3"/>
        <v>No</v>
      </c>
      <c r="U255" s="1"/>
      <c r="W255" s="2"/>
      <c r="X255" s="2"/>
      <c r="Y255" s="2"/>
      <c r="Z255" s="2"/>
      <c r="AD255" s="2"/>
      <c r="AE255" s="2"/>
      <c r="AF255" s="2"/>
      <c r="AG255" s="2"/>
      <c r="AH255" s="3"/>
      <c r="AJ255" s="3"/>
    </row>
    <row r="256" spans="1:36" x14ac:dyDescent="0.25">
      <c r="A256">
        <v>255</v>
      </c>
      <c r="B256" s="1">
        <v>43984</v>
      </c>
      <c r="C256">
        <v>5308869510</v>
      </c>
      <c r="D256" s="2" t="s">
        <v>78</v>
      </c>
      <c r="E256" s="2" t="s">
        <v>79</v>
      </c>
      <c r="F256" s="2" t="s">
        <v>80</v>
      </c>
      <c r="G256" s="2" t="s">
        <v>38</v>
      </c>
      <c r="H256" s="2" t="s">
        <v>70</v>
      </c>
      <c r="I256" s="2" t="s">
        <v>70</v>
      </c>
      <c r="J256" s="2" t="s">
        <v>67</v>
      </c>
      <c r="K256" s="2" t="s">
        <v>21</v>
      </c>
      <c r="L256" s="3">
        <v>41.86</v>
      </c>
      <c r="M256">
        <v>85</v>
      </c>
      <c r="N256" s="3">
        <v>3558.1</v>
      </c>
      <c r="O256" t="str">
        <f t="shared" si="3"/>
        <v>Si</v>
      </c>
      <c r="U256" s="1"/>
      <c r="W256" s="2"/>
      <c r="X256" s="2"/>
      <c r="Y256" s="2"/>
      <c r="Z256" s="2"/>
      <c r="AD256" s="2"/>
      <c r="AE256" s="2"/>
      <c r="AF256" s="2"/>
      <c r="AG256" s="2"/>
      <c r="AH256" s="3"/>
      <c r="AJ256" s="3"/>
    </row>
    <row r="257" spans="1:36" x14ac:dyDescent="0.25">
      <c r="A257">
        <v>256</v>
      </c>
      <c r="B257" s="1">
        <v>44143</v>
      </c>
      <c r="C257">
        <v>9623390930</v>
      </c>
      <c r="D257" s="2" t="s">
        <v>60</v>
      </c>
      <c r="E257" s="2" t="s">
        <v>61</v>
      </c>
      <c r="F257" s="2" t="s">
        <v>62</v>
      </c>
      <c r="G257" s="2" t="s">
        <v>63</v>
      </c>
      <c r="H257" s="2" t="s">
        <v>39</v>
      </c>
      <c r="I257" s="2" t="s">
        <v>29</v>
      </c>
      <c r="J257" s="2" t="s">
        <v>52</v>
      </c>
      <c r="K257" s="2" t="s">
        <v>53</v>
      </c>
      <c r="L257" s="3">
        <v>135.1</v>
      </c>
      <c r="M257">
        <v>44</v>
      </c>
      <c r="N257" s="3">
        <v>5944.4</v>
      </c>
      <c r="O257" t="str">
        <f t="shared" si="3"/>
        <v>No</v>
      </c>
      <c r="U257" s="1"/>
      <c r="W257" s="2"/>
      <c r="X257" s="2"/>
      <c r="Y257" s="2"/>
      <c r="Z257" s="2"/>
      <c r="AD257" s="2"/>
      <c r="AE257" s="2"/>
      <c r="AF257" s="2"/>
      <c r="AG257" s="2"/>
      <c r="AH257" s="3"/>
      <c r="AJ257" s="3"/>
    </row>
    <row r="258" spans="1:36" x14ac:dyDescent="0.25">
      <c r="A258">
        <v>257</v>
      </c>
      <c r="B258" s="1">
        <v>43858</v>
      </c>
      <c r="C258">
        <v>9925453816</v>
      </c>
      <c r="D258" s="2" t="s">
        <v>60</v>
      </c>
      <c r="E258" s="2" t="s">
        <v>61</v>
      </c>
      <c r="F258" s="2" t="s">
        <v>62</v>
      </c>
      <c r="G258" s="2" t="s">
        <v>63</v>
      </c>
      <c r="H258" s="2" t="s">
        <v>39</v>
      </c>
      <c r="I258" s="2" t="s">
        <v>29</v>
      </c>
      <c r="J258" s="2" t="s">
        <v>81</v>
      </c>
      <c r="K258" s="2" t="s">
        <v>82</v>
      </c>
      <c r="L258" s="3">
        <v>257.60000000000002</v>
      </c>
      <c r="M258">
        <v>24</v>
      </c>
      <c r="N258" s="3">
        <v>6182.4</v>
      </c>
      <c r="O258" t="str">
        <f t="shared" ref="O258:O321" si="4">IF(ISEVEN(ROW()),"Si","No")</f>
        <v>Si</v>
      </c>
      <c r="U258" s="1"/>
      <c r="W258" s="2"/>
      <c r="X258" s="2"/>
      <c r="Y258" s="2"/>
      <c r="Z258" s="2"/>
      <c r="AD258" s="2"/>
      <c r="AE258" s="2"/>
      <c r="AF258" s="2"/>
      <c r="AG258" s="2"/>
      <c r="AH258" s="3"/>
      <c r="AJ258" s="3"/>
    </row>
    <row r="259" spans="1:36" x14ac:dyDescent="0.25">
      <c r="A259">
        <v>258</v>
      </c>
      <c r="B259" s="1">
        <v>44168</v>
      </c>
      <c r="C259">
        <v>6948053333</v>
      </c>
      <c r="D259" s="2" t="s">
        <v>83</v>
      </c>
      <c r="E259" s="2" t="s">
        <v>43</v>
      </c>
      <c r="F259" s="2" t="s">
        <v>44</v>
      </c>
      <c r="G259" s="2" t="s">
        <v>84</v>
      </c>
      <c r="H259" s="2" t="s">
        <v>28</v>
      </c>
      <c r="I259" s="2" t="s">
        <v>19</v>
      </c>
      <c r="J259" s="2" t="s">
        <v>85</v>
      </c>
      <c r="K259" s="2" t="s">
        <v>86</v>
      </c>
      <c r="L259" s="3">
        <v>273</v>
      </c>
      <c r="M259">
        <v>64</v>
      </c>
      <c r="N259" s="3">
        <v>17472</v>
      </c>
      <c r="O259" t="str">
        <f t="shared" si="4"/>
        <v>No</v>
      </c>
      <c r="U259" s="1"/>
      <c r="W259" s="2"/>
      <c r="X259" s="2"/>
      <c r="Y259" s="2"/>
      <c r="Z259" s="2"/>
      <c r="AD259" s="2"/>
      <c r="AE259" s="2"/>
      <c r="AF259" s="2"/>
      <c r="AG259" s="2"/>
      <c r="AH259" s="3"/>
      <c r="AJ259" s="3"/>
    </row>
    <row r="260" spans="1:36" x14ac:dyDescent="0.25">
      <c r="A260">
        <v>259</v>
      </c>
      <c r="B260" s="1">
        <v>44038</v>
      </c>
      <c r="C260">
        <v>2060963898</v>
      </c>
      <c r="D260" s="2" t="s">
        <v>83</v>
      </c>
      <c r="E260" s="2" t="s">
        <v>43</v>
      </c>
      <c r="F260" s="2" t="s">
        <v>44</v>
      </c>
      <c r="G260" s="2" t="s">
        <v>84</v>
      </c>
      <c r="H260" s="2" t="s">
        <v>28</v>
      </c>
      <c r="I260" s="2" t="s">
        <v>19</v>
      </c>
      <c r="J260" s="2" t="s">
        <v>87</v>
      </c>
      <c r="K260" s="2" t="s">
        <v>88</v>
      </c>
      <c r="L260" s="3">
        <v>487.2</v>
      </c>
      <c r="M260">
        <v>70</v>
      </c>
      <c r="N260" s="3">
        <v>34104</v>
      </c>
      <c r="O260" t="str">
        <f t="shared" si="4"/>
        <v>Si</v>
      </c>
      <c r="U260" s="1"/>
      <c r="W260" s="2"/>
      <c r="X260" s="2"/>
      <c r="Y260" s="2"/>
      <c r="Z260" s="2"/>
      <c r="AD260" s="2"/>
      <c r="AE260" s="2"/>
      <c r="AF260" s="2"/>
      <c r="AG260" s="2"/>
      <c r="AH260" s="3"/>
      <c r="AJ260" s="3"/>
    </row>
    <row r="261" spans="1:36" x14ac:dyDescent="0.25">
      <c r="A261">
        <v>260</v>
      </c>
      <c r="B261" s="1">
        <v>44142</v>
      </c>
      <c r="C261">
        <v>2582781913</v>
      </c>
      <c r="D261" s="2" t="s">
        <v>54</v>
      </c>
      <c r="E261" s="2" t="s">
        <v>55</v>
      </c>
      <c r="F261" s="2" t="s">
        <v>56</v>
      </c>
      <c r="G261" s="2" t="s">
        <v>57</v>
      </c>
      <c r="H261" s="2" t="s">
        <v>18</v>
      </c>
      <c r="I261" s="2" t="s">
        <v>29</v>
      </c>
      <c r="J261" s="2" t="s">
        <v>20</v>
      </c>
      <c r="K261" s="2" t="s">
        <v>21</v>
      </c>
      <c r="L261" s="3">
        <v>196</v>
      </c>
      <c r="M261">
        <v>98</v>
      </c>
      <c r="N261" s="3">
        <v>19208</v>
      </c>
      <c r="O261" t="str">
        <f t="shared" si="4"/>
        <v>No</v>
      </c>
      <c r="U261" s="1"/>
      <c r="W261" s="2"/>
      <c r="X261" s="2"/>
      <c r="Y261" s="2"/>
      <c r="Z261" s="2"/>
      <c r="AD261" s="2"/>
      <c r="AE261" s="2"/>
      <c r="AF261" s="2"/>
      <c r="AG261" s="2"/>
      <c r="AH261" s="3"/>
      <c r="AJ261" s="3"/>
    </row>
    <row r="262" spans="1:36" x14ac:dyDescent="0.25">
      <c r="A262">
        <v>261</v>
      </c>
      <c r="B262" s="1">
        <v>44146</v>
      </c>
      <c r="C262">
        <v>2732649952</v>
      </c>
      <c r="D262" s="2" t="s">
        <v>35</v>
      </c>
      <c r="E262" s="2" t="s">
        <v>36</v>
      </c>
      <c r="F262" s="2" t="s">
        <v>37</v>
      </c>
      <c r="G262" s="2" t="s">
        <v>38</v>
      </c>
      <c r="H262" s="2" t="s">
        <v>18</v>
      </c>
      <c r="I262" s="2" t="s">
        <v>19</v>
      </c>
      <c r="J262" s="2" t="s">
        <v>58</v>
      </c>
      <c r="K262" s="2" t="s">
        <v>59</v>
      </c>
      <c r="L262" s="3">
        <v>560</v>
      </c>
      <c r="M262">
        <v>48</v>
      </c>
      <c r="N262" s="3">
        <v>26880</v>
      </c>
      <c r="O262" t="str">
        <f t="shared" si="4"/>
        <v>Si</v>
      </c>
      <c r="U262" s="1"/>
      <c r="W262" s="2"/>
      <c r="X262" s="2"/>
      <c r="Y262" s="2"/>
      <c r="Z262" s="2"/>
      <c r="AD262" s="2"/>
      <c r="AE262" s="2"/>
      <c r="AF262" s="2"/>
      <c r="AG262" s="2"/>
      <c r="AH262" s="3"/>
      <c r="AJ262" s="3"/>
    </row>
    <row r="263" spans="1:36" x14ac:dyDescent="0.25">
      <c r="A263">
        <v>262</v>
      </c>
      <c r="B263" s="1">
        <v>43893</v>
      </c>
      <c r="C263">
        <v>4179453952</v>
      </c>
      <c r="D263" s="2" t="s">
        <v>35</v>
      </c>
      <c r="E263" s="2" t="s">
        <v>36</v>
      </c>
      <c r="F263" s="2" t="s">
        <v>37</v>
      </c>
      <c r="G263" s="2" t="s">
        <v>38</v>
      </c>
      <c r="H263" s="2" t="s">
        <v>18</v>
      </c>
      <c r="I263" s="2" t="s">
        <v>19</v>
      </c>
      <c r="J263" s="2" t="s">
        <v>40</v>
      </c>
      <c r="K263" s="2" t="s">
        <v>41</v>
      </c>
      <c r="L263" s="3">
        <v>128.80000000000001</v>
      </c>
      <c r="M263">
        <v>100</v>
      </c>
      <c r="N263" s="3">
        <v>12880</v>
      </c>
      <c r="O263" t="str">
        <f t="shared" si="4"/>
        <v>No</v>
      </c>
      <c r="U263" s="1"/>
      <c r="W263" s="2"/>
      <c r="X263" s="2"/>
      <c r="Y263" s="2"/>
      <c r="Z263" s="2"/>
      <c r="AD263" s="2"/>
      <c r="AE263" s="2"/>
      <c r="AF263" s="2"/>
      <c r="AG263" s="2"/>
      <c r="AH263" s="3"/>
      <c r="AJ263" s="3"/>
    </row>
    <row r="264" spans="1:36" x14ac:dyDescent="0.25">
      <c r="A264">
        <v>263</v>
      </c>
      <c r="B264" s="1">
        <v>44130</v>
      </c>
      <c r="C264">
        <v>4339665341</v>
      </c>
      <c r="D264" s="2" t="s">
        <v>92</v>
      </c>
      <c r="E264" s="2" t="s">
        <v>65</v>
      </c>
      <c r="F264" s="2" t="s">
        <v>65</v>
      </c>
      <c r="G264" s="2" t="s">
        <v>66</v>
      </c>
      <c r="H264" s="2" t="s">
        <v>28</v>
      </c>
      <c r="I264" s="2" t="s">
        <v>51</v>
      </c>
      <c r="J264" s="2" t="s">
        <v>97</v>
      </c>
      <c r="K264" s="2" t="s">
        <v>41</v>
      </c>
      <c r="L264" s="3">
        <v>140</v>
      </c>
      <c r="M264">
        <v>90</v>
      </c>
      <c r="N264" s="3">
        <v>12600</v>
      </c>
      <c r="O264" t="str">
        <f t="shared" si="4"/>
        <v>Si</v>
      </c>
      <c r="U264" s="1"/>
      <c r="W264" s="2"/>
      <c r="X264" s="2"/>
      <c r="Y264" s="2"/>
      <c r="Z264" s="2"/>
      <c r="AD264" s="2"/>
      <c r="AE264" s="2"/>
      <c r="AF264" s="2"/>
      <c r="AG264" s="2"/>
      <c r="AH264" s="3"/>
      <c r="AJ264" s="3"/>
    </row>
    <row r="265" spans="1:36" x14ac:dyDescent="0.25">
      <c r="A265">
        <v>264</v>
      </c>
      <c r="B265" s="1">
        <v>44077</v>
      </c>
      <c r="C265">
        <v>9193900326</v>
      </c>
      <c r="D265" s="2" t="s">
        <v>93</v>
      </c>
      <c r="E265" s="2" t="s">
        <v>76</v>
      </c>
      <c r="F265" s="2" t="s">
        <v>77</v>
      </c>
      <c r="G265" s="2" t="s">
        <v>63</v>
      </c>
      <c r="H265" s="2" t="s">
        <v>39</v>
      </c>
      <c r="I265" s="2" t="s">
        <v>29</v>
      </c>
      <c r="J265" s="2" t="s">
        <v>98</v>
      </c>
      <c r="K265" s="2" t="s">
        <v>99</v>
      </c>
      <c r="L265" s="3">
        <v>298.89999999999998</v>
      </c>
      <c r="M265">
        <v>49</v>
      </c>
      <c r="N265" s="3">
        <v>14646.1</v>
      </c>
      <c r="O265" t="str">
        <f t="shared" si="4"/>
        <v>No</v>
      </c>
      <c r="U265" s="1"/>
      <c r="W265" s="2"/>
      <c r="X265" s="2"/>
      <c r="Y265" s="2"/>
      <c r="Z265" s="2"/>
      <c r="AD265" s="2"/>
      <c r="AE265" s="2"/>
      <c r="AF265" s="2"/>
      <c r="AG265" s="2"/>
      <c r="AH265" s="3"/>
      <c r="AJ265" s="3"/>
    </row>
    <row r="266" spans="1:36" x14ac:dyDescent="0.25">
      <c r="A266">
        <v>265</v>
      </c>
      <c r="B266" s="1">
        <v>44073</v>
      </c>
      <c r="C266">
        <v>7474169055</v>
      </c>
      <c r="D266" s="2" t="s">
        <v>93</v>
      </c>
      <c r="E266" s="2" t="s">
        <v>76</v>
      </c>
      <c r="F266" s="2" t="s">
        <v>77</v>
      </c>
      <c r="G266" s="2" t="s">
        <v>63</v>
      </c>
      <c r="H266" s="2" t="s">
        <v>39</v>
      </c>
      <c r="I266" s="2" t="s">
        <v>29</v>
      </c>
      <c r="J266" s="2" t="s">
        <v>52</v>
      </c>
      <c r="K266" s="2" t="s">
        <v>53</v>
      </c>
      <c r="L266" s="3">
        <v>135.1</v>
      </c>
      <c r="M266">
        <v>71</v>
      </c>
      <c r="N266" s="3">
        <v>9592.1</v>
      </c>
      <c r="O266" t="str">
        <f t="shared" si="4"/>
        <v>Si</v>
      </c>
      <c r="U266" s="1"/>
      <c r="W266" s="2"/>
      <c r="X266" s="2"/>
      <c r="Y266" s="2"/>
      <c r="Z266" s="2"/>
      <c r="AD266" s="2"/>
      <c r="AE266" s="2"/>
      <c r="AF266" s="2"/>
      <c r="AG266" s="2"/>
      <c r="AH266" s="3"/>
      <c r="AJ266" s="3"/>
    </row>
    <row r="267" spans="1:36" x14ac:dyDescent="0.25">
      <c r="A267">
        <v>266</v>
      </c>
      <c r="B267" s="1">
        <v>43890</v>
      </c>
      <c r="C267">
        <v>9750138179</v>
      </c>
      <c r="D267" s="2" t="s">
        <v>93</v>
      </c>
      <c r="E267" s="2" t="s">
        <v>76</v>
      </c>
      <c r="F267" s="2" t="s">
        <v>77</v>
      </c>
      <c r="G267" s="2" t="s">
        <v>63</v>
      </c>
      <c r="H267" s="2" t="s">
        <v>39</v>
      </c>
      <c r="I267" s="2" t="s">
        <v>29</v>
      </c>
      <c r="J267" s="2" t="s">
        <v>81</v>
      </c>
      <c r="K267" s="2" t="s">
        <v>82</v>
      </c>
      <c r="L267" s="3">
        <v>257.60000000000002</v>
      </c>
      <c r="M267">
        <v>10</v>
      </c>
      <c r="N267" s="3">
        <v>2576</v>
      </c>
      <c r="O267" t="str">
        <f t="shared" si="4"/>
        <v>No</v>
      </c>
      <c r="U267" s="1"/>
      <c r="W267" s="2"/>
      <c r="X267" s="2"/>
      <c r="Y267" s="2"/>
      <c r="Z267" s="2"/>
      <c r="AD267" s="2"/>
      <c r="AE267" s="2"/>
      <c r="AF267" s="2"/>
      <c r="AG267" s="2"/>
      <c r="AH267" s="3"/>
      <c r="AJ267" s="3"/>
    </row>
    <row r="268" spans="1:36" x14ac:dyDescent="0.25">
      <c r="A268">
        <v>267</v>
      </c>
      <c r="B268" s="1">
        <v>43907</v>
      </c>
      <c r="C268">
        <v>2294414293</v>
      </c>
      <c r="D268" s="2" t="s">
        <v>42</v>
      </c>
      <c r="E268" s="2" t="s">
        <v>43</v>
      </c>
      <c r="F268" s="2" t="s">
        <v>44</v>
      </c>
      <c r="G268" s="2" t="s">
        <v>45</v>
      </c>
      <c r="H268" s="2" t="s">
        <v>18</v>
      </c>
      <c r="I268" s="2" t="s">
        <v>19</v>
      </c>
      <c r="J268" s="2" t="s">
        <v>20</v>
      </c>
      <c r="K268" s="2" t="s">
        <v>21</v>
      </c>
      <c r="L268" s="3">
        <v>196</v>
      </c>
      <c r="M268">
        <v>78</v>
      </c>
      <c r="N268" s="3">
        <v>15288</v>
      </c>
      <c r="O268" t="str">
        <f t="shared" si="4"/>
        <v>Si</v>
      </c>
      <c r="U268" s="1"/>
      <c r="W268" s="2"/>
      <c r="X268" s="2"/>
      <c r="Y268" s="2"/>
      <c r="Z268" s="2"/>
      <c r="AD268" s="2"/>
      <c r="AE268" s="2"/>
      <c r="AF268" s="2"/>
      <c r="AG268" s="2"/>
      <c r="AH268" s="3"/>
      <c r="AJ268" s="3"/>
    </row>
    <row r="269" spans="1:36" x14ac:dyDescent="0.25">
      <c r="A269">
        <v>268</v>
      </c>
      <c r="B269" s="1">
        <v>44023</v>
      </c>
      <c r="C269">
        <v>776426288</v>
      </c>
      <c r="D269" s="2" t="s">
        <v>54</v>
      </c>
      <c r="E269" s="2" t="s">
        <v>55</v>
      </c>
      <c r="F269" s="2" t="s">
        <v>56</v>
      </c>
      <c r="G269" s="2" t="s">
        <v>57</v>
      </c>
      <c r="H269" s="2" t="s">
        <v>39</v>
      </c>
      <c r="I269" s="2" t="s">
        <v>19</v>
      </c>
      <c r="J269" s="2" t="s">
        <v>46</v>
      </c>
      <c r="K269" s="2" t="s">
        <v>47</v>
      </c>
      <c r="L269" s="3">
        <v>178.5</v>
      </c>
      <c r="M269">
        <v>44</v>
      </c>
      <c r="N269" s="3">
        <v>7854</v>
      </c>
      <c r="O269" t="str">
        <f t="shared" si="4"/>
        <v>No</v>
      </c>
      <c r="U269" s="1"/>
      <c r="W269" s="2"/>
      <c r="X269" s="2"/>
      <c r="Y269" s="2"/>
      <c r="Z269" s="2"/>
      <c r="AD269" s="2"/>
      <c r="AE269" s="2"/>
      <c r="AF269" s="2"/>
      <c r="AG269" s="2"/>
      <c r="AH269" s="3"/>
      <c r="AJ269" s="3"/>
    </row>
    <row r="270" spans="1:36" x14ac:dyDescent="0.25">
      <c r="A270">
        <v>269</v>
      </c>
      <c r="B270" s="1">
        <v>44109</v>
      </c>
      <c r="C270">
        <v>1245231958</v>
      </c>
      <c r="D270" s="2" t="s">
        <v>24</v>
      </c>
      <c r="E270" s="2" t="s">
        <v>25</v>
      </c>
      <c r="F270" s="2" t="s">
        <v>26</v>
      </c>
      <c r="G270" s="2" t="s">
        <v>27</v>
      </c>
      <c r="H270" s="2" t="s">
        <v>28</v>
      </c>
      <c r="I270" s="2" t="s">
        <v>29</v>
      </c>
      <c r="J270" s="2" t="s">
        <v>100</v>
      </c>
      <c r="K270" s="2" t="s">
        <v>72</v>
      </c>
      <c r="L270" s="3">
        <v>1134</v>
      </c>
      <c r="M270">
        <v>82</v>
      </c>
      <c r="N270" s="3">
        <v>92988</v>
      </c>
      <c r="O270" t="str">
        <f t="shared" si="4"/>
        <v>Si</v>
      </c>
      <c r="U270" s="1"/>
      <c r="W270" s="2"/>
      <c r="X270" s="2"/>
      <c r="Y270" s="2"/>
      <c r="Z270" s="2"/>
      <c r="AD270" s="2"/>
      <c r="AE270" s="2"/>
      <c r="AF270" s="2"/>
      <c r="AG270" s="2"/>
      <c r="AH270" s="3"/>
      <c r="AJ270" s="3"/>
    </row>
    <row r="271" spans="1:36" x14ac:dyDescent="0.25">
      <c r="A271">
        <v>270</v>
      </c>
      <c r="B271" s="1">
        <v>43931</v>
      </c>
      <c r="C271">
        <v>2050724971</v>
      </c>
      <c r="D271" s="2" t="s">
        <v>24</v>
      </c>
      <c r="E271" s="2" t="s">
        <v>25</v>
      </c>
      <c r="F271" s="2" t="s">
        <v>26</v>
      </c>
      <c r="G271" s="2" t="s">
        <v>27</v>
      </c>
      <c r="H271" s="2" t="s">
        <v>28</v>
      </c>
      <c r="I271" s="2" t="s">
        <v>29</v>
      </c>
      <c r="J271" s="2" t="s">
        <v>101</v>
      </c>
      <c r="K271" s="2" t="s">
        <v>102</v>
      </c>
      <c r="L271" s="3">
        <v>98</v>
      </c>
      <c r="M271">
        <v>29</v>
      </c>
      <c r="N271" s="3">
        <v>2842</v>
      </c>
      <c r="O271" t="str">
        <f t="shared" si="4"/>
        <v>No</v>
      </c>
      <c r="U271" s="1"/>
      <c r="W271" s="2"/>
      <c r="X271" s="2"/>
      <c r="Y271" s="2"/>
      <c r="Z271" s="2"/>
      <c r="AD271" s="2"/>
      <c r="AE271" s="2"/>
      <c r="AF271" s="2"/>
      <c r="AG271" s="2"/>
      <c r="AH271" s="3"/>
      <c r="AJ271" s="3"/>
    </row>
    <row r="272" spans="1:36" x14ac:dyDescent="0.25">
      <c r="A272">
        <v>271</v>
      </c>
      <c r="B272" s="1">
        <v>44097</v>
      </c>
      <c r="C272">
        <v>9478104719</v>
      </c>
      <c r="D272" s="2" t="s">
        <v>35</v>
      </c>
      <c r="E272" s="2" t="s">
        <v>36</v>
      </c>
      <c r="F272" s="2" t="s">
        <v>37</v>
      </c>
      <c r="G272" s="2" t="s">
        <v>38</v>
      </c>
      <c r="H272" s="2" t="s">
        <v>39</v>
      </c>
      <c r="I272" s="2" t="s">
        <v>29</v>
      </c>
      <c r="J272" s="2" t="s">
        <v>87</v>
      </c>
      <c r="K272" s="2" t="s">
        <v>88</v>
      </c>
      <c r="L272" s="3">
        <v>487.2</v>
      </c>
      <c r="M272">
        <v>93</v>
      </c>
      <c r="N272" s="3">
        <v>45309.599999999999</v>
      </c>
      <c r="O272" t="str">
        <f t="shared" si="4"/>
        <v>Si</v>
      </c>
      <c r="U272" s="1"/>
      <c r="W272" s="2"/>
      <c r="X272" s="2"/>
      <c r="Y272" s="2"/>
      <c r="Z272" s="2"/>
      <c r="AD272" s="2"/>
      <c r="AE272" s="2"/>
      <c r="AF272" s="2"/>
      <c r="AG272" s="2"/>
      <c r="AH272" s="3"/>
      <c r="AJ272" s="3"/>
    </row>
    <row r="273" spans="1:36" x14ac:dyDescent="0.25">
      <c r="A273">
        <v>272</v>
      </c>
      <c r="B273" s="1">
        <v>44131</v>
      </c>
      <c r="C273">
        <v>7620759943</v>
      </c>
      <c r="D273" s="2" t="s">
        <v>48</v>
      </c>
      <c r="E273" s="2" t="s">
        <v>49</v>
      </c>
      <c r="F273" s="2" t="s">
        <v>50</v>
      </c>
      <c r="G273" s="2" t="s">
        <v>17</v>
      </c>
      <c r="H273" s="2" t="s">
        <v>18</v>
      </c>
      <c r="I273" s="2" t="s">
        <v>51</v>
      </c>
      <c r="J273" s="2" t="s">
        <v>89</v>
      </c>
      <c r="K273" s="2" t="s">
        <v>74</v>
      </c>
      <c r="L273" s="3">
        <v>140</v>
      </c>
      <c r="M273">
        <v>11</v>
      </c>
      <c r="N273" s="3">
        <v>1540</v>
      </c>
      <c r="O273" t="str">
        <f t="shared" si="4"/>
        <v>No</v>
      </c>
      <c r="U273" s="1"/>
      <c r="W273" s="2"/>
      <c r="X273" s="2"/>
      <c r="Y273" s="2"/>
      <c r="Z273" s="2"/>
      <c r="AD273" s="2"/>
      <c r="AE273" s="2"/>
      <c r="AF273" s="2"/>
      <c r="AG273" s="2"/>
      <c r="AH273" s="3"/>
      <c r="AJ273" s="3"/>
    </row>
    <row r="274" spans="1:36" x14ac:dyDescent="0.25">
      <c r="A274">
        <v>273</v>
      </c>
      <c r="B274" s="1">
        <v>44173</v>
      </c>
      <c r="C274">
        <v>9345003575</v>
      </c>
      <c r="D274" s="2" t="s">
        <v>48</v>
      </c>
      <c r="E274" s="2" t="s">
        <v>49</v>
      </c>
      <c r="F274" s="2" t="s">
        <v>50</v>
      </c>
      <c r="G274" s="2" t="s">
        <v>17</v>
      </c>
      <c r="H274" s="2" t="s">
        <v>18</v>
      </c>
      <c r="I274" s="2" t="s">
        <v>51</v>
      </c>
      <c r="J274" s="2" t="s">
        <v>58</v>
      </c>
      <c r="K274" s="2" t="s">
        <v>59</v>
      </c>
      <c r="L274" s="3">
        <v>560</v>
      </c>
      <c r="M274">
        <v>91</v>
      </c>
      <c r="N274" s="3">
        <v>50960</v>
      </c>
      <c r="O274" t="str">
        <f t="shared" si="4"/>
        <v>Si</v>
      </c>
      <c r="U274" s="1"/>
      <c r="W274" s="2"/>
      <c r="X274" s="2"/>
      <c r="Y274" s="2"/>
      <c r="Z274" s="2"/>
      <c r="AD274" s="2"/>
      <c r="AE274" s="2"/>
      <c r="AF274" s="2"/>
      <c r="AG274" s="2"/>
      <c r="AH274" s="3"/>
      <c r="AJ274" s="3"/>
    </row>
    <row r="275" spans="1:36" x14ac:dyDescent="0.25">
      <c r="A275">
        <v>274</v>
      </c>
      <c r="B275" s="1">
        <v>44123</v>
      </c>
      <c r="C275">
        <v>5988072690</v>
      </c>
      <c r="D275" s="2" t="s">
        <v>64</v>
      </c>
      <c r="E275" s="2" t="s">
        <v>65</v>
      </c>
      <c r="F275" s="2" t="s">
        <v>65</v>
      </c>
      <c r="G275" s="2" t="s">
        <v>66</v>
      </c>
      <c r="H275" s="2" t="s">
        <v>18</v>
      </c>
      <c r="I275" s="2" t="s">
        <v>29</v>
      </c>
      <c r="J275" s="2" t="s">
        <v>91</v>
      </c>
      <c r="K275" s="2" t="s">
        <v>23</v>
      </c>
      <c r="L275" s="3">
        <v>140</v>
      </c>
      <c r="M275">
        <v>12</v>
      </c>
      <c r="N275" s="3">
        <v>1680</v>
      </c>
      <c r="O275" t="str">
        <f t="shared" si="4"/>
        <v>No</v>
      </c>
      <c r="U275" s="1"/>
      <c r="W275" s="2"/>
      <c r="X275" s="2"/>
      <c r="Y275" s="2"/>
      <c r="Z275" s="2"/>
      <c r="AD275" s="2"/>
      <c r="AE275" s="2"/>
      <c r="AF275" s="2"/>
      <c r="AG275" s="2"/>
      <c r="AH275" s="3"/>
      <c r="AJ275" s="3"/>
    </row>
    <row r="276" spans="1:36" x14ac:dyDescent="0.25">
      <c r="A276">
        <v>275</v>
      </c>
      <c r="B276" s="1">
        <v>44028</v>
      </c>
      <c r="C276">
        <v>5113488625</v>
      </c>
      <c r="D276" s="2" t="s">
        <v>64</v>
      </c>
      <c r="E276" s="2" t="s">
        <v>65</v>
      </c>
      <c r="F276" s="2" t="s">
        <v>65</v>
      </c>
      <c r="G276" s="2" t="s">
        <v>66</v>
      </c>
      <c r="H276" s="2" t="s">
        <v>28</v>
      </c>
      <c r="I276" s="2" t="s">
        <v>70</v>
      </c>
      <c r="J276" s="2" t="s">
        <v>22</v>
      </c>
      <c r="K276" s="2" t="s">
        <v>23</v>
      </c>
      <c r="L276" s="3">
        <v>49</v>
      </c>
      <c r="M276">
        <v>78</v>
      </c>
      <c r="N276" s="3">
        <v>3822</v>
      </c>
      <c r="O276" t="str">
        <f t="shared" si="4"/>
        <v>Si</v>
      </c>
      <c r="U276" s="1"/>
      <c r="W276" s="2"/>
      <c r="X276" s="2"/>
      <c r="Y276" s="2"/>
      <c r="Z276" s="2"/>
      <c r="AD276" s="2"/>
      <c r="AE276" s="2"/>
      <c r="AF276" s="2"/>
      <c r="AG276" s="2"/>
      <c r="AH276" s="3"/>
      <c r="AJ276" s="3"/>
    </row>
    <row r="277" spans="1:36" x14ac:dyDescent="0.25">
      <c r="A277">
        <v>276</v>
      </c>
      <c r="B277" s="1">
        <v>43915</v>
      </c>
      <c r="C277">
        <v>8021429259</v>
      </c>
      <c r="D277" s="2" t="s">
        <v>75</v>
      </c>
      <c r="E277" s="2" t="s">
        <v>76</v>
      </c>
      <c r="F277" s="2" t="s">
        <v>77</v>
      </c>
      <c r="G277" s="2" t="s">
        <v>63</v>
      </c>
      <c r="H277" s="2" t="s">
        <v>39</v>
      </c>
      <c r="I277" s="2" t="s">
        <v>70</v>
      </c>
      <c r="J277" s="2" t="s">
        <v>58</v>
      </c>
      <c r="K277" s="2" t="s">
        <v>59</v>
      </c>
      <c r="L277" s="3">
        <v>560</v>
      </c>
      <c r="M277">
        <v>60</v>
      </c>
      <c r="N277" s="3">
        <v>33600</v>
      </c>
      <c r="O277" t="str">
        <f t="shared" si="4"/>
        <v>No</v>
      </c>
      <c r="U277" s="1"/>
      <c r="W277" s="2"/>
      <c r="X277" s="2"/>
      <c r="Y277" s="2"/>
      <c r="Z277" s="2"/>
      <c r="AD277" s="2"/>
      <c r="AE277" s="2"/>
      <c r="AF277" s="2"/>
      <c r="AG277" s="2"/>
      <c r="AH277" s="3"/>
      <c r="AJ277" s="3"/>
    </row>
    <row r="278" spans="1:36" x14ac:dyDescent="0.25">
      <c r="A278">
        <v>277</v>
      </c>
      <c r="B278" s="1">
        <v>43906</v>
      </c>
      <c r="C278">
        <v>680211800</v>
      </c>
      <c r="D278" s="2" t="s">
        <v>78</v>
      </c>
      <c r="E278" s="2" t="s">
        <v>79</v>
      </c>
      <c r="F278" s="2" t="s">
        <v>80</v>
      </c>
      <c r="G278" s="2" t="s">
        <v>38</v>
      </c>
      <c r="H278" s="2" t="s">
        <v>39</v>
      </c>
      <c r="I278" s="2" t="s">
        <v>70</v>
      </c>
      <c r="J278" s="2" t="s">
        <v>81</v>
      </c>
      <c r="K278" s="2" t="s">
        <v>82</v>
      </c>
      <c r="L278" s="3">
        <v>257.60000000000002</v>
      </c>
      <c r="M278">
        <v>23</v>
      </c>
      <c r="N278" s="3">
        <v>5924.8</v>
      </c>
      <c r="O278" t="str">
        <f t="shared" si="4"/>
        <v>Si</v>
      </c>
      <c r="U278" s="1"/>
      <c r="W278" s="2"/>
      <c r="X278" s="2"/>
      <c r="Y278" s="2"/>
      <c r="Z278" s="2"/>
      <c r="AD278" s="2"/>
      <c r="AE278" s="2"/>
      <c r="AF278" s="2"/>
      <c r="AG278" s="2"/>
      <c r="AH278" s="3"/>
      <c r="AJ278" s="3"/>
    </row>
    <row r="279" spans="1:36" x14ac:dyDescent="0.25">
      <c r="A279">
        <v>278</v>
      </c>
      <c r="B279" s="1">
        <v>44092</v>
      </c>
      <c r="C279">
        <v>2635806056</v>
      </c>
      <c r="D279" s="2" t="s">
        <v>60</v>
      </c>
      <c r="E279" s="2" t="s">
        <v>61</v>
      </c>
      <c r="F279" s="2" t="s">
        <v>62</v>
      </c>
      <c r="G279" s="2" t="s">
        <v>63</v>
      </c>
      <c r="H279" s="2" t="s">
        <v>39</v>
      </c>
      <c r="I279" s="2" t="s">
        <v>29</v>
      </c>
      <c r="J279" s="2" t="s">
        <v>34</v>
      </c>
      <c r="K279" s="2" t="s">
        <v>21</v>
      </c>
      <c r="L279" s="3">
        <v>644</v>
      </c>
      <c r="M279">
        <v>34</v>
      </c>
      <c r="N279" s="3">
        <v>21896</v>
      </c>
      <c r="O279" t="str">
        <f t="shared" si="4"/>
        <v>No</v>
      </c>
      <c r="U279" s="1"/>
      <c r="W279" s="2"/>
      <c r="X279" s="2"/>
      <c r="Y279" s="2"/>
      <c r="Z279" s="2"/>
      <c r="AD279" s="2"/>
      <c r="AE279" s="2"/>
      <c r="AF279" s="2"/>
      <c r="AG279" s="2"/>
      <c r="AH279" s="3"/>
      <c r="AJ279" s="3"/>
    </row>
    <row r="280" spans="1:36" x14ac:dyDescent="0.25">
      <c r="A280">
        <v>279</v>
      </c>
      <c r="B280" s="1">
        <v>44073</v>
      </c>
      <c r="C280">
        <v>3338515953</v>
      </c>
      <c r="D280" s="2" t="s">
        <v>83</v>
      </c>
      <c r="E280" s="2" t="s">
        <v>43</v>
      </c>
      <c r="F280" s="2" t="s">
        <v>44</v>
      </c>
      <c r="G280" s="2" t="s">
        <v>84</v>
      </c>
      <c r="H280" s="2" t="s">
        <v>28</v>
      </c>
      <c r="I280" s="2" t="s">
        <v>19</v>
      </c>
      <c r="J280" s="2" t="s">
        <v>52</v>
      </c>
      <c r="K280" s="2" t="s">
        <v>53</v>
      </c>
      <c r="L280" s="3">
        <v>135.1</v>
      </c>
      <c r="M280">
        <v>89</v>
      </c>
      <c r="N280" s="3">
        <v>12023.9</v>
      </c>
      <c r="O280" t="str">
        <f t="shared" si="4"/>
        <v>Si</v>
      </c>
      <c r="U280" s="1"/>
      <c r="W280" s="2"/>
      <c r="X280" s="2"/>
      <c r="Y280" s="2"/>
      <c r="Z280" s="2"/>
      <c r="AD280" s="2"/>
      <c r="AE280" s="2"/>
      <c r="AF280" s="2"/>
      <c r="AG280" s="2"/>
      <c r="AH280" s="3"/>
      <c r="AJ280" s="3"/>
    </row>
    <row r="281" spans="1:36" x14ac:dyDescent="0.25">
      <c r="A281">
        <v>280</v>
      </c>
      <c r="B281" s="1">
        <v>44106</v>
      </c>
      <c r="C281">
        <v>3075758565</v>
      </c>
      <c r="D281" s="2" t="s">
        <v>54</v>
      </c>
      <c r="E281" s="2" t="s">
        <v>55</v>
      </c>
      <c r="F281" s="2" t="s">
        <v>56</v>
      </c>
      <c r="G281" s="2" t="s">
        <v>57</v>
      </c>
      <c r="H281" s="2" t="s">
        <v>18</v>
      </c>
      <c r="I281" s="2" t="s">
        <v>29</v>
      </c>
      <c r="J281" s="2" t="s">
        <v>46</v>
      </c>
      <c r="K281" s="2" t="s">
        <v>47</v>
      </c>
      <c r="L281" s="3">
        <v>178.5</v>
      </c>
      <c r="M281">
        <v>82</v>
      </c>
      <c r="N281" s="3">
        <v>14637</v>
      </c>
      <c r="O281" t="str">
        <f t="shared" si="4"/>
        <v>No</v>
      </c>
      <c r="U281" s="1"/>
      <c r="W281" s="2"/>
      <c r="X281" s="2"/>
      <c r="Y281" s="2"/>
      <c r="Z281" s="2"/>
      <c r="AD281" s="2"/>
      <c r="AE281" s="2"/>
      <c r="AF281" s="2"/>
      <c r="AG281" s="2"/>
      <c r="AH281" s="3"/>
      <c r="AJ281" s="3"/>
    </row>
    <row r="282" spans="1:36" x14ac:dyDescent="0.25">
      <c r="A282">
        <v>281</v>
      </c>
      <c r="B282" s="1">
        <v>44160</v>
      </c>
      <c r="C282">
        <v>5383209032</v>
      </c>
      <c r="D282" s="2" t="s">
        <v>35</v>
      </c>
      <c r="E282" s="2" t="s">
        <v>36</v>
      </c>
      <c r="F282" s="2" t="s">
        <v>37</v>
      </c>
      <c r="G282" s="2" t="s">
        <v>38</v>
      </c>
      <c r="H282" s="2" t="s">
        <v>18</v>
      </c>
      <c r="I282" s="2" t="s">
        <v>19</v>
      </c>
      <c r="J282" s="2" t="s">
        <v>46</v>
      </c>
      <c r="K282" s="2" t="s">
        <v>47</v>
      </c>
      <c r="L282" s="3">
        <v>178.5</v>
      </c>
      <c r="M282">
        <v>43</v>
      </c>
      <c r="N282" s="3">
        <v>7675.5</v>
      </c>
      <c r="O282" t="str">
        <f t="shared" si="4"/>
        <v>Si</v>
      </c>
      <c r="U282" s="1"/>
      <c r="W282" s="2"/>
      <c r="X282" s="2"/>
      <c r="Y282" s="2"/>
      <c r="Z282" s="2"/>
      <c r="AD282" s="2"/>
      <c r="AE282" s="2"/>
      <c r="AF282" s="2"/>
      <c r="AG282" s="2"/>
      <c r="AH282" s="3"/>
      <c r="AJ282" s="3"/>
    </row>
    <row r="283" spans="1:36" x14ac:dyDescent="0.25">
      <c r="A283">
        <v>282</v>
      </c>
      <c r="B283" s="1">
        <v>44068</v>
      </c>
      <c r="C283">
        <v>9635546425</v>
      </c>
      <c r="D283" s="2" t="s">
        <v>64</v>
      </c>
      <c r="E283" s="2" t="s">
        <v>65</v>
      </c>
      <c r="F283" s="2" t="s">
        <v>65</v>
      </c>
      <c r="G283" s="2" t="s">
        <v>66</v>
      </c>
      <c r="H283" s="2" t="s">
        <v>28</v>
      </c>
      <c r="I283" s="2" t="s">
        <v>70</v>
      </c>
      <c r="J283" s="2" t="s">
        <v>73</v>
      </c>
      <c r="K283" s="2" t="s">
        <v>74</v>
      </c>
      <c r="L283" s="3">
        <v>308</v>
      </c>
      <c r="M283">
        <v>96</v>
      </c>
      <c r="N283" s="3">
        <v>29568</v>
      </c>
      <c r="O283" t="str">
        <f t="shared" si="4"/>
        <v>No</v>
      </c>
      <c r="U283" s="1"/>
      <c r="W283" s="2"/>
      <c r="X283" s="2"/>
      <c r="Y283" s="2"/>
      <c r="Z283" s="2"/>
      <c r="AD283" s="2"/>
      <c r="AE283" s="2"/>
      <c r="AF283" s="2"/>
      <c r="AG283" s="2"/>
      <c r="AH283" s="3"/>
      <c r="AJ283" s="3"/>
    </row>
    <row r="284" spans="1:36" x14ac:dyDescent="0.25">
      <c r="A284">
        <v>283</v>
      </c>
      <c r="B284" s="1">
        <v>44073</v>
      </c>
      <c r="C284">
        <v>3501364052</v>
      </c>
      <c r="D284" s="2" t="s">
        <v>64</v>
      </c>
      <c r="E284" s="2" t="s">
        <v>65</v>
      </c>
      <c r="F284" s="2" t="s">
        <v>65</v>
      </c>
      <c r="G284" s="2" t="s">
        <v>66</v>
      </c>
      <c r="H284" s="2" t="s">
        <v>28</v>
      </c>
      <c r="I284" s="2" t="s">
        <v>70</v>
      </c>
      <c r="J284" s="2" t="s">
        <v>40</v>
      </c>
      <c r="K284" s="2" t="s">
        <v>41</v>
      </c>
      <c r="L284" s="3">
        <v>128.80000000000001</v>
      </c>
      <c r="M284">
        <v>34</v>
      </c>
      <c r="N284" s="3">
        <v>4379.2</v>
      </c>
      <c r="O284" t="str">
        <f t="shared" si="4"/>
        <v>Si</v>
      </c>
      <c r="U284" s="1"/>
      <c r="W284" s="2"/>
      <c r="X284" s="2"/>
      <c r="Y284" s="2"/>
      <c r="Z284" s="2"/>
      <c r="AD284" s="2"/>
      <c r="AE284" s="2"/>
      <c r="AF284" s="2"/>
      <c r="AG284" s="2"/>
      <c r="AH284" s="3"/>
      <c r="AJ284" s="3"/>
    </row>
    <row r="285" spans="1:36" x14ac:dyDescent="0.25">
      <c r="A285">
        <v>284</v>
      </c>
      <c r="B285" s="1">
        <v>43992</v>
      </c>
      <c r="C285">
        <v>2226825043</v>
      </c>
      <c r="D285" s="2" t="s">
        <v>75</v>
      </c>
      <c r="E285" s="2" t="s">
        <v>76</v>
      </c>
      <c r="F285" s="2" t="s">
        <v>77</v>
      </c>
      <c r="G285" s="2" t="s">
        <v>63</v>
      </c>
      <c r="H285" s="2" t="s">
        <v>39</v>
      </c>
      <c r="I285" s="2" t="s">
        <v>70</v>
      </c>
      <c r="J285" s="2" t="s">
        <v>22</v>
      </c>
      <c r="K285" s="2" t="s">
        <v>23</v>
      </c>
      <c r="L285" s="3">
        <v>49</v>
      </c>
      <c r="M285">
        <v>42</v>
      </c>
      <c r="N285" s="3">
        <v>2058</v>
      </c>
      <c r="O285" t="str">
        <f t="shared" si="4"/>
        <v>No</v>
      </c>
      <c r="U285" s="1"/>
      <c r="W285" s="2"/>
      <c r="X285" s="2"/>
      <c r="Y285" s="2"/>
      <c r="Z285" s="2"/>
      <c r="AD285" s="2"/>
      <c r="AE285" s="2"/>
      <c r="AF285" s="2"/>
      <c r="AG285" s="2"/>
      <c r="AH285" s="3"/>
      <c r="AJ285" s="3"/>
    </row>
    <row r="286" spans="1:36" x14ac:dyDescent="0.25">
      <c r="A286">
        <v>285</v>
      </c>
      <c r="B286" s="1">
        <v>43883</v>
      </c>
      <c r="C286">
        <v>6321323029</v>
      </c>
      <c r="D286" s="2" t="s">
        <v>75</v>
      </c>
      <c r="E286" s="2" t="s">
        <v>76</v>
      </c>
      <c r="F286" s="2" t="s">
        <v>77</v>
      </c>
      <c r="G286" s="2" t="s">
        <v>63</v>
      </c>
      <c r="H286" s="2" t="s">
        <v>39</v>
      </c>
      <c r="I286" s="2" t="s">
        <v>70</v>
      </c>
      <c r="J286" s="2" t="s">
        <v>67</v>
      </c>
      <c r="K286" s="2" t="s">
        <v>21</v>
      </c>
      <c r="L286" s="3">
        <v>41.86</v>
      </c>
      <c r="M286">
        <v>100</v>
      </c>
      <c r="N286" s="3">
        <v>4186</v>
      </c>
      <c r="O286" t="str">
        <f t="shared" si="4"/>
        <v>Si</v>
      </c>
      <c r="U286" s="1"/>
      <c r="W286" s="2"/>
      <c r="X286" s="2"/>
      <c r="Y286" s="2"/>
      <c r="Z286" s="2"/>
      <c r="AD286" s="2"/>
      <c r="AE286" s="2"/>
      <c r="AF286" s="2"/>
      <c r="AG286" s="2"/>
      <c r="AH286" s="3"/>
      <c r="AJ286" s="3"/>
    </row>
    <row r="287" spans="1:36" x14ac:dyDescent="0.25">
      <c r="A287">
        <v>286</v>
      </c>
      <c r="B287" s="1">
        <v>44168</v>
      </c>
      <c r="C287">
        <v>3775524143</v>
      </c>
      <c r="D287" s="2" t="s">
        <v>78</v>
      </c>
      <c r="E287" s="2" t="s">
        <v>79</v>
      </c>
      <c r="F287" s="2" t="s">
        <v>80</v>
      </c>
      <c r="G287" s="2" t="s">
        <v>38</v>
      </c>
      <c r="H287" s="2" t="s">
        <v>70</v>
      </c>
      <c r="I287" s="2" t="s">
        <v>70</v>
      </c>
      <c r="J287" s="2" t="s">
        <v>33</v>
      </c>
      <c r="K287" s="2" t="s">
        <v>21</v>
      </c>
      <c r="L287" s="3">
        <v>252</v>
      </c>
      <c r="M287">
        <v>42</v>
      </c>
      <c r="N287" s="3">
        <v>10584</v>
      </c>
      <c r="O287" t="str">
        <f t="shared" si="4"/>
        <v>No</v>
      </c>
      <c r="U287" s="1"/>
      <c r="W287" s="2"/>
      <c r="X287" s="2"/>
      <c r="Y287" s="2"/>
      <c r="Z287" s="2"/>
      <c r="AD287" s="2"/>
      <c r="AE287" s="2"/>
      <c r="AF287" s="2"/>
      <c r="AG287" s="2"/>
      <c r="AH287" s="3"/>
      <c r="AJ287" s="3"/>
    </row>
    <row r="288" spans="1:36" x14ac:dyDescent="0.25">
      <c r="A288">
        <v>287</v>
      </c>
      <c r="B288" s="1">
        <v>44044</v>
      </c>
      <c r="C288">
        <v>9543041808</v>
      </c>
      <c r="D288" s="2" t="s">
        <v>78</v>
      </c>
      <c r="E288" s="2" t="s">
        <v>79</v>
      </c>
      <c r="F288" s="2" t="s">
        <v>80</v>
      </c>
      <c r="G288" s="2" t="s">
        <v>38</v>
      </c>
      <c r="H288" s="2" t="s">
        <v>70</v>
      </c>
      <c r="I288" s="2" t="s">
        <v>70</v>
      </c>
      <c r="J288" s="2" t="s">
        <v>34</v>
      </c>
      <c r="K288" s="2" t="s">
        <v>21</v>
      </c>
      <c r="L288" s="3">
        <v>644</v>
      </c>
      <c r="M288">
        <v>16</v>
      </c>
      <c r="N288" s="3">
        <v>10304</v>
      </c>
      <c r="O288" t="str">
        <f t="shared" si="4"/>
        <v>Si</v>
      </c>
      <c r="U288" s="1"/>
      <c r="W288" s="2"/>
      <c r="X288" s="2"/>
      <c r="Y288" s="2"/>
      <c r="Z288" s="2"/>
      <c r="AD288" s="2"/>
      <c r="AE288" s="2"/>
      <c r="AF288" s="2"/>
      <c r="AG288" s="2"/>
      <c r="AH288" s="3"/>
      <c r="AJ288" s="3"/>
    </row>
    <row r="289" spans="1:36" x14ac:dyDescent="0.25">
      <c r="A289">
        <v>288</v>
      </c>
      <c r="B289" s="1">
        <v>43954</v>
      </c>
      <c r="C289">
        <v>547647770</v>
      </c>
      <c r="D289" s="2" t="s">
        <v>78</v>
      </c>
      <c r="E289" s="2" t="s">
        <v>79</v>
      </c>
      <c r="F289" s="2" t="s">
        <v>80</v>
      </c>
      <c r="G289" s="2" t="s">
        <v>38</v>
      </c>
      <c r="H289" s="2" t="s">
        <v>70</v>
      </c>
      <c r="I289" s="2" t="s">
        <v>70</v>
      </c>
      <c r="J289" s="2" t="s">
        <v>67</v>
      </c>
      <c r="K289" s="2" t="s">
        <v>21</v>
      </c>
      <c r="L289" s="3">
        <v>41.86</v>
      </c>
      <c r="M289">
        <v>22</v>
      </c>
      <c r="N289" s="3">
        <v>920.92</v>
      </c>
      <c r="O289" t="str">
        <f t="shared" si="4"/>
        <v>No</v>
      </c>
      <c r="U289" s="1"/>
      <c r="W289" s="2"/>
      <c r="X289" s="2"/>
      <c r="Y289" s="2"/>
      <c r="Z289" s="2"/>
      <c r="AD289" s="2"/>
      <c r="AE289" s="2"/>
      <c r="AF289" s="2"/>
      <c r="AG289" s="2"/>
      <c r="AH289" s="3"/>
      <c r="AJ289" s="3"/>
    </row>
    <row r="290" spans="1:36" x14ac:dyDescent="0.25">
      <c r="A290">
        <v>289</v>
      </c>
      <c r="B290" s="1">
        <v>44106</v>
      </c>
      <c r="C290">
        <v>7120228607</v>
      </c>
      <c r="D290" s="2" t="s">
        <v>60</v>
      </c>
      <c r="E290" s="2" t="s">
        <v>61</v>
      </c>
      <c r="F290" s="2" t="s">
        <v>62</v>
      </c>
      <c r="G290" s="2" t="s">
        <v>63</v>
      </c>
      <c r="H290" s="2" t="s">
        <v>39</v>
      </c>
      <c r="I290" s="2" t="s">
        <v>29</v>
      </c>
      <c r="J290" s="2" t="s">
        <v>52</v>
      </c>
      <c r="K290" s="2" t="s">
        <v>53</v>
      </c>
      <c r="L290" s="3">
        <v>135.1</v>
      </c>
      <c r="M290">
        <v>46</v>
      </c>
      <c r="N290" s="3">
        <v>6214.6</v>
      </c>
      <c r="O290" t="str">
        <f t="shared" si="4"/>
        <v>Si</v>
      </c>
      <c r="U290" s="1"/>
      <c r="W290" s="2"/>
      <c r="X290" s="2"/>
      <c r="Y290" s="2"/>
      <c r="Z290" s="2"/>
      <c r="AD290" s="2"/>
      <c r="AE290" s="2"/>
      <c r="AF290" s="2"/>
      <c r="AG290" s="2"/>
      <c r="AH290" s="3"/>
      <c r="AJ290" s="3"/>
    </row>
    <row r="291" spans="1:36" x14ac:dyDescent="0.25">
      <c r="A291">
        <v>290</v>
      </c>
      <c r="B291" s="1">
        <v>43837</v>
      </c>
      <c r="C291">
        <v>5554565190</v>
      </c>
      <c r="D291" s="2" t="s">
        <v>60</v>
      </c>
      <c r="E291" s="2" t="s">
        <v>61</v>
      </c>
      <c r="F291" s="2" t="s">
        <v>62</v>
      </c>
      <c r="G291" s="2" t="s">
        <v>63</v>
      </c>
      <c r="H291" s="2" t="s">
        <v>39</v>
      </c>
      <c r="I291" s="2" t="s">
        <v>29</v>
      </c>
      <c r="J291" s="2" t="s">
        <v>81</v>
      </c>
      <c r="K291" s="2" t="s">
        <v>82</v>
      </c>
      <c r="L291" s="3">
        <v>257.60000000000002</v>
      </c>
      <c r="M291">
        <v>100</v>
      </c>
      <c r="N291" s="3">
        <v>25760</v>
      </c>
      <c r="O291" t="str">
        <f t="shared" si="4"/>
        <v>No</v>
      </c>
      <c r="U291" s="1"/>
      <c r="W291" s="2"/>
      <c r="X291" s="2"/>
      <c r="Y291" s="2"/>
      <c r="Z291" s="2"/>
      <c r="AD291" s="2"/>
      <c r="AE291" s="2"/>
      <c r="AF291" s="2"/>
      <c r="AG291" s="2"/>
      <c r="AH291" s="3"/>
      <c r="AJ291" s="3"/>
    </row>
    <row r="292" spans="1:36" x14ac:dyDescent="0.25">
      <c r="A292">
        <v>291</v>
      </c>
      <c r="B292" s="1">
        <v>43866</v>
      </c>
      <c r="C292">
        <v>1644848787</v>
      </c>
      <c r="D292" s="2" t="s">
        <v>83</v>
      </c>
      <c r="E292" s="2" t="s">
        <v>43</v>
      </c>
      <c r="F292" s="2" t="s">
        <v>44</v>
      </c>
      <c r="G292" s="2" t="s">
        <v>84</v>
      </c>
      <c r="H292" s="2" t="s">
        <v>28</v>
      </c>
      <c r="I292" s="2" t="s">
        <v>19</v>
      </c>
      <c r="J292" s="2" t="s">
        <v>85</v>
      </c>
      <c r="K292" s="2" t="s">
        <v>86</v>
      </c>
      <c r="L292" s="3">
        <v>273</v>
      </c>
      <c r="M292">
        <v>87</v>
      </c>
      <c r="N292" s="3">
        <v>23751</v>
      </c>
      <c r="O292" t="str">
        <f t="shared" si="4"/>
        <v>Si</v>
      </c>
      <c r="U292" s="1"/>
      <c r="W292" s="2"/>
      <c r="X292" s="2"/>
      <c r="Y292" s="2"/>
      <c r="Z292" s="2"/>
      <c r="AD292" s="2"/>
      <c r="AE292" s="2"/>
      <c r="AF292" s="2"/>
      <c r="AG292" s="2"/>
      <c r="AH292" s="3"/>
      <c r="AJ292" s="3"/>
    </row>
    <row r="293" spans="1:36" x14ac:dyDescent="0.25">
      <c r="A293">
        <v>292</v>
      </c>
      <c r="B293" s="1">
        <v>43923</v>
      </c>
      <c r="C293">
        <v>8273786477</v>
      </c>
      <c r="D293" s="2" t="s">
        <v>83</v>
      </c>
      <c r="E293" s="2" t="s">
        <v>43</v>
      </c>
      <c r="F293" s="2" t="s">
        <v>44</v>
      </c>
      <c r="G293" s="2" t="s">
        <v>84</v>
      </c>
      <c r="H293" s="2" t="s">
        <v>28</v>
      </c>
      <c r="I293" s="2" t="s">
        <v>19</v>
      </c>
      <c r="J293" s="2" t="s">
        <v>87</v>
      </c>
      <c r="K293" s="2" t="s">
        <v>88</v>
      </c>
      <c r="L293" s="3">
        <v>487.2</v>
      </c>
      <c r="M293">
        <v>58</v>
      </c>
      <c r="N293" s="3">
        <v>28257.599999999999</v>
      </c>
      <c r="O293" t="str">
        <f t="shared" si="4"/>
        <v>No</v>
      </c>
      <c r="U293" s="1"/>
      <c r="W293" s="2"/>
      <c r="X293" s="2"/>
      <c r="Y293" s="2"/>
      <c r="Z293" s="2"/>
      <c r="AD293" s="2"/>
      <c r="AE293" s="2"/>
      <c r="AF293" s="2"/>
      <c r="AG293" s="2"/>
      <c r="AH293" s="3"/>
      <c r="AJ293" s="3"/>
    </row>
    <row r="294" spans="1:36" x14ac:dyDescent="0.25">
      <c r="A294">
        <v>293</v>
      </c>
      <c r="B294" s="1">
        <v>44062</v>
      </c>
      <c r="C294">
        <v>1397118248</v>
      </c>
      <c r="D294" s="2" t="s">
        <v>54</v>
      </c>
      <c r="E294" s="2" t="s">
        <v>55</v>
      </c>
      <c r="F294" s="2" t="s">
        <v>56</v>
      </c>
      <c r="G294" s="2" t="s">
        <v>57</v>
      </c>
      <c r="H294" s="2" t="s">
        <v>18</v>
      </c>
      <c r="I294" s="2" t="s">
        <v>29</v>
      </c>
      <c r="J294" s="2" t="s">
        <v>20</v>
      </c>
      <c r="K294" s="2" t="s">
        <v>21</v>
      </c>
      <c r="L294" s="3">
        <v>196</v>
      </c>
      <c r="M294">
        <v>85</v>
      </c>
      <c r="N294" s="3">
        <v>16660</v>
      </c>
      <c r="O294" t="str">
        <f t="shared" si="4"/>
        <v>Si</v>
      </c>
      <c r="U294" s="1"/>
      <c r="W294" s="2"/>
      <c r="X294" s="2"/>
      <c r="Y294" s="2"/>
      <c r="Z294" s="2"/>
      <c r="AD294" s="2"/>
      <c r="AE294" s="2"/>
      <c r="AF294" s="2"/>
      <c r="AG294" s="2"/>
      <c r="AH294" s="3"/>
      <c r="AJ294" s="3"/>
    </row>
    <row r="295" spans="1:36" x14ac:dyDescent="0.25">
      <c r="A295">
        <v>294</v>
      </c>
      <c r="B295" s="1">
        <v>43959</v>
      </c>
      <c r="C295">
        <v>4468604310</v>
      </c>
      <c r="D295" s="2" t="s">
        <v>35</v>
      </c>
      <c r="E295" s="2" t="s">
        <v>36</v>
      </c>
      <c r="F295" s="2" t="s">
        <v>37</v>
      </c>
      <c r="G295" s="2" t="s">
        <v>38</v>
      </c>
      <c r="H295" s="2" t="s">
        <v>18</v>
      </c>
      <c r="I295" s="2" t="s">
        <v>19</v>
      </c>
      <c r="J295" s="2" t="s">
        <v>58</v>
      </c>
      <c r="K295" s="2" t="s">
        <v>59</v>
      </c>
      <c r="L295" s="3">
        <v>560</v>
      </c>
      <c r="M295">
        <v>28</v>
      </c>
      <c r="N295" s="3">
        <v>15680</v>
      </c>
      <c r="O295" t="str">
        <f t="shared" si="4"/>
        <v>No</v>
      </c>
      <c r="U295" s="1"/>
      <c r="W295" s="2"/>
      <c r="X295" s="2"/>
      <c r="Y295" s="2"/>
      <c r="Z295" s="2"/>
      <c r="AD295" s="2"/>
      <c r="AE295" s="2"/>
      <c r="AF295" s="2"/>
      <c r="AG295" s="2"/>
      <c r="AH295" s="3"/>
      <c r="AJ295" s="3"/>
    </row>
    <row r="296" spans="1:36" x14ac:dyDescent="0.25">
      <c r="A296">
        <v>295</v>
      </c>
      <c r="B296" s="1">
        <v>44178</v>
      </c>
      <c r="C296">
        <v>457458721</v>
      </c>
      <c r="D296" s="2" t="s">
        <v>35</v>
      </c>
      <c r="E296" s="2" t="s">
        <v>36</v>
      </c>
      <c r="F296" s="2" t="s">
        <v>37</v>
      </c>
      <c r="G296" s="2" t="s">
        <v>38</v>
      </c>
      <c r="H296" s="2" t="s">
        <v>18</v>
      </c>
      <c r="I296" s="2" t="s">
        <v>19</v>
      </c>
      <c r="J296" s="2" t="s">
        <v>40</v>
      </c>
      <c r="K296" s="2" t="s">
        <v>41</v>
      </c>
      <c r="L296" s="3">
        <v>128.80000000000001</v>
      </c>
      <c r="M296">
        <v>19</v>
      </c>
      <c r="N296" s="3">
        <v>2447.1999999999998</v>
      </c>
      <c r="O296" t="str">
        <f t="shared" si="4"/>
        <v>Si</v>
      </c>
      <c r="U296" s="1"/>
      <c r="W296" s="2"/>
      <c r="X296" s="2"/>
      <c r="Y296" s="2"/>
      <c r="Z296" s="2"/>
      <c r="AD296" s="2"/>
      <c r="AE296" s="2"/>
      <c r="AF296" s="2"/>
      <c r="AG296" s="2"/>
      <c r="AH296" s="3"/>
      <c r="AJ296" s="3"/>
    </row>
    <row r="297" spans="1:36" x14ac:dyDescent="0.25">
      <c r="A297">
        <v>296</v>
      </c>
      <c r="B297" s="1">
        <v>43990</v>
      </c>
      <c r="C297">
        <v>7184663808</v>
      </c>
      <c r="D297" s="2" t="s">
        <v>92</v>
      </c>
      <c r="E297" s="2" t="s">
        <v>65</v>
      </c>
      <c r="F297" s="2" t="s">
        <v>65</v>
      </c>
      <c r="G297" s="2" t="s">
        <v>66</v>
      </c>
      <c r="H297" s="2" t="s">
        <v>28</v>
      </c>
      <c r="I297" s="2" t="s">
        <v>51</v>
      </c>
      <c r="J297" s="2" t="s">
        <v>97</v>
      </c>
      <c r="K297" s="2" t="s">
        <v>41</v>
      </c>
      <c r="L297" s="3">
        <v>140</v>
      </c>
      <c r="M297">
        <v>99</v>
      </c>
      <c r="N297" s="3">
        <v>13860</v>
      </c>
      <c r="O297" t="str">
        <f t="shared" si="4"/>
        <v>No</v>
      </c>
      <c r="U297" s="1"/>
      <c r="W297" s="2"/>
      <c r="X297" s="2"/>
      <c r="Y297" s="2"/>
      <c r="Z297" s="2"/>
      <c r="AD297" s="2"/>
      <c r="AE297" s="2"/>
      <c r="AF297" s="2"/>
      <c r="AG297" s="2"/>
      <c r="AH297" s="3"/>
      <c r="AJ297" s="3"/>
    </row>
    <row r="298" spans="1:36" x14ac:dyDescent="0.25">
      <c r="A298">
        <v>297</v>
      </c>
      <c r="B298" s="1">
        <v>44087</v>
      </c>
      <c r="C298">
        <v>3449599231</v>
      </c>
      <c r="D298" s="2" t="s">
        <v>93</v>
      </c>
      <c r="E298" s="2" t="s">
        <v>76</v>
      </c>
      <c r="F298" s="2" t="s">
        <v>77</v>
      </c>
      <c r="G298" s="2" t="s">
        <v>63</v>
      </c>
      <c r="H298" s="2" t="s">
        <v>39</v>
      </c>
      <c r="I298" s="2" t="s">
        <v>29</v>
      </c>
      <c r="J298" s="2" t="s">
        <v>98</v>
      </c>
      <c r="K298" s="2" t="s">
        <v>99</v>
      </c>
      <c r="L298" s="3">
        <v>298.89999999999998</v>
      </c>
      <c r="M298">
        <v>69</v>
      </c>
      <c r="N298" s="3">
        <v>20624.099999999999</v>
      </c>
      <c r="O298" t="str">
        <f t="shared" si="4"/>
        <v>Si</v>
      </c>
      <c r="U298" s="1"/>
      <c r="W298" s="2"/>
      <c r="X298" s="2"/>
      <c r="Y298" s="2"/>
      <c r="Z298" s="2"/>
      <c r="AD298" s="2"/>
      <c r="AE298" s="2"/>
      <c r="AF298" s="2"/>
      <c r="AG298" s="2"/>
      <c r="AH298" s="3"/>
      <c r="AJ298" s="3"/>
    </row>
    <row r="299" spans="1:36" x14ac:dyDescent="0.25">
      <c r="A299">
        <v>298</v>
      </c>
      <c r="B299" s="1">
        <v>44168</v>
      </c>
      <c r="C299">
        <v>3901461858</v>
      </c>
      <c r="D299" s="2" t="s">
        <v>93</v>
      </c>
      <c r="E299" s="2" t="s">
        <v>76</v>
      </c>
      <c r="F299" s="2" t="s">
        <v>77</v>
      </c>
      <c r="G299" s="2" t="s">
        <v>63</v>
      </c>
      <c r="H299" s="2" t="s">
        <v>39</v>
      </c>
      <c r="I299" s="2" t="s">
        <v>29</v>
      </c>
      <c r="J299" s="2" t="s">
        <v>52</v>
      </c>
      <c r="K299" s="2" t="s">
        <v>53</v>
      </c>
      <c r="L299" s="3">
        <v>135.1</v>
      </c>
      <c r="M299">
        <v>37</v>
      </c>
      <c r="N299" s="3">
        <v>4998.7</v>
      </c>
      <c r="O299" t="str">
        <f t="shared" si="4"/>
        <v>No</v>
      </c>
      <c r="U299" s="1"/>
      <c r="W299" s="2"/>
      <c r="X299" s="2"/>
      <c r="Y299" s="2"/>
      <c r="Z299" s="2"/>
      <c r="AD299" s="2"/>
      <c r="AE299" s="2"/>
      <c r="AF299" s="2"/>
      <c r="AG299" s="2"/>
      <c r="AH299" s="3"/>
      <c r="AJ299" s="3"/>
    </row>
    <row r="300" spans="1:36" x14ac:dyDescent="0.25">
      <c r="A300">
        <v>299</v>
      </c>
      <c r="B300" s="1">
        <v>43922</v>
      </c>
      <c r="C300">
        <v>6798892819</v>
      </c>
      <c r="D300" s="2" t="s">
        <v>93</v>
      </c>
      <c r="E300" s="2" t="s">
        <v>76</v>
      </c>
      <c r="F300" s="2" t="s">
        <v>77</v>
      </c>
      <c r="G300" s="2" t="s">
        <v>63</v>
      </c>
      <c r="H300" s="2" t="s">
        <v>39</v>
      </c>
      <c r="I300" s="2" t="s">
        <v>29</v>
      </c>
      <c r="J300" s="2" t="s">
        <v>81</v>
      </c>
      <c r="K300" s="2" t="s">
        <v>82</v>
      </c>
      <c r="L300" s="3">
        <v>257.60000000000002</v>
      </c>
      <c r="M300">
        <v>64</v>
      </c>
      <c r="N300" s="3">
        <v>16486.400000000001</v>
      </c>
      <c r="O300" t="str">
        <f t="shared" si="4"/>
        <v>Si</v>
      </c>
      <c r="U300" s="1"/>
      <c r="W300" s="2"/>
      <c r="X300" s="2"/>
      <c r="Y300" s="2"/>
      <c r="Z300" s="2"/>
      <c r="AD300" s="2"/>
      <c r="AE300" s="2"/>
      <c r="AF300" s="2"/>
      <c r="AG300" s="2"/>
      <c r="AH300" s="3"/>
      <c r="AJ300" s="3"/>
    </row>
    <row r="301" spans="1:36" x14ac:dyDescent="0.25">
      <c r="A301">
        <v>300</v>
      </c>
      <c r="B301" s="1">
        <v>44130</v>
      </c>
      <c r="C301">
        <v>6897506437</v>
      </c>
      <c r="D301" s="2" t="s">
        <v>42</v>
      </c>
      <c r="E301" s="2" t="s">
        <v>43</v>
      </c>
      <c r="F301" s="2" t="s">
        <v>44</v>
      </c>
      <c r="G301" s="2" t="s">
        <v>45</v>
      </c>
      <c r="H301" s="2" t="s">
        <v>18</v>
      </c>
      <c r="I301" s="2" t="s">
        <v>19</v>
      </c>
      <c r="J301" s="2" t="s">
        <v>20</v>
      </c>
      <c r="K301" s="2" t="s">
        <v>21</v>
      </c>
      <c r="L301" s="3">
        <v>196</v>
      </c>
      <c r="M301">
        <v>38</v>
      </c>
      <c r="N301" s="3">
        <v>7448</v>
      </c>
      <c r="O301" t="str">
        <f t="shared" si="4"/>
        <v>No</v>
      </c>
      <c r="U301" s="1"/>
      <c r="W301" s="2"/>
      <c r="X301" s="2"/>
      <c r="Y301" s="2"/>
      <c r="Z301" s="2"/>
      <c r="AD301" s="2"/>
      <c r="AE301" s="2"/>
      <c r="AF301" s="2"/>
      <c r="AG301" s="2"/>
      <c r="AH301" s="3"/>
      <c r="AJ301" s="3"/>
    </row>
    <row r="302" spans="1:36" x14ac:dyDescent="0.25">
      <c r="A302">
        <v>301</v>
      </c>
      <c r="B302" s="1">
        <v>44124</v>
      </c>
      <c r="C302">
        <v>6298594113</v>
      </c>
      <c r="D302" s="2" t="s">
        <v>54</v>
      </c>
      <c r="E302" s="2" t="s">
        <v>55</v>
      </c>
      <c r="F302" s="2" t="s">
        <v>56</v>
      </c>
      <c r="G302" s="2" t="s">
        <v>57</v>
      </c>
      <c r="H302" s="2" t="s">
        <v>39</v>
      </c>
      <c r="I302" s="2" t="s">
        <v>19</v>
      </c>
      <c r="J302" s="2" t="s">
        <v>46</v>
      </c>
      <c r="K302" s="2" t="s">
        <v>47</v>
      </c>
      <c r="L302" s="3">
        <v>178.5</v>
      </c>
      <c r="M302">
        <v>15</v>
      </c>
      <c r="N302" s="3">
        <v>2677.5</v>
      </c>
      <c r="O302" t="str">
        <f t="shared" si="4"/>
        <v>Si</v>
      </c>
      <c r="U302" s="1"/>
      <c r="W302" s="2"/>
      <c r="X302" s="2"/>
      <c r="Y302" s="2"/>
      <c r="Z302" s="2"/>
      <c r="AD302" s="2"/>
      <c r="AE302" s="2"/>
      <c r="AF302" s="2"/>
      <c r="AG302" s="2"/>
      <c r="AH302" s="3"/>
      <c r="AJ302" s="3"/>
    </row>
    <row r="303" spans="1:36" x14ac:dyDescent="0.25">
      <c r="A303">
        <v>302</v>
      </c>
      <c r="B303" s="1">
        <v>43984</v>
      </c>
      <c r="C303">
        <v>6972691420</v>
      </c>
      <c r="D303" s="2" t="s">
        <v>24</v>
      </c>
      <c r="E303" s="2" t="s">
        <v>25</v>
      </c>
      <c r="F303" s="2" t="s">
        <v>26</v>
      </c>
      <c r="G303" s="2" t="s">
        <v>27</v>
      </c>
      <c r="H303" s="2" t="s">
        <v>28</v>
      </c>
      <c r="I303" s="2" t="s">
        <v>29</v>
      </c>
      <c r="J303" s="2" t="s">
        <v>100</v>
      </c>
      <c r="K303" s="2" t="s">
        <v>72</v>
      </c>
      <c r="L303" s="3">
        <v>1134</v>
      </c>
      <c r="M303">
        <v>52</v>
      </c>
      <c r="N303" s="3">
        <v>58968</v>
      </c>
      <c r="O303" t="str">
        <f t="shared" si="4"/>
        <v>No</v>
      </c>
      <c r="U303" s="1"/>
      <c r="W303" s="2"/>
      <c r="X303" s="2"/>
      <c r="Y303" s="2"/>
      <c r="Z303" s="2"/>
      <c r="AD303" s="2"/>
      <c r="AE303" s="2"/>
      <c r="AF303" s="2"/>
      <c r="AG303" s="2"/>
      <c r="AH303" s="3"/>
      <c r="AJ303" s="3"/>
    </row>
    <row r="304" spans="1:36" x14ac:dyDescent="0.25">
      <c r="A304">
        <v>303</v>
      </c>
      <c r="B304" s="1">
        <v>44078</v>
      </c>
      <c r="C304">
        <v>677992170</v>
      </c>
      <c r="D304" s="2" t="s">
        <v>24</v>
      </c>
      <c r="E304" s="2" t="s">
        <v>25</v>
      </c>
      <c r="F304" s="2" t="s">
        <v>26</v>
      </c>
      <c r="G304" s="2" t="s">
        <v>27</v>
      </c>
      <c r="H304" s="2" t="s">
        <v>28</v>
      </c>
      <c r="I304" s="2" t="s">
        <v>29</v>
      </c>
      <c r="J304" s="2" t="s">
        <v>101</v>
      </c>
      <c r="K304" s="2" t="s">
        <v>102</v>
      </c>
      <c r="L304" s="3">
        <v>98</v>
      </c>
      <c r="M304">
        <v>37</v>
      </c>
      <c r="N304" s="3">
        <v>3626</v>
      </c>
      <c r="O304" t="str">
        <f t="shared" si="4"/>
        <v>Si</v>
      </c>
      <c r="U304" s="1"/>
      <c r="W304" s="2"/>
      <c r="X304" s="2"/>
      <c r="Y304" s="2"/>
      <c r="Z304" s="2"/>
      <c r="AD304" s="2"/>
      <c r="AE304" s="2"/>
      <c r="AF304" s="2"/>
      <c r="AG304" s="2"/>
      <c r="AH304" s="3"/>
      <c r="AJ304" s="3"/>
    </row>
    <row r="305" spans="1:36" x14ac:dyDescent="0.25">
      <c r="A305">
        <v>304</v>
      </c>
      <c r="B305" s="1">
        <v>44063</v>
      </c>
      <c r="C305">
        <v>3501827064</v>
      </c>
      <c r="D305" s="2" t="s">
        <v>35</v>
      </c>
      <c r="E305" s="2" t="s">
        <v>36</v>
      </c>
      <c r="F305" s="2" t="s">
        <v>37</v>
      </c>
      <c r="G305" s="2" t="s">
        <v>38</v>
      </c>
      <c r="H305" s="2" t="s">
        <v>39</v>
      </c>
      <c r="I305" s="2" t="s">
        <v>29</v>
      </c>
      <c r="J305" s="2" t="s">
        <v>87</v>
      </c>
      <c r="K305" s="2" t="s">
        <v>88</v>
      </c>
      <c r="L305" s="3">
        <v>487.2</v>
      </c>
      <c r="M305">
        <v>24</v>
      </c>
      <c r="N305" s="3">
        <v>11692.8</v>
      </c>
      <c r="O305" t="str">
        <f t="shared" si="4"/>
        <v>No</v>
      </c>
      <c r="U305" s="1"/>
      <c r="W305" s="2"/>
      <c r="X305" s="2"/>
      <c r="Y305" s="2"/>
      <c r="Z305" s="2"/>
      <c r="AD305" s="2"/>
      <c r="AE305" s="2"/>
      <c r="AF305" s="2"/>
      <c r="AG305" s="2"/>
      <c r="AH305" s="3"/>
      <c r="AJ305" s="3"/>
    </row>
    <row r="306" spans="1:36" x14ac:dyDescent="0.25">
      <c r="A306">
        <v>305</v>
      </c>
      <c r="B306" s="1">
        <v>43979</v>
      </c>
      <c r="C306">
        <v>9140892367</v>
      </c>
      <c r="D306" s="2" t="s">
        <v>48</v>
      </c>
      <c r="E306" s="2" t="s">
        <v>49</v>
      </c>
      <c r="F306" s="2" t="s">
        <v>50</v>
      </c>
      <c r="G306" s="2" t="s">
        <v>17</v>
      </c>
      <c r="H306" s="2" t="s">
        <v>18</v>
      </c>
      <c r="I306" s="2" t="s">
        <v>51</v>
      </c>
      <c r="J306" s="2" t="s">
        <v>89</v>
      </c>
      <c r="K306" s="2" t="s">
        <v>74</v>
      </c>
      <c r="L306" s="3">
        <v>140</v>
      </c>
      <c r="M306">
        <v>36</v>
      </c>
      <c r="N306" s="3">
        <v>5040</v>
      </c>
      <c r="O306" t="str">
        <f t="shared" si="4"/>
        <v>Si</v>
      </c>
      <c r="U306" s="1"/>
      <c r="W306" s="2"/>
      <c r="X306" s="2"/>
      <c r="Y306" s="2"/>
      <c r="Z306" s="2"/>
      <c r="AD306" s="2"/>
      <c r="AE306" s="2"/>
      <c r="AF306" s="2"/>
      <c r="AG306" s="2"/>
      <c r="AH306" s="3"/>
      <c r="AJ306" s="3"/>
    </row>
    <row r="307" spans="1:36" x14ac:dyDescent="0.25">
      <c r="A307">
        <v>306</v>
      </c>
      <c r="B307" s="1">
        <v>44037</v>
      </c>
      <c r="C307">
        <v>7570396760</v>
      </c>
      <c r="D307" s="2" t="s">
        <v>48</v>
      </c>
      <c r="E307" s="2" t="s">
        <v>49</v>
      </c>
      <c r="F307" s="2" t="s">
        <v>50</v>
      </c>
      <c r="G307" s="2" t="s">
        <v>17</v>
      </c>
      <c r="H307" s="2" t="s">
        <v>18</v>
      </c>
      <c r="I307" s="2" t="s">
        <v>51</v>
      </c>
      <c r="J307" s="2" t="s">
        <v>58</v>
      </c>
      <c r="K307" s="2" t="s">
        <v>59</v>
      </c>
      <c r="L307" s="3">
        <v>560</v>
      </c>
      <c r="M307">
        <v>24</v>
      </c>
      <c r="N307" s="3">
        <v>13440</v>
      </c>
      <c r="O307" t="str">
        <f t="shared" si="4"/>
        <v>No</v>
      </c>
      <c r="U307" s="1"/>
      <c r="W307" s="2"/>
      <c r="X307" s="2"/>
      <c r="Y307" s="2"/>
      <c r="Z307" s="2"/>
      <c r="AD307" s="2"/>
      <c r="AE307" s="2"/>
      <c r="AF307" s="2"/>
      <c r="AG307" s="2"/>
      <c r="AH307" s="3"/>
      <c r="AJ307" s="3"/>
    </row>
    <row r="308" spans="1:36" x14ac:dyDescent="0.25">
      <c r="A308">
        <v>307</v>
      </c>
      <c r="B308" s="1">
        <v>44085</v>
      </c>
      <c r="C308">
        <v>5368769086</v>
      </c>
      <c r="D308" s="2" t="s">
        <v>64</v>
      </c>
      <c r="E308" s="2" t="s">
        <v>65</v>
      </c>
      <c r="F308" s="2" t="s">
        <v>65</v>
      </c>
      <c r="G308" s="2" t="s">
        <v>66</v>
      </c>
      <c r="H308" s="2" t="s">
        <v>18</v>
      </c>
      <c r="I308" s="2" t="s">
        <v>29</v>
      </c>
      <c r="J308" s="2" t="s">
        <v>91</v>
      </c>
      <c r="K308" s="2" t="s">
        <v>23</v>
      </c>
      <c r="L308" s="3">
        <v>140</v>
      </c>
      <c r="M308">
        <v>20</v>
      </c>
      <c r="N308" s="3">
        <v>2800</v>
      </c>
      <c r="O308" t="str">
        <f t="shared" si="4"/>
        <v>Si</v>
      </c>
      <c r="U308" s="1"/>
      <c r="W308" s="2"/>
      <c r="X308" s="2"/>
      <c r="Y308" s="2"/>
      <c r="Z308" s="2"/>
      <c r="AD308" s="2"/>
      <c r="AE308" s="2"/>
      <c r="AF308" s="2"/>
      <c r="AG308" s="2"/>
      <c r="AH308" s="3"/>
      <c r="AJ308" s="3"/>
    </row>
    <row r="309" spans="1:36" x14ac:dyDescent="0.25">
      <c r="A309">
        <v>308</v>
      </c>
      <c r="B309" s="1">
        <v>44162</v>
      </c>
      <c r="C309">
        <v>443042127</v>
      </c>
      <c r="D309" s="2" t="s">
        <v>64</v>
      </c>
      <c r="E309" s="2" t="s">
        <v>65</v>
      </c>
      <c r="F309" s="2" t="s">
        <v>65</v>
      </c>
      <c r="G309" s="2" t="s">
        <v>66</v>
      </c>
      <c r="H309" s="2" t="s">
        <v>28</v>
      </c>
      <c r="I309" s="2" t="s">
        <v>70</v>
      </c>
      <c r="J309" s="2" t="s">
        <v>22</v>
      </c>
      <c r="K309" s="2" t="s">
        <v>23</v>
      </c>
      <c r="L309" s="3">
        <v>49</v>
      </c>
      <c r="M309">
        <v>11</v>
      </c>
      <c r="N309" s="3">
        <v>539</v>
      </c>
      <c r="O309" t="str">
        <f t="shared" si="4"/>
        <v>No</v>
      </c>
      <c r="U309" s="1"/>
      <c r="W309" s="2"/>
      <c r="X309" s="2"/>
      <c r="Y309" s="2"/>
      <c r="Z309" s="2"/>
      <c r="AD309" s="2"/>
      <c r="AE309" s="2"/>
      <c r="AF309" s="2"/>
      <c r="AG309" s="2"/>
      <c r="AH309" s="3"/>
      <c r="AJ309" s="3"/>
    </row>
    <row r="310" spans="1:36" x14ac:dyDescent="0.25">
      <c r="A310">
        <v>309</v>
      </c>
      <c r="B310" s="1">
        <v>43840</v>
      </c>
      <c r="C310">
        <v>3198859022</v>
      </c>
      <c r="D310" s="2" t="s">
        <v>75</v>
      </c>
      <c r="E310" s="2" t="s">
        <v>76</v>
      </c>
      <c r="F310" s="2" t="s">
        <v>77</v>
      </c>
      <c r="G310" s="2" t="s">
        <v>63</v>
      </c>
      <c r="H310" s="2" t="s">
        <v>39</v>
      </c>
      <c r="I310" s="2" t="s">
        <v>70</v>
      </c>
      <c r="J310" s="2" t="s">
        <v>58</v>
      </c>
      <c r="K310" s="2" t="s">
        <v>59</v>
      </c>
      <c r="L310" s="3">
        <v>560</v>
      </c>
      <c r="M310">
        <v>78</v>
      </c>
      <c r="N310" s="3">
        <v>43680</v>
      </c>
      <c r="O310" t="str">
        <f t="shared" si="4"/>
        <v>Si</v>
      </c>
      <c r="U310" s="1"/>
      <c r="W310" s="2"/>
      <c r="X310" s="2"/>
      <c r="Y310" s="2"/>
      <c r="Z310" s="2"/>
      <c r="AD310" s="2"/>
      <c r="AE310" s="2"/>
      <c r="AF310" s="2"/>
      <c r="AG310" s="2"/>
      <c r="AH310" s="3"/>
      <c r="AJ310" s="3"/>
    </row>
    <row r="311" spans="1:36" x14ac:dyDescent="0.25">
      <c r="A311">
        <v>310</v>
      </c>
      <c r="B311" s="1">
        <v>44043</v>
      </c>
      <c r="C311">
        <v>2982674072</v>
      </c>
      <c r="D311" s="2" t="s">
        <v>78</v>
      </c>
      <c r="E311" s="2" t="s">
        <v>79</v>
      </c>
      <c r="F311" s="2" t="s">
        <v>80</v>
      </c>
      <c r="G311" s="2" t="s">
        <v>38</v>
      </c>
      <c r="H311" s="2" t="s">
        <v>39</v>
      </c>
      <c r="I311" s="2" t="s">
        <v>70</v>
      </c>
      <c r="J311" s="2" t="s">
        <v>81</v>
      </c>
      <c r="K311" s="2" t="s">
        <v>82</v>
      </c>
      <c r="L311" s="3">
        <v>257.60000000000002</v>
      </c>
      <c r="M311">
        <v>76</v>
      </c>
      <c r="N311" s="3">
        <v>19577.599999999999</v>
      </c>
      <c r="O311" t="str">
        <f t="shared" si="4"/>
        <v>No</v>
      </c>
      <c r="U311" s="1"/>
      <c r="W311" s="2"/>
      <c r="X311" s="2"/>
      <c r="Y311" s="2"/>
      <c r="Z311" s="2"/>
      <c r="AD311" s="2"/>
      <c r="AE311" s="2"/>
      <c r="AF311" s="2"/>
      <c r="AG311" s="2"/>
      <c r="AH311" s="3"/>
      <c r="AJ311" s="3"/>
    </row>
    <row r="312" spans="1:36" x14ac:dyDescent="0.25">
      <c r="A312">
        <v>311</v>
      </c>
      <c r="B312" s="1">
        <v>44118</v>
      </c>
      <c r="C312">
        <v>1636086310</v>
      </c>
      <c r="D312" s="2" t="s">
        <v>60</v>
      </c>
      <c r="E312" s="2" t="s">
        <v>61</v>
      </c>
      <c r="F312" s="2" t="s">
        <v>62</v>
      </c>
      <c r="G312" s="2" t="s">
        <v>63</v>
      </c>
      <c r="H312" s="2" t="s">
        <v>39</v>
      </c>
      <c r="I312" s="2" t="s">
        <v>29</v>
      </c>
      <c r="J312" s="2" t="s">
        <v>34</v>
      </c>
      <c r="K312" s="2" t="s">
        <v>21</v>
      </c>
      <c r="L312" s="3">
        <v>644</v>
      </c>
      <c r="M312">
        <v>57</v>
      </c>
      <c r="N312" s="3">
        <v>36708</v>
      </c>
      <c r="O312" t="str">
        <f t="shared" si="4"/>
        <v>Si</v>
      </c>
      <c r="U312" s="1"/>
      <c r="W312" s="2"/>
      <c r="X312" s="2"/>
      <c r="Y312" s="2"/>
      <c r="Z312" s="2"/>
      <c r="AD312" s="2"/>
      <c r="AE312" s="2"/>
      <c r="AF312" s="2"/>
      <c r="AG312" s="2"/>
      <c r="AH312" s="3"/>
      <c r="AJ312" s="3"/>
    </row>
    <row r="313" spans="1:36" x14ac:dyDescent="0.25">
      <c r="A313">
        <v>312</v>
      </c>
      <c r="B313" s="1">
        <v>44069</v>
      </c>
      <c r="C313">
        <v>9879315200</v>
      </c>
      <c r="D313" s="2" t="s">
        <v>83</v>
      </c>
      <c r="E313" s="2" t="s">
        <v>43</v>
      </c>
      <c r="F313" s="2" t="s">
        <v>44</v>
      </c>
      <c r="G313" s="2" t="s">
        <v>84</v>
      </c>
      <c r="H313" s="2" t="s">
        <v>28</v>
      </c>
      <c r="I313" s="2" t="s">
        <v>19</v>
      </c>
      <c r="J313" s="2" t="s">
        <v>52</v>
      </c>
      <c r="K313" s="2" t="s">
        <v>53</v>
      </c>
      <c r="L313" s="3">
        <v>135.1</v>
      </c>
      <c r="M313">
        <v>14</v>
      </c>
      <c r="N313" s="3">
        <v>1891.4</v>
      </c>
      <c r="O313" t="str">
        <f t="shared" si="4"/>
        <v>No</v>
      </c>
      <c r="U313" s="1"/>
      <c r="W313" s="2"/>
      <c r="X313" s="2"/>
      <c r="Y313" s="2"/>
      <c r="Z313" s="2"/>
      <c r="AD313" s="2"/>
      <c r="AE313" s="2"/>
      <c r="AF313" s="2"/>
      <c r="AG313" s="2"/>
      <c r="AH313" s="3"/>
      <c r="AJ313" s="3"/>
    </row>
    <row r="314" spans="1:36" x14ac:dyDescent="0.25">
      <c r="A314">
        <v>313</v>
      </c>
      <c r="B314" s="1">
        <v>43953</v>
      </c>
      <c r="C314">
        <v>3833780472</v>
      </c>
      <c r="D314" s="2" t="s">
        <v>14</v>
      </c>
      <c r="E314" s="2" t="s">
        <v>15</v>
      </c>
      <c r="F314" s="2" t="s">
        <v>16</v>
      </c>
      <c r="G314" s="2" t="s">
        <v>17</v>
      </c>
      <c r="H314" s="2" t="s">
        <v>18</v>
      </c>
      <c r="I314" s="2" t="s">
        <v>19</v>
      </c>
      <c r="J314" s="2" t="s">
        <v>20</v>
      </c>
      <c r="K314" s="2" t="s">
        <v>21</v>
      </c>
      <c r="L314" s="3">
        <v>196</v>
      </c>
      <c r="M314">
        <v>14</v>
      </c>
      <c r="N314" s="3">
        <v>2744</v>
      </c>
      <c r="O314" t="str">
        <f t="shared" si="4"/>
        <v>Si</v>
      </c>
      <c r="U314" s="1"/>
      <c r="W314" s="2"/>
      <c r="X314" s="2"/>
      <c r="Y314" s="2"/>
      <c r="Z314" s="2"/>
      <c r="AD314" s="2"/>
      <c r="AE314" s="2"/>
      <c r="AF314" s="2"/>
      <c r="AG314" s="2"/>
      <c r="AH314" s="3"/>
      <c r="AJ314" s="3"/>
    </row>
    <row r="315" spans="1:36" x14ac:dyDescent="0.25">
      <c r="A315">
        <v>314</v>
      </c>
      <c r="B315" s="1">
        <v>44161</v>
      </c>
      <c r="C315">
        <v>1343389818</v>
      </c>
      <c r="D315" s="2" t="s">
        <v>14</v>
      </c>
      <c r="E315" s="2" t="s">
        <v>15</v>
      </c>
      <c r="F315" s="2" t="s">
        <v>16</v>
      </c>
      <c r="G315" s="2" t="s">
        <v>17</v>
      </c>
      <c r="H315" s="2" t="s">
        <v>18</v>
      </c>
      <c r="I315" s="2" t="s">
        <v>19</v>
      </c>
      <c r="J315" s="2" t="s">
        <v>22</v>
      </c>
      <c r="K315" s="2" t="s">
        <v>23</v>
      </c>
      <c r="L315" s="3">
        <v>49</v>
      </c>
      <c r="M315">
        <v>70</v>
      </c>
      <c r="N315" s="3">
        <v>3430</v>
      </c>
      <c r="O315" t="str">
        <f t="shared" si="4"/>
        <v>No</v>
      </c>
      <c r="U315" s="1"/>
      <c r="W315" s="2"/>
      <c r="X315" s="2"/>
      <c r="Y315" s="2"/>
      <c r="Z315" s="2"/>
      <c r="AD315" s="2"/>
      <c r="AE315" s="2"/>
      <c r="AF315" s="2"/>
      <c r="AG315" s="2"/>
      <c r="AH315" s="3"/>
      <c r="AJ315" s="3"/>
    </row>
    <row r="316" spans="1:36" x14ac:dyDescent="0.25">
      <c r="A316">
        <v>315</v>
      </c>
      <c r="B316" s="1">
        <v>43897</v>
      </c>
      <c r="C316">
        <v>3066920858</v>
      </c>
      <c r="D316" s="2" t="s">
        <v>24</v>
      </c>
      <c r="E316" s="2" t="s">
        <v>25</v>
      </c>
      <c r="F316" s="2" t="s">
        <v>26</v>
      </c>
      <c r="G316" s="2" t="s">
        <v>27</v>
      </c>
      <c r="H316" s="2" t="s">
        <v>28</v>
      </c>
      <c r="I316" s="2" t="s">
        <v>29</v>
      </c>
      <c r="J316" s="2" t="s">
        <v>30</v>
      </c>
      <c r="K316" s="2" t="s">
        <v>23</v>
      </c>
      <c r="L316" s="3">
        <v>420</v>
      </c>
      <c r="M316">
        <v>100</v>
      </c>
      <c r="N316" s="3">
        <v>42000</v>
      </c>
      <c r="O316" t="str">
        <f t="shared" si="4"/>
        <v>Si</v>
      </c>
      <c r="U316" s="1"/>
      <c r="W316" s="2"/>
      <c r="X316" s="2"/>
      <c r="Y316" s="2"/>
      <c r="Z316" s="2"/>
      <c r="AD316" s="2"/>
      <c r="AE316" s="2"/>
      <c r="AF316" s="2"/>
      <c r="AG316" s="2"/>
      <c r="AH316" s="3"/>
      <c r="AJ316" s="3"/>
    </row>
    <row r="317" spans="1:36" x14ac:dyDescent="0.25">
      <c r="A317">
        <v>316</v>
      </c>
      <c r="B317" s="1">
        <v>44075</v>
      </c>
      <c r="C317">
        <v>3596038071</v>
      </c>
      <c r="D317" s="2" t="s">
        <v>24</v>
      </c>
      <c r="E317" s="2" t="s">
        <v>25</v>
      </c>
      <c r="F317" s="2" t="s">
        <v>26</v>
      </c>
      <c r="G317" s="2" t="s">
        <v>27</v>
      </c>
      <c r="H317" s="2" t="s">
        <v>28</v>
      </c>
      <c r="I317" s="2" t="s">
        <v>29</v>
      </c>
      <c r="J317" s="2" t="s">
        <v>31</v>
      </c>
      <c r="K317" s="2" t="s">
        <v>23</v>
      </c>
      <c r="L317" s="3">
        <v>742</v>
      </c>
      <c r="M317">
        <v>27</v>
      </c>
      <c r="N317" s="3">
        <v>20034</v>
      </c>
      <c r="O317" t="str">
        <f t="shared" si="4"/>
        <v>No</v>
      </c>
      <c r="U317" s="1"/>
      <c r="W317" s="2"/>
      <c r="X317" s="2"/>
      <c r="Y317" s="2"/>
      <c r="Z317" s="2"/>
      <c r="AD317" s="2"/>
      <c r="AE317" s="2"/>
      <c r="AF317" s="2"/>
      <c r="AG317" s="2"/>
      <c r="AH317" s="3"/>
      <c r="AJ317" s="3"/>
    </row>
    <row r="318" spans="1:36" x14ac:dyDescent="0.25">
      <c r="A318">
        <v>317</v>
      </c>
      <c r="B318" s="1">
        <v>44055</v>
      </c>
      <c r="C318">
        <v>8280434895</v>
      </c>
      <c r="D318" s="2" t="s">
        <v>24</v>
      </c>
      <c r="E318" s="2" t="s">
        <v>25</v>
      </c>
      <c r="F318" s="2" t="s">
        <v>26</v>
      </c>
      <c r="G318" s="2" t="s">
        <v>27</v>
      </c>
      <c r="H318" s="2" t="s">
        <v>28</v>
      </c>
      <c r="I318" s="2" t="s">
        <v>29</v>
      </c>
      <c r="J318" s="2" t="s">
        <v>22</v>
      </c>
      <c r="K318" s="2" t="s">
        <v>23</v>
      </c>
      <c r="L318" s="3">
        <v>49</v>
      </c>
      <c r="M318">
        <v>70</v>
      </c>
      <c r="N318" s="3">
        <v>3430</v>
      </c>
      <c r="O318" t="str">
        <f t="shared" si="4"/>
        <v>Si</v>
      </c>
      <c r="U318" s="1"/>
      <c r="W318" s="2"/>
      <c r="X318" s="2"/>
      <c r="Y318" s="2"/>
      <c r="Z318" s="2"/>
      <c r="AD318" s="2"/>
      <c r="AE318" s="2"/>
      <c r="AF318" s="2"/>
      <c r="AG318" s="2"/>
      <c r="AH318" s="3"/>
      <c r="AJ318" s="3"/>
    </row>
    <row r="319" spans="1:36" x14ac:dyDescent="0.25">
      <c r="A319">
        <v>318</v>
      </c>
      <c r="B319" s="1">
        <v>44146</v>
      </c>
      <c r="C319">
        <v>7983505639</v>
      </c>
      <c r="D319" s="2" t="s">
        <v>32</v>
      </c>
      <c r="E319" s="2" t="s">
        <v>15</v>
      </c>
      <c r="F319" s="2" t="s">
        <v>16</v>
      </c>
      <c r="G319" s="2" t="s">
        <v>17</v>
      </c>
      <c r="H319" s="2" t="s">
        <v>18</v>
      </c>
      <c r="I319" s="2" t="s">
        <v>29</v>
      </c>
      <c r="J319" s="2" t="s">
        <v>33</v>
      </c>
      <c r="K319" s="2" t="s">
        <v>21</v>
      </c>
      <c r="L319" s="3">
        <v>252</v>
      </c>
      <c r="M319">
        <v>57</v>
      </c>
      <c r="N319" s="3">
        <v>14364</v>
      </c>
      <c r="O319" t="str">
        <f t="shared" si="4"/>
        <v>No</v>
      </c>
      <c r="U319" s="1"/>
      <c r="W319" s="2"/>
      <c r="X319" s="2"/>
      <c r="Y319" s="2"/>
      <c r="Z319" s="2"/>
      <c r="AD319" s="2"/>
      <c r="AE319" s="2"/>
      <c r="AF319" s="2"/>
      <c r="AG319" s="2"/>
      <c r="AH319" s="3"/>
      <c r="AJ319" s="3"/>
    </row>
    <row r="320" spans="1:36" x14ac:dyDescent="0.25">
      <c r="A320">
        <v>319</v>
      </c>
      <c r="B320" s="1">
        <v>43997</v>
      </c>
      <c r="C320">
        <v>4943792001</v>
      </c>
      <c r="D320" s="2" t="s">
        <v>32</v>
      </c>
      <c r="E320" s="2" t="s">
        <v>15</v>
      </c>
      <c r="F320" s="2" t="s">
        <v>16</v>
      </c>
      <c r="G320" s="2" t="s">
        <v>17</v>
      </c>
      <c r="H320" s="2" t="s">
        <v>18</v>
      </c>
      <c r="I320" s="2" t="s">
        <v>29</v>
      </c>
      <c r="J320" s="2" t="s">
        <v>34</v>
      </c>
      <c r="K320" s="2" t="s">
        <v>21</v>
      </c>
      <c r="L320" s="3">
        <v>644</v>
      </c>
      <c r="M320">
        <v>83</v>
      </c>
      <c r="N320" s="3">
        <v>53452</v>
      </c>
      <c r="O320" t="str">
        <f t="shared" si="4"/>
        <v>Si</v>
      </c>
      <c r="U320" s="1"/>
      <c r="W320" s="2"/>
      <c r="X320" s="2"/>
      <c r="Y320" s="2"/>
      <c r="Z320" s="2"/>
      <c r="AD320" s="2"/>
      <c r="AE320" s="2"/>
      <c r="AF320" s="2"/>
      <c r="AG320" s="2"/>
      <c r="AH320" s="3"/>
      <c r="AJ320" s="3"/>
    </row>
    <row r="321" spans="1:36" x14ac:dyDescent="0.25">
      <c r="A321">
        <v>320</v>
      </c>
      <c r="B321" s="1">
        <v>43857</v>
      </c>
      <c r="C321">
        <v>2679766092</v>
      </c>
      <c r="D321" s="2" t="s">
        <v>35</v>
      </c>
      <c r="E321" s="2" t="s">
        <v>36</v>
      </c>
      <c r="F321" s="2" t="s">
        <v>37</v>
      </c>
      <c r="G321" s="2" t="s">
        <v>38</v>
      </c>
      <c r="H321" s="2" t="s">
        <v>39</v>
      </c>
      <c r="I321" s="2" t="s">
        <v>29</v>
      </c>
      <c r="J321" s="2" t="s">
        <v>40</v>
      </c>
      <c r="K321" s="2" t="s">
        <v>41</v>
      </c>
      <c r="L321" s="3">
        <v>128.80000000000001</v>
      </c>
      <c r="M321">
        <v>76</v>
      </c>
      <c r="N321" s="3">
        <v>9788.7999999999993</v>
      </c>
      <c r="O321" t="str">
        <f t="shared" si="4"/>
        <v>No</v>
      </c>
      <c r="U321" s="1"/>
      <c r="W321" s="2"/>
      <c r="X321" s="2"/>
      <c r="Y321" s="2"/>
      <c r="Z321" s="2"/>
      <c r="AD321" s="2"/>
      <c r="AE321" s="2"/>
      <c r="AF321" s="2"/>
      <c r="AG321" s="2"/>
      <c r="AH321" s="3"/>
      <c r="AJ321" s="3"/>
    </row>
    <row r="322" spans="1:36" x14ac:dyDescent="0.25">
      <c r="A322">
        <v>321</v>
      </c>
      <c r="B322" s="1">
        <v>44155</v>
      </c>
      <c r="C322">
        <v>6256032641</v>
      </c>
      <c r="D322" s="2" t="s">
        <v>24</v>
      </c>
      <c r="E322" s="2" t="s">
        <v>25</v>
      </c>
      <c r="F322" s="2" t="s">
        <v>26</v>
      </c>
      <c r="G322" s="2" t="s">
        <v>27</v>
      </c>
      <c r="H322" s="2" t="s">
        <v>39</v>
      </c>
      <c r="I322" s="2" t="s">
        <v>19</v>
      </c>
      <c r="J322" s="2" t="s">
        <v>40</v>
      </c>
      <c r="K322" s="2" t="s">
        <v>41</v>
      </c>
      <c r="L322" s="3">
        <v>128.80000000000001</v>
      </c>
      <c r="M322">
        <v>80</v>
      </c>
      <c r="N322" s="3">
        <v>10304</v>
      </c>
      <c r="O322" t="str">
        <f t="shared" ref="O322:O370" si="5">IF(ISEVEN(ROW()),"Si","No")</f>
        <v>Si</v>
      </c>
      <c r="U322" s="1"/>
      <c r="W322" s="2"/>
      <c r="X322" s="2"/>
      <c r="Y322" s="2"/>
      <c r="Z322" s="2"/>
      <c r="AD322" s="2"/>
      <c r="AE322" s="2"/>
      <c r="AF322" s="2"/>
      <c r="AG322" s="2"/>
      <c r="AH322" s="3"/>
      <c r="AJ322" s="3"/>
    </row>
    <row r="323" spans="1:36" x14ac:dyDescent="0.25">
      <c r="A323">
        <v>322</v>
      </c>
      <c r="B323" s="1">
        <v>43867</v>
      </c>
      <c r="C323">
        <v>8317306577</v>
      </c>
      <c r="D323" s="2" t="s">
        <v>42</v>
      </c>
      <c r="E323" s="2" t="s">
        <v>43</v>
      </c>
      <c r="F323" s="2" t="s">
        <v>44</v>
      </c>
      <c r="G323" s="2" t="s">
        <v>45</v>
      </c>
      <c r="H323" s="2" t="s">
        <v>18</v>
      </c>
      <c r="I323" s="2" t="s">
        <v>19</v>
      </c>
      <c r="J323" s="2" t="s">
        <v>46</v>
      </c>
      <c r="K323" s="2" t="s">
        <v>47</v>
      </c>
      <c r="L323" s="3">
        <v>178.5</v>
      </c>
      <c r="M323">
        <v>47</v>
      </c>
      <c r="N323" s="3">
        <v>8389.5</v>
      </c>
      <c r="O323" t="str">
        <f t="shared" si="5"/>
        <v>No</v>
      </c>
      <c r="U323" s="1"/>
      <c r="W323" s="2"/>
      <c r="X323" s="2"/>
      <c r="Y323" s="2"/>
      <c r="Z323" s="2"/>
      <c r="AD323" s="2"/>
      <c r="AE323" s="2"/>
      <c r="AF323" s="2"/>
      <c r="AG323" s="2"/>
      <c r="AH323" s="3"/>
      <c r="AJ323" s="3"/>
    </row>
    <row r="324" spans="1:36" x14ac:dyDescent="0.25">
      <c r="A324">
        <v>323</v>
      </c>
      <c r="B324" s="1">
        <v>44120</v>
      </c>
      <c r="C324">
        <v>4952054948</v>
      </c>
      <c r="D324" s="2" t="s">
        <v>48</v>
      </c>
      <c r="E324" s="2" t="s">
        <v>49</v>
      </c>
      <c r="F324" s="2" t="s">
        <v>50</v>
      </c>
      <c r="G324" s="2" t="s">
        <v>17</v>
      </c>
      <c r="H324" s="2" t="s">
        <v>18</v>
      </c>
      <c r="I324" s="2" t="s">
        <v>51</v>
      </c>
      <c r="J324" s="2" t="s">
        <v>52</v>
      </c>
      <c r="K324" s="2" t="s">
        <v>53</v>
      </c>
      <c r="L324" s="3">
        <v>135.1</v>
      </c>
      <c r="M324">
        <v>96</v>
      </c>
      <c r="N324" s="3">
        <v>12969.6</v>
      </c>
      <c r="O324" t="str">
        <f t="shared" si="5"/>
        <v>Si</v>
      </c>
      <c r="U324" s="1"/>
      <c r="W324" s="2"/>
      <c r="X324" s="2"/>
      <c r="Y324" s="2"/>
      <c r="Z324" s="2"/>
      <c r="AD324" s="2"/>
      <c r="AE324" s="2"/>
      <c r="AF324" s="2"/>
      <c r="AG324" s="2"/>
      <c r="AH324" s="3"/>
      <c r="AJ324" s="3"/>
    </row>
    <row r="325" spans="1:36" x14ac:dyDescent="0.25">
      <c r="A325">
        <v>324</v>
      </c>
      <c r="B325" s="1">
        <v>44059</v>
      </c>
      <c r="C325">
        <v>7792270317</v>
      </c>
      <c r="D325" s="2" t="s">
        <v>54</v>
      </c>
      <c r="E325" s="2" t="s">
        <v>55</v>
      </c>
      <c r="F325" s="2" t="s">
        <v>56</v>
      </c>
      <c r="G325" s="2" t="s">
        <v>57</v>
      </c>
      <c r="H325" s="2" t="s">
        <v>18</v>
      </c>
      <c r="I325" s="2" t="s">
        <v>29</v>
      </c>
      <c r="J325" s="2" t="s">
        <v>58</v>
      </c>
      <c r="K325" s="2" t="s">
        <v>59</v>
      </c>
      <c r="L325" s="3">
        <v>560</v>
      </c>
      <c r="M325">
        <v>32</v>
      </c>
      <c r="N325" s="3">
        <v>17920</v>
      </c>
      <c r="O325" t="str">
        <f t="shared" si="5"/>
        <v>No</v>
      </c>
      <c r="U325" s="1"/>
      <c r="W325" s="2"/>
      <c r="X325" s="2"/>
      <c r="Y325" s="2"/>
      <c r="Z325" s="2"/>
      <c r="AD325" s="2"/>
      <c r="AE325" s="2"/>
      <c r="AF325" s="2"/>
      <c r="AG325" s="2"/>
      <c r="AH325" s="3"/>
      <c r="AJ325" s="3"/>
    </row>
    <row r="326" spans="1:36" x14ac:dyDescent="0.25">
      <c r="A326">
        <v>325</v>
      </c>
      <c r="B326" s="1">
        <v>44045</v>
      </c>
      <c r="C326">
        <v>8753687299</v>
      </c>
      <c r="D326" s="2" t="s">
        <v>60</v>
      </c>
      <c r="E326" s="2" t="s">
        <v>61</v>
      </c>
      <c r="F326" s="2" t="s">
        <v>62</v>
      </c>
      <c r="G326" s="2" t="s">
        <v>63</v>
      </c>
      <c r="H326" s="2" t="s">
        <v>39</v>
      </c>
      <c r="I326" s="2" t="s">
        <v>19</v>
      </c>
      <c r="J326" s="2" t="s">
        <v>34</v>
      </c>
      <c r="K326" s="2" t="s">
        <v>21</v>
      </c>
      <c r="L326" s="3">
        <v>644</v>
      </c>
      <c r="M326">
        <v>16</v>
      </c>
      <c r="N326" s="3">
        <v>10304</v>
      </c>
      <c r="O326" t="str">
        <f t="shared" si="5"/>
        <v>Si</v>
      </c>
      <c r="U326" s="1"/>
      <c r="W326" s="2"/>
      <c r="X326" s="2"/>
      <c r="Y326" s="2"/>
      <c r="Z326" s="2"/>
      <c r="AD326" s="2"/>
      <c r="AE326" s="2"/>
      <c r="AF326" s="2"/>
      <c r="AG326" s="2"/>
      <c r="AH326" s="3"/>
      <c r="AJ326" s="3"/>
    </row>
    <row r="327" spans="1:36" x14ac:dyDescent="0.25">
      <c r="A327">
        <v>326</v>
      </c>
      <c r="B327" s="1">
        <v>43867</v>
      </c>
      <c r="C327">
        <v>3276376437</v>
      </c>
      <c r="D327" s="2" t="s">
        <v>35</v>
      </c>
      <c r="E327" s="2" t="s">
        <v>36</v>
      </c>
      <c r="F327" s="2" t="s">
        <v>37</v>
      </c>
      <c r="G327" s="2" t="s">
        <v>38</v>
      </c>
      <c r="H327" s="2" t="s">
        <v>39</v>
      </c>
      <c r="I327" s="2" t="s">
        <v>19</v>
      </c>
      <c r="J327" s="2" t="s">
        <v>46</v>
      </c>
      <c r="K327" s="2" t="s">
        <v>47</v>
      </c>
      <c r="L327" s="3">
        <v>178.5</v>
      </c>
      <c r="M327">
        <v>41</v>
      </c>
      <c r="N327" s="3">
        <v>7318.5</v>
      </c>
      <c r="O327" t="str">
        <f t="shared" si="5"/>
        <v>No</v>
      </c>
      <c r="U327" s="1"/>
      <c r="W327" s="2"/>
      <c r="X327" s="2"/>
      <c r="Y327" s="2"/>
      <c r="Z327" s="2"/>
      <c r="AD327" s="2"/>
      <c r="AE327" s="2"/>
      <c r="AF327" s="2"/>
      <c r="AG327" s="2"/>
      <c r="AH327" s="3"/>
      <c r="AJ327" s="3"/>
    </row>
    <row r="328" spans="1:36" x14ac:dyDescent="0.25">
      <c r="A328">
        <v>327</v>
      </c>
      <c r="B328" s="1">
        <v>44087</v>
      </c>
      <c r="C328">
        <v>6189400875</v>
      </c>
      <c r="D328" s="2" t="s">
        <v>64</v>
      </c>
      <c r="E328" s="2" t="s">
        <v>65</v>
      </c>
      <c r="F328" s="2" t="s">
        <v>65</v>
      </c>
      <c r="G328" s="2" t="s">
        <v>66</v>
      </c>
      <c r="H328" s="2" t="s">
        <v>18</v>
      </c>
      <c r="I328" s="2" t="s">
        <v>29</v>
      </c>
      <c r="J328" s="2" t="s">
        <v>67</v>
      </c>
      <c r="K328" s="2" t="s">
        <v>21</v>
      </c>
      <c r="L328" s="3">
        <v>41.86</v>
      </c>
      <c r="M328">
        <v>41</v>
      </c>
      <c r="N328" s="3">
        <v>1716.26</v>
      </c>
      <c r="O328" t="str">
        <f t="shared" si="5"/>
        <v>Si</v>
      </c>
      <c r="U328" s="1"/>
      <c r="W328" s="2"/>
      <c r="X328" s="2"/>
      <c r="Y328" s="2"/>
      <c r="Z328" s="2"/>
      <c r="AD328" s="2"/>
      <c r="AE328" s="2"/>
      <c r="AF328" s="2"/>
      <c r="AG328" s="2"/>
      <c r="AH328" s="3"/>
      <c r="AJ328" s="3"/>
    </row>
    <row r="329" spans="1:36" x14ac:dyDescent="0.25">
      <c r="A329">
        <v>328</v>
      </c>
      <c r="B329" s="1">
        <v>43927</v>
      </c>
      <c r="C329">
        <v>3440571177</v>
      </c>
      <c r="D329" s="2" t="s">
        <v>68</v>
      </c>
      <c r="E329" s="2" t="s">
        <v>69</v>
      </c>
      <c r="F329" s="2" t="s">
        <v>69</v>
      </c>
      <c r="G329" s="2" t="s">
        <v>38</v>
      </c>
      <c r="H329" s="2" t="s">
        <v>70</v>
      </c>
      <c r="I329" s="2" t="s">
        <v>70</v>
      </c>
      <c r="J329" s="2" t="s">
        <v>34</v>
      </c>
      <c r="K329" s="2" t="s">
        <v>21</v>
      </c>
      <c r="L329" s="3">
        <v>644</v>
      </c>
      <c r="M329">
        <v>41</v>
      </c>
      <c r="N329" s="3">
        <v>26404</v>
      </c>
      <c r="O329" t="str">
        <f t="shared" si="5"/>
        <v>No</v>
      </c>
      <c r="U329" s="1"/>
      <c r="W329" s="2"/>
      <c r="X329" s="2"/>
      <c r="Y329" s="2"/>
      <c r="Z329" s="2"/>
      <c r="AD329" s="2"/>
      <c r="AE329" s="2"/>
      <c r="AF329" s="2"/>
      <c r="AG329" s="2"/>
      <c r="AH329" s="3"/>
      <c r="AJ329" s="3"/>
    </row>
    <row r="330" spans="1:36" x14ac:dyDescent="0.25">
      <c r="A330">
        <v>329</v>
      </c>
      <c r="B330" s="1">
        <v>43975</v>
      </c>
      <c r="C330">
        <v>8874798513</v>
      </c>
      <c r="D330" s="2" t="s">
        <v>64</v>
      </c>
      <c r="E330" s="2" t="s">
        <v>65</v>
      </c>
      <c r="F330" s="2" t="s">
        <v>65</v>
      </c>
      <c r="G330" s="2" t="s">
        <v>66</v>
      </c>
      <c r="H330" s="2" t="s">
        <v>28</v>
      </c>
      <c r="I330" s="2" t="s">
        <v>70</v>
      </c>
      <c r="J330" s="2" t="s">
        <v>71</v>
      </c>
      <c r="K330" s="2" t="s">
        <v>72</v>
      </c>
      <c r="L330" s="3">
        <v>350</v>
      </c>
      <c r="M330">
        <v>94</v>
      </c>
      <c r="N330" s="3">
        <v>32900</v>
      </c>
      <c r="O330" t="str">
        <f t="shared" si="5"/>
        <v>Si</v>
      </c>
      <c r="U330" s="1"/>
      <c r="W330" s="2"/>
      <c r="X330" s="2"/>
      <c r="Y330" s="2"/>
      <c r="Z330" s="2"/>
      <c r="AD330" s="2"/>
      <c r="AE330" s="2"/>
      <c r="AF330" s="2"/>
      <c r="AG330" s="2"/>
      <c r="AH330" s="3"/>
      <c r="AJ330" s="3"/>
    </row>
    <row r="331" spans="1:36" x14ac:dyDescent="0.25">
      <c r="A331">
        <v>330</v>
      </c>
      <c r="B331" s="1">
        <v>43992</v>
      </c>
      <c r="C331">
        <v>9730368433</v>
      </c>
      <c r="D331" s="2" t="s">
        <v>64</v>
      </c>
      <c r="E331" s="2" t="s">
        <v>65</v>
      </c>
      <c r="F331" s="2" t="s">
        <v>65</v>
      </c>
      <c r="G331" s="2" t="s">
        <v>66</v>
      </c>
      <c r="H331" s="2" t="s">
        <v>28</v>
      </c>
      <c r="I331" s="2" t="s">
        <v>70</v>
      </c>
      <c r="J331" s="2" t="s">
        <v>73</v>
      </c>
      <c r="K331" s="2" t="s">
        <v>74</v>
      </c>
      <c r="L331" s="3">
        <v>308</v>
      </c>
      <c r="M331">
        <v>20</v>
      </c>
      <c r="N331" s="3">
        <v>6160</v>
      </c>
      <c r="O331" t="str">
        <f t="shared" si="5"/>
        <v>No</v>
      </c>
      <c r="U331" s="1"/>
      <c r="W331" s="2"/>
      <c r="X331" s="2"/>
      <c r="Y331" s="2"/>
      <c r="Z331" s="2"/>
      <c r="AD331" s="2"/>
      <c r="AE331" s="2"/>
      <c r="AF331" s="2"/>
      <c r="AG331" s="2"/>
      <c r="AH331" s="3"/>
      <c r="AJ331" s="3"/>
    </row>
    <row r="332" spans="1:36" x14ac:dyDescent="0.25">
      <c r="A332">
        <v>331</v>
      </c>
      <c r="B332" s="1">
        <v>43870</v>
      </c>
      <c r="C332">
        <v>6592275352</v>
      </c>
      <c r="D332" s="2" t="s">
        <v>64</v>
      </c>
      <c r="E332" s="2" t="s">
        <v>65</v>
      </c>
      <c r="F332" s="2" t="s">
        <v>65</v>
      </c>
      <c r="G332" s="2" t="s">
        <v>66</v>
      </c>
      <c r="H332" s="2" t="s">
        <v>28</v>
      </c>
      <c r="I332" s="2" t="s">
        <v>70</v>
      </c>
      <c r="J332" s="2" t="s">
        <v>40</v>
      </c>
      <c r="K332" s="2" t="s">
        <v>41</v>
      </c>
      <c r="L332" s="3">
        <v>128.80000000000001</v>
      </c>
      <c r="M332">
        <v>13</v>
      </c>
      <c r="N332" s="3">
        <v>1674.4</v>
      </c>
      <c r="O332" t="str">
        <f t="shared" si="5"/>
        <v>Si</v>
      </c>
      <c r="U332" s="1"/>
      <c r="W332" s="2"/>
      <c r="X332" s="2"/>
      <c r="Y332" s="2"/>
      <c r="Z332" s="2"/>
      <c r="AD332" s="2"/>
      <c r="AE332" s="2"/>
      <c r="AF332" s="2"/>
      <c r="AG332" s="2"/>
      <c r="AH332" s="3"/>
      <c r="AJ332" s="3"/>
    </row>
    <row r="333" spans="1:36" x14ac:dyDescent="0.25">
      <c r="A333">
        <v>332</v>
      </c>
      <c r="B333" s="1">
        <v>43882</v>
      </c>
      <c r="C333">
        <v>9303282439</v>
      </c>
      <c r="D333" s="2" t="s">
        <v>75</v>
      </c>
      <c r="E333" s="2" t="s">
        <v>76</v>
      </c>
      <c r="F333" s="2" t="s">
        <v>77</v>
      </c>
      <c r="G333" s="2" t="s">
        <v>63</v>
      </c>
      <c r="H333" s="2" t="s">
        <v>39</v>
      </c>
      <c r="I333" s="2" t="s">
        <v>70</v>
      </c>
      <c r="J333" s="2" t="s">
        <v>22</v>
      </c>
      <c r="K333" s="2" t="s">
        <v>23</v>
      </c>
      <c r="L333" s="3">
        <v>49</v>
      </c>
      <c r="M333">
        <v>74</v>
      </c>
      <c r="N333" s="3">
        <v>3626</v>
      </c>
      <c r="O333" t="str">
        <f t="shared" si="5"/>
        <v>No</v>
      </c>
      <c r="U333" s="1"/>
      <c r="W333" s="2"/>
      <c r="X333" s="2"/>
      <c r="Y333" s="2"/>
      <c r="Z333" s="2"/>
      <c r="AD333" s="2"/>
      <c r="AE333" s="2"/>
      <c r="AF333" s="2"/>
      <c r="AG333" s="2"/>
      <c r="AH333" s="3"/>
      <c r="AJ333" s="3"/>
    </row>
    <row r="334" spans="1:36" x14ac:dyDescent="0.25">
      <c r="A334">
        <v>333</v>
      </c>
      <c r="B334" s="1">
        <v>43940</v>
      </c>
      <c r="C334">
        <v>8998167680</v>
      </c>
      <c r="D334" s="2" t="s">
        <v>75</v>
      </c>
      <c r="E334" s="2" t="s">
        <v>76</v>
      </c>
      <c r="F334" s="2" t="s">
        <v>77</v>
      </c>
      <c r="G334" s="2" t="s">
        <v>63</v>
      </c>
      <c r="H334" s="2" t="s">
        <v>39</v>
      </c>
      <c r="I334" s="2" t="s">
        <v>70</v>
      </c>
      <c r="J334" s="2" t="s">
        <v>67</v>
      </c>
      <c r="K334" s="2" t="s">
        <v>21</v>
      </c>
      <c r="L334" s="3">
        <v>41.86</v>
      </c>
      <c r="M334">
        <v>53</v>
      </c>
      <c r="N334" s="3">
        <v>2218.58</v>
      </c>
      <c r="O334" t="str">
        <f t="shared" si="5"/>
        <v>Si</v>
      </c>
      <c r="U334" s="1"/>
      <c r="W334" s="2"/>
      <c r="X334" s="2"/>
      <c r="Y334" s="2"/>
      <c r="Z334" s="2"/>
      <c r="AD334" s="2"/>
      <c r="AE334" s="2"/>
      <c r="AF334" s="2"/>
      <c r="AG334" s="2"/>
      <c r="AH334" s="3"/>
      <c r="AJ334" s="3"/>
    </row>
    <row r="335" spans="1:36" x14ac:dyDescent="0.25">
      <c r="A335">
        <v>334</v>
      </c>
      <c r="B335" s="1">
        <v>43874</v>
      </c>
      <c r="C335">
        <v>2058395697</v>
      </c>
      <c r="D335" s="2" t="s">
        <v>78</v>
      </c>
      <c r="E335" s="2" t="s">
        <v>79</v>
      </c>
      <c r="F335" s="2" t="s">
        <v>80</v>
      </c>
      <c r="G335" s="2" t="s">
        <v>38</v>
      </c>
      <c r="H335" s="2" t="s">
        <v>70</v>
      </c>
      <c r="I335" s="2" t="s">
        <v>70</v>
      </c>
      <c r="J335" s="2" t="s">
        <v>33</v>
      </c>
      <c r="K335" s="2" t="s">
        <v>21</v>
      </c>
      <c r="L335" s="3">
        <v>252</v>
      </c>
      <c r="M335">
        <v>99</v>
      </c>
      <c r="N335" s="3">
        <v>24948</v>
      </c>
      <c r="O335" t="str">
        <f t="shared" si="5"/>
        <v>No</v>
      </c>
      <c r="U335" s="1"/>
      <c r="W335" s="2"/>
      <c r="X335" s="2"/>
      <c r="Y335" s="2"/>
      <c r="Z335" s="2"/>
      <c r="AD335" s="2"/>
      <c r="AE335" s="2"/>
      <c r="AF335" s="2"/>
      <c r="AG335" s="2"/>
      <c r="AH335" s="3"/>
      <c r="AJ335" s="3"/>
    </row>
    <row r="336" spans="1:36" x14ac:dyDescent="0.25">
      <c r="A336">
        <v>335</v>
      </c>
      <c r="B336" s="1">
        <v>43832</v>
      </c>
      <c r="C336">
        <v>5534305664</v>
      </c>
      <c r="D336" s="2" t="s">
        <v>78</v>
      </c>
      <c r="E336" s="2" t="s">
        <v>79</v>
      </c>
      <c r="F336" s="2" t="s">
        <v>80</v>
      </c>
      <c r="G336" s="2" t="s">
        <v>38</v>
      </c>
      <c r="H336" s="2" t="s">
        <v>70</v>
      </c>
      <c r="I336" s="2" t="s">
        <v>70</v>
      </c>
      <c r="J336" s="2" t="s">
        <v>34</v>
      </c>
      <c r="K336" s="2" t="s">
        <v>21</v>
      </c>
      <c r="L336" s="3">
        <v>644</v>
      </c>
      <c r="M336">
        <v>89</v>
      </c>
      <c r="N336" s="3">
        <v>57316</v>
      </c>
      <c r="O336" t="str">
        <f t="shared" si="5"/>
        <v>Si</v>
      </c>
      <c r="U336" s="1"/>
      <c r="W336" s="2"/>
      <c r="X336" s="2"/>
      <c r="Y336" s="2"/>
      <c r="Z336" s="2"/>
      <c r="AD336" s="2"/>
      <c r="AE336" s="2"/>
      <c r="AF336" s="2"/>
      <c r="AG336" s="2"/>
      <c r="AH336" s="3"/>
      <c r="AJ336" s="3"/>
    </row>
    <row r="337" spans="1:36" x14ac:dyDescent="0.25">
      <c r="A337">
        <v>336</v>
      </c>
      <c r="B337" s="1">
        <v>43988</v>
      </c>
      <c r="C337">
        <v>5417309832</v>
      </c>
      <c r="D337" s="2" t="s">
        <v>78</v>
      </c>
      <c r="E337" s="2" t="s">
        <v>79</v>
      </c>
      <c r="F337" s="2" t="s">
        <v>80</v>
      </c>
      <c r="G337" s="2" t="s">
        <v>38</v>
      </c>
      <c r="H337" s="2" t="s">
        <v>70</v>
      </c>
      <c r="I337" s="2" t="s">
        <v>70</v>
      </c>
      <c r="J337" s="2" t="s">
        <v>67</v>
      </c>
      <c r="K337" s="2" t="s">
        <v>21</v>
      </c>
      <c r="L337" s="3">
        <v>41.86</v>
      </c>
      <c r="M337">
        <v>64</v>
      </c>
      <c r="N337" s="3">
        <v>2679.04</v>
      </c>
      <c r="O337" t="str">
        <f t="shared" si="5"/>
        <v>No</v>
      </c>
      <c r="U337" s="1"/>
      <c r="W337" s="2"/>
      <c r="X337" s="2"/>
      <c r="Y337" s="2"/>
      <c r="Z337" s="2"/>
      <c r="AD337" s="2"/>
      <c r="AE337" s="2"/>
      <c r="AF337" s="2"/>
      <c r="AG337" s="2"/>
      <c r="AH337" s="3"/>
      <c r="AJ337" s="3"/>
    </row>
    <row r="338" spans="1:36" x14ac:dyDescent="0.25">
      <c r="A338">
        <v>337</v>
      </c>
      <c r="B338" s="1">
        <v>44101</v>
      </c>
      <c r="C338">
        <v>7626114952</v>
      </c>
      <c r="D338" s="2" t="s">
        <v>60</v>
      </c>
      <c r="E338" s="2" t="s">
        <v>61</v>
      </c>
      <c r="F338" s="2" t="s">
        <v>62</v>
      </c>
      <c r="G338" s="2" t="s">
        <v>63</v>
      </c>
      <c r="H338" s="2" t="s">
        <v>39</v>
      </c>
      <c r="I338" s="2" t="s">
        <v>29</v>
      </c>
      <c r="J338" s="2" t="s">
        <v>52</v>
      </c>
      <c r="K338" s="2" t="s">
        <v>53</v>
      </c>
      <c r="L338" s="3">
        <v>135.1</v>
      </c>
      <c r="M338">
        <v>98</v>
      </c>
      <c r="N338" s="3">
        <v>13239.8</v>
      </c>
      <c r="O338" t="str">
        <f t="shared" si="5"/>
        <v>Si</v>
      </c>
      <c r="U338" s="1"/>
      <c r="W338" s="2"/>
      <c r="X338" s="2"/>
      <c r="Y338" s="2"/>
      <c r="Z338" s="2"/>
      <c r="AD338" s="2"/>
      <c r="AE338" s="2"/>
      <c r="AF338" s="2"/>
      <c r="AG338" s="2"/>
      <c r="AH338" s="3"/>
      <c r="AJ338" s="3"/>
    </row>
    <row r="339" spans="1:36" x14ac:dyDescent="0.25">
      <c r="A339">
        <v>338</v>
      </c>
      <c r="B339" s="1">
        <v>43879</v>
      </c>
      <c r="C339">
        <v>7075151442</v>
      </c>
      <c r="D339" s="2" t="s">
        <v>60</v>
      </c>
      <c r="E339" s="2" t="s">
        <v>61</v>
      </c>
      <c r="F339" s="2" t="s">
        <v>62</v>
      </c>
      <c r="G339" s="2" t="s">
        <v>63</v>
      </c>
      <c r="H339" s="2" t="s">
        <v>39</v>
      </c>
      <c r="I339" s="2" t="s">
        <v>29</v>
      </c>
      <c r="J339" s="2" t="s">
        <v>81</v>
      </c>
      <c r="K339" s="2" t="s">
        <v>82</v>
      </c>
      <c r="L339" s="3">
        <v>257.60000000000002</v>
      </c>
      <c r="M339">
        <v>86</v>
      </c>
      <c r="N339" s="3">
        <v>22153.599999999999</v>
      </c>
      <c r="O339" t="str">
        <f t="shared" si="5"/>
        <v>No</v>
      </c>
      <c r="U339" s="1"/>
      <c r="W339" s="2"/>
      <c r="X339" s="2"/>
      <c r="Y339" s="2"/>
      <c r="Z339" s="2"/>
      <c r="AD339" s="2"/>
      <c r="AE339" s="2"/>
      <c r="AF339" s="2"/>
      <c r="AG339" s="2"/>
      <c r="AH339" s="3"/>
      <c r="AJ339" s="3"/>
    </row>
    <row r="340" spans="1:36" x14ac:dyDescent="0.25">
      <c r="A340">
        <v>339</v>
      </c>
      <c r="B340" s="1">
        <v>44167</v>
      </c>
      <c r="C340">
        <v>4170346813</v>
      </c>
      <c r="D340" s="2" t="s">
        <v>83</v>
      </c>
      <c r="E340" s="2" t="s">
        <v>43</v>
      </c>
      <c r="F340" s="2" t="s">
        <v>44</v>
      </c>
      <c r="G340" s="2" t="s">
        <v>84</v>
      </c>
      <c r="H340" s="2" t="s">
        <v>28</v>
      </c>
      <c r="I340" s="2" t="s">
        <v>19</v>
      </c>
      <c r="J340" s="2" t="s">
        <v>85</v>
      </c>
      <c r="K340" s="2" t="s">
        <v>86</v>
      </c>
      <c r="L340" s="3">
        <v>273</v>
      </c>
      <c r="M340">
        <v>20</v>
      </c>
      <c r="N340" s="3">
        <v>5460</v>
      </c>
      <c r="O340" t="str">
        <f t="shared" si="5"/>
        <v>Si</v>
      </c>
      <c r="U340" s="1"/>
      <c r="W340" s="2"/>
      <c r="X340" s="2"/>
      <c r="Y340" s="2"/>
      <c r="Z340" s="2"/>
      <c r="AD340" s="2"/>
      <c r="AE340" s="2"/>
      <c r="AF340" s="2"/>
      <c r="AG340" s="2"/>
      <c r="AH340" s="3"/>
      <c r="AJ340" s="3"/>
    </row>
    <row r="341" spans="1:36" x14ac:dyDescent="0.25">
      <c r="A341">
        <v>340</v>
      </c>
      <c r="B341" s="1">
        <v>43982</v>
      </c>
      <c r="C341">
        <v>7181884746</v>
      </c>
      <c r="D341" s="2" t="s">
        <v>83</v>
      </c>
      <c r="E341" s="2" t="s">
        <v>43</v>
      </c>
      <c r="F341" s="2" t="s">
        <v>44</v>
      </c>
      <c r="G341" s="2" t="s">
        <v>84</v>
      </c>
      <c r="H341" s="2" t="s">
        <v>28</v>
      </c>
      <c r="I341" s="2" t="s">
        <v>19</v>
      </c>
      <c r="J341" s="2" t="s">
        <v>87</v>
      </c>
      <c r="K341" s="2" t="s">
        <v>88</v>
      </c>
      <c r="L341" s="3">
        <v>487.2</v>
      </c>
      <c r="M341">
        <v>69</v>
      </c>
      <c r="N341" s="3">
        <v>33616.800000000003</v>
      </c>
      <c r="O341" t="str">
        <f t="shared" si="5"/>
        <v>No</v>
      </c>
      <c r="U341" s="1"/>
      <c r="W341" s="2"/>
      <c r="X341" s="2"/>
      <c r="Y341" s="2"/>
      <c r="Z341" s="2"/>
      <c r="AD341" s="2"/>
      <c r="AE341" s="2"/>
      <c r="AF341" s="2"/>
      <c r="AG341" s="2"/>
      <c r="AH341" s="3"/>
      <c r="AJ341" s="3"/>
    </row>
    <row r="342" spans="1:36" x14ac:dyDescent="0.25">
      <c r="A342">
        <v>341</v>
      </c>
      <c r="B342" s="1">
        <v>44196</v>
      </c>
      <c r="C342">
        <v>654398232</v>
      </c>
      <c r="D342" s="2" t="s">
        <v>54</v>
      </c>
      <c r="E342" s="2" t="s">
        <v>55</v>
      </c>
      <c r="F342" s="2" t="s">
        <v>56</v>
      </c>
      <c r="G342" s="2" t="s">
        <v>57</v>
      </c>
      <c r="H342" s="2" t="s">
        <v>18</v>
      </c>
      <c r="I342" s="2" t="s">
        <v>29</v>
      </c>
      <c r="J342" s="2" t="s">
        <v>20</v>
      </c>
      <c r="K342" s="2" t="s">
        <v>21</v>
      </c>
      <c r="L342" s="3">
        <v>196</v>
      </c>
      <c r="M342">
        <v>68</v>
      </c>
      <c r="N342" s="3">
        <v>13328</v>
      </c>
      <c r="O342" t="str">
        <f t="shared" si="5"/>
        <v>Si</v>
      </c>
      <c r="U342" s="1"/>
      <c r="W342" s="2"/>
      <c r="X342" s="2"/>
      <c r="Y342" s="2"/>
      <c r="Z342" s="2"/>
      <c r="AD342" s="2"/>
      <c r="AE342" s="2"/>
      <c r="AF342" s="2"/>
      <c r="AG342" s="2"/>
      <c r="AH342" s="3"/>
      <c r="AJ342" s="3"/>
    </row>
    <row r="343" spans="1:36" x14ac:dyDescent="0.25">
      <c r="A343">
        <v>342</v>
      </c>
      <c r="B343" s="1">
        <v>43891</v>
      </c>
      <c r="C343">
        <v>6559752885</v>
      </c>
      <c r="D343" s="2" t="s">
        <v>35</v>
      </c>
      <c r="E343" s="2" t="s">
        <v>36</v>
      </c>
      <c r="F343" s="2" t="s">
        <v>37</v>
      </c>
      <c r="G343" s="2" t="s">
        <v>38</v>
      </c>
      <c r="H343" s="2" t="s">
        <v>18</v>
      </c>
      <c r="I343" s="2" t="s">
        <v>19</v>
      </c>
      <c r="J343" s="2" t="s">
        <v>58</v>
      </c>
      <c r="K343" s="2" t="s">
        <v>59</v>
      </c>
      <c r="L343" s="3">
        <v>560</v>
      </c>
      <c r="M343">
        <v>52</v>
      </c>
      <c r="N343" s="3">
        <v>29120</v>
      </c>
      <c r="O343" t="str">
        <f t="shared" si="5"/>
        <v>No</v>
      </c>
      <c r="U343" s="1"/>
      <c r="W343" s="2"/>
      <c r="X343" s="2"/>
      <c r="Y343" s="2"/>
      <c r="Z343" s="2"/>
      <c r="AD343" s="2"/>
      <c r="AE343" s="2"/>
      <c r="AF343" s="2"/>
      <c r="AG343" s="2"/>
      <c r="AH343" s="3"/>
      <c r="AJ343" s="3"/>
    </row>
    <row r="344" spans="1:36" x14ac:dyDescent="0.25">
      <c r="A344">
        <v>343</v>
      </c>
      <c r="B344" s="1">
        <v>44023</v>
      </c>
      <c r="C344">
        <v>9428165637</v>
      </c>
      <c r="D344" s="2" t="s">
        <v>35</v>
      </c>
      <c r="E344" s="2" t="s">
        <v>36</v>
      </c>
      <c r="F344" s="2" t="s">
        <v>37</v>
      </c>
      <c r="G344" s="2" t="s">
        <v>38</v>
      </c>
      <c r="H344" s="2" t="s">
        <v>18</v>
      </c>
      <c r="I344" s="2" t="s">
        <v>19</v>
      </c>
      <c r="J344" s="2" t="s">
        <v>40</v>
      </c>
      <c r="K344" s="2" t="s">
        <v>41</v>
      </c>
      <c r="L344" s="3">
        <v>128.80000000000001</v>
      </c>
      <c r="M344">
        <v>40</v>
      </c>
      <c r="N344" s="3">
        <v>5152</v>
      </c>
      <c r="O344" t="str">
        <f t="shared" si="5"/>
        <v>Si</v>
      </c>
      <c r="U344" s="1"/>
      <c r="W344" s="2"/>
      <c r="X344" s="2"/>
      <c r="Y344" s="2"/>
      <c r="Z344" s="2"/>
      <c r="AD344" s="2"/>
      <c r="AE344" s="2"/>
      <c r="AF344" s="2"/>
      <c r="AG344" s="2"/>
      <c r="AH344" s="3"/>
      <c r="AJ344" s="3"/>
    </row>
    <row r="345" spans="1:36" x14ac:dyDescent="0.25">
      <c r="A345">
        <v>344</v>
      </c>
      <c r="B345" s="1">
        <v>43843</v>
      </c>
      <c r="C345">
        <v>9902612158</v>
      </c>
      <c r="D345" s="2" t="s">
        <v>92</v>
      </c>
      <c r="E345" s="2" t="s">
        <v>65</v>
      </c>
      <c r="F345" s="2" t="s">
        <v>65</v>
      </c>
      <c r="G345" s="2" t="s">
        <v>66</v>
      </c>
      <c r="H345" s="2" t="s">
        <v>28</v>
      </c>
      <c r="I345" s="2" t="s">
        <v>51</v>
      </c>
      <c r="J345" s="2" t="s">
        <v>97</v>
      </c>
      <c r="K345" s="2" t="s">
        <v>41</v>
      </c>
      <c r="L345" s="3">
        <v>140</v>
      </c>
      <c r="M345">
        <v>100</v>
      </c>
      <c r="N345" s="3">
        <v>14000</v>
      </c>
      <c r="O345" t="str">
        <f t="shared" si="5"/>
        <v>No</v>
      </c>
      <c r="U345" s="1"/>
      <c r="W345" s="2"/>
      <c r="X345" s="2"/>
      <c r="Y345" s="2"/>
      <c r="Z345" s="2"/>
      <c r="AD345" s="2"/>
      <c r="AE345" s="2"/>
      <c r="AF345" s="2"/>
      <c r="AG345" s="2"/>
      <c r="AH345" s="3"/>
      <c r="AJ345" s="3"/>
    </row>
    <row r="346" spans="1:36" x14ac:dyDescent="0.25">
      <c r="A346">
        <v>345</v>
      </c>
      <c r="B346" s="1">
        <v>44034</v>
      </c>
      <c r="C346">
        <v>9601886174</v>
      </c>
      <c r="D346" s="2" t="s">
        <v>93</v>
      </c>
      <c r="E346" s="2" t="s">
        <v>76</v>
      </c>
      <c r="F346" s="2" t="s">
        <v>77</v>
      </c>
      <c r="G346" s="2" t="s">
        <v>63</v>
      </c>
      <c r="H346" s="2" t="s">
        <v>39</v>
      </c>
      <c r="I346" s="2" t="s">
        <v>29</v>
      </c>
      <c r="J346" s="2" t="s">
        <v>98</v>
      </c>
      <c r="K346" s="2" t="s">
        <v>99</v>
      </c>
      <c r="L346" s="3">
        <v>298.89999999999998</v>
      </c>
      <c r="M346">
        <v>88</v>
      </c>
      <c r="N346" s="3">
        <v>26303.200000000001</v>
      </c>
      <c r="O346" t="str">
        <f t="shared" si="5"/>
        <v>Si</v>
      </c>
      <c r="U346" s="1"/>
      <c r="W346" s="2"/>
      <c r="X346" s="2"/>
      <c r="Y346" s="2"/>
      <c r="Z346" s="2"/>
      <c r="AD346" s="2"/>
      <c r="AE346" s="2"/>
      <c r="AF346" s="2"/>
      <c r="AG346" s="2"/>
      <c r="AH346" s="3"/>
      <c r="AJ346" s="3"/>
    </row>
    <row r="347" spans="1:36" x14ac:dyDescent="0.25">
      <c r="A347">
        <v>346</v>
      </c>
      <c r="B347" s="1">
        <v>43958</v>
      </c>
      <c r="C347">
        <v>9194823962</v>
      </c>
      <c r="D347" s="2" t="s">
        <v>93</v>
      </c>
      <c r="E347" s="2" t="s">
        <v>76</v>
      </c>
      <c r="F347" s="2" t="s">
        <v>77</v>
      </c>
      <c r="G347" s="2" t="s">
        <v>63</v>
      </c>
      <c r="H347" s="2" t="s">
        <v>39</v>
      </c>
      <c r="I347" s="2" t="s">
        <v>29</v>
      </c>
      <c r="J347" s="2" t="s">
        <v>52</v>
      </c>
      <c r="K347" s="2" t="s">
        <v>53</v>
      </c>
      <c r="L347" s="3">
        <v>135.1</v>
      </c>
      <c r="M347">
        <v>46</v>
      </c>
      <c r="N347" s="3">
        <v>6214.6</v>
      </c>
      <c r="O347" t="str">
        <f t="shared" si="5"/>
        <v>No</v>
      </c>
      <c r="U347" s="1"/>
      <c r="W347" s="2"/>
      <c r="X347" s="2"/>
      <c r="Y347" s="2"/>
      <c r="Z347" s="2"/>
      <c r="AD347" s="2"/>
      <c r="AE347" s="2"/>
      <c r="AF347" s="2"/>
      <c r="AG347" s="2"/>
      <c r="AH347" s="3"/>
      <c r="AJ347" s="3"/>
    </row>
    <row r="348" spans="1:36" x14ac:dyDescent="0.25">
      <c r="A348">
        <v>347</v>
      </c>
      <c r="B348" s="1">
        <v>43832</v>
      </c>
      <c r="C348">
        <v>3580433044</v>
      </c>
      <c r="D348" s="2" t="s">
        <v>93</v>
      </c>
      <c r="E348" s="2" t="s">
        <v>76</v>
      </c>
      <c r="F348" s="2" t="s">
        <v>77</v>
      </c>
      <c r="G348" s="2" t="s">
        <v>63</v>
      </c>
      <c r="H348" s="2" t="s">
        <v>39</v>
      </c>
      <c r="I348" s="2" t="s">
        <v>29</v>
      </c>
      <c r="J348" s="2" t="s">
        <v>81</v>
      </c>
      <c r="K348" s="2" t="s">
        <v>82</v>
      </c>
      <c r="L348" s="3">
        <v>257.60000000000002</v>
      </c>
      <c r="M348">
        <v>93</v>
      </c>
      <c r="N348" s="3">
        <v>23956.799999999999</v>
      </c>
      <c r="O348" t="str">
        <f t="shared" si="5"/>
        <v>Si</v>
      </c>
      <c r="U348" s="1"/>
      <c r="W348" s="2"/>
      <c r="X348" s="2"/>
      <c r="Y348" s="2"/>
      <c r="Z348" s="2"/>
      <c r="AD348" s="2"/>
      <c r="AE348" s="2"/>
      <c r="AF348" s="2"/>
      <c r="AG348" s="2"/>
      <c r="AH348" s="3"/>
      <c r="AJ348" s="3"/>
    </row>
    <row r="349" spans="1:36" x14ac:dyDescent="0.25">
      <c r="A349">
        <v>348</v>
      </c>
      <c r="B349" s="1">
        <v>43959</v>
      </c>
      <c r="C349">
        <v>7020598503</v>
      </c>
      <c r="D349" s="2" t="s">
        <v>42</v>
      </c>
      <c r="E349" s="2" t="s">
        <v>43</v>
      </c>
      <c r="F349" s="2" t="s">
        <v>44</v>
      </c>
      <c r="G349" s="2" t="s">
        <v>45</v>
      </c>
      <c r="H349" s="2" t="s">
        <v>18</v>
      </c>
      <c r="I349" s="2" t="s">
        <v>19</v>
      </c>
      <c r="J349" s="2" t="s">
        <v>20</v>
      </c>
      <c r="K349" s="2" t="s">
        <v>21</v>
      </c>
      <c r="L349" s="3">
        <v>196</v>
      </c>
      <c r="M349">
        <v>96</v>
      </c>
      <c r="N349" s="3">
        <v>18816</v>
      </c>
      <c r="O349" t="str">
        <f t="shared" si="5"/>
        <v>No</v>
      </c>
      <c r="U349" s="1"/>
      <c r="W349" s="2"/>
      <c r="X349" s="2"/>
      <c r="Y349" s="2"/>
      <c r="Z349" s="2"/>
      <c r="AD349" s="2"/>
      <c r="AE349" s="2"/>
      <c r="AF349" s="2"/>
      <c r="AG349" s="2"/>
      <c r="AH349" s="3"/>
      <c r="AJ349" s="3"/>
    </row>
    <row r="350" spans="1:36" x14ac:dyDescent="0.25">
      <c r="A350">
        <v>349</v>
      </c>
      <c r="B350" s="1">
        <v>44101</v>
      </c>
      <c r="C350">
        <v>8040421717</v>
      </c>
      <c r="D350" s="2" t="s">
        <v>54</v>
      </c>
      <c r="E350" s="2" t="s">
        <v>55</v>
      </c>
      <c r="F350" s="2" t="s">
        <v>56</v>
      </c>
      <c r="G350" s="2" t="s">
        <v>57</v>
      </c>
      <c r="H350" s="2" t="s">
        <v>39</v>
      </c>
      <c r="I350" s="2" t="s">
        <v>19</v>
      </c>
      <c r="J350" s="2" t="s">
        <v>46</v>
      </c>
      <c r="K350" s="2" t="s">
        <v>47</v>
      </c>
      <c r="L350" s="3">
        <v>178.5</v>
      </c>
      <c r="M350">
        <v>12</v>
      </c>
      <c r="N350" s="3">
        <v>2142</v>
      </c>
      <c r="O350" t="str">
        <f t="shared" si="5"/>
        <v>Si</v>
      </c>
      <c r="U350" s="1"/>
      <c r="W350" s="2"/>
      <c r="X350" s="2"/>
      <c r="Y350" s="2"/>
      <c r="Z350" s="2"/>
      <c r="AD350" s="2"/>
      <c r="AE350" s="2"/>
      <c r="AF350" s="2"/>
      <c r="AG350" s="2"/>
      <c r="AH350" s="3"/>
      <c r="AJ350" s="3"/>
    </row>
    <row r="351" spans="1:36" x14ac:dyDescent="0.25">
      <c r="A351">
        <v>350</v>
      </c>
      <c r="B351" s="1">
        <v>43958</v>
      </c>
      <c r="C351">
        <v>3654530055</v>
      </c>
      <c r="D351" s="2" t="s">
        <v>24</v>
      </c>
      <c r="E351" s="2" t="s">
        <v>25</v>
      </c>
      <c r="F351" s="2" t="s">
        <v>26</v>
      </c>
      <c r="G351" s="2" t="s">
        <v>27</v>
      </c>
      <c r="H351" s="2" t="s">
        <v>28</v>
      </c>
      <c r="I351" s="2" t="s">
        <v>29</v>
      </c>
      <c r="J351" s="2" t="s">
        <v>100</v>
      </c>
      <c r="K351" s="2" t="s">
        <v>72</v>
      </c>
      <c r="L351" s="3">
        <v>1134</v>
      </c>
      <c r="M351">
        <v>38</v>
      </c>
      <c r="N351" s="3">
        <v>43092</v>
      </c>
      <c r="O351" t="str">
        <f t="shared" si="5"/>
        <v>No</v>
      </c>
      <c r="U351" s="1"/>
      <c r="W351" s="2"/>
      <c r="X351" s="2"/>
      <c r="Y351" s="2"/>
      <c r="Z351" s="2"/>
      <c r="AD351" s="2"/>
      <c r="AE351" s="2"/>
      <c r="AF351" s="2"/>
      <c r="AG351" s="2"/>
      <c r="AH351" s="3"/>
      <c r="AJ351" s="3"/>
    </row>
    <row r="352" spans="1:36" x14ac:dyDescent="0.25">
      <c r="A352">
        <v>351</v>
      </c>
      <c r="B352" s="1">
        <v>43884</v>
      </c>
      <c r="C352">
        <v>2061527783</v>
      </c>
      <c r="D352" s="2" t="s">
        <v>24</v>
      </c>
      <c r="E352" s="2" t="s">
        <v>25</v>
      </c>
      <c r="F352" s="2" t="s">
        <v>26</v>
      </c>
      <c r="G352" s="2" t="s">
        <v>27</v>
      </c>
      <c r="H352" s="2" t="s">
        <v>28</v>
      </c>
      <c r="I352" s="2" t="s">
        <v>29</v>
      </c>
      <c r="J352" s="2" t="s">
        <v>101</v>
      </c>
      <c r="K352" s="2" t="s">
        <v>102</v>
      </c>
      <c r="L352" s="3">
        <v>98</v>
      </c>
      <c r="M352">
        <v>42</v>
      </c>
      <c r="N352" s="3">
        <v>4116</v>
      </c>
      <c r="O352" t="str">
        <f t="shared" si="5"/>
        <v>Si</v>
      </c>
      <c r="U352" s="1"/>
      <c r="W352" s="2"/>
      <c r="X352" s="2"/>
      <c r="Y352" s="2"/>
      <c r="Z352" s="2"/>
      <c r="AD352" s="2"/>
      <c r="AE352" s="2"/>
      <c r="AF352" s="2"/>
      <c r="AG352" s="2"/>
      <c r="AH352" s="3"/>
      <c r="AJ352" s="3"/>
    </row>
    <row r="353" spans="1:36" x14ac:dyDescent="0.25">
      <c r="A353">
        <v>352</v>
      </c>
      <c r="B353" s="1">
        <v>43958</v>
      </c>
      <c r="C353">
        <v>7896754000</v>
      </c>
      <c r="D353" s="2" t="s">
        <v>35</v>
      </c>
      <c r="E353" s="2" t="s">
        <v>36</v>
      </c>
      <c r="F353" s="2" t="s">
        <v>37</v>
      </c>
      <c r="G353" s="2" t="s">
        <v>38</v>
      </c>
      <c r="H353" s="2" t="s">
        <v>39</v>
      </c>
      <c r="I353" s="2" t="s">
        <v>29</v>
      </c>
      <c r="J353" s="2" t="s">
        <v>87</v>
      </c>
      <c r="K353" s="2" t="s">
        <v>88</v>
      </c>
      <c r="L353" s="3">
        <v>487.2</v>
      </c>
      <c r="M353">
        <v>100</v>
      </c>
      <c r="N353" s="3">
        <v>48720</v>
      </c>
      <c r="O353" t="str">
        <f t="shared" si="5"/>
        <v>No</v>
      </c>
      <c r="U353" s="1"/>
      <c r="W353" s="2"/>
      <c r="X353" s="2"/>
      <c r="Y353" s="2"/>
      <c r="Z353" s="2"/>
      <c r="AD353" s="2"/>
      <c r="AE353" s="2"/>
      <c r="AF353" s="2"/>
      <c r="AG353" s="2"/>
      <c r="AH353" s="3"/>
      <c r="AJ353" s="3"/>
    </row>
    <row r="354" spans="1:36" x14ac:dyDescent="0.25">
      <c r="A354">
        <v>353</v>
      </c>
      <c r="B354" s="1">
        <v>44185</v>
      </c>
      <c r="C354">
        <v>7608023281</v>
      </c>
      <c r="D354" s="2" t="s">
        <v>48</v>
      </c>
      <c r="E354" s="2" t="s">
        <v>49</v>
      </c>
      <c r="F354" s="2" t="s">
        <v>50</v>
      </c>
      <c r="G354" s="2" t="s">
        <v>17</v>
      </c>
      <c r="H354" s="2" t="s">
        <v>18</v>
      </c>
      <c r="I354" s="2" t="s">
        <v>51</v>
      </c>
      <c r="J354" s="2" t="s">
        <v>89</v>
      </c>
      <c r="K354" s="2" t="s">
        <v>74</v>
      </c>
      <c r="L354" s="3">
        <v>140</v>
      </c>
      <c r="M354">
        <v>89</v>
      </c>
      <c r="N354" s="3">
        <v>12460</v>
      </c>
      <c r="O354" t="str">
        <f t="shared" si="5"/>
        <v>Si</v>
      </c>
      <c r="U354" s="1"/>
      <c r="W354" s="2"/>
      <c r="X354" s="2"/>
      <c r="Y354" s="2"/>
      <c r="Z354" s="2"/>
      <c r="AD354" s="2"/>
      <c r="AE354" s="2"/>
      <c r="AF354" s="2"/>
      <c r="AG354" s="2"/>
      <c r="AH354" s="3"/>
      <c r="AJ354" s="3"/>
    </row>
    <row r="355" spans="1:36" x14ac:dyDescent="0.25">
      <c r="A355">
        <v>354</v>
      </c>
      <c r="B355" s="1">
        <v>44158</v>
      </c>
      <c r="C355">
        <v>1088259448</v>
      </c>
      <c r="D355" s="2" t="s">
        <v>48</v>
      </c>
      <c r="E355" s="2" t="s">
        <v>49</v>
      </c>
      <c r="F355" s="2" t="s">
        <v>50</v>
      </c>
      <c r="G355" s="2" t="s">
        <v>17</v>
      </c>
      <c r="H355" s="2" t="s">
        <v>18</v>
      </c>
      <c r="I355" s="2" t="s">
        <v>51</v>
      </c>
      <c r="J355" s="2" t="s">
        <v>58</v>
      </c>
      <c r="K355" s="2" t="s">
        <v>59</v>
      </c>
      <c r="L355" s="3">
        <v>560</v>
      </c>
      <c r="M355">
        <v>12</v>
      </c>
      <c r="N355" s="3">
        <v>6720</v>
      </c>
      <c r="O355" t="str">
        <f t="shared" si="5"/>
        <v>No</v>
      </c>
      <c r="U355" s="1"/>
      <c r="W355" s="2"/>
      <c r="X355" s="2"/>
      <c r="Y355" s="2"/>
      <c r="Z355" s="2"/>
      <c r="AD355" s="2"/>
      <c r="AE355" s="2"/>
      <c r="AF355" s="2"/>
      <c r="AG355" s="2"/>
      <c r="AH355" s="3"/>
      <c r="AJ355" s="3"/>
    </row>
    <row r="356" spans="1:36" x14ac:dyDescent="0.25">
      <c r="A356">
        <v>355</v>
      </c>
      <c r="B356" s="1">
        <v>43872</v>
      </c>
      <c r="C356">
        <v>8019968936</v>
      </c>
      <c r="D356" s="2" t="s">
        <v>64</v>
      </c>
      <c r="E356" s="2" t="s">
        <v>65</v>
      </c>
      <c r="F356" s="2" t="s">
        <v>65</v>
      </c>
      <c r="G356" s="2" t="s">
        <v>66</v>
      </c>
      <c r="H356" s="2" t="s">
        <v>18</v>
      </c>
      <c r="I356" s="2" t="s">
        <v>29</v>
      </c>
      <c r="J356" s="2" t="s">
        <v>91</v>
      </c>
      <c r="K356" s="2" t="s">
        <v>23</v>
      </c>
      <c r="L356" s="3">
        <v>140</v>
      </c>
      <c r="M356">
        <v>97</v>
      </c>
      <c r="N356" s="3">
        <v>13580</v>
      </c>
      <c r="O356" t="str">
        <f t="shared" si="5"/>
        <v>Si</v>
      </c>
      <c r="U356" s="1"/>
      <c r="W356" s="2"/>
      <c r="X356" s="2"/>
      <c r="Y356" s="2"/>
      <c r="Z356" s="2"/>
      <c r="AD356" s="2"/>
      <c r="AE356" s="2"/>
      <c r="AF356" s="2"/>
      <c r="AG356" s="2"/>
      <c r="AH356" s="3"/>
      <c r="AJ356" s="3"/>
    </row>
    <row r="357" spans="1:36" x14ac:dyDescent="0.25">
      <c r="A357">
        <v>356</v>
      </c>
      <c r="B357" s="1">
        <v>43849</v>
      </c>
      <c r="C357">
        <v>767630917</v>
      </c>
      <c r="D357" s="2" t="s">
        <v>64</v>
      </c>
      <c r="E357" s="2" t="s">
        <v>65</v>
      </c>
      <c r="F357" s="2" t="s">
        <v>65</v>
      </c>
      <c r="G357" s="2" t="s">
        <v>66</v>
      </c>
      <c r="H357" s="2" t="s">
        <v>28</v>
      </c>
      <c r="I357" s="2" t="s">
        <v>70</v>
      </c>
      <c r="J357" s="2" t="s">
        <v>22</v>
      </c>
      <c r="K357" s="2" t="s">
        <v>23</v>
      </c>
      <c r="L357" s="3">
        <v>49</v>
      </c>
      <c r="M357">
        <v>53</v>
      </c>
      <c r="N357" s="3">
        <v>2597</v>
      </c>
      <c r="O357" t="str">
        <f t="shared" si="5"/>
        <v>No</v>
      </c>
      <c r="U357" s="1"/>
      <c r="W357" s="2"/>
      <c r="X357" s="2"/>
      <c r="Y357" s="2"/>
      <c r="Z357" s="2"/>
      <c r="AD357" s="2"/>
      <c r="AE357" s="2"/>
      <c r="AF357" s="2"/>
      <c r="AG357" s="2"/>
      <c r="AH357" s="3"/>
      <c r="AJ357" s="3"/>
    </row>
    <row r="358" spans="1:36" x14ac:dyDescent="0.25">
      <c r="A358">
        <v>357</v>
      </c>
      <c r="B358" s="1">
        <v>44148</v>
      </c>
      <c r="C358">
        <v>8764802979</v>
      </c>
      <c r="D358" s="2" t="s">
        <v>75</v>
      </c>
      <c r="E358" s="2" t="s">
        <v>76</v>
      </c>
      <c r="F358" s="2" t="s">
        <v>77</v>
      </c>
      <c r="G358" s="2" t="s">
        <v>63</v>
      </c>
      <c r="H358" s="2" t="s">
        <v>39</v>
      </c>
      <c r="I358" s="2" t="s">
        <v>70</v>
      </c>
      <c r="J358" s="2" t="s">
        <v>58</v>
      </c>
      <c r="K358" s="2" t="s">
        <v>59</v>
      </c>
      <c r="L358" s="3">
        <v>560</v>
      </c>
      <c r="M358">
        <v>61</v>
      </c>
      <c r="N358" s="3">
        <v>34160</v>
      </c>
      <c r="O358" t="str">
        <f t="shared" si="5"/>
        <v>Si</v>
      </c>
      <c r="U358" s="1"/>
      <c r="W358" s="2"/>
      <c r="X358" s="2"/>
      <c r="Y358" s="2"/>
      <c r="Z358" s="2"/>
      <c r="AD358" s="2"/>
      <c r="AE358" s="2"/>
      <c r="AF358" s="2"/>
      <c r="AG358" s="2"/>
      <c r="AH358" s="3"/>
      <c r="AJ358" s="3"/>
    </row>
    <row r="359" spans="1:36" x14ac:dyDescent="0.25">
      <c r="A359">
        <v>358</v>
      </c>
      <c r="B359" s="1">
        <v>44136</v>
      </c>
      <c r="C359">
        <v>1212476279</v>
      </c>
      <c r="D359" s="2" t="s">
        <v>78</v>
      </c>
      <c r="E359" s="2" t="s">
        <v>79</v>
      </c>
      <c r="F359" s="2" t="s">
        <v>80</v>
      </c>
      <c r="G359" s="2" t="s">
        <v>38</v>
      </c>
      <c r="H359" s="2" t="s">
        <v>39</v>
      </c>
      <c r="I359" s="2" t="s">
        <v>70</v>
      </c>
      <c r="J359" s="2" t="s">
        <v>81</v>
      </c>
      <c r="K359" s="2" t="s">
        <v>82</v>
      </c>
      <c r="L359" s="3">
        <v>257.60000000000002</v>
      </c>
      <c r="M359">
        <v>45</v>
      </c>
      <c r="N359" s="3">
        <v>11592</v>
      </c>
      <c r="O359" t="str">
        <f t="shared" si="5"/>
        <v>No</v>
      </c>
      <c r="U359" s="1"/>
      <c r="W359" s="2"/>
      <c r="X359" s="2"/>
      <c r="Y359" s="2"/>
      <c r="Z359" s="2"/>
      <c r="AD359" s="2"/>
      <c r="AE359" s="2"/>
      <c r="AF359" s="2"/>
      <c r="AG359" s="2"/>
      <c r="AH359" s="3"/>
      <c r="AJ359" s="3"/>
    </row>
    <row r="360" spans="1:36" x14ac:dyDescent="0.25">
      <c r="A360">
        <v>359</v>
      </c>
      <c r="B360" s="1">
        <v>43990</v>
      </c>
      <c r="C360">
        <v>8659179079</v>
      </c>
      <c r="D360" s="2" t="s">
        <v>60</v>
      </c>
      <c r="E360" s="2" t="s">
        <v>61</v>
      </c>
      <c r="F360" s="2" t="s">
        <v>62</v>
      </c>
      <c r="G360" s="2" t="s">
        <v>63</v>
      </c>
      <c r="H360" s="2" t="s">
        <v>39</v>
      </c>
      <c r="I360" s="2" t="s">
        <v>29</v>
      </c>
      <c r="J360" s="2" t="s">
        <v>34</v>
      </c>
      <c r="K360" s="2" t="s">
        <v>21</v>
      </c>
      <c r="L360" s="3">
        <v>644</v>
      </c>
      <c r="M360">
        <v>43</v>
      </c>
      <c r="N360" s="3">
        <v>27692</v>
      </c>
      <c r="O360" t="str">
        <f t="shared" si="5"/>
        <v>Si</v>
      </c>
      <c r="U360" s="1"/>
      <c r="W360" s="2"/>
      <c r="X360" s="2"/>
      <c r="Y360" s="2"/>
      <c r="Z360" s="2"/>
      <c r="AD360" s="2"/>
      <c r="AE360" s="2"/>
      <c r="AF360" s="2"/>
      <c r="AG360" s="2"/>
      <c r="AH360" s="3"/>
      <c r="AJ360" s="3"/>
    </row>
    <row r="361" spans="1:36" x14ac:dyDescent="0.25">
      <c r="A361">
        <v>360</v>
      </c>
      <c r="B361" s="1">
        <v>43938</v>
      </c>
      <c r="C361">
        <v>4311827425</v>
      </c>
      <c r="D361" s="2" t="s">
        <v>83</v>
      </c>
      <c r="E361" s="2" t="s">
        <v>43</v>
      </c>
      <c r="F361" s="2" t="s">
        <v>44</v>
      </c>
      <c r="G361" s="2" t="s">
        <v>84</v>
      </c>
      <c r="H361" s="2" t="s">
        <v>28</v>
      </c>
      <c r="I361" s="2" t="s">
        <v>19</v>
      </c>
      <c r="J361" s="2" t="s">
        <v>52</v>
      </c>
      <c r="K361" s="2" t="s">
        <v>53</v>
      </c>
      <c r="L361" s="3">
        <v>135.1</v>
      </c>
      <c r="M361">
        <v>18</v>
      </c>
      <c r="N361" s="3">
        <v>2431.8000000000002</v>
      </c>
      <c r="O361" t="str">
        <f t="shared" si="5"/>
        <v>No</v>
      </c>
      <c r="U361" s="1"/>
      <c r="W361" s="2"/>
      <c r="X361" s="2"/>
      <c r="Y361" s="2"/>
      <c r="Z361" s="2"/>
      <c r="AD361" s="2"/>
      <c r="AE361" s="2"/>
      <c r="AF361" s="2"/>
      <c r="AG361" s="2"/>
      <c r="AH361" s="3"/>
      <c r="AJ361" s="3"/>
    </row>
    <row r="362" spans="1:36" x14ac:dyDescent="0.25">
      <c r="A362">
        <v>361</v>
      </c>
      <c r="B362" s="1">
        <v>44010</v>
      </c>
      <c r="C362">
        <v>7400116244</v>
      </c>
      <c r="D362" s="2" t="s">
        <v>54</v>
      </c>
      <c r="E362" s="2" t="s">
        <v>55</v>
      </c>
      <c r="F362" s="2" t="s">
        <v>56</v>
      </c>
      <c r="G362" s="2" t="s">
        <v>57</v>
      </c>
      <c r="H362" s="2" t="s">
        <v>18</v>
      </c>
      <c r="I362" s="2" t="s">
        <v>29</v>
      </c>
      <c r="J362" s="2" t="s">
        <v>46</v>
      </c>
      <c r="K362" s="2" t="s">
        <v>47</v>
      </c>
      <c r="L362" s="3">
        <v>178.5</v>
      </c>
      <c r="M362">
        <v>41</v>
      </c>
      <c r="N362" s="3">
        <v>7318.5</v>
      </c>
      <c r="O362" t="str">
        <f t="shared" si="5"/>
        <v>Si</v>
      </c>
      <c r="U362" s="1"/>
      <c r="W362" s="2"/>
      <c r="X362" s="2"/>
      <c r="Y362" s="2"/>
      <c r="Z362" s="2"/>
      <c r="AD362" s="2"/>
      <c r="AE362" s="2"/>
      <c r="AF362" s="2"/>
      <c r="AG362" s="2"/>
      <c r="AH362" s="3"/>
      <c r="AJ362" s="3"/>
    </row>
    <row r="363" spans="1:36" x14ac:dyDescent="0.25">
      <c r="A363">
        <v>362</v>
      </c>
      <c r="B363" s="1">
        <v>43946</v>
      </c>
      <c r="C363">
        <v>8550780121</v>
      </c>
      <c r="D363" s="2" t="s">
        <v>35</v>
      </c>
      <c r="E363" s="2" t="s">
        <v>36</v>
      </c>
      <c r="F363" s="2" t="s">
        <v>37</v>
      </c>
      <c r="G363" s="2" t="s">
        <v>38</v>
      </c>
      <c r="H363" s="2" t="s">
        <v>18</v>
      </c>
      <c r="I363" s="2" t="s">
        <v>19</v>
      </c>
      <c r="J363" s="2" t="s">
        <v>46</v>
      </c>
      <c r="K363" s="2" t="s">
        <v>47</v>
      </c>
      <c r="L363" s="3">
        <v>178.5</v>
      </c>
      <c r="M363">
        <v>19</v>
      </c>
      <c r="N363" s="3">
        <v>3391.5</v>
      </c>
      <c r="O363" t="str">
        <f t="shared" si="5"/>
        <v>No</v>
      </c>
      <c r="U363" s="1"/>
      <c r="W363" s="2"/>
      <c r="X363" s="2"/>
      <c r="Y363" s="2"/>
      <c r="Z363" s="2"/>
      <c r="AD363" s="2"/>
      <c r="AE363" s="2"/>
      <c r="AF363" s="2"/>
      <c r="AG363" s="2"/>
      <c r="AH363" s="3"/>
      <c r="AJ363" s="3"/>
    </row>
    <row r="364" spans="1:36" x14ac:dyDescent="0.25">
      <c r="A364">
        <v>363</v>
      </c>
      <c r="B364" s="1">
        <v>44042</v>
      </c>
      <c r="C364">
        <v>9461451917</v>
      </c>
      <c r="D364" s="2" t="s">
        <v>92</v>
      </c>
      <c r="E364" s="2" t="s">
        <v>65</v>
      </c>
      <c r="F364" s="2" t="s">
        <v>65</v>
      </c>
      <c r="G364" s="2" t="s">
        <v>66</v>
      </c>
      <c r="H364" s="2" t="s">
        <v>28</v>
      </c>
      <c r="I364" s="2" t="s">
        <v>51</v>
      </c>
      <c r="J364" s="2" t="s">
        <v>73</v>
      </c>
      <c r="K364" s="2" t="s">
        <v>74</v>
      </c>
      <c r="L364" s="3">
        <v>308</v>
      </c>
      <c r="M364">
        <v>65</v>
      </c>
      <c r="N364" s="3">
        <v>20020</v>
      </c>
      <c r="O364" t="str">
        <f t="shared" si="5"/>
        <v>Si</v>
      </c>
      <c r="U364" s="1"/>
      <c r="W364" s="2"/>
      <c r="X364" s="2"/>
      <c r="Y364" s="2"/>
      <c r="Z364" s="2"/>
      <c r="AD364" s="2"/>
      <c r="AE364" s="2"/>
      <c r="AF364" s="2"/>
      <c r="AG364" s="2"/>
      <c r="AH364" s="3"/>
      <c r="AJ364" s="3"/>
    </row>
    <row r="365" spans="1:36" x14ac:dyDescent="0.25">
      <c r="A365">
        <v>364</v>
      </c>
      <c r="B365" s="1">
        <v>44026</v>
      </c>
      <c r="C365">
        <v>3160888933</v>
      </c>
      <c r="D365" s="2" t="s">
        <v>93</v>
      </c>
      <c r="E365" s="2" t="s">
        <v>76</v>
      </c>
      <c r="F365" s="2" t="s">
        <v>77</v>
      </c>
      <c r="G365" s="2" t="s">
        <v>63</v>
      </c>
      <c r="H365" s="2" t="s">
        <v>39</v>
      </c>
      <c r="I365" s="2" t="s">
        <v>29</v>
      </c>
      <c r="J365" s="2" t="s">
        <v>71</v>
      </c>
      <c r="K365" s="2" t="s">
        <v>72</v>
      </c>
      <c r="L365" s="3">
        <v>350</v>
      </c>
      <c r="M365">
        <v>13</v>
      </c>
      <c r="N365" s="3">
        <v>4550</v>
      </c>
      <c r="O365" t="str">
        <f t="shared" si="5"/>
        <v>No</v>
      </c>
      <c r="U365" s="1"/>
      <c r="W365" s="2"/>
      <c r="X365" s="2"/>
      <c r="Y365" s="2"/>
      <c r="Z365" s="2"/>
      <c r="AD365" s="2"/>
      <c r="AE365" s="2"/>
      <c r="AF365" s="2"/>
      <c r="AG365" s="2"/>
      <c r="AH365" s="3"/>
      <c r="AJ365" s="3"/>
    </row>
    <row r="366" spans="1:36" x14ac:dyDescent="0.25">
      <c r="A366">
        <v>365</v>
      </c>
      <c r="B366" s="1">
        <v>44046</v>
      </c>
      <c r="C366">
        <v>6433254443</v>
      </c>
      <c r="D366" s="2" t="s">
        <v>42</v>
      </c>
      <c r="E366" s="2" t="s">
        <v>43</v>
      </c>
      <c r="F366" s="2" t="s">
        <v>44</v>
      </c>
      <c r="G366" s="2" t="s">
        <v>45</v>
      </c>
      <c r="H366" s="2" t="s">
        <v>18</v>
      </c>
      <c r="I366" s="2" t="s">
        <v>19</v>
      </c>
      <c r="J366" s="2" t="s">
        <v>94</v>
      </c>
      <c r="K366" s="2" t="s">
        <v>95</v>
      </c>
      <c r="L366" s="3">
        <v>546</v>
      </c>
      <c r="M366">
        <v>54</v>
      </c>
      <c r="N366" s="3">
        <v>29484</v>
      </c>
      <c r="O366" t="str">
        <f t="shared" si="5"/>
        <v>Si</v>
      </c>
      <c r="U366" s="1"/>
      <c r="W366" s="2"/>
      <c r="X366" s="2"/>
      <c r="Y366" s="2"/>
      <c r="Z366" s="2"/>
      <c r="AD366" s="2"/>
      <c r="AE366" s="2"/>
      <c r="AF366" s="2"/>
      <c r="AG366" s="2"/>
      <c r="AH366" s="3"/>
      <c r="AJ366" s="3"/>
    </row>
    <row r="367" spans="1:36" x14ac:dyDescent="0.25">
      <c r="A367">
        <v>366</v>
      </c>
      <c r="B367" s="1">
        <v>43986</v>
      </c>
      <c r="C367">
        <v>8977261174</v>
      </c>
      <c r="D367" s="2" t="s">
        <v>54</v>
      </c>
      <c r="E367" s="2" t="s">
        <v>55</v>
      </c>
      <c r="F367" s="2" t="s">
        <v>56</v>
      </c>
      <c r="G367" s="2" t="s">
        <v>57</v>
      </c>
      <c r="H367" s="2" t="s">
        <v>39</v>
      </c>
      <c r="I367" s="2" t="s">
        <v>19</v>
      </c>
      <c r="J367" s="2" t="s">
        <v>30</v>
      </c>
      <c r="K367" s="2" t="s">
        <v>23</v>
      </c>
      <c r="L367" s="3">
        <v>420</v>
      </c>
      <c r="M367">
        <v>33</v>
      </c>
      <c r="N367" s="3">
        <v>13860</v>
      </c>
      <c r="O367" t="str">
        <f t="shared" si="5"/>
        <v>No</v>
      </c>
      <c r="U367" s="1"/>
      <c r="W367" s="2"/>
      <c r="X367" s="2"/>
      <c r="Y367" s="2"/>
      <c r="Z367" s="2"/>
      <c r="AD367" s="2"/>
      <c r="AE367" s="2"/>
      <c r="AF367" s="2"/>
      <c r="AG367" s="2"/>
      <c r="AH367" s="3"/>
      <c r="AJ367" s="3"/>
    </row>
    <row r="368" spans="1:36" x14ac:dyDescent="0.25">
      <c r="A368">
        <v>367</v>
      </c>
      <c r="B368" s="1">
        <v>43939</v>
      </c>
      <c r="C368">
        <v>7770716054</v>
      </c>
      <c r="D368" s="2" t="s">
        <v>54</v>
      </c>
      <c r="E368" s="2" t="s">
        <v>55</v>
      </c>
      <c r="F368" s="2" t="s">
        <v>56</v>
      </c>
      <c r="G368" s="2" t="s">
        <v>57</v>
      </c>
      <c r="H368" s="2" t="s">
        <v>39</v>
      </c>
      <c r="I368" s="2" t="s">
        <v>19</v>
      </c>
      <c r="J368" s="2" t="s">
        <v>31</v>
      </c>
      <c r="K368" s="2" t="s">
        <v>23</v>
      </c>
      <c r="L368" s="3">
        <v>742</v>
      </c>
      <c r="M368">
        <v>34</v>
      </c>
      <c r="N368" s="3">
        <v>25228</v>
      </c>
      <c r="O368" t="str">
        <f t="shared" si="5"/>
        <v>Si</v>
      </c>
      <c r="U368" s="1"/>
      <c r="W368" s="2"/>
      <c r="X368" s="2"/>
      <c r="Y368" s="2"/>
      <c r="Z368" s="2"/>
      <c r="AD368" s="2"/>
      <c r="AE368" s="2"/>
      <c r="AF368" s="2"/>
      <c r="AG368" s="2"/>
      <c r="AH368" s="3"/>
      <c r="AJ368" s="3"/>
    </row>
    <row r="369" spans="1:36" x14ac:dyDescent="0.25">
      <c r="A369">
        <v>368</v>
      </c>
      <c r="B369" s="1">
        <v>44179</v>
      </c>
      <c r="C369">
        <v>2754807386</v>
      </c>
      <c r="D369" s="2" t="s">
        <v>24</v>
      </c>
      <c r="E369" s="2" t="s">
        <v>25</v>
      </c>
      <c r="F369" s="2" t="s">
        <v>26</v>
      </c>
      <c r="G369" s="2" t="s">
        <v>27</v>
      </c>
      <c r="H369" s="2" t="s">
        <v>70</v>
      </c>
      <c r="I369" s="2" t="s">
        <v>70</v>
      </c>
      <c r="J369" s="2" t="s">
        <v>96</v>
      </c>
      <c r="K369" s="2" t="s">
        <v>86</v>
      </c>
      <c r="L369" s="3">
        <v>532</v>
      </c>
      <c r="M369">
        <v>59</v>
      </c>
      <c r="N369" s="3">
        <v>31388</v>
      </c>
      <c r="O369" t="str">
        <f t="shared" si="5"/>
        <v>No</v>
      </c>
      <c r="U369" s="1"/>
      <c r="W369" s="2"/>
      <c r="X369" s="2"/>
      <c r="Y369" s="2"/>
      <c r="Z369" s="2"/>
      <c r="AD369" s="2"/>
      <c r="AE369" s="2"/>
      <c r="AF369" s="2"/>
      <c r="AG369" s="2"/>
      <c r="AH369" s="3"/>
      <c r="AJ369" s="3"/>
    </row>
    <row r="370" spans="1:36" x14ac:dyDescent="0.25">
      <c r="A370">
        <v>369</v>
      </c>
      <c r="B370" s="1">
        <v>43987</v>
      </c>
      <c r="C370">
        <v>3873424489</v>
      </c>
      <c r="D370" s="2" t="s">
        <v>48</v>
      </c>
      <c r="E370" s="2" t="s">
        <v>49</v>
      </c>
      <c r="F370" s="2" t="s">
        <v>50</v>
      </c>
      <c r="G370" s="2" t="s">
        <v>17</v>
      </c>
      <c r="H370" s="2" t="s">
        <v>70</v>
      </c>
      <c r="I370" s="2" t="s">
        <v>70</v>
      </c>
      <c r="J370" s="2" t="s">
        <v>67</v>
      </c>
      <c r="K370" s="2" t="s">
        <v>21</v>
      </c>
      <c r="L370" s="3">
        <v>41.86</v>
      </c>
      <c r="M370">
        <v>24</v>
      </c>
      <c r="N370" s="3">
        <v>1004.64</v>
      </c>
      <c r="O370" t="str">
        <f t="shared" si="5"/>
        <v>Si</v>
      </c>
      <c r="U370" s="1"/>
      <c r="W370" s="2"/>
      <c r="X370" s="2"/>
      <c r="Y370" s="2"/>
      <c r="Z370" s="2"/>
      <c r="AD370" s="2"/>
      <c r="AE370" s="2"/>
      <c r="AF370" s="2"/>
      <c r="AG370" s="2"/>
      <c r="AH370" s="3"/>
      <c r="AJ370" s="3"/>
    </row>
    <row r="371" spans="1:36" x14ac:dyDescent="0.25">
      <c r="U371" s="1"/>
      <c r="W371" s="2"/>
      <c r="X371" s="2"/>
      <c r="Y371" s="2"/>
      <c r="Z371" s="2"/>
      <c r="AD371" s="2"/>
      <c r="AE371" s="2"/>
      <c r="AF371" s="2"/>
      <c r="AG371" s="2"/>
      <c r="AH371" s="3"/>
      <c r="AJ371" s="3"/>
    </row>
    <row r="372" spans="1:36" x14ac:dyDescent="0.25">
      <c r="U372" s="1"/>
      <c r="W372" s="2"/>
      <c r="X372" s="2"/>
      <c r="Y372" s="2"/>
      <c r="Z372" s="2"/>
      <c r="AD372" s="2"/>
      <c r="AE372" s="2"/>
      <c r="AF372" s="2"/>
      <c r="AG372" s="2"/>
      <c r="AH372" s="3"/>
      <c r="AJ372" s="3"/>
    </row>
    <row r="373" spans="1:36" x14ac:dyDescent="0.25">
      <c r="U373" s="1"/>
      <c r="W373" s="2"/>
      <c r="X373" s="2"/>
      <c r="Y373" s="2"/>
      <c r="Z373" s="2"/>
      <c r="AD373" s="2"/>
      <c r="AE373" s="2"/>
      <c r="AF373" s="2"/>
      <c r="AG373" s="2"/>
      <c r="AH373" s="3"/>
      <c r="AJ373" s="3"/>
    </row>
    <row r="374" spans="1:36" x14ac:dyDescent="0.25">
      <c r="AJ374" s="3"/>
    </row>
    <row r="375" spans="1:36" x14ac:dyDescent="0.25">
      <c r="T375" s="2"/>
      <c r="U375" s="1"/>
      <c r="V375" s="2"/>
      <c r="W375" s="4"/>
      <c r="X375" s="4"/>
      <c r="Y375" s="4"/>
      <c r="Z375" s="4"/>
      <c r="AA375" s="4"/>
      <c r="AB375" s="4"/>
      <c r="AC375" s="4"/>
      <c r="AD375" s="4"/>
      <c r="AE375" s="3"/>
      <c r="AG375" s="3"/>
      <c r="AJ375" s="3"/>
    </row>
    <row r="376" spans="1:36" x14ac:dyDescent="0.25">
      <c r="U376" s="1"/>
      <c r="W376" s="2"/>
      <c r="X376" s="2"/>
      <c r="Y376" s="2"/>
      <c r="Z376" s="2"/>
      <c r="AA376" s="2"/>
      <c r="AB376" s="2"/>
      <c r="AC376" s="2"/>
      <c r="AD376" s="2"/>
      <c r="AE376" s="3"/>
      <c r="AG376" s="3"/>
    </row>
    <row r="377" spans="1:36" x14ac:dyDescent="0.25">
      <c r="U377" s="1"/>
      <c r="W377" s="2"/>
      <c r="X377" s="2"/>
      <c r="Y377" s="2"/>
      <c r="Z377" s="2"/>
      <c r="AA377" s="2"/>
      <c r="AB377" s="2"/>
      <c r="AC377" s="2"/>
      <c r="AD377" s="2"/>
      <c r="AE377" s="3"/>
      <c r="AG377" s="3"/>
    </row>
    <row r="378" spans="1:36" x14ac:dyDescent="0.25">
      <c r="U378" s="1"/>
      <c r="W378" s="2"/>
      <c r="X378" s="2"/>
      <c r="Y378" s="2"/>
      <c r="Z378" s="2"/>
      <c r="AA378" s="2"/>
      <c r="AB378" s="2"/>
      <c r="AC378" s="2"/>
      <c r="AD378" s="2"/>
      <c r="AE378" s="3"/>
      <c r="AG378" s="3"/>
    </row>
    <row r="379" spans="1:36" x14ac:dyDescent="0.25">
      <c r="U379" s="1"/>
      <c r="W379" s="2"/>
      <c r="X379" s="2"/>
      <c r="Y379" s="2"/>
      <c r="Z379" s="2"/>
      <c r="AA379" s="2"/>
      <c r="AB379" s="2"/>
      <c r="AC379" s="2"/>
      <c r="AD379" s="2"/>
      <c r="AE379" s="3"/>
      <c r="AG379" s="3"/>
    </row>
    <row r="380" spans="1:36" x14ac:dyDescent="0.25">
      <c r="U380" s="1"/>
      <c r="W380" s="2"/>
      <c r="X380" s="2"/>
      <c r="Y380" s="2"/>
      <c r="Z380" s="2"/>
      <c r="AA380" s="2"/>
      <c r="AB380" s="2"/>
      <c r="AC380" s="2"/>
      <c r="AD380" s="2"/>
      <c r="AE380" s="3"/>
      <c r="AG380" s="3"/>
    </row>
    <row r="381" spans="1:36" x14ac:dyDescent="0.25">
      <c r="U381" s="1"/>
      <c r="W381" s="2"/>
      <c r="X381" s="2"/>
      <c r="Y381" s="2"/>
      <c r="Z381" s="2"/>
      <c r="AA381" s="2"/>
      <c r="AB381" s="2"/>
      <c r="AC381" s="2"/>
      <c r="AD381" s="2"/>
      <c r="AE381" s="3"/>
      <c r="AG381" s="3"/>
    </row>
    <row r="382" spans="1:36" x14ac:dyDescent="0.25">
      <c r="U382" s="1"/>
      <c r="W382" s="2"/>
      <c r="X382" s="2"/>
      <c r="Y382" s="2"/>
      <c r="Z382" s="2"/>
      <c r="AA382" s="2"/>
      <c r="AB382" s="2"/>
      <c r="AC382" s="2"/>
      <c r="AD382" s="2"/>
      <c r="AE382" s="3"/>
      <c r="AG382" s="3"/>
    </row>
    <row r="383" spans="1:36" x14ac:dyDescent="0.25">
      <c r="U383" s="1"/>
      <c r="W383" s="2"/>
      <c r="X383" s="2"/>
      <c r="Y383" s="2"/>
      <c r="Z383" s="2"/>
      <c r="AA383" s="2"/>
      <c r="AB383" s="2"/>
      <c r="AC383" s="2"/>
      <c r="AD383" s="2"/>
      <c r="AE383" s="3"/>
      <c r="AG383" s="3"/>
    </row>
    <row r="384" spans="1:36" x14ac:dyDescent="0.25">
      <c r="U384" s="1"/>
      <c r="W384" s="2"/>
      <c r="X384" s="2"/>
      <c r="Y384" s="2"/>
      <c r="Z384" s="2"/>
      <c r="AA384" s="2"/>
      <c r="AB384" s="2"/>
      <c r="AC384" s="2"/>
      <c r="AD384" s="2"/>
      <c r="AE384" s="3"/>
      <c r="AG384" s="3"/>
    </row>
    <row r="385" spans="21:33" x14ac:dyDescent="0.25">
      <c r="U385" s="1"/>
      <c r="W385" s="2"/>
      <c r="X385" s="2"/>
      <c r="Y385" s="2"/>
      <c r="Z385" s="2"/>
      <c r="AA385" s="2"/>
      <c r="AB385" s="2"/>
      <c r="AC385" s="2"/>
      <c r="AD385" s="2"/>
      <c r="AE385" s="3"/>
      <c r="AG385" s="3"/>
    </row>
    <row r="386" spans="21:33" x14ac:dyDescent="0.25">
      <c r="U386" s="1"/>
      <c r="W386" s="2"/>
      <c r="X386" s="2"/>
      <c r="Y386" s="2"/>
      <c r="Z386" s="2"/>
      <c r="AA386" s="2"/>
      <c r="AB386" s="2"/>
      <c r="AC386" s="2"/>
      <c r="AD386" s="2"/>
      <c r="AE386" s="3"/>
      <c r="AG386" s="3"/>
    </row>
    <row r="387" spans="21:33" x14ac:dyDescent="0.25">
      <c r="U387" s="1"/>
      <c r="W387" s="2"/>
      <c r="X387" s="2"/>
      <c r="Y387" s="2"/>
      <c r="Z387" s="2"/>
      <c r="AA387" s="2"/>
      <c r="AB387" s="2"/>
      <c r="AC387" s="2"/>
      <c r="AD387" s="2"/>
      <c r="AE387" s="3"/>
      <c r="AG387" s="3"/>
    </row>
    <row r="388" spans="21:33" x14ac:dyDescent="0.25">
      <c r="U388" s="1"/>
      <c r="W388" s="2"/>
      <c r="X388" s="2"/>
      <c r="Y388" s="2"/>
      <c r="Z388" s="2"/>
      <c r="AA388" s="2"/>
      <c r="AB388" s="2"/>
      <c r="AC388" s="2"/>
      <c r="AD388" s="2"/>
      <c r="AE388" s="3"/>
      <c r="AG388" s="3"/>
    </row>
    <row r="389" spans="21:33" x14ac:dyDescent="0.25">
      <c r="U389" s="1"/>
      <c r="W389" s="2"/>
      <c r="X389" s="2"/>
      <c r="Y389" s="2"/>
      <c r="Z389" s="2"/>
      <c r="AA389" s="2"/>
      <c r="AB389" s="2"/>
      <c r="AC389" s="2"/>
      <c r="AD389" s="2"/>
      <c r="AE389" s="3"/>
      <c r="AG389" s="3"/>
    </row>
    <row r="390" spans="21:33" x14ac:dyDescent="0.25">
      <c r="U390" s="1"/>
      <c r="W390" s="2"/>
      <c r="X390" s="2"/>
      <c r="Y390" s="2"/>
      <c r="Z390" s="2"/>
      <c r="AA390" s="2"/>
      <c r="AB390" s="2"/>
      <c r="AC390" s="2"/>
      <c r="AD390" s="2"/>
      <c r="AE390" s="3"/>
      <c r="AG390" s="3"/>
    </row>
    <row r="391" spans="21:33" x14ac:dyDescent="0.25">
      <c r="U391" s="1"/>
      <c r="W391" s="2"/>
      <c r="X391" s="2"/>
      <c r="Y391" s="2"/>
      <c r="Z391" s="2"/>
      <c r="AA391" s="2"/>
      <c r="AB391" s="2"/>
      <c r="AC391" s="2"/>
      <c r="AD391" s="2"/>
      <c r="AE391" s="3"/>
      <c r="AG391" s="3"/>
    </row>
    <row r="392" spans="21:33" x14ac:dyDescent="0.25">
      <c r="U392" s="1"/>
      <c r="W392" s="2"/>
      <c r="X392" s="2"/>
      <c r="Y392" s="2"/>
      <c r="Z392" s="2"/>
      <c r="AA392" s="2"/>
      <c r="AB392" s="2"/>
      <c r="AC392" s="2"/>
      <c r="AD392" s="2"/>
      <c r="AE392" s="3"/>
      <c r="AG392" s="3"/>
    </row>
    <row r="393" spans="21:33" x14ac:dyDescent="0.25">
      <c r="U393" s="1"/>
      <c r="W393" s="2"/>
      <c r="X393" s="2"/>
      <c r="Y393" s="2"/>
      <c r="Z393" s="2"/>
      <c r="AA393" s="2"/>
      <c r="AB393" s="2"/>
      <c r="AC393" s="2"/>
      <c r="AD393" s="2"/>
      <c r="AE393" s="3"/>
      <c r="AG393" s="3"/>
    </row>
    <row r="394" spans="21:33" x14ac:dyDescent="0.25">
      <c r="U394" s="1"/>
      <c r="W394" s="2"/>
      <c r="X394" s="2"/>
      <c r="Y394" s="2"/>
      <c r="Z394" s="2"/>
      <c r="AA394" s="2"/>
      <c r="AB394" s="2"/>
      <c r="AC394" s="2"/>
      <c r="AD394" s="2"/>
      <c r="AE394" s="3"/>
      <c r="AG394" s="3"/>
    </row>
    <row r="395" spans="21:33" x14ac:dyDescent="0.25">
      <c r="U395" s="1"/>
      <c r="W395" s="2"/>
      <c r="X395" s="2"/>
      <c r="Y395" s="2"/>
      <c r="Z395" s="2"/>
      <c r="AA395" s="2"/>
      <c r="AB395" s="2"/>
      <c r="AC395" s="2"/>
      <c r="AD395" s="2"/>
      <c r="AE395" s="3"/>
      <c r="AG395" s="3"/>
    </row>
    <row r="396" spans="21:33" x14ac:dyDescent="0.25">
      <c r="U396" s="1"/>
      <c r="W396" s="2"/>
      <c r="X396" s="2"/>
      <c r="Y396" s="2"/>
      <c r="Z396" s="2"/>
      <c r="AA396" s="2"/>
      <c r="AB396" s="2"/>
      <c r="AC396" s="2"/>
      <c r="AD396" s="2"/>
      <c r="AE396" s="3"/>
      <c r="AG396" s="3"/>
    </row>
    <row r="397" spans="21:33" x14ac:dyDescent="0.25">
      <c r="U397" s="1"/>
      <c r="W397" s="2"/>
      <c r="X397" s="2"/>
      <c r="Y397" s="2"/>
      <c r="Z397" s="2"/>
      <c r="AA397" s="2"/>
      <c r="AB397" s="2"/>
      <c r="AC397" s="2"/>
      <c r="AD397" s="2"/>
      <c r="AE397" s="3"/>
      <c r="AG397" s="3"/>
    </row>
    <row r="398" spans="21:33" x14ac:dyDescent="0.25">
      <c r="U398" s="1"/>
      <c r="W398" s="2"/>
      <c r="X398" s="2"/>
      <c r="Y398" s="2"/>
      <c r="Z398" s="2"/>
      <c r="AA398" s="2"/>
      <c r="AB398" s="2"/>
      <c r="AC398" s="2"/>
      <c r="AD398" s="2"/>
      <c r="AE398" s="3"/>
      <c r="AG398" s="3"/>
    </row>
    <row r="399" spans="21:33" x14ac:dyDescent="0.25">
      <c r="U399" s="1"/>
      <c r="W399" s="2"/>
      <c r="X399" s="2"/>
      <c r="Y399" s="2"/>
      <c r="Z399" s="2"/>
      <c r="AA399" s="2"/>
      <c r="AB399" s="2"/>
      <c r="AC399" s="2"/>
      <c r="AD399" s="2"/>
      <c r="AE399" s="3"/>
      <c r="AG399" s="3"/>
    </row>
    <row r="400" spans="21:33" x14ac:dyDescent="0.25">
      <c r="U400" s="1"/>
      <c r="W400" s="2"/>
      <c r="X400" s="2"/>
      <c r="Y400" s="2"/>
      <c r="Z400" s="2"/>
      <c r="AA400" s="2"/>
      <c r="AB400" s="2"/>
      <c r="AC400" s="2"/>
      <c r="AD400" s="2"/>
      <c r="AE400" s="3"/>
      <c r="AG400" s="3"/>
    </row>
    <row r="401" spans="21:33" x14ac:dyDescent="0.25">
      <c r="U401" s="1"/>
      <c r="W401" s="2"/>
      <c r="X401" s="2"/>
      <c r="Y401" s="2"/>
      <c r="Z401" s="2"/>
      <c r="AA401" s="2"/>
      <c r="AB401" s="2"/>
      <c r="AC401" s="2"/>
      <c r="AD401" s="2"/>
      <c r="AE401" s="3"/>
      <c r="AG401" s="3"/>
    </row>
    <row r="402" spans="21:33" x14ac:dyDescent="0.25">
      <c r="U402" s="1"/>
      <c r="W402" s="2"/>
      <c r="X402" s="2"/>
      <c r="Y402" s="2"/>
      <c r="Z402" s="2"/>
      <c r="AA402" s="2"/>
      <c r="AB402" s="2"/>
      <c r="AC402" s="2"/>
      <c r="AD402" s="2"/>
      <c r="AE402" s="3"/>
      <c r="AG402" s="3"/>
    </row>
    <row r="403" spans="21:33" x14ac:dyDescent="0.25">
      <c r="U403" s="1"/>
      <c r="W403" s="2"/>
      <c r="X403" s="2"/>
      <c r="Y403" s="2"/>
      <c r="Z403" s="2"/>
      <c r="AA403" s="2"/>
      <c r="AB403" s="2"/>
      <c r="AC403" s="2"/>
      <c r="AD403" s="2"/>
      <c r="AE403" s="3"/>
      <c r="AG403" s="3"/>
    </row>
    <row r="404" spans="21:33" x14ac:dyDescent="0.25">
      <c r="U404" s="1"/>
      <c r="W404" s="2"/>
      <c r="X404" s="2"/>
      <c r="Y404" s="2"/>
      <c r="Z404" s="2"/>
      <c r="AA404" s="2"/>
      <c r="AB404" s="2"/>
      <c r="AC404" s="2"/>
      <c r="AD404" s="2"/>
      <c r="AE404" s="3"/>
      <c r="AG404" s="3"/>
    </row>
    <row r="405" spans="21:33" x14ac:dyDescent="0.25">
      <c r="U405" s="1"/>
      <c r="W405" s="2"/>
      <c r="X405" s="2"/>
      <c r="Y405" s="2"/>
      <c r="Z405" s="2"/>
      <c r="AA405" s="2"/>
      <c r="AB405" s="2"/>
      <c r="AC405" s="2"/>
      <c r="AD405" s="2"/>
      <c r="AE405" s="3"/>
      <c r="AG405" s="3"/>
    </row>
    <row r="406" spans="21:33" x14ac:dyDescent="0.25">
      <c r="U406" s="1"/>
      <c r="W406" s="2"/>
      <c r="X406" s="2"/>
      <c r="Y406" s="2"/>
      <c r="Z406" s="2"/>
      <c r="AA406" s="2"/>
      <c r="AB406" s="2"/>
      <c r="AC406" s="2"/>
      <c r="AD406" s="2"/>
      <c r="AE406" s="3"/>
      <c r="AG406" s="3"/>
    </row>
    <row r="407" spans="21:33" x14ac:dyDescent="0.25">
      <c r="U407" s="1"/>
      <c r="W407" s="2"/>
      <c r="X407" s="2"/>
      <c r="Y407" s="2"/>
      <c r="Z407" s="2"/>
      <c r="AA407" s="2"/>
      <c r="AB407" s="2"/>
      <c r="AC407" s="2"/>
      <c r="AD407" s="2"/>
      <c r="AE407" s="3"/>
      <c r="AG407" s="3"/>
    </row>
    <row r="408" spans="21:33" x14ac:dyDescent="0.25">
      <c r="U408" s="1"/>
      <c r="W408" s="2"/>
      <c r="X408" s="2"/>
      <c r="Y408" s="2"/>
      <c r="Z408" s="2"/>
      <c r="AA408" s="2"/>
      <c r="AB408" s="2"/>
      <c r="AC408" s="2"/>
      <c r="AD408" s="2"/>
      <c r="AE408" s="3"/>
      <c r="AG408" s="3"/>
    </row>
    <row r="409" spans="21:33" x14ac:dyDescent="0.25">
      <c r="U409" s="1"/>
      <c r="W409" s="2"/>
      <c r="X409" s="2"/>
      <c r="Y409" s="2"/>
      <c r="Z409" s="2"/>
      <c r="AA409" s="2"/>
      <c r="AB409" s="2"/>
      <c r="AC409" s="2"/>
      <c r="AD409" s="2"/>
      <c r="AE409" s="3"/>
      <c r="AG409" s="3"/>
    </row>
    <row r="410" spans="21:33" x14ac:dyDescent="0.25">
      <c r="U410" s="1"/>
      <c r="W410" s="2"/>
      <c r="X410" s="2"/>
      <c r="Y410" s="2"/>
      <c r="Z410" s="2"/>
      <c r="AA410" s="2"/>
      <c r="AB410" s="2"/>
      <c r="AC410" s="2"/>
      <c r="AD410" s="2"/>
      <c r="AE410" s="3"/>
      <c r="AG410" s="3"/>
    </row>
    <row r="411" spans="21:33" x14ac:dyDescent="0.25">
      <c r="U411" s="1"/>
      <c r="W411" s="2"/>
      <c r="X411" s="2"/>
      <c r="Y411" s="2"/>
      <c r="Z411" s="2"/>
      <c r="AA411" s="2"/>
      <c r="AB411" s="2"/>
      <c r="AC411" s="2"/>
      <c r="AD411" s="2"/>
      <c r="AE411" s="3"/>
      <c r="AG411" s="3"/>
    </row>
    <row r="412" spans="21:33" x14ac:dyDescent="0.25">
      <c r="U412" s="1"/>
      <c r="W412" s="2"/>
      <c r="X412" s="2"/>
      <c r="Y412" s="2"/>
      <c r="Z412" s="2"/>
      <c r="AA412" s="2"/>
      <c r="AB412" s="2"/>
      <c r="AC412" s="2"/>
      <c r="AD412" s="2"/>
      <c r="AE412" s="3"/>
      <c r="AG412" s="3"/>
    </row>
    <row r="413" spans="21:33" x14ac:dyDescent="0.25">
      <c r="U413" s="1"/>
      <c r="W413" s="2"/>
      <c r="X413" s="2"/>
      <c r="Y413" s="2"/>
      <c r="Z413" s="2"/>
      <c r="AA413" s="2"/>
      <c r="AB413" s="2"/>
      <c r="AC413" s="2"/>
      <c r="AD413" s="2"/>
      <c r="AE413" s="3"/>
      <c r="AG413" s="3"/>
    </row>
    <row r="414" spans="21:33" x14ac:dyDescent="0.25">
      <c r="U414" s="1"/>
      <c r="W414" s="2"/>
      <c r="X414" s="2"/>
      <c r="Y414" s="2"/>
      <c r="Z414" s="2"/>
      <c r="AA414" s="2"/>
      <c r="AB414" s="2"/>
      <c r="AC414" s="2"/>
      <c r="AD414" s="2"/>
      <c r="AE414" s="3"/>
      <c r="AG414" s="3"/>
    </row>
  </sheetData>
  <phoneticPr fontId="2" type="noConversion"/>
  <conditionalFormatting sqref="A2:N370">
    <cfRule type="expression" dxfId="4" priority="48">
      <formula>$H2=""</formula>
    </cfRule>
    <cfRule type="expression" dxfId="3" priority="49">
      <formula>RIGHT($H2)="A"</formula>
    </cfRule>
    <cfRule type="expression" dxfId="2" priority="50">
      <formula>RIGHT($H2)="B"</formula>
    </cfRule>
    <cfRule type="expression" dxfId="1" priority="51">
      <formula>RIGHT($H2)="C"</formula>
    </cfRule>
  </conditionalFormatting>
  <conditionalFormatting sqref="H1:H1048576">
    <cfRule type="iconSet" priority="47">
      <iconSet iconSet="3Arrows">
        <cfvo type="percent" val="0"/>
        <cfvo type="percent" val="33"/>
        <cfvo type="percent" val="67"/>
      </iconSet>
    </cfRule>
  </conditionalFormatting>
  <conditionalFormatting sqref="N1:N1048576">
    <cfRule type="iconSet" priority="45">
      <iconSet iconSet="3ArrowsGray">
        <cfvo type="percent" val="0"/>
        <cfvo type="percent" val="33"/>
        <cfvo type="percent" val="67"/>
      </iconSet>
    </cfRule>
  </conditionalFormatting>
  <conditionalFormatting sqref="O2:O370">
    <cfRule type="cellIs" dxfId="0" priority="44" operator="equal">
      <formula>"Si"</formula>
    </cfRule>
  </conditionalFormatting>
  <conditionalFormatting sqref="W1">
    <cfRule type="iconSet" priority="43">
      <iconSet iconSet="3Arrows">
        <cfvo type="percent" val="0"/>
        <cfvo type="percent" val="33"/>
        <cfvo type="percent" val="67"/>
      </iconSet>
    </cfRule>
  </conditionalFormatting>
  <conditionalFormatting sqref="AD6">
    <cfRule type="iconSet" priority="24">
      <iconSet iconSet="3Arrows">
        <cfvo type="percent" val="0"/>
        <cfvo type="percent" val="33"/>
        <cfvo type="percent" val="67"/>
      </iconSet>
    </cfRule>
  </conditionalFormatting>
  <conditionalFormatting sqref="AJ6">
    <cfRule type="iconSet" priority="23">
      <iconSet iconSet="3ArrowsGray">
        <cfvo type="percent" val="0"/>
        <cfvo type="percent" val="33"/>
        <cfvo type="percent" val="67"/>
      </iconSet>
    </cfRule>
  </conditionalFormatting>
  <conditionalFormatting sqref="AA7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AG7">
    <cfRule type="iconSet" priority="13">
      <iconSet iconSet="3ArrowsGray">
        <cfvo type="percent" val="0"/>
        <cfvo type="percent" val="33"/>
        <cfvo type="percent" val="67"/>
      </iconSet>
    </cfRule>
  </conditionalFormatting>
  <conditionalFormatting sqref="AA378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AG378">
    <cfRule type="iconSet" priority="7">
      <iconSet iconSet="3ArrowsGray">
        <cfvo type="percent" val="0"/>
        <cfvo type="percent" val="33"/>
        <cfvo type="percent" val="67"/>
      </iconSet>
    </cfRule>
  </conditionalFormatting>
  <conditionalFormatting sqref="AA374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AG374">
    <cfRule type="iconSet" priority="5">
      <iconSet iconSet="3ArrowsGray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125AF-E7F3-4134-87CC-89FA5377F1C3}">
  <sheetPr codeName="Hoja2"/>
  <dimension ref="A1:AE37"/>
  <sheetViews>
    <sheetView topLeftCell="H4" workbookViewId="0">
      <selection activeCell="R25" sqref="R25"/>
    </sheetView>
  </sheetViews>
  <sheetFormatPr baseColWidth="10" defaultRowHeight="15" x14ac:dyDescent="0.25"/>
  <cols>
    <col min="14" max="14" width="11.85546875" bestFit="1" customWidth="1"/>
    <col min="17" max="17" width="16" customWidth="1"/>
    <col min="18" max="18" width="16.7109375" bestFit="1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103</v>
      </c>
      <c r="Q1" t="s">
        <v>19</v>
      </c>
      <c r="R1" t="str" cm="1">
        <f t="array" ref="R1:R2">_xlfn._xlws.SORT(_xlfn.UNIQUE(I2:I37))</f>
        <v>Cheque</v>
      </c>
    </row>
    <row r="2" spans="1:31" x14ac:dyDescent="0.25">
      <c r="A2" s="2">
        <v>1</v>
      </c>
      <c r="B2" s="1">
        <v>43930</v>
      </c>
      <c r="C2" s="2">
        <v>9259377217</v>
      </c>
      <c r="D2" s="4" t="s">
        <v>14</v>
      </c>
      <c r="E2" s="4" t="s">
        <v>15</v>
      </c>
      <c r="F2" s="4" t="s">
        <v>16</v>
      </c>
      <c r="G2" s="4" t="s">
        <v>17</v>
      </c>
      <c r="H2" s="4" t="s">
        <v>18</v>
      </c>
      <c r="I2" s="4" t="s">
        <v>19</v>
      </c>
      <c r="J2" s="4" t="s">
        <v>20</v>
      </c>
      <c r="K2" s="4" t="s">
        <v>21</v>
      </c>
      <c r="L2" s="3">
        <v>14</v>
      </c>
      <c r="M2">
        <v>10</v>
      </c>
      <c r="N2" s="3">
        <v>140</v>
      </c>
      <c r="O2" t="s">
        <v>110</v>
      </c>
      <c r="R2" t="str">
        <v>Tarjeta de crédito</v>
      </c>
      <c r="U2">
        <f>ROWS(K2:K37)</f>
        <v>36</v>
      </c>
      <c r="V2">
        <f>COUNTA(_xlfn.UNIQUE(I2:I37))</f>
        <v>2</v>
      </c>
    </row>
    <row r="3" spans="1:31" x14ac:dyDescent="0.25">
      <c r="A3">
        <v>3</v>
      </c>
      <c r="B3" s="1">
        <v>43908</v>
      </c>
      <c r="C3">
        <v>2308885942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2" t="s">
        <v>29</v>
      </c>
      <c r="J3" s="2" t="s">
        <v>30</v>
      </c>
      <c r="K3" s="2" t="s">
        <v>23</v>
      </c>
      <c r="L3" s="3">
        <v>14</v>
      </c>
      <c r="M3">
        <v>57</v>
      </c>
      <c r="N3" s="3">
        <v>798</v>
      </c>
      <c r="O3" t="s">
        <v>110</v>
      </c>
      <c r="V3">
        <f>COUNTA(_xlfn.UNIQUE(J2:J37))</f>
        <v>4</v>
      </c>
    </row>
    <row r="4" spans="1:31" x14ac:dyDescent="0.25">
      <c r="A4">
        <v>6</v>
      </c>
      <c r="B4" s="1">
        <v>44184</v>
      </c>
      <c r="C4">
        <v>6343955045</v>
      </c>
      <c r="D4" s="2" t="s">
        <v>32</v>
      </c>
      <c r="E4" s="2" t="s">
        <v>15</v>
      </c>
      <c r="F4" s="2" t="s">
        <v>16</v>
      </c>
      <c r="G4" s="2" t="s">
        <v>17</v>
      </c>
      <c r="H4" s="2" t="s">
        <v>18</v>
      </c>
      <c r="I4" s="2" t="s">
        <v>29</v>
      </c>
      <c r="J4" s="2" t="s">
        <v>107</v>
      </c>
      <c r="K4" s="2" t="s">
        <v>21</v>
      </c>
      <c r="L4" s="3">
        <v>22</v>
      </c>
      <c r="M4">
        <v>29</v>
      </c>
      <c r="N4" s="3">
        <v>638</v>
      </c>
      <c r="O4" t="s">
        <v>111</v>
      </c>
    </row>
    <row r="5" spans="1:31" x14ac:dyDescent="0.25">
      <c r="A5">
        <v>29</v>
      </c>
      <c r="B5" s="1">
        <v>44146</v>
      </c>
      <c r="C5">
        <v>8474620707</v>
      </c>
      <c r="D5" s="2" t="s">
        <v>54</v>
      </c>
      <c r="E5" s="2" t="s">
        <v>55</v>
      </c>
      <c r="F5" s="2" t="s">
        <v>56</v>
      </c>
      <c r="G5" s="2" t="s">
        <v>57</v>
      </c>
      <c r="H5" s="2" t="s">
        <v>18</v>
      </c>
      <c r="I5" s="2" t="s">
        <v>29</v>
      </c>
      <c r="J5" s="2" t="s">
        <v>20</v>
      </c>
      <c r="K5" s="2" t="s">
        <v>21</v>
      </c>
      <c r="L5" s="3">
        <v>32</v>
      </c>
      <c r="M5">
        <v>75</v>
      </c>
      <c r="N5" s="3">
        <v>2400</v>
      </c>
      <c r="O5" t="s">
        <v>110</v>
      </c>
      <c r="P5" t="str" cm="1">
        <f t="array" ref="P5:P8">_xlfn._xlws.SORT(_xlfn.UNIQUE(J2:J37),1,-1)</f>
        <v>Techai</v>
      </c>
      <c r="Q5" cm="1">
        <f t="array" ref="Q5:AE18">_xlfn._xlws.FILTER(A2:O37,I2:I37=Q1)</f>
        <v>1</v>
      </c>
      <c r="R5">
        <v>43930</v>
      </c>
      <c r="S5">
        <v>9259377217</v>
      </c>
      <c r="T5" t="str">
        <v>Empresa AA</v>
      </c>
      <c r="U5" t="str">
        <v>Cuenca</v>
      </c>
      <c r="V5" t="str">
        <v>Azuay</v>
      </c>
      <c r="W5" t="str">
        <v>Mayra Aguilar Sepúlveda</v>
      </c>
      <c r="X5" t="str">
        <v>Empresa de embarque B</v>
      </c>
      <c r="Y5" t="str">
        <v>Cheque</v>
      </c>
      <c r="Z5" t="str">
        <v>Cerveza</v>
      </c>
      <c r="AA5" t="str">
        <v>Bebidas</v>
      </c>
      <c r="AB5">
        <v>14</v>
      </c>
      <c r="AC5">
        <v>10</v>
      </c>
      <c r="AD5">
        <v>140</v>
      </c>
      <c r="AE5" t="str">
        <v>Si</v>
      </c>
    </row>
    <row r="6" spans="1:31" x14ac:dyDescent="0.25">
      <c r="A6">
        <v>47</v>
      </c>
      <c r="B6" s="1">
        <v>43920</v>
      </c>
      <c r="C6">
        <v>9029002933</v>
      </c>
      <c r="D6" s="2" t="s">
        <v>54</v>
      </c>
      <c r="E6" s="2" t="s">
        <v>55</v>
      </c>
      <c r="F6" s="2" t="s">
        <v>56</v>
      </c>
      <c r="G6" s="2" t="s">
        <v>57</v>
      </c>
      <c r="H6" s="2" t="s">
        <v>39</v>
      </c>
      <c r="I6" s="2" t="s">
        <v>19</v>
      </c>
      <c r="J6" s="2" t="s">
        <v>30</v>
      </c>
      <c r="K6" s="2" t="s">
        <v>23</v>
      </c>
      <c r="L6" s="3">
        <v>420</v>
      </c>
      <c r="M6">
        <v>96</v>
      </c>
      <c r="N6" s="3">
        <v>40320</v>
      </c>
      <c r="O6" t="s">
        <v>110</v>
      </c>
      <c r="P6" t="str">
        <v>Peras secas</v>
      </c>
      <c r="Q6">
        <v>47</v>
      </c>
      <c r="R6">
        <v>43920</v>
      </c>
      <c r="S6">
        <v>9029002933</v>
      </c>
      <c r="T6" t="str">
        <v>Empresa F</v>
      </c>
      <c r="U6" t="str">
        <v>Ibarra</v>
      </c>
      <c r="V6" t="str">
        <v>Imbabura</v>
      </c>
      <c r="W6" t="str">
        <v>Luis Miguel Valdés Garza</v>
      </c>
      <c r="X6" t="str">
        <v>Empresa de embarque C</v>
      </c>
      <c r="Y6" t="str">
        <v>Cheque</v>
      </c>
      <c r="Z6" t="str">
        <v>Peras secas</v>
      </c>
      <c r="AA6" t="str">
        <v>Frutas secas</v>
      </c>
      <c r="AB6">
        <v>420</v>
      </c>
      <c r="AC6">
        <v>96</v>
      </c>
      <c r="AD6">
        <v>40320</v>
      </c>
      <c r="AE6" t="str">
        <v>Si</v>
      </c>
    </row>
    <row r="7" spans="1:31" x14ac:dyDescent="0.25">
      <c r="A7">
        <v>53</v>
      </c>
      <c r="B7" s="1">
        <v>44123</v>
      </c>
      <c r="C7">
        <v>5773601950</v>
      </c>
      <c r="D7" s="2" t="s">
        <v>54</v>
      </c>
      <c r="E7" s="2" t="s">
        <v>55</v>
      </c>
      <c r="F7" s="2" t="s">
        <v>56</v>
      </c>
      <c r="G7" s="2" t="s">
        <v>57</v>
      </c>
      <c r="H7" s="2" t="s">
        <v>18</v>
      </c>
      <c r="I7" s="2" t="s">
        <v>29</v>
      </c>
      <c r="J7" s="2" t="s">
        <v>20</v>
      </c>
      <c r="K7" s="2" t="s">
        <v>21</v>
      </c>
      <c r="L7" s="3">
        <v>196</v>
      </c>
      <c r="M7">
        <v>53</v>
      </c>
      <c r="N7" s="3">
        <v>10388</v>
      </c>
      <c r="O7" t="s">
        <v>110</v>
      </c>
      <c r="P7" t="str">
        <v>Mermelada de zarzamora</v>
      </c>
      <c r="Q7">
        <v>60</v>
      </c>
      <c r="R7">
        <v>44171</v>
      </c>
      <c r="S7">
        <v>2230409971</v>
      </c>
      <c r="T7" t="str">
        <v>Empresa CC</v>
      </c>
      <c r="U7" t="str">
        <v>Guayaquil</v>
      </c>
      <c r="V7" t="str">
        <v>Guayas</v>
      </c>
      <c r="W7" t="str">
        <v>José de Jesús Morales</v>
      </c>
      <c r="X7" t="str">
        <v>Empresa de embarque B</v>
      </c>
      <c r="Y7" t="str">
        <v>Cheque</v>
      </c>
      <c r="Z7" t="str">
        <v>Cerveza</v>
      </c>
      <c r="AA7" t="str">
        <v>Bebidas</v>
      </c>
      <c r="AB7">
        <v>196</v>
      </c>
      <c r="AC7">
        <v>72</v>
      </c>
      <c r="AD7">
        <v>14112</v>
      </c>
      <c r="AE7" t="str">
        <v>No</v>
      </c>
    </row>
    <row r="8" spans="1:31" x14ac:dyDescent="0.25">
      <c r="A8">
        <v>60</v>
      </c>
      <c r="B8" s="1">
        <v>44171</v>
      </c>
      <c r="C8">
        <v>2230409971</v>
      </c>
      <c r="D8" s="2" t="s">
        <v>42</v>
      </c>
      <c r="E8" s="2" t="s">
        <v>43</v>
      </c>
      <c r="F8" s="2" t="s">
        <v>44</v>
      </c>
      <c r="G8" s="2" t="s">
        <v>45</v>
      </c>
      <c r="H8" s="2" t="s">
        <v>18</v>
      </c>
      <c r="I8" s="2" t="s">
        <v>19</v>
      </c>
      <c r="J8" s="2" t="s">
        <v>20</v>
      </c>
      <c r="K8" s="2" t="s">
        <v>21</v>
      </c>
      <c r="L8" s="3">
        <v>196</v>
      </c>
      <c r="M8">
        <v>72</v>
      </c>
      <c r="N8" s="3">
        <v>14112</v>
      </c>
      <c r="O8" t="s">
        <v>111</v>
      </c>
      <c r="P8" t="str">
        <v>Cerveza</v>
      </c>
      <c r="Q8">
        <v>116</v>
      </c>
      <c r="R8">
        <v>43876</v>
      </c>
      <c r="S8">
        <v>1951835035</v>
      </c>
      <c r="T8" t="str">
        <v>Empresa CC</v>
      </c>
      <c r="U8" t="str">
        <v>Guayaquil</v>
      </c>
      <c r="V8" t="str">
        <v>Guayas</v>
      </c>
      <c r="W8" t="str">
        <v>José de Jesús Morales</v>
      </c>
      <c r="X8" t="str">
        <v>Empresa de embarque B</v>
      </c>
      <c r="Y8" t="str">
        <v>Cheque</v>
      </c>
      <c r="Z8" t="str">
        <v>Cerveza</v>
      </c>
      <c r="AA8" t="str">
        <v>Bebidas</v>
      </c>
      <c r="AB8">
        <v>196</v>
      </c>
      <c r="AC8">
        <v>21</v>
      </c>
      <c r="AD8">
        <v>4116</v>
      </c>
      <c r="AE8" t="str">
        <v>No</v>
      </c>
    </row>
    <row r="9" spans="1:31" x14ac:dyDescent="0.25">
      <c r="A9">
        <v>62</v>
      </c>
      <c r="B9" s="1">
        <v>43855</v>
      </c>
      <c r="C9">
        <v>5059332572</v>
      </c>
      <c r="D9" s="2" t="s">
        <v>24</v>
      </c>
      <c r="E9" s="2" t="s">
        <v>25</v>
      </c>
      <c r="F9" s="2" t="s">
        <v>26</v>
      </c>
      <c r="G9" s="2" t="s">
        <v>27</v>
      </c>
      <c r="H9" s="2" t="s">
        <v>28</v>
      </c>
      <c r="I9" s="2" t="s">
        <v>29</v>
      </c>
      <c r="J9" s="2" t="s">
        <v>100</v>
      </c>
      <c r="K9" s="2" t="s">
        <v>72</v>
      </c>
      <c r="L9" s="3">
        <v>1134</v>
      </c>
      <c r="M9">
        <v>77</v>
      </c>
      <c r="N9" s="3">
        <v>87318</v>
      </c>
      <c r="O9" t="s">
        <v>111</v>
      </c>
      <c r="Q9">
        <v>143</v>
      </c>
      <c r="R9">
        <v>43927</v>
      </c>
      <c r="S9">
        <v>9715216432</v>
      </c>
      <c r="T9" t="str">
        <v>Empresa CC</v>
      </c>
      <c r="U9" t="str">
        <v>Guayaquil</v>
      </c>
      <c r="V9" t="str">
        <v>Guayas</v>
      </c>
      <c r="W9" t="str">
        <v>José de Jesús Morales</v>
      </c>
      <c r="X9" t="str">
        <v>Empresa de embarque B</v>
      </c>
      <c r="Y9" t="str">
        <v>Cheque</v>
      </c>
      <c r="Z9" t="str">
        <v>Cerveza</v>
      </c>
      <c r="AA9" t="str">
        <v>Bebidas</v>
      </c>
      <c r="AB9">
        <v>196</v>
      </c>
      <c r="AC9">
        <v>79</v>
      </c>
      <c r="AD9">
        <v>15484</v>
      </c>
      <c r="AE9" t="str">
        <v>Si</v>
      </c>
    </row>
    <row r="10" spans="1:31" x14ac:dyDescent="0.25">
      <c r="A10">
        <v>109</v>
      </c>
      <c r="B10" s="1">
        <v>44103</v>
      </c>
      <c r="C10">
        <v>5752777715</v>
      </c>
      <c r="D10" s="2" t="s">
        <v>54</v>
      </c>
      <c r="E10" s="2" t="s">
        <v>55</v>
      </c>
      <c r="F10" s="2" t="s">
        <v>56</v>
      </c>
      <c r="G10" s="2" t="s">
        <v>57</v>
      </c>
      <c r="H10" s="2" t="s">
        <v>18</v>
      </c>
      <c r="I10" s="2" t="s">
        <v>29</v>
      </c>
      <c r="J10" s="2" t="s">
        <v>20</v>
      </c>
      <c r="K10" s="2" t="s">
        <v>21</v>
      </c>
      <c r="L10" s="3">
        <v>196</v>
      </c>
      <c r="M10">
        <v>84</v>
      </c>
      <c r="N10" s="3">
        <v>16464</v>
      </c>
      <c r="O10" t="s">
        <v>110</v>
      </c>
      <c r="Q10">
        <v>161</v>
      </c>
      <c r="R10">
        <v>44018</v>
      </c>
      <c r="S10">
        <v>8313545064</v>
      </c>
      <c r="T10" t="str">
        <v>Empresa F</v>
      </c>
      <c r="U10" t="str">
        <v>Ibarra</v>
      </c>
      <c r="V10" t="str">
        <v>Imbabura</v>
      </c>
      <c r="W10" t="str">
        <v>Luis Miguel Valdés Garza</v>
      </c>
      <c r="X10" t="str">
        <v>Empresa de embarque C</v>
      </c>
      <c r="Y10" t="str">
        <v>Cheque</v>
      </c>
      <c r="Z10" t="str">
        <v>Peras secas</v>
      </c>
      <c r="AA10" t="str">
        <v>Frutas secas</v>
      </c>
      <c r="AB10">
        <v>420</v>
      </c>
      <c r="AC10">
        <v>46</v>
      </c>
      <c r="AD10">
        <v>19320</v>
      </c>
      <c r="AE10" t="str">
        <v>Si</v>
      </c>
    </row>
    <row r="11" spans="1:31" x14ac:dyDescent="0.25">
      <c r="A11">
        <v>116</v>
      </c>
      <c r="B11" s="1">
        <v>43876</v>
      </c>
      <c r="C11">
        <v>1951835035</v>
      </c>
      <c r="D11" s="2" t="s">
        <v>42</v>
      </c>
      <c r="E11" s="2" t="s">
        <v>43</v>
      </c>
      <c r="F11" s="2" t="s">
        <v>44</v>
      </c>
      <c r="G11" s="2" t="s">
        <v>45</v>
      </c>
      <c r="H11" s="2" t="s">
        <v>18</v>
      </c>
      <c r="I11" s="2" t="s">
        <v>19</v>
      </c>
      <c r="J11" s="2" t="s">
        <v>20</v>
      </c>
      <c r="K11" s="2" t="s">
        <v>21</v>
      </c>
      <c r="L11" s="3">
        <v>196</v>
      </c>
      <c r="M11">
        <v>21</v>
      </c>
      <c r="N11" s="3">
        <v>4116</v>
      </c>
      <c r="O11" t="s">
        <v>111</v>
      </c>
      <c r="Q11">
        <v>177</v>
      </c>
      <c r="R11">
        <v>43859</v>
      </c>
      <c r="S11">
        <v>1661667624</v>
      </c>
      <c r="T11" t="str">
        <v>Empresa CC</v>
      </c>
      <c r="U11" t="str">
        <v>Guayaquil</v>
      </c>
      <c r="V11" t="str">
        <v>Guayas</v>
      </c>
      <c r="W11" t="str">
        <v>José de Jesús Morales</v>
      </c>
      <c r="X11" t="str">
        <v>Empresa de embarque B</v>
      </c>
      <c r="Y11" t="str">
        <v>Cheque</v>
      </c>
      <c r="Z11" t="str">
        <v>Cerveza</v>
      </c>
      <c r="AA11" t="str">
        <v>Bebidas</v>
      </c>
      <c r="AB11">
        <v>196</v>
      </c>
      <c r="AC11">
        <v>23</v>
      </c>
      <c r="AD11">
        <v>4508</v>
      </c>
      <c r="AE11" t="str">
        <v>Si</v>
      </c>
    </row>
    <row r="12" spans="1:31" x14ac:dyDescent="0.25">
      <c r="A12">
        <v>118</v>
      </c>
      <c r="B12" s="1">
        <v>44094</v>
      </c>
      <c r="C12">
        <v>1040241832</v>
      </c>
      <c r="D12" s="2" t="s">
        <v>24</v>
      </c>
      <c r="E12" s="2" t="s">
        <v>25</v>
      </c>
      <c r="F12" s="2" t="s">
        <v>26</v>
      </c>
      <c r="G12" s="2" t="s">
        <v>27</v>
      </c>
      <c r="H12" s="2" t="s">
        <v>28</v>
      </c>
      <c r="I12" s="2" t="s">
        <v>29</v>
      </c>
      <c r="J12" s="2" t="s">
        <v>100</v>
      </c>
      <c r="K12" s="2" t="s">
        <v>72</v>
      </c>
      <c r="L12" s="3">
        <v>1134</v>
      </c>
      <c r="M12">
        <v>23</v>
      </c>
      <c r="N12" s="3">
        <v>26082</v>
      </c>
      <c r="O12" t="s">
        <v>111</v>
      </c>
      <c r="Q12">
        <v>214</v>
      </c>
      <c r="R12">
        <v>43886</v>
      </c>
      <c r="S12">
        <v>5189485028</v>
      </c>
      <c r="T12" t="str">
        <v>Empresa CC</v>
      </c>
      <c r="U12" t="str">
        <v>Guayaquil</v>
      </c>
      <c r="V12" t="str">
        <v>Guayas</v>
      </c>
      <c r="W12" t="str">
        <v>José de Jesús Morales</v>
      </c>
      <c r="X12" t="str">
        <v>Empresa de embarque B</v>
      </c>
      <c r="Y12" t="str">
        <v>Cheque</v>
      </c>
      <c r="Z12" t="str">
        <v>Cerveza</v>
      </c>
      <c r="AA12" t="str">
        <v>Bebidas</v>
      </c>
      <c r="AB12">
        <v>196</v>
      </c>
      <c r="AC12">
        <v>42</v>
      </c>
      <c r="AD12">
        <v>8232</v>
      </c>
      <c r="AE12" t="str">
        <v>No</v>
      </c>
    </row>
    <row r="13" spans="1:31" x14ac:dyDescent="0.25">
      <c r="A13">
        <v>136</v>
      </c>
      <c r="B13" s="1">
        <v>44058</v>
      </c>
      <c r="C13">
        <v>2071690973</v>
      </c>
      <c r="D13" s="2" t="s">
        <v>54</v>
      </c>
      <c r="E13" s="2" t="s">
        <v>55</v>
      </c>
      <c r="F13" s="2" t="s">
        <v>56</v>
      </c>
      <c r="G13" s="2" t="s">
        <v>57</v>
      </c>
      <c r="H13" s="2" t="s">
        <v>18</v>
      </c>
      <c r="I13" s="2" t="s">
        <v>29</v>
      </c>
      <c r="J13" s="2" t="s">
        <v>20</v>
      </c>
      <c r="K13" s="2" t="s">
        <v>21</v>
      </c>
      <c r="L13" s="3">
        <v>196</v>
      </c>
      <c r="M13">
        <v>65</v>
      </c>
      <c r="N13" s="3">
        <v>12740</v>
      </c>
      <c r="O13" t="s">
        <v>111</v>
      </c>
      <c r="Q13">
        <v>235</v>
      </c>
      <c r="R13">
        <v>44142</v>
      </c>
      <c r="S13">
        <v>2932971142</v>
      </c>
      <c r="T13" t="str">
        <v>Empresa CC</v>
      </c>
      <c r="U13" t="str">
        <v>Guayaquil</v>
      </c>
      <c r="V13" t="str">
        <v>Guayas</v>
      </c>
      <c r="W13" t="str">
        <v>José de Jesús Morales</v>
      </c>
      <c r="X13" t="str">
        <v>Empresa de embarque B</v>
      </c>
      <c r="Y13" t="str">
        <v>Cheque</v>
      </c>
      <c r="Z13" t="str">
        <v>Cerveza</v>
      </c>
      <c r="AA13" t="str">
        <v>Bebidas</v>
      </c>
      <c r="AB13">
        <v>196</v>
      </c>
      <c r="AC13">
        <v>50</v>
      </c>
      <c r="AD13">
        <v>9800</v>
      </c>
      <c r="AE13" t="str">
        <v>Si</v>
      </c>
    </row>
    <row r="14" spans="1:31" x14ac:dyDescent="0.25">
      <c r="A14">
        <v>143</v>
      </c>
      <c r="B14" s="1">
        <v>43927</v>
      </c>
      <c r="C14">
        <v>9715216432</v>
      </c>
      <c r="D14" s="2" t="s">
        <v>42</v>
      </c>
      <c r="E14" s="2" t="s">
        <v>43</v>
      </c>
      <c r="F14" s="2" t="s">
        <v>44</v>
      </c>
      <c r="G14" s="2" t="s">
        <v>45</v>
      </c>
      <c r="H14" s="2" t="s">
        <v>18</v>
      </c>
      <c r="I14" s="2" t="s">
        <v>19</v>
      </c>
      <c r="J14" s="2" t="s">
        <v>20</v>
      </c>
      <c r="K14" s="2" t="s">
        <v>21</v>
      </c>
      <c r="L14" s="3">
        <v>196</v>
      </c>
      <c r="M14">
        <v>79</v>
      </c>
      <c r="N14" s="3">
        <v>15484</v>
      </c>
      <c r="O14" t="s">
        <v>110</v>
      </c>
      <c r="Q14">
        <v>267</v>
      </c>
      <c r="R14">
        <v>43907</v>
      </c>
      <c r="S14">
        <v>2294414293</v>
      </c>
      <c r="T14" t="str">
        <v>Empresa CC</v>
      </c>
      <c r="U14" t="str">
        <v>Guayaquil</v>
      </c>
      <c r="V14" t="str">
        <v>Guayas</v>
      </c>
      <c r="W14" t="str">
        <v>José de Jesús Morales</v>
      </c>
      <c r="X14" t="str">
        <v>Empresa de embarque B</v>
      </c>
      <c r="Y14" t="str">
        <v>Cheque</v>
      </c>
      <c r="Z14" t="str">
        <v>Cerveza</v>
      </c>
      <c r="AA14" t="str">
        <v>Bebidas</v>
      </c>
      <c r="AB14">
        <v>196</v>
      </c>
      <c r="AC14">
        <v>78</v>
      </c>
      <c r="AD14">
        <v>15288</v>
      </c>
      <c r="AE14" t="str">
        <v>Si</v>
      </c>
    </row>
    <row r="15" spans="1:31" x14ac:dyDescent="0.25">
      <c r="A15">
        <v>145</v>
      </c>
      <c r="B15" s="1">
        <v>44046</v>
      </c>
      <c r="C15">
        <v>5585231955</v>
      </c>
      <c r="D15" s="2" t="s">
        <v>24</v>
      </c>
      <c r="E15" s="2" t="s">
        <v>25</v>
      </c>
      <c r="F15" s="2" t="s">
        <v>26</v>
      </c>
      <c r="G15" s="2" t="s">
        <v>27</v>
      </c>
      <c r="H15" s="2" t="s">
        <v>28</v>
      </c>
      <c r="I15" s="2" t="s">
        <v>29</v>
      </c>
      <c r="J15" s="2" t="s">
        <v>100</v>
      </c>
      <c r="K15" s="2" t="s">
        <v>72</v>
      </c>
      <c r="L15" s="3">
        <v>1134</v>
      </c>
      <c r="M15">
        <v>98</v>
      </c>
      <c r="N15" s="3">
        <v>111132</v>
      </c>
      <c r="O15" t="s">
        <v>110</v>
      </c>
      <c r="Q15">
        <v>300</v>
      </c>
      <c r="R15">
        <v>44130</v>
      </c>
      <c r="S15">
        <v>6897506437</v>
      </c>
      <c r="T15" t="str">
        <v>Empresa CC</v>
      </c>
      <c r="U15" t="str">
        <v>Guayaquil</v>
      </c>
      <c r="V15" t="str">
        <v>Guayas</v>
      </c>
      <c r="W15" t="str">
        <v>José de Jesús Morales</v>
      </c>
      <c r="X15" t="str">
        <v>Empresa de embarque B</v>
      </c>
      <c r="Y15" t="str">
        <v>Cheque</v>
      </c>
      <c r="Z15" t="str">
        <v>Cerveza</v>
      </c>
      <c r="AA15" t="str">
        <v>Bebidas</v>
      </c>
      <c r="AB15">
        <v>196</v>
      </c>
      <c r="AC15">
        <v>38</v>
      </c>
      <c r="AD15">
        <v>7448</v>
      </c>
      <c r="AE15" t="str">
        <v>No</v>
      </c>
    </row>
    <row r="16" spans="1:31" x14ac:dyDescent="0.25">
      <c r="A16">
        <v>161</v>
      </c>
      <c r="B16" s="1">
        <v>44018</v>
      </c>
      <c r="C16">
        <v>8313545064</v>
      </c>
      <c r="D16" s="2" t="s">
        <v>54</v>
      </c>
      <c r="E16" s="2" t="s">
        <v>55</v>
      </c>
      <c r="F16" s="2" t="s">
        <v>56</v>
      </c>
      <c r="G16" s="2" t="s">
        <v>57</v>
      </c>
      <c r="H16" s="2" t="s">
        <v>39</v>
      </c>
      <c r="I16" s="2" t="s">
        <v>19</v>
      </c>
      <c r="J16" s="2" t="s">
        <v>30</v>
      </c>
      <c r="K16" s="2" t="s">
        <v>23</v>
      </c>
      <c r="L16" s="3">
        <v>420</v>
      </c>
      <c r="M16">
        <v>46</v>
      </c>
      <c r="N16" s="3">
        <v>19320</v>
      </c>
      <c r="O16" t="s">
        <v>110</v>
      </c>
      <c r="Q16">
        <v>313</v>
      </c>
      <c r="R16">
        <v>43953</v>
      </c>
      <c r="S16">
        <v>3833780472</v>
      </c>
      <c r="T16" t="str">
        <v>Empresa AA</v>
      </c>
      <c r="U16" t="str">
        <v>Cuenca</v>
      </c>
      <c r="V16" t="str">
        <v>Azuay</v>
      </c>
      <c r="W16" t="str">
        <v>Mayra Aguilar Sepúlveda</v>
      </c>
      <c r="X16" t="str">
        <v>Empresa de embarque B</v>
      </c>
      <c r="Y16" t="str">
        <v>Cheque</v>
      </c>
      <c r="Z16" t="str">
        <v>Cerveza</v>
      </c>
      <c r="AA16" t="str">
        <v>Bebidas</v>
      </c>
      <c r="AB16">
        <v>196</v>
      </c>
      <c r="AC16">
        <v>14</v>
      </c>
      <c r="AD16">
        <v>2744</v>
      </c>
      <c r="AE16" t="str">
        <v>Si</v>
      </c>
    </row>
    <row r="17" spans="1:31" x14ac:dyDescent="0.25">
      <c r="A17">
        <v>170</v>
      </c>
      <c r="B17" s="1">
        <v>43893</v>
      </c>
      <c r="C17">
        <v>445300235</v>
      </c>
      <c r="D17" s="2" t="s">
        <v>54</v>
      </c>
      <c r="E17" s="2" t="s">
        <v>55</v>
      </c>
      <c r="F17" s="2" t="s">
        <v>56</v>
      </c>
      <c r="G17" s="2" t="s">
        <v>57</v>
      </c>
      <c r="H17" s="2" t="s">
        <v>18</v>
      </c>
      <c r="I17" s="2" t="s">
        <v>29</v>
      </c>
      <c r="J17" s="2" t="s">
        <v>20</v>
      </c>
      <c r="K17" s="2" t="s">
        <v>21</v>
      </c>
      <c r="L17" s="3">
        <v>196</v>
      </c>
      <c r="M17">
        <v>84</v>
      </c>
      <c r="N17" s="3">
        <v>16464</v>
      </c>
      <c r="O17" t="s">
        <v>111</v>
      </c>
      <c r="Q17">
        <v>348</v>
      </c>
      <c r="R17">
        <v>43959</v>
      </c>
      <c r="S17">
        <v>7020598503</v>
      </c>
      <c r="T17" t="str">
        <v>Empresa CC</v>
      </c>
      <c r="U17" t="str">
        <v>Guayaquil</v>
      </c>
      <c r="V17" t="str">
        <v>Guayas</v>
      </c>
      <c r="W17" t="str">
        <v>José de Jesús Morales</v>
      </c>
      <c r="X17" t="str">
        <v>Empresa de embarque B</v>
      </c>
      <c r="Y17" t="str">
        <v>Cheque</v>
      </c>
      <c r="Z17" t="str">
        <v>Cerveza</v>
      </c>
      <c r="AA17" t="str">
        <v>Bebidas</v>
      </c>
      <c r="AB17">
        <v>196</v>
      </c>
      <c r="AC17">
        <v>96</v>
      </c>
      <c r="AD17">
        <v>18816</v>
      </c>
      <c r="AE17" t="str">
        <v>No</v>
      </c>
    </row>
    <row r="18" spans="1:31" x14ac:dyDescent="0.25">
      <c r="A18">
        <v>177</v>
      </c>
      <c r="B18" s="1">
        <v>43859</v>
      </c>
      <c r="C18">
        <v>1661667624</v>
      </c>
      <c r="D18" s="2" t="s">
        <v>42</v>
      </c>
      <c r="E18" s="2" t="s">
        <v>43</v>
      </c>
      <c r="F18" s="2" t="s">
        <v>44</v>
      </c>
      <c r="G18" s="2" t="s">
        <v>45</v>
      </c>
      <c r="H18" s="2" t="s">
        <v>18</v>
      </c>
      <c r="I18" s="2" t="s">
        <v>19</v>
      </c>
      <c r="J18" s="2" t="s">
        <v>20</v>
      </c>
      <c r="K18" s="2" t="s">
        <v>21</v>
      </c>
      <c r="L18" s="3">
        <v>196</v>
      </c>
      <c r="M18">
        <v>23</v>
      </c>
      <c r="N18" s="3">
        <v>4508</v>
      </c>
      <c r="O18" t="s">
        <v>110</v>
      </c>
      <c r="P18" s="1">
        <f ca="1">TODAY()</f>
        <v>45463</v>
      </c>
      <c r="Q18">
        <v>366</v>
      </c>
      <c r="R18">
        <v>43986</v>
      </c>
      <c r="S18">
        <v>8977261174</v>
      </c>
      <c r="T18" t="str">
        <v>Empresa F</v>
      </c>
      <c r="U18" t="str">
        <v>Ibarra</v>
      </c>
      <c r="V18" t="str">
        <v>Imbabura</v>
      </c>
      <c r="W18" t="str">
        <v>Luis Miguel Valdés Garza</v>
      </c>
      <c r="X18" t="str">
        <v>Empresa de embarque C</v>
      </c>
      <c r="Y18" t="str">
        <v>Cheque</v>
      </c>
      <c r="Z18" t="str">
        <v>Peras secas</v>
      </c>
      <c r="AA18" t="str">
        <v>Frutas secas</v>
      </c>
      <c r="AB18">
        <v>420</v>
      </c>
      <c r="AC18">
        <v>33</v>
      </c>
      <c r="AD18">
        <v>13860</v>
      </c>
      <c r="AE18" t="str">
        <v>No</v>
      </c>
    </row>
    <row r="19" spans="1:31" x14ac:dyDescent="0.25">
      <c r="A19">
        <v>179</v>
      </c>
      <c r="B19" s="1">
        <v>43937</v>
      </c>
      <c r="C19">
        <v>7862399002</v>
      </c>
      <c r="D19" s="2" t="s">
        <v>24</v>
      </c>
      <c r="E19" s="2" t="s">
        <v>25</v>
      </c>
      <c r="F19" s="2" t="s">
        <v>26</v>
      </c>
      <c r="G19" s="2" t="s">
        <v>27</v>
      </c>
      <c r="H19" s="2" t="s">
        <v>28</v>
      </c>
      <c r="I19" s="2" t="s">
        <v>29</v>
      </c>
      <c r="J19" s="2" t="s">
        <v>100</v>
      </c>
      <c r="K19" s="2" t="s">
        <v>72</v>
      </c>
      <c r="L19" s="3">
        <v>1134</v>
      </c>
      <c r="M19">
        <v>55</v>
      </c>
      <c r="N19" s="3">
        <v>62370</v>
      </c>
      <c r="O19" t="s">
        <v>110</v>
      </c>
    </row>
    <row r="20" spans="1:31" x14ac:dyDescent="0.25">
      <c r="A20">
        <v>207</v>
      </c>
      <c r="B20" s="1">
        <v>44139</v>
      </c>
      <c r="C20">
        <v>1115906573</v>
      </c>
      <c r="D20" s="2" t="s">
        <v>54</v>
      </c>
      <c r="E20" s="2" t="s">
        <v>55</v>
      </c>
      <c r="F20" s="2" t="s">
        <v>56</v>
      </c>
      <c r="G20" s="2" t="s">
        <v>57</v>
      </c>
      <c r="H20" s="2" t="s">
        <v>18</v>
      </c>
      <c r="I20" s="2" t="s">
        <v>29</v>
      </c>
      <c r="J20" s="2" t="s">
        <v>20</v>
      </c>
      <c r="K20" s="2" t="s">
        <v>21</v>
      </c>
      <c r="L20" s="3">
        <v>196</v>
      </c>
      <c r="M20">
        <v>52</v>
      </c>
      <c r="N20" s="3">
        <v>10192</v>
      </c>
      <c r="O20" t="s">
        <v>110</v>
      </c>
      <c r="Q20" t="str">
        <f>UPPER(N1)</f>
        <v>VENTAS</v>
      </c>
      <c r="R20" t="str">
        <f>LOWER(N1)</f>
        <v>ventas</v>
      </c>
    </row>
    <row r="21" spans="1:31" x14ac:dyDescent="0.25">
      <c r="A21">
        <v>214</v>
      </c>
      <c r="B21" s="1">
        <v>43886</v>
      </c>
      <c r="C21">
        <v>5189485028</v>
      </c>
      <c r="D21" s="2" t="s">
        <v>42</v>
      </c>
      <c r="E21" s="2" t="s">
        <v>43</v>
      </c>
      <c r="F21" s="2" t="s">
        <v>44</v>
      </c>
      <c r="G21" s="2" t="s">
        <v>45</v>
      </c>
      <c r="H21" s="2" t="s">
        <v>18</v>
      </c>
      <c r="I21" s="2" t="s">
        <v>19</v>
      </c>
      <c r="J21" s="2" t="s">
        <v>20</v>
      </c>
      <c r="K21" s="2" t="s">
        <v>21</v>
      </c>
      <c r="L21" s="3">
        <v>196</v>
      </c>
      <c r="M21">
        <v>42</v>
      </c>
      <c r="N21" s="3">
        <v>8232</v>
      </c>
      <c r="O21" t="s">
        <v>111</v>
      </c>
      <c r="S21">
        <v>2</v>
      </c>
      <c r="T21">
        <v>1</v>
      </c>
      <c r="U21" cm="1">
        <f t="array" ref="U21:U25">FREQUENCY(S21:S26,T21:T24)</f>
        <v>1</v>
      </c>
    </row>
    <row r="22" spans="1:31" x14ac:dyDescent="0.25">
      <c r="A22">
        <v>216</v>
      </c>
      <c r="B22" s="1">
        <v>44036</v>
      </c>
      <c r="C22">
        <v>1241520334</v>
      </c>
      <c r="D22" s="2" t="s">
        <v>24</v>
      </c>
      <c r="E22" s="2" t="s">
        <v>25</v>
      </c>
      <c r="F22" s="2" t="s">
        <v>26</v>
      </c>
      <c r="G22" s="2" t="s">
        <v>27</v>
      </c>
      <c r="H22" s="2" t="s">
        <v>28</v>
      </c>
      <c r="I22" s="2" t="s">
        <v>29</v>
      </c>
      <c r="J22" s="2" t="s">
        <v>100</v>
      </c>
      <c r="K22" s="2" t="s">
        <v>72</v>
      </c>
      <c r="L22" s="3">
        <v>1134</v>
      </c>
      <c r="M22">
        <v>32</v>
      </c>
      <c r="N22" s="3">
        <v>36288</v>
      </c>
      <c r="O22" t="s">
        <v>111</v>
      </c>
      <c r="Q22">
        <f>MATCH(R22,P5:P8,0)</f>
        <v>4</v>
      </c>
      <c r="R22" t="s">
        <v>20</v>
      </c>
      <c r="S22">
        <v>2</v>
      </c>
      <c r="T22">
        <v>2</v>
      </c>
      <c r="U22">
        <v>2</v>
      </c>
    </row>
    <row r="23" spans="1:31" x14ac:dyDescent="0.25">
      <c r="A23">
        <v>228</v>
      </c>
      <c r="B23" s="1">
        <v>43864</v>
      </c>
      <c r="C23">
        <v>142416687</v>
      </c>
      <c r="D23" s="2" t="s">
        <v>54</v>
      </c>
      <c r="E23" s="2" t="s">
        <v>55</v>
      </c>
      <c r="F23" s="2" t="s">
        <v>56</v>
      </c>
      <c r="G23" s="2" t="s">
        <v>57</v>
      </c>
      <c r="H23" s="2" t="s">
        <v>18</v>
      </c>
      <c r="I23" s="2" t="s">
        <v>29</v>
      </c>
      <c r="J23" s="2" t="s">
        <v>20</v>
      </c>
      <c r="K23" s="2" t="s">
        <v>21</v>
      </c>
      <c r="L23" s="3">
        <v>196</v>
      </c>
      <c r="M23">
        <v>67</v>
      </c>
      <c r="N23" s="3">
        <v>13132</v>
      </c>
      <c r="O23" t="s">
        <v>111</v>
      </c>
      <c r="R23">
        <v>2</v>
      </c>
      <c r="S23">
        <v>1</v>
      </c>
      <c r="T23">
        <v>3</v>
      </c>
      <c r="U23">
        <v>2</v>
      </c>
    </row>
    <row r="24" spans="1:31" x14ac:dyDescent="0.25">
      <c r="A24">
        <v>235</v>
      </c>
      <c r="B24" s="1">
        <v>44142</v>
      </c>
      <c r="C24">
        <v>2932971142</v>
      </c>
      <c r="D24" s="2" t="s">
        <v>42</v>
      </c>
      <c r="E24" s="2" t="s">
        <v>43</v>
      </c>
      <c r="F24" s="2" t="s">
        <v>44</v>
      </c>
      <c r="G24" s="2" t="s">
        <v>45</v>
      </c>
      <c r="H24" s="2" t="s">
        <v>18</v>
      </c>
      <c r="I24" s="2" t="s">
        <v>19</v>
      </c>
      <c r="J24" s="2" t="s">
        <v>20</v>
      </c>
      <c r="K24" s="2" t="s">
        <v>21</v>
      </c>
      <c r="L24" s="3">
        <v>196</v>
      </c>
      <c r="M24">
        <v>50</v>
      </c>
      <c r="N24" s="3">
        <v>9800</v>
      </c>
      <c r="O24" t="s">
        <v>110</v>
      </c>
      <c r="Q24" t="str" cm="1">
        <f t="array" ref="Q24">INDEX(P5:P8,Q22,1)</f>
        <v>Cerveza</v>
      </c>
      <c r="R24">
        <v>2</v>
      </c>
      <c r="S24">
        <v>3</v>
      </c>
      <c r="T24">
        <v>4</v>
      </c>
      <c r="U24">
        <v>1</v>
      </c>
    </row>
    <row r="25" spans="1:31" x14ac:dyDescent="0.25">
      <c r="A25">
        <v>237</v>
      </c>
      <c r="B25" s="1">
        <v>43926</v>
      </c>
      <c r="C25">
        <v>8872627168</v>
      </c>
      <c r="D25" s="2" t="s">
        <v>24</v>
      </c>
      <c r="E25" s="2" t="s">
        <v>25</v>
      </c>
      <c r="F25" s="2" t="s">
        <v>26</v>
      </c>
      <c r="G25" s="2" t="s">
        <v>27</v>
      </c>
      <c r="H25" s="2" t="s">
        <v>28</v>
      </c>
      <c r="I25" s="2" t="s">
        <v>29</v>
      </c>
      <c r="J25" s="2" t="s">
        <v>100</v>
      </c>
      <c r="K25" s="2" t="s">
        <v>72</v>
      </c>
      <c r="L25" s="3">
        <v>1134</v>
      </c>
      <c r="M25">
        <v>54</v>
      </c>
      <c r="N25" s="3">
        <v>61236</v>
      </c>
      <c r="O25" t="s">
        <v>110</v>
      </c>
      <c r="Q25">
        <f>SUM(S21:S26,T21:T24,_xlfn.ANCHORARRAY(U21))</f>
        <v>31</v>
      </c>
      <c r="R25">
        <f>SUM(S21:S26 R23:T24)</f>
        <v>4</v>
      </c>
      <c r="S25">
        <v>3</v>
      </c>
      <c r="U25">
        <v>0</v>
      </c>
    </row>
    <row r="26" spans="1:31" x14ac:dyDescent="0.25">
      <c r="A26">
        <v>260</v>
      </c>
      <c r="B26" s="1">
        <v>44142</v>
      </c>
      <c r="C26">
        <v>2582781913</v>
      </c>
      <c r="D26" s="2" t="s">
        <v>54</v>
      </c>
      <c r="E26" s="2" t="s">
        <v>55</v>
      </c>
      <c r="F26" s="2" t="s">
        <v>56</v>
      </c>
      <c r="G26" s="2" t="s">
        <v>57</v>
      </c>
      <c r="H26" s="2" t="s">
        <v>18</v>
      </c>
      <c r="I26" s="2" t="s">
        <v>29</v>
      </c>
      <c r="J26" s="2" t="s">
        <v>20</v>
      </c>
      <c r="K26" s="2" t="s">
        <v>21</v>
      </c>
      <c r="L26" s="3">
        <v>196</v>
      </c>
      <c r="M26">
        <v>98</v>
      </c>
      <c r="N26" s="3">
        <v>19208</v>
      </c>
      <c r="O26" t="s">
        <v>111</v>
      </c>
      <c r="S26">
        <v>4</v>
      </c>
    </row>
    <row r="27" spans="1:31" x14ac:dyDescent="0.25">
      <c r="A27">
        <v>267</v>
      </c>
      <c r="B27" s="1">
        <v>43907</v>
      </c>
      <c r="C27">
        <v>2294414293</v>
      </c>
      <c r="D27" s="2" t="s">
        <v>42</v>
      </c>
      <c r="E27" s="2" t="s">
        <v>43</v>
      </c>
      <c r="F27" s="2" t="s">
        <v>44</v>
      </c>
      <c r="G27" s="2" t="s">
        <v>45</v>
      </c>
      <c r="H27" s="2" t="s">
        <v>18</v>
      </c>
      <c r="I27" s="2" t="s">
        <v>19</v>
      </c>
      <c r="J27" s="2" t="s">
        <v>20</v>
      </c>
      <c r="K27" s="2" t="s">
        <v>21</v>
      </c>
      <c r="L27" s="3">
        <v>196</v>
      </c>
      <c r="M27">
        <v>78</v>
      </c>
      <c r="N27" s="3">
        <v>15288</v>
      </c>
      <c r="O27" t="s">
        <v>110</v>
      </c>
    </row>
    <row r="28" spans="1:31" x14ac:dyDescent="0.25">
      <c r="A28">
        <v>269</v>
      </c>
      <c r="B28" s="1">
        <v>44109</v>
      </c>
      <c r="C28">
        <v>1245231958</v>
      </c>
      <c r="D28" s="2" t="s">
        <v>24</v>
      </c>
      <c r="E28" s="2" t="s">
        <v>25</v>
      </c>
      <c r="F28" s="2" t="s">
        <v>26</v>
      </c>
      <c r="G28" s="2" t="s">
        <v>27</v>
      </c>
      <c r="H28" s="2" t="s">
        <v>28</v>
      </c>
      <c r="I28" s="2" t="s">
        <v>29</v>
      </c>
      <c r="J28" s="2" t="s">
        <v>100</v>
      </c>
      <c r="K28" s="2" t="s">
        <v>72</v>
      </c>
      <c r="L28" s="3">
        <v>1134</v>
      </c>
      <c r="M28">
        <v>82</v>
      </c>
      <c r="N28" s="3">
        <v>92988</v>
      </c>
      <c r="O28" t="s">
        <v>110</v>
      </c>
    </row>
    <row r="29" spans="1:31" x14ac:dyDescent="0.25">
      <c r="A29">
        <v>293</v>
      </c>
      <c r="B29" s="1">
        <v>44062</v>
      </c>
      <c r="C29">
        <v>1397118248</v>
      </c>
      <c r="D29" s="2" t="s">
        <v>54</v>
      </c>
      <c r="E29" s="2" t="s">
        <v>55</v>
      </c>
      <c r="F29" s="2" t="s">
        <v>56</v>
      </c>
      <c r="G29" s="2" t="s">
        <v>57</v>
      </c>
      <c r="H29" s="2" t="s">
        <v>18</v>
      </c>
      <c r="I29" s="2" t="s">
        <v>29</v>
      </c>
      <c r="J29" s="2" t="s">
        <v>20</v>
      </c>
      <c r="K29" s="2" t="s">
        <v>21</v>
      </c>
      <c r="L29" s="3">
        <v>196</v>
      </c>
      <c r="M29">
        <v>85</v>
      </c>
      <c r="N29" s="3">
        <v>16660</v>
      </c>
      <c r="O29" t="s">
        <v>110</v>
      </c>
    </row>
    <row r="30" spans="1:31" x14ac:dyDescent="0.25">
      <c r="A30">
        <v>300</v>
      </c>
      <c r="B30" s="1">
        <v>44130</v>
      </c>
      <c r="C30">
        <v>6897506437</v>
      </c>
      <c r="D30" s="2" t="s">
        <v>42</v>
      </c>
      <c r="E30" s="2" t="s">
        <v>43</v>
      </c>
      <c r="F30" s="2" t="s">
        <v>44</v>
      </c>
      <c r="G30" s="2" t="s">
        <v>45</v>
      </c>
      <c r="H30" s="2" t="s">
        <v>18</v>
      </c>
      <c r="I30" s="2" t="s">
        <v>19</v>
      </c>
      <c r="J30" s="2" t="s">
        <v>20</v>
      </c>
      <c r="K30" s="2" t="s">
        <v>21</v>
      </c>
      <c r="L30" s="3">
        <v>196</v>
      </c>
      <c r="M30">
        <v>38</v>
      </c>
      <c r="N30" s="3">
        <v>7448</v>
      </c>
      <c r="O30" t="s">
        <v>111</v>
      </c>
    </row>
    <row r="31" spans="1:31" x14ac:dyDescent="0.25">
      <c r="A31">
        <v>302</v>
      </c>
      <c r="B31" s="1">
        <v>43984</v>
      </c>
      <c r="C31">
        <v>6972691420</v>
      </c>
      <c r="D31" s="2" t="s">
        <v>24</v>
      </c>
      <c r="E31" s="2" t="s">
        <v>25</v>
      </c>
      <c r="F31" s="2" t="s">
        <v>26</v>
      </c>
      <c r="G31" s="2" t="s">
        <v>27</v>
      </c>
      <c r="H31" s="2" t="s">
        <v>28</v>
      </c>
      <c r="I31" s="2" t="s">
        <v>29</v>
      </c>
      <c r="J31" s="2" t="s">
        <v>100</v>
      </c>
      <c r="K31" s="2" t="s">
        <v>72</v>
      </c>
      <c r="L31" s="3">
        <v>1134</v>
      </c>
      <c r="M31">
        <v>52</v>
      </c>
      <c r="N31" s="3">
        <v>58968</v>
      </c>
      <c r="O31" t="s">
        <v>111</v>
      </c>
    </row>
    <row r="32" spans="1:31" x14ac:dyDescent="0.25">
      <c r="A32">
        <v>313</v>
      </c>
      <c r="B32" s="1">
        <v>43953</v>
      </c>
      <c r="C32">
        <v>3833780472</v>
      </c>
      <c r="D32" s="2" t="s">
        <v>14</v>
      </c>
      <c r="E32" s="2" t="s">
        <v>15</v>
      </c>
      <c r="F32" s="2" t="s">
        <v>16</v>
      </c>
      <c r="G32" s="2" t="s">
        <v>17</v>
      </c>
      <c r="H32" s="2" t="s">
        <v>18</v>
      </c>
      <c r="I32" s="2" t="s">
        <v>19</v>
      </c>
      <c r="J32" s="2" t="s">
        <v>20</v>
      </c>
      <c r="K32" s="2" t="s">
        <v>21</v>
      </c>
      <c r="L32" s="3">
        <v>196</v>
      </c>
      <c r="M32">
        <v>14</v>
      </c>
      <c r="N32" s="3">
        <v>2744</v>
      </c>
      <c r="O32" t="s">
        <v>110</v>
      </c>
    </row>
    <row r="33" spans="1:15" x14ac:dyDescent="0.25">
      <c r="A33">
        <v>315</v>
      </c>
      <c r="B33" s="1">
        <v>43897</v>
      </c>
      <c r="C33">
        <v>3066920858</v>
      </c>
      <c r="D33" s="2" t="s">
        <v>24</v>
      </c>
      <c r="E33" s="2" t="s">
        <v>25</v>
      </c>
      <c r="F33" s="2" t="s">
        <v>26</v>
      </c>
      <c r="G33" s="2" t="s">
        <v>27</v>
      </c>
      <c r="H33" s="2" t="s">
        <v>28</v>
      </c>
      <c r="I33" s="2" t="s">
        <v>29</v>
      </c>
      <c r="J33" s="2" t="s">
        <v>30</v>
      </c>
      <c r="K33" s="2" t="s">
        <v>23</v>
      </c>
      <c r="L33" s="3">
        <v>420</v>
      </c>
      <c r="M33">
        <v>100</v>
      </c>
      <c r="N33" s="3">
        <v>42000</v>
      </c>
      <c r="O33" t="s">
        <v>110</v>
      </c>
    </row>
    <row r="34" spans="1:15" x14ac:dyDescent="0.25">
      <c r="A34">
        <v>341</v>
      </c>
      <c r="B34" s="1">
        <v>44196</v>
      </c>
      <c r="C34">
        <v>654398232</v>
      </c>
      <c r="D34" s="2" t="s">
        <v>54</v>
      </c>
      <c r="E34" s="2" t="s">
        <v>55</v>
      </c>
      <c r="F34" s="2" t="s">
        <v>56</v>
      </c>
      <c r="G34" s="2" t="s">
        <v>57</v>
      </c>
      <c r="H34" s="2" t="s">
        <v>18</v>
      </c>
      <c r="I34" s="2" t="s">
        <v>29</v>
      </c>
      <c r="J34" s="2" t="s">
        <v>20</v>
      </c>
      <c r="K34" s="2" t="s">
        <v>21</v>
      </c>
      <c r="L34" s="3">
        <v>196</v>
      </c>
      <c r="M34">
        <v>68</v>
      </c>
      <c r="N34" s="3">
        <v>13328</v>
      </c>
      <c r="O34" t="s">
        <v>110</v>
      </c>
    </row>
    <row r="35" spans="1:15" x14ac:dyDescent="0.25">
      <c r="A35">
        <v>348</v>
      </c>
      <c r="B35" s="1">
        <v>43959</v>
      </c>
      <c r="C35">
        <v>7020598503</v>
      </c>
      <c r="D35" s="2" t="s">
        <v>42</v>
      </c>
      <c r="E35" s="2" t="s">
        <v>43</v>
      </c>
      <c r="F35" s="2" t="s">
        <v>44</v>
      </c>
      <c r="G35" s="2" t="s">
        <v>45</v>
      </c>
      <c r="H35" s="2" t="s">
        <v>18</v>
      </c>
      <c r="I35" s="2" t="s">
        <v>19</v>
      </c>
      <c r="J35" s="2" t="s">
        <v>20</v>
      </c>
      <c r="K35" s="2" t="s">
        <v>21</v>
      </c>
      <c r="L35" s="3">
        <v>196</v>
      </c>
      <c r="M35">
        <v>96</v>
      </c>
      <c r="N35" s="3">
        <v>18816</v>
      </c>
      <c r="O35" t="s">
        <v>111</v>
      </c>
    </row>
    <row r="36" spans="1:15" x14ac:dyDescent="0.25">
      <c r="A36">
        <v>350</v>
      </c>
      <c r="B36" s="1">
        <v>43958</v>
      </c>
      <c r="C36">
        <v>3654530055</v>
      </c>
      <c r="D36" s="2" t="s">
        <v>24</v>
      </c>
      <c r="E36" s="2" t="s">
        <v>25</v>
      </c>
      <c r="F36" s="2" t="s">
        <v>26</v>
      </c>
      <c r="G36" s="2" t="s">
        <v>27</v>
      </c>
      <c r="H36" s="2" t="s">
        <v>28</v>
      </c>
      <c r="I36" s="2" t="s">
        <v>29</v>
      </c>
      <c r="J36" s="2" t="s">
        <v>100</v>
      </c>
      <c r="K36" s="2" t="s">
        <v>72</v>
      </c>
      <c r="L36" s="3">
        <v>1134</v>
      </c>
      <c r="M36">
        <v>38</v>
      </c>
      <c r="N36" s="3">
        <v>43092</v>
      </c>
      <c r="O36" t="s">
        <v>111</v>
      </c>
    </row>
    <row r="37" spans="1:15" x14ac:dyDescent="0.25">
      <c r="A37">
        <v>366</v>
      </c>
      <c r="B37" s="1">
        <v>43986</v>
      </c>
      <c r="C37">
        <v>8977261174</v>
      </c>
      <c r="D37" s="2" t="s">
        <v>54</v>
      </c>
      <c r="E37" s="2" t="s">
        <v>55</v>
      </c>
      <c r="F37" s="2" t="s">
        <v>56</v>
      </c>
      <c r="G37" s="2" t="s">
        <v>57</v>
      </c>
      <c r="H37" s="2" t="s">
        <v>39</v>
      </c>
      <c r="I37" s="2" t="s">
        <v>19</v>
      </c>
      <c r="J37" s="2" t="s">
        <v>30</v>
      </c>
      <c r="K37" s="2" t="s">
        <v>23</v>
      </c>
      <c r="L37" s="3">
        <v>420</v>
      </c>
      <c r="M37">
        <v>33</v>
      </c>
      <c r="N37" s="3">
        <v>13860</v>
      </c>
      <c r="O37" t="s">
        <v>111</v>
      </c>
    </row>
  </sheetData>
  <autoFilter ref="A1:O37" xr:uid="{36947BAF-70FD-4255-8B58-B26E75283A1D}"/>
  <conditionalFormatting sqref="H18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N18">
    <cfRule type="iconSet" priority="3">
      <iconSet iconSet="3ArrowsGray">
        <cfvo type="percent" val="0"/>
        <cfvo type="percent" val="33"/>
        <cfvo type="percent" val="67"/>
      </iconSet>
    </cfRule>
  </conditionalFormatting>
  <conditionalFormatting sqref="H1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N1">
    <cfRule type="iconSet" priority="1">
      <iconSet iconSet="3ArrowsGray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Q1" xr:uid="{0F4B5DA8-1385-4BD6-ACD9-4CB1028CFDB6}">
      <formula1>$R$1:$R$2</formula1>
    </dataValidation>
    <dataValidation type="list" allowBlank="1" showInputMessage="1" showErrorMessage="1" sqref="R22" xr:uid="{A0B991E1-0222-40EB-901F-36CA3B09267E}">
      <formula1>frutas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FA39D-C6F4-4B25-AFF2-068645F310B6}">
  <sheetPr codeName="Hoja3"/>
  <dimension ref="A1:XFD15"/>
  <sheetViews>
    <sheetView workbookViewId="0">
      <selection activeCell="K2" sqref="K2"/>
    </sheetView>
  </sheetViews>
  <sheetFormatPr baseColWidth="10" defaultRowHeight="15" x14ac:dyDescent="0.25"/>
  <cols>
    <col min="5" max="5" width="20.28515625" bestFit="1" customWidth="1"/>
    <col min="13" max="13" width="11.85546875" bestFit="1" customWidth="1"/>
  </cols>
  <sheetData>
    <row r="1" spans="1:16384" x14ac:dyDescent="0.25">
      <c r="C1">
        <v>6</v>
      </c>
      <c r="D1">
        <v>2</v>
      </c>
      <c r="E1">
        <v>2</v>
      </c>
      <c r="G1" cm="1">
        <f t="array" aca="1" ref="G1" ca="1">B:B</f>
        <v>0</v>
      </c>
      <c r="I1">
        <v>3</v>
      </c>
      <c r="J1">
        <v>4</v>
      </c>
      <c r="K1" cm="1">
        <f t="array" aca="1" ref="K1" ca="1">B:B</f>
        <v>0</v>
      </c>
    </row>
    <row r="2" spans="1:16384" x14ac:dyDescent="0.25">
      <c r="M2" t="s">
        <v>112</v>
      </c>
      <c r="N2" t="s">
        <v>113</v>
      </c>
    </row>
    <row r="3" spans="1:16384" x14ac:dyDescent="0.25">
      <c r="C3">
        <f>C1*D1/E1</f>
        <v>6</v>
      </c>
      <c r="I3" cm="1">
        <f t="array" ref="I3">basex(I1,J1)</f>
        <v>6</v>
      </c>
    </row>
    <row r="4" spans="1:16384" x14ac:dyDescent="0.25">
      <c r="M4" t="str" cm="1">
        <f t="array" ref="M4">unirx(M2,N2)</f>
        <v>la casa es hermosa</v>
      </c>
    </row>
    <row r="6" spans="1:16384" x14ac:dyDescent="0.25">
      <c r="A6">
        <v>2</v>
      </c>
      <c r="B6">
        <v>10</v>
      </c>
      <c r="C6">
        <f>COUNT(A6:A9)</f>
        <v>4</v>
      </c>
    </row>
    <row r="7" spans="1:16384" x14ac:dyDescent="0.25">
      <c r="A7">
        <v>5</v>
      </c>
      <c r="B7">
        <v>10</v>
      </c>
      <c r="E7" cm="1">
        <f t="array" ref="E7">calculox(A6,A7,A9)</f>
        <v>-0.5</v>
      </c>
    </row>
    <row r="8" spans="1:16384" x14ac:dyDescent="0.25">
      <c r="A8">
        <v>2</v>
      </c>
      <c r="B8">
        <v>10</v>
      </c>
    </row>
    <row r="9" spans="1:16384" x14ac:dyDescent="0.25">
      <c r="A9">
        <f>SQRT(POWER(A7,2)-4*A6*A8)</f>
        <v>3</v>
      </c>
      <c r="B9">
        <v>10</v>
      </c>
      <c r="E9" cm="1">
        <f t="array" ref="E9">calculox(D1,C1,E1)</f>
        <v>-1</v>
      </c>
    </row>
    <row r="10" spans="1:16384" x14ac:dyDescent="0.25">
      <c r="A10">
        <f>SUM(A6:A9)</f>
        <v>12</v>
      </c>
      <c r="B10">
        <f>SUM(B6:B9)</f>
        <v>40</v>
      </c>
    </row>
    <row r="12" spans="1:16384" x14ac:dyDescent="0.25">
      <c r="D12" cm="1">
        <f t="array" ref="D12">prox(B10,C6)</f>
        <v>10</v>
      </c>
    </row>
    <row r="15" spans="1:16384" x14ac:dyDescent="0.25">
      <c r="A15" cm="1">
        <f t="array" aca="1" ref="A15:XFD15" ca="1">1:1</f>
        <v>0</v>
      </c>
      <c r="B15">
        <f ca="1"/>
        <v>0</v>
      </c>
      <c r="C15">
        <f ca="1"/>
        <v>6</v>
      </c>
      <c r="D15">
        <f ca="1"/>
        <v>2</v>
      </c>
      <c r="E15">
        <f ca="1"/>
        <v>2</v>
      </c>
      <c r="F15">
        <f ca="1"/>
        <v>0</v>
      </c>
      <c r="G15">
        <f ca="1"/>
        <v>0</v>
      </c>
      <c r="H15">
        <f ca="1"/>
        <v>0</v>
      </c>
      <c r="I15">
        <f ca="1"/>
        <v>3</v>
      </c>
      <c r="J15">
        <f ca="1"/>
        <v>4</v>
      </c>
      <c r="K15">
        <f ca="1"/>
        <v>0</v>
      </c>
      <c r="L15">
        <f ca="1"/>
        <v>0</v>
      </c>
      <c r="M15">
        <f ca="1"/>
        <v>0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</v>
      </c>
      <c r="T15">
        <f ca="1"/>
        <v>0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</v>
      </c>
      <c r="Z15">
        <f ca="1"/>
        <v>0</v>
      </c>
      <c r="AA15">
        <f ca="1"/>
        <v>0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  <c r="AQ15">
        <f ca="1"/>
        <v>0</v>
      </c>
      <c r="AR15">
        <f ca="1"/>
        <v>0</v>
      </c>
      <c r="AS15">
        <f ca="1"/>
        <v>0</v>
      </c>
      <c r="AT15">
        <f ca="1"/>
        <v>0</v>
      </c>
      <c r="AU15">
        <f ca="1"/>
        <v>0</v>
      </c>
      <c r="AV15">
        <f ca="1"/>
        <v>0</v>
      </c>
      <c r="AW15">
        <f ca="1"/>
        <v>0</v>
      </c>
      <c r="AX15">
        <f ca="1"/>
        <v>0</v>
      </c>
      <c r="AY15">
        <f ca="1"/>
        <v>0</v>
      </c>
      <c r="AZ15">
        <f ca="1"/>
        <v>0</v>
      </c>
      <c r="BA15">
        <f ca="1"/>
        <v>0</v>
      </c>
      <c r="BB15">
        <f ca="1"/>
        <v>0</v>
      </c>
      <c r="BC15">
        <f ca="1"/>
        <v>0</v>
      </c>
      <c r="BD15">
        <f ca="1"/>
        <v>0</v>
      </c>
      <c r="BE15">
        <f ca="1"/>
        <v>0</v>
      </c>
      <c r="BF15">
        <f ca="1"/>
        <v>0</v>
      </c>
      <c r="BG15">
        <f ca="1"/>
        <v>0</v>
      </c>
      <c r="BH15">
        <f ca="1"/>
        <v>0</v>
      </c>
      <c r="BI15">
        <f ca="1"/>
        <v>0</v>
      </c>
      <c r="BJ15">
        <f ca="1"/>
        <v>0</v>
      </c>
      <c r="BK15">
        <f ca="1"/>
        <v>0</v>
      </c>
      <c r="BL15">
        <f ca="1"/>
        <v>0</v>
      </c>
      <c r="BM15">
        <f ca="1"/>
        <v>0</v>
      </c>
      <c r="BN15">
        <f ca="1"/>
        <v>0</v>
      </c>
      <c r="BO15">
        <f ca="1"/>
        <v>0</v>
      </c>
      <c r="BP15">
        <f ca="1"/>
        <v>0</v>
      </c>
      <c r="BQ15">
        <f ca="1"/>
        <v>0</v>
      </c>
      <c r="BR15">
        <f ca="1"/>
        <v>0</v>
      </c>
      <c r="BS15">
        <f ca="1"/>
        <v>0</v>
      </c>
      <c r="BT15">
        <f ca="1"/>
        <v>0</v>
      </c>
      <c r="BU15">
        <f ca="1"/>
        <v>0</v>
      </c>
      <c r="BV15">
        <f ca="1"/>
        <v>0</v>
      </c>
      <c r="BW15">
        <f ca="1"/>
        <v>0</v>
      </c>
      <c r="BX15">
        <f ca="1"/>
        <v>0</v>
      </c>
      <c r="BY15">
        <f ca="1"/>
        <v>0</v>
      </c>
      <c r="BZ15">
        <f ca="1"/>
        <v>0</v>
      </c>
      <c r="CA15">
        <f ca="1"/>
        <v>0</v>
      </c>
      <c r="CB15">
        <f ca="1"/>
        <v>0</v>
      </c>
      <c r="CC15">
        <f ca="1"/>
        <v>0</v>
      </c>
      <c r="CD15">
        <f ca="1"/>
        <v>0</v>
      </c>
      <c r="CE15">
        <f ca="1"/>
        <v>0</v>
      </c>
      <c r="CF15">
        <f ca="1"/>
        <v>0</v>
      </c>
      <c r="CG15">
        <f ca="1"/>
        <v>0</v>
      </c>
      <c r="CH15">
        <f ca="1"/>
        <v>0</v>
      </c>
      <c r="CI15">
        <f ca="1"/>
        <v>0</v>
      </c>
      <c r="CJ15">
        <f ca="1"/>
        <v>0</v>
      </c>
      <c r="CK15">
        <f ca="1"/>
        <v>0</v>
      </c>
      <c r="CL15">
        <f ca="1"/>
        <v>0</v>
      </c>
      <c r="CM15">
        <f ca="1"/>
        <v>0</v>
      </c>
      <c r="CN15">
        <f ca="1"/>
        <v>0</v>
      </c>
      <c r="CO15">
        <f ca="1"/>
        <v>0</v>
      </c>
      <c r="CP15">
        <f ca="1"/>
        <v>0</v>
      </c>
      <c r="CQ15">
        <f ca="1"/>
        <v>0</v>
      </c>
      <c r="CR15">
        <f ca="1"/>
        <v>0</v>
      </c>
      <c r="CS15">
        <f ca="1"/>
        <v>0</v>
      </c>
      <c r="CT15">
        <f ca="1"/>
        <v>0</v>
      </c>
      <c r="CU15">
        <f ca="1"/>
        <v>0</v>
      </c>
      <c r="CV15">
        <f ca="1"/>
        <v>0</v>
      </c>
      <c r="CW15">
        <f ca="1"/>
        <v>0</v>
      </c>
      <c r="CX15">
        <f ca="1"/>
        <v>0</v>
      </c>
      <c r="CY15">
        <f ca="1"/>
        <v>0</v>
      </c>
      <c r="CZ15">
        <f ca="1"/>
        <v>0</v>
      </c>
      <c r="DA15">
        <f ca="1"/>
        <v>0</v>
      </c>
      <c r="DB15">
        <f ca="1"/>
        <v>0</v>
      </c>
      <c r="DC15">
        <f ca="1"/>
        <v>0</v>
      </c>
      <c r="DD15">
        <f ca="1"/>
        <v>0</v>
      </c>
      <c r="DE15">
        <f ca="1"/>
        <v>0</v>
      </c>
      <c r="DF15">
        <f ca="1"/>
        <v>0</v>
      </c>
      <c r="DG15">
        <f ca="1"/>
        <v>0</v>
      </c>
      <c r="DH15">
        <f ca="1"/>
        <v>0</v>
      </c>
      <c r="DI15">
        <f ca="1"/>
        <v>0</v>
      </c>
      <c r="DJ15">
        <f ca="1"/>
        <v>0</v>
      </c>
      <c r="DK15">
        <f ca="1"/>
        <v>0</v>
      </c>
      <c r="DL15">
        <f ca="1"/>
        <v>0</v>
      </c>
      <c r="DM15">
        <f ca="1"/>
        <v>0</v>
      </c>
      <c r="DN15">
        <f ca="1"/>
        <v>0</v>
      </c>
      <c r="DO15">
        <f ca="1"/>
        <v>0</v>
      </c>
      <c r="DP15">
        <f ca="1"/>
        <v>0</v>
      </c>
      <c r="DQ15">
        <f ca="1"/>
        <v>0</v>
      </c>
      <c r="DR15">
        <f ca="1"/>
        <v>0</v>
      </c>
      <c r="DS15">
        <f ca="1"/>
        <v>0</v>
      </c>
      <c r="DT15">
        <f ca="1"/>
        <v>0</v>
      </c>
      <c r="DU15">
        <f ca="1"/>
        <v>0</v>
      </c>
      <c r="DV15">
        <f ca="1"/>
        <v>0</v>
      </c>
      <c r="DW15">
        <f ca="1"/>
        <v>0</v>
      </c>
      <c r="DX15">
        <f ca="1"/>
        <v>0</v>
      </c>
      <c r="DY15">
        <f ca="1"/>
        <v>0</v>
      </c>
      <c r="DZ15">
        <f ca="1"/>
        <v>0</v>
      </c>
      <c r="EA15">
        <f ca="1"/>
        <v>0</v>
      </c>
      <c r="EB15">
        <f ca="1"/>
        <v>0</v>
      </c>
      <c r="EC15">
        <f ca="1"/>
        <v>0</v>
      </c>
      <c r="ED15">
        <f ca="1"/>
        <v>0</v>
      </c>
      <c r="EE15">
        <f ca="1"/>
        <v>0</v>
      </c>
      <c r="EF15">
        <f ca="1"/>
        <v>0</v>
      </c>
      <c r="EG15">
        <f ca="1"/>
        <v>0</v>
      </c>
      <c r="EH15">
        <f ca="1"/>
        <v>0</v>
      </c>
      <c r="EI15">
        <f ca="1"/>
        <v>0</v>
      </c>
      <c r="EJ15">
        <f ca="1"/>
        <v>0</v>
      </c>
      <c r="EK15">
        <f ca="1"/>
        <v>0</v>
      </c>
      <c r="EL15">
        <f ca="1"/>
        <v>0</v>
      </c>
      <c r="EM15">
        <f ca="1"/>
        <v>0</v>
      </c>
      <c r="EN15">
        <f ca="1"/>
        <v>0</v>
      </c>
      <c r="EO15">
        <f ca="1"/>
        <v>0</v>
      </c>
      <c r="EP15">
        <f ca="1"/>
        <v>0</v>
      </c>
      <c r="EQ15">
        <f ca="1"/>
        <v>0</v>
      </c>
      <c r="ER15">
        <f ca="1"/>
        <v>0</v>
      </c>
      <c r="ES15">
        <f ca="1"/>
        <v>0</v>
      </c>
      <c r="ET15">
        <f ca="1"/>
        <v>0</v>
      </c>
      <c r="EU15">
        <f ca="1"/>
        <v>0</v>
      </c>
      <c r="EV15">
        <f ca="1"/>
        <v>0</v>
      </c>
      <c r="EW15">
        <f ca="1"/>
        <v>0</v>
      </c>
      <c r="EX15">
        <f ca="1"/>
        <v>0</v>
      </c>
      <c r="EY15">
        <f ca="1"/>
        <v>0</v>
      </c>
      <c r="EZ15">
        <f ca="1"/>
        <v>0</v>
      </c>
      <c r="FA15">
        <f ca="1"/>
        <v>0</v>
      </c>
      <c r="FB15">
        <f ca="1"/>
        <v>0</v>
      </c>
      <c r="FC15">
        <f ca="1"/>
        <v>0</v>
      </c>
      <c r="FD15">
        <f ca="1"/>
        <v>0</v>
      </c>
      <c r="FE15">
        <f ca="1"/>
        <v>0</v>
      </c>
      <c r="FF15">
        <f ca="1"/>
        <v>0</v>
      </c>
      <c r="FG15">
        <f ca="1"/>
        <v>0</v>
      </c>
      <c r="FH15">
        <f ca="1"/>
        <v>0</v>
      </c>
      <c r="FI15">
        <f ca="1"/>
        <v>0</v>
      </c>
      <c r="FJ15">
        <f ca="1"/>
        <v>0</v>
      </c>
      <c r="FK15">
        <f ca="1"/>
        <v>0</v>
      </c>
      <c r="FL15">
        <f ca="1"/>
        <v>0</v>
      </c>
      <c r="FM15">
        <f ca="1"/>
        <v>0</v>
      </c>
      <c r="FN15">
        <f ca="1"/>
        <v>0</v>
      </c>
      <c r="FO15">
        <f ca="1"/>
        <v>0</v>
      </c>
      <c r="FP15">
        <f ca="1"/>
        <v>0</v>
      </c>
      <c r="FQ15">
        <f ca="1"/>
        <v>0</v>
      </c>
      <c r="FR15">
        <f ca="1"/>
        <v>0</v>
      </c>
      <c r="FS15">
        <f ca="1"/>
        <v>0</v>
      </c>
      <c r="FT15">
        <f ca="1"/>
        <v>0</v>
      </c>
      <c r="FU15">
        <f ca="1"/>
        <v>0</v>
      </c>
      <c r="FV15">
        <f ca="1"/>
        <v>0</v>
      </c>
      <c r="FW15">
        <f ca="1"/>
        <v>0</v>
      </c>
      <c r="FX15">
        <f ca="1"/>
        <v>0</v>
      </c>
      <c r="FY15">
        <f ca="1"/>
        <v>0</v>
      </c>
      <c r="FZ15">
        <f ca="1"/>
        <v>0</v>
      </c>
      <c r="GA15">
        <f ca="1"/>
        <v>0</v>
      </c>
      <c r="GB15">
        <f ca="1"/>
        <v>0</v>
      </c>
      <c r="GC15">
        <f ca="1"/>
        <v>0</v>
      </c>
      <c r="GD15">
        <f ca="1"/>
        <v>0</v>
      </c>
      <c r="GE15">
        <f ca="1"/>
        <v>0</v>
      </c>
      <c r="GF15">
        <f ca="1"/>
        <v>0</v>
      </c>
      <c r="GG15">
        <f ca="1"/>
        <v>0</v>
      </c>
      <c r="GH15">
        <f ca="1"/>
        <v>0</v>
      </c>
      <c r="GI15">
        <f ca="1"/>
        <v>0</v>
      </c>
      <c r="GJ15">
        <f ca="1"/>
        <v>0</v>
      </c>
      <c r="GK15">
        <f ca="1"/>
        <v>0</v>
      </c>
      <c r="GL15">
        <f ca="1"/>
        <v>0</v>
      </c>
      <c r="GM15">
        <f ca="1"/>
        <v>0</v>
      </c>
      <c r="GN15">
        <f ca="1"/>
        <v>0</v>
      </c>
      <c r="GO15">
        <f ca="1"/>
        <v>0</v>
      </c>
      <c r="GP15">
        <f ca="1"/>
        <v>0</v>
      </c>
      <c r="GQ15">
        <f ca="1"/>
        <v>0</v>
      </c>
      <c r="GR15">
        <f ca="1"/>
        <v>0</v>
      </c>
      <c r="GS15">
        <f ca="1"/>
        <v>0</v>
      </c>
      <c r="GT15">
        <f ca="1"/>
        <v>0</v>
      </c>
      <c r="GU15">
        <f ca="1"/>
        <v>0</v>
      </c>
      <c r="GV15">
        <f ca="1"/>
        <v>0</v>
      </c>
      <c r="GW15">
        <f ca="1"/>
        <v>0</v>
      </c>
      <c r="GX15">
        <f ca="1"/>
        <v>0</v>
      </c>
      <c r="GY15">
        <f ca="1"/>
        <v>0</v>
      </c>
      <c r="GZ15">
        <f ca="1"/>
        <v>0</v>
      </c>
      <c r="HA15">
        <f ca="1"/>
        <v>0</v>
      </c>
      <c r="HB15">
        <f ca="1"/>
        <v>0</v>
      </c>
      <c r="HC15">
        <f ca="1"/>
        <v>0</v>
      </c>
      <c r="HD15">
        <f ca="1"/>
        <v>0</v>
      </c>
      <c r="HE15">
        <f ca="1"/>
        <v>0</v>
      </c>
      <c r="HF15">
        <f ca="1"/>
        <v>0</v>
      </c>
      <c r="HG15">
        <f ca="1"/>
        <v>0</v>
      </c>
      <c r="HH15">
        <f ca="1"/>
        <v>0</v>
      </c>
      <c r="HI15">
        <f ca="1"/>
        <v>0</v>
      </c>
      <c r="HJ15">
        <f ca="1"/>
        <v>0</v>
      </c>
      <c r="HK15">
        <f ca="1"/>
        <v>0</v>
      </c>
      <c r="HL15">
        <f ca="1"/>
        <v>0</v>
      </c>
      <c r="HM15">
        <f ca="1"/>
        <v>0</v>
      </c>
      <c r="HN15">
        <f ca="1"/>
        <v>0</v>
      </c>
      <c r="HO15">
        <f ca="1"/>
        <v>0</v>
      </c>
      <c r="HP15">
        <f ca="1"/>
        <v>0</v>
      </c>
      <c r="HQ15">
        <f ca="1"/>
        <v>0</v>
      </c>
      <c r="HR15">
        <f ca="1"/>
        <v>0</v>
      </c>
      <c r="HS15">
        <f ca="1"/>
        <v>0</v>
      </c>
      <c r="HT15">
        <f ca="1"/>
        <v>0</v>
      </c>
      <c r="HU15">
        <f ca="1"/>
        <v>0</v>
      </c>
      <c r="HV15">
        <f ca="1"/>
        <v>0</v>
      </c>
      <c r="HW15">
        <f ca="1"/>
        <v>0</v>
      </c>
      <c r="HX15">
        <f ca="1"/>
        <v>0</v>
      </c>
      <c r="HY15">
        <f ca="1"/>
        <v>0</v>
      </c>
      <c r="HZ15">
        <f ca="1"/>
        <v>0</v>
      </c>
      <c r="IA15">
        <f ca="1"/>
        <v>0</v>
      </c>
      <c r="IB15">
        <f ca="1"/>
        <v>0</v>
      </c>
      <c r="IC15">
        <f ca="1"/>
        <v>0</v>
      </c>
      <c r="ID15">
        <f ca="1"/>
        <v>0</v>
      </c>
      <c r="IE15">
        <f ca="1"/>
        <v>0</v>
      </c>
      <c r="IF15">
        <f ca="1"/>
        <v>0</v>
      </c>
      <c r="IG15">
        <f ca="1"/>
        <v>0</v>
      </c>
      <c r="IH15">
        <f ca="1"/>
        <v>0</v>
      </c>
      <c r="II15">
        <f ca="1"/>
        <v>0</v>
      </c>
      <c r="IJ15">
        <f ca="1"/>
        <v>0</v>
      </c>
      <c r="IK15">
        <f ca="1"/>
        <v>0</v>
      </c>
      <c r="IL15">
        <f ca="1"/>
        <v>0</v>
      </c>
      <c r="IM15">
        <f ca="1"/>
        <v>0</v>
      </c>
      <c r="IN15">
        <f ca="1"/>
        <v>0</v>
      </c>
      <c r="IO15">
        <f ca="1"/>
        <v>0</v>
      </c>
      <c r="IP15">
        <f ca="1"/>
        <v>0</v>
      </c>
      <c r="IQ15">
        <f ca="1"/>
        <v>0</v>
      </c>
      <c r="IR15">
        <f ca="1"/>
        <v>0</v>
      </c>
      <c r="IS15">
        <f ca="1"/>
        <v>0</v>
      </c>
      <c r="IT15">
        <f ca="1"/>
        <v>0</v>
      </c>
      <c r="IU15">
        <f ca="1"/>
        <v>0</v>
      </c>
      <c r="IV15">
        <f ca="1"/>
        <v>0</v>
      </c>
      <c r="IW15">
        <f ca="1"/>
        <v>0</v>
      </c>
      <c r="IX15">
        <f ca="1"/>
        <v>0</v>
      </c>
      <c r="IY15">
        <f ca="1"/>
        <v>0</v>
      </c>
      <c r="IZ15">
        <f ca="1"/>
        <v>0</v>
      </c>
      <c r="JA15">
        <f ca="1"/>
        <v>0</v>
      </c>
      <c r="JB15">
        <f ca="1"/>
        <v>0</v>
      </c>
      <c r="JC15">
        <f ca="1"/>
        <v>0</v>
      </c>
      <c r="JD15">
        <f ca="1"/>
        <v>0</v>
      </c>
      <c r="JE15">
        <f ca="1"/>
        <v>0</v>
      </c>
      <c r="JF15">
        <f ca="1"/>
        <v>0</v>
      </c>
      <c r="JG15">
        <f ca="1"/>
        <v>0</v>
      </c>
      <c r="JH15">
        <f ca="1"/>
        <v>0</v>
      </c>
      <c r="JI15">
        <f ca="1"/>
        <v>0</v>
      </c>
      <c r="JJ15">
        <f ca="1"/>
        <v>0</v>
      </c>
      <c r="JK15">
        <f ca="1"/>
        <v>0</v>
      </c>
      <c r="JL15">
        <f ca="1"/>
        <v>0</v>
      </c>
      <c r="JM15">
        <f ca="1"/>
        <v>0</v>
      </c>
      <c r="JN15">
        <f ca="1"/>
        <v>0</v>
      </c>
      <c r="JO15">
        <f ca="1"/>
        <v>0</v>
      </c>
      <c r="JP15">
        <f ca="1"/>
        <v>0</v>
      </c>
      <c r="JQ15">
        <f ca="1"/>
        <v>0</v>
      </c>
      <c r="JR15">
        <f ca="1"/>
        <v>0</v>
      </c>
      <c r="JS15">
        <f ca="1"/>
        <v>0</v>
      </c>
      <c r="JT15">
        <f ca="1"/>
        <v>0</v>
      </c>
      <c r="JU15">
        <f ca="1"/>
        <v>0</v>
      </c>
      <c r="JV15">
        <f ca="1"/>
        <v>0</v>
      </c>
      <c r="JW15">
        <f ca="1"/>
        <v>0</v>
      </c>
      <c r="JX15">
        <f ca="1"/>
        <v>0</v>
      </c>
      <c r="JY15">
        <f ca="1"/>
        <v>0</v>
      </c>
      <c r="JZ15">
        <f ca="1"/>
        <v>0</v>
      </c>
      <c r="KA15">
        <f ca="1"/>
        <v>0</v>
      </c>
      <c r="KB15">
        <f ca="1"/>
        <v>0</v>
      </c>
      <c r="KC15">
        <f ca="1"/>
        <v>0</v>
      </c>
      <c r="KD15">
        <f ca="1"/>
        <v>0</v>
      </c>
      <c r="KE15">
        <f ca="1"/>
        <v>0</v>
      </c>
      <c r="KF15">
        <f ca="1"/>
        <v>0</v>
      </c>
      <c r="KG15">
        <f ca="1"/>
        <v>0</v>
      </c>
      <c r="KH15">
        <f ca="1"/>
        <v>0</v>
      </c>
      <c r="KI15">
        <f ca="1"/>
        <v>0</v>
      </c>
      <c r="KJ15">
        <f ca="1"/>
        <v>0</v>
      </c>
      <c r="KK15">
        <f ca="1"/>
        <v>0</v>
      </c>
      <c r="KL15">
        <f ca="1"/>
        <v>0</v>
      </c>
      <c r="KM15">
        <f ca="1"/>
        <v>0</v>
      </c>
      <c r="KN15">
        <f ca="1"/>
        <v>0</v>
      </c>
      <c r="KO15">
        <f ca="1"/>
        <v>0</v>
      </c>
      <c r="KP15">
        <f ca="1"/>
        <v>0</v>
      </c>
      <c r="KQ15">
        <f ca="1"/>
        <v>0</v>
      </c>
      <c r="KR15">
        <f ca="1"/>
        <v>0</v>
      </c>
      <c r="KS15">
        <f ca="1"/>
        <v>0</v>
      </c>
      <c r="KT15">
        <f ca="1"/>
        <v>0</v>
      </c>
      <c r="KU15">
        <f ca="1"/>
        <v>0</v>
      </c>
      <c r="KV15">
        <f ca="1"/>
        <v>0</v>
      </c>
      <c r="KW15">
        <f ca="1"/>
        <v>0</v>
      </c>
      <c r="KX15">
        <f ca="1"/>
        <v>0</v>
      </c>
      <c r="KY15">
        <f ca="1"/>
        <v>0</v>
      </c>
      <c r="KZ15">
        <f ca="1"/>
        <v>0</v>
      </c>
      <c r="LA15">
        <f ca="1"/>
        <v>0</v>
      </c>
      <c r="LB15">
        <f ca="1"/>
        <v>0</v>
      </c>
      <c r="LC15">
        <f ca="1"/>
        <v>0</v>
      </c>
      <c r="LD15">
        <f ca="1"/>
        <v>0</v>
      </c>
      <c r="LE15">
        <f ca="1"/>
        <v>0</v>
      </c>
      <c r="LF15">
        <f ca="1"/>
        <v>0</v>
      </c>
      <c r="LG15">
        <f ca="1"/>
        <v>0</v>
      </c>
      <c r="LH15">
        <f ca="1"/>
        <v>0</v>
      </c>
      <c r="LI15">
        <f ca="1"/>
        <v>0</v>
      </c>
      <c r="LJ15">
        <f ca="1"/>
        <v>0</v>
      </c>
      <c r="LK15">
        <f ca="1"/>
        <v>0</v>
      </c>
      <c r="LL15">
        <f ca="1"/>
        <v>0</v>
      </c>
      <c r="LM15">
        <f ca="1"/>
        <v>0</v>
      </c>
      <c r="LN15">
        <f ca="1"/>
        <v>0</v>
      </c>
      <c r="LO15">
        <f ca="1"/>
        <v>0</v>
      </c>
      <c r="LP15">
        <f ca="1"/>
        <v>0</v>
      </c>
      <c r="LQ15">
        <f ca="1"/>
        <v>0</v>
      </c>
      <c r="LR15">
        <f ca="1"/>
        <v>0</v>
      </c>
      <c r="LS15">
        <f ca="1"/>
        <v>0</v>
      </c>
      <c r="LT15">
        <f ca="1"/>
        <v>0</v>
      </c>
      <c r="LU15">
        <f ca="1"/>
        <v>0</v>
      </c>
      <c r="LV15">
        <f ca="1"/>
        <v>0</v>
      </c>
      <c r="LW15">
        <f ca="1"/>
        <v>0</v>
      </c>
      <c r="LX15">
        <f ca="1"/>
        <v>0</v>
      </c>
      <c r="LY15">
        <f ca="1"/>
        <v>0</v>
      </c>
      <c r="LZ15">
        <f ca="1"/>
        <v>0</v>
      </c>
      <c r="MA15">
        <f ca="1"/>
        <v>0</v>
      </c>
      <c r="MB15">
        <f ca="1"/>
        <v>0</v>
      </c>
      <c r="MC15">
        <f ca="1"/>
        <v>0</v>
      </c>
      <c r="MD15">
        <f ca="1"/>
        <v>0</v>
      </c>
      <c r="ME15">
        <f ca="1"/>
        <v>0</v>
      </c>
      <c r="MF15">
        <f ca="1"/>
        <v>0</v>
      </c>
      <c r="MG15">
        <f ca="1"/>
        <v>0</v>
      </c>
      <c r="MH15">
        <f ca="1"/>
        <v>0</v>
      </c>
      <c r="MI15">
        <f ca="1"/>
        <v>0</v>
      </c>
      <c r="MJ15">
        <f ca="1"/>
        <v>0</v>
      </c>
      <c r="MK15">
        <f ca="1"/>
        <v>0</v>
      </c>
      <c r="ML15">
        <f ca="1"/>
        <v>0</v>
      </c>
      <c r="MM15">
        <f ca="1"/>
        <v>0</v>
      </c>
      <c r="MN15">
        <f ca="1"/>
        <v>0</v>
      </c>
      <c r="MO15">
        <f ca="1"/>
        <v>0</v>
      </c>
      <c r="MP15">
        <f ca="1"/>
        <v>0</v>
      </c>
      <c r="MQ15">
        <f ca="1"/>
        <v>0</v>
      </c>
      <c r="MR15">
        <f ca="1"/>
        <v>0</v>
      </c>
      <c r="MS15">
        <f ca="1"/>
        <v>0</v>
      </c>
      <c r="MT15">
        <f ca="1"/>
        <v>0</v>
      </c>
      <c r="MU15">
        <f ca="1"/>
        <v>0</v>
      </c>
      <c r="MV15">
        <f ca="1"/>
        <v>0</v>
      </c>
      <c r="MW15">
        <f ca="1"/>
        <v>0</v>
      </c>
      <c r="MX15">
        <f ca="1"/>
        <v>0</v>
      </c>
      <c r="MY15">
        <f ca="1"/>
        <v>0</v>
      </c>
      <c r="MZ15">
        <f ca="1"/>
        <v>0</v>
      </c>
      <c r="NA15">
        <f ca="1"/>
        <v>0</v>
      </c>
      <c r="NB15">
        <f ca="1"/>
        <v>0</v>
      </c>
      <c r="NC15">
        <f ca="1"/>
        <v>0</v>
      </c>
      <c r="ND15">
        <f ca="1"/>
        <v>0</v>
      </c>
      <c r="NE15">
        <f ca="1"/>
        <v>0</v>
      </c>
      <c r="NF15">
        <f ca="1"/>
        <v>0</v>
      </c>
      <c r="NG15">
        <f ca="1"/>
        <v>0</v>
      </c>
      <c r="NH15">
        <f ca="1"/>
        <v>0</v>
      </c>
      <c r="NI15">
        <f ca="1"/>
        <v>0</v>
      </c>
      <c r="NJ15">
        <f ca="1"/>
        <v>0</v>
      </c>
      <c r="NK15">
        <f ca="1"/>
        <v>0</v>
      </c>
      <c r="NL15">
        <f ca="1"/>
        <v>0</v>
      </c>
      <c r="NM15">
        <f ca="1"/>
        <v>0</v>
      </c>
      <c r="NN15">
        <f ca="1"/>
        <v>0</v>
      </c>
      <c r="NO15">
        <f ca="1"/>
        <v>0</v>
      </c>
      <c r="NP15">
        <f ca="1"/>
        <v>0</v>
      </c>
      <c r="NQ15">
        <f ca="1"/>
        <v>0</v>
      </c>
      <c r="NR15">
        <f ca="1"/>
        <v>0</v>
      </c>
      <c r="NS15">
        <f ca="1"/>
        <v>0</v>
      </c>
      <c r="NT15">
        <f ca="1"/>
        <v>0</v>
      </c>
      <c r="NU15">
        <f ca="1"/>
        <v>0</v>
      </c>
      <c r="NV15">
        <f ca="1"/>
        <v>0</v>
      </c>
      <c r="NW15">
        <f ca="1"/>
        <v>0</v>
      </c>
      <c r="NX15">
        <f ca="1"/>
        <v>0</v>
      </c>
      <c r="NY15">
        <f ca="1"/>
        <v>0</v>
      </c>
      <c r="NZ15">
        <f ca="1"/>
        <v>0</v>
      </c>
      <c r="OA15">
        <f ca="1"/>
        <v>0</v>
      </c>
      <c r="OB15">
        <f ca="1"/>
        <v>0</v>
      </c>
      <c r="OC15">
        <f ca="1"/>
        <v>0</v>
      </c>
      <c r="OD15">
        <f ca="1"/>
        <v>0</v>
      </c>
      <c r="OE15">
        <f ca="1"/>
        <v>0</v>
      </c>
      <c r="OF15">
        <f ca="1"/>
        <v>0</v>
      </c>
      <c r="OG15">
        <f ca="1"/>
        <v>0</v>
      </c>
      <c r="OH15">
        <f ca="1"/>
        <v>0</v>
      </c>
      <c r="OI15">
        <f ca="1"/>
        <v>0</v>
      </c>
      <c r="OJ15">
        <f ca="1"/>
        <v>0</v>
      </c>
      <c r="OK15">
        <f ca="1"/>
        <v>0</v>
      </c>
      <c r="OL15">
        <f ca="1"/>
        <v>0</v>
      </c>
      <c r="OM15">
        <f ca="1"/>
        <v>0</v>
      </c>
      <c r="ON15">
        <f ca="1"/>
        <v>0</v>
      </c>
      <c r="OO15">
        <f ca="1"/>
        <v>0</v>
      </c>
      <c r="OP15">
        <f ca="1"/>
        <v>0</v>
      </c>
      <c r="OQ15">
        <f ca="1"/>
        <v>0</v>
      </c>
      <c r="OR15">
        <f ca="1"/>
        <v>0</v>
      </c>
      <c r="OS15">
        <f ca="1"/>
        <v>0</v>
      </c>
      <c r="OT15">
        <f ca="1"/>
        <v>0</v>
      </c>
      <c r="OU15">
        <f ca="1"/>
        <v>0</v>
      </c>
      <c r="OV15">
        <f ca="1"/>
        <v>0</v>
      </c>
      <c r="OW15">
        <f ca="1"/>
        <v>0</v>
      </c>
      <c r="OX15">
        <f ca="1"/>
        <v>0</v>
      </c>
      <c r="OY15">
        <f ca="1"/>
        <v>0</v>
      </c>
      <c r="OZ15">
        <f ca="1"/>
        <v>0</v>
      </c>
      <c r="PA15">
        <f ca="1"/>
        <v>0</v>
      </c>
      <c r="PB15">
        <f ca="1"/>
        <v>0</v>
      </c>
      <c r="PC15">
        <f ca="1"/>
        <v>0</v>
      </c>
      <c r="PD15">
        <f ca="1"/>
        <v>0</v>
      </c>
      <c r="PE15">
        <f ca="1"/>
        <v>0</v>
      </c>
      <c r="PF15">
        <f ca="1"/>
        <v>0</v>
      </c>
      <c r="PG15">
        <f ca="1"/>
        <v>0</v>
      </c>
      <c r="PH15">
        <f ca="1"/>
        <v>0</v>
      </c>
      <c r="PI15">
        <f ca="1"/>
        <v>0</v>
      </c>
      <c r="PJ15">
        <f ca="1"/>
        <v>0</v>
      </c>
      <c r="PK15">
        <f ca="1"/>
        <v>0</v>
      </c>
      <c r="PL15">
        <f ca="1"/>
        <v>0</v>
      </c>
      <c r="PM15">
        <f ca="1"/>
        <v>0</v>
      </c>
      <c r="PN15">
        <f ca="1"/>
        <v>0</v>
      </c>
      <c r="PO15">
        <f ca="1"/>
        <v>0</v>
      </c>
      <c r="PP15">
        <f ca="1"/>
        <v>0</v>
      </c>
      <c r="PQ15">
        <f ca="1"/>
        <v>0</v>
      </c>
      <c r="PR15">
        <f ca="1"/>
        <v>0</v>
      </c>
      <c r="PS15">
        <f ca="1"/>
        <v>0</v>
      </c>
      <c r="PT15">
        <f ca="1"/>
        <v>0</v>
      </c>
      <c r="PU15">
        <f ca="1"/>
        <v>0</v>
      </c>
      <c r="PV15">
        <f ca="1"/>
        <v>0</v>
      </c>
      <c r="PW15">
        <f ca="1"/>
        <v>0</v>
      </c>
      <c r="PX15">
        <f ca="1"/>
        <v>0</v>
      </c>
      <c r="PY15">
        <f ca="1"/>
        <v>0</v>
      </c>
      <c r="PZ15">
        <f ca="1"/>
        <v>0</v>
      </c>
      <c r="QA15">
        <f ca="1"/>
        <v>0</v>
      </c>
      <c r="QB15">
        <f ca="1"/>
        <v>0</v>
      </c>
      <c r="QC15">
        <f ca="1"/>
        <v>0</v>
      </c>
      <c r="QD15">
        <f ca="1"/>
        <v>0</v>
      </c>
      <c r="QE15">
        <f ca="1"/>
        <v>0</v>
      </c>
      <c r="QF15">
        <f ca="1"/>
        <v>0</v>
      </c>
      <c r="QG15">
        <f ca="1"/>
        <v>0</v>
      </c>
      <c r="QH15">
        <f ca="1"/>
        <v>0</v>
      </c>
      <c r="QI15">
        <f ca="1"/>
        <v>0</v>
      </c>
      <c r="QJ15">
        <f ca="1"/>
        <v>0</v>
      </c>
      <c r="QK15">
        <f ca="1"/>
        <v>0</v>
      </c>
      <c r="QL15">
        <f ca="1"/>
        <v>0</v>
      </c>
      <c r="QM15">
        <f ca="1"/>
        <v>0</v>
      </c>
      <c r="QN15">
        <f ca="1"/>
        <v>0</v>
      </c>
      <c r="QO15">
        <f ca="1"/>
        <v>0</v>
      </c>
      <c r="QP15">
        <f ca="1"/>
        <v>0</v>
      </c>
      <c r="QQ15">
        <f ca="1"/>
        <v>0</v>
      </c>
      <c r="QR15">
        <f ca="1"/>
        <v>0</v>
      </c>
      <c r="QS15">
        <f ca="1"/>
        <v>0</v>
      </c>
      <c r="QT15">
        <f ca="1"/>
        <v>0</v>
      </c>
      <c r="QU15">
        <f ca="1"/>
        <v>0</v>
      </c>
      <c r="QV15">
        <f ca="1"/>
        <v>0</v>
      </c>
      <c r="QW15">
        <f ca="1"/>
        <v>0</v>
      </c>
      <c r="QX15">
        <f ca="1"/>
        <v>0</v>
      </c>
      <c r="QY15">
        <f ca="1"/>
        <v>0</v>
      </c>
      <c r="QZ15">
        <f ca="1"/>
        <v>0</v>
      </c>
      <c r="RA15">
        <f ca="1"/>
        <v>0</v>
      </c>
      <c r="RB15">
        <f ca="1"/>
        <v>0</v>
      </c>
      <c r="RC15">
        <f ca="1"/>
        <v>0</v>
      </c>
      <c r="RD15">
        <f ca="1"/>
        <v>0</v>
      </c>
      <c r="RE15">
        <f ca="1"/>
        <v>0</v>
      </c>
      <c r="RF15">
        <f ca="1"/>
        <v>0</v>
      </c>
      <c r="RG15">
        <f ca="1"/>
        <v>0</v>
      </c>
      <c r="RH15">
        <f ca="1"/>
        <v>0</v>
      </c>
      <c r="RI15">
        <f ca="1"/>
        <v>0</v>
      </c>
      <c r="RJ15">
        <f ca="1"/>
        <v>0</v>
      </c>
      <c r="RK15">
        <f ca="1"/>
        <v>0</v>
      </c>
      <c r="RL15">
        <f ca="1"/>
        <v>0</v>
      </c>
      <c r="RM15">
        <f ca="1"/>
        <v>0</v>
      </c>
      <c r="RN15">
        <f ca="1"/>
        <v>0</v>
      </c>
      <c r="RO15">
        <f ca="1"/>
        <v>0</v>
      </c>
      <c r="RP15">
        <f ca="1"/>
        <v>0</v>
      </c>
      <c r="RQ15">
        <f ca="1"/>
        <v>0</v>
      </c>
      <c r="RR15">
        <f ca="1"/>
        <v>0</v>
      </c>
      <c r="RS15">
        <f ca="1"/>
        <v>0</v>
      </c>
      <c r="RT15">
        <f ca="1"/>
        <v>0</v>
      </c>
      <c r="RU15">
        <f ca="1"/>
        <v>0</v>
      </c>
      <c r="RV15">
        <f ca="1"/>
        <v>0</v>
      </c>
      <c r="RW15">
        <f ca="1"/>
        <v>0</v>
      </c>
      <c r="RX15">
        <f ca="1"/>
        <v>0</v>
      </c>
      <c r="RY15">
        <f ca="1"/>
        <v>0</v>
      </c>
      <c r="RZ15">
        <f ca="1"/>
        <v>0</v>
      </c>
      <c r="SA15">
        <f ca="1"/>
        <v>0</v>
      </c>
      <c r="SB15">
        <f ca="1"/>
        <v>0</v>
      </c>
      <c r="SC15">
        <f ca="1"/>
        <v>0</v>
      </c>
      <c r="SD15">
        <f ca="1"/>
        <v>0</v>
      </c>
      <c r="SE15">
        <f ca="1"/>
        <v>0</v>
      </c>
      <c r="SF15">
        <f ca="1"/>
        <v>0</v>
      </c>
      <c r="SG15">
        <f ca="1"/>
        <v>0</v>
      </c>
      <c r="SH15">
        <f ca="1"/>
        <v>0</v>
      </c>
      <c r="SI15">
        <f ca="1"/>
        <v>0</v>
      </c>
      <c r="SJ15">
        <f ca="1"/>
        <v>0</v>
      </c>
      <c r="SK15">
        <f ca="1"/>
        <v>0</v>
      </c>
      <c r="SL15">
        <f ca="1"/>
        <v>0</v>
      </c>
      <c r="SM15">
        <f ca="1"/>
        <v>0</v>
      </c>
      <c r="SN15">
        <f ca="1"/>
        <v>0</v>
      </c>
      <c r="SO15">
        <f ca="1"/>
        <v>0</v>
      </c>
      <c r="SP15">
        <f ca="1"/>
        <v>0</v>
      </c>
      <c r="SQ15">
        <f ca="1"/>
        <v>0</v>
      </c>
      <c r="SR15">
        <f ca="1"/>
        <v>0</v>
      </c>
      <c r="SS15">
        <f ca="1"/>
        <v>0</v>
      </c>
      <c r="ST15">
        <f ca="1"/>
        <v>0</v>
      </c>
      <c r="SU15">
        <f ca="1"/>
        <v>0</v>
      </c>
      <c r="SV15">
        <f ca="1"/>
        <v>0</v>
      </c>
      <c r="SW15">
        <f ca="1"/>
        <v>0</v>
      </c>
      <c r="SX15">
        <f ca="1"/>
        <v>0</v>
      </c>
      <c r="SY15">
        <f ca="1"/>
        <v>0</v>
      </c>
      <c r="SZ15">
        <f ca="1"/>
        <v>0</v>
      </c>
      <c r="TA15">
        <f ca="1"/>
        <v>0</v>
      </c>
      <c r="TB15">
        <f ca="1"/>
        <v>0</v>
      </c>
      <c r="TC15">
        <f ca="1"/>
        <v>0</v>
      </c>
      <c r="TD15">
        <f ca="1"/>
        <v>0</v>
      </c>
      <c r="TE15">
        <f ca="1"/>
        <v>0</v>
      </c>
      <c r="TF15">
        <f ca="1"/>
        <v>0</v>
      </c>
      <c r="TG15">
        <f ca="1"/>
        <v>0</v>
      </c>
      <c r="TH15">
        <f ca="1"/>
        <v>0</v>
      </c>
      <c r="TI15">
        <f ca="1"/>
        <v>0</v>
      </c>
      <c r="TJ15">
        <f ca="1"/>
        <v>0</v>
      </c>
      <c r="TK15">
        <f ca="1"/>
        <v>0</v>
      </c>
      <c r="TL15">
        <f ca="1"/>
        <v>0</v>
      </c>
      <c r="TM15">
        <f ca="1"/>
        <v>0</v>
      </c>
      <c r="TN15">
        <f ca="1"/>
        <v>0</v>
      </c>
      <c r="TO15">
        <f ca="1"/>
        <v>0</v>
      </c>
      <c r="TP15">
        <f ca="1"/>
        <v>0</v>
      </c>
      <c r="TQ15">
        <f ca="1"/>
        <v>0</v>
      </c>
      <c r="TR15">
        <f ca="1"/>
        <v>0</v>
      </c>
      <c r="TS15">
        <f ca="1"/>
        <v>0</v>
      </c>
      <c r="TT15">
        <f ca="1"/>
        <v>0</v>
      </c>
      <c r="TU15">
        <f ca="1"/>
        <v>0</v>
      </c>
      <c r="TV15">
        <f ca="1"/>
        <v>0</v>
      </c>
      <c r="TW15">
        <f ca="1"/>
        <v>0</v>
      </c>
      <c r="TX15">
        <f ca="1"/>
        <v>0</v>
      </c>
      <c r="TY15">
        <f ca="1"/>
        <v>0</v>
      </c>
      <c r="TZ15">
        <f ca="1"/>
        <v>0</v>
      </c>
      <c r="UA15">
        <f ca="1"/>
        <v>0</v>
      </c>
      <c r="UB15">
        <f ca="1"/>
        <v>0</v>
      </c>
      <c r="UC15">
        <f ca="1"/>
        <v>0</v>
      </c>
      <c r="UD15">
        <f ca="1"/>
        <v>0</v>
      </c>
      <c r="UE15">
        <f ca="1"/>
        <v>0</v>
      </c>
      <c r="UF15">
        <f ca="1"/>
        <v>0</v>
      </c>
      <c r="UG15">
        <f ca="1"/>
        <v>0</v>
      </c>
      <c r="UH15">
        <f ca="1"/>
        <v>0</v>
      </c>
      <c r="UI15">
        <f ca="1"/>
        <v>0</v>
      </c>
      <c r="UJ15">
        <f ca="1"/>
        <v>0</v>
      </c>
      <c r="UK15">
        <f ca="1"/>
        <v>0</v>
      </c>
      <c r="UL15">
        <f ca="1"/>
        <v>0</v>
      </c>
      <c r="UM15">
        <f ca="1"/>
        <v>0</v>
      </c>
      <c r="UN15">
        <f ca="1"/>
        <v>0</v>
      </c>
      <c r="UO15">
        <f ca="1"/>
        <v>0</v>
      </c>
      <c r="UP15">
        <f ca="1"/>
        <v>0</v>
      </c>
      <c r="UQ15">
        <f ca="1"/>
        <v>0</v>
      </c>
      <c r="UR15">
        <f ca="1"/>
        <v>0</v>
      </c>
      <c r="US15">
        <f ca="1"/>
        <v>0</v>
      </c>
      <c r="UT15">
        <f ca="1"/>
        <v>0</v>
      </c>
      <c r="UU15">
        <f ca="1"/>
        <v>0</v>
      </c>
      <c r="UV15">
        <f ca="1"/>
        <v>0</v>
      </c>
      <c r="UW15">
        <f ca="1"/>
        <v>0</v>
      </c>
      <c r="UX15">
        <f ca="1"/>
        <v>0</v>
      </c>
      <c r="UY15">
        <f ca="1"/>
        <v>0</v>
      </c>
      <c r="UZ15">
        <f ca="1"/>
        <v>0</v>
      </c>
      <c r="VA15">
        <f ca="1"/>
        <v>0</v>
      </c>
      <c r="VB15">
        <f ca="1"/>
        <v>0</v>
      </c>
      <c r="VC15">
        <f ca="1"/>
        <v>0</v>
      </c>
      <c r="VD15">
        <f ca="1"/>
        <v>0</v>
      </c>
      <c r="VE15">
        <f ca="1"/>
        <v>0</v>
      </c>
      <c r="VF15">
        <f ca="1"/>
        <v>0</v>
      </c>
      <c r="VG15">
        <f ca="1"/>
        <v>0</v>
      </c>
      <c r="VH15">
        <f ca="1"/>
        <v>0</v>
      </c>
      <c r="VI15">
        <f ca="1"/>
        <v>0</v>
      </c>
      <c r="VJ15">
        <f ca="1"/>
        <v>0</v>
      </c>
      <c r="VK15">
        <f ca="1"/>
        <v>0</v>
      </c>
      <c r="VL15">
        <f ca="1"/>
        <v>0</v>
      </c>
      <c r="VM15">
        <f ca="1"/>
        <v>0</v>
      </c>
      <c r="VN15">
        <f ca="1"/>
        <v>0</v>
      </c>
      <c r="VO15">
        <f ca="1"/>
        <v>0</v>
      </c>
      <c r="VP15">
        <f ca="1"/>
        <v>0</v>
      </c>
      <c r="VQ15">
        <f ca="1"/>
        <v>0</v>
      </c>
      <c r="VR15">
        <f ca="1"/>
        <v>0</v>
      </c>
      <c r="VS15">
        <f ca="1"/>
        <v>0</v>
      </c>
      <c r="VT15">
        <f ca="1"/>
        <v>0</v>
      </c>
      <c r="VU15">
        <f ca="1"/>
        <v>0</v>
      </c>
      <c r="VV15">
        <f ca="1"/>
        <v>0</v>
      </c>
      <c r="VW15">
        <f ca="1"/>
        <v>0</v>
      </c>
      <c r="VX15">
        <f ca="1"/>
        <v>0</v>
      </c>
      <c r="VY15">
        <f ca="1"/>
        <v>0</v>
      </c>
      <c r="VZ15">
        <f ca="1"/>
        <v>0</v>
      </c>
      <c r="WA15">
        <f ca="1"/>
        <v>0</v>
      </c>
      <c r="WB15">
        <f ca="1"/>
        <v>0</v>
      </c>
      <c r="WC15">
        <f ca="1"/>
        <v>0</v>
      </c>
      <c r="WD15">
        <f ca="1"/>
        <v>0</v>
      </c>
      <c r="WE15">
        <f ca="1"/>
        <v>0</v>
      </c>
      <c r="WF15">
        <f ca="1"/>
        <v>0</v>
      </c>
      <c r="WG15">
        <f ca="1"/>
        <v>0</v>
      </c>
      <c r="WH15">
        <f ca="1"/>
        <v>0</v>
      </c>
      <c r="WI15">
        <f ca="1"/>
        <v>0</v>
      </c>
      <c r="WJ15">
        <f ca="1"/>
        <v>0</v>
      </c>
      <c r="WK15">
        <f ca="1"/>
        <v>0</v>
      </c>
      <c r="WL15">
        <f ca="1"/>
        <v>0</v>
      </c>
      <c r="WM15">
        <f ca="1"/>
        <v>0</v>
      </c>
      <c r="WN15">
        <f ca="1"/>
        <v>0</v>
      </c>
      <c r="WO15">
        <f ca="1"/>
        <v>0</v>
      </c>
      <c r="WP15">
        <f ca="1"/>
        <v>0</v>
      </c>
      <c r="WQ15">
        <f ca="1"/>
        <v>0</v>
      </c>
      <c r="WR15">
        <f ca="1"/>
        <v>0</v>
      </c>
      <c r="WS15">
        <f ca="1"/>
        <v>0</v>
      </c>
      <c r="WT15">
        <f ca="1"/>
        <v>0</v>
      </c>
      <c r="WU15">
        <f ca="1"/>
        <v>0</v>
      </c>
      <c r="WV15">
        <f ca="1"/>
        <v>0</v>
      </c>
      <c r="WW15">
        <f ca="1"/>
        <v>0</v>
      </c>
      <c r="WX15">
        <f ca="1"/>
        <v>0</v>
      </c>
      <c r="WY15">
        <f ca="1"/>
        <v>0</v>
      </c>
      <c r="WZ15">
        <f ca="1"/>
        <v>0</v>
      </c>
      <c r="XA15">
        <f ca="1"/>
        <v>0</v>
      </c>
      <c r="XB15">
        <f ca="1"/>
        <v>0</v>
      </c>
      <c r="XC15">
        <f ca="1"/>
        <v>0</v>
      </c>
      <c r="XD15">
        <f ca="1"/>
        <v>0</v>
      </c>
      <c r="XE15">
        <f ca="1"/>
        <v>0</v>
      </c>
      <c r="XF15">
        <f ca="1"/>
        <v>0</v>
      </c>
      <c r="XG15">
        <f ca="1"/>
        <v>0</v>
      </c>
      <c r="XH15">
        <f ca="1"/>
        <v>0</v>
      </c>
      <c r="XI15">
        <f ca="1"/>
        <v>0</v>
      </c>
      <c r="XJ15">
        <f ca="1"/>
        <v>0</v>
      </c>
      <c r="XK15">
        <f ca="1"/>
        <v>0</v>
      </c>
      <c r="XL15">
        <f ca="1"/>
        <v>0</v>
      </c>
      <c r="XM15">
        <f ca="1"/>
        <v>0</v>
      </c>
      <c r="XN15">
        <f ca="1"/>
        <v>0</v>
      </c>
      <c r="XO15">
        <f ca="1"/>
        <v>0</v>
      </c>
      <c r="XP15">
        <f ca="1"/>
        <v>0</v>
      </c>
      <c r="XQ15">
        <f ca="1"/>
        <v>0</v>
      </c>
      <c r="XR15">
        <f ca="1"/>
        <v>0</v>
      </c>
      <c r="XS15">
        <f ca="1"/>
        <v>0</v>
      </c>
      <c r="XT15">
        <f ca="1"/>
        <v>0</v>
      </c>
      <c r="XU15">
        <f ca="1"/>
        <v>0</v>
      </c>
      <c r="XV15">
        <f ca="1"/>
        <v>0</v>
      </c>
      <c r="XW15">
        <f ca="1"/>
        <v>0</v>
      </c>
      <c r="XX15">
        <f ca="1"/>
        <v>0</v>
      </c>
      <c r="XY15">
        <f ca="1"/>
        <v>0</v>
      </c>
      <c r="XZ15">
        <f ca="1"/>
        <v>0</v>
      </c>
      <c r="YA15">
        <f ca="1"/>
        <v>0</v>
      </c>
      <c r="YB15">
        <f ca="1"/>
        <v>0</v>
      </c>
      <c r="YC15">
        <f ca="1"/>
        <v>0</v>
      </c>
      <c r="YD15">
        <f ca="1"/>
        <v>0</v>
      </c>
      <c r="YE15">
        <f ca="1"/>
        <v>0</v>
      </c>
      <c r="YF15">
        <f ca="1"/>
        <v>0</v>
      </c>
      <c r="YG15">
        <f ca="1"/>
        <v>0</v>
      </c>
      <c r="YH15">
        <f ca="1"/>
        <v>0</v>
      </c>
      <c r="YI15">
        <f ca="1"/>
        <v>0</v>
      </c>
      <c r="YJ15">
        <f ca="1"/>
        <v>0</v>
      </c>
      <c r="YK15">
        <f ca="1"/>
        <v>0</v>
      </c>
      <c r="YL15">
        <f ca="1"/>
        <v>0</v>
      </c>
      <c r="YM15">
        <f ca="1"/>
        <v>0</v>
      </c>
      <c r="YN15">
        <f ca="1"/>
        <v>0</v>
      </c>
      <c r="YO15">
        <f ca="1"/>
        <v>0</v>
      </c>
      <c r="YP15">
        <f ca="1"/>
        <v>0</v>
      </c>
      <c r="YQ15">
        <f ca="1"/>
        <v>0</v>
      </c>
      <c r="YR15">
        <f ca="1"/>
        <v>0</v>
      </c>
      <c r="YS15">
        <f ca="1"/>
        <v>0</v>
      </c>
      <c r="YT15">
        <f ca="1"/>
        <v>0</v>
      </c>
      <c r="YU15">
        <f ca="1"/>
        <v>0</v>
      </c>
      <c r="YV15">
        <f ca="1"/>
        <v>0</v>
      </c>
      <c r="YW15">
        <f ca="1"/>
        <v>0</v>
      </c>
      <c r="YX15">
        <f ca="1"/>
        <v>0</v>
      </c>
      <c r="YY15">
        <f ca="1"/>
        <v>0</v>
      </c>
      <c r="YZ15">
        <f ca="1"/>
        <v>0</v>
      </c>
      <c r="ZA15">
        <f ca="1"/>
        <v>0</v>
      </c>
      <c r="ZB15">
        <f ca="1"/>
        <v>0</v>
      </c>
      <c r="ZC15">
        <f ca="1"/>
        <v>0</v>
      </c>
      <c r="ZD15">
        <f ca="1"/>
        <v>0</v>
      </c>
      <c r="ZE15">
        <f ca="1"/>
        <v>0</v>
      </c>
      <c r="ZF15">
        <f ca="1"/>
        <v>0</v>
      </c>
      <c r="ZG15">
        <f ca="1"/>
        <v>0</v>
      </c>
      <c r="ZH15">
        <f ca="1"/>
        <v>0</v>
      </c>
      <c r="ZI15">
        <f ca="1"/>
        <v>0</v>
      </c>
      <c r="ZJ15">
        <f ca="1"/>
        <v>0</v>
      </c>
      <c r="ZK15">
        <f ca="1"/>
        <v>0</v>
      </c>
      <c r="ZL15">
        <f ca="1"/>
        <v>0</v>
      </c>
      <c r="ZM15">
        <f ca="1"/>
        <v>0</v>
      </c>
      <c r="ZN15">
        <f ca="1"/>
        <v>0</v>
      </c>
      <c r="ZO15">
        <f ca="1"/>
        <v>0</v>
      </c>
      <c r="ZP15">
        <f ca="1"/>
        <v>0</v>
      </c>
      <c r="ZQ15">
        <f ca="1"/>
        <v>0</v>
      </c>
      <c r="ZR15">
        <f ca="1"/>
        <v>0</v>
      </c>
      <c r="ZS15">
        <f ca="1"/>
        <v>0</v>
      </c>
      <c r="ZT15">
        <f ca="1"/>
        <v>0</v>
      </c>
      <c r="ZU15">
        <f ca="1"/>
        <v>0</v>
      </c>
      <c r="ZV15">
        <f ca="1"/>
        <v>0</v>
      </c>
      <c r="ZW15">
        <f ca="1"/>
        <v>0</v>
      </c>
      <c r="ZX15">
        <f ca="1"/>
        <v>0</v>
      </c>
      <c r="ZY15">
        <f ca="1"/>
        <v>0</v>
      </c>
      <c r="ZZ15">
        <f ca="1"/>
        <v>0</v>
      </c>
      <c r="AAA15">
        <f ca="1"/>
        <v>0</v>
      </c>
      <c r="AAB15">
        <f ca="1"/>
        <v>0</v>
      </c>
      <c r="AAC15">
        <f ca="1"/>
        <v>0</v>
      </c>
      <c r="AAD15">
        <f ca="1"/>
        <v>0</v>
      </c>
      <c r="AAE15">
        <f ca="1"/>
        <v>0</v>
      </c>
      <c r="AAF15">
        <f ca="1"/>
        <v>0</v>
      </c>
      <c r="AAG15">
        <f ca="1"/>
        <v>0</v>
      </c>
      <c r="AAH15">
        <f ca="1"/>
        <v>0</v>
      </c>
      <c r="AAI15">
        <f ca="1"/>
        <v>0</v>
      </c>
      <c r="AAJ15">
        <f ca="1"/>
        <v>0</v>
      </c>
      <c r="AAK15">
        <f ca="1"/>
        <v>0</v>
      </c>
      <c r="AAL15">
        <f ca="1"/>
        <v>0</v>
      </c>
      <c r="AAM15">
        <f ca="1"/>
        <v>0</v>
      </c>
      <c r="AAN15">
        <f ca="1"/>
        <v>0</v>
      </c>
      <c r="AAO15">
        <f ca="1"/>
        <v>0</v>
      </c>
      <c r="AAP15">
        <f ca="1"/>
        <v>0</v>
      </c>
      <c r="AAQ15">
        <f ca="1"/>
        <v>0</v>
      </c>
      <c r="AAR15">
        <f ca="1"/>
        <v>0</v>
      </c>
      <c r="AAS15">
        <f ca="1"/>
        <v>0</v>
      </c>
      <c r="AAT15">
        <f ca="1"/>
        <v>0</v>
      </c>
      <c r="AAU15">
        <f ca="1"/>
        <v>0</v>
      </c>
      <c r="AAV15">
        <f ca="1"/>
        <v>0</v>
      </c>
      <c r="AAW15">
        <f ca="1"/>
        <v>0</v>
      </c>
      <c r="AAX15">
        <f ca="1"/>
        <v>0</v>
      </c>
      <c r="AAY15">
        <f ca="1"/>
        <v>0</v>
      </c>
      <c r="AAZ15">
        <f ca="1"/>
        <v>0</v>
      </c>
      <c r="ABA15">
        <f ca="1"/>
        <v>0</v>
      </c>
      <c r="ABB15">
        <f ca="1"/>
        <v>0</v>
      </c>
      <c r="ABC15">
        <f ca="1"/>
        <v>0</v>
      </c>
      <c r="ABD15">
        <f ca="1"/>
        <v>0</v>
      </c>
      <c r="ABE15">
        <f ca="1"/>
        <v>0</v>
      </c>
      <c r="ABF15">
        <f ca="1"/>
        <v>0</v>
      </c>
      <c r="ABG15">
        <f ca="1"/>
        <v>0</v>
      </c>
      <c r="ABH15">
        <f ca="1"/>
        <v>0</v>
      </c>
      <c r="ABI15">
        <f ca="1"/>
        <v>0</v>
      </c>
      <c r="ABJ15">
        <f ca="1"/>
        <v>0</v>
      </c>
      <c r="ABK15">
        <f ca="1"/>
        <v>0</v>
      </c>
      <c r="ABL15">
        <f ca="1"/>
        <v>0</v>
      </c>
      <c r="ABM15">
        <f ca="1"/>
        <v>0</v>
      </c>
      <c r="ABN15">
        <f ca="1"/>
        <v>0</v>
      </c>
      <c r="ABO15">
        <f ca="1"/>
        <v>0</v>
      </c>
      <c r="ABP15">
        <f ca="1"/>
        <v>0</v>
      </c>
      <c r="ABQ15">
        <f ca="1"/>
        <v>0</v>
      </c>
      <c r="ABR15">
        <f ca="1"/>
        <v>0</v>
      </c>
      <c r="ABS15">
        <f ca="1"/>
        <v>0</v>
      </c>
      <c r="ABT15">
        <f ca="1"/>
        <v>0</v>
      </c>
      <c r="ABU15">
        <f ca="1"/>
        <v>0</v>
      </c>
      <c r="ABV15">
        <f ca="1"/>
        <v>0</v>
      </c>
      <c r="ABW15">
        <f ca="1"/>
        <v>0</v>
      </c>
      <c r="ABX15">
        <f ca="1"/>
        <v>0</v>
      </c>
      <c r="ABY15">
        <f ca="1"/>
        <v>0</v>
      </c>
      <c r="ABZ15">
        <f ca="1"/>
        <v>0</v>
      </c>
      <c r="ACA15">
        <f ca="1"/>
        <v>0</v>
      </c>
      <c r="ACB15">
        <f ca="1"/>
        <v>0</v>
      </c>
      <c r="ACC15">
        <f ca="1"/>
        <v>0</v>
      </c>
      <c r="ACD15">
        <f ca="1"/>
        <v>0</v>
      </c>
      <c r="ACE15">
        <f ca="1"/>
        <v>0</v>
      </c>
      <c r="ACF15">
        <f ca="1"/>
        <v>0</v>
      </c>
      <c r="ACG15">
        <f ca="1"/>
        <v>0</v>
      </c>
      <c r="ACH15">
        <f ca="1"/>
        <v>0</v>
      </c>
      <c r="ACI15">
        <f ca="1"/>
        <v>0</v>
      </c>
      <c r="ACJ15">
        <f ca="1"/>
        <v>0</v>
      </c>
      <c r="ACK15">
        <f ca="1"/>
        <v>0</v>
      </c>
      <c r="ACL15">
        <f ca="1"/>
        <v>0</v>
      </c>
      <c r="ACM15">
        <f ca="1"/>
        <v>0</v>
      </c>
      <c r="ACN15">
        <f ca="1"/>
        <v>0</v>
      </c>
      <c r="ACO15">
        <f ca="1"/>
        <v>0</v>
      </c>
      <c r="ACP15">
        <f ca="1"/>
        <v>0</v>
      </c>
      <c r="ACQ15">
        <f ca="1"/>
        <v>0</v>
      </c>
      <c r="ACR15">
        <f ca="1"/>
        <v>0</v>
      </c>
      <c r="ACS15">
        <f ca="1"/>
        <v>0</v>
      </c>
      <c r="ACT15">
        <f ca="1"/>
        <v>0</v>
      </c>
      <c r="ACU15">
        <f ca="1"/>
        <v>0</v>
      </c>
      <c r="ACV15">
        <f ca="1"/>
        <v>0</v>
      </c>
      <c r="ACW15">
        <f ca="1"/>
        <v>0</v>
      </c>
      <c r="ACX15">
        <f ca="1"/>
        <v>0</v>
      </c>
      <c r="ACY15">
        <f ca="1"/>
        <v>0</v>
      </c>
      <c r="ACZ15">
        <f ca="1"/>
        <v>0</v>
      </c>
      <c r="ADA15">
        <f ca="1"/>
        <v>0</v>
      </c>
      <c r="ADB15">
        <f ca="1"/>
        <v>0</v>
      </c>
      <c r="ADC15">
        <f ca="1"/>
        <v>0</v>
      </c>
      <c r="ADD15">
        <f ca="1"/>
        <v>0</v>
      </c>
      <c r="ADE15">
        <f ca="1"/>
        <v>0</v>
      </c>
      <c r="ADF15">
        <f ca="1"/>
        <v>0</v>
      </c>
      <c r="ADG15">
        <f ca="1"/>
        <v>0</v>
      </c>
      <c r="ADH15">
        <f ca="1"/>
        <v>0</v>
      </c>
      <c r="ADI15">
        <f ca="1"/>
        <v>0</v>
      </c>
      <c r="ADJ15">
        <f ca="1"/>
        <v>0</v>
      </c>
      <c r="ADK15">
        <f ca="1"/>
        <v>0</v>
      </c>
      <c r="ADL15">
        <f ca="1"/>
        <v>0</v>
      </c>
      <c r="ADM15">
        <f ca="1"/>
        <v>0</v>
      </c>
      <c r="ADN15">
        <f ca="1"/>
        <v>0</v>
      </c>
      <c r="ADO15">
        <f ca="1"/>
        <v>0</v>
      </c>
      <c r="ADP15">
        <f ca="1"/>
        <v>0</v>
      </c>
      <c r="ADQ15">
        <f ca="1"/>
        <v>0</v>
      </c>
      <c r="ADR15">
        <f ca="1"/>
        <v>0</v>
      </c>
      <c r="ADS15">
        <f ca="1"/>
        <v>0</v>
      </c>
      <c r="ADT15">
        <f ca="1"/>
        <v>0</v>
      </c>
      <c r="ADU15">
        <f ca="1"/>
        <v>0</v>
      </c>
      <c r="ADV15">
        <f ca="1"/>
        <v>0</v>
      </c>
      <c r="ADW15">
        <f ca="1"/>
        <v>0</v>
      </c>
      <c r="ADX15">
        <f ca="1"/>
        <v>0</v>
      </c>
      <c r="ADY15">
        <f ca="1"/>
        <v>0</v>
      </c>
      <c r="ADZ15">
        <f ca="1"/>
        <v>0</v>
      </c>
      <c r="AEA15">
        <f ca="1"/>
        <v>0</v>
      </c>
      <c r="AEB15">
        <f ca="1"/>
        <v>0</v>
      </c>
      <c r="AEC15">
        <f ca="1"/>
        <v>0</v>
      </c>
      <c r="AED15">
        <f ca="1"/>
        <v>0</v>
      </c>
      <c r="AEE15">
        <f ca="1"/>
        <v>0</v>
      </c>
      <c r="AEF15">
        <f ca="1"/>
        <v>0</v>
      </c>
      <c r="AEG15">
        <f ca="1"/>
        <v>0</v>
      </c>
      <c r="AEH15">
        <f ca="1"/>
        <v>0</v>
      </c>
      <c r="AEI15">
        <f ca="1"/>
        <v>0</v>
      </c>
      <c r="AEJ15">
        <f ca="1"/>
        <v>0</v>
      </c>
      <c r="AEK15">
        <f ca="1"/>
        <v>0</v>
      </c>
      <c r="AEL15">
        <f ca="1"/>
        <v>0</v>
      </c>
      <c r="AEM15">
        <f ca="1"/>
        <v>0</v>
      </c>
      <c r="AEN15">
        <f ca="1"/>
        <v>0</v>
      </c>
      <c r="AEO15">
        <f ca="1"/>
        <v>0</v>
      </c>
      <c r="AEP15">
        <f ca="1"/>
        <v>0</v>
      </c>
      <c r="AEQ15">
        <f ca="1"/>
        <v>0</v>
      </c>
      <c r="AER15">
        <f ca="1"/>
        <v>0</v>
      </c>
      <c r="AES15">
        <f ca="1"/>
        <v>0</v>
      </c>
      <c r="AET15">
        <f ca="1"/>
        <v>0</v>
      </c>
      <c r="AEU15">
        <f ca="1"/>
        <v>0</v>
      </c>
      <c r="AEV15">
        <f ca="1"/>
        <v>0</v>
      </c>
      <c r="AEW15">
        <f ca="1"/>
        <v>0</v>
      </c>
      <c r="AEX15">
        <f ca="1"/>
        <v>0</v>
      </c>
      <c r="AEY15">
        <f ca="1"/>
        <v>0</v>
      </c>
      <c r="AEZ15">
        <f ca="1"/>
        <v>0</v>
      </c>
      <c r="AFA15">
        <f ca="1"/>
        <v>0</v>
      </c>
      <c r="AFB15">
        <f ca="1"/>
        <v>0</v>
      </c>
      <c r="AFC15">
        <f ca="1"/>
        <v>0</v>
      </c>
      <c r="AFD15">
        <f ca="1"/>
        <v>0</v>
      </c>
      <c r="AFE15">
        <f ca="1"/>
        <v>0</v>
      </c>
      <c r="AFF15">
        <f ca="1"/>
        <v>0</v>
      </c>
      <c r="AFG15">
        <f ca="1"/>
        <v>0</v>
      </c>
      <c r="AFH15">
        <f ca="1"/>
        <v>0</v>
      </c>
      <c r="AFI15">
        <f ca="1"/>
        <v>0</v>
      </c>
      <c r="AFJ15">
        <f ca="1"/>
        <v>0</v>
      </c>
      <c r="AFK15">
        <f ca="1"/>
        <v>0</v>
      </c>
      <c r="AFL15">
        <f ca="1"/>
        <v>0</v>
      </c>
      <c r="AFM15">
        <f ca="1"/>
        <v>0</v>
      </c>
      <c r="AFN15">
        <f ca="1"/>
        <v>0</v>
      </c>
      <c r="AFO15">
        <f ca="1"/>
        <v>0</v>
      </c>
      <c r="AFP15">
        <f ca="1"/>
        <v>0</v>
      </c>
      <c r="AFQ15">
        <f ca="1"/>
        <v>0</v>
      </c>
      <c r="AFR15">
        <f ca="1"/>
        <v>0</v>
      </c>
      <c r="AFS15">
        <f ca="1"/>
        <v>0</v>
      </c>
      <c r="AFT15">
        <f ca="1"/>
        <v>0</v>
      </c>
      <c r="AFU15">
        <f ca="1"/>
        <v>0</v>
      </c>
      <c r="AFV15">
        <f ca="1"/>
        <v>0</v>
      </c>
      <c r="AFW15">
        <f ca="1"/>
        <v>0</v>
      </c>
      <c r="AFX15">
        <f ca="1"/>
        <v>0</v>
      </c>
      <c r="AFY15">
        <f ca="1"/>
        <v>0</v>
      </c>
      <c r="AFZ15">
        <f ca="1"/>
        <v>0</v>
      </c>
      <c r="AGA15">
        <f ca="1"/>
        <v>0</v>
      </c>
      <c r="AGB15">
        <f ca="1"/>
        <v>0</v>
      </c>
      <c r="AGC15">
        <f ca="1"/>
        <v>0</v>
      </c>
      <c r="AGD15">
        <f ca="1"/>
        <v>0</v>
      </c>
      <c r="AGE15">
        <f ca="1"/>
        <v>0</v>
      </c>
      <c r="AGF15">
        <f ca="1"/>
        <v>0</v>
      </c>
      <c r="AGG15">
        <f ca="1"/>
        <v>0</v>
      </c>
      <c r="AGH15">
        <f ca="1"/>
        <v>0</v>
      </c>
      <c r="AGI15">
        <f ca="1"/>
        <v>0</v>
      </c>
      <c r="AGJ15">
        <f ca="1"/>
        <v>0</v>
      </c>
      <c r="AGK15">
        <f ca="1"/>
        <v>0</v>
      </c>
      <c r="AGL15">
        <f ca="1"/>
        <v>0</v>
      </c>
      <c r="AGM15">
        <f ca="1"/>
        <v>0</v>
      </c>
      <c r="AGN15">
        <f ca="1"/>
        <v>0</v>
      </c>
      <c r="AGO15">
        <f ca="1"/>
        <v>0</v>
      </c>
      <c r="AGP15">
        <f ca="1"/>
        <v>0</v>
      </c>
      <c r="AGQ15">
        <f ca="1"/>
        <v>0</v>
      </c>
      <c r="AGR15">
        <f ca="1"/>
        <v>0</v>
      </c>
      <c r="AGS15">
        <f ca="1"/>
        <v>0</v>
      </c>
      <c r="AGT15">
        <f ca="1"/>
        <v>0</v>
      </c>
      <c r="AGU15">
        <f ca="1"/>
        <v>0</v>
      </c>
      <c r="AGV15">
        <f ca="1"/>
        <v>0</v>
      </c>
      <c r="AGW15">
        <f ca="1"/>
        <v>0</v>
      </c>
      <c r="AGX15">
        <f ca="1"/>
        <v>0</v>
      </c>
      <c r="AGY15">
        <f ca="1"/>
        <v>0</v>
      </c>
      <c r="AGZ15">
        <f ca="1"/>
        <v>0</v>
      </c>
      <c r="AHA15">
        <f ca="1"/>
        <v>0</v>
      </c>
      <c r="AHB15">
        <f ca="1"/>
        <v>0</v>
      </c>
      <c r="AHC15">
        <f ca="1"/>
        <v>0</v>
      </c>
      <c r="AHD15">
        <f ca="1"/>
        <v>0</v>
      </c>
      <c r="AHE15">
        <f ca="1"/>
        <v>0</v>
      </c>
      <c r="AHF15">
        <f ca="1"/>
        <v>0</v>
      </c>
      <c r="AHG15">
        <f ca="1"/>
        <v>0</v>
      </c>
      <c r="AHH15">
        <f ca="1"/>
        <v>0</v>
      </c>
      <c r="AHI15">
        <f ca="1"/>
        <v>0</v>
      </c>
      <c r="AHJ15">
        <f ca="1"/>
        <v>0</v>
      </c>
      <c r="AHK15">
        <f ca="1"/>
        <v>0</v>
      </c>
      <c r="AHL15">
        <f ca="1"/>
        <v>0</v>
      </c>
      <c r="AHM15">
        <f ca="1"/>
        <v>0</v>
      </c>
      <c r="AHN15">
        <f ca="1"/>
        <v>0</v>
      </c>
      <c r="AHO15">
        <f ca="1"/>
        <v>0</v>
      </c>
      <c r="AHP15">
        <f ca="1"/>
        <v>0</v>
      </c>
      <c r="AHQ15">
        <f ca="1"/>
        <v>0</v>
      </c>
      <c r="AHR15">
        <f ca="1"/>
        <v>0</v>
      </c>
      <c r="AHS15">
        <f ca="1"/>
        <v>0</v>
      </c>
      <c r="AHT15">
        <f ca="1"/>
        <v>0</v>
      </c>
      <c r="AHU15">
        <f ca="1"/>
        <v>0</v>
      </c>
      <c r="AHV15">
        <f ca="1"/>
        <v>0</v>
      </c>
      <c r="AHW15">
        <f ca="1"/>
        <v>0</v>
      </c>
      <c r="AHX15">
        <f ca="1"/>
        <v>0</v>
      </c>
      <c r="AHY15">
        <f ca="1"/>
        <v>0</v>
      </c>
      <c r="AHZ15">
        <f ca="1"/>
        <v>0</v>
      </c>
      <c r="AIA15">
        <f ca="1"/>
        <v>0</v>
      </c>
      <c r="AIB15">
        <f ca="1"/>
        <v>0</v>
      </c>
      <c r="AIC15">
        <f ca="1"/>
        <v>0</v>
      </c>
      <c r="AID15">
        <f ca="1"/>
        <v>0</v>
      </c>
      <c r="AIE15">
        <f ca="1"/>
        <v>0</v>
      </c>
      <c r="AIF15">
        <f ca="1"/>
        <v>0</v>
      </c>
      <c r="AIG15">
        <f ca="1"/>
        <v>0</v>
      </c>
      <c r="AIH15">
        <f ca="1"/>
        <v>0</v>
      </c>
      <c r="AII15">
        <f ca="1"/>
        <v>0</v>
      </c>
      <c r="AIJ15">
        <f ca="1"/>
        <v>0</v>
      </c>
      <c r="AIK15">
        <f ca="1"/>
        <v>0</v>
      </c>
      <c r="AIL15">
        <f ca="1"/>
        <v>0</v>
      </c>
      <c r="AIM15">
        <f ca="1"/>
        <v>0</v>
      </c>
      <c r="AIN15">
        <f ca="1"/>
        <v>0</v>
      </c>
      <c r="AIO15">
        <f ca="1"/>
        <v>0</v>
      </c>
      <c r="AIP15">
        <f ca="1"/>
        <v>0</v>
      </c>
      <c r="AIQ15">
        <f ca="1"/>
        <v>0</v>
      </c>
      <c r="AIR15">
        <f ca="1"/>
        <v>0</v>
      </c>
      <c r="AIS15">
        <f ca="1"/>
        <v>0</v>
      </c>
      <c r="AIT15">
        <f ca="1"/>
        <v>0</v>
      </c>
      <c r="AIU15">
        <f ca="1"/>
        <v>0</v>
      </c>
      <c r="AIV15">
        <f ca="1"/>
        <v>0</v>
      </c>
      <c r="AIW15">
        <f ca="1"/>
        <v>0</v>
      </c>
      <c r="AIX15">
        <f ca="1"/>
        <v>0</v>
      </c>
      <c r="AIY15">
        <f ca="1"/>
        <v>0</v>
      </c>
      <c r="AIZ15">
        <f ca="1"/>
        <v>0</v>
      </c>
      <c r="AJA15">
        <f ca="1"/>
        <v>0</v>
      </c>
      <c r="AJB15">
        <f ca="1"/>
        <v>0</v>
      </c>
      <c r="AJC15">
        <f ca="1"/>
        <v>0</v>
      </c>
      <c r="AJD15">
        <f ca="1"/>
        <v>0</v>
      </c>
      <c r="AJE15">
        <f ca="1"/>
        <v>0</v>
      </c>
      <c r="AJF15">
        <f ca="1"/>
        <v>0</v>
      </c>
      <c r="AJG15">
        <f ca="1"/>
        <v>0</v>
      </c>
      <c r="AJH15">
        <f ca="1"/>
        <v>0</v>
      </c>
      <c r="AJI15">
        <f ca="1"/>
        <v>0</v>
      </c>
      <c r="AJJ15">
        <f ca="1"/>
        <v>0</v>
      </c>
      <c r="AJK15">
        <f ca="1"/>
        <v>0</v>
      </c>
      <c r="AJL15">
        <f ca="1"/>
        <v>0</v>
      </c>
      <c r="AJM15">
        <f ca="1"/>
        <v>0</v>
      </c>
      <c r="AJN15">
        <f ca="1"/>
        <v>0</v>
      </c>
      <c r="AJO15">
        <f ca="1"/>
        <v>0</v>
      </c>
      <c r="AJP15">
        <f ca="1"/>
        <v>0</v>
      </c>
      <c r="AJQ15">
        <f ca="1"/>
        <v>0</v>
      </c>
      <c r="AJR15">
        <f ca="1"/>
        <v>0</v>
      </c>
      <c r="AJS15">
        <f ca="1"/>
        <v>0</v>
      </c>
      <c r="AJT15">
        <f ca="1"/>
        <v>0</v>
      </c>
      <c r="AJU15">
        <f ca="1"/>
        <v>0</v>
      </c>
      <c r="AJV15">
        <f ca="1"/>
        <v>0</v>
      </c>
      <c r="AJW15">
        <f ca="1"/>
        <v>0</v>
      </c>
      <c r="AJX15">
        <f ca="1"/>
        <v>0</v>
      </c>
      <c r="AJY15">
        <f ca="1"/>
        <v>0</v>
      </c>
      <c r="AJZ15">
        <f ca="1"/>
        <v>0</v>
      </c>
      <c r="AKA15">
        <f ca="1"/>
        <v>0</v>
      </c>
      <c r="AKB15">
        <f ca="1"/>
        <v>0</v>
      </c>
      <c r="AKC15">
        <f ca="1"/>
        <v>0</v>
      </c>
      <c r="AKD15">
        <f ca="1"/>
        <v>0</v>
      </c>
      <c r="AKE15">
        <f ca="1"/>
        <v>0</v>
      </c>
      <c r="AKF15">
        <f ca="1"/>
        <v>0</v>
      </c>
      <c r="AKG15">
        <f ca="1"/>
        <v>0</v>
      </c>
      <c r="AKH15">
        <f ca="1"/>
        <v>0</v>
      </c>
      <c r="AKI15">
        <f ca="1"/>
        <v>0</v>
      </c>
      <c r="AKJ15">
        <f ca="1"/>
        <v>0</v>
      </c>
      <c r="AKK15">
        <f ca="1"/>
        <v>0</v>
      </c>
      <c r="AKL15">
        <f ca="1"/>
        <v>0</v>
      </c>
      <c r="AKM15">
        <f ca="1"/>
        <v>0</v>
      </c>
      <c r="AKN15">
        <f ca="1"/>
        <v>0</v>
      </c>
      <c r="AKO15">
        <f ca="1"/>
        <v>0</v>
      </c>
      <c r="AKP15">
        <f ca="1"/>
        <v>0</v>
      </c>
      <c r="AKQ15">
        <f ca="1"/>
        <v>0</v>
      </c>
      <c r="AKR15">
        <f ca="1"/>
        <v>0</v>
      </c>
      <c r="AKS15">
        <f ca="1"/>
        <v>0</v>
      </c>
      <c r="AKT15">
        <f ca="1"/>
        <v>0</v>
      </c>
      <c r="AKU15">
        <f ca="1"/>
        <v>0</v>
      </c>
      <c r="AKV15">
        <f ca="1"/>
        <v>0</v>
      </c>
      <c r="AKW15">
        <f ca="1"/>
        <v>0</v>
      </c>
      <c r="AKX15">
        <f ca="1"/>
        <v>0</v>
      </c>
      <c r="AKY15">
        <f ca="1"/>
        <v>0</v>
      </c>
      <c r="AKZ15">
        <f ca="1"/>
        <v>0</v>
      </c>
      <c r="ALA15">
        <f ca="1"/>
        <v>0</v>
      </c>
      <c r="ALB15">
        <f ca="1"/>
        <v>0</v>
      </c>
      <c r="ALC15">
        <f ca="1"/>
        <v>0</v>
      </c>
      <c r="ALD15">
        <f ca="1"/>
        <v>0</v>
      </c>
      <c r="ALE15">
        <f ca="1"/>
        <v>0</v>
      </c>
      <c r="ALF15">
        <f ca="1"/>
        <v>0</v>
      </c>
      <c r="ALG15">
        <f ca="1"/>
        <v>0</v>
      </c>
      <c r="ALH15">
        <f ca="1"/>
        <v>0</v>
      </c>
      <c r="ALI15">
        <f ca="1"/>
        <v>0</v>
      </c>
      <c r="ALJ15">
        <f ca="1"/>
        <v>0</v>
      </c>
      <c r="ALK15">
        <f ca="1"/>
        <v>0</v>
      </c>
      <c r="ALL15">
        <f ca="1"/>
        <v>0</v>
      </c>
      <c r="ALM15">
        <f ca="1"/>
        <v>0</v>
      </c>
      <c r="ALN15">
        <f ca="1"/>
        <v>0</v>
      </c>
      <c r="ALO15">
        <f ca="1"/>
        <v>0</v>
      </c>
      <c r="ALP15">
        <f ca="1"/>
        <v>0</v>
      </c>
      <c r="ALQ15">
        <f ca="1"/>
        <v>0</v>
      </c>
      <c r="ALR15">
        <f ca="1"/>
        <v>0</v>
      </c>
      <c r="ALS15">
        <f ca="1"/>
        <v>0</v>
      </c>
      <c r="ALT15">
        <f ca="1"/>
        <v>0</v>
      </c>
      <c r="ALU15">
        <f ca="1"/>
        <v>0</v>
      </c>
      <c r="ALV15">
        <f ca="1"/>
        <v>0</v>
      </c>
      <c r="ALW15">
        <f ca="1"/>
        <v>0</v>
      </c>
      <c r="ALX15">
        <f ca="1"/>
        <v>0</v>
      </c>
      <c r="ALY15">
        <f ca="1"/>
        <v>0</v>
      </c>
      <c r="ALZ15">
        <f ca="1"/>
        <v>0</v>
      </c>
      <c r="AMA15">
        <f ca="1"/>
        <v>0</v>
      </c>
      <c r="AMB15">
        <f ca="1"/>
        <v>0</v>
      </c>
      <c r="AMC15">
        <f ca="1"/>
        <v>0</v>
      </c>
      <c r="AMD15">
        <f ca="1"/>
        <v>0</v>
      </c>
      <c r="AME15">
        <f ca="1"/>
        <v>0</v>
      </c>
      <c r="AMF15">
        <f ca="1"/>
        <v>0</v>
      </c>
      <c r="AMG15">
        <f ca="1"/>
        <v>0</v>
      </c>
      <c r="AMH15">
        <f ca="1"/>
        <v>0</v>
      </c>
      <c r="AMI15">
        <f ca="1"/>
        <v>0</v>
      </c>
      <c r="AMJ15">
        <f ca="1"/>
        <v>0</v>
      </c>
      <c r="AMK15">
        <f ca="1"/>
        <v>0</v>
      </c>
      <c r="AML15">
        <f ca="1"/>
        <v>0</v>
      </c>
      <c r="AMM15">
        <f ca="1"/>
        <v>0</v>
      </c>
      <c r="AMN15">
        <f ca="1"/>
        <v>0</v>
      </c>
      <c r="AMO15">
        <f ca="1"/>
        <v>0</v>
      </c>
      <c r="AMP15">
        <f ca="1"/>
        <v>0</v>
      </c>
      <c r="AMQ15">
        <f ca="1"/>
        <v>0</v>
      </c>
      <c r="AMR15">
        <f ca="1"/>
        <v>0</v>
      </c>
      <c r="AMS15">
        <f ca="1"/>
        <v>0</v>
      </c>
      <c r="AMT15">
        <f ca="1"/>
        <v>0</v>
      </c>
      <c r="AMU15">
        <f ca="1"/>
        <v>0</v>
      </c>
      <c r="AMV15">
        <f ca="1"/>
        <v>0</v>
      </c>
      <c r="AMW15">
        <f ca="1"/>
        <v>0</v>
      </c>
      <c r="AMX15">
        <f ca="1"/>
        <v>0</v>
      </c>
      <c r="AMY15">
        <f ca="1"/>
        <v>0</v>
      </c>
      <c r="AMZ15">
        <f ca="1"/>
        <v>0</v>
      </c>
      <c r="ANA15">
        <f ca="1"/>
        <v>0</v>
      </c>
      <c r="ANB15">
        <f ca="1"/>
        <v>0</v>
      </c>
      <c r="ANC15">
        <f ca="1"/>
        <v>0</v>
      </c>
      <c r="AND15">
        <f ca="1"/>
        <v>0</v>
      </c>
      <c r="ANE15">
        <f ca="1"/>
        <v>0</v>
      </c>
      <c r="ANF15">
        <f ca="1"/>
        <v>0</v>
      </c>
      <c r="ANG15">
        <f ca="1"/>
        <v>0</v>
      </c>
      <c r="ANH15">
        <f ca="1"/>
        <v>0</v>
      </c>
      <c r="ANI15">
        <f ca="1"/>
        <v>0</v>
      </c>
      <c r="ANJ15">
        <f ca="1"/>
        <v>0</v>
      </c>
      <c r="ANK15">
        <f ca="1"/>
        <v>0</v>
      </c>
      <c r="ANL15">
        <f ca="1"/>
        <v>0</v>
      </c>
      <c r="ANM15">
        <f ca="1"/>
        <v>0</v>
      </c>
      <c r="ANN15">
        <f ca="1"/>
        <v>0</v>
      </c>
      <c r="ANO15">
        <f ca="1"/>
        <v>0</v>
      </c>
      <c r="ANP15">
        <f ca="1"/>
        <v>0</v>
      </c>
      <c r="ANQ15">
        <f ca="1"/>
        <v>0</v>
      </c>
      <c r="ANR15">
        <f ca="1"/>
        <v>0</v>
      </c>
      <c r="ANS15">
        <f ca="1"/>
        <v>0</v>
      </c>
      <c r="ANT15">
        <f ca="1"/>
        <v>0</v>
      </c>
      <c r="ANU15">
        <f ca="1"/>
        <v>0</v>
      </c>
      <c r="ANV15">
        <f ca="1"/>
        <v>0</v>
      </c>
      <c r="ANW15">
        <f ca="1"/>
        <v>0</v>
      </c>
      <c r="ANX15">
        <f ca="1"/>
        <v>0</v>
      </c>
      <c r="ANY15">
        <f ca="1"/>
        <v>0</v>
      </c>
      <c r="ANZ15">
        <f ca="1"/>
        <v>0</v>
      </c>
      <c r="AOA15">
        <f ca="1"/>
        <v>0</v>
      </c>
      <c r="AOB15">
        <f ca="1"/>
        <v>0</v>
      </c>
      <c r="AOC15">
        <f ca="1"/>
        <v>0</v>
      </c>
      <c r="AOD15">
        <f ca="1"/>
        <v>0</v>
      </c>
      <c r="AOE15">
        <f ca="1"/>
        <v>0</v>
      </c>
      <c r="AOF15">
        <f ca="1"/>
        <v>0</v>
      </c>
      <c r="AOG15">
        <f ca="1"/>
        <v>0</v>
      </c>
      <c r="AOH15">
        <f ca="1"/>
        <v>0</v>
      </c>
      <c r="AOI15">
        <f ca="1"/>
        <v>0</v>
      </c>
      <c r="AOJ15">
        <f ca="1"/>
        <v>0</v>
      </c>
      <c r="AOK15">
        <f ca="1"/>
        <v>0</v>
      </c>
      <c r="AOL15">
        <f ca="1"/>
        <v>0</v>
      </c>
      <c r="AOM15">
        <f ca="1"/>
        <v>0</v>
      </c>
      <c r="AON15">
        <f ca="1"/>
        <v>0</v>
      </c>
      <c r="AOO15">
        <f ca="1"/>
        <v>0</v>
      </c>
      <c r="AOP15">
        <f ca="1"/>
        <v>0</v>
      </c>
      <c r="AOQ15">
        <f ca="1"/>
        <v>0</v>
      </c>
      <c r="AOR15">
        <f ca="1"/>
        <v>0</v>
      </c>
      <c r="AOS15">
        <f ca="1"/>
        <v>0</v>
      </c>
      <c r="AOT15">
        <f ca="1"/>
        <v>0</v>
      </c>
      <c r="AOU15">
        <f ca="1"/>
        <v>0</v>
      </c>
      <c r="AOV15">
        <f ca="1"/>
        <v>0</v>
      </c>
      <c r="AOW15">
        <f ca="1"/>
        <v>0</v>
      </c>
      <c r="AOX15">
        <f ca="1"/>
        <v>0</v>
      </c>
      <c r="AOY15">
        <f ca="1"/>
        <v>0</v>
      </c>
      <c r="AOZ15">
        <f ca="1"/>
        <v>0</v>
      </c>
      <c r="APA15">
        <f ca="1"/>
        <v>0</v>
      </c>
      <c r="APB15">
        <f ca="1"/>
        <v>0</v>
      </c>
      <c r="APC15">
        <f ca="1"/>
        <v>0</v>
      </c>
      <c r="APD15">
        <f ca="1"/>
        <v>0</v>
      </c>
      <c r="APE15">
        <f ca="1"/>
        <v>0</v>
      </c>
      <c r="APF15">
        <f ca="1"/>
        <v>0</v>
      </c>
      <c r="APG15">
        <f ca="1"/>
        <v>0</v>
      </c>
      <c r="APH15">
        <f ca="1"/>
        <v>0</v>
      </c>
      <c r="API15">
        <f ca="1"/>
        <v>0</v>
      </c>
      <c r="APJ15">
        <f ca="1"/>
        <v>0</v>
      </c>
      <c r="APK15">
        <f ca="1"/>
        <v>0</v>
      </c>
      <c r="APL15">
        <f ca="1"/>
        <v>0</v>
      </c>
      <c r="APM15">
        <f ca="1"/>
        <v>0</v>
      </c>
      <c r="APN15">
        <f ca="1"/>
        <v>0</v>
      </c>
      <c r="APO15">
        <f ca="1"/>
        <v>0</v>
      </c>
      <c r="APP15">
        <f ca="1"/>
        <v>0</v>
      </c>
      <c r="APQ15">
        <f ca="1"/>
        <v>0</v>
      </c>
      <c r="APR15">
        <f ca="1"/>
        <v>0</v>
      </c>
      <c r="APS15">
        <f ca="1"/>
        <v>0</v>
      </c>
      <c r="APT15">
        <f ca="1"/>
        <v>0</v>
      </c>
      <c r="APU15">
        <f ca="1"/>
        <v>0</v>
      </c>
      <c r="APV15">
        <f ca="1"/>
        <v>0</v>
      </c>
      <c r="APW15">
        <f ca="1"/>
        <v>0</v>
      </c>
      <c r="APX15">
        <f ca="1"/>
        <v>0</v>
      </c>
      <c r="APY15">
        <f ca="1"/>
        <v>0</v>
      </c>
      <c r="APZ15">
        <f ca="1"/>
        <v>0</v>
      </c>
      <c r="AQA15">
        <f ca="1"/>
        <v>0</v>
      </c>
      <c r="AQB15">
        <f ca="1"/>
        <v>0</v>
      </c>
      <c r="AQC15">
        <f ca="1"/>
        <v>0</v>
      </c>
      <c r="AQD15">
        <f ca="1"/>
        <v>0</v>
      </c>
      <c r="AQE15">
        <f ca="1"/>
        <v>0</v>
      </c>
      <c r="AQF15">
        <f ca="1"/>
        <v>0</v>
      </c>
      <c r="AQG15">
        <f ca="1"/>
        <v>0</v>
      </c>
      <c r="AQH15">
        <f ca="1"/>
        <v>0</v>
      </c>
      <c r="AQI15">
        <f ca="1"/>
        <v>0</v>
      </c>
      <c r="AQJ15">
        <f ca="1"/>
        <v>0</v>
      </c>
      <c r="AQK15">
        <f ca="1"/>
        <v>0</v>
      </c>
      <c r="AQL15">
        <f ca="1"/>
        <v>0</v>
      </c>
      <c r="AQM15">
        <f ca="1"/>
        <v>0</v>
      </c>
      <c r="AQN15">
        <f ca="1"/>
        <v>0</v>
      </c>
      <c r="AQO15">
        <f ca="1"/>
        <v>0</v>
      </c>
      <c r="AQP15">
        <f ca="1"/>
        <v>0</v>
      </c>
      <c r="AQQ15">
        <f ca="1"/>
        <v>0</v>
      </c>
      <c r="AQR15">
        <f ca="1"/>
        <v>0</v>
      </c>
      <c r="AQS15">
        <f ca="1"/>
        <v>0</v>
      </c>
      <c r="AQT15">
        <f ca="1"/>
        <v>0</v>
      </c>
      <c r="AQU15">
        <f ca="1"/>
        <v>0</v>
      </c>
      <c r="AQV15">
        <f ca="1"/>
        <v>0</v>
      </c>
      <c r="AQW15">
        <f ca="1"/>
        <v>0</v>
      </c>
      <c r="AQX15">
        <f ca="1"/>
        <v>0</v>
      </c>
      <c r="AQY15">
        <f ca="1"/>
        <v>0</v>
      </c>
      <c r="AQZ15">
        <f ca="1"/>
        <v>0</v>
      </c>
      <c r="ARA15">
        <f ca="1"/>
        <v>0</v>
      </c>
      <c r="ARB15">
        <f ca="1"/>
        <v>0</v>
      </c>
      <c r="ARC15">
        <f ca="1"/>
        <v>0</v>
      </c>
      <c r="ARD15">
        <f ca="1"/>
        <v>0</v>
      </c>
      <c r="ARE15">
        <f ca="1"/>
        <v>0</v>
      </c>
      <c r="ARF15">
        <f ca="1"/>
        <v>0</v>
      </c>
      <c r="ARG15">
        <f ca="1"/>
        <v>0</v>
      </c>
      <c r="ARH15">
        <f ca="1"/>
        <v>0</v>
      </c>
      <c r="ARI15">
        <f ca="1"/>
        <v>0</v>
      </c>
      <c r="ARJ15">
        <f ca="1"/>
        <v>0</v>
      </c>
      <c r="ARK15">
        <f ca="1"/>
        <v>0</v>
      </c>
      <c r="ARL15">
        <f ca="1"/>
        <v>0</v>
      </c>
      <c r="ARM15">
        <f ca="1"/>
        <v>0</v>
      </c>
      <c r="ARN15">
        <f ca="1"/>
        <v>0</v>
      </c>
      <c r="ARO15">
        <f ca="1"/>
        <v>0</v>
      </c>
      <c r="ARP15">
        <f ca="1"/>
        <v>0</v>
      </c>
      <c r="ARQ15">
        <f ca="1"/>
        <v>0</v>
      </c>
      <c r="ARR15">
        <f ca="1"/>
        <v>0</v>
      </c>
      <c r="ARS15">
        <f ca="1"/>
        <v>0</v>
      </c>
      <c r="ART15">
        <f ca="1"/>
        <v>0</v>
      </c>
      <c r="ARU15">
        <f ca="1"/>
        <v>0</v>
      </c>
      <c r="ARV15">
        <f ca="1"/>
        <v>0</v>
      </c>
      <c r="ARW15">
        <f ca="1"/>
        <v>0</v>
      </c>
      <c r="ARX15">
        <f ca="1"/>
        <v>0</v>
      </c>
      <c r="ARY15">
        <f ca="1"/>
        <v>0</v>
      </c>
      <c r="ARZ15">
        <f ca="1"/>
        <v>0</v>
      </c>
      <c r="ASA15">
        <f ca="1"/>
        <v>0</v>
      </c>
      <c r="ASB15">
        <f ca="1"/>
        <v>0</v>
      </c>
      <c r="ASC15">
        <f ca="1"/>
        <v>0</v>
      </c>
      <c r="ASD15">
        <f ca="1"/>
        <v>0</v>
      </c>
      <c r="ASE15">
        <f ca="1"/>
        <v>0</v>
      </c>
      <c r="ASF15">
        <f ca="1"/>
        <v>0</v>
      </c>
      <c r="ASG15">
        <f ca="1"/>
        <v>0</v>
      </c>
      <c r="ASH15">
        <f ca="1"/>
        <v>0</v>
      </c>
      <c r="ASI15">
        <f ca="1"/>
        <v>0</v>
      </c>
      <c r="ASJ15">
        <f ca="1"/>
        <v>0</v>
      </c>
      <c r="ASK15">
        <f ca="1"/>
        <v>0</v>
      </c>
      <c r="ASL15">
        <f ca="1"/>
        <v>0</v>
      </c>
      <c r="ASM15">
        <f ca="1"/>
        <v>0</v>
      </c>
      <c r="ASN15">
        <f ca="1"/>
        <v>0</v>
      </c>
      <c r="ASO15">
        <f ca="1"/>
        <v>0</v>
      </c>
      <c r="ASP15">
        <f ca="1"/>
        <v>0</v>
      </c>
      <c r="ASQ15">
        <f ca="1"/>
        <v>0</v>
      </c>
      <c r="ASR15">
        <f ca="1"/>
        <v>0</v>
      </c>
      <c r="ASS15">
        <f ca="1"/>
        <v>0</v>
      </c>
      <c r="AST15">
        <f ca="1"/>
        <v>0</v>
      </c>
      <c r="ASU15">
        <f ca="1"/>
        <v>0</v>
      </c>
      <c r="ASV15">
        <f ca="1"/>
        <v>0</v>
      </c>
      <c r="ASW15">
        <f ca="1"/>
        <v>0</v>
      </c>
      <c r="ASX15">
        <f ca="1"/>
        <v>0</v>
      </c>
      <c r="ASY15">
        <f ca="1"/>
        <v>0</v>
      </c>
      <c r="ASZ15">
        <f ca="1"/>
        <v>0</v>
      </c>
      <c r="ATA15">
        <f ca="1"/>
        <v>0</v>
      </c>
      <c r="ATB15">
        <f ca="1"/>
        <v>0</v>
      </c>
      <c r="ATC15">
        <f ca="1"/>
        <v>0</v>
      </c>
      <c r="ATD15">
        <f ca="1"/>
        <v>0</v>
      </c>
      <c r="ATE15">
        <f ca="1"/>
        <v>0</v>
      </c>
      <c r="ATF15">
        <f ca="1"/>
        <v>0</v>
      </c>
      <c r="ATG15">
        <f ca="1"/>
        <v>0</v>
      </c>
      <c r="ATH15">
        <f ca="1"/>
        <v>0</v>
      </c>
      <c r="ATI15">
        <f ca="1"/>
        <v>0</v>
      </c>
      <c r="ATJ15">
        <f ca="1"/>
        <v>0</v>
      </c>
      <c r="ATK15">
        <f ca="1"/>
        <v>0</v>
      </c>
      <c r="ATL15">
        <f ca="1"/>
        <v>0</v>
      </c>
      <c r="ATM15">
        <f ca="1"/>
        <v>0</v>
      </c>
      <c r="ATN15">
        <f ca="1"/>
        <v>0</v>
      </c>
      <c r="ATO15">
        <f ca="1"/>
        <v>0</v>
      </c>
      <c r="ATP15">
        <f ca="1"/>
        <v>0</v>
      </c>
      <c r="ATQ15">
        <f ca="1"/>
        <v>0</v>
      </c>
      <c r="ATR15">
        <f ca="1"/>
        <v>0</v>
      </c>
      <c r="ATS15">
        <f ca="1"/>
        <v>0</v>
      </c>
      <c r="ATT15">
        <f ca="1"/>
        <v>0</v>
      </c>
      <c r="ATU15">
        <f ca="1"/>
        <v>0</v>
      </c>
      <c r="ATV15">
        <f ca="1"/>
        <v>0</v>
      </c>
      <c r="ATW15">
        <f ca="1"/>
        <v>0</v>
      </c>
      <c r="ATX15">
        <f ca="1"/>
        <v>0</v>
      </c>
      <c r="ATY15">
        <f ca="1"/>
        <v>0</v>
      </c>
      <c r="ATZ15">
        <f ca="1"/>
        <v>0</v>
      </c>
      <c r="AUA15">
        <f ca="1"/>
        <v>0</v>
      </c>
      <c r="AUB15">
        <f ca="1"/>
        <v>0</v>
      </c>
      <c r="AUC15">
        <f ca="1"/>
        <v>0</v>
      </c>
      <c r="AUD15">
        <f ca="1"/>
        <v>0</v>
      </c>
      <c r="AUE15">
        <f ca="1"/>
        <v>0</v>
      </c>
      <c r="AUF15">
        <f ca="1"/>
        <v>0</v>
      </c>
      <c r="AUG15">
        <f ca="1"/>
        <v>0</v>
      </c>
      <c r="AUH15">
        <f ca="1"/>
        <v>0</v>
      </c>
      <c r="AUI15">
        <f ca="1"/>
        <v>0</v>
      </c>
      <c r="AUJ15">
        <f ca="1"/>
        <v>0</v>
      </c>
      <c r="AUK15">
        <f ca="1"/>
        <v>0</v>
      </c>
      <c r="AUL15">
        <f ca="1"/>
        <v>0</v>
      </c>
      <c r="AUM15">
        <f ca="1"/>
        <v>0</v>
      </c>
      <c r="AUN15">
        <f ca="1"/>
        <v>0</v>
      </c>
      <c r="AUO15">
        <f ca="1"/>
        <v>0</v>
      </c>
      <c r="AUP15">
        <f ca="1"/>
        <v>0</v>
      </c>
      <c r="AUQ15">
        <f ca="1"/>
        <v>0</v>
      </c>
      <c r="AUR15">
        <f ca="1"/>
        <v>0</v>
      </c>
      <c r="AUS15">
        <f ca="1"/>
        <v>0</v>
      </c>
      <c r="AUT15">
        <f ca="1"/>
        <v>0</v>
      </c>
      <c r="AUU15">
        <f ca="1"/>
        <v>0</v>
      </c>
      <c r="AUV15">
        <f ca="1"/>
        <v>0</v>
      </c>
      <c r="AUW15">
        <f ca="1"/>
        <v>0</v>
      </c>
      <c r="AUX15">
        <f ca="1"/>
        <v>0</v>
      </c>
      <c r="AUY15">
        <f ca="1"/>
        <v>0</v>
      </c>
      <c r="AUZ15">
        <f ca="1"/>
        <v>0</v>
      </c>
      <c r="AVA15">
        <f ca="1"/>
        <v>0</v>
      </c>
      <c r="AVB15">
        <f ca="1"/>
        <v>0</v>
      </c>
      <c r="AVC15">
        <f ca="1"/>
        <v>0</v>
      </c>
      <c r="AVD15">
        <f ca="1"/>
        <v>0</v>
      </c>
      <c r="AVE15">
        <f ca="1"/>
        <v>0</v>
      </c>
      <c r="AVF15">
        <f ca="1"/>
        <v>0</v>
      </c>
      <c r="AVG15">
        <f ca="1"/>
        <v>0</v>
      </c>
      <c r="AVH15">
        <f ca="1"/>
        <v>0</v>
      </c>
      <c r="AVI15">
        <f ca="1"/>
        <v>0</v>
      </c>
      <c r="AVJ15">
        <f ca="1"/>
        <v>0</v>
      </c>
      <c r="AVK15">
        <f ca="1"/>
        <v>0</v>
      </c>
      <c r="AVL15">
        <f ca="1"/>
        <v>0</v>
      </c>
      <c r="AVM15">
        <f ca="1"/>
        <v>0</v>
      </c>
      <c r="AVN15">
        <f ca="1"/>
        <v>0</v>
      </c>
      <c r="AVO15">
        <f ca="1"/>
        <v>0</v>
      </c>
      <c r="AVP15">
        <f ca="1"/>
        <v>0</v>
      </c>
      <c r="AVQ15">
        <f ca="1"/>
        <v>0</v>
      </c>
      <c r="AVR15">
        <f ca="1"/>
        <v>0</v>
      </c>
      <c r="AVS15">
        <f ca="1"/>
        <v>0</v>
      </c>
      <c r="AVT15">
        <f ca="1"/>
        <v>0</v>
      </c>
      <c r="AVU15">
        <f ca="1"/>
        <v>0</v>
      </c>
      <c r="AVV15">
        <f ca="1"/>
        <v>0</v>
      </c>
      <c r="AVW15">
        <f ca="1"/>
        <v>0</v>
      </c>
      <c r="AVX15">
        <f ca="1"/>
        <v>0</v>
      </c>
      <c r="AVY15">
        <f ca="1"/>
        <v>0</v>
      </c>
      <c r="AVZ15">
        <f ca="1"/>
        <v>0</v>
      </c>
      <c r="AWA15">
        <f ca="1"/>
        <v>0</v>
      </c>
      <c r="AWB15">
        <f ca="1"/>
        <v>0</v>
      </c>
      <c r="AWC15">
        <f ca="1"/>
        <v>0</v>
      </c>
      <c r="AWD15">
        <f ca="1"/>
        <v>0</v>
      </c>
      <c r="AWE15">
        <f ca="1"/>
        <v>0</v>
      </c>
      <c r="AWF15">
        <f ca="1"/>
        <v>0</v>
      </c>
      <c r="AWG15">
        <f ca="1"/>
        <v>0</v>
      </c>
      <c r="AWH15">
        <f ca="1"/>
        <v>0</v>
      </c>
      <c r="AWI15">
        <f ca="1"/>
        <v>0</v>
      </c>
      <c r="AWJ15">
        <f ca="1"/>
        <v>0</v>
      </c>
      <c r="AWK15">
        <f ca="1"/>
        <v>0</v>
      </c>
      <c r="AWL15">
        <f ca="1"/>
        <v>0</v>
      </c>
      <c r="AWM15">
        <f ca="1"/>
        <v>0</v>
      </c>
      <c r="AWN15">
        <f ca="1"/>
        <v>0</v>
      </c>
      <c r="AWO15">
        <f ca="1"/>
        <v>0</v>
      </c>
      <c r="AWP15">
        <f ca="1"/>
        <v>0</v>
      </c>
      <c r="AWQ15">
        <f ca="1"/>
        <v>0</v>
      </c>
      <c r="AWR15">
        <f ca="1"/>
        <v>0</v>
      </c>
      <c r="AWS15">
        <f ca="1"/>
        <v>0</v>
      </c>
      <c r="AWT15">
        <f ca="1"/>
        <v>0</v>
      </c>
      <c r="AWU15">
        <f ca="1"/>
        <v>0</v>
      </c>
      <c r="AWV15">
        <f ca="1"/>
        <v>0</v>
      </c>
      <c r="AWW15">
        <f ca="1"/>
        <v>0</v>
      </c>
      <c r="AWX15">
        <f ca="1"/>
        <v>0</v>
      </c>
      <c r="AWY15">
        <f ca="1"/>
        <v>0</v>
      </c>
      <c r="AWZ15">
        <f ca="1"/>
        <v>0</v>
      </c>
      <c r="AXA15">
        <f ca="1"/>
        <v>0</v>
      </c>
      <c r="AXB15">
        <f ca="1"/>
        <v>0</v>
      </c>
      <c r="AXC15">
        <f ca="1"/>
        <v>0</v>
      </c>
      <c r="AXD15">
        <f ca="1"/>
        <v>0</v>
      </c>
      <c r="AXE15">
        <f ca="1"/>
        <v>0</v>
      </c>
      <c r="AXF15">
        <f ca="1"/>
        <v>0</v>
      </c>
      <c r="AXG15">
        <f ca="1"/>
        <v>0</v>
      </c>
      <c r="AXH15">
        <f ca="1"/>
        <v>0</v>
      </c>
      <c r="AXI15">
        <f ca="1"/>
        <v>0</v>
      </c>
      <c r="AXJ15">
        <f ca="1"/>
        <v>0</v>
      </c>
      <c r="AXK15">
        <f ca="1"/>
        <v>0</v>
      </c>
      <c r="AXL15">
        <f ca="1"/>
        <v>0</v>
      </c>
      <c r="AXM15">
        <f ca="1"/>
        <v>0</v>
      </c>
      <c r="AXN15">
        <f ca="1"/>
        <v>0</v>
      </c>
      <c r="AXO15">
        <f ca="1"/>
        <v>0</v>
      </c>
      <c r="AXP15">
        <f ca="1"/>
        <v>0</v>
      </c>
      <c r="AXQ15">
        <f ca="1"/>
        <v>0</v>
      </c>
      <c r="AXR15">
        <f ca="1"/>
        <v>0</v>
      </c>
      <c r="AXS15">
        <f ca="1"/>
        <v>0</v>
      </c>
      <c r="AXT15">
        <f ca="1"/>
        <v>0</v>
      </c>
      <c r="AXU15">
        <f ca="1"/>
        <v>0</v>
      </c>
      <c r="AXV15">
        <f ca="1"/>
        <v>0</v>
      </c>
      <c r="AXW15">
        <f ca="1"/>
        <v>0</v>
      </c>
      <c r="AXX15">
        <f ca="1"/>
        <v>0</v>
      </c>
      <c r="AXY15">
        <f ca="1"/>
        <v>0</v>
      </c>
      <c r="AXZ15">
        <f ca="1"/>
        <v>0</v>
      </c>
      <c r="AYA15">
        <f ca="1"/>
        <v>0</v>
      </c>
      <c r="AYB15">
        <f ca="1"/>
        <v>0</v>
      </c>
      <c r="AYC15">
        <f ca="1"/>
        <v>0</v>
      </c>
      <c r="AYD15">
        <f ca="1"/>
        <v>0</v>
      </c>
      <c r="AYE15">
        <f ca="1"/>
        <v>0</v>
      </c>
      <c r="AYF15">
        <f ca="1"/>
        <v>0</v>
      </c>
      <c r="AYG15">
        <f ca="1"/>
        <v>0</v>
      </c>
      <c r="AYH15">
        <f ca="1"/>
        <v>0</v>
      </c>
      <c r="AYI15">
        <f ca="1"/>
        <v>0</v>
      </c>
      <c r="AYJ15">
        <f ca="1"/>
        <v>0</v>
      </c>
      <c r="AYK15">
        <f ca="1"/>
        <v>0</v>
      </c>
      <c r="AYL15">
        <f ca="1"/>
        <v>0</v>
      </c>
      <c r="AYM15">
        <f ca="1"/>
        <v>0</v>
      </c>
      <c r="AYN15">
        <f ca="1"/>
        <v>0</v>
      </c>
      <c r="AYO15">
        <f ca="1"/>
        <v>0</v>
      </c>
      <c r="AYP15">
        <f ca="1"/>
        <v>0</v>
      </c>
      <c r="AYQ15">
        <f ca="1"/>
        <v>0</v>
      </c>
      <c r="AYR15">
        <f ca="1"/>
        <v>0</v>
      </c>
      <c r="AYS15">
        <f ca="1"/>
        <v>0</v>
      </c>
      <c r="AYT15">
        <f ca="1"/>
        <v>0</v>
      </c>
      <c r="AYU15">
        <f ca="1"/>
        <v>0</v>
      </c>
      <c r="AYV15">
        <f ca="1"/>
        <v>0</v>
      </c>
      <c r="AYW15">
        <f ca="1"/>
        <v>0</v>
      </c>
      <c r="AYX15">
        <f ca="1"/>
        <v>0</v>
      </c>
      <c r="AYY15">
        <f ca="1"/>
        <v>0</v>
      </c>
      <c r="AYZ15">
        <f ca="1"/>
        <v>0</v>
      </c>
      <c r="AZA15">
        <f ca="1"/>
        <v>0</v>
      </c>
      <c r="AZB15">
        <f ca="1"/>
        <v>0</v>
      </c>
      <c r="AZC15">
        <f ca="1"/>
        <v>0</v>
      </c>
      <c r="AZD15">
        <f ca="1"/>
        <v>0</v>
      </c>
      <c r="AZE15">
        <f ca="1"/>
        <v>0</v>
      </c>
      <c r="AZF15">
        <f ca="1"/>
        <v>0</v>
      </c>
      <c r="AZG15">
        <f ca="1"/>
        <v>0</v>
      </c>
      <c r="AZH15">
        <f ca="1"/>
        <v>0</v>
      </c>
      <c r="AZI15">
        <f ca="1"/>
        <v>0</v>
      </c>
      <c r="AZJ15">
        <f ca="1"/>
        <v>0</v>
      </c>
      <c r="AZK15">
        <f ca="1"/>
        <v>0</v>
      </c>
      <c r="AZL15">
        <f ca="1"/>
        <v>0</v>
      </c>
      <c r="AZM15">
        <f ca="1"/>
        <v>0</v>
      </c>
      <c r="AZN15">
        <f ca="1"/>
        <v>0</v>
      </c>
      <c r="AZO15">
        <f ca="1"/>
        <v>0</v>
      </c>
      <c r="AZP15">
        <f ca="1"/>
        <v>0</v>
      </c>
      <c r="AZQ15">
        <f ca="1"/>
        <v>0</v>
      </c>
      <c r="AZR15">
        <f ca="1"/>
        <v>0</v>
      </c>
      <c r="AZS15">
        <f ca="1"/>
        <v>0</v>
      </c>
      <c r="AZT15">
        <f ca="1"/>
        <v>0</v>
      </c>
      <c r="AZU15">
        <f ca="1"/>
        <v>0</v>
      </c>
      <c r="AZV15">
        <f ca="1"/>
        <v>0</v>
      </c>
      <c r="AZW15">
        <f ca="1"/>
        <v>0</v>
      </c>
      <c r="AZX15">
        <f ca="1"/>
        <v>0</v>
      </c>
      <c r="AZY15">
        <f ca="1"/>
        <v>0</v>
      </c>
      <c r="AZZ15">
        <f ca="1"/>
        <v>0</v>
      </c>
      <c r="BAA15">
        <f ca="1"/>
        <v>0</v>
      </c>
      <c r="BAB15">
        <f ca="1"/>
        <v>0</v>
      </c>
      <c r="BAC15">
        <f ca="1"/>
        <v>0</v>
      </c>
      <c r="BAD15">
        <f ca="1"/>
        <v>0</v>
      </c>
      <c r="BAE15">
        <f ca="1"/>
        <v>0</v>
      </c>
      <c r="BAF15">
        <f ca="1"/>
        <v>0</v>
      </c>
      <c r="BAG15">
        <f ca="1"/>
        <v>0</v>
      </c>
      <c r="BAH15">
        <f ca="1"/>
        <v>0</v>
      </c>
      <c r="BAI15">
        <f ca="1"/>
        <v>0</v>
      </c>
      <c r="BAJ15">
        <f ca="1"/>
        <v>0</v>
      </c>
      <c r="BAK15">
        <f ca="1"/>
        <v>0</v>
      </c>
      <c r="BAL15">
        <f ca="1"/>
        <v>0</v>
      </c>
      <c r="BAM15">
        <f ca="1"/>
        <v>0</v>
      </c>
      <c r="BAN15">
        <f ca="1"/>
        <v>0</v>
      </c>
      <c r="BAO15">
        <f ca="1"/>
        <v>0</v>
      </c>
      <c r="BAP15">
        <f ca="1"/>
        <v>0</v>
      </c>
      <c r="BAQ15">
        <f ca="1"/>
        <v>0</v>
      </c>
      <c r="BAR15">
        <f ca="1"/>
        <v>0</v>
      </c>
      <c r="BAS15">
        <f ca="1"/>
        <v>0</v>
      </c>
      <c r="BAT15">
        <f ca="1"/>
        <v>0</v>
      </c>
      <c r="BAU15">
        <f ca="1"/>
        <v>0</v>
      </c>
      <c r="BAV15">
        <f ca="1"/>
        <v>0</v>
      </c>
      <c r="BAW15">
        <f ca="1"/>
        <v>0</v>
      </c>
      <c r="BAX15">
        <f ca="1"/>
        <v>0</v>
      </c>
      <c r="BAY15">
        <f ca="1"/>
        <v>0</v>
      </c>
      <c r="BAZ15">
        <f ca="1"/>
        <v>0</v>
      </c>
      <c r="BBA15">
        <f ca="1"/>
        <v>0</v>
      </c>
      <c r="BBB15">
        <f ca="1"/>
        <v>0</v>
      </c>
      <c r="BBC15">
        <f ca="1"/>
        <v>0</v>
      </c>
      <c r="BBD15">
        <f ca="1"/>
        <v>0</v>
      </c>
      <c r="BBE15">
        <f ca="1"/>
        <v>0</v>
      </c>
      <c r="BBF15">
        <f ca="1"/>
        <v>0</v>
      </c>
      <c r="BBG15">
        <f ca="1"/>
        <v>0</v>
      </c>
      <c r="BBH15">
        <f ca="1"/>
        <v>0</v>
      </c>
      <c r="BBI15">
        <f ca="1"/>
        <v>0</v>
      </c>
      <c r="BBJ15">
        <f ca="1"/>
        <v>0</v>
      </c>
      <c r="BBK15">
        <f ca="1"/>
        <v>0</v>
      </c>
      <c r="BBL15">
        <f ca="1"/>
        <v>0</v>
      </c>
      <c r="BBM15">
        <f ca="1"/>
        <v>0</v>
      </c>
      <c r="BBN15">
        <f ca="1"/>
        <v>0</v>
      </c>
      <c r="BBO15">
        <f ca="1"/>
        <v>0</v>
      </c>
      <c r="BBP15">
        <f ca="1"/>
        <v>0</v>
      </c>
      <c r="BBQ15">
        <f ca="1"/>
        <v>0</v>
      </c>
      <c r="BBR15">
        <f ca="1"/>
        <v>0</v>
      </c>
      <c r="BBS15">
        <f ca="1"/>
        <v>0</v>
      </c>
      <c r="BBT15">
        <f ca="1"/>
        <v>0</v>
      </c>
      <c r="BBU15">
        <f ca="1"/>
        <v>0</v>
      </c>
      <c r="BBV15">
        <f ca="1"/>
        <v>0</v>
      </c>
      <c r="BBW15">
        <f ca="1"/>
        <v>0</v>
      </c>
      <c r="BBX15">
        <f ca="1"/>
        <v>0</v>
      </c>
      <c r="BBY15">
        <f ca="1"/>
        <v>0</v>
      </c>
      <c r="BBZ15">
        <f ca="1"/>
        <v>0</v>
      </c>
      <c r="BCA15">
        <f ca="1"/>
        <v>0</v>
      </c>
      <c r="BCB15">
        <f ca="1"/>
        <v>0</v>
      </c>
      <c r="BCC15">
        <f ca="1"/>
        <v>0</v>
      </c>
      <c r="BCD15">
        <f ca="1"/>
        <v>0</v>
      </c>
      <c r="BCE15">
        <f ca="1"/>
        <v>0</v>
      </c>
      <c r="BCF15">
        <f ca="1"/>
        <v>0</v>
      </c>
      <c r="BCG15">
        <f ca="1"/>
        <v>0</v>
      </c>
      <c r="BCH15">
        <f ca="1"/>
        <v>0</v>
      </c>
      <c r="BCI15">
        <f ca="1"/>
        <v>0</v>
      </c>
      <c r="BCJ15">
        <f ca="1"/>
        <v>0</v>
      </c>
      <c r="BCK15">
        <f ca="1"/>
        <v>0</v>
      </c>
      <c r="BCL15">
        <f ca="1"/>
        <v>0</v>
      </c>
      <c r="BCM15">
        <f ca="1"/>
        <v>0</v>
      </c>
      <c r="BCN15">
        <f ca="1"/>
        <v>0</v>
      </c>
      <c r="BCO15">
        <f ca="1"/>
        <v>0</v>
      </c>
      <c r="BCP15">
        <f ca="1"/>
        <v>0</v>
      </c>
      <c r="BCQ15">
        <f ca="1"/>
        <v>0</v>
      </c>
      <c r="BCR15">
        <f ca="1"/>
        <v>0</v>
      </c>
      <c r="BCS15">
        <f ca="1"/>
        <v>0</v>
      </c>
      <c r="BCT15">
        <f ca="1"/>
        <v>0</v>
      </c>
      <c r="BCU15">
        <f ca="1"/>
        <v>0</v>
      </c>
      <c r="BCV15">
        <f ca="1"/>
        <v>0</v>
      </c>
      <c r="BCW15">
        <f ca="1"/>
        <v>0</v>
      </c>
      <c r="BCX15">
        <f ca="1"/>
        <v>0</v>
      </c>
      <c r="BCY15">
        <f ca="1"/>
        <v>0</v>
      </c>
      <c r="BCZ15">
        <f ca="1"/>
        <v>0</v>
      </c>
      <c r="BDA15">
        <f ca="1"/>
        <v>0</v>
      </c>
      <c r="BDB15">
        <f ca="1"/>
        <v>0</v>
      </c>
      <c r="BDC15">
        <f ca="1"/>
        <v>0</v>
      </c>
      <c r="BDD15">
        <f ca="1"/>
        <v>0</v>
      </c>
      <c r="BDE15">
        <f ca="1"/>
        <v>0</v>
      </c>
      <c r="BDF15">
        <f ca="1"/>
        <v>0</v>
      </c>
      <c r="BDG15">
        <f ca="1"/>
        <v>0</v>
      </c>
      <c r="BDH15">
        <f ca="1"/>
        <v>0</v>
      </c>
      <c r="BDI15">
        <f ca="1"/>
        <v>0</v>
      </c>
      <c r="BDJ15">
        <f ca="1"/>
        <v>0</v>
      </c>
      <c r="BDK15">
        <f ca="1"/>
        <v>0</v>
      </c>
      <c r="BDL15">
        <f ca="1"/>
        <v>0</v>
      </c>
      <c r="BDM15">
        <f ca="1"/>
        <v>0</v>
      </c>
      <c r="BDN15">
        <f ca="1"/>
        <v>0</v>
      </c>
      <c r="BDO15">
        <f ca="1"/>
        <v>0</v>
      </c>
      <c r="BDP15">
        <f ca="1"/>
        <v>0</v>
      </c>
      <c r="BDQ15">
        <f ca="1"/>
        <v>0</v>
      </c>
      <c r="BDR15">
        <f ca="1"/>
        <v>0</v>
      </c>
      <c r="BDS15">
        <f ca="1"/>
        <v>0</v>
      </c>
      <c r="BDT15">
        <f ca="1"/>
        <v>0</v>
      </c>
      <c r="BDU15">
        <f ca="1"/>
        <v>0</v>
      </c>
      <c r="BDV15">
        <f ca="1"/>
        <v>0</v>
      </c>
      <c r="BDW15">
        <f ca="1"/>
        <v>0</v>
      </c>
      <c r="BDX15">
        <f ca="1"/>
        <v>0</v>
      </c>
      <c r="BDY15">
        <f ca="1"/>
        <v>0</v>
      </c>
      <c r="BDZ15">
        <f ca="1"/>
        <v>0</v>
      </c>
      <c r="BEA15">
        <f ca="1"/>
        <v>0</v>
      </c>
      <c r="BEB15">
        <f ca="1"/>
        <v>0</v>
      </c>
      <c r="BEC15">
        <f ca="1"/>
        <v>0</v>
      </c>
      <c r="BED15">
        <f ca="1"/>
        <v>0</v>
      </c>
      <c r="BEE15">
        <f ca="1"/>
        <v>0</v>
      </c>
      <c r="BEF15">
        <f ca="1"/>
        <v>0</v>
      </c>
      <c r="BEG15">
        <f ca="1"/>
        <v>0</v>
      </c>
      <c r="BEH15">
        <f ca="1"/>
        <v>0</v>
      </c>
      <c r="BEI15">
        <f ca="1"/>
        <v>0</v>
      </c>
      <c r="BEJ15">
        <f ca="1"/>
        <v>0</v>
      </c>
      <c r="BEK15">
        <f ca="1"/>
        <v>0</v>
      </c>
      <c r="BEL15">
        <f ca="1"/>
        <v>0</v>
      </c>
      <c r="BEM15">
        <f ca="1"/>
        <v>0</v>
      </c>
      <c r="BEN15">
        <f ca="1"/>
        <v>0</v>
      </c>
      <c r="BEO15">
        <f ca="1"/>
        <v>0</v>
      </c>
      <c r="BEP15">
        <f ca="1"/>
        <v>0</v>
      </c>
      <c r="BEQ15">
        <f ca="1"/>
        <v>0</v>
      </c>
      <c r="BER15">
        <f ca="1"/>
        <v>0</v>
      </c>
      <c r="BES15">
        <f ca="1"/>
        <v>0</v>
      </c>
      <c r="BET15">
        <f ca="1"/>
        <v>0</v>
      </c>
      <c r="BEU15">
        <f ca="1"/>
        <v>0</v>
      </c>
      <c r="BEV15">
        <f ca="1"/>
        <v>0</v>
      </c>
      <c r="BEW15">
        <f ca="1"/>
        <v>0</v>
      </c>
      <c r="BEX15">
        <f ca="1"/>
        <v>0</v>
      </c>
      <c r="BEY15">
        <f ca="1"/>
        <v>0</v>
      </c>
      <c r="BEZ15">
        <f ca="1"/>
        <v>0</v>
      </c>
      <c r="BFA15">
        <f ca="1"/>
        <v>0</v>
      </c>
      <c r="BFB15">
        <f ca="1"/>
        <v>0</v>
      </c>
      <c r="BFC15">
        <f ca="1"/>
        <v>0</v>
      </c>
      <c r="BFD15">
        <f ca="1"/>
        <v>0</v>
      </c>
      <c r="BFE15">
        <f ca="1"/>
        <v>0</v>
      </c>
      <c r="BFF15">
        <f ca="1"/>
        <v>0</v>
      </c>
      <c r="BFG15">
        <f ca="1"/>
        <v>0</v>
      </c>
      <c r="BFH15">
        <f ca="1"/>
        <v>0</v>
      </c>
      <c r="BFI15">
        <f ca="1"/>
        <v>0</v>
      </c>
      <c r="BFJ15">
        <f ca="1"/>
        <v>0</v>
      </c>
      <c r="BFK15">
        <f ca="1"/>
        <v>0</v>
      </c>
      <c r="BFL15">
        <f ca="1"/>
        <v>0</v>
      </c>
      <c r="BFM15">
        <f ca="1"/>
        <v>0</v>
      </c>
      <c r="BFN15">
        <f ca="1"/>
        <v>0</v>
      </c>
      <c r="BFO15">
        <f ca="1"/>
        <v>0</v>
      </c>
      <c r="BFP15">
        <f ca="1"/>
        <v>0</v>
      </c>
      <c r="BFQ15">
        <f ca="1"/>
        <v>0</v>
      </c>
      <c r="BFR15">
        <f ca="1"/>
        <v>0</v>
      </c>
      <c r="BFS15">
        <f ca="1"/>
        <v>0</v>
      </c>
      <c r="BFT15">
        <f ca="1"/>
        <v>0</v>
      </c>
      <c r="BFU15">
        <f ca="1"/>
        <v>0</v>
      </c>
      <c r="BFV15">
        <f ca="1"/>
        <v>0</v>
      </c>
      <c r="BFW15">
        <f ca="1"/>
        <v>0</v>
      </c>
      <c r="BFX15">
        <f ca="1"/>
        <v>0</v>
      </c>
      <c r="BFY15">
        <f ca="1"/>
        <v>0</v>
      </c>
      <c r="BFZ15">
        <f ca="1"/>
        <v>0</v>
      </c>
      <c r="BGA15">
        <f ca="1"/>
        <v>0</v>
      </c>
      <c r="BGB15">
        <f ca="1"/>
        <v>0</v>
      </c>
      <c r="BGC15">
        <f ca="1"/>
        <v>0</v>
      </c>
      <c r="BGD15">
        <f ca="1"/>
        <v>0</v>
      </c>
      <c r="BGE15">
        <f ca="1"/>
        <v>0</v>
      </c>
      <c r="BGF15">
        <f ca="1"/>
        <v>0</v>
      </c>
      <c r="BGG15">
        <f ca="1"/>
        <v>0</v>
      </c>
      <c r="BGH15">
        <f ca="1"/>
        <v>0</v>
      </c>
      <c r="BGI15">
        <f ca="1"/>
        <v>0</v>
      </c>
      <c r="BGJ15">
        <f ca="1"/>
        <v>0</v>
      </c>
      <c r="BGK15">
        <f ca="1"/>
        <v>0</v>
      </c>
      <c r="BGL15">
        <f ca="1"/>
        <v>0</v>
      </c>
      <c r="BGM15">
        <f ca="1"/>
        <v>0</v>
      </c>
      <c r="BGN15">
        <f ca="1"/>
        <v>0</v>
      </c>
      <c r="BGO15">
        <f ca="1"/>
        <v>0</v>
      </c>
      <c r="BGP15">
        <f ca="1"/>
        <v>0</v>
      </c>
      <c r="BGQ15">
        <f ca="1"/>
        <v>0</v>
      </c>
      <c r="BGR15">
        <f ca="1"/>
        <v>0</v>
      </c>
      <c r="BGS15">
        <f ca="1"/>
        <v>0</v>
      </c>
      <c r="BGT15">
        <f ca="1"/>
        <v>0</v>
      </c>
      <c r="BGU15">
        <f ca="1"/>
        <v>0</v>
      </c>
      <c r="BGV15">
        <f ca="1"/>
        <v>0</v>
      </c>
      <c r="BGW15">
        <f ca="1"/>
        <v>0</v>
      </c>
      <c r="BGX15">
        <f ca="1"/>
        <v>0</v>
      </c>
      <c r="BGY15">
        <f ca="1"/>
        <v>0</v>
      </c>
      <c r="BGZ15">
        <f ca="1"/>
        <v>0</v>
      </c>
      <c r="BHA15">
        <f ca="1"/>
        <v>0</v>
      </c>
      <c r="BHB15">
        <f ca="1"/>
        <v>0</v>
      </c>
      <c r="BHC15">
        <f ca="1"/>
        <v>0</v>
      </c>
      <c r="BHD15">
        <f ca="1"/>
        <v>0</v>
      </c>
      <c r="BHE15">
        <f ca="1"/>
        <v>0</v>
      </c>
      <c r="BHF15">
        <f ca="1"/>
        <v>0</v>
      </c>
      <c r="BHG15">
        <f ca="1"/>
        <v>0</v>
      </c>
      <c r="BHH15">
        <f ca="1"/>
        <v>0</v>
      </c>
      <c r="BHI15">
        <f ca="1"/>
        <v>0</v>
      </c>
      <c r="BHJ15">
        <f ca="1"/>
        <v>0</v>
      </c>
      <c r="BHK15">
        <f ca="1"/>
        <v>0</v>
      </c>
      <c r="BHL15">
        <f ca="1"/>
        <v>0</v>
      </c>
      <c r="BHM15">
        <f ca="1"/>
        <v>0</v>
      </c>
      <c r="BHN15">
        <f ca="1"/>
        <v>0</v>
      </c>
      <c r="BHO15">
        <f ca="1"/>
        <v>0</v>
      </c>
      <c r="BHP15">
        <f ca="1"/>
        <v>0</v>
      </c>
      <c r="BHQ15">
        <f ca="1"/>
        <v>0</v>
      </c>
      <c r="BHR15">
        <f ca="1"/>
        <v>0</v>
      </c>
      <c r="BHS15">
        <f ca="1"/>
        <v>0</v>
      </c>
      <c r="BHT15">
        <f ca="1"/>
        <v>0</v>
      </c>
      <c r="BHU15">
        <f ca="1"/>
        <v>0</v>
      </c>
      <c r="BHV15">
        <f ca="1"/>
        <v>0</v>
      </c>
      <c r="BHW15">
        <f ca="1"/>
        <v>0</v>
      </c>
      <c r="BHX15">
        <f ca="1"/>
        <v>0</v>
      </c>
      <c r="BHY15">
        <f ca="1"/>
        <v>0</v>
      </c>
      <c r="BHZ15">
        <f ca="1"/>
        <v>0</v>
      </c>
      <c r="BIA15">
        <f ca="1"/>
        <v>0</v>
      </c>
      <c r="BIB15">
        <f ca="1"/>
        <v>0</v>
      </c>
      <c r="BIC15">
        <f ca="1"/>
        <v>0</v>
      </c>
      <c r="BID15">
        <f ca="1"/>
        <v>0</v>
      </c>
      <c r="BIE15">
        <f ca="1"/>
        <v>0</v>
      </c>
      <c r="BIF15">
        <f ca="1"/>
        <v>0</v>
      </c>
      <c r="BIG15">
        <f ca="1"/>
        <v>0</v>
      </c>
      <c r="BIH15">
        <f ca="1"/>
        <v>0</v>
      </c>
      <c r="BII15">
        <f ca="1"/>
        <v>0</v>
      </c>
      <c r="BIJ15">
        <f ca="1"/>
        <v>0</v>
      </c>
      <c r="BIK15">
        <f ca="1"/>
        <v>0</v>
      </c>
      <c r="BIL15">
        <f ca="1"/>
        <v>0</v>
      </c>
      <c r="BIM15">
        <f ca="1"/>
        <v>0</v>
      </c>
      <c r="BIN15">
        <f ca="1"/>
        <v>0</v>
      </c>
      <c r="BIO15">
        <f ca="1"/>
        <v>0</v>
      </c>
      <c r="BIP15">
        <f ca="1"/>
        <v>0</v>
      </c>
      <c r="BIQ15">
        <f ca="1"/>
        <v>0</v>
      </c>
      <c r="BIR15">
        <f ca="1"/>
        <v>0</v>
      </c>
      <c r="BIS15">
        <f ca="1"/>
        <v>0</v>
      </c>
      <c r="BIT15">
        <f ca="1"/>
        <v>0</v>
      </c>
      <c r="BIU15">
        <f ca="1"/>
        <v>0</v>
      </c>
      <c r="BIV15">
        <f ca="1"/>
        <v>0</v>
      </c>
      <c r="BIW15">
        <f ca="1"/>
        <v>0</v>
      </c>
      <c r="BIX15">
        <f ca="1"/>
        <v>0</v>
      </c>
      <c r="BIY15">
        <f ca="1"/>
        <v>0</v>
      </c>
      <c r="BIZ15">
        <f ca="1"/>
        <v>0</v>
      </c>
      <c r="BJA15">
        <f ca="1"/>
        <v>0</v>
      </c>
      <c r="BJB15">
        <f ca="1"/>
        <v>0</v>
      </c>
      <c r="BJC15">
        <f ca="1"/>
        <v>0</v>
      </c>
      <c r="BJD15">
        <f ca="1"/>
        <v>0</v>
      </c>
      <c r="BJE15">
        <f ca="1"/>
        <v>0</v>
      </c>
      <c r="BJF15">
        <f ca="1"/>
        <v>0</v>
      </c>
      <c r="BJG15">
        <f ca="1"/>
        <v>0</v>
      </c>
      <c r="BJH15">
        <f ca="1"/>
        <v>0</v>
      </c>
      <c r="BJI15">
        <f ca="1"/>
        <v>0</v>
      </c>
      <c r="BJJ15">
        <f ca="1"/>
        <v>0</v>
      </c>
      <c r="BJK15">
        <f ca="1"/>
        <v>0</v>
      </c>
      <c r="BJL15">
        <f ca="1"/>
        <v>0</v>
      </c>
      <c r="BJM15">
        <f ca="1"/>
        <v>0</v>
      </c>
      <c r="BJN15">
        <f ca="1"/>
        <v>0</v>
      </c>
      <c r="BJO15">
        <f ca="1"/>
        <v>0</v>
      </c>
      <c r="BJP15">
        <f ca="1"/>
        <v>0</v>
      </c>
      <c r="BJQ15">
        <f ca="1"/>
        <v>0</v>
      </c>
      <c r="BJR15">
        <f ca="1"/>
        <v>0</v>
      </c>
      <c r="BJS15">
        <f ca="1"/>
        <v>0</v>
      </c>
      <c r="BJT15">
        <f ca="1"/>
        <v>0</v>
      </c>
      <c r="BJU15">
        <f ca="1"/>
        <v>0</v>
      </c>
      <c r="BJV15">
        <f ca="1"/>
        <v>0</v>
      </c>
      <c r="BJW15">
        <f ca="1"/>
        <v>0</v>
      </c>
      <c r="BJX15">
        <f ca="1"/>
        <v>0</v>
      </c>
      <c r="BJY15">
        <f ca="1"/>
        <v>0</v>
      </c>
      <c r="BJZ15">
        <f ca="1"/>
        <v>0</v>
      </c>
      <c r="BKA15">
        <f ca="1"/>
        <v>0</v>
      </c>
      <c r="BKB15">
        <f ca="1"/>
        <v>0</v>
      </c>
      <c r="BKC15">
        <f ca="1"/>
        <v>0</v>
      </c>
      <c r="BKD15">
        <f ca="1"/>
        <v>0</v>
      </c>
      <c r="BKE15">
        <f ca="1"/>
        <v>0</v>
      </c>
      <c r="BKF15">
        <f ca="1"/>
        <v>0</v>
      </c>
      <c r="BKG15">
        <f ca="1"/>
        <v>0</v>
      </c>
      <c r="BKH15">
        <f ca="1"/>
        <v>0</v>
      </c>
      <c r="BKI15">
        <f ca="1"/>
        <v>0</v>
      </c>
      <c r="BKJ15">
        <f ca="1"/>
        <v>0</v>
      </c>
      <c r="BKK15">
        <f ca="1"/>
        <v>0</v>
      </c>
      <c r="BKL15">
        <f ca="1"/>
        <v>0</v>
      </c>
      <c r="BKM15">
        <f ca="1"/>
        <v>0</v>
      </c>
      <c r="BKN15">
        <f ca="1"/>
        <v>0</v>
      </c>
      <c r="BKO15">
        <f ca="1"/>
        <v>0</v>
      </c>
      <c r="BKP15">
        <f ca="1"/>
        <v>0</v>
      </c>
      <c r="BKQ15">
        <f ca="1"/>
        <v>0</v>
      </c>
      <c r="BKR15">
        <f ca="1"/>
        <v>0</v>
      </c>
      <c r="BKS15">
        <f ca="1"/>
        <v>0</v>
      </c>
      <c r="BKT15">
        <f ca="1"/>
        <v>0</v>
      </c>
      <c r="BKU15">
        <f ca="1"/>
        <v>0</v>
      </c>
      <c r="BKV15">
        <f ca="1"/>
        <v>0</v>
      </c>
      <c r="BKW15">
        <f ca="1"/>
        <v>0</v>
      </c>
      <c r="BKX15">
        <f ca="1"/>
        <v>0</v>
      </c>
      <c r="BKY15">
        <f ca="1"/>
        <v>0</v>
      </c>
      <c r="BKZ15">
        <f ca="1"/>
        <v>0</v>
      </c>
      <c r="BLA15">
        <f ca="1"/>
        <v>0</v>
      </c>
      <c r="BLB15">
        <f ca="1"/>
        <v>0</v>
      </c>
      <c r="BLC15">
        <f ca="1"/>
        <v>0</v>
      </c>
      <c r="BLD15">
        <f ca="1"/>
        <v>0</v>
      </c>
      <c r="BLE15">
        <f ca="1"/>
        <v>0</v>
      </c>
      <c r="BLF15">
        <f ca="1"/>
        <v>0</v>
      </c>
      <c r="BLG15">
        <f ca="1"/>
        <v>0</v>
      </c>
      <c r="BLH15">
        <f ca="1"/>
        <v>0</v>
      </c>
      <c r="BLI15">
        <f ca="1"/>
        <v>0</v>
      </c>
      <c r="BLJ15">
        <f ca="1"/>
        <v>0</v>
      </c>
      <c r="BLK15">
        <f ca="1"/>
        <v>0</v>
      </c>
      <c r="BLL15">
        <f ca="1"/>
        <v>0</v>
      </c>
      <c r="BLM15">
        <f ca="1"/>
        <v>0</v>
      </c>
      <c r="BLN15">
        <f ca="1"/>
        <v>0</v>
      </c>
      <c r="BLO15">
        <f ca="1"/>
        <v>0</v>
      </c>
      <c r="BLP15">
        <f ca="1"/>
        <v>0</v>
      </c>
      <c r="BLQ15">
        <f ca="1"/>
        <v>0</v>
      </c>
      <c r="BLR15">
        <f ca="1"/>
        <v>0</v>
      </c>
      <c r="BLS15">
        <f ca="1"/>
        <v>0</v>
      </c>
      <c r="BLT15">
        <f ca="1"/>
        <v>0</v>
      </c>
      <c r="BLU15">
        <f ca="1"/>
        <v>0</v>
      </c>
      <c r="BLV15">
        <f ca="1"/>
        <v>0</v>
      </c>
      <c r="BLW15">
        <f ca="1"/>
        <v>0</v>
      </c>
      <c r="BLX15">
        <f ca="1"/>
        <v>0</v>
      </c>
      <c r="BLY15">
        <f ca="1"/>
        <v>0</v>
      </c>
      <c r="BLZ15">
        <f ca="1"/>
        <v>0</v>
      </c>
      <c r="BMA15">
        <f ca="1"/>
        <v>0</v>
      </c>
      <c r="BMB15">
        <f ca="1"/>
        <v>0</v>
      </c>
      <c r="BMC15">
        <f ca="1"/>
        <v>0</v>
      </c>
      <c r="BMD15">
        <f ca="1"/>
        <v>0</v>
      </c>
      <c r="BME15">
        <f ca="1"/>
        <v>0</v>
      </c>
      <c r="BMF15">
        <f ca="1"/>
        <v>0</v>
      </c>
      <c r="BMG15">
        <f ca="1"/>
        <v>0</v>
      </c>
      <c r="BMH15">
        <f ca="1"/>
        <v>0</v>
      </c>
      <c r="BMI15">
        <f ca="1"/>
        <v>0</v>
      </c>
      <c r="BMJ15">
        <f ca="1"/>
        <v>0</v>
      </c>
      <c r="BMK15">
        <f ca="1"/>
        <v>0</v>
      </c>
      <c r="BML15">
        <f ca="1"/>
        <v>0</v>
      </c>
      <c r="BMM15">
        <f ca="1"/>
        <v>0</v>
      </c>
      <c r="BMN15">
        <f ca="1"/>
        <v>0</v>
      </c>
      <c r="BMO15">
        <f ca="1"/>
        <v>0</v>
      </c>
      <c r="BMP15">
        <f ca="1"/>
        <v>0</v>
      </c>
      <c r="BMQ15">
        <f ca="1"/>
        <v>0</v>
      </c>
      <c r="BMR15">
        <f ca="1"/>
        <v>0</v>
      </c>
      <c r="BMS15">
        <f ca="1"/>
        <v>0</v>
      </c>
      <c r="BMT15">
        <f ca="1"/>
        <v>0</v>
      </c>
      <c r="BMU15">
        <f ca="1"/>
        <v>0</v>
      </c>
      <c r="BMV15">
        <f ca="1"/>
        <v>0</v>
      </c>
      <c r="BMW15">
        <f ca="1"/>
        <v>0</v>
      </c>
      <c r="BMX15">
        <f ca="1"/>
        <v>0</v>
      </c>
      <c r="BMY15">
        <f ca="1"/>
        <v>0</v>
      </c>
      <c r="BMZ15">
        <f ca="1"/>
        <v>0</v>
      </c>
      <c r="BNA15">
        <f ca="1"/>
        <v>0</v>
      </c>
      <c r="BNB15">
        <f ca="1"/>
        <v>0</v>
      </c>
      <c r="BNC15">
        <f ca="1"/>
        <v>0</v>
      </c>
      <c r="BND15">
        <f ca="1"/>
        <v>0</v>
      </c>
      <c r="BNE15">
        <f ca="1"/>
        <v>0</v>
      </c>
      <c r="BNF15">
        <f ca="1"/>
        <v>0</v>
      </c>
      <c r="BNG15">
        <f ca="1"/>
        <v>0</v>
      </c>
      <c r="BNH15">
        <f ca="1"/>
        <v>0</v>
      </c>
      <c r="BNI15">
        <f ca="1"/>
        <v>0</v>
      </c>
      <c r="BNJ15">
        <f ca="1"/>
        <v>0</v>
      </c>
      <c r="BNK15">
        <f ca="1"/>
        <v>0</v>
      </c>
      <c r="BNL15">
        <f ca="1"/>
        <v>0</v>
      </c>
      <c r="BNM15">
        <f ca="1"/>
        <v>0</v>
      </c>
      <c r="BNN15">
        <f ca="1"/>
        <v>0</v>
      </c>
      <c r="BNO15">
        <f ca="1"/>
        <v>0</v>
      </c>
      <c r="BNP15">
        <f ca="1"/>
        <v>0</v>
      </c>
      <c r="BNQ15">
        <f ca="1"/>
        <v>0</v>
      </c>
      <c r="BNR15">
        <f ca="1"/>
        <v>0</v>
      </c>
      <c r="BNS15">
        <f ca="1"/>
        <v>0</v>
      </c>
      <c r="BNT15">
        <f ca="1"/>
        <v>0</v>
      </c>
      <c r="BNU15">
        <f ca="1"/>
        <v>0</v>
      </c>
      <c r="BNV15">
        <f ca="1"/>
        <v>0</v>
      </c>
      <c r="BNW15">
        <f ca="1"/>
        <v>0</v>
      </c>
      <c r="BNX15">
        <f ca="1"/>
        <v>0</v>
      </c>
      <c r="BNY15">
        <f ca="1"/>
        <v>0</v>
      </c>
      <c r="BNZ15">
        <f ca="1"/>
        <v>0</v>
      </c>
      <c r="BOA15">
        <f ca="1"/>
        <v>0</v>
      </c>
      <c r="BOB15">
        <f ca="1"/>
        <v>0</v>
      </c>
      <c r="BOC15">
        <f ca="1"/>
        <v>0</v>
      </c>
      <c r="BOD15">
        <f ca="1"/>
        <v>0</v>
      </c>
      <c r="BOE15">
        <f ca="1"/>
        <v>0</v>
      </c>
      <c r="BOF15">
        <f ca="1"/>
        <v>0</v>
      </c>
      <c r="BOG15">
        <f ca="1"/>
        <v>0</v>
      </c>
      <c r="BOH15">
        <f ca="1"/>
        <v>0</v>
      </c>
      <c r="BOI15">
        <f ca="1"/>
        <v>0</v>
      </c>
      <c r="BOJ15">
        <f ca="1"/>
        <v>0</v>
      </c>
      <c r="BOK15">
        <f ca="1"/>
        <v>0</v>
      </c>
      <c r="BOL15">
        <f ca="1"/>
        <v>0</v>
      </c>
      <c r="BOM15">
        <f ca="1"/>
        <v>0</v>
      </c>
      <c r="BON15">
        <f ca="1"/>
        <v>0</v>
      </c>
      <c r="BOO15">
        <f ca="1"/>
        <v>0</v>
      </c>
      <c r="BOP15">
        <f ca="1"/>
        <v>0</v>
      </c>
      <c r="BOQ15">
        <f ca="1"/>
        <v>0</v>
      </c>
      <c r="BOR15">
        <f ca="1"/>
        <v>0</v>
      </c>
      <c r="BOS15">
        <f ca="1"/>
        <v>0</v>
      </c>
      <c r="BOT15">
        <f ca="1"/>
        <v>0</v>
      </c>
      <c r="BOU15">
        <f ca="1"/>
        <v>0</v>
      </c>
      <c r="BOV15">
        <f ca="1"/>
        <v>0</v>
      </c>
      <c r="BOW15">
        <f ca="1"/>
        <v>0</v>
      </c>
      <c r="BOX15">
        <f ca="1"/>
        <v>0</v>
      </c>
      <c r="BOY15">
        <f ca="1"/>
        <v>0</v>
      </c>
      <c r="BOZ15">
        <f ca="1"/>
        <v>0</v>
      </c>
      <c r="BPA15">
        <f ca="1"/>
        <v>0</v>
      </c>
      <c r="BPB15">
        <f ca="1"/>
        <v>0</v>
      </c>
      <c r="BPC15">
        <f ca="1"/>
        <v>0</v>
      </c>
      <c r="BPD15">
        <f ca="1"/>
        <v>0</v>
      </c>
      <c r="BPE15">
        <f ca="1"/>
        <v>0</v>
      </c>
      <c r="BPF15">
        <f ca="1"/>
        <v>0</v>
      </c>
      <c r="BPG15">
        <f ca="1"/>
        <v>0</v>
      </c>
      <c r="BPH15">
        <f ca="1"/>
        <v>0</v>
      </c>
      <c r="BPI15">
        <f ca="1"/>
        <v>0</v>
      </c>
      <c r="BPJ15">
        <f ca="1"/>
        <v>0</v>
      </c>
      <c r="BPK15">
        <f ca="1"/>
        <v>0</v>
      </c>
      <c r="BPL15">
        <f ca="1"/>
        <v>0</v>
      </c>
      <c r="BPM15">
        <f ca="1"/>
        <v>0</v>
      </c>
      <c r="BPN15">
        <f ca="1"/>
        <v>0</v>
      </c>
      <c r="BPO15">
        <f ca="1"/>
        <v>0</v>
      </c>
      <c r="BPP15">
        <f ca="1"/>
        <v>0</v>
      </c>
      <c r="BPQ15">
        <f ca="1"/>
        <v>0</v>
      </c>
      <c r="BPR15">
        <f ca="1"/>
        <v>0</v>
      </c>
      <c r="BPS15">
        <f ca="1"/>
        <v>0</v>
      </c>
      <c r="BPT15">
        <f ca="1"/>
        <v>0</v>
      </c>
      <c r="BPU15">
        <f ca="1"/>
        <v>0</v>
      </c>
      <c r="BPV15">
        <f ca="1"/>
        <v>0</v>
      </c>
      <c r="BPW15">
        <f ca="1"/>
        <v>0</v>
      </c>
      <c r="BPX15">
        <f ca="1"/>
        <v>0</v>
      </c>
      <c r="BPY15">
        <f ca="1"/>
        <v>0</v>
      </c>
      <c r="BPZ15">
        <f ca="1"/>
        <v>0</v>
      </c>
      <c r="BQA15">
        <f ca="1"/>
        <v>0</v>
      </c>
      <c r="BQB15">
        <f ca="1"/>
        <v>0</v>
      </c>
      <c r="BQC15">
        <f ca="1"/>
        <v>0</v>
      </c>
      <c r="BQD15">
        <f ca="1"/>
        <v>0</v>
      </c>
      <c r="BQE15">
        <f ca="1"/>
        <v>0</v>
      </c>
      <c r="BQF15">
        <f ca="1"/>
        <v>0</v>
      </c>
      <c r="BQG15">
        <f ca="1"/>
        <v>0</v>
      </c>
      <c r="BQH15">
        <f ca="1"/>
        <v>0</v>
      </c>
      <c r="BQI15">
        <f ca="1"/>
        <v>0</v>
      </c>
      <c r="BQJ15">
        <f ca="1"/>
        <v>0</v>
      </c>
      <c r="BQK15">
        <f ca="1"/>
        <v>0</v>
      </c>
      <c r="BQL15">
        <f ca="1"/>
        <v>0</v>
      </c>
      <c r="BQM15">
        <f ca="1"/>
        <v>0</v>
      </c>
      <c r="BQN15">
        <f ca="1"/>
        <v>0</v>
      </c>
      <c r="BQO15">
        <f ca="1"/>
        <v>0</v>
      </c>
      <c r="BQP15">
        <f ca="1"/>
        <v>0</v>
      </c>
      <c r="BQQ15">
        <f ca="1"/>
        <v>0</v>
      </c>
      <c r="BQR15">
        <f ca="1"/>
        <v>0</v>
      </c>
      <c r="BQS15">
        <f ca="1"/>
        <v>0</v>
      </c>
      <c r="BQT15">
        <f ca="1"/>
        <v>0</v>
      </c>
      <c r="BQU15">
        <f ca="1"/>
        <v>0</v>
      </c>
      <c r="BQV15">
        <f ca="1"/>
        <v>0</v>
      </c>
      <c r="BQW15">
        <f ca="1"/>
        <v>0</v>
      </c>
      <c r="BQX15">
        <f ca="1"/>
        <v>0</v>
      </c>
      <c r="BQY15">
        <f ca="1"/>
        <v>0</v>
      </c>
      <c r="BQZ15">
        <f ca="1"/>
        <v>0</v>
      </c>
      <c r="BRA15">
        <f ca="1"/>
        <v>0</v>
      </c>
      <c r="BRB15">
        <f ca="1"/>
        <v>0</v>
      </c>
      <c r="BRC15">
        <f ca="1"/>
        <v>0</v>
      </c>
      <c r="BRD15">
        <f ca="1"/>
        <v>0</v>
      </c>
      <c r="BRE15">
        <f ca="1"/>
        <v>0</v>
      </c>
      <c r="BRF15">
        <f ca="1"/>
        <v>0</v>
      </c>
      <c r="BRG15">
        <f ca="1"/>
        <v>0</v>
      </c>
      <c r="BRH15">
        <f ca="1"/>
        <v>0</v>
      </c>
      <c r="BRI15">
        <f ca="1"/>
        <v>0</v>
      </c>
      <c r="BRJ15">
        <f ca="1"/>
        <v>0</v>
      </c>
      <c r="BRK15">
        <f ca="1"/>
        <v>0</v>
      </c>
      <c r="BRL15">
        <f ca="1"/>
        <v>0</v>
      </c>
      <c r="BRM15">
        <f ca="1"/>
        <v>0</v>
      </c>
      <c r="BRN15">
        <f ca="1"/>
        <v>0</v>
      </c>
      <c r="BRO15">
        <f ca="1"/>
        <v>0</v>
      </c>
      <c r="BRP15">
        <f ca="1"/>
        <v>0</v>
      </c>
      <c r="BRQ15">
        <f ca="1"/>
        <v>0</v>
      </c>
      <c r="BRR15">
        <f ca="1"/>
        <v>0</v>
      </c>
      <c r="BRS15">
        <f ca="1"/>
        <v>0</v>
      </c>
      <c r="BRT15">
        <f ca="1"/>
        <v>0</v>
      </c>
      <c r="BRU15">
        <f ca="1"/>
        <v>0</v>
      </c>
      <c r="BRV15">
        <f ca="1"/>
        <v>0</v>
      </c>
      <c r="BRW15">
        <f ca="1"/>
        <v>0</v>
      </c>
      <c r="BRX15">
        <f ca="1"/>
        <v>0</v>
      </c>
      <c r="BRY15">
        <f ca="1"/>
        <v>0</v>
      </c>
      <c r="BRZ15">
        <f ca="1"/>
        <v>0</v>
      </c>
      <c r="BSA15">
        <f ca="1"/>
        <v>0</v>
      </c>
      <c r="BSB15">
        <f ca="1"/>
        <v>0</v>
      </c>
      <c r="BSC15">
        <f ca="1"/>
        <v>0</v>
      </c>
      <c r="BSD15">
        <f ca="1"/>
        <v>0</v>
      </c>
      <c r="BSE15">
        <f ca="1"/>
        <v>0</v>
      </c>
      <c r="BSF15">
        <f ca="1"/>
        <v>0</v>
      </c>
      <c r="BSG15">
        <f ca="1"/>
        <v>0</v>
      </c>
      <c r="BSH15">
        <f ca="1"/>
        <v>0</v>
      </c>
      <c r="BSI15">
        <f ca="1"/>
        <v>0</v>
      </c>
      <c r="BSJ15">
        <f ca="1"/>
        <v>0</v>
      </c>
      <c r="BSK15">
        <f ca="1"/>
        <v>0</v>
      </c>
      <c r="BSL15">
        <f ca="1"/>
        <v>0</v>
      </c>
      <c r="BSM15">
        <f ca="1"/>
        <v>0</v>
      </c>
      <c r="BSN15">
        <f ca="1"/>
        <v>0</v>
      </c>
      <c r="BSO15">
        <f ca="1"/>
        <v>0</v>
      </c>
      <c r="BSP15">
        <f ca="1"/>
        <v>0</v>
      </c>
      <c r="BSQ15">
        <f ca="1"/>
        <v>0</v>
      </c>
      <c r="BSR15">
        <f ca="1"/>
        <v>0</v>
      </c>
      <c r="BSS15">
        <f ca="1"/>
        <v>0</v>
      </c>
      <c r="BST15">
        <f ca="1"/>
        <v>0</v>
      </c>
      <c r="BSU15">
        <f ca="1"/>
        <v>0</v>
      </c>
      <c r="BSV15">
        <f ca="1"/>
        <v>0</v>
      </c>
      <c r="BSW15">
        <f ca="1"/>
        <v>0</v>
      </c>
      <c r="BSX15">
        <f ca="1"/>
        <v>0</v>
      </c>
      <c r="BSY15">
        <f ca="1"/>
        <v>0</v>
      </c>
      <c r="BSZ15">
        <f ca="1"/>
        <v>0</v>
      </c>
      <c r="BTA15">
        <f ca="1"/>
        <v>0</v>
      </c>
      <c r="BTB15">
        <f ca="1"/>
        <v>0</v>
      </c>
      <c r="BTC15">
        <f ca="1"/>
        <v>0</v>
      </c>
      <c r="BTD15">
        <f ca="1"/>
        <v>0</v>
      </c>
      <c r="BTE15">
        <f ca="1"/>
        <v>0</v>
      </c>
      <c r="BTF15">
        <f ca="1"/>
        <v>0</v>
      </c>
      <c r="BTG15">
        <f ca="1"/>
        <v>0</v>
      </c>
      <c r="BTH15">
        <f ca="1"/>
        <v>0</v>
      </c>
      <c r="BTI15">
        <f ca="1"/>
        <v>0</v>
      </c>
      <c r="BTJ15">
        <f ca="1"/>
        <v>0</v>
      </c>
      <c r="BTK15">
        <f ca="1"/>
        <v>0</v>
      </c>
      <c r="BTL15">
        <f ca="1"/>
        <v>0</v>
      </c>
      <c r="BTM15">
        <f ca="1"/>
        <v>0</v>
      </c>
      <c r="BTN15">
        <f ca="1"/>
        <v>0</v>
      </c>
      <c r="BTO15">
        <f ca="1"/>
        <v>0</v>
      </c>
      <c r="BTP15">
        <f ca="1"/>
        <v>0</v>
      </c>
      <c r="BTQ15">
        <f ca="1"/>
        <v>0</v>
      </c>
      <c r="BTR15">
        <f ca="1"/>
        <v>0</v>
      </c>
      <c r="BTS15">
        <f ca="1"/>
        <v>0</v>
      </c>
      <c r="BTT15">
        <f ca="1"/>
        <v>0</v>
      </c>
      <c r="BTU15">
        <f ca="1"/>
        <v>0</v>
      </c>
      <c r="BTV15">
        <f ca="1"/>
        <v>0</v>
      </c>
      <c r="BTW15">
        <f ca="1"/>
        <v>0</v>
      </c>
      <c r="BTX15">
        <f ca="1"/>
        <v>0</v>
      </c>
      <c r="BTY15">
        <f ca="1"/>
        <v>0</v>
      </c>
      <c r="BTZ15">
        <f ca="1"/>
        <v>0</v>
      </c>
      <c r="BUA15">
        <f ca="1"/>
        <v>0</v>
      </c>
      <c r="BUB15">
        <f ca="1"/>
        <v>0</v>
      </c>
      <c r="BUC15">
        <f ca="1"/>
        <v>0</v>
      </c>
      <c r="BUD15">
        <f ca="1"/>
        <v>0</v>
      </c>
      <c r="BUE15">
        <f ca="1"/>
        <v>0</v>
      </c>
      <c r="BUF15">
        <f ca="1"/>
        <v>0</v>
      </c>
      <c r="BUG15">
        <f ca="1"/>
        <v>0</v>
      </c>
      <c r="BUH15">
        <f ca="1"/>
        <v>0</v>
      </c>
      <c r="BUI15">
        <f ca="1"/>
        <v>0</v>
      </c>
      <c r="BUJ15">
        <f ca="1"/>
        <v>0</v>
      </c>
      <c r="BUK15">
        <f ca="1"/>
        <v>0</v>
      </c>
      <c r="BUL15">
        <f ca="1"/>
        <v>0</v>
      </c>
      <c r="BUM15">
        <f ca="1"/>
        <v>0</v>
      </c>
      <c r="BUN15">
        <f ca="1"/>
        <v>0</v>
      </c>
      <c r="BUO15">
        <f ca="1"/>
        <v>0</v>
      </c>
      <c r="BUP15">
        <f ca="1"/>
        <v>0</v>
      </c>
      <c r="BUQ15">
        <f ca="1"/>
        <v>0</v>
      </c>
      <c r="BUR15">
        <f ca="1"/>
        <v>0</v>
      </c>
      <c r="BUS15">
        <f ca="1"/>
        <v>0</v>
      </c>
      <c r="BUT15">
        <f ca="1"/>
        <v>0</v>
      </c>
      <c r="BUU15">
        <f ca="1"/>
        <v>0</v>
      </c>
      <c r="BUV15">
        <f ca="1"/>
        <v>0</v>
      </c>
      <c r="BUW15">
        <f ca="1"/>
        <v>0</v>
      </c>
      <c r="BUX15">
        <f ca="1"/>
        <v>0</v>
      </c>
      <c r="BUY15">
        <f ca="1"/>
        <v>0</v>
      </c>
      <c r="BUZ15">
        <f ca="1"/>
        <v>0</v>
      </c>
      <c r="BVA15">
        <f ca="1"/>
        <v>0</v>
      </c>
      <c r="BVB15">
        <f ca="1"/>
        <v>0</v>
      </c>
      <c r="BVC15">
        <f ca="1"/>
        <v>0</v>
      </c>
      <c r="BVD15">
        <f ca="1"/>
        <v>0</v>
      </c>
      <c r="BVE15">
        <f ca="1"/>
        <v>0</v>
      </c>
      <c r="BVF15">
        <f ca="1"/>
        <v>0</v>
      </c>
      <c r="BVG15">
        <f ca="1"/>
        <v>0</v>
      </c>
      <c r="BVH15">
        <f ca="1"/>
        <v>0</v>
      </c>
      <c r="BVI15">
        <f ca="1"/>
        <v>0</v>
      </c>
      <c r="BVJ15">
        <f ca="1"/>
        <v>0</v>
      </c>
      <c r="BVK15">
        <f ca="1"/>
        <v>0</v>
      </c>
      <c r="BVL15">
        <f ca="1"/>
        <v>0</v>
      </c>
      <c r="BVM15">
        <f ca="1"/>
        <v>0</v>
      </c>
      <c r="BVN15">
        <f ca="1"/>
        <v>0</v>
      </c>
      <c r="BVO15">
        <f ca="1"/>
        <v>0</v>
      </c>
      <c r="BVP15">
        <f ca="1"/>
        <v>0</v>
      </c>
      <c r="BVQ15">
        <f ca="1"/>
        <v>0</v>
      </c>
      <c r="BVR15">
        <f ca="1"/>
        <v>0</v>
      </c>
      <c r="BVS15">
        <f ca="1"/>
        <v>0</v>
      </c>
      <c r="BVT15">
        <f ca="1"/>
        <v>0</v>
      </c>
      <c r="BVU15">
        <f ca="1"/>
        <v>0</v>
      </c>
      <c r="BVV15">
        <f ca="1"/>
        <v>0</v>
      </c>
      <c r="BVW15">
        <f ca="1"/>
        <v>0</v>
      </c>
      <c r="BVX15">
        <f ca="1"/>
        <v>0</v>
      </c>
      <c r="BVY15">
        <f ca="1"/>
        <v>0</v>
      </c>
      <c r="BVZ15">
        <f ca="1"/>
        <v>0</v>
      </c>
      <c r="BWA15">
        <f ca="1"/>
        <v>0</v>
      </c>
      <c r="BWB15">
        <f ca="1"/>
        <v>0</v>
      </c>
      <c r="BWC15">
        <f ca="1"/>
        <v>0</v>
      </c>
      <c r="BWD15">
        <f ca="1"/>
        <v>0</v>
      </c>
      <c r="BWE15">
        <f ca="1"/>
        <v>0</v>
      </c>
      <c r="BWF15">
        <f ca="1"/>
        <v>0</v>
      </c>
      <c r="BWG15">
        <f ca="1"/>
        <v>0</v>
      </c>
      <c r="BWH15">
        <f ca="1"/>
        <v>0</v>
      </c>
      <c r="BWI15">
        <f ca="1"/>
        <v>0</v>
      </c>
      <c r="BWJ15">
        <f ca="1"/>
        <v>0</v>
      </c>
      <c r="BWK15">
        <f ca="1"/>
        <v>0</v>
      </c>
      <c r="BWL15">
        <f ca="1"/>
        <v>0</v>
      </c>
      <c r="BWM15">
        <f ca="1"/>
        <v>0</v>
      </c>
      <c r="BWN15">
        <f ca="1"/>
        <v>0</v>
      </c>
      <c r="BWO15">
        <f ca="1"/>
        <v>0</v>
      </c>
      <c r="BWP15">
        <f ca="1"/>
        <v>0</v>
      </c>
      <c r="BWQ15">
        <f ca="1"/>
        <v>0</v>
      </c>
      <c r="BWR15">
        <f ca="1"/>
        <v>0</v>
      </c>
      <c r="BWS15">
        <f ca="1"/>
        <v>0</v>
      </c>
      <c r="BWT15">
        <f ca="1"/>
        <v>0</v>
      </c>
      <c r="BWU15">
        <f ca="1"/>
        <v>0</v>
      </c>
      <c r="BWV15">
        <f ca="1"/>
        <v>0</v>
      </c>
      <c r="BWW15">
        <f ca="1"/>
        <v>0</v>
      </c>
      <c r="BWX15">
        <f ca="1"/>
        <v>0</v>
      </c>
      <c r="BWY15">
        <f ca="1"/>
        <v>0</v>
      </c>
      <c r="BWZ15">
        <f ca="1"/>
        <v>0</v>
      </c>
      <c r="BXA15">
        <f ca="1"/>
        <v>0</v>
      </c>
      <c r="BXB15">
        <f ca="1"/>
        <v>0</v>
      </c>
      <c r="BXC15">
        <f ca="1"/>
        <v>0</v>
      </c>
      <c r="BXD15">
        <f ca="1"/>
        <v>0</v>
      </c>
      <c r="BXE15">
        <f ca="1"/>
        <v>0</v>
      </c>
      <c r="BXF15">
        <f ca="1"/>
        <v>0</v>
      </c>
      <c r="BXG15">
        <f ca="1"/>
        <v>0</v>
      </c>
      <c r="BXH15">
        <f ca="1"/>
        <v>0</v>
      </c>
      <c r="BXI15">
        <f ca="1"/>
        <v>0</v>
      </c>
      <c r="BXJ15">
        <f ca="1"/>
        <v>0</v>
      </c>
      <c r="BXK15">
        <f ca="1"/>
        <v>0</v>
      </c>
      <c r="BXL15">
        <f ca="1"/>
        <v>0</v>
      </c>
      <c r="BXM15">
        <f ca="1"/>
        <v>0</v>
      </c>
      <c r="BXN15">
        <f ca="1"/>
        <v>0</v>
      </c>
      <c r="BXO15">
        <f ca="1"/>
        <v>0</v>
      </c>
      <c r="BXP15">
        <f ca="1"/>
        <v>0</v>
      </c>
      <c r="BXQ15">
        <f ca="1"/>
        <v>0</v>
      </c>
      <c r="BXR15">
        <f ca="1"/>
        <v>0</v>
      </c>
      <c r="BXS15">
        <f ca="1"/>
        <v>0</v>
      </c>
      <c r="BXT15">
        <f ca="1"/>
        <v>0</v>
      </c>
      <c r="BXU15">
        <f ca="1"/>
        <v>0</v>
      </c>
      <c r="BXV15">
        <f ca="1"/>
        <v>0</v>
      </c>
      <c r="BXW15">
        <f ca="1"/>
        <v>0</v>
      </c>
      <c r="BXX15">
        <f ca="1"/>
        <v>0</v>
      </c>
      <c r="BXY15">
        <f ca="1"/>
        <v>0</v>
      </c>
      <c r="BXZ15">
        <f ca="1"/>
        <v>0</v>
      </c>
      <c r="BYA15">
        <f ca="1"/>
        <v>0</v>
      </c>
      <c r="BYB15">
        <f ca="1"/>
        <v>0</v>
      </c>
      <c r="BYC15">
        <f ca="1"/>
        <v>0</v>
      </c>
      <c r="BYD15">
        <f ca="1"/>
        <v>0</v>
      </c>
      <c r="BYE15">
        <f ca="1"/>
        <v>0</v>
      </c>
      <c r="BYF15">
        <f ca="1"/>
        <v>0</v>
      </c>
      <c r="BYG15">
        <f ca="1"/>
        <v>0</v>
      </c>
      <c r="BYH15">
        <f ca="1"/>
        <v>0</v>
      </c>
      <c r="BYI15">
        <f ca="1"/>
        <v>0</v>
      </c>
      <c r="BYJ15">
        <f ca="1"/>
        <v>0</v>
      </c>
      <c r="BYK15">
        <f ca="1"/>
        <v>0</v>
      </c>
      <c r="BYL15">
        <f ca="1"/>
        <v>0</v>
      </c>
      <c r="BYM15">
        <f ca="1"/>
        <v>0</v>
      </c>
      <c r="BYN15">
        <f ca="1"/>
        <v>0</v>
      </c>
      <c r="BYO15">
        <f ca="1"/>
        <v>0</v>
      </c>
      <c r="BYP15">
        <f ca="1"/>
        <v>0</v>
      </c>
      <c r="BYQ15">
        <f ca="1"/>
        <v>0</v>
      </c>
      <c r="BYR15">
        <f ca="1"/>
        <v>0</v>
      </c>
      <c r="BYS15">
        <f ca="1"/>
        <v>0</v>
      </c>
      <c r="BYT15">
        <f ca="1"/>
        <v>0</v>
      </c>
      <c r="BYU15">
        <f ca="1"/>
        <v>0</v>
      </c>
      <c r="BYV15">
        <f ca="1"/>
        <v>0</v>
      </c>
      <c r="BYW15">
        <f ca="1"/>
        <v>0</v>
      </c>
      <c r="BYX15">
        <f ca="1"/>
        <v>0</v>
      </c>
      <c r="BYY15">
        <f ca="1"/>
        <v>0</v>
      </c>
      <c r="BYZ15">
        <f ca="1"/>
        <v>0</v>
      </c>
      <c r="BZA15">
        <f ca="1"/>
        <v>0</v>
      </c>
      <c r="BZB15">
        <f ca="1"/>
        <v>0</v>
      </c>
      <c r="BZC15">
        <f ca="1"/>
        <v>0</v>
      </c>
      <c r="BZD15">
        <f ca="1"/>
        <v>0</v>
      </c>
      <c r="BZE15">
        <f ca="1"/>
        <v>0</v>
      </c>
      <c r="BZF15">
        <f ca="1"/>
        <v>0</v>
      </c>
      <c r="BZG15">
        <f ca="1"/>
        <v>0</v>
      </c>
      <c r="BZH15">
        <f ca="1"/>
        <v>0</v>
      </c>
      <c r="BZI15">
        <f ca="1"/>
        <v>0</v>
      </c>
      <c r="BZJ15">
        <f ca="1"/>
        <v>0</v>
      </c>
      <c r="BZK15">
        <f ca="1"/>
        <v>0</v>
      </c>
      <c r="BZL15">
        <f ca="1"/>
        <v>0</v>
      </c>
      <c r="BZM15">
        <f ca="1"/>
        <v>0</v>
      </c>
      <c r="BZN15">
        <f ca="1"/>
        <v>0</v>
      </c>
      <c r="BZO15">
        <f ca="1"/>
        <v>0</v>
      </c>
      <c r="BZP15">
        <f ca="1"/>
        <v>0</v>
      </c>
      <c r="BZQ15">
        <f ca="1"/>
        <v>0</v>
      </c>
      <c r="BZR15">
        <f ca="1"/>
        <v>0</v>
      </c>
      <c r="BZS15">
        <f ca="1"/>
        <v>0</v>
      </c>
      <c r="BZT15">
        <f ca="1"/>
        <v>0</v>
      </c>
      <c r="BZU15">
        <f ca="1"/>
        <v>0</v>
      </c>
      <c r="BZV15">
        <f ca="1"/>
        <v>0</v>
      </c>
      <c r="BZW15">
        <f ca="1"/>
        <v>0</v>
      </c>
      <c r="BZX15">
        <f ca="1"/>
        <v>0</v>
      </c>
      <c r="BZY15">
        <f ca="1"/>
        <v>0</v>
      </c>
      <c r="BZZ15">
        <f ca="1"/>
        <v>0</v>
      </c>
      <c r="CAA15">
        <f ca="1"/>
        <v>0</v>
      </c>
      <c r="CAB15">
        <f ca="1"/>
        <v>0</v>
      </c>
      <c r="CAC15">
        <f ca="1"/>
        <v>0</v>
      </c>
      <c r="CAD15">
        <f ca="1"/>
        <v>0</v>
      </c>
      <c r="CAE15">
        <f ca="1"/>
        <v>0</v>
      </c>
      <c r="CAF15">
        <f ca="1"/>
        <v>0</v>
      </c>
      <c r="CAG15">
        <f ca="1"/>
        <v>0</v>
      </c>
      <c r="CAH15">
        <f ca="1"/>
        <v>0</v>
      </c>
      <c r="CAI15">
        <f ca="1"/>
        <v>0</v>
      </c>
      <c r="CAJ15">
        <f ca="1"/>
        <v>0</v>
      </c>
      <c r="CAK15">
        <f ca="1"/>
        <v>0</v>
      </c>
      <c r="CAL15">
        <f ca="1"/>
        <v>0</v>
      </c>
      <c r="CAM15">
        <f ca="1"/>
        <v>0</v>
      </c>
      <c r="CAN15">
        <f ca="1"/>
        <v>0</v>
      </c>
      <c r="CAO15">
        <f ca="1"/>
        <v>0</v>
      </c>
      <c r="CAP15">
        <f ca="1"/>
        <v>0</v>
      </c>
      <c r="CAQ15">
        <f ca="1"/>
        <v>0</v>
      </c>
      <c r="CAR15">
        <f ca="1"/>
        <v>0</v>
      </c>
      <c r="CAS15">
        <f ca="1"/>
        <v>0</v>
      </c>
      <c r="CAT15">
        <f ca="1"/>
        <v>0</v>
      </c>
      <c r="CAU15">
        <f ca="1"/>
        <v>0</v>
      </c>
      <c r="CAV15">
        <f ca="1"/>
        <v>0</v>
      </c>
      <c r="CAW15">
        <f ca="1"/>
        <v>0</v>
      </c>
      <c r="CAX15">
        <f ca="1"/>
        <v>0</v>
      </c>
      <c r="CAY15">
        <f ca="1"/>
        <v>0</v>
      </c>
      <c r="CAZ15">
        <f ca="1"/>
        <v>0</v>
      </c>
      <c r="CBA15">
        <f ca="1"/>
        <v>0</v>
      </c>
      <c r="CBB15">
        <f ca="1"/>
        <v>0</v>
      </c>
      <c r="CBC15">
        <f ca="1"/>
        <v>0</v>
      </c>
      <c r="CBD15">
        <f ca="1"/>
        <v>0</v>
      </c>
      <c r="CBE15">
        <f ca="1"/>
        <v>0</v>
      </c>
      <c r="CBF15">
        <f ca="1"/>
        <v>0</v>
      </c>
      <c r="CBG15">
        <f ca="1"/>
        <v>0</v>
      </c>
      <c r="CBH15">
        <f ca="1"/>
        <v>0</v>
      </c>
      <c r="CBI15">
        <f ca="1"/>
        <v>0</v>
      </c>
      <c r="CBJ15">
        <f ca="1"/>
        <v>0</v>
      </c>
      <c r="CBK15">
        <f ca="1"/>
        <v>0</v>
      </c>
      <c r="CBL15">
        <f ca="1"/>
        <v>0</v>
      </c>
      <c r="CBM15">
        <f ca="1"/>
        <v>0</v>
      </c>
      <c r="CBN15">
        <f ca="1"/>
        <v>0</v>
      </c>
      <c r="CBO15">
        <f ca="1"/>
        <v>0</v>
      </c>
      <c r="CBP15">
        <f ca="1"/>
        <v>0</v>
      </c>
      <c r="CBQ15">
        <f ca="1"/>
        <v>0</v>
      </c>
      <c r="CBR15">
        <f ca="1"/>
        <v>0</v>
      </c>
      <c r="CBS15">
        <f ca="1"/>
        <v>0</v>
      </c>
      <c r="CBT15">
        <f ca="1"/>
        <v>0</v>
      </c>
      <c r="CBU15">
        <f ca="1"/>
        <v>0</v>
      </c>
      <c r="CBV15">
        <f ca="1"/>
        <v>0</v>
      </c>
      <c r="CBW15">
        <f ca="1"/>
        <v>0</v>
      </c>
      <c r="CBX15">
        <f ca="1"/>
        <v>0</v>
      </c>
      <c r="CBY15">
        <f ca="1"/>
        <v>0</v>
      </c>
      <c r="CBZ15">
        <f ca="1"/>
        <v>0</v>
      </c>
      <c r="CCA15">
        <f ca="1"/>
        <v>0</v>
      </c>
      <c r="CCB15">
        <f ca="1"/>
        <v>0</v>
      </c>
      <c r="CCC15">
        <f ca="1"/>
        <v>0</v>
      </c>
      <c r="CCD15">
        <f ca="1"/>
        <v>0</v>
      </c>
      <c r="CCE15">
        <f ca="1"/>
        <v>0</v>
      </c>
      <c r="CCF15">
        <f ca="1"/>
        <v>0</v>
      </c>
      <c r="CCG15">
        <f ca="1"/>
        <v>0</v>
      </c>
      <c r="CCH15">
        <f ca="1"/>
        <v>0</v>
      </c>
      <c r="CCI15">
        <f ca="1"/>
        <v>0</v>
      </c>
      <c r="CCJ15">
        <f ca="1"/>
        <v>0</v>
      </c>
      <c r="CCK15">
        <f ca="1"/>
        <v>0</v>
      </c>
      <c r="CCL15">
        <f ca="1"/>
        <v>0</v>
      </c>
      <c r="CCM15">
        <f ca="1"/>
        <v>0</v>
      </c>
      <c r="CCN15">
        <f ca="1"/>
        <v>0</v>
      </c>
      <c r="CCO15">
        <f ca="1"/>
        <v>0</v>
      </c>
      <c r="CCP15">
        <f ca="1"/>
        <v>0</v>
      </c>
      <c r="CCQ15">
        <f ca="1"/>
        <v>0</v>
      </c>
      <c r="CCR15">
        <f ca="1"/>
        <v>0</v>
      </c>
      <c r="CCS15">
        <f ca="1"/>
        <v>0</v>
      </c>
      <c r="CCT15">
        <f ca="1"/>
        <v>0</v>
      </c>
      <c r="CCU15">
        <f ca="1"/>
        <v>0</v>
      </c>
      <c r="CCV15">
        <f ca="1"/>
        <v>0</v>
      </c>
      <c r="CCW15">
        <f ca="1"/>
        <v>0</v>
      </c>
      <c r="CCX15">
        <f ca="1"/>
        <v>0</v>
      </c>
      <c r="CCY15">
        <f ca="1"/>
        <v>0</v>
      </c>
      <c r="CCZ15">
        <f ca="1"/>
        <v>0</v>
      </c>
      <c r="CDA15">
        <f ca="1"/>
        <v>0</v>
      </c>
      <c r="CDB15">
        <f ca="1"/>
        <v>0</v>
      </c>
      <c r="CDC15">
        <f ca="1"/>
        <v>0</v>
      </c>
      <c r="CDD15">
        <f ca="1"/>
        <v>0</v>
      </c>
      <c r="CDE15">
        <f ca="1"/>
        <v>0</v>
      </c>
      <c r="CDF15">
        <f ca="1"/>
        <v>0</v>
      </c>
      <c r="CDG15">
        <f ca="1"/>
        <v>0</v>
      </c>
      <c r="CDH15">
        <f ca="1"/>
        <v>0</v>
      </c>
      <c r="CDI15">
        <f ca="1"/>
        <v>0</v>
      </c>
      <c r="CDJ15">
        <f ca="1"/>
        <v>0</v>
      </c>
      <c r="CDK15">
        <f ca="1"/>
        <v>0</v>
      </c>
      <c r="CDL15">
        <f ca="1"/>
        <v>0</v>
      </c>
      <c r="CDM15">
        <f ca="1"/>
        <v>0</v>
      </c>
      <c r="CDN15">
        <f ca="1"/>
        <v>0</v>
      </c>
      <c r="CDO15">
        <f ca="1"/>
        <v>0</v>
      </c>
      <c r="CDP15">
        <f ca="1"/>
        <v>0</v>
      </c>
      <c r="CDQ15">
        <f ca="1"/>
        <v>0</v>
      </c>
      <c r="CDR15">
        <f ca="1"/>
        <v>0</v>
      </c>
      <c r="CDS15">
        <f ca="1"/>
        <v>0</v>
      </c>
      <c r="CDT15">
        <f ca="1"/>
        <v>0</v>
      </c>
      <c r="CDU15">
        <f ca="1"/>
        <v>0</v>
      </c>
      <c r="CDV15">
        <f ca="1"/>
        <v>0</v>
      </c>
      <c r="CDW15">
        <f ca="1"/>
        <v>0</v>
      </c>
      <c r="CDX15">
        <f ca="1"/>
        <v>0</v>
      </c>
      <c r="CDY15">
        <f ca="1"/>
        <v>0</v>
      </c>
      <c r="CDZ15">
        <f ca="1"/>
        <v>0</v>
      </c>
      <c r="CEA15">
        <f ca="1"/>
        <v>0</v>
      </c>
      <c r="CEB15">
        <f ca="1"/>
        <v>0</v>
      </c>
      <c r="CEC15">
        <f ca="1"/>
        <v>0</v>
      </c>
      <c r="CED15">
        <f ca="1"/>
        <v>0</v>
      </c>
      <c r="CEE15">
        <f ca="1"/>
        <v>0</v>
      </c>
      <c r="CEF15">
        <f ca="1"/>
        <v>0</v>
      </c>
      <c r="CEG15">
        <f ca="1"/>
        <v>0</v>
      </c>
      <c r="CEH15">
        <f ca="1"/>
        <v>0</v>
      </c>
      <c r="CEI15">
        <f ca="1"/>
        <v>0</v>
      </c>
      <c r="CEJ15">
        <f ca="1"/>
        <v>0</v>
      </c>
      <c r="CEK15">
        <f ca="1"/>
        <v>0</v>
      </c>
      <c r="CEL15">
        <f ca="1"/>
        <v>0</v>
      </c>
      <c r="CEM15">
        <f ca="1"/>
        <v>0</v>
      </c>
      <c r="CEN15">
        <f ca="1"/>
        <v>0</v>
      </c>
      <c r="CEO15">
        <f ca="1"/>
        <v>0</v>
      </c>
      <c r="CEP15">
        <f ca="1"/>
        <v>0</v>
      </c>
      <c r="CEQ15">
        <f ca="1"/>
        <v>0</v>
      </c>
      <c r="CER15">
        <f ca="1"/>
        <v>0</v>
      </c>
      <c r="CES15">
        <f ca="1"/>
        <v>0</v>
      </c>
      <c r="CET15">
        <f ca="1"/>
        <v>0</v>
      </c>
      <c r="CEU15">
        <f ca="1"/>
        <v>0</v>
      </c>
      <c r="CEV15">
        <f ca="1"/>
        <v>0</v>
      </c>
      <c r="CEW15">
        <f ca="1"/>
        <v>0</v>
      </c>
      <c r="CEX15">
        <f ca="1"/>
        <v>0</v>
      </c>
      <c r="CEY15">
        <f ca="1"/>
        <v>0</v>
      </c>
      <c r="CEZ15">
        <f ca="1"/>
        <v>0</v>
      </c>
      <c r="CFA15">
        <f ca="1"/>
        <v>0</v>
      </c>
      <c r="CFB15">
        <f ca="1"/>
        <v>0</v>
      </c>
      <c r="CFC15">
        <f ca="1"/>
        <v>0</v>
      </c>
      <c r="CFD15">
        <f ca="1"/>
        <v>0</v>
      </c>
      <c r="CFE15">
        <f ca="1"/>
        <v>0</v>
      </c>
      <c r="CFF15">
        <f ca="1"/>
        <v>0</v>
      </c>
      <c r="CFG15">
        <f ca="1"/>
        <v>0</v>
      </c>
      <c r="CFH15">
        <f ca="1"/>
        <v>0</v>
      </c>
      <c r="CFI15">
        <f ca="1"/>
        <v>0</v>
      </c>
      <c r="CFJ15">
        <f ca="1"/>
        <v>0</v>
      </c>
      <c r="CFK15">
        <f ca="1"/>
        <v>0</v>
      </c>
      <c r="CFL15">
        <f ca="1"/>
        <v>0</v>
      </c>
      <c r="CFM15">
        <f ca="1"/>
        <v>0</v>
      </c>
      <c r="CFN15">
        <f ca="1"/>
        <v>0</v>
      </c>
      <c r="CFO15">
        <f ca="1"/>
        <v>0</v>
      </c>
      <c r="CFP15">
        <f ca="1"/>
        <v>0</v>
      </c>
      <c r="CFQ15">
        <f ca="1"/>
        <v>0</v>
      </c>
      <c r="CFR15">
        <f ca="1"/>
        <v>0</v>
      </c>
      <c r="CFS15">
        <f ca="1"/>
        <v>0</v>
      </c>
      <c r="CFT15">
        <f ca="1"/>
        <v>0</v>
      </c>
      <c r="CFU15">
        <f ca="1"/>
        <v>0</v>
      </c>
      <c r="CFV15">
        <f ca="1"/>
        <v>0</v>
      </c>
      <c r="CFW15">
        <f ca="1"/>
        <v>0</v>
      </c>
      <c r="CFX15">
        <f ca="1"/>
        <v>0</v>
      </c>
      <c r="CFY15">
        <f ca="1"/>
        <v>0</v>
      </c>
      <c r="CFZ15">
        <f ca="1"/>
        <v>0</v>
      </c>
      <c r="CGA15">
        <f ca="1"/>
        <v>0</v>
      </c>
      <c r="CGB15">
        <f ca="1"/>
        <v>0</v>
      </c>
      <c r="CGC15">
        <f ca="1"/>
        <v>0</v>
      </c>
      <c r="CGD15">
        <f ca="1"/>
        <v>0</v>
      </c>
      <c r="CGE15">
        <f ca="1"/>
        <v>0</v>
      </c>
      <c r="CGF15">
        <f ca="1"/>
        <v>0</v>
      </c>
      <c r="CGG15">
        <f ca="1"/>
        <v>0</v>
      </c>
      <c r="CGH15">
        <f ca="1"/>
        <v>0</v>
      </c>
      <c r="CGI15">
        <f ca="1"/>
        <v>0</v>
      </c>
      <c r="CGJ15">
        <f ca="1"/>
        <v>0</v>
      </c>
      <c r="CGK15">
        <f ca="1"/>
        <v>0</v>
      </c>
      <c r="CGL15">
        <f ca="1"/>
        <v>0</v>
      </c>
      <c r="CGM15">
        <f ca="1"/>
        <v>0</v>
      </c>
      <c r="CGN15">
        <f ca="1"/>
        <v>0</v>
      </c>
      <c r="CGO15">
        <f ca="1"/>
        <v>0</v>
      </c>
      <c r="CGP15">
        <f ca="1"/>
        <v>0</v>
      </c>
      <c r="CGQ15">
        <f ca="1"/>
        <v>0</v>
      </c>
      <c r="CGR15">
        <f ca="1"/>
        <v>0</v>
      </c>
      <c r="CGS15">
        <f ca="1"/>
        <v>0</v>
      </c>
      <c r="CGT15">
        <f ca="1"/>
        <v>0</v>
      </c>
      <c r="CGU15">
        <f ca="1"/>
        <v>0</v>
      </c>
      <c r="CGV15">
        <f ca="1"/>
        <v>0</v>
      </c>
      <c r="CGW15">
        <f ca="1"/>
        <v>0</v>
      </c>
      <c r="CGX15">
        <f ca="1"/>
        <v>0</v>
      </c>
      <c r="CGY15">
        <f ca="1"/>
        <v>0</v>
      </c>
      <c r="CGZ15">
        <f ca="1"/>
        <v>0</v>
      </c>
      <c r="CHA15">
        <f ca="1"/>
        <v>0</v>
      </c>
      <c r="CHB15">
        <f ca="1"/>
        <v>0</v>
      </c>
      <c r="CHC15">
        <f ca="1"/>
        <v>0</v>
      </c>
      <c r="CHD15">
        <f ca="1"/>
        <v>0</v>
      </c>
      <c r="CHE15">
        <f ca="1"/>
        <v>0</v>
      </c>
      <c r="CHF15">
        <f ca="1"/>
        <v>0</v>
      </c>
      <c r="CHG15">
        <f ca="1"/>
        <v>0</v>
      </c>
      <c r="CHH15">
        <f ca="1"/>
        <v>0</v>
      </c>
      <c r="CHI15">
        <f ca="1"/>
        <v>0</v>
      </c>
      <c r="CHJ15">
        <f ca="1"/>
        <v>0</v>
      </c>
      <c r="CHK15">
        <f ca="1"/>
        <v>0</v>
      </c>
      <c r="CHL15">
        <f ca="1"/>
        <v>0</v>
      </c>
      <c r="CHM15">
        <f ca="1"/>
        <v>0</v>
      </c>
      <c r="CHN15">
        <f ca="1"/>
        <v>0</v>
      </c>
      <c r="CHO15">
        <f ca="1"/>
        <v>0</v>
      </c>
      <c r="CHP15">
        <f ca="1"/>
        <v>0</v>
      </c>
      <c r="CHQ15">
        <f ca="1"/>
        <v>0</v>
      </c>
      <c r="CHR15">
        <f ca="1"/>
        <v>0</v>
      </c>
      <c r="CHS15">
        <f ca="1"/>
        <v>0</v>
      </c>
      <c r="CHT15">
        <f ca="1"/>
        <v>0</v>
      </c>
      <c r="CHU15">
        <f ca="1"/>
        <v>0</v>
      </c>
      <c r="CHV15">
        <f ca="1"/>
        <v>0</v>
      </c>
      <c r="CHW15">
        <f ca="1"/>
        <v>0</v>
      </c>
      <c r="CHX15">
        <f ca="1"/>
        <v>0</v>
      </c>
      <c r="CHY15">
        <f ca="1"/>
        <v>0</v>
      </c>
      <c r="CHZ15">
        <f ca="1"/>
        <v>0</v>
      </c>
      <c r="CIA15">
        <f ca="1"/>
        <v>0</v>
      </c>
      <c r="CIB15">
        <f ca="1"/>
        <v>0</v>
      </c>
      <c r="CIC15">
        <f ca="1"/>
        <v>0</v>
      </c>
      <c r="CID15">
        <f ca="1"/>
        <v>0</v>
      </c>
      <c r="CIE15">
        <f ca="1"/>
        <v>0</v>
      </c>
      <c r="CIF15">
        <f ca="1"/>
        <v>0</v>
      </c>
      <c r="CIG15">
        <f ca="1"/>
        <v>0</v>
      </c>
      <c r="CIH15">
        <f ca="1"/>
        <v>0</v>
      </c>
      <c r="CII15">
        <f ca="1"/>
        <v>0</v>
      </c>
      <c r="CIJ15">
        <f ca="1"/>
        <v>0</v>
      </c>
      <c r="CIK15">
        <f ca="1"/>
        <v>0</v>
      </c>
      <c r="CIL15">
        <f ca="1"/>
        <v>0</v>
      </c>
      <c r="CIM15">
        <f ca="1"/>
        <v>0</v>
      </c>
      <c r="CIN15">
        <f ca="1"/>
        <v>0</v>
      </c>
      <c r="CIO15">
        <f ca="1"/>
        <v>0</v>
      </c>
      <c r="CIP15">
        <f ca="1"/>
        <v>0</v>
      </c>
      <c r="CIQ15">
        <f ca="1"/>
        <v>0</v>
      </c>
      <c r="CIR15">
        <f ca="1"/>
        <v>0</v>
      </c>
      <c r="CIS15">
        <f ca="1"/>
        <v>0</v>
      </c>
      <c r="CIT15">
        <f ca="1"/>
        <v>0</v>
      </c>
      <c r="CIU15">
        <f ca="1"/>
        <v>0</v>
      </c>
      <c r="CIV15">
        <f ca="1"/>
        <v>0</v>
      </c>
      <c r="CIW15">
        <f ca="1"/>
        <v>0</v>
      </c>
      <c r="CIX15">
        <f ca="1"/>
        <v>0</v>
      </c>
      <c r="CIY15">
        <f ca="1"/>
        <v>0</v>
      </c>
      <c r="CIZ15">
        <f ca="1"/>
        <v>0</v>
      </c>
      <c r="CJA15">
        <f ca="1"/>
        <v>0</v>
      </c>
      <c r="CJB15">
        <f ca="1"/>
        <v>0</v>
      </c>
      <c r="CJC15">
        <f ca="1"/>
        <v>0</v>
      </c>
      <c r="CJD15">
        <f ca="1"/>
        <v>0</v>
      </c>
      <c r="CJE15">
        <f ca="1"/>
        <v>0</v>
      </c>
      <c r="CJF15">
        <f ca="1"/>
        <v>0</v>
      </c>
      <c r="CJG15">
        <f ca="1"/>
        <v>0</v>
      </c>
      <c r="CJH15">
        <f ca="1"/>
        <v>0</v>
      </c>
      <c r="CJI15">
        <f ca="1"/>
        <v>0</v>
      </c>
      <c r="CJJ15">
        <f ca="1"/>
        <v>0</v>
      </c>
      <c r="CJK15">
        <f ca="1"/>
        <v>0</v>
      </c>
      <c r="CJL15">
        <f ca="1"/>
        <v>0</v>
      </c>
      <c r="CJM15">
        <f ca="1"/>
        <v>0</v>
      </c>
      <c r="CJN15">
        <f ca="1"/>
        <v>0</v>
      </c>
      <c r="CJO15">
        <f ca="1"/>
        <v>0</v>
      </c>
      <c r="CJP15">
        <f ca="1"/>
        <v>0</v>
      </c>
      <c r="CJQ15">
        <f ca="1"/>
        <v>0</v>
      </c>
      <c r="CJR15">
        <f ca="1"/>
        <v>0</v>
      </c>
      <c r="CJS15">
        <f ca="1"/>
        <v>0</v>
      </c>
      <c r="CJT15">
        <f ca="1"/>
        <v>0</v>
      </c>
      <c r="CJU15">
        <f ca="1"/>
        <v>0</v>
      </c>
      <c r="CJV15">
        <f ca="1"/>
        <v>0</v>
      </c>
      <c r="CJW15">
        <f ca="1"/>
        <v>0</v>
      </c>
      <c r="CJX15">
        <f ca="1"/>
        <v>0</v>
      </c>
      <c r="CJY15">
        <f ca="1"/>
        <v>0</v>
      </c>
      <c r="CJZ15">
        <f ca="1"/>
        <v>0</v>
      </c>
      <c r="CKA15">
        <f ca="1"/>
        <v>0</v>
      </c>
      <c r="CKB15">
        <f ca="1"/>
        <v>0</v>
      </c>
      <c r="CKC15">
        <f ca="1"/>
        <v>0</v>
      </c>
      <c r="CKD15">
        <f ca="1"/>
        <v>0</v>
      </c>
      <c r="CKE15">
        <f ca="1"/>
        <v>0</v>
      </c>
      <c r="CKF15">
        <f ca="1"/>
        <v>0</v>
      </c>
      <c r="CKG15">
        <f ca="1"/>
        <v>0</v>
      </c>
      <c r="CKH15">
        <f ca="1"/>
        <v>0</v>
      </c>
      <c r="CKI15">
        <f ca="1"/>
        <v>0</v>
      </c>
      <c r="CKJ15">
        <f ca="1"/>
        <v>0</v>
      </c>
      <c r="CKK15">
        <f ca="1"/>
        <v>0</v>
      </c>
      <c r="CKL15">
        <f ca="1"/>
        <v>0</v>
      </c>
      <c r="CKM15">
        <f ca="1"/>
        <v>0</v>
      </c>
      <c r="CKN15">
        <f ca="1"/>
        <v>0</v>
      </c>
      <c r="CKO15">
        <f ca="1"/>
        <v>0</v>
      </c>
      <c r="CKP15">
        <f ca="1"/>
        <v>0</v>
      </c>
      <c r="CKQ15">
        <f ca="1"/>
        <v>0</v>
      </c>
      <c r="CKR15">
        <f ca="1"/>
        <v>0</v>
      </c>
      <c r="CKS15">
        <f ca="1"/>
        <v>0</v>
      </c>
      <c r="CKT15">
        <f ca="1"/>
        <v>0</v>
      </c>
      <c r="CKU15">
        <f ca="1"/>
        <v>0</v>
      </c>
      <c r="CKV15">
        <f ca="1"/>
        <v>0</v>
      </c>
      <c r="CKW15">
        <f ca="1"/>
        <v>0</v>
      </c>
      <c r="CKX15">
        <f ca="1"/>
        <v>0</v>
      </c>
      <c r="CKY15">
        <f ca="1"/>
        <v>0</v>
      </c>
      <c r="CKZ15">
        <f ca="1"/>
        <v>0</v>
      </c>
      <c r="CLA15">
        <f ca="1"/>
        <v>0</v>
      </c>
      <c r="CLB15">
        <f ca="1"/>
        <v>0</v>
      </c>
      <c r="CLC15">
        <f ca="1"/>
        <v>0</v>
      </c>
      <c r="CLD15">
        <f ca="1"/>
        <v>0</v>
      </c>
      <c r="CLE15">
        <f ca="1"/>
        <v>0</v>
      </c>
      <c r="CLF15">
        <f ca="1"/>
        <v>0</v>
      </c>
      <c r="CLG15">
        <f ca="1"/>
        <v>0</v>
      </c>
      <c r="CLH15">
        <f ca="1"/>
        <v>0</v>
      </c>
      <c r="CLI15">
        <f ca="1"/>
        <v>0</v>
      </c>
      <c r="CLJ15">
        <f ca="1"/>
        <v>0</v>
      </c>
      <c r="CLK15">
        <f ca="1"/>
        <v>0</v>
      </c>
      <c r="CLL15">
        <f ca="1"/>
        <v>0</v>
      </c>
      <c r="CLM15">
        <f ca="1"/>
        <v>0</v>
      </c>
      <c r="CLN15">
        <f ca="1"/>
        <v>0</v>
      </c>
      <c r="CLO15">
        <f ca="1"/>
        <v>0</v>
      </c>
      <c r="CLP15">
        <f ca="1"/>
        <v>0</v>
      </c>
      <c r="CLQ15">
        <f ca="1"/>
        <v>0</v>
      </c>
      <c r="CLR15">
        <f ca="1"/>
        <v>0</v>
      </c>
      <c r="CLS15">
        <f ca="1"/>
        <v>0</v>
      </c>
      <c r="CLT15">
        <f ca="1"/>
        <v>0</v>
      </c>
      <c r="CLU15">
        <f ca="1"/>
        <v>0</v>
      </c>
      <c r="CLV15">
        <f ca="1"/>
        <v>0</v>
      </c>
      <c r="CLW15">
        <f ca="1"/>
        <v>0</v>
      </c>
      <c r="CLX15">
        <f ca="1"/>
        <v>0</v>
      </c>
      <c r="CLY15">
        <f ca="1"/>
        <v>0</v>
      </c>
      <c r="CLZ15">
        <f ca="1"/>
        <v>0</v>
      </c>
      <c r="CMA15">
        <f ca="1"/>
        <v>0</v>
      </c>
      <c r="CMB15">
        <f ca="1"/>
        <v>0</v>
      </c>
      <c r="CMC15">
        <f ca="1"/>
        <v>0</v>
      </c>
      <c r="CMD15">
        <f ca="1"/>
        <v>0</v>
      </c>
      <c r="CME15">
        <f ca="1"/>
        <v>0</v>
      </c>
      <c r="CMF15">
        <f ca="1"/>
        <v>0</v>
      </c>
      <c r="CMG15">
        <f ca="1"/>
        <v>0</v>
      </c>
      <c r="CMH15">
        <f ca="1"/>
        <v>0</v>
      </c>
      <c r="CMI15">
        <f ca="1"/>
        <v>0</v>
      </c>
      <c r="CMJ15">
        <f ca="1"/>
        <v>0</v>
      </c>
      <c r="CMK15">
        <f ca="1"/>
        <v>0</v>
      </c>
      <c r="CML15">
        <f ca="1"/>
        <v>0</v>
      </c>
      <c r="CMM15">
        <f ca="1"/>
        <v>0</v>
      </c>
      <c r="CMN15">
        <f ca="1"/>
        <v>0</v>
      </c>
      <c r="CMO15">
        <f ca="1"/>
        <v>0</v>
      </c>
      <c r="CMP15">
        <f ca="1"/>
        <v>0</v>
      </c>
      <c r="CMQ15">
        <f ca="1"/>
        <v>0</v>
      </c>
      <c r="CMR15">
        <f ca="1"/>
        <v>0</v>
      </c>
      <c r="CMS15">
        <f ca="1"/>
        <v>0</v>
      </c>
      <c r="CMT15">
        <f ca="1"/>
        <v>0</v>
      </c>
      <c r="CMU15">
        <f ca="1"/>
        <v>0</v>
      </c>
      <c r="CMV15">
        <f ca="1"/>
        <v>0</v>
      </c>
      <c r="CMW15">
        <f ca="1"/>
        <v>0</v>
      </c>
      <c r="CMX15">
        <f ca="1"/>
        <v>0</v>
      </c>
      <c r="CMY15">
        <f ca="1"/>
        <v>0</v>
      </c>
      <c r="CMZ15">
        <f ca="1"/>
        <v>0</v>
      </c>
      <c r="CNA15">
        <f ca="1"/>
        <v>0</v>
      </c>
      <c r="CNB15">
        <f ca="1"/>
        <v>0</v>
      </c>
      <c r="CNC15">
        <f ca="1"/>
        <v>0</v>
      </c>
      <c r="CND15">
        <f ca="1"/>
        <v>0</v>
      </c>
      <c r="CNE15">
        <f ca="1"/>
        <v>0</v>
      </c>
      <c r="CNF15">
        <f ca="1"/>
        <v>0</v>
      </c>
      <c r="CNG15">
        <f ca="1"/>
        <v>0</v>
      </c>
      <c r="CNH15">
        <f ca="1"/>
        <v>0</v>
      </c>
      <c r="CNI15">
        <f ca="1"/>
        <v>0</v>
      </c>
      <c r="CNJ15">
        <f ca="1"/>
        <v>0</v>
      </c>
      <c r="CNK15">
        <f ca="1"/>
        <v>0</v>
      </c>
      <c r="CNL15">
        <f ca="1"/>
        <v>0</v>
      </c>
      <c r="CNM15">
        <f ca="1"/>
        <v>0</v>
      </c>
      <c r="CNN15">
        <f ca="1"/>
        <v>0</v>
      </c>
      <c r="CNO15">
        <f ca="1"/>
        <v>0</v>
      </c>
      <c r="CNP15">
        <f ca="1"/>
        <v>0</v>
      </c>
      <c r="CNQ15">
        <f ca="1"/>
        <v>0</v>
      </c>
      <c r="CNR15">
        <f ca="1"/>
        <v>0</v>
      </c>
      <c r="CNS15">
        <f ca="1"/>
        <v>0</v>
      </c>
      <c r="CNT15">
        <f ca="1"/>
        <v>0</v>
      </c>
      <c r="CNU15">
        <f ca="1"/>
        <v>0</v>
      </c>
      <c r="CNV15">
        <f ca="1"/>
        <v>0</v>
      </c>
      <c r="CNW15">
        <f ca="1"/>
        <v>0</v>
      </c>
      <c r="CNX15">
        <f ca="1"/>
        <v>0</v>
      </c>
      <c r="CNY15">
        <f ca="1"/>
        <v>0</v>
      </c>
      <c r="CNZ15">
        <f ca="1"/>
        <v>0</v>
      </c>
      <c r="COA15">
        <f ca="1"/>
        <v>0</v>
      </c>
      <c r="COB15">
        <f ca="1"/>
        <v>0</v>
      </c>
      <c r="COC15">
        <f ca="1"/>
        <v>0</v>
      </c>
      <c r="COD15">
        <f ca="1"/>
        <v>0</v>
      </c>
      <c r="COE15">
        <f ca="1"/>
        <v>0</v>
      </c>
      <c r="COF15">
        <f ca="1"/>
        <v>0</v>
      </c>
      <c r="COG15">
        <f ca="1"/>
        <v>0</v>
      </c>
      <c r="COH15">
        <f ca="1"/>
        <v>0</v>
      </c>
      <c r="COI15">
        <f ca="1"/>
        <v>0</v>
      </c>
      <c r="COJ15">
        <f ca="1"/>
        <v>0</v>
      </c>
      <c r="COK15">
        <f ca="1"/>
        <v>0</v>
      </c>
      <c r="COL15">
        <f ca="1"/>
        <v>0</v>
      </c>
      <c r="COM15">
        <f ca="1"/>
        <v>0</v>
      </c>
      <c r="CON15">
        <f ca="1"/>
        <v>0</v>
      </c>
      <c r="COO15">
        <f ca="1"/>
        <v>0</v>
      </c>
      <c r="COP15">
        <f ca="1"/>
        <v>0</v>
      </c>
      <c r="COQ15">
        <f ca="1"/>
        <v>0</v>
      </c>
      <c r="COR15">
        <f ca="1"/>
        <v>0</v>
      </c>
      <c r="COS15">
        <f ca="1"/>
        <v>0</v>
      </c>
      <c r="COT15">
        <f ca="1"/>
        <v>0</v>
      </c>
      <c r="COU15">
        <f ca="1"/>
        <v>0</v>
      </c>
      <c r="COV15">
        <f ca="1"/>
        <v>0</v>
      </c>
      <c r="COW15">
        <f ca="1"/>
        <v>0</v>
      </c>
      <c r="COX15">
        <f ca="1"/>
        <v>0</v>
      </c>
      <c r="COY15">
        <f ca="1"/>
        <v>0</v>
      </c>
      <c r="COZ15">
        <f ca="1"/>
        <v>0</v>
      </c>
      <c r="CPA15">
        <f ca="1"/>
        <v>0</v>
      </c>
      <c r="CPB15">
        <f ca="1"/>
        <v>0</v>
      </c>
      <c r="CPC15">
        <f ca="1"/>
        <v>0</v>
      </c>
      <c r="CPD15">
        <f ca="1"/>
        <v>0</v>
      </c>
      <c r="CPE15">
        <f ca="1"/>
        <v>0</v>
      </c>
      <c r="CPF15">
        <f ca="1"/>
        <v>0</v>
      </c>
      <c r="CPG15">
        <f ca="1"/>
        <v>0</v>
      </c>
      <c r="CPH15">
        <f ca="1"/>
        <v>0</v>
      </c>
      <c r="CPI15">
        <f ca="1"/>
        <v>0</v>
      </c>
      <c r="CPJ15">
        <f ca="1"/>
        <v>0</v>
      </c>
      <c r="CPK15">
        <f ca="1"/>
        <v>0</v>
      </c>
      <c r="CPL15">
        <f ca="1"/>
        <v>0</v>
      </c>
      <c r="CPM15">
        <f ca="1"/>
        <v>0</v>
      </c>
      <c r="CPN15">
        <f ca="1"/>
        <v>0</v>
      </c>
      <c r="CPO15">
        <f ca="1"/>
        <v>0</v>
      </c>
      <c r="CPP15">
        <f ca="1"/>
        <v>0</v>
      </c>
      <c r="CPQ15">
        <f ca="1"/>
        <v>0</v>
      </c>
      <c r="CPR15">
        <f ca="1"/>
        <v>0</v>
      </c>
      <c r="CPS15">
        <f ca="1"/>
        <v>0</v>
      </c>
      <c r="CPT15">
        <f ca="1"/>
        <v>0</v>
      </c>
      <c r="CPU15">
        <f ca="1"/>
        <v>0</v>
      </c>
      <c r="CPV15">
        <f ca="1"/>
        <v>0</v>
      </c>
      <c r="CPW15">
        <f ca="1"/>
        <v>0</v>
      </c>
      <c r="CPX15">
        <f ca="1"/>
        <v>0</v>
      </c>
      <c r="CPY15">
        <f ca="1"/>
        <v>0</v>
      </c>
      <c r="CPZ15">
        <f ca="1"/>
        <v>0</v>
      </c>
      <c r="CQA15">
        <f ca="1"/>
        <v>0</v>
      </c>
      <c r="CQB15">
        <f ca="1"/>
        <v>0</v>
      </c>
      <c r="CQC15">
        <f ca="1"/>
        <v>0</v>
      </c>
      <c r="CQD15">
        <f ca="1"/>
        <v>0</v>
      </c>
      <c r="CQE15">
        <f ca="1"/>
        <v>0</v>
      </c>
      <c r="CQF15">
        <f ca="1"/>
        <v>0</v>
      </c>
      <c r="CQG15">
        <f ca="1"/>
        <v>0</v>
      </c>
      <c r="CQH15">
        <f ca="1"/>
        <v>0</v>
      </c>
      <c r="CQI15">
        <f ca="1"/>
        <v>0</v>
      </c>
      <c r="CQJ15">
        <f ca="1"/>
        <v>0</v>
      </c>
      <c r="CQK15">
        <f ca="1"/>
        <v>0</v>
      </c>
      <c r="CQL15">
        <f ca="1"/>
        <v>0</v>
      </c>
      <c r="CQM15">
        <f ca="1"/>
        <v>0</v>
      </c>
      <c r="CQN15">
        <f ca="1"/>
        <v>0</v>
      </c>
      <c r="CQO15">
        <f ca="1"/>
        <v>0</v>
      </c>
      <c r="CQP15">
        <f ca="1"/>
        <v>0</v>
      </c>
      <c r="CQQ15">
        <f ca="1"/>
        <v>0</v>
      </c>
      <c r="CQR15">
        <f ca="1"/>
        <v>0</v>
      </c>
      <c r="CQS15">
        <f ca="1"/>
        <v>0</v>
      </c>
      <c r="CQT15">
        <f ca="1"/>
        <v>0</v>
      </c>
      <c r="CQU15">
        <f ca="1"/>
        <v>0</v>
      </c>
      <c r="CQV15">
        <f ca="1"/>
        <v>0</v>
      </c>
      <c r="CQW15">
        <f ca="1"/>
        <v>0</v>
      </c>
      <c r="CQX15">
        <f ca="1"/>
        <v>0</v>
      </c>
      <c r="CQY15">
        <f ca="1"/>
        <v>0</v>
      </c>
      <c r="CQZ15">
        <f ca="1"/>
        <v>0</v>
      </c>
      <c r="CRA15">
        <f ca="1"/>
        <v>0</v>
      </c>
      <c r="CRB15">
        <f ca="1"/>
        <v>0</v>
      </c>
      <c r="CRC15">
        <f ca="1"/>
        <v>0</v>
      </c>
      <c r="CRD15">
        <f ca="1"/>
        <v>0</v>
      </c>
      <c r="CRE15">
        <f ca="1"/>
        <v>0</v>
      </c>
      <c r="CRF15">
        <f ca="1"/>
        <v>0</v>
      </c>
      <c r="CRG15">
        <f ca="1"/>
        <v>0</v>
      </c>
      <c r="CRH15">
        <f ca="1"/>
        <v>0</v>
      </c>
      <c r="CRI15">
        <f ca="1"/>
        <v>0</v>
      </c>
      <c r="CRJ15">
        <f ca="1"/>
        <v>0</v>
      </c>
      <c r="CRK15">
        <f ca="1"/>
        <v>0</v>
      </c>
      <c r="CRL15">
        <f ca="1"/>
        <v>0</v>
      </c>
      <c r="CRM15">
        <f ca="1"/>
        <v>0</v>
      </c>
      <c r="CRN15">
        <f ca="1"/>
        <v>0</v>
      </c>
      <c r="CRO15">
        <f ca="1"/>
        <v>0</v>
      </c>
      <c r="CRP15">
        <f ca="1"/>
        <v>0</v>
      </c>
      <c r="CRQ15">
        <f ca="1"/>
        <v>0</v>
      </c>
      <c r="CRR15">
        <f ca="1"/>
        <v>0</v>
      </c>
      <c r="CRS15">
        <f ca="1"/>
        <v>0</v>
      </c>
      <c r="CRT15">
        <f ca="1"/>
        <v>0</v>
      </c>
      <c r="CRU15">
        <f ca="1"/>
        <v>0</v>
      </c>
      <c r="CRV15">
        <f ca="1"/>
        <v>0</v>
      </c>
      <c r="CRW15">
        <f ca="1"/>
        <v>0</v>
      </c>
      <c r="CRX15">
        <f ca="1"/>
        <v>0</v>
      </c>
      <c r="CRY15">
        <f ca="1"/>
        <v>0</v>
      </c>
      <c r="CRZ15">
        <f ca="1"/>
        <v>0</v>
      </c>
      <c r="CSA15">
        <f ca="1"/>
        <v>0</v>
      </c>
      <c r="CSB15">
        <f ca="1"/>
        <v>0</v>
      </c>
      <c r="CSC15">
        <f ca="1"/>
        <v>0</v>
      </c>
      <c r="CSD15">
        <f ca="1"/>
        <v>0</v>
      </c>
      <c r="CSE15">
        <f ca="1"/>
        <v>0</v>
      </c>
      <c r="CSF15">
        <f ca="1"/>
        <v>0</v>
      </c>
      <c r="CSG15">
        <f ca="1"/>
        <v>0</v>
      </c>
      <c r="CSH15">
        <f ca="1"/>
        <v>0</v>
      </c>
      <c r="CSI15">
        <f ca="1"/>
        <v>0</v>
      </c>
      <c r="CSJ15">
        <f ca="1"/>
        <v>0</v>
      </c>
      <c r="CSK15">
        <f ca="1"/>
        <v>0</v>
      </c>
      <c r="CSL15">
        <f ca="1"/>
        <v>0</v>
      </c>
      <c r="CSM15">
        <f ca="1"/>
        <v>0</v>
      </c>
      <c r="CSN15">
        <f ca="1"/>
        <v>0</v>
      </c>
      <c r="CSO15">
        <f ca="1"/>
        <v>0</v>
      </c>
      <c r="CSP15">
        <f ca="1"/>
        <v>0</v>
      </c>
      <c r="CSQ15">
        <f ca="1"/>
        <v>0</v>
      </c>
      <c r="CSR15">
        <f ca="1"/>
        <v>0</v>
      </c>
      <c r="CSS15">
        <f ca="1"/>
        <v>0</v>
      </c>
      <c r="CST15">
        <f ca="1"/>
        <v>0</v>
      </c>
      <c r="CSU15">
        <f ca="1"/>
        <v>0</v>
      </c>
      <c r="CSV15">
        <f ca="1"/>
        <v>0</v>
      </c>
      <c r="CSW15">
        <f ca="1"/>
        <v>0</v>
      </c>
      <c r="CSX15">
        <f ca="1"/>
        <v>0</v>
      </c>
      <c r="CSY15">
        <f ca="1"/>
        <v>0</v>
      </c>
      <c r="CSZ15">
        <f ca="1"/>
        <v>0</v>
      </c>
      <c r="CTA15">
        <f ca="1"/>
        <v>0</v>
      </c>
      <c r="CTB15">
        <f ca="1"/>
        <v>0</v>
      </c>
      <c r="CTC15">
        <f ca="1"/>
        <v>0</v>
      </c>
      <c r="CTD15">
        <f ca="1"/>
        <v>0</v>
      </c>
      <c r="CTE15">
        <f ca="1"/>
        <v>0</v>
      </c>
      <c r="CTF15">
        <f ca="1"/>
        <v>0</v>
      </c>
      <c r="CTG15">
        <f ca="1"/>
        <v>0</v>
      </c>
      <c r="CTH15">
        <f ca="1"/>
        <v>0</v>
      </c>
      <c r="CTI15">
        <f ca="1"/>
        <v>0</v>
      </c>
      <c r="CTJ15">
        <f ca="1"/>
        <v>0</v>
      </c>
      <c r="CTK15">
        <f ca="1"/>
        <v>0</v>
      </c>
      <c r="CTL15">
        <f ca="1"/>
        <v>0</v>
      </c>
      <c r="CTM15">
        <f ca="1"/>
        <v>0</v>
      </c>
      <c r="CTN15">
        <f ca="1"/>
        <v>0</v>
      </c>
      <c r="CTO15">
        <f ca="1"/>
        <v>0</v>
      </c>
      <c r="CTP15">
        <f ca="1"/>
        <v>0</v>
      </c>
      <c r="CTQ15">
        <f ca="1"/>
        <v>0</v>
      </c>
      <c r="CTR15">
        <f ca="1"/>
        <v>0</v>
      </c>
      <c r="CTS15">
        <f ca="1"/>
        <v>0</v>
      </c>
      <c r="CTT15">
        <f ca="1"/>
        <v>0</v>
      </c>
      <c r="CTU15">
        <f ca="1"/>
        <v>0</v>
      </c>
      <c r="CTV15">
        <f ca="1"/>
        <v>0</v>
      </c>
      <c r="CTW15">
        <f ca="1"/>
        <v>0</v>
      </c>
      <c r="CTX15">
        <f ca="1"/>
        <v>0</v>
      </c>
      <c r="CTY15">
        <f ca="1"/>
        <v>0</v>
      </c>
      <c r="CTZ15">
        <f ca="1"/>
        <v>0</v>
      </c>
      <c r="CUA15">
        <f ca="1"/>
        <v>0</v>
      </c>
      <c r="CUB15">
        <f ca="1"/>
        <v>0</v>
      </c>
      <c r="CUC15">
        <f ca="1"/>
        <v>0</v>
      </c>
      <c r="CUD15">
        <f ca="1"/>
        <v>0</v>
      </c>
      <c r="CUE15">
        <f ca="1"/>
        <v>0</v>
      </c>
      <c r="CUF15">
        <f ca="1"/>
        <v>0</v>
      </c>
      <c r="CUG15">
        <f ca="1"/>
        <v>0</v>
      </c>
      <c r="CUH15">
        <f ca="1"/>
        <v>0</v>
      </c>
      <c r="CUI15">
        <f ca="1"/>
        <v>0</v>
      </c>
      <c r="CUJ15">
        <f ca="1"/>
        <v>0</v>
      </c>
      <c r="CUK15">
        <f ca="1"/>
        <v>0</v>
      </c>
      <c r="CUL15">
        <f ca="1"/>
        <v>0</v>
      </c>
      <c r="CUM15">
        <f ca="1"/>
        <v>0</v>
      </c>
      <c r="CUN15">
        <f ca="1"/>
        <v>0</v>
      </c>
      <c r="CUO15">
        <f ca="1"/>
        <v>0</v>
      </c>
      <c r="CUP15">
        <f ca="1"/>
        <v>0</v>
      </c>
      <c r="CUQ15">
        <f ca="1"/>
        <v>0</v>
      </c>
      <c r="CUR15">
        <f ca="1"/>
        <v>0</v>
      </c>
      <c r="CUS15">
        <f ca="1"/>
        <v>0</v>
      </c>
      <c r="CUT15">
        <f ca="1"/>
        <v>0</v>
      </c>
      <c r="CUU15">
        <f ca="1"/>
        <v>0</v>
      </c>
      <c r="CUV15">
        <f ca="1"/>
        <v>0</v>
      </c>
      <c r="CUW15">
        <f ca="1"/>
        <v>0</v>
      </c>
      <c r="CUX15">
        <f ca="1"/>
        <v>0</v>
      </c>
      <c r="CUY15">
        <f ca="1"/>
        <v>0</v>
      </c>
      <c r="CUZ15">
        <f ca="1"/>
        <v>0</v>
      </c>
      <c r="CVA15">
        <f ca="1"/>
        <v>0</v>
      </c>
      <c r="CVB15">
        <f ca="1"/>
        <v>0</v>
      </c>
      <c r="CVC15">
        <f ca="1"/>
        <v>0</v>
      </c>
      <c r="CVD15">
        <f ca="1"/>
        <v>0</v>
      </c>
      <c r="CVE15">
        <f ca="1"/>
        <v>0</v>
      </c>
      <c r="CVF15">
        <f ca="1"/>
        <v>0</v>
      </c>
      <c r="CVG15">
        <f ca="1"/>
        <v>0</v>
      </c>
      <c r="CVH15">
        <f ca="1"/>
        <v>0</v>
      </c>
      <c r="CVI15">
        <f ca="1"/>
        <v>0</v>
      </c>
      <c r="CVJ15">
        <f ca="1"/>
        <v>0</v>
      </c>
      <c r="CVK15">
        <f ca="1"/>
        <v>0</v>
      </c>
      <c r="CVL15">
        <f ca="1"/>
        <v>0</v>
      </c>
      <c r="CVM15">
        <f ca="1"/>
        <v>0</v>
      </c>
      <c r="CVN15">
        <f ca="1"/>
        <v>0</v>
      </c>
      <c r="CVO15">
        <f ca="1"/>
        <v>0</v>
      </c>
      <c r="CVP15">
        <f ca="1"/>
        <v>0</v>
      </c>
      <c r="CVQ15">
        <f ca="1"/>
        <v>0</v>
      </c>
      <c r="CVR15">
        <f ca="1"/>
        <v>0</v>
      </c>
      <c r="CVS15">
        <f ca="1"/>
        <v>0</v>
      </c>
      <c r="CVT15">
        <f ca="1"/>
        <v>0</v>
      </c>
      <c r="CVU15">
        <f ca="1"/>
        <v>0</v>
      </c>
      <c r="CVV15">
        <f ca="1"/>
        <v>0</v>
      </c>
      <c r="CVW15">
        <f ca="1"/>
        <v>0</v>
      </c>
      <c r="CVX15">
        <f ca="1"/>
        <v>0</v>
      </c>
      <c r="CVY15">
        <f ca="1"/>
        <v>0</v>
      </c>
      <c r="CVZ15">
        <f ca="1"/>
        <v>0</v>
      </c>
      <c r="CWA15">
        <f ca="1"/>
        <v>0</v>
      </c>
      <c r="CWB15">
        <f ca="1"/>
        <v>0</v>
      </c>
      <c r="CWC15">
        <f ca="1"/>
        <v>0</v>
      </c>
      <c r="CWD15">
        <f ca="1"/>
        <v>0</v>
      </c>
      <c r="CWE15">
        <f ca="1"/>
        <v>0</v>
      </c>
      <c r="CWF15">
        <f ca="1"/>
        <v>0</v>
      </c>
      <c r="CWG15">
        <f ca="1"/>
        <v>0</v>
      </c>
      <c r="CWH15">
        <f ca="1"/>
        <v>0</v>
      </c>
      <c r="CWI15">
        <f ca="1"/>
        <v>0</v>
      </c>
      <c r="CWJ15">
        <f ca="1"/>
        <v>0</v>
      </c>
      <c r="CWK15">
        <f ca="1"/>
        <v>0</v>
      </c>
      <c r="CWL15">
        <f ca="1"/>
        <v>0</v>
      </c>
      <c r="CWM15">
        <f ca="1"/>
        <v>0</v>
      </c>
      <c r="CWN15">
        <f ca="1"/>
        <v>0</v>
      </c>
      <c r="CWO15">
        <f ca="1"/>
        <v>0</v>
      </c>
      <c r="CWP15">
        <f ca="1"/>
        <v>0</v>
      </c>
      <c r="CWQ15">
        <f ca="1"/>
        <v>0</v>
      </c>
      <c r="CWR15">
        <f ca="1"/>
        <v>0</v>
      </c>
      <c r="CWS15">
        <f ca="1"/>
        <v>0</v>
      </c>
      <c r="CWT15">
        <f ca="1"/>
        <v>0</v>
      </c>
      <c r="CWU15">
        <f ca="1"/>
        <v>0</v>
      </c>
      <c r="CWV15">
        <f ca="1"/>
        <v>0</v>
      </c>
      <c r="CWW15">
        <f ca="1"/>
        <v>0</v>
      </c>
      <c r="CWX15">
        <f ca="1"/>
        <v>0</v>
      </c>
      <c r="CWY15">
        <f ca="1"/>
        <v>0</v>
      </c>
      <c r="CWZ15">
        <f ca="1"/>
        <v>0</v>
      </c>
      <c r="CXA15">
        <f ca="1"/>
        <v>0</v>
      </c>
      <c r="CXB15">
        <f ca="1"/>
        <v>0</v>
      </c>
      <c r="CXC15">
        <f ca="1"/>
        <v>0</v>
      </c>
      <c r="CXD15">
        <f ca="1"/>
        <v>0</v>
      </c>
      <c r="CXE15">
        <f ca="1"/>
        <v>0</v>
      </c>
      <c r="CXF15">
        <f ca="1"/>
        <v>0</v>
      </c>
      <c r="CXG15">
        <f ca="1"/>
        <v>0</v>
      </c>
      <c r="CXH15">
        <f ca="1"/>
        <v>0</v>
      </c>
      <c r="CXI15">
        <f ca="1"/>
        <v>0</v>
      </c>
      <c r="CXJ15">
        <f ca="1"/>
        <v>0</v>
      </c>
      <c r="CXK15">
        <f ca="1"/>
        <v>0</v>
      </c>
      <c r="CXL15">
        <f ca="1"/>
        <v>0</v>
      </c>
      <c r="CXM15">
        <f ca="1"/>
        <v>0</v>
      </c>
      <c r="CXN15">
        <f ca="1"/>
        <v>0</v>
      </c>
      <c r="CXO15">
        <f ca="1"/>
        <v>0</v>
      </c>
      <c r="CXP15">
        <f ca="1"/>
        <v>0</v>
      </c>
      <c r="CXQ15">
        <f ca="1"/>
        <v>0</v>
      </c>
      <c r="CXR15">
        <f ca="1"/>
        <v>0</v>
      </c>
      <c r="CXS15">
        <f ca="1"/>
        <v>0</v>
      </c>
      <c r="CXT15">
        <f ca="1"/>
        <v>0</v>
      </c>
      <c r="CXU15">
        <f ca="1"/>
        <v>0</v>
      </c>
      <c r="CXV15">
        <f ca="1"/>
        <v>0</v>
      </c>
      <c r="CXW15">
        <f ca="1"/>
        <v>0</v>
      </c>
      <c r="CXX15">
        <f ca="1"/>
        <v>0</v>
      </c>
      <c r="CXY15">
        <f ca="1"/>
        <v>0</v>
      </c>
      <c r="CXZ15">
        <f ca="1"/>
        <v>0</v>
      </c>
      <c r="CYA15">
        <f ca="1"/>
        <v>0</v>
      </c>
      <c r="CYB15">
        <f ca="1"/>
        <v>0</v>
      </c>
      <c r="CYC15">
        <f ca="1"/>
        <v>0</v>
      </c>
      <c r="CYD15">
        <f ca="1"/>
        <v>0</v>
      </c>
      <c r="CYE15">
        <f ca="1"/>
        <v>0</v>
      </c>
      <c r="CYF15">
        <f ca="1"/>
        <v>0</v>
      </c>
      <c r="CYG15">
        <f ca="1"/>
        <v>0</v>
      </c>
      <c r="CYH15">
        <f ca="1"/>
        <v>0</v>
      </c>
      <c r="CYI15">
        <f ca="1"/>
        <v>0</v>
      </c>
      <c r="CYJ15">
        <f ca="1"/>
        <v>0</v>
      </c>
      <c r="CYK15">
        <f ca="1"/>
        <v>0</v>
      </c>
      <c r="CYL15">
        <f ca="1"/>
        <v>0</v>
      </c>
      <c r="CYM15">
        <f ca="1"/>
        <v>0</v>
      </c>
      <c r="CYN15">
        <f ca="1"/>
        <v>0</v>
      </c>
      <c r="CYO15">
        <f ca="1"/>
        <v>0</v>
      </c>
      <c r="CYP15">
        <f ca="1"/>
        <v>0</v>
      </c>
      <c r="CYQ15">
        <f ca="1"/>
        <v>0</v>
      </c>
      <c r="CYR15">
        <f ca="1"/>
        <v>0</v>
      </c>
      <c r="CYS15">
        <f ca="1"/>
        <v>0</v>
      </c>
      <c r="CYT15">
        <f ca="1"/>
        <v>0</v>
      </c>
      <c r="CYU15">
        <f ca="1"/>
        <v>0</v>
      </c>
      <c r="CYV15">
        <f ca="1"/>
        <v>0</v>
      </c>
      <c r="CYW15">
        <f ca="1"/>
        <v>0</v>
      </c>
      <c r="CYX15">
        <f ca="1"/>
        <v>0</v>
      </c>
      <c r="CYY15">
        <f ca="1"/>
        <v>0</v>
      </c>
      <c r="CYZ15">
        <f ca="1"/>
        <v>0</v>
      </c>
      <c r="CZA15">
        <f ca="1"/>
        <v>0</v>
      </c>
      <c r="CZB15">
        <f ca="1"/>
        <v>0</v>
      </c>
      <c r="CZC15">
        <f ca="1"/>
        <v>0</v>
      </c>
      <c r="CZD15">
        <f ca="1"/>
        <v>0</v>
      </c>
      <c r="CZE15">
        <f ca="1"/>
        <v>0</v>
      </c>
      <c r="CZF15">
        <f ca="1"/>
        <v>0</v>
      </c>
      <c r="CZG15">
        <f ca="1"/>
        <v>0</v>
      </c>
      <c r="CZH15">
        <f ca="1"/>
        <v>0</v>
      </c>
      <c r="CZI15">
        <f ca="1"/>
        <v>0</v>
      </c>
      <c r="CZJ15">
        <f ca="1"/>
        <v>0</v>
      </c>
      <c r="CZK15">
        <f ca="1"/>
        <v>0</v>
      </c>
      <c r="CZL15">
        <f ca="1"/>
        <v>0</v>
      </c>
      <c r="CZM15">
        <f ca="1"/>
        <v>0</v>
      </c>
      <c r="CZN15">
        <f ca="1"/>
        <v>0</v>
      </c>
      <c r="CZO15">
        <f ca="1"/>
        <v>0</v>
      </c>
      <c r="CZP15">
        <f ca="1"/>
        <v>0</v>
      </c>
      <c r="CZQ15">
        <f ca="1"/>
        <v>0</v>
      </c>
      <c r="CZR15">
        <f ca="1"/>
        <v>0</v>
      </c>
      <c r="CZS15">
        <f ca="1"/>
        <v>0</v>
      </c>
      <c r="CZT15">
        <f ca="1"/>
        <v>0</v>
      </c>
      <c r="CZU15">
        <f ca="1"/>
        <v>0</v>
      </c>
      <c r="CZV15">
        <f ca="1"/>
        <v>0</v>
      </c>
      <c r="CZW15">
        <f ca="1"/>
        <v>0</v>
      </c>
      <c r="CZX15">
        <f ca="1"/>
        <v>0</v>
      </c>
      <c r="CZY15">
        <f ca="1"/>
        <v>0</v>
      </c>
      <c r="CZZ15">
        <f ca="1"/>
        <v>0</v>
      </c>
      <c r="DAA15">
        <f ca="1"/>
        <v>0</v>
      </c>
      <c r="DAB15">
        <f ca="1"/>
        <v>0</v>
      </c>
      <c r="DAC15">
        <f ca="1"/>
        <v>0</v>
      </c>
      <c r="DAD15">
        <f ca="1"/>
        <v>0</v>
      </c>
      <c r="DAE15">
        <f ca="1"/>
        <v>0</v>
      </c>
      <c r="DAF15">
        <f ca="1"/>
        <v>0</v>
      </c>
      <c r="DAG15">
        <f ca="1"/>
        <v>0</v>
      </c>
      <c r="DAH15">
        <f ca="1"/>
        <v>0</v>
      </c>
      <c r="DAI15">
        <f ca="1"/>
        <v>0</v>
      </c>
      <c r="DAJ15">
        <f ca="1"/>
        <v>0</v>
      </c>
      <c r="DAK15">
        <f ca="1"/>
        <v>0</v>
      </c>
      <c r="DAL15">
        <f ca="1"/>
        <v>0</v>
      </c>
      <c r="DAM15">
        <f ca="1"/>
        <v>0</v>
      </c>
      <c r="DAN15">
        <f ca="1"/>
        <v>0</v>
      </c>
      <c r="DAO15">
        <f ca="1"/>
        <v>0</v>
      </c>
      <c r="DAP15">
        <f ca="1"/>
        <v>0</v>
      </c>
      <c r="DAQ15">
        <f ca="1"/>
        <v>0</v>
      </c>
      <c r="DAR15">
        <f ca="1"/>
        <v>0</v>
      </c>
      <c r="DAS15">
        <f ca="1"/>
        <v>0</v>
      </c>
      <c r="DAT15">
        <f ca="1"/>
        <v>0</v>
      </c>
      <c r="DAU15">
        <f ca="1"/>
        <v>0</v>
      </c>
      <c r="DAV15">
        <f ca="1"/>
        <v>0</v>
      </c>
      <c r="DAW15">
        <f ca="1"/>
        <v>0</v>
      </c>
      <c r="DAX15">
        <f ca="1"/>
        <v>0</v>
      </c>
      <c r="DAY15">
        <f ca="1"/>
        <v>0</v>
      </c>
      <c r="DAZ15">
        <f ca="1"/>
        <v>0</v>
      </c>
      <c r="DBA15">
        <f ca="1"/>
        <v>0</v>
      </c>
      <c r="DBB15">
        <f ca="1"/>
        <v>0</v>
      </c>
      <c r="DBC15">
        <f ca="1"/>
        <v>0</v>
      </c>
      <c r="DBD15">
        <f ca="1"/>
        <v>0</v>
      </c>
      <c r="DBE15">
        <f ca="1"/>
        <v>0</v>
      </c>
      <c r="DBF15">
        <f ca="1"/>
        <v>0</v>
      </c>
      <c r="DBG15">
        <f ca="1"/>
        <v>0</v>
      </c>
      <c r="DBH15">
        <f ca="1"/>
        <v>0</v>
      </c>
      <c r="DBI15">
        <f ca="1"/>
        <v>0</v>
      </c>
      <c r="DBJ15">
        <f ca="1"/>
        <v>0</v>
      </c>
      <c r="DBK15">
        <f ca="1"/>
        <v>0</v>
      </c>
      <c r="DBL15">
        <f ca="1"/>
        <v>0</v>
      </c>
      <c r="DBM15">
        <f ca="1"/>
        <v>0</v>
      </c>
      <c r="DBN15">
        <f ca="1"/>
        <v>0</v>
      </c>
      <c r="DBO15">
        <f ca="1"/>
        <v>0</v>
      </c>
      <c r="DBP15">
        <f ca="1"/>
        <v>0</v>
      </c>
      <c r="DBQ15">
        <f ca="1"/>
        <v>0</v>
      </c>
      <c r="DBR15">
        <f ca="1"/>
        <v>0</v>
      </c>
      <c r="DBS15">
        <f ca="1"/>
        <v>0</v>
      </c>
      <c r="DBT15">
        <f ca="1"/>
        <v>0</v>
      </c>
      <c r="DBU15">
        <f ca="1"/>
        <v>0</v>
      </c>
      <c r="DBV15">
        <f ca="1"/>
        <v>0</v>
      </c>
      <c r="DBW15">
        <f ca="1"/>
        <v>0</v>
      </c>
      <c r="DBX15">
        <f ca="1"/>
        <v>0</v>
      </c>
      <c r="DBY15">
        <f ca="1"/>
        <v>0</v>
      </c>
      <c r="DBZ15">
        <f ca="1"/>
        <v>0</v>
      </c>
      <c r="DCA15">
        <f ca="1"/>
        <v>0</v>
      </c>
      <c r="DCB15">
        <f ca="1"/>
        <v>0</v>
      </c>
      <c r="DCC15">
        <f ca="1"/>
        <v>0</v>
      </c>
      <c r="DCD15">
        <f ca="1"/>
        <v>0</v>
      </c>
      <c r="DCE15">
        <f ca="1"/>
        <v>0</v>
      </c>
      <c r="DCF15">
        <f ca="1"/>
        <v>0</v>
      </c>
      <c r="DCG15">
        <f ca="1"/>
        <v>0</v>
      </c>
      <c r="DCH15">
        <f ca="1"/>
        <v>0</v>
      </c>
      <c r="DCI15">
        <f ca="1"/>
        <v>0</v>
      </c>
      <c r="DCJ15">
        <f ca="1"/>
        <v>0</v>
      </c>
      <c r="DCK15">
        <f ca="1"/>
        <v>0</v>
      </c>
      <c r="DCL15">
        <f ca="1"/>
        <v>0</v>
      </c>
      <c r="DCM15">
        <f ca="1"/>
        <v>0</v>
      </c>
      <c r="DCN15">
        <f ca="1"/>
        <v>0</v>
      </c>
      <c r="DCO15">
        <f ca="1"/>
        <v>0</v>
      </c>
      <c r="DCP15">
        <f ca="1"/>
        <v>0</v>
      </c>
      <c r="DCQ15">
        <f ca="1"/>
        <v>0</v>
      </c>
      <c r="DCR15">
        <f ca="1"/>
        <v>0</v>
      </c>
      <c r="DCS15">
        <f ca="1"/>
        <v>0</v>
      </c>
      <c r="DCT15">
        <f ca="1"/>
        <v>0</v>
      </c>
      <c r="DCU15">
        <f ca="1"/>
        <v>0</v>
      </c>
      <c r="DCV15">
        <f ca="1"/>
        <v>0</v>
      </c>
      <c r="DCW15">
        <f ca="1"/>
        <v>0</v>
      </c>
      <c r="DCX15">
        <f ca="1"/>
        <v>0</v>
      </c>
      <c r="DCY15">
        <f ca="1"/>
        <v>0</v>
      </c>
      <c r="DCZ15">
        <f ca="1"/>
        <v>0</v>
      </c>
      <c r="DDA15">
        <f ca="1"/>
        <v>0</v>
      </c>
      <c r="DDB15">
        <f ca="1"/>
        <v>0</v>
      </c>
      <c r="DDC15">
        <f ca="1"/>
        <v>0</v>
      </c>
      <c r="DDD15">
        <f ca="1"/>
        <v>0</v>
      </c>
      <c r="DDE15">
        <f ca="1"/>
        <v>0</v>
      </c>
      <c r="DDF15">
        <f ca="1"/>
        <v>0</v>
      </c>
      <c r="DDG15">
        <f ca="1"/>
        <v>0</v>
      </c>
      <c r="DDH15">
        <f ca="1"/>
        <v>0</v>
      </c>
      <c r="DDI15">
        <f ca="1"/>
        <v>0</v>
      </c>
      <c r="DDJ15">
        <f ca="1"/>
        <v>0</v>
      </c>
      <c r="DDK15">
        <f ca="1"/>
        <v>0</v>
      </c>
      <c r="DDL15">
        <f ca="1"/>
        <v>0</v>
      </c>
      <c r="DDM15">
        <f ca="1"/>
        <v>0</v>
      </c>
      <c r="DDN15">
        <f ca="1"/>
        <v>0</v>
      </c>
      <c r="DDO15">
        <f ca="1"/>
        <v>0</v>
      </c>
      <c r="DDP15">
        <f ca="1"/>
        <v>0</v>
      </c>
      <c r="DDQ15">
        <f ca="1"/>
        <v>0</v>
      </c>
      <c r="DDR15">
        <f ca="1"/>
        <v>0</v>
      </c>
      <c r="DDS15">
        <f ca="1"/>
        <v>0</v>
      </c>
      <c r="DDT15">
        <f ca="1"/>
        <v>0</v>
      </c>
      <c r="DDU15">
        <f ca="1"/>
        <v>0</v>
      </c>
      <c r="DDV15">
        <f ca="1"/>
        <v>0</v>
      </c>
      <c r="DDW15">
        <f ca="1"/>
        <v>0</v>
      </c>
      <c r="DDX15">
        <f ca="1"/>
        <v>0</v>
      </c>
      <c r="DDY15">
        <f ca="1"/>
        <v>0</v>
      </c>
      <c r="DDZ15">
        <f ca="1"/>
        <v>0</v>
      </c>
      <c r="DEA15">
        <f ca="1"/>
        <v>0</v>
      </c>
      <c r="DEB15">
        <f ca="1"/>
        <v>0</v>
      </c>
      <c r="DEC15">
        <f ca="1"/>
        <v>0</v>
      </c>
      <c r="DED15">
        <f ca="1"/>
        <v>0</v>
      </c>
      <c r="DEE15">
        <f ca="1"/>
        <v>0</v>
      </c>
      <c r="DEF15">
        <f ca="1"/>
        <v>0</v>
      </c>
      <c r="DEG15">
        <f ca="1"/>
        <v>0</v>
      </c>
      <c r="DEH15">
        <f ca="1"/>
        <v>0</v>
      </c>
      <c r="DEI15">
        <f ca="1"/>
        <v>0</v>
      </c>
      <c r="DEJ15">
        <f ca="1"/>
        <v>0</v>
      </c>
      <c r="DEK15">
        <f ca="1"/>
        <v>0</v>
      </c>
      <c r="DEL15">
        <f ca="1"/>
        <v>0</v>
      </c>
      <c r="DEM15">
        <f ca="1"/>
        <v>0</v>
      </c>
      <c r="DEN15">
        <f ca="1"/>
        <v>0</v>
      </c>
      <c r="DEO15">
        <f ca="1"/>
        <v>0</v>
      </c>
      <c r="DEP15">
        <f ca="1"/>
        <v>0</v>
      </c>
      <c r="DEQ15">
        <f ca="1"/>
        <v>0</v>
      </c>
      <c r="DER15">
        <f ca="1"/>
        <v>0</v>
      </c>
      <c r="DES15">
        <f ca="1"/>
        <v>0</v>
      </c>
      <c r="DET15">
        <f ca="1"/>
        <v>0</v>
      </c>
      <c r="DEU15">
        <f ca="1"/>
        <v>0</v>
      </c>
      <c r="DEV15">
        <f ca="1"/>
        <v>0</v>
      </c>
      <c r="DEW15">
        <f ca="1"/>
        <v>0</v>
      </c>
      <c r="DEX15">
        <f ca="1"/>
        <v>0</v>
      </c>
      <c r="DEY15">
        <f ca="1"/>
        <v>0</v>
      </c>
      <c r="DEZ15">
        <f ca="1"/>
        <v>0</v>
      </c>
      <c r="DFA15">
        <f ca="1"/>
        <v>0</v>
      </c>
      <c r="DFB15">
        <f ca="1"/>
        <v>0</v>
      </c>
      <c r="DFC15">
        <f ca="1"/>
        <v>0</v>
      </c>
      <c r="DFD15">
        <f ca="1"/>
        <v>0</v>
      </c>
      <c r="DFE15">
        <f ca="1"/>
        <v>0</v>
      </c>
      <c r="DFF15">
        <f ca="1"/>
        <v>0</v>
      </c>
      <c r="DFG15">
        <f ca="1"/>
        <v>0</v>
      </c>
      <c r="DFH15">
        <f ca="1"/>
        <v>0</v>
      </c>
      <c r="DFI15">
        <f ca="1"/>
        <v>0</v>
      </c>
      <c r="DFJ15">
        <f ca="1"/>
        <v>0</v>
      </c>
      <c r="DFK15">
        <f ca="1"/>
        <v>0</v>
      </c>
      <c r="DFL15">
        <f ca="1"/>
        <v>0</v>
      </c>
      <c r="DFM15">
        <f ca="1"/>
        <v>0</v>
      </c>
      <c r="DFN15">
        <f ca="1"/>
        <v>0</v>
      </c>
      <c r="DFO15">
        <f ca="1"/>
        <v>0</v>
      </c>
      <c r="DFP15">
        <f ca="1"/>
        <v>0</v>
      </c>
      <c r="DFQ15">
        <f ca="1"/>
        <v>0</v>
      </c>
      <c r="DFR15">
        <f ca="1"/>
        <v>0</v>
      </c>
      <c r="DFS15">
        <f ca="1"/>
        <v>0</v>
      </c>
      <c r="DFT15">
        <f ca="1"/>
        <v>0</v>
      </c>
      <c r="DFU15">
        <f ca="1"/>
        <v>0</v>
      </c>
      <c r="DFV15">
        <f ca="1"/>
        <v>0</v>
      </c>
      <c r="DFW15">
        <f ca="1"/>
        <v>0</v>
      </c>
      <c r="DFX15">
        <f ca="1"/>
        <v>0</v>
      </c>
      <c r="DFY15">
        <f ca="1"/>
        <v>0</v>
      </c>
      <c r="DFZ15">
        <f ca="1"/>
        <v>0</v>
      </c>
      <c r="DGA15">
        <f ca="1"/>
        <v>0</v>
      </c>
      <c r="DGB15">
        <f ca="1"/>
        <v>0</v>
      </c>
      <c r="DGC15">
        <f ca="1"/>
        <v>0</v>
      </c>
      <c r="DGD15">
        <f ca="1"/>
        <v>0</v>
      </c>
      <c r="DGE15">
        <f ca="1"/>
        <v>0</v>
      </c>
      <c r="DGF15">
        <f ca="1"/>
        <v>0</v>
      </c>
      <c r="DGG15">
        <f ca="1"/>
        <v>0</v>
      </c>
      <c r="DGH15">
        <f ca="1"/>
        <v>0</v>
      </c>
      <c r="DGI15">
        <f ca="1"/>
        <v>0</v>
      </c>
      <c r="DGJ15">
        <f ca="1"/>
        <v>0</v>
      </c>
      <c r="DGK15">
        <f ca="1"/>
        <v>0</v>
      </c>
      <c r="DGL15">
        <f ca="1"/>
        <v>0</v>
      </c>
      <c r="DGM15">
        <f ca="1"/>
        <v>0</v>
      </c>
      <c r="DGN15">
        <f ca="1"/>
        <v>0</v>
      </c>
      <c r="DGO15">
        <f ca="1"/>
        <v>0</v>
      </c>
      <c r="DGP15">
        <f ca="1"/>
        <v>0</v>
      </c>
      <c r="DGQ15">
        <f ca="1"/>
        <v>0</v>
      </c>
      <c r="DGR15">
        <f ca="1"/>
        <v>0</v>
      </c>
      <c r="DGS15">
        <f ca="1"/>
        <v>0</v>
      </c>
      <c r="DGT15">
        <f ca="1"/>
        <v>0</v>
      </c>
      <c r="DGU15">
        <f ca="1"/>
        <v>0</v>
      </c>
      <c r="DGV15">
        <f ca="1"/>
        <v>0</v>
      </c>
      <c r="DGW15">
        <f ca="1"/>
        <v>0</v>
      </c>
      <c r="DGX15">
        <f ca="1"/>
        <v>0</v>
      </c>
      <c r="DGY15">
        <f ca="1"/>
        <v>0</v>
      </c>
      <c r="DGZ15">
        <f ca="1"/>
        <v>0</v>
      </c>
      <c r="DHA15">
        <f ca="1"/>
        <v>0</v>
      </c>
      <c r="DHB15">
        <f ca="1"/>
        <v>0</v>
      </c>
      <c r="DHC15">
        <f ca="1"/>
        <v>0</v>
      </c>
      <c r="DHD15">
        <f ca="1"/>
        <v>0</v>
      </c>
      <c r="DHE15">
        <f ca="1"/>
        <v>0</v>
      </c>
      <c r="DHF15">
        <f ca="1"/>
        <v>0</v>
      </c>
      <c r="DHG15">
        <f ca="1"/>
        <v>0</v>
      </c>
      <c r="DHH15">
        <f ca="1"/>
        <v>0</v>
      </c>
      <c r="DHI15">
        <f ca="1"/>
        <v>0</v>
      </c>
      <c r="DHJ15">
        <f ca="1"/>
        <v>0</v>
      </c>
      <c r="DHK15">
        <f ca="1"/>
        <v>0</v>
      </c>
      <c r="DHL15">
        <f ca="1"/>
        <v>0</v>
      </c>
      <c r="DHM15">
        <f ca="1"/>
        <v>0</v>
      </c>
      <c r="DHN15">
        <f ca="1"/>
        <v>0</v>
      </c>
      <c r="DHO15">
        <f ca="1"/>
        <v>0</v>
      </c>
      <c r="DHP15">
        <f ca="1"/>
        <v>0</v>
      </c>
      <c r="DHQ15">
        <f ca="1"/>
        <v>0</v>
      </c>
      <c r="DHR15">
        <f ca="1"/>
        <v>0</v>
      </c>
      <c r="DHS15">
        <f ca="1"/>
        <v>0</v>
      </c>
      <c r="DHT15">
        <f ca="1"/>
        <v>0</v>
      </c>
      <c r="DHU15">
        <f ca="1"/>
        <v>0</v>
      </c>
      <c r="DHV15">
        <f ca="1"/>
        <v>0</v>
      </c>
      <c r="DHW15">
        <f ca="1"/>
        <v>0</v>
      </c>
      <c r="DHX15">
        <f ca="1"/>
        <v>0</v>
      </c>
      <c r="DHY15">
        <f ca="1"/>
        <v>0</v>
      </c>
      <c r="DHZ15">
        <f ca="1"/>
        <v>0</v>
      </c>
      <c r="DIA15">
        <f ca="1"/>
        <v>0</v>
      </c>
      <c r="DIB15">
        <f ca="1"/>
        <v>0</v>
      </c>
      <c r="DIC15">
        <f ca="1"/>
        <v>0</v>
      </c>
      <c r="DID15">
        <f ca="1"/>
        <v>0</v>
      </c>
      <c r="DIE15">
        <f ca="1"/>
        <v>0</v>
      </c>
      <c r="DIF15">
        <f ca="1"/>
        <v>0</v>
      </c>
      <c r="DIG15">
        <f ca="1"/>
        <v>0</v>
      </c>
      <c r="DIH15">
        <f ca="1"/>
        <v>0</v>
      </c>
      <c r="DII15">
        <f ca="1"/>
        <v>0</v>
      </c>
      <c r="DIJ15">
        <f ca="1"/>
        <v>0</v>
      </c>
      <c r="DIK15">
        <f ca="1"/>
        <v>0</v>
      </c>
      <c r="DIL15">
        <f ca="1"/>
        <v>0</v>
      </c>
      <c r="DIM15">
        <f ca="1"/>
        <v>0</v>
      </c>
      <c r="DIN15">
        <f ca="1"/>
        <v>0</v>
      </c>
      <c r="DIO15">
        <f ca="1"/>
        <v>0</v>
      </c>
      <c r="DIP15">
        <f ca="1"/>
        <v>0</v>
      </c>
      <c r="DIQ15">
        <f ca="1"/>
        <v>0</v>
      </c>
      <c r="DIR15">
        <f ca="1"/>
        <v>0</v>
      </c>
      <c r="DIS15">
        <f ca="1"/>
        <v>0</v>
      </c>
      <c r="DIT15">
        <f ca="1"/>
        <v>0</v>
      </c>
      <c r="DIU15">
        <f ca="1"/>
        <v>0</v>
      </c>
      <c r="DIV15">
        <f ca="1"/>
        <v>0</v>
      </c>
      <c r="DIW15">
        <f ca="1"/>
        <v>0</v>
      </c>
      <c r="DIX15">
        <f ca="1"/>
        <v>0</v>
      </c>
      <c r="DIY15">
        <f ca="1"/>
        <v>0</v>
      </c>
      <c r="DIZ15">
        <f ca="1"/>
        <v>0</v>
      </c>
      <c r="DJA15">
        <f ca="1"/>
        <v>0</v>
      </c>
      <c r="DJB15">
        <f ca="1"/>
        <v>0</v>
      </c>
      <c r="DJC15">
        <f ca="1"/>
        <v>0</v>
      </c>
      <c r="DJD15">
        <f ca="1"/>
        <v>0</v>
      </c>
      <c r="DJE15">
        <f ca="1"/>
        <v>0</v>
      </c>
      <c r="DJF15">
        <f ca="1"/>
        <v>0</v>
      </c>
      <c r="DJG15">
        <f ca="1"/>
        <v>0</v>
      </c>
      <c r="DJH15">
        <f ca="1"/>
        <v>0</v>
      </c>
      <c r="DJI15">
        <f ca="1"/>
        <v>0</v>
      </c>
      <c r="DJJ15">
        <f ca="1"/>
        <v>0</v>
      </c>
      <c r="DJK15">
        <f ca="1"/>
        <v>0</v>
      </c>
      <c r="DJL15">
        <f ca="1"/>
        <v>0</v>
      </c>
      <c r="DJM15">
        <f ca="1"/>
        <v>0</v>
      </c>
      <c r="DJN15">
        <f ca="1"/>
        <v>0</v>
      </c>
      <c r="DJO15">
        <f ca="1"/>
        <v>0</v>
      </c>
      <c r="DJP15">
        <f ca="1"/>
        <v>0</v>
      </c>
      <c r="DJQ15">
        <f ca="1"/>
        <v>0</v>
      </c>
      <c r="DJR15">
        <f ca="1"/>
        <v>0</v>
      </c>
      <c r="DJS15">
        <f ca="1"/>
        <v>0</v>
      </c>
      <c r="DJT15">
        <f ca="1"/>
        <v>0</v>
      </c>
      <c r="DJU15">
        <f ca="1"/>
        <v>0</v>
      </c>
      <c r="DJV15">
        <f ca="1"/>
        <v>0</v>
      </c>
      <c r="DJW15">
        <f ca="1"/>
        <v>0</v>
      </c>
      <c r="DJX15">
        <f ca="1"/>
        <v>0</v>
      </c>
      <c r="DJY15">
        <f ca="1"/>
        <v>0</v>
      </c>
      <c r="DJZ15">
        <f ca="1"/>
        <v>0</v>
      </c>
      <c r="DKA15">
        <f ca="1"/>
        <v>0</v>
      </c>
      <c r="DKB15">
        <f ca="1"/>
        <v>0</v>
      </c>
      <c r="DKC15">
        <f ca="1"/>
        <v>0</v>
      </c>
      <c r="DKD15">
        <f ca="1"/>
        <v>0</v>
      </c>
      <c r="DKE15">
        <f ca="1"/>
        <v>0</v>
      </c>
      <c r="DKF15">
        <f ca="1"/>
        <v>0</v>
      </c>
      <c r="DKG15">
        <f ca="1"/>
        <v>0</v>
      </c>
      <c r="DKH15">
        <f ca="1"/>
        <v>0</v>
      </c>
      <c r="DKI15">
        <f ca="1"/>
        <v>0</v>
      </c>
      <c r="DKJ15">
        <f ca="1"/>
        <v>0</v>
      </c>
      <c r="DKK15">
        <f ca="1"/>
        <v>0</v>
      </c>
      <c r="DKL15">
        <f ca="1"/>
        <v>0</v>
      </c>
      <c r="DKM15">
        <f ca="1"/>
        <v>0</v>
      </c>
      <c r="DKN15">
        <f ca="1"/>
        <v>0</v>
      </c>
      <c r="DKO15">
        <f ca="1"/>
        <v>0</v>
      </c>
      <c r="DKP15">
        <f ca="1"/>
        <v>0</v>
      </c>
      <c r="DKQ15">
        <f ca="1"/>
        <v>0</v>
      </c>
      <c r="DKR15">
        <f ca="1"/>
        <v>0</v>
      </c>
      <c r="DKS15">
        <f ca="1"/>
        <v>0</v>
      </c>
      <c r="DKT15">
        <f ca="1"/>
        <v>0</v>
      </c>
      <c r="DKU15">
        <f ca="1"/>
        <v>0</v>
      </c>
      <c r="DKV15">
        <f ca="1"/>
        <v>0</v>
      </c>
      <c r="DKW15">
        <f ca="1"/>
        <v>0</v>
      </c>
      <c r="DKX15">
        <f ca="1"/>
        <v>0</v>
      </c>
      <c r="DKY15">
        <f ca="1"/>
        <v>0</v>
      </c>
      <c r="DKZ15">
        <f ca="1"/>
        <v>0</v>
      </c>
      <c r="DLA15">
        <f ca="1"/>
        <v>0</v>
      </c>
      <c r="DLB15">
        <f ca="1"/>
        <v>0</v>
      </c>
      <c r="DLC15">
        <f ca="1"/>
        <v>0</v>
      </c>
      <c r="DLD15">
        <f ca="1"/>
        <v>0</v>
      </c>
      <c r="DLE15">
        <f ca="1"/>
        <v>0</v>
      </c>
      <c r="DLF15">
        <f ca="1"/>
        <v>0</v>
      </c>
      <c r="DLG15">
        <f ca="1"/>
        <v>0</v>
      </c>
      <c r="DLH15">
        <f ca="1"/>
        <v>0</v>
      </c>
      <c r="DLI15">
        <f ca="1"/>
        <v>0</v>
      </c>
      <c r="DLJ15">
        <f ca="1"/>
        <v>0</v>
      </c>
      <c r="DLK15">
        <f ca="1"/>
        <v>0</v>
      </c>
      <c r="DLL15">
        <f ca="1"/>
        <v>0</v>
      </c>
      <c r="DLM15">
        <f ca="1"/>
        <v>0</v>
      </c>
      <c r="DLN15">
        <f ca="1"/>
        <v>0</v>
      </c>
      <c r="DLO15">
        <f ca="1"/>
        <v>0</v>
      </c>
      <c r="DLP15">
        <f ca="1"/>
        <v>0</v>
      </c>
      <c r="DLQ15">
        <f ca="1"/>
        <v>0</v>
      </c>
      <c r="DLR15">
        <f ca="1"/>
        <v>0</v>
      </c>
      <c r="DLS15">
        <f ca="1"/>
        <v>0</v>
      </c>
      <c r="DLT15">
        <f ca="1"/>
        <v>0</v>
      </c>
      <c r="DLU15">
        <f ca="1"/>
        <v>0</v>
      </c>
      <c r="DLV15">
        <f ca="1"/>
        <v>0</v>
      </c>
      <c r="DLW15">
        <f ca="1"/>
        <v>0</v>
      </c>
      <c r="DLX15">
        <f ca="1"/>
        <v>0</v>
      </c>
      <c r="DLY15">
        <f ca="1"/>
        <v>0</v>
      </c>
      <c r="DLZ15">
        <f ca="1"/>
        <v>0</v>
      </c>
      <c r="DMA15">
        <f ca="1"/>
        <v>0</v>
      </c>
      <c r="DMB15">
        <f ca="1"/>
        <v>0</v>
      </c>
      <c r="DMC15">
        <f ca="1"/>
        <v>0</v>
      </c>
      <c r="DMD15">
        <f ca="1"/>
        <v>0</v>
      </c>
      <c r="DME15">
        <f ca="1"/>
        <v>0</v>
      </c>
      <c r="DMF15">
        <f ca="1"/>
        <v>0</v>
      </c>
      <c r="DMG15">
        <f ca="1"/>
        <v>0</v>
      </c>
      <c r="DMH15">
        <f ca="1"/>
        <v>0</v>
      </c>
      <c r="DMI15">
        <f ca="1"/>
        <v>0</v>
      </c>
      <c r="DMJ15">
        <f ca="1"/>
        <v>0</v>
      </c>
      <c r="DMK15">
        <f ca="1"/>
        <v>0</v>
      </c>
      <c r="DML15">
        <f ca="1"/>
        <v>0</v>
      </c>
      <c r="DMM15">
        <f ca="1"/>
        <v>0</v>
      </c>
      <c r="DMN15">
        <f ca="1"/>
        <v>0</v>
      </c>
      <c r="DMO15">
        <f ca="1"/>
        <v>0</v>
      </c>
      <c r="DMP15">
        <f ca="1"/>
        <v>0</v>
      </c>
      <c r="DMQ15">
        <f ca="1"/>
        <v>0</v>
      </c>
      <c r="DMR15">
        <f ca="1"/>
        <v>0</v>
      </c>
      <c r="DMS15">
        <f ca="1"/>
        <v>0</v>
      </c>
      <c r="DMT15">
        <f ca="1"/>
        <v>0</v>
      </c>
      <c r="DMU15">
        <f ca="1"/>
        <v>0</v>
      </c>
      <c r="DMV15">
        <f ca="1"/>
        <v>0</v>
      </c>
      <c r="DMW15">
        <f ca="1"/>
        <v>0</v>
      </c>
      <c r="DMX15">
        <f ca="1"/>
        <v>0</v>
      </c>
      <c r="DMY15">
        <f ca="1"/>
        <v>0</v>
      </c>
      <c r="DMZ15">
        <f ca="1"/>
        <v>0</v>
      </c>
      <c r="DNA15">
        <f ca="1"/>
        <v>0</v>
      </c>
      <c r="DNB15">
        <f ca="1"/>
        <v>0</v>
      </c>
      <c r="DNC15">
        <f ca="1"/>
        <v>0</v>
      </c>
      <c r="DND15">
        <f ca="1"/>
        <v>0</v>
      </c>
      <c r="DNE15">
        <f ca="1"/>
        <v>0</v>
      </c>
      <c r="DNF15">
        <f ca="1"/>
        <v>0</v>
      </c>
      <c r="DNG15">
        <f ca="1"/>
        <v>0</v>
      </c>
      <c r="DNH15">
        <f ca="1"/>
        <v>0</v>
      </c>
      <c r="DNI15">
        <f ca="1"/>
        <v>0</v>
      </c>
      <c r="DNJ15">
        <f ca="1"/>
        <v>0</v>
      </c>
      <c r="DNK15">
        <f ca="1"/>
        <v>0</v>
      </c>
      <c r="DNL15">
        <f ca="1"/>
        <v>0</v>
      </c>
      <c r="DNM15">
        <f ca="1"/>
        <v>0</v>
      </c>
      <c r="DNN15">
        <f ca="1"/>
        <v>0</v>
      </c>
      <c r="DNO15">
        <f ca="1"/>
        <v>0</v>
      </c>
      <c r="DNP15">
        <f ca="1"/>
        <v>0</v>
      </c>
      <c r="DNQ15">
        <f ca="1"/>
        <v>0</v>
      </c>
      <c r="DNR15">
        <f ca="1"/>
        <v>0</v>
      </c>
      <c r="DNS15">
        <f ca="1"/>
        <v>0</v>
      </c>
      <c r="DNT15">
        <f ca="1"/>
        <v>0</v>
      </c>
      <c r="DNU15">
        <f ca="1"/>
        <v>0</v>
      </c>
      <c r="DNV15">
        <f ca="1"/>
        <v>0</v>
      </c>
      <c r="DNW15">
        <f ca="1"/>
        <v>0</v>
      </c>
      <c r="DNX15">
        <f ca="1"/>
        <v>0</v>
      </c>
      <c r="DNY15">
        <f ca="1"/>
        <v>0</v>
      </c>
      <c r="DNZ15">
        <f ca="1"/>
        <v>0</v>
      </c>
      <c r="DOA15">
        <f ca="1"/>
        <v>0</v>
      </c>
      <c r="DOB15">
        <f ca="1"/>
        <v>0</v>
      </c>
      <c r="DOC15">
        <f ca="1"/>
        <v>0</v>
      </c>
      <c r="DOD15">
        <f ca="1"/>
        <v>0</v>
      </c>
      <c r="DOE15">
        <f ca="1"/>
        <v>0</v>
      </c>
      <c r="DOF15">
        <f ca="1"/>
        <v>0</v>
      </c>
      <c r="DOG15">
        <f ca="1"/>
        <v>0</v>
      </c>
      <c r="DOH15">
        <f ca="1"/>
        <v>0</v>
      </c>
      <c r="DOI15">
        <f ca="1"/>
        <v>0</v>
      </c>
      <c r="DOJ15">
        <f ca="1"/>
        <v>0</v>
      </c>
      <c r="DOK15">
        <f ca="1"/>
        <v>0</v>
      </c>
      <c r="DOL15">
        <f ca="1"/>
        <v>0</v>
      </c>
      <c r="DOM15">
        <f ca="1"/>
        <v>0</v>
      </c>
      <c r="DON15">
        <f ca="1"/>
        <v>0</v>
      </c>
      <c r="DOO15">
        <f ca="1"/>
        <v>0</v>
      </c>
      <c r="DOP15">
        <f ca="1"/>
        <v>0</v>
      </c>
      <c r="DOQ15">
        <f ca="1"/>
        <v>0</v>
      </c>
      <c r="DOR15">
        <f ca="1"/>
        <v>0</v>
      </c>
      <c r="DOS15">
        <f ca="1"/>
        <v>0</v>
      </c>
      <c r="DOT15">
        <f ca="1"/>
        <v>0</v>
      </c>
      <c r="DOU15">
        <f ca="1"/>
        <v>0</v>
      </c>
      <c r="DOV15">
        <f ca="1"/>
        <v>0</v>
      </c>
      <c r="DOW15">
        <f ca="1"/>
        <v>0</v>
      </c>
      <c r="DOX15">
        <f ca="1"/>
        <v>0</v>
      </c>
      <c r="DOY15">
        <f ca="1"/>
        <v>0</v>
      </c>
      <c r="DOZ15">
        <f ca="1"/>
        <v>0</v>
      </c>
      <c r="DPA15">
        <f ca="1"/>
        <v>0</v>
      </c>
      <c r="DPB15">
        <f ca="1"/>
        <v>0</v>
      </c>
      <c r="DPC15">
        <f ca="1"/>
        <v>0</v>
      </c>
      <c r="DPD15">
        <f ca="1"/>
        <v>0</v>
      </c>
      <c r="DPE15">
        <f ca="1"/>
        <v>0</v>
      </c>
      <c r="DPF15">
        <f ca="1"/>
        <v>0</v>
      </c>
      <c r="DPG15">
        <f ca="1"/>
        <v>0</v>
      </c>
      <c r="DPH15">
        <f ca="1"/>
        <v>0</v>
      </c>
      <c r="DPI15">
        <f ca="1"/>
        <v>0</v>
      </c>
      <c r="DPJ15">
        <f ca="1"/>
        <v>0</v>
      </c>
      <c r="DPK15">
        <f ca="1"/>
        <v>0</v>
      </c>
      <c r="DPL15">
        <f ca="1"/>
        <v>0</v>
      </c>
      <c r="DPM15">
        <f ca="1"/>
        <v>0</v>
      </c>
      <c r="DPN15">
        <f ca="1"/>
        <v>0</v>
      </c>
      <c r="DPO15">
        <f ca="1"/>
        <v>0</v>
      </c>
      <c r="DPP15">
        <f ca="1"/>
        <v>0</v>
      </c>
      <c r="DPQ15">
        <f ca="1"/>
        <v>0</v>
      </c>
      <c r="DPR15">
        <f ca="1"/>
        <v>0</v>
      </c>
      <c r="DPS15">
        <f ca="1"/>
        <v>0</v>
      </c>
      <c r="DPT15">
        <f ca="1"/>
        <v>0</v>
      </c>
      <c r="DPU15">
        <f ca="1"/>
        <v>0</v>
      </c>
      <c r="DPV15">
        <f ca="1"/>
        <v>0</v>
      </c>
      <c r="DPW15">
        <f ca="1"/>
        <v>0</v>
      </c>
      <c r="DPX15">
        <f ca="1"/>
        <v>0</v>
      </c>
      <c r="DPY15">
        <f ca="1"/>
        <v>0</v>
      </c>
      <c r="DPZ15">
        <f ca="1"/>
        <v>0</v>
      </c>
      <c r="DQA15">
        <f ca="1"/>
        <v>0</v>
      </c>
      <c r="DQB15">
        <f ca="1"/>
        <v>0</v>
      </c>
      <c r="DQC15">
        <f ca="1"/>
        <v>0</v>
      </c>
      <c r="DQD15">
        <f ca="1"/>
        <v>0</v>
      </c>
      <c r="DQE15">
        <f ca="1"/>
        <v>0</v>
      </c>
      <c r="DQF15">
        <f ca="1"/>
        <v>0</v>
      </c>
      <c r="DQG15">
        <f ca="1"/>
        <v>0</v>
      </c>
      <c r="DQH15">
        <f ca="1"/>
        <v>0</v>
      </c>
      <c r="DQI15">
        <f ca="1"/>
        <v>0</v>
      </c>
      <c r="DQJ15">
        <f ca="1"/>
        <v>0</v>
      </c>
      <c r="DQK15">
        <f ca="1"/>
        <v>0</v>
      </c>
      <c r="DQL15">
        <f ca="1"/>
        <v>0</v>
      </c>
      <c r="DQM15">
        <f ca="1"/>
        <v>0</v>
      </c>
      <c r="DQN15">
        <f ca="1"/>
        <v>0</v>
      </c>
      <c r="DQO15">
        <f ca="1"/>
        <v>0</v>
      </c>
      <c r="DQP15">
        <f ca="1"/>
        <v>0</v>
      </c>
      <c r="DQQ15">
        <f ca="1"/>
        <v>0</v>
      </c>
      <c r="DQR15">
        <f ca="1"/>
        <v>0</v>
      </c>
      <c r="DQS15">
        <f ca="1"/>
        <v>0</v>
      </c>
      <c r="DQT15">
        <f ca="1"/>
        <v>0</v>
      </c>
      <c r="DQU15">
        <f ca="1"/>
        <v>0</v>
      </c>
      <c r="DQV15">
        <f ca="1"/>
        <v>0</v>
      </c>
      <c r="DQW15">
        <f ca="1"/>
        <v>0</v>
      </c>
      <c r="DQX15">
        <f ca="1"/>
        <v>0</v>
      </c>
      <c r="DQY15">
        <f ca="1"/>
        <v>0</v>
      </c>
      <c r="DQZ15">
        <f ca="1"/>
        <v>0</v>
      </c>
      <c r="DRA15">
        <f ca="1"/>
        <v>0</v>
      </c>
      <c r="DRB15">
        <f ca="1"/>
        <v>0</v>
      </c>
      <c r="DRC15">
        <f ca="1"/>
        <v>0</v>
      </c>
      <c r="DRD15">
        <f ca="1"/>
        <v>0</v>
      </c>
      <c r="DRE15">
        <f ca="1"/>
        <v>0</v>
      </c>
      <c r="DRF15">
        <f ca="1"/>
        <v>0</v>
      </c>
      <c r="DRG15">
        <f ca="1"/>
        <v>0</v>
      </c>
      <c r="DRH15">
        <f ca="1"/>
        <v>0</v>
      </c>
      <c r="DRI15">
        <f ca="1"/>
        <v>0</v>
      </c>
      <c r="DRJ15">
        <f ca="1"/>
        <v>0</v>
      </c>
      <c r="DRK15">
        <f ca="1"/>
        <v>0</v>
      </c>
      <c r="DRL15">
        <f ca="1"/>
        <v>0</v>
      </c>
      <c r="DRM15">
        <f ca="1"/>
        <v>0</v>
      </c>
      <c r="DRN15">
        <f ca="1"/>
        <v>0</v>
      </c>
      <c r="DRO15">
        <f ca="1"/>
        <v>0</v>
      </c>
      <c r="DRP15">
        <f ca="1"/>
        <v>0</v>
      </c>
      <c r="DRQ15">
        <f ca="1"/>
        <v>0</v>
      </c>
      <c r="DRR15">
        <f ca="1"/>
        <v>0</v>
      </c>
      <c r="DRS15">
        <f ca="1"/>
        <v>0</v>
      </c>
      <c r="DRT15">
        <f ca="1"/>
        <v>0</v>
      </c>
      <c r="DRU15">
        <f ca="1"/>
        <v>0</v>
      </c>
      <c r="DRV15">
        <f ca="1"/>
        <v>0</v>
      </c>
      <c r="DRW15">
        <f ca="1"/>
        <v>0</v>
      </c>
      <c r="DRX15">
        <f ca="1"/>
        <v>0</v>
      </c>
      <c r="DRY15">
        <f ca="1"/>
        <v>0</v>
      </c>
      <c r="DRZ15">
        <f ca="1"/>
        <v>0</v>
      </c>
      <c r="DSA15">
        <f ca="1"/>
        <v>0</v>
      </c>
      <c r="DSB15">
        <f ca="1"/>
        <v>0</v>
      </c>
      <c r="DSC15">
        <f ca="1"/>
        <v>0</v>
      </c>
      <c r="DSD15">
        <f ca="1"/>
        <v>0</v>
      </c>
      <c r="DSE15">
        <f ca="1"/>
        <v>0</v>
      </c>
      <c r="DSF15">
        <f ca="1"/>
        <v>0</v>
      </c>
      <c r="DSG15">
        <f ca="1"/>
        <v>0</v>
      </c>
      <c r="DSH15">
        <f ca="1"/>
        <v>0</v>
      </c>
      <c r="DSI15">
        <f ca="1"/>
        <v>0</v>
      </c>
      <c r="DSJ15">
        <f ca="1"/>
        <v>0</v>
      </c>
      <c r="DSK15">
        <f ca="1"/>
        <v>0</v>
      </c>
      <c r="DSL15">
        <f ca="1"/>
        <v>0</v>
      </c>
      <c r="DSM15">
        <f ca="1"/>
        <v>0</v>
      </c>
      <c r="DSN15">
        <f ca="1"/>
        <v>0</v>
      </c>
      <c r="DSO15">
        <f ca="1"/>
        <v>0</v>
      </c>
      <c r="DSP15">
        <f ca="1"/>
        <v>0</v>
      </c>
      <c r="DSQ15">
        <f ca="1"/>
        <v>0</v>
      </c>
      <c r="DSR15">
        <f ca="1"/>
        <v>0</v>
      </c>
      <c r="DSS15">
        <f ca="1"/>
        <v>0</v>
      </c>
      <c r="DST15">
        <f ca="1"/>
        <v>0</v>
      </c>
      <c r="DSU15">
        <f ca="1"/>
        <v>0</v>
      </c>
      <c r="DSV15">
        <f ca="1"/>
        <v>0</v>
      </c>
      <c r="DSW15">
        <f ca="1"/>
        <v>0</v>
      </c>
      <c r="DSX15">
        <f ca="1"/>
        <v>0</v>
      </c>
      <c r="DSY15">
        <f ca="1"/>
        <v>0</v>
      </c>
      <c r="DSZ15">
        <f ca="1"/>
        <v>0</v>
      </c>
      <c r="DTA15">
        <f ca="1"/>
        <v>0</v>
      </c>
      <c r="DTB15">
        <f ca="1"/>
        <v>0</v>
      </c>
      <c r="DTC15">
        <f ca="1"/>
        <v>0</v>
      </c>
      <c r="DTD15">
        <f ca="1"/>
        <v>0</v>
      </c>
      <c r="DTE15">
        <f ca="1"/>
        <v>0</v>
      </c>
      <c r="DTF15">
        <f ca="1"/>
        <v>0</v>
      </c>
      <c r="DTG15">
        <f ca="1"/>
        <v>0</v>
      </c>
      <c r="DTH15">
        <f ca="1"/>
        <v>0</v>
      </c>
      <c r="DTI15">
        <f ca="1"/>
        <v>0</v>
      </c>
      <c r="DTJ15">
        <f ca="1"/>
        <v>0</v>
      </c>
      <c r="DTK15">
        <f ca="1"/>
        <v>0</v>
      </c>
      <c r="DTL15">
        <f ca="1"/>
        <v>0</v>
      </c>
      <c r="DTM15">
        <f ca="1"/>
        <v>0</v>
      </c>
      <c r="DTN15">
        <f ca="1"/>
        <v>0</v>
      </c>
      <c r="DTO15">
        <f ca="1"/>
        <v>0</v>
      </c>
      <c r="DTP15">
        <f ca="1"/>
        <v>0</v>
      </c>
      <c r="DTQ15">
        <f ca="1"/>
        <v>0</v>
      </c>
      <c r="DTR15">
        <f ca="1"/>
        <v>0</v>
      </c>
      <c r="DTS15">
        <f ca="1"/>
        <v>0</v>
      </c>
      <c r="DTT15">
        <f ca="1"/>
        <v>0</v>
      </c>
      <c r="DTU15">
        <f ca="1"/>
        <v>0</v>
      </c>
      <c r="DTV15">
        <f ca="1"/>
        <v>0</v>
      </c>
      <c r="DTW15">
        <f ca="1"/>
        <v>0</v>
      </c>
      <c r="DTX15">
        <f ca="1"/>
        <v>0</v>
      </c>
      <c r="DTY15">
        <f ca="1"/>
        <v>0</v>
      </c>
      <c r="DTZ15">
        <f ca="1"/>
        <v>0</v>
      </c>
      <c r="DUA15">
        <f ca="1"/>
        <v>0</v>
      </c>
      <c r="DUB15">
        <f ca="1"/>
        <v>0</v>
      </c>
      <c r="DUC15">
        <f ca="1"/>
        <v>0</v>
      </c>
      <c r="DUD15">
        <f ca="1"/>
        <v>0</v>
      </c>
      <c r="DUE15">
        <f ca="1"/>
        <v>0</v>
      </c>
      <c r="DUF15">
        <f ca="1"/>
        <v>0</v>
      </c>
      <c r="DUG15">
        <f ca="1"/>
        <v>0</v>
      </c>
      <c r="DUH15">
        <f ca="1"/>
        <v>0</v>
      </c>
      <c r="DUI15">
        <f ca="1"/>
        <v>0</v>
      </c>
      <c r="DUJ15">
        <f ca="1"/>
        <v>0</v>
      </c>
      <c r="DUK15">
        <f ca="1"/>
        <v>0</v>
      </c>
      <c r="DUL15">
        <f ca="1"/>
        <v>0</v>
      </c>
      <c r="DUM15">
        <f ca="1"/>
        <v>0</v>
      </c>
      <c r="DUN15">
        <f ca="1"/>
        <v>0</v>
      </c>
      <c r="DUO15">
        <f ca="1"/>
        <v>0</v>
      </c>
      <c r="DUP15">
        <f ca="1"/>
        <v>0</v>
      </c>
      <c r="DUQ15">
        <f ca="1"/>
        <v>0</v>
      </c>
      <c r="DUR15">
        <f ca="1"/>
        <v>0</v>
      </c>
      <c r="DUS15">
        <f ca="1"/>
        <v>0</v>
      </c>
      <c r="DUT15">
        <f ca="1"/>
        <v>0</v>
      </c>
      <c r="DUU15">
        <f ca="1"/>
        <v>0</v>
      </c>
      <c r="DUV15">
        <f ca="1"/>
        <v>0</v>
      </c>
      <c r="DUW15">
        <f ca="1"/>
        <v>0</v>
      </c>
      <c r="DUX15">
        <f ca="1"/>
        <v>0</v>
      </c>
      <c r="DUY15">
        <f ca="1"/>
        <v>0</v>
      </c>
      <c r="DUZ15">
        <f ca="1"/>
        <v>0</v>
      </c>
      <c r="DVA15">
        <f ca="1"/>
        <v>0</v>
      </c>
      <c r="DVB15">
        <f ca="1"/>
        <v>0</v>
      </c>
      <c r="DVC15">
        <f ca="1"/>
        <v>0</v>
      </c>
      <c r="DVD15">
        <f ca="1"/>
        <v>0</v>
      </c>
      <c r="DVE15">
        <f ca="1"/>
        <v>0</v>
      </c>
      <c r="DVF15">
        <f ca="1"/>
        <v>0</v>
      </c>
      <c r="DVG15">
        <f ca="1"/>
        <v>0</v>
      </c>
      <c r="DVH15">
        <f ca="1"/>
        <v>0</v>
      </c>
      <c r="DVI15">
        <f ca="1"/>
        <v>0</v>
      </c>
      <c r="DVJ15">
        <f ca="1"/>
        <v>0</v>
      </c>
      <c r="DVK15">
        <f ca="1"/>
        <v>0</v>
      </c>
      <c r="DVL15">
        <f ca="1"/>
        <v>0</v>
      </c>
      <c r="DVM15">
        <f ca="1"/>
        <v>0</v>
      </c>
      <c r="DVN15">
        <f ca="1"/>
        <v>0</v>
      </c>
      <c r="DVO15">
        <f ca="1"/>
        <v>0</v>
      </c>
      <c r="DVP15">
        <f ca="1"/>
        <v>0</v>
      </c>
      <c r="DVQ15">
        <f ca="1"/>
        <v>0</v>
      </c>
      <c r="DVR15">
        <f ca="1"/>
        <v>0</v>
      </c>
      <c r="DVS15">
        <f ca="1"/>
        <v>0</v>
      </c>
      <c r="DVT15">
        <f ca="1"/>
        <v>0</v>
      </c>
      <c r="DVU15">
        <f ca="1"/>
        <v>0</v>
      </c>
      <c r="DVV15">
        <f ca="1"/>
        <v>0</v>
      </c>
      <c r="DVW15">
        <f ca="1"/>
        <v>0</v>
      </c>
      <c r="DVX15">
        <f ca="1"/>
        <v>0</v>
      </c>
      <c r="DVY15">
        <f ca="1"/>
        <v>0</v>
      </c>
      <c r="DVZ15">
        <f ca="1"/>
        <v>0</v>
      </c>
      <c r="DWA15">
        <f ca="1"/>
        <v>0</v>
      </c>
      <c r="DWB15">
        <f ca="1"/>
        <v>0</v>
      </c>
      <c r="DWC15">
        <f ca="1"/>
        <v>0</v>
      </c>
      <c r="DWD15">
        <f ca="1"/>
        <v>0</v>
      </c>
      <c r="DWE15">
        <f ca="1"/>
        <v>0</v>
      </c>
      <c r="DWF15">
        <f ca="1"/>
        <v>0</v>
      </c>
      <c r="DWG15">
        <f ca="1"/>
        <v>0</v>
      </c>
      <c r="DWH15">
        <f ca="1"/>
        <v>0</v>
      </c>
      <c r="DWI15">
        <f ca="1"/>
        <v>0</v>
      </c>
      <c r="DWJ15">
        <f ca="1"/>
        <v>0</v>
      </c>
      <c r="DWK15">
        <f ca="1"/>
        <v>0</v>
      </c>
      <c r="DWL15">
        <f ca="1"/>
        <v>0</v>
      </c>
      <c r="DWM15">
        <f ca="1"/>
        <v>0</v>
      </c>
      <c r="DWN15">
        <f ca="1"/>
        <v>0</v>
      </c>
      <c r="DWO15">
        <f ca="1"/>
        <v>0</v>
      </c>
      <c r="DWP15">
        <f ca="1"/>
        <v>0</v>
      </c>
      <c r="DWQ15">
        <f ca="1"/>
        <v>0</v>
      </c>
      <c r="DWR15">
        <f ca="1"/>
        <v>0</v>
      </c>
      <c r="DWS15">
        <f ca="1"/>
        <v>0</v>
      </c>
      <c r="DWT15">
        <f ca="1"/>
        <v>0</v>
      </c>
      <c r="DWU15">
        <f ca="1"/>
        <v>0</v>
      </c>
      <c r="DWV15">
        <f ca="1"/>
        <v>0</v>
      </c>
      <c r="DWW15">
        <f ca="1"/>
        <v>0</v>
      </c>
      <c r="DWX15">
        <f ca="1"/>
        <v>0</v>
      </c>
      <c r="DWY15">
        <f ca="1"/>
        <v>0</v>
      </c>
      <c r="DWZ15">
        <f ca="1"/>
        <v>0</v>
      </c>
      <c r="DXA15">
        <f ca="1"/>
        <v>0</v>
      </c>
      <c r="DXB15">
        <f ca="1"/>
        <v>0</v>
      </c>
      <c r="DXC15">
        <f ca="1"/>
        <v>0</v>
      </c>
      <c r="DXD15">
        <f ca="1"/>
        <v>0</v>
      </c>
      <c r="DXE15">
        <f ca="1"/>
        <v>0</v>
      </c>
      <c r="DXF15">
        <f ca="1"/>
        <v>0</v>
      </c>
      <c r="DXG15">
        <f ca="1"/>
        <v>0</v>
      </c>
      <c r="DXH15">
        <f ca="1"/>
        <v>0</v>
      </c>
      <c r="DXI15">
        <f ca="1"/>
        <v>0</v>
      </c>
      <c r="DXJ15">
        <f ca="1"/>
        <v>0</v>
      </c>
      <c r="DXK15">
        <f ca="1"/>
        <v>0</v>
      </c>
      <c r="DXL15">
        <f ca="1"/>
        <v>0</v>
      </c>
      <c r="DXM15">
        <f ca="1"/>
        <v>0</v>
      </c>
      <c r="DXN15">
        <f ca="1"/>
        <v>0</v>
      </c>
      <c r="DXO15">
        <f ca="1"/>
        <v>0</v>
      </c>
      <c r="DXP15">
        <f ca="1"/>
        <v>0</v>
      </c>
      <c r="DXQ15">
        <f ca="1"/>
        <v>0</v>
      </c>
      <c r="DXR15">
        <f ca="1"/>
        <v>0</v>
      </c>
      <c r="DXS15">
        <f ca="1"/>
        <v>0</v>
      </c>
      <c r="DXT15">
        <f ca="1"/>
        <v>0</v>
      </c>
      <c r="DXU15">
        <f ca="1"/>
        <v>0</v>
      </c>
      <c r="DXV15">
        <f ca="1"/>
        <v>0</v>
      </c>
      <c r="DXW15">
        <f ca="1"/>
        <v>0</v>
      </c>
      <c r="DXX15">
        <f ca="1"/>
        <v>0</v>
      </c>
      <c r="DXY15">
        <f ca="1"/>
        <v>0</v>
      </c>
      <c r="DXZ15">
        <f ca="1"/>
        <v>0</v>
      </c>
      <c r="DYA15">
        <f ca="1"/>
        <v>0</v>
      </c>
      <c r="DYB15">
        <f ca="1"/>
        <v>0</v>
      </c>
      <c r="DYC15">
        <f ca="1"/>
        <v>0</v>
      </c>
      <c r="DYD15">
        <f ca="1"/>
        <v>0</v>
      </c>
      <c r="DYE15">
        <f ca="1"/>
        <v>0</v>
      </c>
      <c r="DYF15">
        <f ca="1"/>
        <v>0</v>
      </c>
      <c r="DYG15">
        <f ca="1"/>
        <v>0</v>
      </c>
      <c r="DYH15">
        <f ca="1"/>
        <v>0</v>
      </c>
      <c r="DYI15">
        <f ca="1"/>
        <v>0</v>
      </c>
      <c r="DYJ15">
        <f ca="1"/>
        <v>0</v>
      </c>
      <c r="DYK15">
        <f ca="1"/>
        <v>0</v>
      </c>
      <c r="DYL15">
        <f ca="1"/>
        <v>0</v>
      </c>
      <c r="DYM15">
        <f ca="1"/>
        <v>0</v>
      </c>
      <c r="DYN15">
        <f ca="1"/>
        <v>0</v>
      </c>
      <c r="DYO15">
        <f ca="1"/>
        <v>0</v>
      </c>
      <c r="DYP15">
        <f ca="1"/>
        <v>0</v>
      </c>
      <c r="DYQ15">
        <f ca="1"/>
        <v>0</v>
      </c>
      <c r="DYR15">
        <f ca="1"/>
        <v>0</v>
      </c>
      <c r="DYS15">
        <f ca="1"/>
        <v>0</v>
      </c>
      <c r="DYT15">
        <f ca="1"/>
        <v>0</v>
      </c>
      <c r="DYU15">
        <f ca="1"/>
        <v>0</v>
      </c>
      <c r="DYV15">
        <f ca="1"/>
        <v>0</v>
      </c>
      <c r="DYW15">
        <f ca="1"/>
        <v>0</v>
      </c>
      <c r="DYX15">
        <f ca="1"/>
        <v>0</v>
      </c>
      <c r="DYY15">
        <f ca="1"/>
        <v>0</v>
      </c>
      <c r="DYZ15">
        <f ca="1"/>
        <v>0</v>
      </c>
      <c r="DZA15">
        <f ca="1"/>
        <v>0</v>
      </c>
      <c r="DZB15">
        <f ca="1"/>
        <v>0</v>
      </c>
      <c r="DZC15">
        <f ca="1"/>
        <v>0</v>
      </c>
      <c r="DZD15">
        <f ca="1"/>
        <v>0</v>
      </c>
      <c r="DZE15">
        <f ca="1"/>
        <v>0</v>
      </c>
      <c r="DZF15">
        <f ca="1"/>
        <v>0</v>
      </c>
      <c r="DZG15">
        <f ca="1"/>
        <v>0</v>
      </c>
      <c r="DZH15">
        <f ca="1"/>
        <v>0</v>
      </c>
      <c r="DZI15">
        <f ca="1"/>
        <v>0</v>
      </c>
      <c r="DZJ15">
        <f ca="1"/>
        <v>0</v>
      </c>
      <c r="DZK15">
        <f ca="1"/>
        <v>0</v>
      </c>
      <c r="DZL15">
        <f ca="1"/>
        <v>0</v>
      </c>
      <c r="DZM15">
        <f ca="1"/>
        <v>0</v>
      </c>
      <c r="DZN15">
        <f ca="1"/>
        <v>0</v>
      </c>
      <c r="DZO15">
        <f ca="1"/>
        <v>0</v>
      </c>
      <c r="DZP15">
        <f ca="1"/>
        <v>0</v>
      </c>
      <c r="DZQ15">
        <f ca="1"/>
        <v>0</v>
      </c>
      <c r="DZR15">
        <f ca="1"/>
        <v>0</v>
      </c>
      <c r="DZS15">
        <f ca="1"/>
        <v>0</v>
      </c>
      <c r="DZT15">
        <f ca="1"/>
        <v>0</v>
      </c>
      <c r="DZU15">
        <f ca="1"/>
        <v>0</v>
      </c>
      <c r="DZV15">
        <f ca="1"/>
        <v>0</v>
      </c>
      <c r="DZW15">
        <f ca="1"/>
        <v>0</v>
      </c>
      <c r="DZX15">
        <f ca="1"/>
        <v>0</v>
      </c>
      <c r="DZY15">
        <f ca="1"/>
        <v>0</v>
      </c>
      <c r="DZZ15">
        <f ca="1"/>
        <v>0</v>
      </c>
      <c r="EAA15">
        <f ca="1"/>
        <v>0</v>
      </c>
      <c r="EAB15">
        <f ca="1"/>
        <v>0</v>
      </c>
      <c r="EAC15">
        <f ca="1"/>
        <v>0</v>
      </c>
      <c r="EAD15">
        <f ca="1"/>
        <v>0</v>
      </c>
      <c r="EAE15">
        <f ca="1"/>
        <v>0</v>
      </c>
      <c r="EAF15">
        <f ca="1"/>
        <v>0</v>
      </c>
      <c r="EAG15">
        <f ca="1"/>
        <v>0</v>
      </c>
      <c r="EAH15">
        <f ca="1"/>
        <v>0</v>
      </c>
      <c r="EAI15">
        <f ca="1"/>
        <v>0</v>
      </c>
      <c r="EAJ15">
        <f ca="1"/>
        <v>0</v>
      </c>
      <c r="EAK15">
        <f ca="1"/>
        <v>0</v>
      </c>
      <c r="EAL15">
        <f ca="1"/>
        <v>0</v>
      </c>
      <c r="EAM15">
        <f ca="1"/>
        <v>0</v>
      </c>
      <c r="EAN15">
        <f ca="1"/>
        <v>0</v>
      </c>
      <c r="EAO15">
        <f ca="1"/>
        <v>0</v>
      </c>
      <c r="EAP15">
        <f ca="1"/>
        <v>0</v>
      </c>
      <c r="EAQ15">
        <f ca="1"/>
        <v>0</v>
      </c>
      <c r="EAR15">
        <f ca="1"/>
        <v>0</v>
      </c>
      <c r="EAS15">
        <f ca="1"/>
        <v>0</v>
      </c>
      <c r="EAT15">
        <f ca="1"/>
        <v>0</v>
      </c>
      <c r="EAU15">
        <f ca="1"/>
        <v>0</v>
      </c>
      <c r="EAV15">
        <f ca="1"/>
        <v>0</v>
      </c>
      <c r="EAW15">
        <f ca="1"/>
        <v>0</v>
      </c>
      <c r="EAX15">
        <f ca="1"/>
        <v>0</v>
      </c>
      <c r="EAY15">
        <f ca="1"/>
        <v>0</v>
      </c>
      <c r="EAZ15">
        <f ca="1"/>
        <v>0</v>
      </c>
      <c r="EBA15">
        <f ca="1"/>
        <v>0</v>
      </c>
      <c r="EBB15">
        <f ca="1"/>
        <v>0</v>
      </c>
      <c r="EBC15">
        <f ca="1"/>
        <v>0</v>
      </c>
      <c r="EBD15">
        <f ca="1"/>
        <v>0</v>
      </c>
      <c r="EBE15">
        <f ca="1"/>
        <v>0</v>
      </c>
      <c r="EBF15">
        <f ca="1"/>
        <v>0</v>
      </c>
      <c r="EBG15">
        <f ca="1"/>
        <v>0</v>
      </c>
      <c r="EBH15">
        <f ca="1"/>
        <v>0</v>
      </c>
      <c r="EBI15">
        <f ca="1"/>
        <v>0</v>
      </c>
      <c r="EBJ15">
        <f ca="1"/>
        <v>0</v>
      </c>
      <c r="EBK15">
        <f ca="1"/>
        <v>0</v>
      </c>
      <c r="EBL15">
        <f ca="1"/>
        <v>0</v>
      </c>
      <c r="EBM15">
        <f ca="1"/>
        <v>0</v>
      </c>
      <c r="EBN15">
        <f ca="1"/>
        <v>0</v>
      </c>
      <c r="EBO15">
        <f ca="1"/>
        <v>0</v>
      </c>
      <c r="EBP15">
        <f ca="1"/>
        <v>0</v>
      </c>
      <c r="EBQ15">
        <f ca="1"/>
        <v>0</v>
      </c>
      <c r="EBR15">
        <f ca="1"/>
        <v>0</v>
      </c>
      <c r="EBS15">
        <f ca="1"/>
        <v>0</v>
      </c>
      <c r="EBT15">
        <f ca="1"/>
        <v>0</v>
      </c>
      <c r="EBU15">
        <f ca="1"/>
        <v>0</v>
      </c>
      <c r="EBV15">
        <f ca="1"/>
        <v>0</v>
      </c>
      <c r="EBW15">
        <f ca="1"/>
        <v>0</v>
      </c>
      <c r="EBX15">
        <f ca="1"/>
        <v>0</v>
      </c>
      <c r="EBY15">
        <f ca="1"/>
        <v>0</v>
      </c>
      <c r="EBZ15">
        <f ca="1"/>
        <v>0</v>
      </c>
      <c r="ECA15">
        <f ca="1"/>
        <v>0</v>
      </c>
      <c r="ECB15">
        <f ca="1"/>
        <v>0</v>
      </c>
      <c r="ECC15">
        <f ca="1"/>
        <v>0</v>
      </c>
      <c r="ECD15">
        <f ca="1"/>
        <v>0</v>
      </c>
      <c r="ECE15">
        <f ca="1"/>
        <v>0</v>
      </c>
      <c r="ECF15">
        <f ca="1"/>
        <v>0</v>
      </c>
      <c r="ECG15">
        <f ca="1"/>
        <v>0</v>
      </c>
      <c r="ECH15">
        <f ca="1"/>
        <v>0</v>
      </c>
      <c r="ECI15">
        <f ca="1"/>
        <v>0</v>
      </c>
      <c r="ECJ15">
        <f ca="1"/>
        <v>0</v>
      </c>
      <c r="ECK15">
        <f ca="1"/>
        <v>0</v>
      </c>
      <c r="ECL15">
        <f ca="1"/>
        <v>0</v>
      </c>
      <c r="ECM15">
        <f ca="1"/>
        <v>0</v>
      </c>
      <c r="ECN15">
        <f ca="1"/>
        <v>0</v>
      </c>
      <c r="ECO15">
        <f ca="1"/>
        <v>0</v>
      </c>
      <c r="ECP15">
        <f ca="1"/>
        <v>0</v>
      </c>
      <c r="ECQ15">
        <f ca="1"/>
        <v>0</v>
      </c>
      <c r="ECR15">
        <f ca="1"/>
        <v>0</v>
      </c>
      <c r="ECS15">
        <f ca="1"/>
        <v>0</v>
      </c>
      <c r="ECT15">
        <f ca="1"/>
        <v>0</v>
      </c>
      <c r="ECU15">
        <f ca="1"/>
        <v>0</v>
      </c>
      <c r="ECV15">
        <f ca="1"/>
        <v>0</v>
      </c>
      <c r="ECW15">
        <f ca="1"/>
        <v>0</v>
      </c>
      <c r="ECX15">
        <f ca="1"/>
        <v>0</v>
      </c>
      <c r="ECY15">
        <f ca="1"/>
        <v>0</v>
      </c>
      <c r="ECZ15">
        <f ca="1"/>
        <v>0</v>
      </c>
      <c r="EDA15">
        <f ca="1"/>
        <v>0</v>
      </c>
      <c r="EDB15">
        <f ca="1"/>
        <v>0</v>
      </c>
      <c r="EDC15">
        <f ca="1"/>
        <v>0</v>
      </c>
      <c r="EDD15">
        <f ca="1"/>
        <v>0</v>
      </c>
      <c r="EDE15">
        <f ca="1"/>
        <v>0</v>
      </c>
      <c r="EDF15">
        <f ca="1"/>
        <v>0</v>
      </c>
      <c r="EDG15">
        <f ca="1"/>
        <v>0</v>
      </c>
      <c r="EDH15">
        <f ca="1"/>
        <v>0</v>
      </c>
      <c r="EDI15">
        <f ca="1"/>
        <v>0</v>
      </c>
      <c r="EDJ15">
        <f ca="1"/>
        <v>0</v>
      </c>
      <c r="EDK15">
        <f ca="1"/>
        <v>0</v>
      </c>
      <c r="EDL15">
        <f ca="1"/>
        <v>0</v>
      </c>
      <c r="EDM15">
        <f ca="1"/>
        <v>0</v>
      </c>
      <c r="EDN15">
        <f ca="1"/>
        <v>0</v>
      </c>
      <c r="EDO15">
        <f ca="1"/>
        <v>0</v>
      </c>
      <c r="EDP15">
        <f ca="1"/>
        <v>0</v>
      </c>
      <c r="EDQ15">
        <f ca="1"/>
        <v>0</v>
      </c>
      <c r="EDR15">
        <f ca="1"/>
        <v>0</v>
      </c>
      <c r="EDS15">
        <f ca="1"/>
        <v>0</v>
      </c>
      <c r="EDT15">
        <f ca="1"/>
        <v>0</v>
      </c>
      <c r="EDU15">
        <f ca="1"/>
        <v>0</v>
      </c>
      <c r="EDV15">
        <f ca="1"/>
        <v>0</v>
      </c>
      <c r="EDW15">
        <f ca="1"/>
        <v>0</v>
      </c>
      <c r="EDX15">
        <f ca="1"/>
        <v>0</v>
      </c>
      <c r="EDY15">
        <f ca="1"/>
        <v>0</v>
      </c>
      <c r="EDZ15">
        <f ca="1"/>
        <v>0</v>
      </c>
      <c r="EEA15">
        <f ca="1"/>
        <v>0</v>
      </c>
      <c r="EEB15">
        <f ca="1"/>
        <v>0</v>
      </c>
      <c r="EEC15">
        <f ca="1"/>
        <v>0</v>
      </c>
      <c r="EED15">
        <f ca="1"/>
        <v>0</v>
      </c>
      <c r="EEE15">
        <f ca="1"/>
        <v>0</v>
      </c>
      <c r="EEF15">
        <f ca="1"/>
        <v>0</v>
      </c>
      <c r="EEG15">
        <f ca="1"/>
        <v>0</v>
      </c>
      <c r="EEH15">
        <f ca="1"/>
        <v>0</v>
      </c>
      <c r="EEI15">
        <f ca="1"/>
        <v>0</v>
      </c>
      <c r="EEJ15">
        <f ca="1"/>
        <v>0</v>
      </c>
      <c r="EEK15">
        <f ca="1"/>
        <v>0</v>
      </c>
      <c r="EEL15">
        <f ca="1"/>
        <v>0</v>
      </c>
      <c r="EEM15">
        <f ca="1"/>
        <v>0</v>
      </c>
      <c r="EEN15">
        <f ca="1"/>
        <v>0</v>
      </c>
      <c r="EEO15">
        <f ca="1"/>
        <v>0</v>
      </c>
      <c r="EEP15">
        <f ca="1"/>
        <v>0</v>
      </c>
      <c r="EEQ15">
        <f ca="1"/>
        <v>0</v>
      </c>
      <c r="EER15">
        <f ca="1"/>
        <v>0</v>
      </c>
      <c r="EES15">
        <f ca="1"/>
        <v>0</v>
      </c>
      <c r="EET15">
        <f ca="1"/>
        <v>0</v>
      </c>
      <c r="EEU15">
        <f ca="1"/>
        <v>0</v>
      </c>
      <c r="EEV15">
        <f ca="1"/>
        <v>0</v>
      </c>
      <c r="EEW15">
        <f ca="1"/>
        <v>0</v>
      </c>
      <c r="EEX15">
        <f ca="1"/>
        <v>0</v>
      </c>
      <c r="EEY15">
        <f ca="1"/>
        <v>0</v>
      </c>
      <c r="EEZ15">
        <f ca="1"/>
        <v>0</v>
      </c>
      <c r="EFA15">
        <f ca="1"/>
        <v>0</v>
      </c>
      <c r="EFB15">
        <f ca="1"/>
        <v>0</v>
      </c>
      <c r="EFC15">
        <f ca="1"/>
        <v>0</v>
      </c>
      <c r="EFD15">
        <f ca="1"/>
        <v>0</v>
      </c>
      <c r="EFE15">
        <f ca="1"/>
        <v>0</v>
      </c>
      <c r="EFF15">
        <f ca="1"/>
        <v>0</v>
      </c>
      <c r="EFG15">
        <f ca="1"/>
        <v>0</v>
      </c>
      <c r="EFH15">
        <f ca="1"/>
        <v>0</v>
      </c>
      <c r="EFI15">
        <f ca="1"/>
        <v>0</v>
      </c>
      <c r="EFJ15">
        <f ca="1"/>
        <v>0</v>
      </c>
      <c r="EFK15">
        <f ca="1"/>
        <v>0</v>
      </c>
      <c r="EFL15">
        <f ca="1"/>
        <v>0</v>
      </c>
      <c r="EFM15">
        <f ca="1"/>
        <v>0</v>
      </c>
      <c r="EFN15">
        <f ca="1"/>
        <v>0</v>
      </c>
      <c r="EFO15">
        <f ca="1"/>
        <v>0</v>
      </c>
      <c r="EFP15">
        <f ca="1"/>
        <v>0</v>
      </c>
      <c r="EFQ15">
        <f ca="1"/>
        <v>0</v>
      </c>
      <c r="EFR15">
        <f ca="1"/>
        <v>0</v>
      </c>
      <c r="EFS15">
        <f ca="1"/>
        <v>0</v>
      </c>
      <c r="EFT15">
        <f ca="1"/>
        <v>0</v>
      </c>
      <c r="EFU15">
        <f ca="1"/>
        <v>0</v>
      </c>
      <c r="EFV15">
        <f ca="1"/>
        <v>0</v>
      </c>
      <c r="EFW15">
        <f ca="1"/>
        <v>0</v>
      </c>
      <c r="EFX15">
        <f ca="1"/>
        <v>0</v>
      </c>
      <c r="EFY15">
        <f ca="1"/>
        <v>0</v>
      </c>
      <c r="EFZ15">
        <f ca="1"/>
        <v>0</v>
      </c>
      <c r="EGA15">
        <f ca="1"/>
        <v>0</v>
      </c>
      <c r="EGB15">
        <f ca="1"/>
        <v>0</v>
      </c>
      <c r="EGC15">
        <f ca="1"/>
        <v>0</v>
      </c>
      <c r="EGD15">
        <f ca="1"/>
        <v>0</v>
      </c>
      <c r="EGE15">
        <f ca="1"/>
        <v>0</v>
      </c>
      <c r="EGF15">
        <f ca="1"/>
        <v>0</v>
      </c>
      <c r="EGG15">
        <f ca="1"/>
        <v>0</v>
      </c>
      <c r="EGH15">
        <f ca="1"/>
        <v>0</v>
      </c>
      <c r="EGI15">
        <f ca="1"/>
        <v>0</v>
      </c>
      <c r="EGJ15">
        <f ca="1"/>
        <v>0</v>
      </c>
      <c r="EGK15">
        <f ca="1"/>
        <v>0</v>
      </c>
      <c r="EGL15">
        <f ca="1"/>
        <v>0</v>
      </c>
      <c r="EGM15">
        <f ca="1"/>
        <v>0</v>
      </c>
      <c r="EGN15">
        <f ca="1"/>
        <v>0</v>
      </c>
      <c r="EGO15">
        <f ca="1"/>
        <v>0</v>
      </c>
      <c r="EGP15">
        <f ca="1"/>
        <v>0</v>
      </c>
      <c r="EGQ15">
        <f ca="1"/>
        <v>0</v>
      </c>
      <c r="EGR15">
        <f ca="1"/>
        <v>0</v>
      </c>
      <c r="EGS15">
        <f ca="1"/>
        <v>0</v>
      </c>
      <c r="EGT15">
        <f ca="1"/>
        <v>0</v>
      </c>
      <c r="EGU15">
        <f ca="1"/>
        <v>0</v>
      </c>
      <c r="EGV15">
        <f ca="1"/>
        <v>0</v>
      </c>
      <c r="EGW15">
        <f ca="1"/>
        <v>0</v>
      </c>
      <c r="EGX15">
        <f ca="1"/>
        <v>0</v>
      </c>
      <c r="EGY15">
        <f ca="1"/>
        <v>0</v>
      </c>
      <c r="EGZ15">
        <f ca="1"/>
        <v>0</v>
      </c>
      <c r="EHA15">
        <f ca="1"/>
        <v>0</v>
      </c>
      <c r="EHB15">
        <f ca="1"/>
        <v>0</v>
      </c>
      <c r="EHC15">
        <f ca="1"/>
        <v>0</v>
      </c>
      <c r="EHD15">
        <f ca="1"/>
        <v>0</v>
      </c>
      <c r="EHE15">
        <f ca="1"/>
        <v>0</v>
      </c>
      <c r="EHF15">
        <f ca="1"/>
        <v>0</v>
      </c>
      <c r="EHG15">
        <f ca="1"/>
        <v>0</v>
      </c>
      <c r="EHH15">
        <f ca="1"/>
        <v>0</v>
      </c>
      <c r="EHI15">
        <f ca="1"/>
        <v>0</v>
      </c>
      <c r="EHJ15">
        <f ca="1"/>
        <v>0</v>
      </c>
      <c r="EHK15">
        <f ca="1"/>
        <v>0</v>
      </c>
      <c r="EHL15">
        <f ca="1"/>
        <v>0</v>
      </c>
      <c r="EHM15">
        <f ca="1"/>
        <v>0</v>
      </c>
      <c r="EHN15">
        <f ca="1"/>
        <v>0</v>
      </c>
      <c r="EHO15">
        <f ca="1"/>
        <v>0</v>
      </c>
      <c r="EHP15">
        <f ca="1"/>
        <v>0</v>
      </c>
      <c r="EHQ15">
        <f ca="1"/>
        <v>0</v>
      </c>
      <c r="EHR15">
        <f ca="1"/>
        <v>0</v>
      </c>
      <c r="EHS15">
        <f ca="1"/>
        <v>0</v>
      </c>
      <c r="EHT15">
        <f ca="1"/>
        <v>0</v>
      </c>
      <c r="EHU15">
        <f ca="1"/>
        <v>0</v>
      </c>
      <c r="EHV15">
        <f ca="1"/>
        <v>0</v>
      </c>
      <c r="EHW15">
        <f ca="1"/>
        <v>0</v>
      </c>
      <c r="EHX15">
        <f ca="1"/>
        <v>0</v>
      </c>
      <c r="EHY15">
        <f ca="1"/>
        <v>0</v>
      </c>
      <c r="EHZ15">
        <f ca="1"/>
        <v>0</v>
      </c>
      <c r="EIA15">
        <f ca="1"/>
        <v>0</v>
      </c>
      <c r="EIB15">
        <f ca="1"/>
        <v>0</v>
      </c>
      <c r="EIC15">
        <f ca="1"/>
        <v>0</v>
      </c>
      <c r="EID15">
        <f ca="1"/>
        <v>0</v>
      </c>
      <c r="EIE15">
        <f ca="1"/>
        <v>0</v>
      </c>
      <c r="EIF15">
        <f ca="1"/>
        <v>0</v>
      </c>
      <c r="EIG15">
        <f ca="1"/>
        <v>0</v>
      </c>
      <c r="EIH15">
        <f ca="1"/>
        <v>0</v>
      </c>
      <c r="EII15">
        <f ca="1"/>
        <v>0</v>
      </c>
      <c r="EIJ15">
        <f ca="1"/>
        <v>0</v>
      </c>
      <c r="EIK15">
        <f ca="1"/>
        <v>0</v>
      </c>
      <c r="EIL15">
        <f ca="1"/>
        <v>0</v>
      </c>
      <c r="EIM15">
        <f ca="1"/>
        <v>0</v>
      </c>
      <c r="EIN15">
        <f ca="1"/>
        <v>0</v>
      </c>
      <c r="EIO15">
        <f ca="1"/>
        <v>0</v>
      </c>
      <c r="EIP15">
        <f ca="1"/>
        <v>0</v>
      </c>
      <c r="EIQ15">
        <f ca="1"/>
        <v>0</v>
      </c>
      <c r="EIR15">
        <f ca="1"/>
        <v>0</v>
      </c>
      <c r="EIS15">
        <f ca="1"/>
        <v>0</v>
      </c>
      <c r="EIT15">
        <f ca="1"/>
        <v>0</v>
      </c>
      <c r="EIU15">
        <f ca="1"/>
        <v>0</v>
      </c>
      <c r="EIV15">
        <f ca="1"/>
        <v>0</v>
      </c>
      <c r="EIW15">
        <f ca="1"/>
        <v>0</v>
      </c>
      <c r="EIX15">
        <f ca="1"/>
        <v>0</v>
      </c>
      <c r="EIY15">
        <f ca="1"/>
        <v>0</v>
      </c>
      <c r="EIZ15">
        <f ca="1"/>
        <v>0</v>
      </c>
      <c r="EJA15">
        <f ca="1"/>
        <v>0</v>
      </c>
      <c r="EJB15">
        <f ca="1"/>
        <v>0</v>
      </c>
      <c r="EJC15">
        <f ca="1"/>
        <v>0</v>
      </c>
      <c r="EJD15">
        <f ca="1"/>
        <v>0</v>
      </c>
      <c r="EJE15">
        <f ca="1"/>
        <v>0</v>
      </c>
      <c r="EJF15">
        <f ca="1"/>
        <v>0</v>
      </c>
      <c r="EJG15">
        <f ca="1"/>
        <v>0</v>
      </c>
      <c r="EJH15">
        <f ca="1"/>
        <v>0</v>
      </c>
      <c r="EJI15">
        <f ca="1"/>
        <v>0</v>
      </c>
      <c r="EJJ15">
        <f ca="1"/>
        <v>0</v>
      </c>
      <c r="EJK15">
        <f ca="1"/>
        <v>0</v>
      </c>
      <c r="EJL15">
        <f ca="1"/>
        <v>0</v>
      </c>
      <c r="EJM15">
        <f ca="1"/>
        <v>0</v>
      </c>
      <c r="EJN15">
        <f ca="1"/>
        <v>0</v>
      </c>
      <c r="EJO15">
        <f ca="1"/>
        <v>0</v>
      </c>
      <c r="EJP15">
        <f ca="1"/>
        <v>0</v>
      </c>
      <c r="EJQ15">
        <f ca="1"/>
        <v>0</v>
      </c>
      <c r="EJR15">
        <f ca="1"/>
        <v>0</v>
      </c>
      <c r="EJS15">
        <f ca="1"/>
        <v>0</v>
      </c>
      <c r="EJT15">
        <f ca="1"/>
        <v>0</v>
      </c>
      <c r="EJU15">
        <f ca="1"/>
        <v>0</v>
      </c>
      <c r="EJV15">
        <f ca="1"/>
        <v>0</v>
      </c>
      <c r="EJW15">
        <f ca="1"/>
        <v>0</v>
      </c>
      <c r="EJX15">
        <f ca="1"/>
        <v>0</v>
      </c>
      <c r="EJY15">
        <f ca="1"/>
        <v>0</v>
      </c>
      <c r="EJZ15">
        <f ca="1"/>
        <v>0</v>
      </c>
      <c r="EKA15">
        <f ca="1"/>
        <v>0</v>
      </c>
      <c r="EKB15">
        <f ca="1"/>
        <v>0</v>
      </c>
      <c r="EKC15">
        <f ca="1"/>
        <v>0</v>
      </c>
      <c r="EKD15">
        <f ca="1"/>
        <v>0</v>
      </c>
      <c r="EKE15">
        <f ca="1"/>
        <v>0</v>
      </c>
      <c r="EKF15">
        <f ca="1"/>
        <v>0</v>
      </c>
      <c r="EKG15">
        <f ca="1"/>
        <v>0</v>
      </c>
      <c r="EKH15">
        <f ca="1"/>
        <v>0</v>
      </c>
      <c r="EKI15">
        <f ca="1"/>
        <v>0</v>
      </c>
      <c r="EKJ15">
        <f ca="1"/>
        <v>0</v>
      </c>
      <c r="EKK15">
        <f ca="1"/>
        <v>0</v>
      </c>
      <c r="EKL15">
        <f ca="1"/>
        <v>0</v>
      </c>
      <c r="EKM15">
        <f ca="1"/>
        <v>0</v>
      </c>
      <c r="EKN15">
        <f ca="1"/>
        <v>0</v>
      </c>
      <c r="EKO15">
        <f ca="1"/>
        <v>0</v>
      </c>
      <c r="EKP15">
        <f ca="1"/>
        <v>0</v>
      </c>
      <c r="EKQ15">
        <f ca="1"/>
        <v>0</v>
      </c>
      <c r="EKR15">
        <f ca="1"/>
        <v>0</v>
      </c>
      <c r="EKS15">
        <f ca="1"/>
        <v>0</v>
      </c>
      <c r="EKT15">
        <f ca="1"/>
        <v>0</v>
      </c>
      <c r="EKU15">
        <f ca="1"/>
        <v>0</v>
      </c>
      <c r="EKV15">
        <f ca="1"/>
        <v>0</v>
      </c>
      <c r="EKW15">
        <f ca="1"/>
        <v>0</v>
      </c>
      <c r="EKX15">
        <f ca="1"/>
        <v>0</v>
      </c>
      <c r="EKY15">
        <f ca="1"/>
        <v>0</v>
      </c>
      <c r="EKZ15">
        <f ca="1"/>
        <v>0</v>
      </c>
      <c r="ELA15">
        <f ca="1"/>
        <v>0</v>
      </c>
      <c r="ELB15">
        <f ca="1"/>
        <v>0</v>
      </c>
      <c r="ELC15">
        <f ca="1"/>
        <v>0</v>
      </c>
      <c r="ELD15">
        <f ca="1"/>
        <v>0</v>
      </c>
      <c r="ELE15">
        <f ca="1"/>
        <v>0</v>
      </c>
      <c r="ELF15">
        <f ca="1"/>
        <v>0</v>
      </c>
      <c r="ELG15">
        <f ca="1"/>
        <v>0</v>
      </c>
      <c r="ELH15">
        <f ca="1"/>
        <v>0</v>
      </c>
      <c r="ELI15">
        <f ca="1"/>
        <v>0</v>
      </c>
      <c r="ELJ15">
        <f ca="1"/>
        <v>0</v>
      </c>
      <c r="ELK15">
        <f ca="1"/>
        <v>0</v>
      </c>
      <c r="ELL15">
        <f ca="1"/>
        <v>0</v>
      </c>
      <c r="ELM15">
        <f ca="1"/>
        <v>0</v>
      </c>
      <c r="ELN15">
        <f ca="1"/>
        <v>0</v>
      </c>
      <c r="ELO15">
        <f ca="1"/>
        <v>0</v>
      </c>
      <c r="ELP15">
        <f ca="1"/>
        <v>0</v>
      </c>
      <c r="ELQ15">
        <f ca="1"/>
        <v>0</v>
      </c>
      <c r="ELR15">
        <f ca="1"/>
        <v>0</v>
      </c>
      <c r="ELS15">
        <f ca="1"/>
        <v>0</v>
      </c>
      <c r="ELT15">
        <f ca="1"/>
        <v>0</v>
      </c>
      <c r="ELU15">
        <f ca="1"/>
        <v>0</v>
      </c>
      <c r="ELV15">
        <f ca="1"/>
        <v>0</v>
      </c>
      <c r="ELW15">
        <f ca="1"/>
        <v>0</v>
      </c>
      <c r="ELX15">
        <f ca="1"/>
        <v>0</v>
      </c>
      <c r="ELY15">
        <f ca="1"/>
        <v>0</v>
      </c>
      <c r="ELZ15">
        <f ca="1"/>
        <v>0</v>
      </c>
      <c r="EMA15">
        <f ca="1"/>
        <v>0</v>
      </c>
      <c r="EMB15">
        <f ca="1"/>
        <v>0</v>
      </c>
      <c r="EMC15">
        <f ca="1"/>
        <v>0</v>
      </c>
      <c r="EMD15">
        <f ca="1"/>
        <v>0</v>
      </c>
      <c r="EME15">
        <f ca="1"/>
        <v>0</v>
      </c>
      <c r="EMF15">
        <f ca="1"/>
        <v>0</v>
      </c>
      <c r="EMG15">
        <f ca="1"/>
        <v>0</v>
      </c>
      <c r="EMH15">
        <f ca="1"/>
        <v>0</v>
      </c>
      <c r="EMI15">
        <f ca="1"/>
        <v>0</v>
      </c>
      <c r="EMJ15">
        <f ca="1"/>
        <v>0</v>
      </c>
      <c r="EMK15">
        <f ca="1"/>
        <v>0</v>
      </c>
      <c r="EML15">
        <f ca="1"/>
        <v>0</v>
      </c>
      <c r="EMM15">
        <f ca="1"/>
        <v>0</v>
      </c>
      <c r="EMN15">
        <f ca="1"/>
        <v>0</v>
      </c>
      <c r="EMO15">
        <f ca="1"/>
        <v>0</v>
      </c>
      <c r="EMP15">
        <f ca="1"/>
        <v>0</v>
      </c>
      <c r="EMQ15">
        <f ca="1"/>
        <v>0</v>
      </c>
      <c r="EMR15">
        <f ca="1"/>
        <v>0</v>
      </c>
      <c r="EMS15">
        <f ca="1"/>
        <v>0</v>
      </c>
      <c r="EMT15">
        <f ca="1"/>
        <v>0</v>
      </c>
      <c r="EMU15">
        <f ca="1"/>
        <v>0</v>
      </c>
      <c r="EMV15">
        <f ca="1"/>
        <v>0</v>
      </c>
      <c r="EMW15">
        <f ca="1"/>
        <v>0</v>
      </c>
      <c r="EMX15">
        <f ca="1"/>
        <v>0</v>
      </c>
      <c r="EMY15">
        <f ca="1"/>
        <v>0</v>
      </c>
      <c r="EMZ15">
        <f ca="1"/>
        <v>0</v>
      </c>
      <c r="ENA15">
        <f ca="1"/>
        <v>0</v>
      </c>
      <c r="ENB15">
        <f ca="1"/>
        <v>0</v>
      </c>
      <c r="ENC15">
        <f ca="1"/>
        <v>0</v>
      </c>
      <c r="END15">
        <f ca="1"/>
        <v>0</v>
      </c>
      <c r="ENE15">
        <f ca="1"/>
        <v>0</v>
      </c>
      <c r="ENF15">
        <f ca="1"/>
        <v>0</v>
      </c>
      <c r="ENG15">
        <f ca="1"/>
        <v>0</v>
      </c>
      <c r="ENH15">
        <f ca="1"/>
        <v>0</v>
      </c>
      <c r="ENI15">
        <f ca="1"/>
        <v>0</v>
      </c>
      <c r="ENJ15">
        <f ca="1"/>
        <v>0</v>
      </c>
      <c r="ENK15">
        <f ca="1"/>
        <v>0</v>
      </c>
      <c r="ENL15">
        <f ca="1"/>
        <v>0</v>
      </c>
      <c r="ENM15">
        <f ca="1"/>
        <v>0</v>
      </c>
      <c r="ENN15">
        <f ca="1"/>
        <v>0</v>
      </c>
      <c r="ENO15">
        <f ca="1"/>
        <v>0</v>
      </c>
      <c r="ENP15">
        <f ca="1"/>
        <v>0</v>
      </c>
      <c r="ENQ15">
        <f ca="1"/>
        <v>0</v>
      </c>
      <c r="ENR15">
        <f ca="1"/>
        <v>0</v>
      </c>
      <c r="ENS15">
        <f ca="1"/>
        <v>0</v>
      </c>
      <c r="ENT15">
        <f ca="1"/>
        <v>0</v>
      </c>
      <c r="ENU15">
        <f ca="1"/>
        <v>0</v>
      </c>
      <c r="ENV15">
        <f ca="1"/>
        <v>0</v>
      </c>
      <c r="ENW15">
        <f ca="1"/>
        <v>0</v>
      </c>
      <c r="ENX15">
        <f ca="1"/>
        <v>0</v>
      </c>
      <c r="ENY15">
        <f ca="1"/>
        <v>0</v>
      </c>
      <c r="ENZ15">
        <f ca="1"/>
        <v>0</v>
      </c>
      <c r="EOA15">
        <f ca="1"/>
        <v>0</v>
      </c>
      <c r="EOB15">
        <f ca="1"/>
        <v>0</v>
      </c>
      <c r="EOC15">
        <f ca="1"/>
        <v>0</v>
      </c>
      <c r="EOD15">
        <f ca="1"/>
        <v>0</v>
      </c>
      <c r="EOE15">
        <f ca="1"/>
        <v>0</v>
      </c>
      <c r="EOF15">
        <f ca="1"/>
        <v>0</v>
      </c>
      <c r="EOG15">
        <f ca="1"/>
        <v>0</v>
      </c>
      <c r="EOH15">
        <f ca="1"/>
        <v>0</v>
      </c>
      <c r="EOI15">
        <f ca="1"/>
        <v>0</v>
      </c>
      <c r="EOJ15">
        <f ca="1"/>
        <v>0</v>
      </c>
      <c r="EOK15">
        <f ca="1"/>
        <v>0</v>
      </c>
      <c r="EOL15">
        <f ca="1"/>
        <v>0</v>
      </c>
      <c r="EOM15">
        <f ca="1"/>
        <v>0</v>
      </c>
      <c r="EON15">
        <f ca="1"/>
        <v>0</v>
      </c>
      <c r="EOO15">
        <f ca="1"/>
        <v>0</v>
      </c>
      <c r="EOP15">
        <f ca="1"/>
        <v>0</v>
      </c>
      <c r="EOQ15">
        <f ca="1"/>
        <v>0</v>
      </c>
      <c r="EOR15">
        <f ca="1"/>
        <v>0</v>
      </c>
      <c r="EOS15">
        <f ca="1"/>
        <v>0</v>
      </c>
      <c r="EOT15">
        <f ca="1"/>
        <v>0</v>
      </c>
      <c r="EOU15">
        <f ca="1"/>
        <v>0</v>
      </c>
      <c r="EOV15">
        <f ca="1"/>
        <v>0</v>
      </c>
      <c r="EOW15">
        <f ca="1"/>
        <v>0</v>
      </c>
      <c r="EOX15">
        <f ca="1"/>
        <v>0</v>
      </c>
      <c r="EOY15">
        <f ca="1"/>
        <v>0</v>
      </c>
      <c r="EOZ15">
        <f ca="1"/>
        <v>0</v>
      </c>
      <c r="EPA15">
        <f ca="1"/>
        <v>0</v>
      </c>
      <c r="EPB15">
        <f ca="1"/>
        <v>0</v>
      </c>
      <c r="EPC15">
        <f ca="1"/>
        <v>0</v>
      </c>
      <c r="EPD15">
        <f ca="1"/>
        <v>0</v>
      </c>
      <c r="EPE15">
        <f ca="1"/>
        <v>0</v>
      </c>
      <c r="EPF15">
        <f ca="1"/>
        <v>0</v>
      </c>
      <c r="EPG15">
        <f ca="1"/>
        <v>0</v>
      </c>
      <c r="EPH15">
        <f ca="1"/>
        <v>0</v>
      </c>
      <c r="EPI15">
        <f ca="1"/>
        <v>0</v>
      </c>
      <c r="EPJ15">
        <f ca="1"/>
        <v>0</v>
      </c>
      <c r="EPK15">
        <f ca="1"/>
        <v>0</v>
      </c>
      <c r="EPL15">
        <f ca="1"/>
        <v>0</v>
      </c>
      <c r="EPM15">
        <f ca="1"/>
        <v>0</v>
      </c>
      <c r="EPN15">
        <f ca="1"/>
        <v>0</v>
      </c>
      <c r="EPO15">
        <f ca="1"/>
        <v>0</v>
      </c>
      <c r="EPP15">
        <f ca="1"/>
        <v>0</v>
      </c>
      <c r="EPQ15">
        <f ca="1"/>
        <v>0</v>
      </c>
      <c r="EPR15">
        <f ca="1"/>
        <v>0</v>
      </c>
      <c r="EPS15">
        <f ca="1"/>
        <v>0</v>
      </c>
      <c r="EPT15">
        <f ca="1"/>
        <v>0</v>
      </c>
      <c r="EPU15">
        <f ca="1"/>
        <v>0</v>
      </c>
      <c r="EPV15">
        <f ca="1"/>
        <v>0</v>
      </c>
      <c r="EPW15">
        <f ca="1"/>
        <v>0</v>
      </c>
      <c r="EPX15">
        <f ca="1"/>
        <v>0</v>
      </c>
      <c r="EPY15">
        <f ca="1"/>
        <v>0</v>
      </c>
      <c r="EPZ15">
        <f ca="1"/>
        <v>0</v>
      </c>
      <c r="EQA15">
        <f ca="1"/>
        <v>0</v>
      </c>
      <c r="EQB15">
        <f ca="1"/>
        <v>0</v>
      </c>
      <c r="EQC15">
        <f ca="1"/>
        <v>0</v>
      </c>
      <c r="EQD15">
        <f ca="1"/>
        <v>0</v>
      </c>
      <c r="EQE15">
        <f ca="1"/>
        <v>0</v>
      </c>
      <c r="EQF15">
        <f ca="1"/>
        <v>0</v>
      </c>
      <c r="EQG15">
        <f ca="1"/>
        <v>0</v>
      </c>
      <c r="EQH15">
        <f ca="1"/>
        <v>0</v>
      </c>
      <c r="EQI15">
        <f ca="1"/>
        <v>0</v>
      </c>
      <c r="EQJ15">
        <f ca="1"/>
        <v>0</v>
      </c>
      <c r="EQK15">
        <f ca="1"/>
        <v>0</v>
      </c>
      <c r="EQL15">
        <f ca="1"/>
        <v>0</v>
      </c>
      <c r="EQM15">
        <f ca="1"/>
        <v>0</v>
      </c>
      <c r="EQN15">
        <f ca="1"/>
        <v>0</v>
      </c>
      <c r="EQO15">
        <f ca="1"/>
        <v>0</v>
      </c>
      <c r="EQP15">
        <f ca="1"/>
        <v>0</v>
      </c>
      <c r="EQQ15">
        <f ca="1"/>
        <v>0</v>
      </c>
      <c r="EQR15">
        <f ca="1"/>
        <v>0</v>
      </c>
      <c r="EQS15">
        <f ca="1"/>
        <v>0</v>
      </c>
      <c r="EQT15">
        <f ca="1"/>
        <v>0</v>
      </c>
      <c r="EQU15">
        <f ca="1"/>
        <v>0</v>
      </c>
      <c r="EQV15">
        <f ca="1"/>
        <v>0</v>
      </c>
      <c r="EQW15">
        <f ca="1"/>
        <v>0</v>
      </c>
      <c r="EQX15">
        <f ca="1"/>
        <v>0</v>
      </c>
      <c r="EQY15">
        <f ca="1"/>
        <v>0</v>
      </c>
      <c r="EQZ15">
        <f ca="1"/>
        <v>0</v>
      </c>
      <c r="ERA15">
        <f ca="1"/>
        <v>0</v>
      </c>
      <c r="ERB15">
        <f ca="1"/>
        <v>0</v>
      </c>
      <c r="ERC15">
        <f ca="1"/>
        <v>0</v>
      </c>
      <c r="ERD15">
        <f ca="1"/>
        <v>0</v>
      </c>
      <c r="ERE15">
        <f ca="1"/>
        <v>0</v>
      </c>
      <c r="ERF15">
        <f ca="1"/>
        <v>0</v>
      </c>
      <c r="ERG15">
        <f ca="1"/>
        <v>0</v>
      </c>
      <c r="ERH15">
        <f ca="1"/>
        <v>0</v>
      </c>
      <c r="ERI15">
        <f ca="1"/>
        <v>0</v>
      </c>
      <c r="ERJ15">
        <f ca="1"/>
        <v>0</v>
      </c>
      <c r="ERK15">
        <f ca="1"/>
        <v>0</v>
      </c>
      <c r="ERL15">
        <f ca="1"/>
        <v>0</v>
      </c>
      <c r="ERM15">
        <f ca="1"/>
        <v>0</v>
      </c>
      <c r="ERN15">
        <f ca="1"/>
        <v>0</v>
      </c>
      <c r="ERO15">
        <f ca="1"/>
        <v>0</v>
      </c>
      <c r="ERP15">
        <f ca="1"/>
        <v>0</v>
      </c>
      <c r="ERQ15">
        <f ca="1"/>
        <v>0</v>
      </c>
      <c r="ERR15">
        <f ca="1"/>
        <v>0</v>
      </c>
      <c r="ERS15">
        <f ca="1"/>
        <v>0</v>
      </c>
      <c r="ERT15">
        <f ca="1"/>
        <v>0</v>
      </c>
      <c r="ERU15">
        <f ca="1"/>
        <v>0</v>
      </c>
      <c r="ERV15">
        <f ca="1"/>
        <v>0</v>
      </c>
      <c r="ERW15">
        <f ca="1"/>
        <v>0</v>
      </c>
      <c r="ERX15">
        <f ca="1"/>
        <v>0</v>
      </c>
      <c r="ERY15">
        <f ca="1"/>
        <v>0</v>
      </c>
      <c r="ERZ15">
        <f ca="1"/>
        <v>0</v>
      </c>
      <c r="ESA15">
        <f ca="1"/>
        <v>0</v>
      </c>
      <c r="ESB15">
        <f ca="1"/>
        <v>0</v>
      </c>
      <c r="ESC15">
        <f ca="1"/>
        <v>0</v>
      </c>
      <c r="ESD15">
        <f ca="1"/>
        <v>0</v>
      </c>
      <c r="ESE15">
        <f ca="1"/>
        <v>0</v>
      </c>
      <c r="ESF15">
        <f ca="1"/>
        <v>0</v>
      </c>
      <c r="ESG15">
        <f ca="1"/>
        <v>0</v>
      </c>
      <c r="ESH15">
        <f ca="1"/>
        <v>0</v>
      </c>
      <c r="ESI15">
        <f ca="1"/>
        <v>0</v>
      </c>
      <c r="ESJ15">
        <f ca="1"/>
        <v>0</v>
      </c>
      <c r="ESK15">
        <f ca="1"/>
        <v>0</v>
      </c>
      <c r="ESL15">
        <f ca="1"/>
        <v>0</v>
      </c>
      <c r="ESM15">
        <f ca="1"/>
        <v>0</v>
      </c>
      <c r="ESN15">
        <f ca="1"/>
        <v>0</v>
      </c>
      <c r="ESO15">
        <f ca="1"/>
        <v>0</v>
      </c>
      <c r="ESP15">
        <f ca="1"/>
        <v>0</v>
      </c>
      <c r="ESQ15">
        <f ca="1"/>
        <v>0</v>
      </c>
      <c r="ESR15">
        <f ca="1"/>
        <v>0</v>
      </c>
      <c r="ESS15">
        <f ca="1"/>
        <v>0</v>
      </c>
      <c r="EST15">
        <f ca="1"/>
        <v>0</v>
      </c>
      <c r="ESU15">
        <f ca="1"/>
        <v>0</v>
      </c>
      <c r="ESV15">
        <f ca="1"/>
        <v>0</v>
      </c>
      <c r="ESW15">
        <f ca="1"/>
        <v>0</v>
      </c>
      <c r="ESX15">
        <f ca="1"/>
        <v>0</v>
      </c>
      <c r="ESY15">
        <f ca="1"/>
        <v>0</v>
      </c>
      <c r="ESZ15">
        <f ca="1"/>
        <v>0</v>
      </c>
      <c r="ETA15">
        <f ca="1"/>
        <v>0</v>
      </c>
      <c r="ETB15">
        <f ca="1"/>
        <v>0</v>
      </c>
      <c r="ETC15">
        <f ca="1"/>
        <v>0</v>
      </c>
      <c r="ETD15">
        <f ca="1"/>
        <v>0</v>
      </c>
      <c r="ETE15">
        <f ca="1"/>
        <v>0</v>
      </c>
      <c r="ETF15">
        <f ca="1"/>
        <v>0</v>
      </c>
      <c r="ETG15">
        <f ca="1"/>
        <v>0</v>
      </c>
      <c r="ETH15">
        <f ca="1"/>
        <v>0</v>
      </c>
      <c r="ETI15">
        <f ca="1"/>
        <v>0</v>
      </c>
      <c r="ETJ15">
        <f ca="1"/>
        <v>0</v>
      </c>
      <c r="ETK15">
        <f ca="1"/>
        <v>0</v>
      </c>
      <c r="ETL15">
        <f ca="1"/>
        <v>0</v>
      </c>
      <c r="ETM15">
        <f ca="1"/>
        <v>0</v>
      </c>
      <c r="ETN15">
        <f ca="1"/>
        <v>0</v>
      </c>
      <c r="ETO15">
        <f ca="1"/>
        <v>0</v>
      </c>
      <c r="ETP15">
        <f ca="1"/>
        <v>0</v>
      </c>
      <c r="ETQ15">
        <f ca="1"/>
        <v>0</v>
      </c>
      <c r="ETR15">
        <f ca="1"/>
        <v>0</v>
      </c>
      <c r="ETS15">
        <f ca="1"/>
        <v>0</v>
      </c>
      <c r="ETT15">
        <f ca="1"/>
        <v>0</v>
      </c>
      <c r="ETU15">
        <f ca="1"/>
        <v>0</v>
      </c>
      <c r="ETV15">
        <f ca="1"/>
        <v>0</v>
      </c>
      <c r="ETW15">
        <f ca="1"/>
        <v>0</v>
      </c>
      <c r="ETX15">
        <f ca="1"/>
        <v>0</v>
      </c>
      <c r="ETY15">
        <f ca="1"/>
        <v>0</v>
      </c>
      <c r="ETZ15">
        <f ca="1"/>
        <v>0</v>
      </c>
      <c r="EUA15">
        <f ca="1"/>
        <v>0</v>
      </c>
      <c r="EUB15">
        <f ca="1"/>
        <v>0</v>
      </c>
      <c r="EUC15">
        <f ca="1"/>
        <v>0</v>
      </c>
      <c r="EUD15">
        <f ca="1"/>
        <v>0</v>
      </c>
      <c r="EUE15">
        <f ca="1"/>
        <v>0</v>
      </c>
      <c r="EUF15">
        <f ca="1"/>
        <v>0</v>
      </c>
      <c r="EUG15">
        <f ca="1"/>
        <v>0</v>
      </c>
      <c r="EUH15">
        <f ca="1"/>
        <v>0</v>
      </c>
      <c r="EUI15">
        <f ca="1"/>
        <v>0</v>
      </c>
      <c r="EUJ15">
        <f ca="1"/>
        <v>0</v>
      </c>
      <c r="EUK15">
        <f ca="1"/>
        <v>0</v>
      </c>
      <c r="EUL15">
        <f ca="1"/>
        <v>0</v>
      </c>
      <c r="EUM15">
        <f ca="1"/>
        <v>0</v>
      </c>
      <c r="EUN15">
        <f ca="1"/>
        <v>0</v>
      </c>
      <c r="EUO15">
        <f ca="1"/>
        <v>0</v>
      </c>
      <c r="EUP15">
        <f ca="1"/>
        <v>0</v>
      </c>
      <c r="EUQ15">
        <f ca="1"/>
        <v>0</v>
      </c>
      <c r="EUR15">
        <f ca="1"/>
        <v>0</v>
      </c>
      <c r="EUS15">
        <f ca="1"/>
        <v>0</v>
      </c>
      <c r="EUT15">
        <f ca="1"/>
        <v>0</v>
      </c>
      <c r="EUU15">
        <f ca="1"/>
        <v>0</v>
      </c>
      <c r="EUV15">
        <f ca="1"/>
        <v>0</v>
      </c>
      <c r="EUW15">
        <f ca="1"/>
        <v>0</v>
      </c>
      <c r="EUX15">
        <f ca="1"/>
        <v>0</v>
      </c>
      <c r="EUY15">
        <f ca="1"/>
        <v>0</v>
      </c>
      <c r="EUZ15">
        <f ca="1"/>
        <v>0</v>
      </c>
      <c r="EVA15">
        <f ca="1"/>
        <v>0</v>
      </c>
      <c r="EVB15">
        <f ca="1"/>
        <v>0</v>
      </c>
      <c r="EVC15">
        <f ca="1"/>
        <v>0</v>
      </c>
      <c r="EVD15">
        <f ca="1"/>
        <v>0</v>
      </c>
      <c r="EVE15">
        <f ca="1"/>
        <v>0</v>
      </c>
      <c r="EVF15">
        <f ca="1"/>
        <v>0</v>
      </c>
      <c r="EVG15">
        <f ca="1"/>
        <v>0</v>
      </c>
      <c r="EVH15">
        <f ca="1"/>
        <v>0</v>
      </c>
      <c r="EVI15">
        <f ca="1"/>
        <v>0</v>
      </c>
      <c r="EVJ15">
        <f ca="1"/>
        <v>0</v>
      </c>
      <c r="EVK15">
        <f ca="1"/>
        <v>0</v>
      </c>
      <c r="EVL15">
        <f ca="1"/>
        <v>0</v>
      </c>
      <c r="EVM15">
        <f ca="1"/>
        <v>0</v>
      </c>
      <c r="EVN15">
        <f ca="1"/>
        <v>0</v>
      </c>
      <c r="EVO15">
        <f ca="1"/>
        <v>0</v>
      </c>
      <c r="EVP15">
        <f ca="1"/>
        <v>0</v>
      </c>
      <c r="EVQ15">
        <f ca="1"/>
        <v>0</v>
      </c>
      <c r="EVR15">
        <f ca="1"/>
        <v>0</v>
      </c>
      <c r="EVS15">
        <f ca="1"/>
        <v>0</v>
      </c>
      <c r="EVT15">
        <f ca="1"/>
        <v>0</v>
      </c>
      <c r="EVU15">
        <f ca="1"/>
        <v>0</v>
      </c>
      <c r="EVV15">
        <f ca="1"/>
        <v>0</v>
      </c>
      <c r="EVW15">
        <f ca="1"/>
        <v>0</v>
      </c>
      <c r="EVX15">
        <f ca="1"/>
        <v>0</v>
      </c>
      <c r="EVY15">
        <f ca="1"/>
        <v>0</v>
      </c>
      <c r="EVZ15">
        <f ca="1"/>
        <v>0</v>
      </c>
      <c r="EWA15">
        <f ca="1"/>
        <v>0</v>
      </c>
      <c r="EWB15">
        <f ca="1"/>
        <v>0</v>
      </c>
      <c r="EWC15">
        <f ca="1"/>
        <v>0</v>
      </c>
      <c r="EWD15">
        <f ca="1"/>
        <v>0</v>
      </c>
      <c r="EWE15">
        <f ca="1"/>
        <v>0</v>
      </c>
      <c r="EWF15">
        <f ca="1"/>
        <v>0</v>
      </c>
      <c r="EWG15">
        <f ca="1"/>
        <v>0</v>
      </c>
      <c r="EWH15">
        <f ca="1"/>
        <v>0</v>
      </c>
      <c r="EWI15">
        <f ca="1"/>
        <v>0</v>
      </c>
      <c r="EWJ15">
        <f ca="1"/>
        <v>0</v>
      </c>
      <c r="EWK15">
        <f ca="1"/>
        <v>0</v>
      </c>
      <c r="EWL15">
        <f ca="1"/>
        <v>0</v>
      </c>
      <c r="EWM15">
        <f ca="1"/>
        <v>0</v>
      </c>
      <c r="EWN15">
        <f ca="1"/>
        <v>0</v>
      </c>
      <c r="EWO15">
        <f ca="1"/>
        <v>0</v>
      </c>
      <c r="EWP15">
        <f ca="1"/>
        <v>0</v>
      </c>
      <c r="EWQ15">
        <f ca="1"/>
        <v>0</v>
      </c>
      <c r="EWR15">
        <f ca="1"/>
        <v>0</v>
      </c>
      <c r="EWS15">
        <f ca="1"/>
        <v>0</v>
      </c>
      <c r="EWT15">
        <f ca="1"/>
        <v>0</v>
      </c>
      <c r="EWU15">
        <f ca="1"/>
        <v>0</v>
      </c>
      <c r="EWV15">
        <f ca="1"/>
        <v>0</v>
      </c>
      <c r="EWW15">
        <f ca="1"/>
        <v>0</v>
      </c>
      <c r="EWX15">
        <f ca="1"/>
        <v>0</v>
      </c>
      <c r="EWY15">
        <f ca="1"/>
        <v>0</v>
      </c>
      <c r="EWZ15">
        <f ca="1"/>
        <v>0</v>
      </c>
      <c r="EXA15">
        <f ca="1"/>
        <v>0</v>
      </c>
      <c r="EXB15">
        <f ca="1"/>
        <v>0</v>
      </c>
      <c r="EXC15">
        <f ca="1"/>
        <v>0</v>
      </c>
      <c r="EXD15">
        <f ca="1"/>
        <v>0</v>
      </c>
      <c r="EXE15">
        <f ca="1"/>
        <v>0</v>
      </c>
      <c r="EXF15">
        <f ca="1"/>
        <v>0</v>
      </c>
      <c r="EXG15">
        <f ca="1"/>
        <v>0</v>
      </c>
      <c r="EXH15">
        <f ca="1"/>
        <v>0</v>
      </c>
      <c r="EXI15">
        <f ca="1"/>
        <v>0</v>
      </c>
      <c r="EXJ15">
        <f ca="1"/>
        <v>0</v>
      </c>
      <c r="EXK15">
        <f ca="1"/>
        <v>0</v>
      </c>
      <c r="EXL15">
        <f ca="1"/>
        <v>0</v>
      </c>
      <c r="EXM15">
        <f ca="1"/>
        <v>0</v>
      </c>
      <c r="EXN15">
        <f ca="1"/>
        <v>0</v>
      </c>
      <c r="EXO15">
        <f ca="1"/>
        <v>0</v>
      </c>
      <c r="EXP15">
        <f ca="1"/>
        <v>0</v>
      </c>
      <c r="EXQ15">
        <f ca="1"/>
        <v>0</v>
      </c>
      <c r="EXR15">
        <f ca="1"/>
        <v>0</v>
      </c>
      <c r="EXS15">
        <f ca="1"/>
        <v>0</v>
      </c>
      <c r="EXT15">
        <f ca="1"/>
        <v>0</v>
      </c>
      <c r="EXU15">
        <f ca="1"/>
        <v>0</v>
      </c>
      <c r="EXV15">
        <f ca="1"/>
        <v>0</v>
      </c>
      <c r="EXW15">
        <f ca="1"/>
        <v>0</v>
      </c>
      <c r="EXX15">
        <f ca="1"/>
        <v>0</v>
      </c>
      <c r="EXY15">
        <f ca="1"/>
        <v>0</v>
      </c>
      <c r="EXZ15">
        <f ca="1"/>
        <v>0</v>
      </c>
      <c r="EYA15">
        <f ca="1"/>
        <v>0</v>
      </c>
      <c r="EYB15">
        <f ca="1"/>
        <v>0</v>
      </c>
      <c r="EYC15">
        <f ca="1"/>
        <v>0</v>
      </c>
      <c r="EYD15">
        <f ca="1"/>
        <v>0</v>
      </c>
      <c r="EYE15">
        <f ca="1"/>
        <v>0</v>
      </c>
      <c r="EYF15">
        <f ca="1"/>
        <v>0</v>
      </c>
      <c r="EYG15">
        <f ca="1"/>
        <v>0</v>
      </c>
      <c r="EYH15">
        <f ca="1"/>
        <v>0</v>
      </c>
      <c r="EYI15">
        <f ca="1"/>
        <v>0</v>
      </c>
      <c r="EYJ15">
        <f ca="1"/>
        <v>0</v>
      </c>
      <c r="EYK15">
        <f ca="1"/>
        <v>0</v>
      </c>
      <c r="EYL15">
        <f ca="1"/>
        <v>0</v>
      </c>
      <c r="EYM15">
        <f ca="1"/>
        <v>0</v>
      </c>
      <c r="EYN15">
        <f ca="1"/>
        <v>0</v>
      </c>
      <c r="EYO15">
        <f ca="1"/>
        <v>0</v>
      </c>
      <c r="EYP15">
        <f ca="1"/>
        <v>0</v>
      </c>
      <c r="EYQ15">
        <f ca="1"/>
        <v>0</v>
      </c>
      <c r="EYR15">
        <f ca="1"/>
        <v>0</v>
      </c>
      <c r="EYS15">
        <f ca="1"/>
        <v>0</v>
      </c>
      <c r="EYT15">
        <f ca="1"/>
        <v>0</v>
      </c>
      <c r="EYU15">
        <f ca="1"/>
        <v>0</v>
      </c>
      <c r="EYV15">
        <f ca="1"/>
        <v>0</v>
      </c>
      <c r="EYW15">
        <f ca="1"/>
        <v>0</v>
      </c>
      <c r="EYX15">
        <f ca="1"/>
        <v>0</v>
      </c>
      <c r="EYY15">
        <f ca="1"/>
        <v>0</v>
      </c>
      <c r="EYZ15">
        <f ca="1"/>
        <v>0</v>
      </c>
      <c r="EZA15">
        <f ca="1"/>
        <v>0</v>
      </c>
      <c r="EZB15">
        <f ca="1"/>
        <v>0</v>
      </c>
      <c r="EZC15">
        <f ca="1"/>
        <v>0</v>
      </c>
      <c r="EZD15">
        <f ca="1"/>
        <v>0</v>
      </c>
      <c r="EZE15">
        <f ca="1"/>
        <v>0</v>
      </c>
      <c r="EZF15">
        <f ca="1"/>
        <v>0</v>
      </c>
      <c r="EZG15">
        <f ca="1"/>
        <v>0</v>
      </c>
      <c r="EZH15">
        <f ca="1"/>
        <v>0</v>
      </c>
      <c r="EZI15">
        <f ca="1"/>
        <v>0</v>
      </c>
      <c r="EZJ15">
        <f ca="1"/>
        <v>0</v>
      </c>
      <c r="EZK15">
        <f ca="1"/>
        <v>0</v>
      </c>
      <c r="EZL15">
        <f ca="1"/>
        <v>0</v>
      </c>
      <c r="EZM15">
        <f ca="1"/>
        <v>0</v>
      </c>
      <c r="EZN15">
        <f ca="1"/>
        <v>0</v>
      </c>
      <c r="EZO15">
        <f ca="1"/>
        <v>0</v>
      </c>
      <c r="EZP15">
        <f ca="1"/>
        <v>0</v>
      </c>
      <c r="EZQ15">
        <f ca="1"/>
        <v>0</v>
      </c>
      <c r="EZR15">
        <f ca="1"/>
        <v>0</v>
      </c>
      <c r="EZS15">
        <f ca="1"/>
        <v>0</v>
      </c>
      <c r="EZT15">
        <f ca="1"/>
        <v>0</v>
      </c>
      <c r="EZU15">
        <f ca="1"/>
        <v>0</v>
      </c>
      <c r="EZV15">
        <f ca="1"/>
        <v>0</v>
      </c>
      <c r="EZW15">
        <f ca="1"/>
        <v>0</v>
      </c>
      <c r="EZX15">
        <f ca="1"/>
        <v>0</v>
      </c>
      <c r="EZY15">
        <f ca="1"/>
        <v>0</v>
      </c>
      <c r="EZZ15">
        <f ca="1"/>
        <v>0</v>
      </c>
      <c r="FAA15">
        <f ca="1"/>
        <v>0</v>
      </c>
      <c r="FAB15">
        <f ca="1"/>
        <v>0</v>
      </c>
      <c r="FAC15">
        <f ca="1"/>
        <v>0</v>
      </c>
      <c r="FAD15">
        <f ca="1"/>
        <v>0</v>
      </c>
      <c r="FAE15">
        <f ca="1"/>
        <v>0</v>
      </c>
      <c r="FAF15">
        <f ca="1"/>
        <v>0</v>
      </c>
      <c r="FAG15">
        <f ca="1"/>
        <v>0</v>
      </c>
      <c r="FAH15">
        <f ca="1"/>
        <v>0</v>
      </c>
      <c r="FAI15">
        <f ca="1"/>
        <v>0</v>
      </c>
      <c r="FAJ15">
        <f ca="1"/>
        <v>0</v>
      </c>
      <c r="FAK15">
        <f ca="1"/>
        <v>0</v>
      </c>
      <c r="FAL15">
        <f ca="1"/>
        <v>0</v>
      </c>
      <c r="FAM15">
        <f ca="1"/>
        <v>0</v>
      </c>
      <c r="FAN15">
        <f ca="1"/>
        <v>0</v>
      </c>
      <c r="FAO15">
        <f ca="1"/>
        <v>0</v>
      </c>
      <c r="FAP15">
        <f ca="1"/>
        <v>0</v>
      </c>
      <c r="FAQ15">
        <f ca="1"/>
        <v>0</v>
      </c>
      <c r="FAR15">
        <f ca="1"/>
        <v>0</v>
      </c>
      <c r="FAS15">
        <f ca="1"/>
        <v>0</v>
      </c>
      <c r="FAT15">
        <f ca="1"/>
        <v>0</v>
      </c>
      <c r="FAU15">
        <f ca="1"/>
        <v>0</v>
      </c>
      <c r="FAV15">
        <f ca="1"/>
        <v>0</v>
      </c>
      <c r="FAW15">
        <f ca="1"/>
        <v>0</v>
      </c>
      <c r="FAX15">
        <f ca="1"/>
        <v>0</v>
      </c>
      <c r="FAY15">
        <f ca="1"/>
        <v>0</v>
      </c>
      <c r="FAZ15">
        <f ca="1"/>
        <v>0</v>
      </c>
      <c r="FBA15">
        <f ca="1"/>
        <v>0</v>
      </c>
      <c r="FBB15">
        <f ca="1"/>
        <v>0</v>
      </c>
      <c r="FBC15">
        <f ca="1"/>
        <v>0</v>
      </c>
      <c r="FBD15">
        <f ca="1"/>
        <v>0</v>
      </c>
      <c r="FBE15">
        <f ca="1"/>
        <v>0</v>
      </c>
      <c r="FBF15">
        <f ca="1"/>
        <v>0</v>
      </c>
      <c r="FBG15">
        <f ca="1"/>
        <v>0</v>
      </c>
      <c r="FBH15">
        <f ca="1"/>
        <v>0</v>
      </c>
      <c r="FBI15">
        <f ca="1"/>
        <v>0</v>
      </c>
      <c r="FBJ15">
        <f ca="1"/>
        <v>0</v>
      </c>
      <c r="FBK15">
        <f ca="1"/>
        <v>0</v>
      </c>
      <c r="FBL15">
        <f ca="1"/>
        <v>0</v>
      </c>
      <c r="FBM15">
        <f ca="1"/>
        <v>0</v>
      </c>
      <c r="FBN15">
        <f ca="1"/>
        <v>0</v>
      </c>
      <c r="FBO15">
        <f ca="1"/>
        <v>0</v>
      </c>
      <c r="FBP15">
        <f ca="1"/>
        <v>0</v>
      </c>
      <c r="FBQ15">
        <f ca="1"/>
        <v>0</v>
      </c>
      <c r="FBR15">
        <f ca="1"/>
        <v>0</v>
      </c>
      <c r="FBS15">
        <f ca="1"/>
        <v>0</v>
      </c>
      <c r="FBT15">
        <f ca="1"/>
        <v>0</v>
      </c>
      <c r="FBU15">
        <f ca="1"/>
        <v>0</v>
      </c>
      <c r="FBV15">
        <f ca="1"/>
        <v>0</v>
      </c>
      <c r="FBW15">
        <f ca="1"/>
        <v>0</v>
      </c>
      <c r="FBX15">
        <f ca="1"/>
        <v>0</v>
      </c>
      <c r="FBY15">
        <f ca="1"/>
        <v>0</v>
      </c>
      <c r="FBZ15">
        <f ca="1"/>
        <v>0</v>
      </c>
      <c r="FCA15">
        <f ca="1"/>
        <v>0</v>
      </c>
      <c r="FCB15">
        <f ca="1"/>
        <v>0</v>
      </c>
      <c r="FCC15">
        <f ca="1"/>
        <v>0</v>
      </c>
      <c r="FCD15">
        <f ca="1"/>
        <v>0</v>
      </c>
      <c r="FCE15">
        <f ca="1"/>
        <v>0</v>
      </c>
      <c r="FCF15">
        <f ca="1"/>
        <v>0</v>
      </c>
      <c r="FCG15">
        <f ca="1"/>
        <v>0</v>
      </c>
      <c r="FCH15">
        <f ca="1"/>
        <v>0</v>
      </c>
      <c r="FCI15">
        <f ca="1"/>
        <v>0</v>
      </c>
      <c r="FCJ15">
        <f ca="1"/>
        <v>0</v>
      </c>
      <c r="FCK15">
        <f ca="1"/>
        <v>0</v>
      </c>
      <c r="FCL15">
        <f ca="1"/>
        <v>0</v>
      </c>
      <c r="FCM15">
        <f ca="1"/>
        <v>0</v>
      </c>
      <c r="FCN15">
        <f ca="1"/>
        <v>0</v>
      </c>
      <c r="FCO15">
        <f ca="1"/>
        <v>0</v>
      </c>
      <c r="FCP15">
        <f ca="1"/>
        <v>0</v>
      </c>
      <c r="FCQ15">
        <f ca="1"/>
        <v>0</v>
      </c>
      <c r="FCR15">
        <f ca="1"/>
        <v>0</v>
      </c>
      <c r="FCS15">
        <f ca="1"/>
        <v>0</v>
      </c>
      <c r="FCT15">
        <f ca="1"/>
        <v>0</v>
      </c>
      <c r="FCU15">
        <f ca="1"/>
        <v>0</v>
      </c>
      <c r="FCV15">
        <f ca="1"/>
        <v>0</v>
      </c>
      <c r="FCW15">
        <f ca="1"/>
        <v>0</v>
      </c>
      <c r="FCX15">
        <f ca="1"/>
        <v>0</v>
      </c>
      <c r="FCY15">
        <f ca="1"/>
        <v>0</v>
      </c>
      <c r="FCZ15">
        <f ca="1"/>
        <v>0</v>
      </c>
      <c r="FDA15">
        <f ca="1"/>
        <v>0</v>
      </c>
      <c r="FDB15">
        <f ca="1"/>
        <v>0</v>
      </c>
      <c r="FDC15">
        <f ca="1"/>
        <v>0</v>
      </c>
      <c r="FDD15">
        <f ca="1"/>
        <v>0</v>
      </c>
      <c r="FDE15">
        <f ca="1"/>
        <v>0</v>
      </c>
      <c r="FDF15">
        <f ca="1"/>
        <v>0</v>
      </c>
      <c r="FDG15">
        <f ca="1"/>
        <v>0</v>
      </c>
      <c r="FDH15">
        <f ca="1"/>
        <v>0</v>
      </c>
      <c r="FDI15">
        <f ca="1"/>
        <v>0</v>
      </c>
      <c r="FDJ15">
        <f ca="1"/>
        <v>0</v>
      </c>
      <c r="FDK15">
        <f ca="1"/>
        <v>0</v>
      </c>
      <c r="FDL15">
        <f ca="1"/>
        <v>0</v>
      </c>
      <c r="FDM15">
        <f ca="1"/>
        <v>0</v>
      </c>
      <c r="FDN15">
        <f ca="1"/>
        <v>0</v>
      </c>
      <c r="FDO15">
        <f ca="1"/>
        <v>0</v>
      </c>
      <c r="FDP15">
        <f ca="1"/>
        <v>0</v>
      </c>
      <c r="FDQ15">
        <f ca="1"/>
        <v>0</v>
      </c>
      <c r="FDR15">
        <f ca="1"/>
        <v>0</v>
      </c>
      <c r="FDS15">
        <f ca="1"/>
        <v>0</v>
      </c>
      <c r="FDT15">
        <f ca="1"/>
        <v>0</v>
      </c>
      <c r="FDU15">
        <f ca="1"/>
        <v>0</v>
      </c>
      <c r="FDV15">
        <f ca="1"/>
        <v>0</v>
      </c>
      <c r="FDW15">
        <f ca="1"/>
        <v>0</v>
      </c>
      <c r="FDX15">
        <f ca="1"/>
        <v>0</v>
      </c>
      <c r="FDY15">
        <f ca="1"/>
        <v>0</v>
      </c>
      <c r="FDZ15">
        <f ca="1"/>
        <v>0</v>
      </c>
      <c r="FEA15">
        <f ca="1"/>
        <v>0</v>
      </c>
      <c r="FEB15">
        <f ca="1"/>
        <v>0</v>
      </c>
      <c r="FEC15">
        <f ca="1"/>
        <v>0</v>
      </c>
      <c r="FED15">
        <f ca="1"/>
        <v>0</v>
      </c>
      <c r="FEE15">
        <f ca="1"/>
        <v>0</v>
      </c>
      <c r="FEF15">
        <f ca="1"/>
        <v>0</v>
      </c>
      <c r="FEG15">
        <f ca="1"/>
        <v>0</v>
      </c>
      <c r="FEH15">
        <f ca="1"/>
        <v>0</v>
      </c>
      <c r="FEI15">
        <f ca="1"/>
        <v>0</v>
      </c>
      <c r="FEJ15">
        <f ca="1"/>
        <v>0</v>
      </c>
      <c r="FEK15">
        <f ca="1"/>
        <v>0</v>
      </c>
      <c r="FEL15">
        <f ca="1"/>
        <v>0</v>
      </c>
      <c r="FEM15">
        <f ca="1"/>
        <v>0</v>
      </c>
      <c r="FEN15">
        <f ca="1"/>
        <v>0</v>
      </c>
      <c r="FEO15">
        <f ca="1"/>
        <v>0</v>
      </c>
      <c r="FEP15">
        <f ca="1"/>
        <v>0</v>
      </c>
      <c r="FEQ15">
        <f ca="1"/>
        <v>0</v>
      </c>
      <c r="FER15">
        <f ca="1"/>
        <v>0</v>
      </c>
      <c r="FES15">
        <f ca="1"/>
        <v>0</v>
      </c>
      <c r="FET15">
        <f ca="1"/>
        <v>0</v>
      </c>
      <c r="FEU15">
        <f ca="1"/>
        <v>0</v>
      </c>
      <c r="FEV15">
        <f ca="1"/>
        <v>0</v>
      </c>
      <c r="FEW15">
        <f ca="1"/>
        <v>0</v>
      </c>
      <c r="FEX15">
        <f ca="1"/>
        <v>0</v>
      </c>
      <c r="FEY15">
        <f ca="1"/>
        <v>0</v>
      </c>
      <c r="FEZ15">
        <f ca="1"/>
        <v>0</v>
      </c>
      <c r="FFA15">
        <f ca="1"/>
        <v>0</v>
      </c>
      <c r="FFB15">
        <f ca="1"/>
        <v>0</v>
      </c>
      <c r="FFC15">
        <f ca="1"/>
        <v>0</v>
      </c>
      <c r="FFD15">
        <f ca="1"/>
        <v>0</v>
      </c>
      <c r="FFE15">
        <f ca="1"/>
        <v>0</v>
      </c>
      <c r="FFF15">
        <f ca="1"/>
        <v>0</v>
      </c>
      <c r="FFG15">
        <f ca="1"/>
        <v>0</v>
      </c>
      <c r="FFH15">
        <f ca="1"/>
        <v>0</v>
      </c>
      <c r="FFI15">
        <f ca="1"/>
        <v>0</v>
      </c>
      <c r="FFJ15">
        <f ca="1"/>
        <v>0</v>
      </c>
      <c r="FFK15">
        <f ca="1"/>
        <v>0</v>
      </c>
      <c r="FFL15">
        <f ca="1"/>
        <v>0</v>
      </c>
      <c r="FFM15">
        <f ca="1"/>
        <v>0</v>
      </c>
      <c r="FFN15">
        <f ca="1"/>
        <v>0</v>
      </c>
      <c r="FFO15">
        <f ca="1"/>
        <v>0</v>
      </c>
      <c r="FFP15">
        <f ca="1"/>
        <v>0</v>
      </c>
      <c r="FFQ15">
        <f ca="1"/>
        <v>0</v>
      </c>
      <c r="FFR15">
        <f ca="1"/>
        <v>0</v>
      </c>
      <c r="FFS15">
        <f ca="1"/>
        <v>0</v>
      </c>
      <c r="FFT15">
        <f ca="1"/>
        <v>0</v>
      </c>
      <c r="FFU15">
        <f ca="1"/>
        <v>0</v>
      </c>
      <c r="FFV15">
        <f ca="1"/>
        <v>0</v>
      </c>
      <c r="FFW15">
        <f ca="1"/>
        <v>0</v>
      </c>
      <c r="FFX15">
        <f ca="1"/>
        <v>0</v>
      </c>
      <c r="FFY15">
        <f ca="1"/>
        <v>0</v>
      </c>
      <c r="FFZ15">
        <f ca="1"/>
        <v>0</v>
      </c>
      <c r="FGA15">
        <f ca="1"/>
        <v>0</v>
      </c>
      <c r="FGB15">
        <f ca="1"/>
        <v>0</v>
      </c>
      <c r="FGC15">
        <f ca="1"/>
        <v>0</v>
      </c>
      <c r="FGD15">
        <f ca="1"/>
        <v>0</v>
      </c>
      <c r="FGE15">
        <f ca="1"/>
        <v>0</v>
      </c>
      <c r="FGF15">
        <f ca="1"/>
        <v>0</v>
      </c>
      <c r="FGG15">
        <f ca="1"/>
        <v>0</v>
      </c>
      <c r="FGH15">
        <f ca="1"/>
        <v>0</v>
      </c>
      <c r="FGI15">
        <f ca="1"/>
        <v>0</v>
      </c>
      <c r="FGJ15">
        <f ca="1"/>
        <v>0</v>
      </c>
      <c r="FGK15">
        <f ca="1"/>
        <v>0</v>
      </c>
      <c r="FGL15">
        <f ca="1"/>
        <v>0</v>
      </c>
      <c r="FGM15">
        <f ca="1"/>
        <v>0</v>
      </c>
      <c r="FGN15">
        <f ca="1"/>
        <v>0</v>
      </c>
      <c r="FGO15">
        <f ca="1"/>
        <v>0</v>
      </c>
      <c r="FGP15">
        <f ca="1"/>
        <v>0</v>
      </c>
      <c r="FGQ15">
        <f ca="1"/>
        <v>0</v>
      </c>
      <c r="FGR15">
        <f ca="1"/>
        <v>0</v>
      </c>
      <c r="FGS15">
        <f ca="1"/>
        <v>0</v>
      </c>
      <c r="FGT15">
        <f ca="1"/>
        <v>0</v>
      </c>
      <c r="FGU15">
        <f ca="1"/>
        <v>0</v>
      </c>
      <c r="FGV15">
        <f ca="1"/>
        <v>0</v>
      </c>
      <c r="FGW15">
        <f ca="1"/>
        <v>0</v>
      </c>
      <c r="FGX15">
        <f ca="1"/>
        <v>0</v>
      </c>
      <c r="FGY15">
        <f ca="1"/>
        <v>0</v>
      </c>
      <c r="FGZ15">
        <f ca="1"/>
        <v>0</v>
      </c>
      <c r="FHA15">
        <f ca="1"/>
        <v>0</v>
      </c>
      <c r="FHB15">
        <f ca="1"/>
        <v>0</v>
      </c>
      <c r="FHC15">
        <f ca="1"/>
        <v>0</v>
      </c>
      <c r="FHD15">
        <f ca="1"/>
        <v>0</v>
      </c>
      <c r="FHE15">
        <f ca="1"/>
        <v>0</v>
      </c>
      <c r="FHF15">
        <f ca="1"/>
        <v>0</v>
      </c>
      <c r="FHG15">
        <f ca="1"/>
        <v>0</v>
      </c>
      <c r="FHH15">
        <f ca="1"/>
        <v>0</v>
      </c>
      <c r="FHI15">
        <f ca="1"/>
        <v>0</v>
      </c>
      <c r="FHJ15">
        <f ca="1"/>
        <v>0</v>
      </c>
      <c r="FHK15">
        <f ca="1"/>
        <v>0</v>
      </c>
      <c r="FHL15">
        <f ca="1"/>
        <v>0</v>
      </c>
      <c r="FHM15">
        <f ca="1"/>
        <v>0</v>
      </c>
      <c r="FHN15">
        <f ca="1"/>
        <v>0</v>
      </c>
      <c r="FHO15">
        <f ca="1"/>
        <v>0</v>
      </c>
      <c r="FHP15">
        <f ca="1"/>
        <v>0</v>
      </c>
      <c r="FHQ15">
        <f ca="1"/>
        <v>0</v>
      </c>
      <c r="FHR15">
        <f ca="1"/>
        <v>0</v>
      </c>
      <c r="FHS15">
        <f ca="1"/>
        <v>0</v>
      </c>
      <c r="FHT15">
        <f ca="1"/>
        <v>0</v>
      </c>
      <c r="FHU15">
        <f ca="1"/>
        <v>0</v>
      </c>
      <c r="FHV15">
        <f ca="1"/>
        <v>0</v>
      </c>
      <c r="FHW15">
        <f ca="1"/>
        <v>0</v>
      </c>
      <c r="FHX15">
        <f ca="1"/>
        <v>0</v>
      </c>
      <c r="FHY15">
        <f ca="1"/>
        <v>0</v>
      </c>
      <c r="FHZ15">
        <f ca="1"/>
        <v>0</v>
      </c>
      <c r="FIA15">
        <f ca="1"/>
        <v>0</v>
      </c>
      <c r="FIB15">
        <f ca="1"/>
        <v>0</v>
      </c>
      <c r="FIC15">
        <f ca="1"/>
        <v>0</v>
      </c>
      <c r="FID15">
        <f ca="1"/>
        <v>0</v>
      </c>
      <c r="FIE15">
        <f ca="1"/>
        <v>0</v>
      </c>
      <c r="FIF15">
        <f ca="1"/>
        <v>0</v>
      </c>
      <c r="FIG15">
        <f ca="1"/>
        <v>0</v>
      </c>
      <c r="FIH15">
        <f ca="1"/>
        <v>0</v>
      </c>
      <c r="FII15">
        <f ca="1"/>
        <v>0</v>
      </c>
      <c r="FIJ15">
        <f ca="1"/>
        <v>0</v>
      </c>
      <c r="FIK15">
        <f ca="1"/>
        <v>0</v>
      </c>
      <c r="FIL15">
        <f ca="1"/>
        <v>0</v>
      </c>
      <c r="FIM15">
        <f ca="1"/>
        <v>0</v>
      </c>
      <c r="FIN15">
        <f ca="1"/>
        <v>0</v>
      </c>
      <c r="FIO15">
        <f ca="1"/>
        <v>0</v>
      </c>
      <c r="FIP15">
        <f ca="1"/>
        <v>0</v>
      </c>
      <c r="FIQ15">
        <f ca="1"/>
        <v>0</v>
      </c>
      <c r="FIR15">
        <f ca="1"/>
        <v>0</v>
      </c>
      <c r="FIS15">
        <f ca="1"/>
        <v>0</v>
      </c>
      <c r="FIT15">
        <f ca="1"/>
        <v>0</v>
      </c>
      <c r="FIU15">
        <f ca="1"/>
        <v>0</v>
      </c>
      <c r="FIV15">
        <f ca="1"/>
        <v>0</v>
      </c>
      <c r="FIW15">
        <f ca="1"/>
        <v>0</v>
      </c>
      <c r="FIX15">
        <f ca="1"/>
        <v>0</v>
      </c>
      <c r="FIY15">
        <f ca="1"/>
        <v>0</v>
      </c>
      <c r="FIZ15">
        <f ca="1"/>
        <v>0</v>
      </c>
      <c r="FJA15">
        <f ca="1"/>
        <v>0</v>
      </c>
      <c r="FJB15">
        <f ca="1"/>
        <v>0</v>
      </c>
      <c r="FJC15">
        <f ca="1"/>
        <v>0</v>
      </c>
      <c r="FJD15">
        <f ca="1"/>
        <v>0</v>
      </c>
      <c r="FJE15">
        <f ca="1"/>
        <v>0</v>
      </c>
      <c r="FJF15">
        <f ca="1"/>
        <v>0</v>
      </c>
      <c r="FJG15">
        <f ca="1"/>
        <v>0</v>
      </c>
      <c r="FJH15">
        <f ca="1"/>
        <v>0</v>
      </c>
      <c r="FJI15">
        <f ca="1"/>
        <v>0</v>
      </c>
      <c r="FJJ15">
        <f ca="1"/>
        <v>0</v>
      </c>
      <c r="FJK15">
        <f ca="1"/>
        <v>0</v>
      </c>
      <c r="FJL15">
        <f ca="1"/>
        <v>0</v>
      </c>
      <c r="FJM15">
        <f ca="1"/>
        <v>0</v>
      </c>
      <c r="FJN15">
        <f ca="1"/>
        <v>0</v>
      </c>
      <c r="FJO15">
        <f ca="1"/>
        <v>0</v>
      </c>
      <c r="FJP15">
        <f ca="1"/>
        <v>0</v>
      </c>
      <c r="FJQ15">
        <f ca="1"/>
        <v>0</v>
      </c>
      <c r="FJR15">
        <f ca="1"/>
        <v>0</v>
      </c>
      <c r="FJS15">
        <f ca="1"/>
        <v>0</v>
      </c>
      <c r="FJT15">
        <f ca="1"/>
        <v>0</v>
      </c>
      <c r="FJU15">
        <f ca="1"/>
        <v>0</v>
      </c>
      <c r="FJV15">
        <f ca="1"/>
        <v>0</v>
      </c>
      <c r="FJW15">
        <f ca="1"/>
        <v>0</v>
      </c>
      <c r="FJX15">
        <f ca="1"/>
        <v>0</v>
      </c>
      <c r="FJY15">
        <f ca="1"/>
        <v>0</v>
      </c>
      <c r="FJZ15">
        <f ca="1"/>
        <v>0</v>
      </c>
      <c r="FKA15">
        <f ca="1"/>
        <v>0</v>
      </c>
      <c r="FKB15">
        <f ca="1"/>
        <v>0</v>
      </c>
      <c r="FKC15">
        <f ca="1"/>
        <v>0</v>
      </c>
      <c r="FKD15">
        <f ca="1"/>
        <v>0</v>
      </c>
      <c r="FKE15">
        <f ca="1"/>
        <v>0</v>
      </c>
      <c r="FKF15">
        <f ca="1"/>
        <v>0</v>
      </c>
      <c r="FKG15">
        <f ca="1"/>
        <v>0</v>
      </c>
      <c r="FKH15">
        <f ca="1"/>
        <v>0</v>
      </c>
      <c r="FKI15">
        <f ca="1"/>
        <v>0</v>
      </c>
      <c r="FKJ15">
        <f ca="1"/>
        <v>0</v>
      </c>
      <c r="FKK15">
        <f ca="1"/>
        <v>0</v>
      </c>
      <c r="FKL15">
        <f ca="1"/>
        <v>0</v>
      </c>
      <c r="FKM15">
        <f ca="1"/>
        <v>0</v>
      </c>
      <c r="FKN15">
        <f ca="1"/>
        <v>0</v>
      </c>
      <c r="FKO15">
        <f ca="1"/>
        <v>0</v>
      </c>
      <c r="FKP15">
        <f ca="1"/>
        <v>0</v>
      </c>
      <c r="FKQ15">
        <f ca="1"/>
        <v>0</v>
      </c>
      <c r="FKR15">
        <f ca="1"/>
        <v>0</v>
      </c>
      <c r="FKS15">
        <f ca="1"/>
        <v>0</v>
      </c>
      <c r="FKT15">
        <f ca="1"/>
        <v>0</v>
      </c>
      <c r="FKU15">
        <f ca="1"/>
        <v>0</v>
      </c>
      <c r="FKV15">
        <f ca="1"/>
        <v>0</v>
      </c>
      <c r="FKW15">
        <f ca="1"/>
        <v>0</v>
      </c>
      <c r="FKX15">
        <f ca="1"/>
        <v>0</v>
      </c>
      <c r="FKY15">
        <f ca="1"/>
        <v>0</v>
      </c>
      <c r="FKZ15">
        <f ca="1"/>
        <v>0</v>
      </c>
      <c r="FLA15">
        <f ca="1"/>
        <v>0</v>
      </c>
      <c r="FLB15">
        <f ca="1"/>
        <v>0</v>
      </c>
      <c r="FLC15">
        <f ca="1"/>
        <v>0</v>
      </c>
      <c r="FLD15">
        <f ca="1"/>
        <v>0</v>
      </c>
      <c r="FLE15">
        <f ca="1"/>
        <v>0</v>
      </c>
      <c r="FLF15">
        <f ca="1"/>
        <v>0</v>
      </c>
      <c r="FLG15">
        <f ca="1"/>
        <v>0</v>
      </c>
      <c r="FLH15">
        <f ca="1"/>
        <v>0</v>
      </c>
      <c r="FLI15">
        <f ca="1"/>
        <v>0</v>
      </c>
      <c r="FLJ15">
        <f ca="1"/>
        <v>0</v>
      </c>
      <c r="FLK15">
        <f ca="1"/>
        <v>0</v>
      </c>
      <c r="FLL15">
        <f ca="1"/>
        <v>0</v>
      </c>
      <c r="FLM15">
        <f ca="1"/>
        <v>0</v>
      </c>
      <c r="FLN15">
        <f ca="1"/>
        <v>0</v>
      </c>
      <c r="FLO15">
        <f ca="1"/>
        <v>0</v>
      </c>
      <c r="FLP15">
        <f ca="1"/>
        <v>0</v>
      </c>
      <c r="FLQ15">
        <f ca="1"/>
        <v>0</v>
      </c>
      <c r="FLR15">
        <f ca="1"/>
        <v>0</v>
      </c>
      <c r="FLS15">
        <f ca="1"/>
        <v>0</v>
      </c>
      <c r="FLT15">
        <f ca="1"/>
        <v>0</v>
      </c>
      <c r="FLU15">
        <f ca="1"/>
        <v>0</v>
      </c>
      <c r="FLV15">
        <f ca="1"/>
        <v>0</v>
      </c>
      <c r="FLW15">
        <f ca="1"/>
        <v>0</v>
      </c>
      <c r="FLX15">
        <f ca="1"/>
        <v>0</v>
      </c>
      <c r="FLY15">
        <f ca="1"/>
        <v>0</v>
      </c>
      <c r="FLZ15">
        <f ca="1"/>
        <v>0</v>
      </c>
      <c r="FMA15">
        <f ca="1"/>
        <v>0</v>
      </c>
      <c r="FMB15">
        <f ca="1"/>
        <v>0</v>
      </c>
      <c r="FMC15">
        <f ca="1"/>
        <v>0</v>
      </c>
      <c r="FMD15">
        <f ca="1"/>
        <v>0</v>
      </c>
      <c r="FME15">
        <f ca="1"/>
        <v>0</v>
      </c>
      <c r="FMF15">
        <f ca="1"/>
        <v>0</v>
      </c>
      <c r="FMG15">
        <f ca="1"/>
        <v>0</v>
      </c>
      <c r="FMH15">
        <f ca="1"/>
        <v>0</v>
      </c>
      <c r="FMI15">
        <f ca="1"/>
        <v>0</v>
      </c>
      <c r="FMJ15">
        <f ca="1"/>
        <v>0</v>
      </c>
      <c r="FMK15">
        <f ca="1"/>
        <v>0</v>
      </c>
      <c r="FML15">
        <f ca="1"/>
        <v>0</v>
      </c>
      <c r="FMM15">
        <f ca="1"/>
        <v>0</v>
      </c>
      <c r="FMN15">
        <f ca="1"/>
        <v>0</v>
      </c>
      <c r="FMO15">
        <f ca="1"/>
        <v>0</v>
      </c>
      <c r="FMP15">
        <f ca="1"/>
        <v>0</v>
      </c>
      <c r="FMQ15">
        <f ca="1"/>
        <v>0</v>
      </c>
      <c r="FMR15">
        <f ca="1"/>
        <v>0</v>
      </c>
      <c r="FMS15">
        <f ca="1"/>
        <v>0</v>
      </c>
      <c r="FMT15">
        <f ca="1"/>
        <v>0</v>
      </c>
      <c r="FMU15">
        <f ca="1"/>
        <v>0</v>
      </c>
      <c r="FMV15">
        <f ca="1"/>
        <v>0</v>
      </c>
      <c r="FMW15">
        <f ca="1"/>
        <v>0</v>
      </c>
      <c r="FMX15">
        <f ca="1"/>
        <v>0</v>
      </c>
      <c r="FMY15">
        <f ca="1"/>
        <v>0</v>
      </c>
      <c r="FMZ15">
        <f ca="1"/>
        <v>0</v>
      </c>
      <c r="FNA15">
        <f ca="1"/>
        <v>0</v>
      </c>
      <c r="FNB15">
        <f ca="1"/>
        <v>0</v>
      </c>
      <c r="FNC15">
        <f ca="1"/>
        <v>0</v>
      </c>
      <c r="FND15">
        <f ca="1"/>
        <v>0</v>
      </c>
      <c r="FNE15">
        <f ca="1"/>
        <v>0</v>
      </c>
      <c r="FNF15">
        <f ca="1"/>
        <v>0</v>
      </c>
      <c r="FNG15">
        <f ca="1"/>
        <v>0</v>
      </c>
      <c r="FNH15">
        <f ca="1"/>
        <v>0</v>
      </c>
      <c r="FNI15">
        <f ca="1"/>
        <v>0</v>
      </c>
      <c r="FNJ15">
        <f ca="1"/>
        <v>0</v>
      </c>
      <c r="FNK15">
        <f ca="1"/>
        <v>0</v>
      </c>
      <c r="FNL15">
        <f ca="1"/>
        <v>0</v>
      </c>
      <c r="FNM15">
        <f ca="1"/>
        <v>0</v>
      </c>
      <c r="FNN15">
        <f ca="1"/>
        <v>0</v>
      </c>
      <c r="FNO15">
        <f ca="1"/>
        <v>0</v>
      </c>
      <c r="FNP15">
        <f ca="1"/>
        <v>0</v>
      </c>
      <c r="FNQ15">
        <f ca="1"/>
        <v>0</v>
      </c>
      <c r="FNR15">
        <f ca="1"/>
        <v>0</v>
      </c>
      <c r="FNS15">
        <f ca="1"/>
        <v>0</v>
      </c>
      <c r="FNT15">
        <f ca="1"/>
        <v>0</v>
      </c>
      <c r="FNU15">
        <f ca="1"/>
        <v>0</v>
      </c>
      <c r="FNV15">
        <f ca="1"/>
        <v>0</v>
      </c>
      <c r="FNW15">
        <f ca="1"/>
        <v>0</v>
      </c>
      <c r="FNX15">
        <f ca="1"/>
        <v>0</v>
      </c>
      <c r="FNY15">
        <f ca="1"/>
        <v>0</v>
      </c>
      <c r="FNZ15">
        <f ca="1"/>
        <v>0</v>
      </c>
      <c r="FOA15">
        <f ca="1"/>
        <v>0</v>
      </c>
      <c r="FOB15">
        <f ca="1"/>
        <v>0</v>
      </c>
      <c r="FOC15">
        <f ca="1"/>
        <v>0</v>
      </c>
      <c r="FOD15">
        <f ca="1"/>
        <v>0</v>
      </c>
      <c r="FOE15">
        <f ca="1"/>
        <v>0</v>
      </c>
      <c r="FOF15">
        <f ca="1"/>
        <v>0</v>
      </c>
      <c r="FOG15">
        <f ca="1"/>
        <v>0</v>
      </c>
      <c r="FOH15">
        <f ca="1"/>
        <v>0</v>
      </c>
      <c r="FOI15">
        <f ca="1"/>
        <v>0</v>
      </c>
      <c r="FOJ15">
        <f ca="1"/>
        <v>0</v>
      </c>
      <c r="FOK15">
        <f ca="1"/>
        <v>0</v>
      </c>
      <c r="FOL15">
        <f ca="1"/>
        <v>0</v>
      </c>
      <c r="FOM15">
        <f ca="1"/>
        <v>0</v>
      </c>
      <c r="FON15">
        <f ca="1"/>
        <v>0</v>
      </c>
      <c r="FOO15">
        <f ca="1"/>
        <v>0</v>
      </c>
      <c r="FOP15">
        <f ca="1"/>
        <v>0</v>
      </c>
      <c r="FOQ15">
        <f ca="1"/>
        <v>0</v>
      </c>
      <c r="FOR15">
        <f ca="1"/>
        <v>0</v>
      </c>
      <c r="FOS15">
        <f ca="1"/>
        <v>0</v>
      </c>
      <c r="FOT15">
        <f ca="1"/>
        <v>0</v>
      </c>
      <c r="FOU15">
        <f ca="1"/>
        <v>0</v>
      </c>
      <c r="FOV15">
        <f ca="1"/>
        <v>0</v>
      </c>
      <c r="FOW15">
        <f ca="1"/>
        <v>0</v>
      </c>
      <c r="FOX15">
        <f ca="1"/>
        <v>0</v>
      </c>
      <c r="FOY15">
        <f ca="1"/>
        <v>0</v>
      </c>
      <c r="FOZ15">
        <f ca="1"/>
        <v>0</v>
      </c>
      <c r="FPA15">
        <f ca="1"/>
        <v>0</v>
      </c>
      <c r="FPB15">
        <f ca="1"/>
        <v>0</v>
      </c>
      <c r="FPC15">
        <f ca="1"/>
        <v>0</v>
      </c>
      <c r="FPD15">
        <f ca="1"/>
        <v>0</v>
      </c>
      <c r="FPE15">
        <f ca="1"/>
        <v>0</v>
      </c>
      <c r="FPF15">
        <f ca="1"/>
        <v>0</v>
      </c>
      <c r="FPG15">
        <f ca="1"/>
        <v>0</v>
      </c>
      <c r="FPH15">
        <f ca="1"/>
        <v>0</v>
      </c>
      <c r="FPI15">
        <f ca="1"/>
        <v>0</v>
      </c>
      <c r="FPJ15">
        <f ca="1"/>
        <v>0</v>
      </c>
      <c r="FPK15">
        <f ca="1"/>
        <v>0</v>
      </c>
      <c r="FPL15">
        <f ca="1"/>
        <v>0</v>
      </c>
      <c r="FPM15">
        <f ca="1"/>
        <v>0</v>
      </c>
      <c r="FPN15">
        <f ca="1"/>
        <v>0</v>
      </c>
      <c r="FPO15">
        <f ca="1"/>
        <v>0</v>
      </c>
      <c r="FPP15">
        <f ca="1"/>
        <v>0</v>
      </c>
      <c r="FPQ15">
        <f ca="1"/>
        <v>0</v>
      </c>
      <c r="FPR15">
        <f ca="1"/>
        <v>0</v>
      </c>
      <c r="FPS15">
        <f ca="1"/>
        <v>0</v>
      </c>
      <c r="FPT15">
        <f ca="1"/>
        <v>0</v>
      </c>
      <c r="FPU15">
        <f ca="1"/>
        <v>0</v>
      </c>
      <c r="FPV15">
        <f ca="1"/>
        <v>0</v>
      </c>
      <c r="FPW15">
        <f ca="1"/>
        <v>0</v>
      </c>
      <c r="FPX15">
        <f ca="1"/>
        <v>0</v>
      </c>
      <c r="FPY15">
        <f ca="1"/>
        <v>0</v>
      </c>
      <c r="FPZ15">
        <f ca="1"/>
        <v>0</v>
      </c>
      <c r="FQA15">
        <f ca="1"/>
        <v>0</v>
      </c>
      <c r="FQB15">
        <f ca="1"/>
        <v>0</v>
      </c>
      <c r="FQC15">
        <f ca="1"/>
        <v>0</v>
      </c>
      <c r="FQD15">
        <f ca="1"/>
        <v>0</v>
      </c>
      <c r="FQE15">
        <f ca="1"/>
        <v>0</v>
      </c>
      <c r="FQF15">
        <f ca="1"/>
        <v>0</v>
      </c>
      <c r="FQG15">
        <f ca="1"/>
        <v>0</v>
      </c>
      <c r="FQH15">
        <f ca="1"/>
        <v>0</v>
      </c>
      <c r="FQI15">
        <f ca="1"/>
        <v>0</v>
      </c>
      <c r="FQJ15">
        <f ca="1"/>
        <v>0</v>
      </c>
      <c r="FQK15">
        <f ca="1"/>
        <v>0</v>
      </c>
      <c r="FQL15">
        <f ca="1"/>
        <v>0</v>
      </c>
      <c r="FQM15">
        <f ca="1"/>
        <v>0</v>
      </c>
      <c r="FQN15">
        <f ca="1"/>
        <v>0</v>
      </c>
      <c r="FQO15">
        <f ca="1"/>
        <v>0</v>
      </c>
      <c r="FQP15">
        <f ca="1"/>
        <v>0</v>
      </c>
      <c r="FQQ15">
        <f ca="1"/>
        <v>0</v>
      </c>
      <c r="FQR15">
        <f ca="1"/>
        <v>0</v>
      </c>
      <c r="FQS15">
        <f ca="1"/>
        <v>0</v>
      </c>
      <c r="FQT15">
        <f ca="1"/>
        <v>0</v>
      </c>
      <c r="FQU15">
        <f ca="1"/>
        <v>0</v>
      </c>
      <c r="FQV15">
        <f ca="1"/>
        <v>0</v>
      </c>
      <c r="FQW15">
        <f ca="1"/>
        <v>0</v>
      </c>
      <c r="FQX15">
        <f ca="1"/>
        <v>0</v>
      </c>
      <c r="FQY15">
        <f ca="1"/>
        <v>0</v>
      </c>
      <c r="FQZ15">
        <f ca="1"/>
        <v>0</v>
      </c>
      <c r="FRA15">
        <f ca="1"/>
        <v>0</v>
      </c>
      <c r="FRB15">
        <f ca="1"/>
        <v>0</v>
      </c>
      <c r="FRC15">
        <f ca="1"/>
        <v>0</v>
      </c>
      <c r="FRD15">
        <f ca="1"/>
        <v>0</v>
      </c>
      <c r="FRE15">
        <f ca="1"/>
        <v>0</v>
      </c>
      <c r="FRF15">
        <f ca="1"/>
        <v>0</v>
      </c>
      <c r="FRG15">
        <f ca="1"/>
        <v>0</v>
      </c>
      <c r="FRH15">
        <f ca="1"/>
        <v>0</v>
      </c>
      <c r="FRI15">
        <f ca="1"/>
        <v>0</v>
      </c>
      <c r="FRJ15">
        <f ca="1"/>
        <v>0</v>
      </c>
      <c r="FRK15">
        <f ca="1"/>
        <v>0</v>
      </c>
      <c r="FRL15">
        <f ca="1"/>
        <v>0</v>
      </c>
      <c r="FRM15">
        <f ca="1"/>
        <v>0</v>
      </c>
      <c r="FRN15">
        <f ca="1"/>
        <v>0</v>
      </c>
      <c r="FRO15">
        <f ca="1"/>
        <v>0</v>
      </c>
      <c r="FRP15">
        <f ca="1"/>
        <v>0</v>
      </c>
      <c r="FRQ15">
        <f ca="1"/>
        <v>0</v>
      </c>
      <c r="FRR15">
        <f ca="1"/>
        <v>0</v>
      </c>
      <c r="FRS15">
        <f ca="1"/>
        <v>0</v>
      </c>
      <c r="FRT15">
        <f ca="1"/>
        <v>0</v>
      </c>
      <c r="FRU15">
        <f ca="1"/>
        <v>0</v>
      </c>
      <c r="FRV15">
        <f ca="1"/>
        <v>0</v>
      </c>
      <c r="FRW15">
        <f ca="1"/>
        <v>0</v>
      </c>
      <c r="FRX15">
        <f ca="1"/>
        <v>0</v>
      </c>
      <c r="FRY15">
        <f ca="1"/>
        <v>0</v>
      </c>
      <c r="FRZ15">
        <f ca="1"/>
        <v>0</v>
      </c>
      <c r="FSA15">
        <f ca="1"/>
        <v>0</v>
      </c>
      <c r="FSB15">
        <f ca="1"/>
        <v>0</v>
      </c>
      <c r="FSC15">
        <f ca="1"/>
        <v>0</v>
      </c>
      <c r="FSD15">
        <f ca="1"/>
        <v>0</v>
      </c>
      <c r="FSE15">
        <f ca="1"/>
        <v>0</v>
      </c>
      <c r="FSF15">
        <f ca="1"/>
        <v>0</v>
      </c>
      <c r="FSG15">
        <f ca="1"/>
        <v>0</v>
      </c>
      <c r="FSH15">
        <f ca="1"/>
        <v>0</v>
      </c>
      <c r="FSI15">
        <f ca="1"/>
        <v>0</v>
      </c>
      <c r="FSJ15">
        <f ca="1"/>
        <v>0</v>
      </c>
      <c r="FSK15">
        <f ca="1"/>
        <v>0</v>
      </c>
      <c r="FSL15">
        <f ca="1"/>
        <v>0</v>
      </c>
      <c r="FSM15">
        <f ca="1"/>
        <v>0</v>
      </c>
      <c r="FSN15">
        <f ca="1"/>
        <v>0</v>
      </c>
      <c r="FSO15">
        <f ca="1"/>
        <v>0</v>
      </c>
      <c r="FSP15">
        <f ca="1"/>
        <v>0</v>
      </c>
      <c r="FSQ15">
        <f ca="1"/>
        <v>0</v>
      </c>
      <c r="FSR15">
        <f ca="1"/>
        <v>0</v>
      </c>
      <c r="FSS15">
        <f ca="1"/>
        <v>0</v>
      </c>
      <c r="FST15">
        <f ca="1"/>
        <v>0</v>
      </c>
      <c r="FSU15">
        <f ca="1"/>
        <v>0</v>
      </c>
      <c r="FSV15">
        <f ca="1"/>
        <v>0</v>
      </c>
      <c r="FSW15">
        <f ca="1"/>
        <v>0</v>
      </c>
      <c r="FSX15">
        <f ca="1"/>
        <v>0</v>
      </c>
      <c r="FSY15">
        <f ca="1"/>
        <v>0</v>
      </c>
      <c r="FSZ15">
        <f ca="1"/>
        <v>0</v>
      </c>
      <c r="FTA15">
        <f ca="1"/>
        <v>0</v>
      </c>
      <c r="FTB15">
        <f ca="1"/>
        <v>0</v>
      </c>
      <c r="FTC15">
        <f ca="1"/>
        <v>0</v>
      </c>
      <c r="FTD15">
        <f ca="1"/>
        <v>0</v>
      </c>
      <c r="FTE15">
        <f ca="1"/>
        <v>0</v>
      </c>
      <c r="FTF15">
        <f ca="1"/>
        <v>0</v>
      </c>
      <c r="FTG15">
        <f ca="1"/>
        <v>0</v>
      </c>
      <c r="FTH15">
        <f ca="1"/>
        <v>0</v>
      </c>
      <c r="FTI15">
        <f ca="1"/>
        <v>0</v>
      </c>
      <c r="FTJ15">
        <f ca="1"/>
        <v>0</v>
      </c>
      <c r="FTK15">
        <f ca="1"/>
        <v>0</v>
      </c>
      <c r="FTL15">
        <f ca="1"/>
        <v>0</v>
      </c>
      <c r="FTM15">
        <f ca="1"/>
        <v>0</v>
      </c>
      <c r="FTN15">
        <f ca="1"/>
        <v>0</v>
      </c>
      <c r="FTO15">
        <f ca="1"/>
        <v>0</v>
      </c>
      <c r="FTP15">
        <f ca="1"/>
        <v>0</v>
      </c>
      <c r="FTQ15">
        <f ca="1"/>
        <v>0</v>
      </c>
      <c r="FTR15">
        <f ca="1"/>
        <v>0</v>
      </c>
      <c r="FTS15">
        <f ca="1"/>
        <v>0</v>
      </c>
      <c r="FTT15">
        <f ca="1"/>
        <v>0</v>
      </c>
      <c r="FTU15">
        <f ca="1"/>
        <v>0</v>
      </c>
      <c r="FTV15">
        <f ca="1"/>
        <v>0</v>
      </c>
      <c r="FTW15">
        <f ca="1"/>
        <v>0</v>
      </c>
      <c r="FTX15">
        <f ca="1"/>
        <v>0</v>
      </c>
      <c r="FTY15">
        <f ca="1"/>
        <v>0</v>
      </c>
      <c r="FTZ15">
        <f ca="1"/>
        <v>0</v>
      </c>
      <c r="FUA15">
        <f ca="1"/>
        <v>0</v>
      </c>
      <c r="FUB15">
        <f ca="1"/>
        <v>0</v>
      </c>
      <c r="FUC15">
        <f ca="1"/>
        <v>0</v>
      </c>
      <c r="FUD15">
        <f ca="1"/>
        <v>0</v>
      </c>
      <c r="FUE15">
        <f ca="1"/>
        <v>0</v>
      </c>
      <c r="FUF15">
        <f ca="1"/>
        <v>0</v>
      </c>
      <c r="FUG15">
        <f ca="1"/>
        <v>0</v>
      </c>
      <c r="FUH15">
        <f ca="1"/>
        <v>0</v>
      </c>
      <c r="FUI15">
        <f ca="1"/>
        <v>0</v>
      </c>
      <c r="FUJ15">
        <f ca="1"/>
        <v>0</v>
      </c>
      <c r="FUK15">
        <f ca="1"/>
        <v>0</v>
      </c>
      <c r="FUL15">
        <f ca="1"/>
        <v>0</v>
      </c>
      <c r="FUM15">
        <f ca="1"/>
        <v>0</v>
      </c>
      <c r="FUN15">
        <f ca="1"/>
        <v>0</v>
      </c>
      <c r="FUO15">
        <f ca="1"/>
        <v>0</v>
      </c>
      <c r="FUP15">
        <f ca="1"/>
        <v>0</v>
      </c>
      <c r="FUQ15">
        <f ca="1"/>
        <v>0</v>
      </c>
      <c r="FUR15">
        <f ca="1"/>
        <v>0</v>
      </c>
      <c r="FUS15">
        <f ca="1"/>
        <v>0</v>
      </c>
      <c r="FUT15">
        <f ca="1"/>
        <v>0</v>
      </c>
      <c r="FUU15">
        <f ca="1"/>
        <v>0</v>
      </c>
      <c r="FUV15">
        <f ca="1"/>
        <v>0</v>
      </c>
      <c r="FUW15">
        <f ca="1"/>
        <v>0</v>
      </c>
      <c r="FUX15">
        <f ca="1"/>
        <v>0</v>
      </c>
      <c r="FUY15">
        <f ca="1"/>
        <v>0</v>
      </c>
      <c r="FUZ15">
        <f ca="1"/>
        <v>0</v>
      </c>
      <c r="FVA15">
        <f ca="1"/>
        <v>0</v>
      </c>
      <c r="FVB15">
        <f ca="1"/>
        <v>0</v>
      </c>
      <c r="FVC15">
        <f ca="1"/>
        <v>0</v>
      </c>
      <c r="FVD15">
        <f ca="1"/>
        <v>0</v>
      </c>
      <c r="FVE15">
        <f ca="1"/>
        <v>0</v>
      </c>
      <c r="FVF15">
        <f ca="1"/>
        <v>0</v>
      </c>
      <c r="FVG15">
        <f ca="1"/>
        <v>0</v>
      </c>
      <c r="FVH15">
        <f ca="1"/>
        <v>0</v>
      </c>
      <c r="FVI15">
        <f ca="1"/>
        <v>0</v>
      </c>
      <c r="FVJ15">
        <f ca="1"/>
        <v>0</v>
      </c>
      <c r="FVK15">
        <f ca="1"/>
        <v>0</v>
      </c>
      <c r="FVL15">
        <f ca="1"/>
        <v>0</v>
      </c>
      <c r="FVM15">
        <f ca="1"/>
        <v>0</v>
      </c>
      <c r="FVN15">
        <f ca="1"/>
        <v>0</v>
      </c>
      <c r="FVO15">
        <f ca="1"/>
        <v>0</v>
      </c>
      <c r="FVP15">
        <f ca="1"/>
        <v>0</v>
      </c>
      <c r="FVQ15">
        <f ca="1"/>
        <v>0</v>
      </c>
      <c r="FVR15">
        <f ca="1"/>
        <v>0</v>
      </c>
      <c r="FVS15">
        <f ca="1"/>
        <v>0</v>
      </c>
      <c r="FVT15">
        <f ca="1"/>
        <v>0</v>
      </c>
      <c r="FVU15">
        <f ca="1"/>
        <v>0</v>
      </c>
      <c r="FVV15">
        <f ca="1"/>
        <v>0</v>
      </c>
      <c r="FVW15">
        <f ca="1"/>
        <v>0</v>
      </c>
      <c r="FVX15">
        <f ca="1"/>
        <v>0</v>
      </c>
      <c r="FVY15">
        <f ca="1"/>
        <v>0</v>
      </c>
      <c r="FVZ15">
        <f ca="1"/>
        <v>0</v>
      </c>
      <c r="FWA15">
        <f ca="1"/>
        <v>0</v>
      </c>
      <c r="FWB15">
        <f ca="1"/>
        <v>0</v>
      </c>
      <c r="FWC15">
        <f ca="1"/>
        <v>0</v>
      </c>
      <c r="FWD15">
        <f ca="1"/>
        <v>0</v>
      </c>
      <c r="FWE15">
        <f ca="1"/>
        <v>0</v>
      </c>
      <c r="FWF15">
        <f ca="1"/>
        <v>0</v>
      </c>
      <c r="FWG15">
        <f ca="1"/>
        <v>0</v>
      </c>
      <c r="FWH15">
        <f ca="1"/>
        <v>0</v>
      </c>
      <c r="FWI15">
        <f ca="1"/>
        <v>0</v>
      </c>
      <c r="FWJ15">
        <f ca="1"/>
        <v>0</v>
      </c>
      <c r="FWK15">
        <f ca="1"/>
        <v>0</v>
      </c>
      <c r="FWL15">
        <f ca="1"/>
        <v>0</v>
      </c>
      <c r="FWM15">
        <f ca="1"/>
        <v>0</v>
      </c>
      <c r="FWN15">
        <f ca="1"/>
        <v>0</v>
      </c>
      <c r="FWO15">
        <f ca="1"/>
        <v>0</v>
      </c>
      <c r="FWP15">
        <f ca="1"/>
        <v>0</v>
      </c>
      <c r="FWQ15">
        <f ca="1"/>
        <v>0</v>
      </c>
      <c r="FWR15">
        <f ca="1"/>
        <v>0</v>
      </c>
      <c r="FWS15">
        <f ca="1"/>
        <v>0</v>
      </c>
      <c r="FWT15">
        <f ca="1"/>
        <v>0</v>
      </c>
      <c r="FWU15">
        <f ca="1"/>
        <v>0</v>
      </c>
      <c r="FWV15">
        <f ca="1"/>
        <v>0</v>
      </c>
      <c r="FWW15">
        <f ca="1"/>
        <v>0</v>
      </c>
      <c r="FWX15">
        <f ca="1"/>
        <v>0</v>
      </c>
      <c r="FWY15">
        <f ca="1"/>
        <v>0</v>
      </c>
      <c r="FWZ15">
        <f ca="1"/>
        <v>0</v>
      </c>
      <c r="FXA15">
        <f ca="1"/>
        <v>0</v>
      </c>
      <c r="FXB15">
        <f ca="1"/>
        <v>0</v>
      </c>
      <c r="FXC15">
        <f ca="1"/>
        <v>0</v>
      </c>
      <c r="FXD15">
        <f ca="1"/>
        <v>0</v>
      </c>
      <c r="FXE15">
        <f ca="1"/>
        <v>0</v>
      </c>
      <c r="FXF15">
        <f ca="1"/>
        <v>0</v>
      </c>
      <c r="FXG15">
        <f ca="1"/>
        <v>0</v>
      </c>
      <c r="FXH15">
        <f ca="1"/>
        <v>0</v>
      </c>
      <c r="FXI15">
        <f ca="1"/>
        <v>0</v>
      </c>
      <c r="FXJ15">
        <f ca="1"/>
        <v>0</v>
      </c>
      <c r="FXK15">
        <f ca="1"/>
        <v>0</v>
      </c>
      <c r="FXL15">
        <f ca="1"/>
        <v>0</v>
      </c>
      <c r="FXM15">
        <f ca="1"/>
        <v>0</v>
      </c>
      <c r="FXN15">
        <f ca="1"/>
        <v>0</v>
      </c>
      <c r="FXO15">
        <f ca="1"/>
        <v>0</v>
      </c>
      <c r="FXP15">
        <f ca="1"/>
        <v>0</v>
      </c>
      <c r="FXQ15">
        <f ca="1"/>
        <v>0</v>
      </c>
      <c r="FXR15">
        <f ca="1"/>
        <v>0</v>
      </c>
      <c r="FXS15">
        <f ca="1"/>
        <v>0</v>
      </c>
      <c r="FXT15">
        <f ca="1"/>
        <v>0</v>
      </c>
      <c r="FXU15">
        <f ca="1"/>
        <v>0</v>
      </c>
      <c r="FXV15">
        <f ca="1"/>
        <v>0</v>
      </c>
      <c r="FXW15">
        <f ca="1"/>
        <v>0</v>
      </c>
      <c r="FXX15">
        <f ca="1"/>
        <v>0</v>
      </c>
      <c r="FXY15">
        <f ca="1"/>
        <v>0</v>
      </c>
      <c r="FXZ15">
        <f ca="1"/>
        <v>0</v>
      </c>
      <c r="FYA15">
        <f ca="1"/>
        <v>0</v>
      </c>
      <c r="FYB15">
        <f ca="1"/>
        <v>0</v>
      </c>
      <c r="FYC15">
        <f ca="1"/>
        <v>0</v>
      </c>
      <c r="FYD15">
        <f ca="1"/>
        <v>0</v>
      </c>
      <c r="FYE15">
        <f ca="1"/>
        <v>0</v>
      </c>
      <c r="FYF15">
        <f ca="1"/>
        <v>0</v>
      </c>
      <c r="FYG15">
        <f ca="1"/>
        <v>0</v>
      </c>
      <c r="FYH15">
        <f ca="1"/>
        <v>0</v>
      </c>
      <c r="FYI15">
        <f ca="1"/>
        <v>0</v>
      </c>
      <c r="FYJ15">
        <f ca="1"/>
        <v>0</v>
      </c>
      <c r="FYK15">
        <f ca="1"/>
        <v>0</v>
      </c>
      <c r="FYL15">
        <f ca="1"/>
        <v>0</v>
      </c>
      <c r="FYM15">
        <f ca="1"/>
        <v>0</v>
      </c>
      <c r="FYN15">
        <f ca="1"/>
        <v>0</v>
      </c>
      <c r="FYO15">
        <f ca="1"/>
        <v>0</v>
      </c>
      <c r="FYP15">
        <f ca="1"/>
        <v>0</v>
      </c>
      <c r="FYQ15">
        <f ca="1"/>
        <v>0</v>
      </c>
      <c r="FYR15">
        <f ca="1"/>
        <v>0</v>
      </c>
      <c r="FYS15">
        <f ca="1"/>
        <v>0</v>
      </c>
      <c r="FYT15">
        <f ca="1"/>
        <v>0</v>
      </c>
      <c r="FYU15">
        <f ca="1"/>
        <v>0</v>
      </c>
      <c r="FYV15">
        <f ca="1"/>
        <v>0</v>
      </c>
      <c r="FYW15">
        <f ca="1"/>
        <v>0</v>
      </c>
      <c r="FYX15">
        <f ca="1"/>
        <v>0</v>
      </c>
      <c r="FYY15">
        <f ca="1"/>
        <v>0</v>
      </c>
      <c r="FYZ15">
        <f ca="1"/>
        <v>0</v>
      </c>
      <c r="FZA15">
        <f ca="1"/>
        <v>0</v>
      </c>
      <c r="FZB15">
        <f ca="1"/>
        <v>0</v>
      </c>
      <c r="FZC15">
        <f ca="1"/>
        <v>0</v>
      </c>
      <c r="FZD15">
        <f ca="1"/>
        <v>0</v>
      </c>
      <c r="FZE15">
        <f ca="1"/>
        <v>0</v>
      </c>
      <c r="FZF15">
        <f ca="1"/>
        <v>0</v>
      </c>
      <c r="FZG15">
        <f ca="1"/>
        <v>0</v>
      </c>
      <c r="FZH15">
        <f ca="1"/>
        <v>0</v>
      </c>
      <c r="FZI15">
        <f ca="1"/>
        <v>0</v>
      </c>
      <c r="FZJ15">
        <f ca="1"/>
        <v>0</v>
      </c>
      <c r="FZK15">
        <f ca="1"/>
        <v>0</v>
      </c>
      <c r="FZL15">
        <f ca="1"/>
        <v>0</v>
      </c>
      <c r="FZM15">
        <f ca="1"/>
        <v>0</v>
      </c>
      <c r="FZN15">
        <f ca="1"/>
        <v>0</v>
      </c>
      <c r="FZO15">
        <f ca="1"/>
        <v>0</v>
      </c>
      <c r="FZP15">
        <f ca="1"/>
        <v>0</v>
      </c>
      <c r="FZQ15">
        <f ca="1"/>
        <v>0</v>
      </c>
      <c r="FZR15">
        <f ca="1"/>
        <v>0</v>
      </c>
      <c r="FZS15">
        <f ca="1"/>
        <v>0</v>
      </c>
      <c r="FZT15">
        <f ca="1"/>
        <v>0</v>
      </c>
      <c r="FZU15">
        <f ca="1"/>
        <v>0</v>
      </c>
      <c r="FZV15">
        <f ca="1"/>
        <v>0</v>
      </c>
      <c r="FZW15">
        <f ca="1"/>
        <v>0</v>
      </c>
      <c r="FZX15">
        <f ca="1"/>
        <v>0</v>
      </c>
      <c r="FZY15">
        <f ca="1"/>
        <v>0</v>
      </c>
      <c r="FZZ15">
        <f ca="1"/>
        <v>0</v>
      </c>
      <c r="GAA15">
        <f ca="1"/>
        <v>0</v>
      </c>
      <c r="GAB15">
        <f ca="1"/>
        <v>0</v>
      </c>
      <c r="GAC15">
        <f ca="1"/>
        <v>0</v>
      </c>
      <c r="GAD15">
        <f ca="1"/>
        <v>0</v>
      </c>
      <c r="GAE15">
        <f ca="1"/>
        <v>0</v>
      </c>
      <c r="GAF15">
        <f ca="1"/>
        <v>0</v>
      </c>
      <c r="GAG15">
        <f ca="1"/>
        <v>0</v>
      </c>
      <c r="GAH15">
        <f ca="1"/>
        <v>0</v>
      </c>
      <c r="GAI15">
        <f ca="1"/>
        <v>0</v>
      </c>
      <c r="GAJ15">
        <f ca="1"/>
        <v>0</v>
      </c>
      <c r="GAK15">
        <f ca="1"/>
        <v>0</v>
      </c>
      <c r="GAL15">
        <f ca="1"/>
        <v>0</v>
      </c>
      <c r="GAM15">
        <f ca="1"/>
        <v>0</v>
      </c>
      <c r="GAN15">
        <f ca="1"/>
        <v>0</v>
      </c>
      <c r="GAO15">
        <f ca="1"/>
        <v>0</v>
      </c>
      <c r="GAP15">
        <f ca="1"/>
        <v>0</v>
      </c>
      <c r="GAQ15">
        <f ca="1"/>
        <v>0</v>
      </c>
      <c r="GAR15">
        <f ca="1"/>
        <v>0</v>
      </c>
      <c r="GAS15">
        <f ca="1"/>
        <v>0</v>
      </c>
      <c r="GAT15">
        <f ca="1"/>
        <v>0</v>
      </c>
      <c r="GAU15">
        <f ca="1"/>
        <v>0</v>
      </c>
      <c r="GAV15">
        <f ca="1"/>
        <v>0</v>
      </c>
      <c r="GAW15">
        <f ca="1"/>
        <v>0</v>
      </c>
      <c r="GAX15">
        <f ca="1"/>
        <v>0</v>
      </c>
      <c r="GAY15">
        <f ca="1"/>
        <v>0</v>
      </c>
      <c r="GAZ15">
        <f ca="1"/>
        <v>0</v>
      </c>
      <c r="GBA15">
        <f ca="1"/>
        <v>0</v>
      </c>
      <c r="GBB15">
        <f ca="1"/>
        <v>0</v>
      </c>
      <c r="GBC15">
        <f ca="1"/>
        <v>0</v>
      </c>
      <c r="GBD15">
        <f ca="1"/>
        <v>0</v>
      </c>
      <c r="GBE15">
        <f ca="1"/>
        <v>0</v>
      </c>
      <c r="GBF15">
        <f ca="1"/>
        <v>0</v>
      </c>
      <c r="GBG15">
        <f ca="1"/>
        <v>0</v>
      </c>
      <c r="GBH15">
        <f ca="1"/>
        <v>0</v>
      </c>
      <c r="GBI15">
        <f ca="1"/>
        <v>0</v>
      </c>
      <c r="GBJ15">
        <f ca="1"/>
        <v>0</v>
      </c>
      <c r="GBK15">
        <f ca="1"/>
        <v>0</v>
      </c>
      <c r="GBL15">
        <f ca="1"/>
        <v>0</v>
      </c>
      <c r="GBM15">
        <f ca="1"/>
        <v>0</v>
      </c>
      <c r="GBN15">
        <f ca="1"/>
        <v>0</v>
      </c>
      <c r="GBO15">
        <f ca="1"/>
        <v>0</v>
      </c>
      <c r="GBP15">
        <f ca="1"/>
        <v>0</v>
      </c>
      <c r="GBQ15">
        <f ca="1"/>
        <v>0</v>
      </c>
      <c r="GBR15">
        <f ca="1"/>
        <v>0</v>
      </c>
      <c r="GBS15">
        <f ca="1"/>
        <v>0</v>
      </c>
      <c r="GBT15">
        <f ca="1"/>
        <v>0</v>
      </c>
      <c r="GBU15">
        <f ca="1"/>
        <v>0</v>
      </c>
      <c r="GBV15">
        <f ca="1"/>
        <v>0</v>
      </c>
      <c r="GBW15">
        <f ca="1"/>
        <v>0</v>
      </c>
      <c r="GBX15">
        <f ca="1"/>
        <v>0</v>
      </c>
      <c r="GBY15">
        <f ca="1"/>
        <v>0</v>
      </c>
      <c r="GBZ15">
        <f ca="1"/>
        <v>0</v>
      </c>
      <c r="GCA15">
        <f ca="1"/>
        <v>0</v>
      </c>
      <c r="GCB15">
        <f ca="1"/>
        <v>0</v>
      </c>
      <c r="GCC15">
        <f ca="1"/>
        <v>0</v>
      </c>
      <c r="GCD15">
        <f ca="1"/>
        <v>0</v>
      </c>
      <c r="GCE15">
        <f ca="1"/>
        <v>0</v>
      </c>
      <c r="GCF15">
        <f ca="1"/>
        <v>0</v>
      </c>
      <c r="GCG15">
        <f ca="1"/>
        <v>0</v>
      </c>
      <c r="GCH15">
        <f ca="1"/>
        <v>0</v>
      </c>
      <c r="GCI15">
        <f ca="1"/>
        <v>0</v>
      </c>
      <c r="GCJ15">
        <f ca="1"/>
        <v>0</v>
      </c>
      <c r="GCK15">
        <f ca="1"/>
        <v>0</v>
      </c>
      <c r="GCL15">
        <f ca="1"/>
        <v>0</v>
      </c>
      <c r="GCM15">
        <f ca="1"/>
        <v>0</v>
      </c>
      <c r="GCN15">
        <f ca="1"/>
        <v>0</v>
      </c>
      <c r="GCO15">
        <f ca="1"/>
        <v>0</v>
      </c>
      <c r="GCP15">
        <f ca="1"/>
        <v>0</v>
      </c>
      <c r="GCQ15">
        <f ca="1"/>
        <v>0</v>
      </c>
      <c r="GCR15">
        <f ca="1"/>
        <v>0</v>
      </c>
      <c r="GCS15">
        <f ca="1"/>
        <v>0</v>
      </c>
      <c r="GCT15">
        <f ca="1"/>
        <v>0</v>
      </c>
      <c r="GCU15">
        <f ca="1"/>
        <v>0</v>
      </c>
      <c r="GCV15">
        <f ca="1"/>
        <v>0</v>
      </c>
      <c r="GCW15">
        <f ca="1"/>
        <v>0</v>
      </c>
      <c r="GCX15">
        <f ca="1"/>
        <v>0</v>
      </c>
      <c r="GCY15">
        <f ca="1"/>
        <v>0</v>
      </c>
      <c r="GCZ15">
        <f ca="1"/>
        <v>0</v>
      </c>
      <c r="GDA15">
        <f ca="1"/>
        <v>0</v>
      </c>
      <c r="GDB15">
        <f ca="1"/>
        <v>0</v>
      </c>
      <c r="GDC15">
        <f ca="1"/>
        <v>0</v>
      </c>
      <c r="GDD15">
        <f ca="1"/>
        <v>0</v>
      </c>
      <c r="GDE15">
        <f ca="1"/>
        <v>0</v>
      </c>
      <c r="GDF15">
        <f ca="1"/>
        <v>0</v>
      </c>
      <c r="GDG15">
        <f ca="1"/>
        <v>0</v>
      </c>
      <c r="GDH15">
        <f ca="1"/>
        <v>0</v>
      </c>
      <c r="GDI15">
        <f ca="1"/>
        <v>0</v>
      </c>
      <c r="GDJ15">
        <f ca="1"/>
        <v>0</v>
      </c>
      <c r="GDK15">
        <f ca="1"/>
        <v>0</v>
      </c>
      <c r="GDL15">
        <f ca="1"/>
        <v>0</v>
      </c>
      <c r="GDM15">
        <f ca="1"/>
        <v>0</v>
      </c>
      <c r="GDN15">
        <f ca="1"/>
        <v>0</v>
      </c>
      <c r="GDO15">
        <f ca="1"/>
        <v>0</v>
      </c>
      <c r="GDP15">
        <f ca="1"/>
        <v>0</v>
      </c>
      <c r="GDQ15">
        <f ca="1"/>
        <v>0</v>
      </c>
      <c r="GDR15">
        <f ca="1"/>
        <v>0</v>
      </c>
      <c r="GDS15">
        <f ca="1"/>
        <v>0</v>
      </c>
      <c r="GDT15">
        <f ca="1"/>
        <v>0</v>
      </c>
      <c r="GDU15">
        <f ca="1"/>
        <v>0</v>
      </c>
      <c r="GDV15">
        <f ca="1"/>
        <v>0</v>
      </c>
      <c r="GDW15">
        <f ca="1"/>
        <v>0</v>
      </c>
      <c r="GDX15">
        <f ca="1"/>
        <v>0</v>
      </c>
      <c r="GDY15">
        <f ca="1"/>
        <v>0</v>
      </c>
      <c r="GDZ15">
        <f ca="1"/>
        <v>0</v>
      </c>
      <c r="GEA15">
        <f ca="1"/>
        <v>0</v>
      </c>
      <c r="GEB15">
        <f ca="1"/>
        <v>0</v>
      </c>
      <c r="GEC15">
        <f ca="1"/>
        <v>0</v>
      </c>
      <c r="GED15">
        <f ca="1"/>
        <v>0</v>
      </c>
      <c r="GEE15">
        <f ca="1"/>
        <v>0</v>
      </c>
      <c r="GEF15">
        <f ca="1"/>
        <v>0</v>
      </c>
      <c r="GEG15">
        <f ca="1"/>
        <v>0</v>
      </c>
      <c r="GEH15">
        <f ca="1"/>
        <v>0</v>
      </c>
      <c r="GEI15">
        <f ca="1"/>
        <v>0</v>
      </c>
      <c r="GEJ15">
        <f ca="1"/>
        <v>0</v>
      </c>
      <c r="GEK15">
        <f ca="1"/>
        <v>0</v>
      </c>
      <c r="GEL15">
        <f ca="1"/>
        <v>0</v>
      </c>
      <c r="GEM15">
        <f ca="1"/>
        <v>0</v>
      </c>
      <c r="GEN15">
        <f ca="1"/>
        <v>0</v>
      </c>
      <c r="GEO15">
        <f ca="1"/>
        <v>0</v>
      </c>
      <c r="GEP15">
        <f ca="1"/>
        <v>0</v>
      </c>
      <c r="GEQ15">
        <f ca="1"/>
        <v>0</v>
      </c>
      <c r="GER15">
        <f ca="1"/>
        <v>0</v>
      </c>
      <c r="GES15">
        <f ca="1"/>
        <v>0</v>
      </c>
      <c r="GET15">
        <f ca="1"/>
        <v>0</v>
      </c>
      <c r="GEU15">
        <f ca="1"/>
        <v>0</v>
      </c>
      <c r="GEV15">
        <f ca="1"/>
        <v>0</v>
      </c>
      <c r="GEW15">
        <f ca="1"/>
        <v>0</v>
      </c>
      <c r="GEX15">
        <f ca="1"/>
        <v>0</v>
      </c>
      <c r="GEY15">
        <f ca="1"/>
        <v>0</v>
      </c>
      <c r="GEZ15">
        <f ca="1"/>
        <v>0</v>
      </c>
      <c r="GFA15">
        <f ca="1"/>
        <v>0</v>
      </c>
      <c r="GFB15">
        <f ca="1"/>
        <v>0</v>
      </c>
      <c r="GFC15">
        <f ca="1"/>
        <v>0</v>
      </c>
      <c r="GFD15">
        <f ca="1"/>
        <v>0</v>
      </c>
      <c r="GFE15">
        <f ca="1"/>
        <v>0</v>
      </c>
      <c r="GFF15">
        <f ca="1"/>
        <v>0</v>
      </c>
      <c r="GFG15">
        <f ca="1"/>
        <v>0</v>
      </c>
      <c r="GFH15">
        <f ca="1"/>
        <v>0</v>
      </c>
      <c r="GFI15">
        <f ca="1"/>
        <v>0</v>
      </c>
      <c r="GFJ15">
        <f ca="1"/>
        <v>0</v>
      </c>
      <c r="GFK15">
        <f ca="1"/>
        <v>0</v>
      </c>
      <c r="GFL15">
        <f ca="1"/>
        <v>0</v>
      </c>
      <c r="GFM15">
        <f ca="1"/>
        <v>0</v>
      </c>
      <c r="GFN15">
        <f ca="1"/>
        <v>0</v>
      </c>
      <c r="GFO15">
        <f ca="1"/>
        <v>0</v>
      </c>
      <c r="GFP15">
        <f ca="1"/>
        <v>0</v>
      </c>
      <c r="GFQ15">
        <f ca="1"/>
        <v>0</v>
      </c>
      <c r="GFR15">
        <f ca="1"/>
        <v>0</v>
      </c>
      <c r="GFS15">
        <f ca="1"/>
        <v>0</v>
      </c>
      <c r="GFT15">
        <f ca="1"/>
        <v>0</v>
      </c>
      <c r="GFU15">
        <f ca="1"/>
        <v>0</v>
      </c>
      <c r="GFV15">
        <f ca="1"/>
        <v>0</v>
      </c>
      <c r="GFW15">
        <f ca="1"/>
        <v>0</v>
      </c>
      <c r="GFX15">
        <f ca="1"/>
        <v>0</v>
      </c>
      <c r="GFY15">
        <f ca="1"/>
        <v>0</v>
      </c>
      <c r="GFZ15">
        <f ca="1"/>
        <v>0</v>
      </c>
      <c r="GGA15">
        <f ca="1"/>
        <v>0</v>
      </c>
      <c r="GGB15">
        <f ca="1"/>
        <v>0</v>
      </c>
      <c r="GGC15">
        <f ca="1"/>
        <v>0</v>
      </c>
      <c r="GGD15">
        <f ca="1"/>
        <v>0</v>
      </c>
      <c r="GGE15">
        <f ca="1"/>
        <v>0</v>
      </c>
      <c r="GGF15">
        <f ca="1"/>
        <v>0</v>
      </c>
      <c r="GGG15">
        <f ca="1"/>
        <v>0</v>
      </c>
      <c r="GGH15">
        <f ca="1"/>
        <v>0</v>
      </c>
      <c r="GGI15">
        <f ca="1"/>
        <v>0</v>
      </c>
      <c r="GGJ15">
        <f ca="1"/>
        <v>0</v>
      </c>
      <c r="GGK15">
        <f ca="1"/>
        <v>0</v>
      </c>
      <c r="GGL15">
        <f ca="1"/>
        <v>0</v>
      </c>
      <c r="GGM15">
        <f ca="1"/>
        <v>0</v>
      </c>
      <c r="GGN15">
        <f ca="1"/>
        <v>0</v>
      </c>
      <c r="GGO15">
        <f ca="1"/>
        <v>0</v>
      </c>
      <c r="GGP15">
        <f ca="1"/>
        <v>0</v>
      </c>
      <c r="GGQ15">
        <f ca="1"/>
        <v>0</v>
      </c>
      <c r="GGR15">
        <f ca="1"/>
        <v>0</v>
      </c>
      <c r="GGS15">
        <f ca="1"/>
        <v>0</v>
      </c>
      <c r="GGT15">
        <f ca="1"/>
        <v>0</v>
      </c>
      <c r="GGU15">
        <f ca="1"/>
        <v>0</v>
      </c>
      <c r="GGV15">
        <f ca="1"/>
        <v>0</v>
      </c>
      <c r="GGW15">
        <f ca="1"/>
        <v>0</v>
      </c>
      <c r="GGX15">
        <f ca="1"/>
        <v>0</v>
      </c>
      <c r="GGY15">
        <f ca="1"/>
        <v>0</v>
      </c>
      <c r="GGZ15">
        <f ca="1"/>
        <v>0</v>
      </c>
      <c r="GHA15">
        <f ca="1"/>
        <v>0</v>
      </c>
      <c r="GHB15">
        <f ca="1"/>
        <v>0</v>
      </c>
      <c r="GHC15">
        <f ca="1"/>
        <v>0</v>
      </c>
      <c r="GHD15">
        <f ca="1"/>
        <v>0</v>
      </c>
      <c r="GHE15">
        <f ca="1"/>
        <v>0</v>
      </c>
      <c r="GHF15">
        <f ca="1"/>
        <v>0</v>
      </c>
      <c r="GHG15">
        <f ca="1"/>
        <v>0</v>
      </c>
      <c r="GHH15">
        <f ca="1"/>
        <v>0</v>
      </c>
      <c r="GHI15">
        <f ca="1"/>
        <v>0</v>
      </c>
      <c r="GHJ15">
        <f ca="1"/>
        <v>0</v>
      </c>
      <c r="GHK15">
        <f ca="1"/>
        <v>0</v>
      </c>
      <c r="GHL15">
        <f ca="1"/>
        <v>0</v>
      </c>
      <c r="GHM15">
        <f ca="1"/>
        <v>0</v>
      </c>
      <c r="GHN15">
        <f ca="1"/>
        <v>0</v>
      </c>
      <c r="GHO15">
        <f ca="1"/>
        <v>0</v>
      </c>
      <c r="GHP15">
        <f ca="1"/>
        <v>0</v>
      </c>
      <c r="GHQ15">
        <f ca="1"/>
        <v>0</v>
      </c>
      <c r="GHR15">
        <f ca="1"/>
        <v>0</v>
      </c>
      <c r="GHS15">
        <f ca="1"/>
        <v>0</v>
      </c>
      <c r="GHT15">
        <f ca="1"/>
        <v>0</v>
      </c>
      <c r="GHU15">
        <f ca="1"/>
        <v>0</v>
      </c>
      <c r="GHV15">
        <f ca="1"/>
        <v>0</v>
      </c>
      <c r="GHW15">
        <f ca="1"/>
        <v>0</v>
      </c>
      <c r="GHX15">
        <f ca="1"/>
        <v>0</v>
      </c>
      <c r="GHY15">
        <f ca="1"/>
        <v>0</v>
      </c>
      <c r="GHZ15">
        <f ca="1"/>
        <v>0</v>
      </c>
      <c r="GIA15">
        <f ca="1"/>
        <v>0</v>
      </c>
      <c r="GIB15">
        <f ca="1"/>
        <v>0</v>
      </c>
      <c r="GIC15">
        <f ca="1"/>
        <v>0</v>
      </c>
      <c r="GID15">
        <f ca="1"/>
        <v>0</v>
      </c>
      <c r="GIE15">
        <f ca="1"/>
        <v>0</v>
      </c>
      <c r="GIF15">
        <f ca="1"/>
        <v>0</v>
      </c>
      <c r="GIG15">
        <f ca="1"/>
        <v>0</v>
      </c>
      <c r="GIH15">
        <f ca="1"/>
        <v>0</v>
      </c>
      <c r="GII15">
        <f ca="1"/>
        <v>0</v>
      </c>
      <c r="GIJ15">
        <f ca="1"/>
        <v>0</v>
      </c>
      <c r="GIK15">
        <f ca="1"/>
        <v>0</v>
      </c>
      <c r="GIL15">
        <f ca="1"/>
        <v>0</v>
      </c>
      <c r="GIM15">
        <f ca="1"/>
        <v>0</v>
      </c>
      <c r="GIN15">
        <f ca="1"/>
        <v>0</v>
      </c>
      <c r="GIO15">
        <f ca="1"/>
        <v>0</v>
      </c>
      <c r="GIP15">
        <f ca="1"/>
        <v>0</v>
      </c>
      <c r="GIQ15">
        <f ca="1"/>
        <v>0</v>
      </c>
      <c r="GIR15">
        <f ca="1"/>
        <v>0</v>
      </c>
      <c r="GIS15">
        <f ca="1"/>
        <v>0</v>
      </c>
      <c r="GIT15">
        <f ca="1"/>
        <v>0</v>
      </c>
      <c r="GIU15">
        <f ca="1"/>
        <v>0</v>
      </c>
      <c r="GIV15">
        <f ca="1"/>
        <v>0</v>
      </c>
      <c r="GIW15">
        <f ca="1"/>
        <v>0</v>
      </c>
      <c r="GIX15">
        <f ca="1"/>
        <v>0</v>
      </c>
      <c r="GIY15">
        <f ca="1"/>
        <v>0</v>
      </c>
      <c r="GIZ15">
        <f ca="1"/>
        <v>0</v>
      </c>
      <c r="GJA15">
        <f ca="1"/>
        <v>0</v>
      </c>
      <c r="GJB15">
        <f ca="1"/>
        <v>0</v>
      </c>
      <c r="GJC15">
        <f ca="1"/>
        <v>0</v>
      </c>
      <c r="GJD15">
        <f ca="1"/>
        <v>0</v>
      </c>
      <c r="GJE15">
        <f ca="1"/>
        <v>0</v>
      </c>
      <c r="GJF15">
        <f ca="1"/>
        <v>0</v>
      </c>
      <c r="GJG15">
        <f ca="1"/>
        <v>0</v>
      </c>
      <c r="GJH15">
        <f ca="1"/>
        <v>0</v>
      </c>
      <c r="GJI15">
        <f ca="1"/>
        <v>0</v>
      </c>
      <c r="GJJ15">
        <f ca="1"/>
        <v>0</v>
      </c>
      <c r="GJK15">
        <f ca="1"/>
        <v>0</v>
      </c>
      <c r="GJL15">
        <f ca="1"/>
        <v>0</v>
      </c>
      <c r="GJM15">
        <f ca="1"/>
        <v>0</v>
      </c>
      <c r="GJN15">
        <f ca="1"/>
        <v>0</v>
      </c>
      <c r="GJO15">
        <f ca="1"/>
        <v>0</v>
      </c>
      <c r="GJP15">
        <f ca="1"/>
        <v>0</v>
      </c>
      <c r="GJQ15">
        <f ca="1"/>
        <v>0</v>
      </c>
      <c r="GJR15">
        <f ca="1"/>
        <v>0</v>
      </c>
      <c r="GJS15">
        <f ca="1"/>
        <v>0</v>
      </c>
      <c r="GJT15">
        <f ca="1"/>
        <v>0</v>
      </c>
      <c r="GJU15">
        <f ca="1"/>
        <v>0</v>
      </c>
      <c r="GJV15">
        <f ca="1"/>
        <v>0</v>
      </c>
      <c r="GJW15">
        <f ca="1"/>
        <v>0</v>
      </c>
      <c r="GJX15">
        <f ca="1"/>
        <v>0</v>
      </c>
      <c r="GJY15">
        <f ca="1"/>
        <v>0</v>
      </c>
      <c r="GJZ15">
        <f ca="1"/>
        <v>0</v>
      </c>
      <c r="GKA15">
        <f ca="1"/>
        <v>0</v>
      </c>
      <c r="GKB15">
        <f ca="1"/>
        <v>0</v>
      </c>
      <c r="GKC15">
        <f ca="1"/>
        <v>0</v>
      </c>
      <c r="GKD15">
        <f ca="1"/>
        <v>0</v>
      </c>
      <c r="GKE15">
        <f ca="1"/>
        <v>0</v>
      </c>
      <c r="GKF15">
        <f ca="1"/>
        <v>0</v>
      </c>
      <c r="GKG15">
        <f ca="1"/>
        <v>0</v>
      </c>
      <c r="GKH15">
        <f ca="1"/>
        <v>0</v>
      </c>
      <c r="GKI15">
        <f ca="1"/>
        <v>0</v>
      </c>
      <c r="GKJ15">
        <f ca="1"/>
        <v>0</v>
      </c>
      <c r="GKK15">
        <f ca="1"/>
        <v>0</v>
      </c>
      <c r="GKL15">
        <f ca="1"/>
        <v>0</v>
      </c>
      <c r="GKM15">
        <f ca="1"/>
        <v>0</v>
      </c>
      <c r="GKN15">
        <f ca="1"/>
        <v>0</v>
      </c>
      <c r="GKO15">
        <f ca="1"/>
        <v>0</v>
      </c>
      <c r="GKP15">
        <f ca="1"/>
        <v>0</v>
      </c>
      <c r="GKQ15">
        <f ca="1"/>
        <v>0</v>
      </c>
      <c r="GKR15">
        <f ca="1"/>
        <v>0</v>
      </c>
      <c r="GKS15">
        <f ca="1"/>
        <v>0</v>
      </c>
      <c r="GKT15">
        <f ca="1"/>
        <v>0</v>
      </c>
      <c r="GKU15">
        <f ca="1"/>
        <v>0</v>
      </c>
      <c r="GKV15">
        <f ca="1"/>
        <v>0</v>
      </c>
      <c r="GKW15">
        <f ca="1"/>
        <v>0</v>
      </c>
      <c r="GKX15">
        <f ca="1"/>
        <v>0</v>
      </c>
      <c r="GKY15">
        <f ca="1"/>
        <v>0</v>
      </c>
      <c r="GKZ15">
        <f ca="1"/>
        <v>0</v>
      </c>
      <c r="GLA15">
        <f ca="1"/>
        <v>0</v>
      </c>
      <c r="GLB15">
        <f ca="1"/>
        <v>0</v>
      </c>
      <c r="GLC15">
        <f ca="1"/>
        <v>0</v>
      </c>
      <c r="GLD15">
        <f ca="1"/>
        <v>0</v>
      </c>
      <c r="GLE15">
        <f ca="1"/>
        <v>0</v>
      </c>
      <c r="GLF15">
        <f ca="1"/>
        <v>0</v>
      </c>
      <c r="GLG15">
        <f ca="1"/>
        <v>0</v>
      </c>
      <c r="GLH15">
        <f ca="1"/>
        <v>0</v>
      </c>
      <c r="GLI15">
        <f ca="1"/>
        <v>0</v>
      </c>
      <c r="GLJ15">
        <f ca="1"/>
        <v>0</v>
      </c>
      <c r="GLK15">
        <f ca="1"/>
        <v>0</v>
      </c>
      <c r="GLL15">
        <f ca="1"/>
        <v>0</v>
      </c>
      <c r="GLM15">
        <f ca="1"/>
        <v>0</v>
      </c>
      <c r="GLN15">
        <f ca="1"/>
        <v>0</v>
      </c>
      <c r="GLO15">
        <f ca="1"/>
        <v>0</v>
      </c>
      <c r="GLP15">
        <f ca="1"/>
        <v>0</v>
      </c>
      <c r="GLQ15">
        <f ca="1"/>
        <v>0</v>
      </c>
      <c r="GLR15">
        <f ca="1"/>
        <v>0</v>
      </c>
      <c r="GLS15">
        <f ca="1"/>
        <v>0</v>
      </c>
      <c r="GLT15">
        <f ca="1"/>
        <v>0</v>
      </c>
      <c r="GLU15">
        <f ca="1"/>
        <v>0</v>
      </c>
      <c r="GLV15">
        <f ca="1"/>
        <v>0</v>
      </c>
      <c r="GLW15">
        <f ca="1"/>
        <v>0</v>
      </c>
      <c r="GLX15">
        <f ca="1"/>
        <v>0</v>
      </c>
      <c r="GLY15">
        <f ca="1"/>
        <v>0</v>
      </c>
      <c r="GLZ15">
        <f ca="1"/>
        <v>0</v>
      </c>
      <c r="GMA15">
        <f ca="1"/>
        <v>0</v>
      </c>
      <c r="GMB15">
        <f ca="1"/>
        <v>0</v>
      </c>
      <c r="GMC15">
        <f ca="1"/>
        <v>0</v>
      </c>
      <c r="GMD15">
        <f ca="1"/>
        <v>0</v>
      </c>
      <c r="GME15">
        <f ca="1"/>
        <v>0</v>
      </c>
      <c r="GMF15">
        <f ca="1"/>
        <v>0</v>
      </c>
      <c r="GMG15">
        <f ca="1"/>
        <v>0</v>
      </c>
      <c r="GMH15">
        <f ca="1"/>
        <v>0</v>
      </c>
      <c r="GMI15">
        <f ca="1"/>
        <v>0</v>
      </c>
      <c r="GMJ15">
        <f ca="1"/>
        <v>0</v>
      </c>
      <c r="GMK15">
        <f ca="1"/>
        <v>0</v>
      </c>
      <c r="GML15">
        <f ca="1"/>
        <v>0</v>
      </c>
      <c r="GMM15">
        <f ca="1"/>
        <v>0</v>
      </c>
      <c r="GMN15">
        <f ca="1"/>
        <v>0</v>
      </c>
      <c r="GMO15">
        <f ca="1"/>
        <v>0</v>
      </c>
      <c r="GMP15">
        <f ca="1"/>
        <v>0</v>
      </c>
      <c r="GMQ15">
        <f ca="1"/>
        <v>0</v>
      </c>
      <c r="GMR15">
        <f ca="1"/>
        <v>0</v>
      </c>
      <c r="GMS15">
        <f ca="1"/>
        <v>0</v>
      </c>
      <c r="GMT15">
        <f ca="1"/>
        <v>0</v>
      </c>
      <c r="GMU15">
        <f ca="1"/>
        <v>0</v>
      </c>
      <c r="GMV15">
        <f ca="1"/>
        <v>0</v>
      </c>
      <c r="GMW15">
        <f ca="1"/>
        <v>0</v>
      </c>
      <c r="GMX15">
        <f ca="1"/>
        <v>0</v>
      </c>
      <c r="GMY15">
        <f ca="1"/>
        <v>0</v>
      </c>
      <c r="GMZ15">
        <f ca="1"/>
        <v>0</v>
      </c>
      <c r="GNA15">
        <f ca="1"/>
        <v>0</v>
      </c>
      <c r="GNB15">
        <f ca="1"/>
        <v>0</v>
      </c>
      <c r="GNC15">
        <f ca="1"/>
        <v>0</v>
      </c>
      <c r="GND15">
        <f ca="1"/>
        <v>0</v>
      </c>
      <c r="GNE15">
        <f ca="1"/>
        <v>0</v>
      </c>
      <c r="GNF15">
        <f ca="1"/>
        <v>0</v>
      </c>
      <c r="GNG15">
        <f ca="1"/>
        <v>0</v>
      </c>
      <c r="GNH15">
        <f ca="1"/>
        <v>0</v>
      </c>
      <c r="GNI15">
        <f ca="1"/>
        <v>0</v>
      </c>
      <c r="GNJ15">
        <f ca="1"/>
        <v>0</v>
      </c>
      <c r="GNK15">
        <f ca="1"/>
        <v>0</v>
      </c>
      <c r="GNL15">
        <f ca="1"/>
        <v>0</v>
      </c>
      <c r="GNM15">
        <f ca="1"/>
        <v>0</v>
      </c>
      <c r="GNN15">
        <f ca="1"/>
        <v>0</v>
      </c>
      <c r="GNO15">
        <f ca="1"/>
        <v>0</v>
      </c>
      <c r="GNP15">
        <f ca="1"/>
        <v>0</v>
      </c>
      <c r="GNQ15">
        <f ca="1"/>
        <v>0</v>
      </c>
      <c r="GNR15">
        <f ca="1"/>
        <v>0</v>
      </c>
      <c r="GNS15">
        <f ca="1"/>
        <v>0</v>
      </c>
      <c r="GNT15">
        <f ca="1"/>
        <v>0</v>
      </c>
      <c r="GNU15">
        <f ca="1"/>
        <v>0</v>
      </c>
      <c r="GNV15">
        <f ca="1"/>
        <v>0</v>
      </c>
      <c r="GNW15">
        <f ca="1"/>
        <v>0</v>
      </c>
      <c r="GNX15">
        <f ca="1"/>
        <v>0</v>
      </c>
      <c r="GNY15">
        <f ca="1"/>
        <v>0</v>
      </c>
      <c r="GNZ15">
        <f ca="1"/>
        <v>0</v>
      </c>
      <c r="GOA15">
        <f ca="1"/>
        <v>0</v>
      </c>
      <c r="GOB15">
        <f ca="1"/>
        <v>0</v>
      </c>
      <c r="GOC15">
        <f ca="1"/>
        <v>0</v>
      </c>
      <c r="GOD15">
        <f ca="1"/>
        <v>0</v>
      </c>
      <c r="GOE15">
        <f ca="1"/>
        <v>0</v>
      </c>
      <c r="GOF15">
        <f ca="1"/>
        <v>0</v>
      </c>
      <c r="GOG15">
        <f ca="1"/>
        <v>0</v>
      </c>
      <c r="GOH15">
        <f ca="1"/>
        <v>0</v>
      </c>
      <c r="GOI15">
        <f ca="1"/>
        <v>0</v>
      </c>
      <c r="GOJ15">
        <f ca="1"/>
        <v>0</v>
      </c>
      <c r="GOK15">
        <f ca="1"/>
        <v>0</v>
      </c>
      <c r="GOL15">
        <f ca="1"/>
        <v>0</v>
      </c>
      <c r="GOM15">
        <f ca="1"/>
        <v>0</v>
      </c>
      <c r="GON15">
        <f ca="1"/>
        <v>0</v>
      </c>
      <c r="GOO15">
        <f ca="1"/>
        <v>0</v>
      </c>
      <c r="GOP15">
        <f ca="1"/>
        <v>0</v>
      </c>
      <c r="GOQ15">
        <f ca="1"/>
        <v>0</v>
      </c>
      <c r="GOR15">
        <f ca="1"/>
        <v>0</v>
      </c>
      <c r="GOS15">
        <f ca="1"/>
        <v>0</v>
      </c>
      <c r="GOT15">
        <f ca="1"/>
        <v>0</v>
      </c>
      <c r="GOU15">
        <f ca="1"/>
        <v>0</v>
      </c>
      <c r="GOV15">
        <f ca="1"/>
        <v>0</v>
      </c>
      <c r="GOW15">
        <f ca="1"/>
        <v>0</v>
      </c>
      <c r="GOX15">
        <f ca="1"/>
        <v>0</v>
      </c>
      <c r="GOY15">
        <f ca="1"/>
        <v>0</v>
      </c>
      <c r="GOZ15">
        <f ca="1"/>
        <v>0</v>
      </c>
      <c r="GPA15">
        <f ca="1"/>
        <v>0</v>
      </c>
      <c r="GPB15">
        <f ca="1"/>
        <v>0</v>
      </c>
      <c r="GPC15">
        <f ca="1"/>
        <v>0</v>
      </c>
      <c r="GPD15">
        <f ca="1"/>
        <v>0</v>
      </c>
      <c r="GPE15">
        <f ca="1"/>
        <v>0</v>
      </c>
      <c r="GPF15">
        <f ca="1"/>
        <v>0</v>
      </c>
      <c r="GPG15">
        <f ca="1"/>
        <v>0</v>
      </c>
      <c r="GPH15">
        <f ca="1"/>
        <v>0</v>
      </c>
      <c r="GPI15">
        <f ca="1"/>
        <v>0</v>
      </c>
      <c r="GPJ15">
        <f ca="1"/>
        <v>0</v>
      </c>
      <c r="GPK15">
        <f ca="1"/>
        <v>0</v>
      </c>
      <c r="GPL15">
        <f ca="1"/>
        <v>0</v>
      </c>
      <c r="GPM15">
        <f ca="1"/>
        <v>0</v>
      </c>
      <c r="GPN15">
        <f ca="1"/>
        <v>0</v>
      </c>
      <c r="GPO15">
        <f ca="1"/>
        <v>0</v>
      </c>
      <c r="GPP15">
        <f ca="1"/>
        <v>0</v>
      </c>
      <c r="GPQ15">
        <f ca="1"/>
        <v>0</v>
      </c>
      <c r="GPR15">
        <f ca="1"/>
        <v>0</v>
      </c>
      <c r="GPS15">
        <f ca="1"/>
        <v>0</v>
      </c>
      <c r="GPT15">
        <f ca="1"/>
        <v>0</v>
      </c>
      <c r="GPU15">
        <f ca="1"/>
        <v>0</v>
      </c>
      <c r="GPV15">
        <f ca="1"/>
        <v>0</v>
      </c>
      <c r="GPW15">
        <f ca="1"/>
        <v>0</v>
      </c>
      <c r="GPX15">
        <f ca="1"/>
        <v>0</v>
      </c>
      <c r="GPY15">
        <f ca="1"/>
        <v>0</v>
      </c>
      <c r="GPZ15">
        <f ca="1"/>
        <v>0</v>
      </c>
      <c r="GQA15">
        <f ca="1"/>
        <v>0</v>
      </c>
      <c r="GQB15">
        <f ca="1"/>
        <v>0</v>
      </c>
      <c r="GQC15">
        <f ca="1"/>
        <v>0</v>
      </c>
      <c r="GQD15">
        <f ca="1"/>
        <v>0</v>
      </c>
      <c r="GQE15">
        <f ca="1"/>
        <v>0</v>
      </c>
      <c r="GQF15">
        <f ca="1"/>
        <v>0</v>
      </c>
      <c r="GQG15">
        <f ca="1"/>
        <v>0</v>
      </c>
      <c r="GQH15">
        <f ca="1"/>
        <v>0</v>
      </c>
      <c r="GQI15">
        <f ca="1"/>
        <v>0</v>
      </c>
      <c r="GQJ15">
        <f ca="1"/>
        <v>0</v>
      </c>
      <c r="GQK15">
        <f ca="1"/>
        <v>0</v>
      </c>
      <c r="GQL15">
        <f ca="1"/>
        <v>0</v>
      </c>
      <c r="GQM15">
        <f ca="1"/>
        <v>0</v>
      </c>
      <c r="GQN15">
        <f ca="1"/>
        <v>0</v>
      </c>
      <c r="GQO15">
        <f ca="1"/>
        <v>0</v>
      </c>
      <c r="GQP15">
        <f ca="1"/>
        <v>0</v>
      </c>
      <c r="GQQ15">
        <f ca="1"/>
        <v>0</v>
      </c>
      <c r="GQR15">
        <f ca="1"/>
        <v>0</v>
      </c>
      <c r="GQS15">
        <f ca="1"/>
        <v>0</v>
      </c>
      <c r="GQT15">
        <f ca="1"/>
        <v>0</v>
      </c>
      <c r="GQU15">
        <f ca="1"/>
        <v>0</v>
      </c>
      <c r="GQV15">
        <f ca="1"/>
        <v>0</v>
      </c>
      <c r="GQW15">
        <f ca="1"/>
        <v>0</v>
      </c>
      <c r="GQX15">
        <f ca="1"/>
        <v>0</v>
      </c>
      <c r="GQY15">
        <f ca="1"/>
        <v>0</v>
      </c>
      <c r="GQZ15">
        <f ca="1"/>
        <v>0</v>
      </c>
      <c r="GRA15">
        <f ca="1"/>
        <v>0</v>
      </c>
      <c r="GRB15">
        <f ca="1"/>
        <v>0</v>
      </c>
      <c r="GRC15">
        <f ca="1"/>
        <v>0</v>
      </c>
      <c r="GRD15">
        <f ca="1"/>
        <v>0</v>
      </c>
      <c r="GRE15">
        <f ca="1"/>
        <v>0</v>
      </c>
      <c r="GRF15">
        <f ca="1"/>
        <v>0</v>
      </c>
      <c r="GRG15">
        <f ca="1"/>
        <v>0</v>
      </c>
      <c r="GRH15">
        <f ca="1"/>
        <v>0</v>
      </c>
      <c r="GRI15">
        <f ca="1"/>
        <v>0</v>
      </c>
      <c r="GRJ15">
        <f ca="1"/>
        <v>0</v>
      </c>
      <c r="GRK15">
        <f ca="1"/>
        <v>0</v>
      </c>
      <c r="GRL15">
        <f ca="1"/>
        <v>0</v>
      </c>
      <c r="GRM15">
        <f ca="1"/>
        <v>0</v>
      </c>
      <c r="GRN15">
        <f ca="1"/>
        <v>0</v>
      </c>
      <c r="GRO15">
        <f ca="1"/>
        <v>0</v>
      </c>
      <c r="GRP15">
        <f ca="1"/>
        <v>0</v>
      </c>
      <c r="GRQ15">
        <f ca="1"/>
        <v>0</v>
      </c>
      <c r="GRR15">
        <f ca="1"/>
        <v>0</v>
      </c>
      <c r="GRS15">
        <f ca="1"/>
        <v>0</v>
      </c>
      <c r="GRT15">
        <f ca="1"/>
        <v>0</v>
      </c>
      <c r="GRU15">
        <f ca="1"/>
        <v>0</v>
      </c>
      <c r="GRV15">
        <f ca="1"/>
        <v>0</v>
      </c>
      <c r="GRW15">
        <f ca="1"/>
        <v>0</v>
      </c>
      <c r="GRX15">
        <f ca="1"/>
        <v>0</v>
      </c>
      <c r="GRY15">
        <f ca="1"/>
        <v>0</v>
      </c>
      <c r="GRZ15">
        <f ca="1"/>
        <v>0</v>
      </c>
      <c r="GSA15">
        <f ca="1"/>
        <v>0</v>
      </c>
      <c r="GSB15">
        <f ca="1"/>
        <v>0</v>
      </c>
      <c r="GSC15">
        <f ca="1"/>
        <v>0</v>
      </c>
      <c r="GSD15">
        <f ca="1"/>
        <v>0</v>
      </c>
      <c r="GSE15">
        <f ca="1"/>
        <v>0</v>
      </c>
      <c r="GSF15">
        <f ca="1"/>
        <v>0</v>
      </c>
      <c r="GSG15">
        <f ca="1"/>
        <v>0</v>
      </c>
      <c r="GSH15">
        <f ca="1"/>
        <v>0</v>
      </c>
      <c r="GSI15">
        <f ca="1"/>
        <v>0</v>
      </c>
      <c r="GSJ15">
        <f ca="1"/>
        <v>0</v>
      </c>
      <c r="GSK15">
        <f ca="1"/>
        <v>0</v>
      </c>
      <c r="GSL15">
        <f ca="1"/>
        <v>0</v>
      </c>
      <c r="GSM15">
        <f ca="1"/>
        <v>0</v>
      </c>
      <c r="GSN15">
        <f ca="1"/>
        <v>0</v>
      </c>
      <c r="GSO15">
        <f ca="1"/>
        <v>0</v>
      </c>
      <c r="GSP15">
        <f ca="1"/>
        <v>0</v>
      </c>
      <c r="GSQ15">
        <f ca="1"/>
        <v>0</v>
      </c>
      <c r="GSR15">
        <f ca="1"/>
        <v>0</v>
      </c>
      <c r="GSS15">
        <f ca="1"/>
        <v>0</v>
      </c>
      <c r="GST15">
        <f ca="1"/>
        <v>0</v>
      </c>
      <c r="GSU15">
        <f ca="1"/>
        <v>0</v>
      </c>
      <c r="GSV15">
        <f ca="1"/>
        <v>0</v>
      </c>
      <c r="GSW15">
        <f ca="1"/>
        <v>0</v>
      </c>
      <c r="GSX15">
        <f ca="1"/>
        <v>0</v>
      </c>
      <c r="GSY15">
        <f ca="1"/>
        <v>0</v>
      </c>
      <c r="GSZ15">
        <f ca="1"/>
        <v>0</v>
      </c>
      <c r="GTA15">
        <f ca="1"/>
        <v>0</v>
      </c>
      <c r="GTB15">
        <f ca="1"/>
        <v>0</v>
      </c>
      <c r="GTC15">
        <f ca="1"/>
        <v>0</v>
      </c>
      <c r="GTD15">
        <f ca="1"/>
        <v>0</v>
      </c>
      <c r="GTE15">
        <f ca="1"/>
        <v>0</v>
      </c>
      <c r="GTF15">
        <f ca="1"/>
        <v>0</v>
      </c>
      <c r="GTG15">
        <f ca="1"/>
        <v>0</v>
      </c>
      <c r="GTH15">
        <f ca="1"/>
        <v>0</v>
      </c>
      <c r="GTI15">
        <f ca="1"/>
        <v>0</v>
      </c>
      <c r="GTJ15">
        <f ca="1"/>
        <v>0</v>
      </c>
      <c r="GTK15">
        <f ca="1"/>
        <v>0</v>
      </c>
      <c r="GTL15">
        <f ca="1"/>
        <v>0</v>
      </c>
      <c r="GTM15">
        <f ca="1"/>
        <v>0</v>
      </c>
      <c r="GTN15">
        <f ca="1"/>
        <v>0</v>
      </c>
      <c r="GTO15">
        <f ca="1"/>
        <v>0</v>
      </c>
      <c r="GTP15">
        <f ca="1"/>
        <v>0</v>
      </c>
      <c r="GTQ15">
        <f ca="1"/>
        <v>0</v>
      </c>
      <c r="GTR15">
        <f ca="1"/>
        <v>0</v>
      </c>
      <c r="GTS15">
        <f ca="1"/>
        <v>0</v>
      </c>
      <c r="GTT15">
        <f ca="1"/>
        <v>0</v>
      </c>
      <c r="GTU15">
        <f ca="1"/>
        <v>0</v>
      </c>
      <c r="GTV15">
        <f ca="1"/>
        <v>0</v>
      </c>
      <c r="GTW15">
        <f ca="1"/>
        <v>0</v>
      </c>
      <c r="GTX15">
        <f ca="1"/>
        <v>0</v>
      </c>
      <c r="GTY15">
        <f ca="1"/>
        <v>0</v>
      </c>
      <c r="GTZ15">
        <f ca="1"/>
        <v>0</v>
      </c>
      <c r="GUA15">
        <f ca="1"/>
        <v>0</v>
      </c>
      <c r="GUB15">
        <f ca="1"/>
        <v>0</v>
      </c>
      <c r="GUC15">
        <f ca="1"/>
        <v>0</v>
      </c>
      <c r="GUD15">
        <f ca="1"/>
        <v>0</v>
      </c>
      <c r="GUE15">
        <f ca="1"/>
        <v>0</v>
      </c>
      <c r="GUF15">
        <f ca="1"/>
        <v>0</v>
      </c>
      <c r="GUG15">
        <f ca="1"/>
        <v>0</v>
      </c>
      <c r="GUH15">
        <f ca="1"/>
        <v>0</v>
      </c>
      <c r="GUI15">
        <f ca="1"/>
        <v>0</v>
      </c>
      <c r="GUJ15">
        <f ca="1"/>
        <v>0</v>
      </c>
      <c r="GUK15">
        <f ca="1"/>
        <v>0</v>
      </c>
      <c r="GUL15">
        <f ca="1"/>
        <v>0</v>
      </c>
      <c r="GUM15">
        <f ca="1"/>
        <v>0</v>
      </c>
      <c r="GUN15">
        <f ca="1"/>
        <v>0</v>
      </c>
      <c r="GUO15">
        <f ca="1"/>
        <v>0</v>
      </c>
      <c r="GUP15">
        <f ca="1"/>
        <v>0</v>
      </c>
      <c r="GUQ15">
        <f ca="1"/>
        <v>0</v>
      </c>
      <c r="GUR15">
        <f ca="1"/>
        <v>0</v>
      </c>
      <c r="GUS15">
        <f ca="1"/>
        <v>0</v>
      </c>
      <c r="GUT15">
        <f ca="1"/>
        <v>0</v>
      </c>
      <c r="GUU15">
        <f ca="1"/>
        <v>0</v>
      </c>
      <c r="GUV15">
        <f ca="1"/>
        <v>0</v>
      </c>
      <c r="GUW15">
        <f ca="1"/>
        <v>0</v>
      </c>
      <c r="GUX15">
        <f ca="1"/>
        <v>0</v>
      </c>
      <c r="GUY15">
        <f ca="1"/>
        <v>0</v>
      </c>
      <c r="GUZ15">
        <f ca="1"/>
        <v>0</v>
      </c>
      <c r="GVA15">
        <f ca="1"/>
        <v>0</v>
      </c>
      <c r="GVB15">
        <f ca="1"/>
        <v>0</v>
      </c>
      <c r="GVC15">
        <f ca="1"/>
        <v>0</v>
      </c>
      <c r="GVD15">
        <f ca="1"/>
        <v>0</v>
      </c>
      <c r="GVE15">
        <f ca="1"/>
        <v>0</v>
      </c>
      <c r="GVF15">
        <f ca="1"/>
        <v>0</v>
      </c>
      <c r="GVG15">
        <f ca="1"/>
        <v>0</v>
      </c>
      <c r="GVH15">
        <f ca="1"/>
        <v>0</v>
      </c>
      <c r="GVI15">
        <f ca="1"/>
        <v>0</v>
      </c>
      <c r="GVJ15">
        <f ca="1"/>
        <v>0</v>
      </c>
      <c r="GVK15">
        <f ca="1"/>
        <v>0</v>
      </c>
      <c r="GVL15">
        <f ca="1"/>
        <v>0</v>
      </c>
      <c r="GVM15">
        <f ca="1"/>
        <v>0</v>
      </c>
      <c r="GVN15">
        <f ca="1"/>
        <v>0</v>
      </c>
      <c r="GVO15">
        <f ca="1"/>
        <v>0</v>
      </c>
      <c r="GVP15">
        <f ca="1"/>
        <v>0</v>
      </c>
      <c r="GVQ15">
        <f ca="1"/>
        <v>0</v>
      </c>
      <c r="GVR15">
        <f ca="1"/>
        <v>0</v>
      </c>
      <c r="GVS15">
        <f ca="1"/>
        <v>0</v>
      </c>
      <c r="GVT15">
        <f ca="1"/>
        <v>0</v>
      </c>
      <c r="GVU15">
        <f ca="1"/>
        <v>0</v>
      </c>
      <c r="GVV15">
        <f ca="1"/>
        <v>0</v>
      </c>
      <c r="GVW15">
        <f ca="1"/>
        <v>0</v>
      </c>
      <c r="GVX15">
        <f ca="1"/>
        <v>0</v>
      </c>
      <c r="GVY15">
        <f ca="1"/>
        <v>0</v>
      </c>
      <c r="GVZ15">
        <f ca="1"/>
        <v>0</v>
      </c>
      <c r="GWA15">
        <f ca="1"/>
        <v>0</v>
      </c>
      <c r="GWB15">
        <f ca="1"/>
        <v>0</v>
      </c>
      <c r="GWC15">
        <f ca="1"/>
        <v>0</v>
      </c>
      <c r="GWD15">
        <f ca="1"/>
        <v>0</v>
      </c>
      <c r="GWE15">
        <f ca="1"/>
        <v>0</v>
      </c>
      <c r="GWF15">
        <f ca="1"/>
        <v>0</v>
      </c>
      <c r="GWG15">
        <f ca="1"/>
        <v>0</v>
      </c>
      <c r="GWH15">
        <f ca="1"/>
        <v>0</v>
      </c>
      <c r="GWI15">
        <f ca="1"/>
        <v>0</v>
      </c>
      <c r="GWJ15">
        <f ca="1"/>
        <v>0</v>
      </c>
      <c r="GWK15">
        <f ca="1"/>
        <v>0</v>
      </c>
      <c r="GWL15">
        <f ca="1"/>
        <v>0</v>
      </c>
      <c r="GWM15">
        <f ca="1"/>
        <v>0</v>
      </c>
      <c r="GWN15">
        <f ca="1"/>
        <v>0</v>
      </c>
      <c r="GWO15">
        <f ca="1"/>
        <v>0</v>
      </c>
      <c r="GWP15">
        <f ca="1"/>
        <v>0</v>
      </c>
      <c r="GWQ15">
        <f ca="1"/>
        <v>0</v>
      </c>
      <c r="GWR15">
        <f ca="1"/>
        <v>0</v>
      </c>
      <c r="GWS15">
        <f ca="1"/>
        <v>0</v>
      </c>
      <c r="GWT15">
        <f ca="1"/>
        <v>0</v>
      </c>
      <c r="GWU15">
        <f ca="1"/>
        <v>0</v>
      </c>
      <c r="GWV15">
        <f ca="1"/>
        <v>0</v>
      </c>
      <c r="GWW15">
        <f ca="1"/>
        <v>0</v>
      </c>
      <c r="GWX15">
        <f ca="1"/>
        <v>0</v>
      </c>
      <c r="GWY15">
        <f ca="1"/>
        <v>0</v>
      </c>
      <c r="GWZ15">
        <f ca="1"/>
        <v>0</v>
      </c>
      <c r="GXA15">
        <f ca="1"/>
        <v>0</v>
      </c>
      <c r="GXB15">
        <f ca="1"/>
        <v>0</v>
      </c>
      <c r="GXC15">
        <f ca="1"/>
        <v>0</v>
      </c>
      <c r="GXD15">
        <f ca="1"/>
        <v>0</v>
      </c>
      <c r="GXE15">
        <f ca="1"/>
        <v>0</v>
      </c>
      <c r="GXF15">
        <f ca="1"/>
        <v>0</v>
      </c>
      <c r="GXG15">
        <f ca="1"/>
        <v>0</v>
      </c>
      <c r="GXH15">
        <f ca="1"/>
        <v>0</v>
      </c>
      <c r="GXI15">
        <f ca="1"/>
        <v>0</v>
      </c>
      <c r="GXJ15">
        <f ca="1"/>
        <v>0</v>
      </c>
      <c r="GXK15">
        <f ca="1"/>
        <v>0</v>
      </c>
      <c r="GXL15">
        <f ca="1"/>
        <v>0</v>
      </c>
      <c r="GXM15">
        <f ca="1"/>
        <v>0</v>
      </c>
      <c r="GXN15">
        <f ca="1"/>
        <v>0</v>
      </c>
      <c r="GXO15">
        <f ca="1"/>
        <v>0</v>
      </c>
      <c r="GXP15">
        <f ca="1"/>
        <v>0</v>
      </c>
      <c r="GXQ15">
        <f ca="1"/>
        <v>0</v>
      </c>
      <c r="GXR15">
        <f ca="1"/>
        <v>0</v>
      </c>
      <c r="GXS15">
        <f ca="1"/>
        <v>0</v>
      </c>
      <c r="GXT15">
        <f ca="1"/>
        <v>0</v>
      </c>
      <c r="GXU15">
        <f ca="1"/>
        <v>0</v>
      </c>
      <c r="GXV15">
        <f ca="1"/>
        <v>0</v>
      </c>
      <c r="GXW15">
        <f ca="1"/>
        <v>0</v>
      </c>
      <c r="GXX15">
        <f ca="1"/>
        <v>0</v>
      </c>
      <c r="GXY15">
        <f ca="1"/>
        <v>0</v>
      </c>
      <c r="GXZ15">
        <f ca="1"/>
        <v>0</v>
      </c>
      <c r="GYA15">
        <f ca="1"/>
        <v>0</v>
      </c>
      <c r="GYB15">
        <f ca="1"/>
        <v>0</v>
      </c>
      <c r="GYC15">
        <f ca="1"/>
        <v>0</v>
      </c>
      <c r="GYD15">
        <f ca="1"/>
        <v>0</v>
      </c>
      <c r="GYE15">
        <f ca="1"/>
        <v>0</v>
      </c>
      <c r="GYF15">
        <f ca="1"/>
        <v>0</v>
      </c>
      <c r="GYG15">
        <f ca="1"/>
        <v>0</v>
      </c>
      <c r="GYH15">
        <f ca="1"/>
        <v>0</v>
      </c>
      <c r="GYI15">
        <f ca="1"/>
        <v>0</v>
      </c>
      <c r="GYJ15">
        <f ca="1"/>
        <v>0</v>
      </c>
      <c r="GYK15">
        <f ca="1"/>
        <v>0</v>
      </c>
      <c r="GYL15">
        <f ca="1"/>
        <v>0</v>
      </c>
      <c r="GYM15">
        <f ca="1"/>
        <v>0</v>
      </c>
      <c r="GYN15">
        <f ca="1"/>
        <v>0</v>
      </c>
      <c r="GYO15">
        <f ca="1"/>
        <v>0</v>
      </c>
      <c r="GYP15">
        <f ca="1"/>
        <v>0</v>
      </c>
      <c r="GYQ15">
        <f ca="1"/>
        <v>0</v>
      </c>
      <c r="GYR15">
        <f ca="1"/>
        <v>0</v>
      </c>
      <c r="GYS15">
        <f ca="1"/>
        <v>0</v>
      </c>
      <c r="GYT15">
        <f ca="1"/>
        <v>0</v>
      </c>
      <c r="GYU15">
        <f ca="1"/>
        <v>0</v>
      </c>
      <c r="GYV15">
        <f ca="1"/>
        <v>0</v>
      </c>
      <c r="GYW15">
        <f ca="1"/>
        <v>0</v>
      </c>
      <c r="GYX15">
        <f ca="1"/>
        <v>0</v>
      </c>
      <c r="GYY15">
        <f ca="1"/>
        <v>0</v>
      </c>
      <c r="GYZ15">
        <f ca="1"/>
        <v>0</v>
      </c>
      <c r="GZA15">
        <f ca="1"/>
        <v>0</v>
      </c>
      <c r="GZB15">
        <f ca="1"/>
        <v>0</v>
      </c>
      <c r="GZC15">
        <f ca="1"/>
        <v>0</v>
      </c>
      <c r="GZD15">
        <f ca="1"/>
        <v>0</v>
      </c>
      <c r="GZE15">
        <f ca="1"/>
        <v>0</v>
      </c>
      <c r="GZF15">
        <f ca="1"/>
        <v>0</v>
      </c>
      <c r="GZG15">
        <f ca="1"/>
        <v>0</v>
      </c>
      <c r="GZH15">
        <f ca="1"/>
        <v>0</v>
      </c>
      <c r="GZI15">
        <f ca="1"/>
        <v>0</v>
      </c>
      <c r="GZJ15">
        <f ca="1"/>
        <v>0</v>
      </c>
      <c r="GZK15">
        <f ca="1"/>
        <v>0</v>
      </c>
      <c r="GZL15">
        <f ca="1"/>
        <v>0</v>
      </c>
      <c r="GZM15">
        <f ca="1"/>
        <v>0</v>
      </c>
      <c r="GZN15">
        <f ca="1"/>
        <v>0</v>
      </c>
      <c r="GZO15">
        <f ca="1"/>
        <v>0</v>
      </c>
      <c r="GZP15">
        <f ca="1"/>
        <v>0</v>
      </c>
      <c r="GZQ15">
        <f ca="1"/>
        <v>0</v>
      </c>
      <c r="GZR15">
        <f ca="1"/>
        <v>0</v>
      </c>
      <c r="GZS15">
        <f ca="1"/>
        <v>0</v>
      </c>
      <c r="GZT15">
        <f ca="1"/>
        <v>0</v>
      </c>
      <c r="GZU15">
        <f ca="1"/>
        <v>0</v>
      </c>
      <c r="GZV15">
        <f ca="1"/>
        <v>0</v>
      </c>
      <c r="GZW15">
        <f ca="1"/>
        <v>0</v>
      </c>
      <c r="GZX15">
        <f ca="1"/>
        <v>0</v>
      </c>
      <c r="GZY15">
        <f ca="1"/>
        <v>0</v>
      </c>
      <c r="GZZ15">
        <f ca="1"/>
        <v>0</v>
      </c>
      <c r="HAA15">
        <f ca="1"/>
        <v>0</v>
      </c>
      <c r="HAB15">
        <f ca="1"/>
        <v>0</v>
      </c>
      <c r="HAC15">
        <f ca="1"/>
        <v>0</v>
      </c>
      <c r="HAD15">
        <f ca="1"/>
        <v>0</v>
      </c>
      <c r="HAE15">
        <f ca="1"/>
        <v>0</v>
      </c>
      <c r="HAF15">
        <f ca="1"/>
        <v>0</v>
      </c>
      <c r="HAG15">
        <f ca="1"/>
        <v>0</v>
      </c>
      <c r="HAH15">
        <f ca="1"/>
        <v>0</v>
      </c>
      <c r="HAI15">
        <f ca="1"/>
        <v>0</v>
      </c>
      <c r="HAJ15">
        <f ca="1"/>
        <v>0</v>
      </c>
      <c r="HAK15">
        <f ca="1"/>
        <v>0</v>
      </c>
      <c r="HAL15">
        <f ca="1"/>
        <v>0</v>
      </c>
      <c r="HAM15">
        <f ca="1"/>
        <v>0</v>
      </c>
      <c r="HAN15">
        <f ca="1"/>
        <v>0</v>
      </c>
      <c r="HAO15">
        <f ca="1"/>
        <v>0</v>
      </c>
      <c r="HAP15">
        <f ca="1"/>
        <v>0</v>
      </c>
      <c r="HAQ15">
        <f ca="1"/>
        <v>0</v>
      </c>
      <c r="HAR15">
        <f ca="1"/>
        <v>0</v>
      </c>
      <c r="HAS15">
        <f ca="1"/>
        <v>0</v>
      </c>
      <c r="HAT15">
        <f ca="1"/>
        <v>0</v>
      </c>
      <c r="HAU15">
        <f ca="1"/>
        <v>0</v>
      </c>
      <c r="HAV15">
        <f ca="1"/>
        <v>0</v>
      </c>
      <c r="HAW15">
        <f ca="1"/>
        <v>0</v>
      </c>
      <c r="HAX15">
        <f ca="1"/>
        <v>0</v>
      </c>
      <c r="HAY15">
        <f ca="1"/>
        <v>0</v>
      </c>
      <c r="HAZ15">
        <f ca="1"/>
        <v>0</v>
      </c>
      <c r="HBA15">
        <f ca="1"/>
        <v>0</v>
      </c>
      <c r="HBB15">
        <f ca="1"/>
        <v>0</v>
      </c>
      <c r="HBC15">
        <f ca="1"/>
        <v>0</v>
      </c>
      <c r="HBD15">
        <f ca="1"/>
        <v>0</v>
      </c>
      <c r="HBE15">
        <f ca="1"/>
        <v>0</v>
      </c>
      <c r="HBF15">
        <f ca="1"/>
        <v>0</v>
      </c>
      <c r="HBG15">
        <f ca="1"/>
        <v>0</v>
      </c>
      <c r="HBH15">
        <f ca="1"/>
        <v>0</v>
      </c>
      <c r="HBI15">
        <f ca="1"/>
        <v>0</v>
      </c>
      <c r="HBJ15">
        <f ca="1"/>
        <v>0</v>
      </c>
      <c r="HBK15">
        <f ca="1"/>
        <v>0</v>
      </c>
      <c r="HBL15">
        <f ca="1"/>
        <v>0</v>
      </c>
      <c r="HBM15">
        <f ca="1"/>
        <v>0</v>
      </c>
      <c r="HBN15">
        <f ca="1"/>
        <v>0</v>
      </c>
      <c r="HBO15">
        <f ca="1"/>
        <v>0</v>
      </c>
      <c r="HBP15">
        <f ca="1"/>
        <v>0</v>
      </c>
      <c r="HBQ15">
        <f ca="1"/>
        <v>0</v>
      </c>
      <c r="HBR15">
        <f ca="1"/>
        <v>0</v>
      </c>
      <c r="HBS15">
        <f ca="1"/>
        <v>0</v>
      </c>
      <c r="HBT15">
        <f ca="1"/>
        <v>0</v>
      </c>
      <c r="HBU15">
        <f ca="1"/>
        <v>0</v>
      </c>
      <c r="HBV15">
        <f ca="1"/>
        <v>0</v>
      </c>
      <c r="HBW15">
        <f ca="1"/>
        <v>0</v>
      </c>
      <c r="HBX15">
        <f ca="1"/>
        <v>0</v>
      </c>
      <c r="HBY15">
        <f ca="1"/>
        <v>0</v>
      </c>
      <c r="HBZ15">
        <f ca="1"/>
        <v>0</v>
      </c>
      <c r="HCA15">
        <f ca="1"/>
        <v>0</v>
      </c>
      <c r="HCB15">
        <f ca="1"/>
        <v>0</v>
      </c>
      <c r="HCC15">
        <f ca="1"/>
        <v>0</v>
      </c>
      <c r="HCD15">
        <f ca="1"/>
        <v>0</v>
      </c>
      <c r="HCE15">
        <f ca="1"/>
        <v>0</v>
      </c>
      <c r="HCF15">
        <f ca="1"/>
        <v>0</v>
      </c>
      <c r="HCG15">
        <f ca="1"/>
        <v>0</v>
      </c>
      <c r="HCH15">
        <f ca="1"/>
        <v>0</v>
      </c>
      <c r="HCI15">
        <f ca="1"/>
        <v>0</v>
      </c>
      <c r="HCJ15">
        <f ca="1"/>
        <v>0</v>
      </c>
      <c r="HCK15">
        <f ca="1"/>
        <v>0</v>
      </c>
      <c r="HCL15">
        <f ca="1"/>
        <v>0</v>
      </c>
      <c r="HCM15">
        <f ca="1"/>
        <v>0</v>
      </c>
      <c r="HCN15">
        <f ca="1"/>
        <v>0</v>
      </c>
      <c r="HCO15">
        <f ca="1"/>
        <v>0</v>
      </c>
      <c r="HCP15">
        <f ca="1"/>
        <v>0</v>
      </c>
      <c r="HCQ15">
        <f ca="1"/>
        <v>0</v>
      </c>
      <c r="HCR15">
        <f ca="1"/>
        <v>0</v>
      </c>
      <c r="HCS15">
        <f ca="1"/>
        <v>0</v>
      </c>
      <c r="HCT15">
        <f ca="1"/>
        <v>0</v>
      </c>
      <c r="HCU15">
        <f ca="1"/>
        <v>0</v>
      </c>
      <c r="HCV15">
        <f ca="1"/>
        <v>0</v>
      </c>
      <c r="HCW15">
        <f ca="1"/>
        <v>0</v>
      </c>
      <c r="HCX15">
        <f ca="1"/>
        <v>0</v>
      </c>
      <c r="HCY15">
        <f ca="1"/>
        <v>0</v>
      </c>
      <c r="HCZ15">
        <f ca="1"/>
        <v>0</v>
      </c>
      <c r="HDA15">
        <f ca="1"/>
        <v>0</v>
      </c>
      <c r="HDB15">
        <f ca="1"/>
        <v>0</v>
      </c>
      <c r="HDC15">
        <f ca="1"/>
        <v>0</v>
      </c>
      <c r="HDD15">
        <f ca="1"/>
        <v>0</v>
      </c>
      <c r="HDE15">
        <f ca="1"/>
        <v>0</v>
      </c>
      <c r="HDF15">
        <f ca="1"/>
        <v>0</v>
      </c>
      <c r="HDG15">
        <f ca="1"/>
        <v>0</v>
      </c>
      <c r="HDH15">
        <f ca="1"/>
        <v>0</v>
      </c>
      <c r="HDI15">
        <f ca="1"/>
        <v>0</v>
      </c>
      <c r="HDJ15">
        <f ca="1"/>
        <v>0</v>
      </c>
      <c r="HDK15">
        <f ca="1"/>
        <v>0</v>
      </c>
      <c r="HDL15">
        <f ca="1"/>
        <v>0</v>
      </c>
      <c r="HDM15">
        <f ca="1"/>
        <v>0</v>
      </c>
      <c r="HDN15">
        <f ca="1"/>
        <v>0</v>
      </c>
      <c r="HDO15">
        <f ca="1"/>
        <v>0</v>
      </c>
      <c r="HDP15">
        <f ca="1"/>
        <v>0</v>
      </c>
      <c r="HDQ15">
        <f ca="1"/>
        <v>0</v>
      </c>
      <c r="HDR15">
        <f ca="1"/>
        <v>0</v>
      </c>
      <c r="HDS15">
        <f ca="1"/>
        <v>0</v>
      </c>
      <c r="HDT15">
        <f ca="1"/>
        <v>0</v>
      </c>
      <c r="HDU15">
        <f ca="1"/>
        <v>0</v>
      </c>
      <c r="HDV15">
        <f ca="1"/>
        <v>0</v>
      </c>
      <c r="HDW15">
        <f ca="1"/>
        <v>0</v>
      </c>
      <c r="HDX15">
        <f ca="1"/>
        <v>0</v>
      </c>
      <c r="HDY15">
        <f ca="1"/>
        <v>0</v>
      </c>
      <c r="HDZ15">
        <f ca="1"/>
        <v>0</v>
      </c>
      <c r="HEA15">
        <f ca="1"/>
        <v>0</v>
      </c>
      <c r="HEB15">
        <f ca="1"/>
        <v>0</v>
      </c>
      <c r="HEC15">
        <f ca="1"/>
        <v>0</v>
      </c>
      <c r="HED15">
        <f ca="1"/>
        <v>0</v>
      </c>
      <c r="HEE15">
        <f ca="1"/>
        <v>0</v>
      </c>
      <c r="HEF15">
        <f ca="1"/>
        <v>0</v>
      </c>
      <c r="HEG15">
        <f ca="1"/>
        <v>0</v>
      </c>
      <c r="HEH15">
        <f ca="1"/>
        <v>0</v>
      </c>
      <c r="HEI15">
        <f ca="1"/>
        <v>0</v>
      </c>
      <c r="HEJ15">
        <f ca="1"/>
        <v>0</v>
      </c>
      <c r="HEK15">
        <f ca="1"/>
        <v>0</v>
      </c>
      <c r="HEL15">
        <f ca="1"/>
        <v>0</v>
      </c>
      <c r="HEM15">
        <f ca="1"/>
        <v>0</v>
      </c>
      <c r="HEN15">
        <f ca="1"/>
        <v>0</v>
      </c>
      <c r="HEO15">
        <f ca="1"/>
        <v>0</v>
      </c>
      <c r="HEP15">
        <f ca="1"/>
        <v>0</v>
      </c>
      <c r="HEQ15">
        <f ca="1"/>
        <v>0</v>
      </c>
      <c r="HER15">
        <f ca="1"/>
        <v>0</v>
      </c>
      <c r="HES15">
        <f ca="1"/>
        <v>0</v>
      </c>
      <c r="HET15">
        <f ca="1"/>
        <v>0</v>
      </c>
      <c r="HEU15">
        <f ca="1"/>
        <v>0</v>
      </c>
      <c r="HEV15">
        <f ca="1"/>
        <v>0</v>
      </c>
      <c r="HEW15">
        <f ca="1"/>
        <v>0</v>
      </c>
      <c r="HEX15">
        <f ca="1"/>
        <v>0</v>
      </c>
      <c r="HEY15">
        <f ca="1"/>
        <v>0</v>
      </c>
      <c r="HEZ15">
        <f ca="1"/>
        <v>0</v>
      </c>
      <c r="HFA15">
        <f ca="1"/>
        <v>0</v>
      </c>
      <c r="HFB15">
        <f ca="1"/>
        <v>0</v>
      </c>
      <c r="HFC15">
        <f ca="1"/>
        <v>0</v>
      </c>
      <c r="HFD15">
        <f ca="1"/>
        <v>0</v>
      </c>
      <c r="HFE15">
        <f ca="1"/>
        <v>0</v>
      </c>
      <c r="HFF15">
        <f ca="1"/>
        <v>0</v>
      </c>
      <c r="HFG15">
        <f ca="1"/>
        <v>0</v>
      </c>
      <c r="HFH15">
        <f ca="1"/>
        <v>0</v>
      </c>
      <c r="HFI15">
        <f ca="1"/>
        <v>0</v>
      </c>
      <c r="HFJ15">
        <f ca="1"/>
        <v>0</v>
      </c>
      <c r="HFK15">
        <f ca="1"/>
        <v>0</v>
      </c>
      <c r="HFL15">
        <f ca="1"/>
        <v>0</v>
      </c>
      <c r="HFM15">
        <f ca="1"/>
        <v>0</v>
      </c>
      <c r="HFN15">
        <f ca="1"/>
        <v>0</v>
      </c>
      <c r="HFO15">
        <f ca="1"/>
        <v>0</v>
      </c>
      <c r="HFP15">
        <f ca="1"/>
        <v>0</v>
      </c>
      <c r="HFQ15">
        <f ca="1"/>
        <v>0</v>
      </c>
      <c r="HFR15">
        <f ca="1"/>
        <v>0</v>
      </c>
      <c r="HFS15">
        <f ca="1"/>
        <v>0</v>
      </c>
      <c r="HFT15">
        <f ca="1"/>
        <v>0</v>
      </c>
      <c r="HFU15">
        <f ca="1"/>
        <v>0</v>
      </c>
      <c r="HFV15">
        <f ca="1"/>
        <v>0</v>
      </c>
      <c r="HFW15">
        <f ca="1"/>
        <v>0</v>
      </c>
      <c r="HFX15">
        <f ca="1"/>
        <v>0</v>
      </c>
      <c r="HFY15">
        <f ca="1"/>
        <v>0</v>
      </c>
      <c r="HFZ15">
        <f ca="1"/>
        <v>0</v>
      </c>
      <c r="HGA15">
        <f ca="1"/>
        <v>0</v>
      </c>
      <c r="HGB15">
        <f ca="1"/>
        <v>0</v>
      </c>
      <c r="HGC15">
        <f ca="1"/>
        <v>0</v>
      </c>
      <c r="HGD15">
        <f ca="1"/>
        <v>0</v>
      </c>
      <c r="HGE15">
        <f ca="1"/>
        <v>0</v>
      </c>
      <c r="HGF15">
        <f ca="1"/>
        <v>0</v>
      </c>
      <c r="HGG15">
        <f ca="1"/>
        <v>0</v>
      </c>
      <c r="HGH15">
        <f ca="1"/>
        <v>0</v>
      </c>
      <c r="HGI15">
        <f ca="1"/>
        <v>0</v>
      </c>
      <c r="HGJ15">
        <f ca="1"/>
        <v>0</v>
      </c>
      <c r="HGK15">
        <f ca="1"/>
        <v>0</v>
      </c>
      <c r="HGL15">
        <f ca="1"/>
        <v>0</v>
      </c>
      <c r="HGM15">
        <f ca="1"/>
        <v>0</v>
      </c>
      <c r="HGN15">
        <f ca="1"/>
        <v>0</v>
      </c>
      <c r="HGO15">
        <f ca="1"/>
        <v>0</v>
      </c>
      <c r="HGP15">
        <f ca="1"/>
        <v>0</v>
      </c>
      <c r="HGQ15">
        <f ca="1"/>
        <v>0</v>
      </c>
      <c r="HGR15">
        <f ca="1"/>
        <v>0</v>
      </c>
      <c r="HGS15">
        <f ca="1"/>
        <v>0</v>
      </c>
      <c r="HGT15">
        <f ca="1"/>
        <v>0</v>
      </c>
      <c r="HGU15">
        <f ca="1"/>
        <v>0</v>
      </c>
      <c r="HGV15">
        <f ca="1"/>
        <v>0</v>
      </c>
      <c r="HGW15">
        <f ca="1"/>
        <v>0</v>
      </c>
      <c r="HGX15">
        <f ca="1"/>
        <v>0</v>
      </c>
      <c r="HGY15">
        <f ca="1"/>
        <v>0</v>
      </c>
      <c r="HGZ15">
        <f ca="1"/>
        <v>0</v>
      </c>
      <c r="HHA15">
        <f ca="1"/>
        <v>0</v>
      </c>
      <c r="HHB15">
        <f ca="1"/>
        <v>0</v>
      </c>
      <c r="HHC15">
        <f ca="1"/>
        <v>0</v>
      </c>
      <c r="HHD15">
        <f ca="1"/>
        <v>0</v>
      </c>
      <c r="HHE15">
        <f ca="1"/>
        <v>0</v>
      </c>
      <c r="HHF15">
        <f ca="1"/>
        <v>0</v>
      </c>
      <c r="HHG15">
        <f ca="1"/>
        <v>0</v>
      </c>
      <c r="HHH15">
        <f ca="1"/>
        <v>0</v>
      </c>
      <c r="HHI15">
        <f ca="1"/>
        <v>0</v>
      </c>
      <c r="HHJ15">
        <f ca="1"/>
        <v>0</v>
      </c>
      <c r="HHK15">
        <f ca="1"/>
        <v>0</v>
      </c>
      <c r="HHL15">
        <f ca="1"/>
        <v>0</v>
      </c>
      <c r="HHM15">
        <f ca="1"/>
        <v>0</v>
      </c>
      <c r="HHN15">
        <f ca="1"/>
        <v>0</v>
      </c>
      <c r="HHO15">
        <f ca="1"/>
        <v>0</v>
      </c>
      <c r="HHP15">
        <f ca="1"/>
        <v>0</v>
      </c>
      <c r="HHQ15">
        <f ca="1"/>
        <v>0</v>
      </c>
      <c r="HHR15">
        <f ca="1"/>
        <v>0</v>
      </c>
      <c r="HHS15">
        <f ca="1"/>
        <v>0</v>
      </c>
      <c r="HHT15">
        <f ca="1"/>
        <v>0</v>
      </c>
      <c r="HHU15">
        <f ca="1"/>
        <v>0</v>
      </c>
      <c r="HHV15">
        <f ca="1"/>
        <v>0</v>
      </c>
      <c r="HHW15">
        <f ca="1"/>
        <v>0</v>
      </c>
      <c r="HHX15">
        <f ca="1"/>
        <v>0</v>
      </c>
      <c r="HHY15">
        <f ca="1"/>
        <v>0</v>
      </c>
      <c r="HHZ15">
        <f ca="1"/>
        <v>0</v>
      </c>
      <c r="HIA15">
        <f ca="1"/>
        <v>0</v>
      </c>
      <c r="HIB15">
        <f ca="1"/>
        <v>0</v>
      </c>
      <c r="HIC15">
        <f ca="1"/>
        <v>0</v>
      </c>
      <c r="HID15">
        <f ca="1"/>
        <v>0</v>
      </c>
      <c r="HIE15">
        <f ca="1"/>
        <v>0</v>
      </c>
      <c r="HIF15">
        <f ca="1"/>
        <v>0</v>
      </c>
      <c r="HIG15">
        <f ca="1"/>
        <v>0</v>
      </c>
      <c r="HIH15">
        <f ca="1"/>
        <v>0</v>
      </c>
      <c r="HII15">
        <f ca="1"/>
        <v>0</v>
      </c>
      <c r="HIJ15">
        <f ca="1"/>
        <v>0</v>
      </c>
      <c r="HIK15">
        <f ca="1"/>
        <v>0</v>
      </c>
      <c r="HIL15">
        <f ca="1"/>
        <v>0</v>
      </c>
      <c r="HIM15">
        <f ca="1"/>
        <v>0</v>
      </c>
      <c r="HIN15">
        <f ca="1"/>
        <v>0</v>
      </c>
      <c r="HIO15">
        <f ca="1"/>
        <v>0</v>
      </c>
      <c r="HIP15">
        <f ca="1"/>
        <v>0</v>
      </c>
      <c r="HIQ15">
        <f ca="1"/>
        <v>0</v>
      </c>
      <c r="HIR15">
        <f ca="1"/>
        <v>0</v>
      </c>
      <c r="HIS15">
        <f ca="1"/>
        <v>0</v>
      </c>
      <c r="HIT15">
        <f ca="1"/>
        <v>0</v>
      </c>
      <c r="HIU15">
        <f ca="1"/>
        <v>0</v>
      </c>
      <c r="HIV15">
        <f ca="1"/>
        <v>0</v>
      </c>
      <c r="HIW15">
        <f ca="1"/>
        <v>0</v>
      </c>
      <c r="HIX15">
        <f ca="1"/>
        <v>0</v>
      </c>
      <c r="HIY15">
        <f ca="1"/>
        <v>0</v>
      </c>
      <c r="HIZ15">
        <f ca="1"/>
        <v>0</v>
      </c>
      <c r="HJA15">
        <f ca="1"/>
        <v>0</v>
      </c>
      <c r="HJB15">
        <f ca="1"/>
        <v>0</v>
      </c>
      <c r="HJC15">
        <f ca="1"/>
        <v>0</v>
      </c>
      <c r="HJD15">
        <f ca="1"/>
        <v>0</v>
      </c>
      <c r="HJE15">
        <f ca="1"/>
        <v>0</v>
      </c>
      <c r="HJF15">
        <f ca="1"/>
        <v>0</v>
      </c>
      <c r="HJG15">
        <f ca="1"/>
        <v>0</v>
      </c>
      <c r="HJH15">
        <f ca="1"/>
        <v>0</v>
      </c>
      <c r="HJI15">
        <f ca="1"/>
        <v>0</v>
      </c>
      <c r="HJJ15">
        <f ca="1"/>
        <v>0</v>
      </c>
      <c r="HJK15">
        <f ca="1"/>
        <v>0</v>
      </c>
      <c r="HJL15">
        <f ca="1"/>
        <v>0</v>
      </c>
      <c r="HJM15">
        <f ca="1"/>
        <v>0</v>
      </c>
      <c r="HJN15">
        <f ca="1"/>
        <v>0</v>
      </c>
      <c r="HJO15">
        <f ca="1"/>
        <v>0</v>
      </c>
      <c r="HJP15">
        <f ca="1"/>
        <v>0</v>
      </c>
      <c r="HJQ15">
        <f ca="1"/>
        <v>0</v>
      </c>
      <c r="HJR15">
        <f ca="1"/>
        <v>0</v>
      </c>
      <c r="HJS15">
        <f ca="1"/>
        <v>0</v>
      </c>
      <c r="HJT15">
        <f ca="1"/>
        <v>0</v>
      </c>
      <c r="HJU15">
        <f ca="1"/>
        <v>0</v>
      </c>
      <c r="HJV15">
        <f ca="1"/>
        <v>0</v>
      </c>
      <c r="HJW15">
        <f ca="1"/>
        <v>0</v>
      </c>
      <c r="HJX15">
        <f ca="1"/>
        <v>0</v>
      </c>
      <c r="HJY15">
        <f ca="1"/>
        <v>0</v>
      </c>
      <c r="HJZ15">
        <f ca="1"/>
        <v>0</v>
      </c>
      <c r="HKA15">
        <f ca="1"/>
        <v>0</v>
      </c>
      <c r="HKB15">
        <f ca="1"/>
        <v>0</v>
      </c>
      <c r="HKC15">
        <f ca="1"/>
        <v>0</v>
      </c>
      <c r="HKD15">
        <f ca="1"/>
        <v>0</v>
      </c>
      <c r="HKE15">
        <f ca="1"/>
        <v>0</v>
      </c>
      <c r="HKF15">
        <f ca="1"/>
        <v>0</v>
      </c>
      <c r="HKG15">
        <f ca="1"/>
        <v>0</v>
      </c>
      <c r="HKH15">
        <f ca="1"/>
        <v>0</v>
      </c>
      <c r="HKI15">
        <f ca="1"/>
        <v>0</v>
      </c>
      <c r="HKJ15">
        <f ca="1"/>
        <v>0</v>
      </c>
      <c r="HKK15">
        <f ca="1"/>
        <v>0</v>
      </c>
      <c r="HKL15">
        <f ca="1"/>
        <v>0</v>
      </c>
      <c r="HKM15">
        <f ca="1"/>
        <v>0</v>
      </c>
      <c r="HKN15">
        <f ca="1"/>
        <v>0</v>
      </c>
      <c r="HKO15">
        <f ca="1"/>
        <v>0</v>
      </c>
      <c r="HKP15">
        <f ca="1"/>
        <v>0</v>
      </c>
      <c r="HKQ15">
        <f ca="1"/>
        <v>0</v>
      </c>
      <c r="HKR15">
        <f ca="1"/>
        <v>0</v>
      </c>
      <c r="HKS15">
        <f ca="1"/>
        <v>0</v>
      </c>
      <c r="HKT15">
        <f ca="1"/>
        <v>0</v>
      </c>
      <c r="HKU15">
        <f ca="1"/>
        <v>0</v>
      </c>
      <c r="HKV15">
        <f ca="1"/>
        <v>0</v>
      </c>
      <c r="HKW15">
        <f ca="1"/>
        <v>0</v>
      </c>
      <c r="HKX15">
        <f ca="1"/>
        <v>0</v>
      </c>
      <c r="HKY15">
        <f ca="1"/>
        <v>0</v>
      </c>
      <c r="HKZ15">
        <f ca="1"/>
        <v>0</v>
      </c>
      <c r="HLA15">
        <f ca="1"/>
        <v>0</v>
      </c>
      <c r="HLB15">
        <f ca="1"/>
        <v>0</v>
      </c>
      <c r="HLC15">
        <f ca="1"/>
        <v>0</v>
      </c>
      <c r="HLD15">
        <f ca="1"/>
        <v>0</v>
      </c>
      <c r="HLE15">
        <f ca="1"/>
        <v>0</v>
      </c>
      <c r="HLF15">
        <f ca="1"/>
        <v>0</v>
      </c>
      <c r="HLG15">
        <f ca="1"/>
        <v>0</v>
      </c>
      <c r="HLH15">
        <f ca="1"/>
        <v>0</v>
      </c>
      <c r="HLI15">
        <f ca="1"/>
        <v>0</v>
      </c>
      <c r="HLJ15">
        <f ca="1"/>
        <v>0</v>
      </c>
      <c r="HLK15">
        <f ca="1"/>
        <v>0</v>
      </c>
      <c r="HLL15">
        <f ca="1"/>
        <v>0</v>
      </c>
      <c r="HLM15">
        <f ca="1"/>
        <v>0</v>
      </c>
      <c r="HLN15">
        <f ca="1"/>
        <v>0</v>
      </c>
      <c r="HLO15">
        <f ca="1"/>
        <v>0</v>
      </c>
      <c r="HLP15">
        <f ca="1"/>
        <v>0</v>
      </c>
      <c r="HLQ15">
        <f ca="1"/>
        <v>0</v>
      </c>
      <c r="HLR15">
        <f ca="1"/>
        <v>0</v>
      </c>
      <c r="HLS15">
        <f ca="1"/>
        <v>0</v>
      </c>
      <c r="HLT15">
        <f ca="1"/>
        <v>0</v>
      </c>
      <c r="HLU15">
        <f ca="1"/>
        <v>0</v>
      </c>
      <c r="HLV15">
        <f ca="1"/>
        <v>0</v>
      </c>
      <c r="HLW15">
        <f ca="1"/>
        <v>0</v>
      </c>
      <c r="HLX15">
        <f ca="1"/>
        <v>0</v>
      </c>
      <c r="HLY15">
        <f ca="1"/>
        <v>0</v>
      </c>
      <c r="HLZ15">
        <f ca="1"/>
        <v>0</v>
      </c>
      <c r="HMA15">
        <f ca="1"/>
        <v>0</v>
      </c>
      <c r="HMB15">
        <f ca="1"/>
        <v>0</v>
      </c>
      <c r="HMC15">
        <f ca="1"/>
        <v>0</v>
      </c>
      <c r="HMD15">
        <f ca="1"/>
        <v>0</v>
      </c>
      <c r="HME15">
        <f ca="1"/>
        <v>0</v>
      </c>
      <c r="HMF15">
        <f ca="1"/>
        <v>0</v>
      </c>
      <c r="HMG15">
        <f ca="1"/>
        <v>0</v>
      </c>
      <c r="HMH15">
        <f ca="1"/>
        <v>0</v>
      </c>
      <c r="HMI15">
        <f ca="1"/>
        <v>0</v>
      </c>
      <c r="HMJ15">
        <f ca="1"/>
        <v>0</v>
      </c>
      <c r="HMK15">
        <f ca="1"/>
        <v>0</v>
      </c>
      <c r="HML15">
        <f ca="1"/>
        <v>0</v>
      </c>
      <c r="HMM15">
        <f ca="1"/>
        <v>0</v>
      </c>
      <c r="HMN15">
        <f ca="1"/>
        <v>0</v>
      </c>
      <c r="HMO15">
        <f ca="1"/>
        <v>0</v>
      </c>
      <c r="HMP15">
        <f ca="1"/>
        <v>0</v>
      </c>
      <c r="HMQ15">
        <f ca="1"/>
        <v>0</v>
      </c>
      <c r="HMR15">
        <f ca="1"/>
        <v>0</v>
      </c>
      <c r="HMS15">
        <f ca="1"/>
        <v>0</v>
      </c>
      <c r="HMT15">
        <f ca="1"/>
        <v>0</v>
      </c>
      <c r="HMU15">
        <f ca="1"/>
        <v>0</v>
      </c>
      <c r="HMV15">
        <f ca="1"/>
        <v>0</v>
      </c>
      <c r="HMW15">
        <f ca="1"/>
        <v>0</v>
      </c>
      <c r="HMX15">
        <f ca="1"/>
        <v>0</v>
      </c>
      <c r="HMY15">
        <f ca="1"/>
        <v>0</v>
      </c>
      <c r="HMZ15">
        <f ca="1"/>
        <v>0</v>
      </c>
      <c r="HNA15">
        <f ca="1"/>
        <v>0</v>
      </c>
      <c r="HNB15">
        <f ca="1"/>
        <v>0</v>
      </c>
      <c r="HNC15">
        <f ca="1"/>
        <v>0</v>
      </c>
      <c r="HND15">
        <f ca="1"/>
        <v>0</v>
      </c>
      <c r="HNE15">
        <f ca="1"/>
        <v>0</v>
      </c>
      <c r="HNF15">
        <f ca="1"/>
        <v>0</v>
      </c>
      <c r="HNG15">
        <f ca="1"/>
        <v>0</v>
      </c>
      <c r="HNH15">
        <f ca="1"/>
        <v>0</v>
      </c>
      <c r="HNI15">
        <f ca="1"/>
        <v>0</v>
      </c>
      <c r="HNJ15">
        <f ca="1"/>
        <v>0</v>
      </c>
      <c r="HNK15">
        <f ca="1"/>
        <v>0</v>
      </c>
      <c r="HNL15">
        <f ca="1"/>
        <v>0</v>
      </c>
      <c r="HNM15">
        <f ca="1"/>
        <v>0</v>
      </c>
      <c r="HNN15">
        <f ca="1"/>
        <v>0</v>
      </c>
      <c r="HNO15">
        <f ca="1"/>
        <v>0</v>
      </c>
      <c r="HNP15">
        <f ca="1"/>
        <v>0</v>
      </c>
      <c r="HNQ15">
        <f ca="1"/>
        <v>0</v>
      </c>
      <c r="HNR15">
        <f ca="1"/>
        <v>0</v>
      </c>
      <c r="HNS15">
        <f ca="1"/>
        <v>0</v>
      </c>
      <c r="HNT15">
        <f ca="1"/>
        <v>0</v>
      </c>
      <c r="HNU15">
        <f ca="1"/>
        <v>0</v>
      </c>
      <c r="HNV15">
        <f ca="1"/>
        <v>0</v>
      </c>
      <c r="HNW15">
        <f ca="1"/>
        <v>0</v>
      </c>
      <c r="HNX15">
        <f ca="1"/>
        <v>0</v>
      </c>
      <c r="HNY15">
        <f ca="1"/>
        <v>0</v>
      </c>
      <c r="HNZ15">
        <f ca="1"/>
        <v>0</v>
      </c>
      <c r="HOA15">
        <f ca="1"/>
        <v>0</v>
      </c>
      <c r="HOB15">
        <f ca="1"/>
        <v>0</v>
      </c>
      <c r="HOC15">
        <f ca="1"/>
        <v>0</v>
      </c>
      <c r="HOD15">
        <f ca="1"/>
        <v>0</v>
      </c>
      <c r="HOE15">
        <f ca="1"/>
        <v>0</v>
      </c>
      <c r="HOF15">
        <f ca="1"/>
        <v>0</v>
      </c>
      <c r="HOG15">
        <f ca="1"/>
        <v>0</v>
      </c>
      <c r="HOH15">
        <f ca="1"/>
        <v>0</v>
      </c>
      <c r="HOI15">
        <f ca="1"/>
        <v>0</v>
      </c>
      <c r="HOJ15">
        <f ca="1"/>
        <v>0</v>
      </c>
      <c r="HOK15">
        <f ca="1"/>
        <v>0</v>
      </c>
      <c r="HOL15">
        <f ca="1"/>
        <v>0</v>
      </c>
      <c r="HOM15">
        <f ca="1"/>
        <v>0</v>
      </c>
      <c r="HON15">
        <f ca="1"/>
        <v>0</v>
      </c>
      <c r="HOO15">
        <f ca="1"/>
        <v>0</v>
      </c>
      <c r="HOP15">
        <f ca="1"/>
        <v>0</v>
      </c>
      <c r="HOQ15">
        <f ca="1"/>
        <v>0</v>
      </c>
      <c r="HOR15">
        <f ca="1"/>
        <v>0</v>
      </c>
      <c r="HOS15">
        <f ca="1"/>
        <v>0</v>
      </c>
      <c r="HOT15">
        <f ca="1"/>
        <v>0</v>
      </c>
      <c r="HOU15">
        <f ca="1"/>
        <v>0</v>
      </c>
      <c r="HOV15">
        <f ca="1"/>
        <v>0</v>
      </c>
      <c r="HOW15">
        <f ca="1"/>
        <v>0</v>
      </c>
      <c r="HOX15">
        <f ca="1"/>
        <v>0</v>
      </c>
      <c r="HOY15">
        <f ca="1"/>
        <v>0</v>
      </c>
      <c r="HOZ15">
        <f ca="1"/>
        <v>0</v>
      </c>
      <c r="HPA15">
        <f ca="1"/>
        <v>0</v>
      </c>
      <c r="HPB15">
        <f ca="1"/>
        <v>0</v>
      </c>
      <c r="HPC15">
        <f ca="1"/>
        <v>0</v>
      </c>
      <c r="HPD15">
        <f ca="1"/>
        <v>0</v>
      </c>
      <c r="HPE15">
        <f ca="1"/>
        <v>0</v>
      </c>
      <c r="HPF15">
        <f ca="1"/>
        <v>0</v>
      </c>
      <c r="HPG15">
        <f ca="1"/>
        <v>0</v>
      </c>
      <c r="HPH15">
        <f ca="1"/>
        <v>0</v>
      </c>
      <c r="HPI15">
        <f ca="1"/>
        <v>0</v>
      </c>
      <c r="HPJ15">
        <f ca="1"/>
        <v>0</v>
      </c>
      <c r="HPK15">
        <f ca="1"/>
        <v>0</v>
      </c>
      <c r="HPL15">
        <f ca="1"/>
        <v>0</v>
      </c>
      <c r="HPM15">
        <f ca="1"/>
        <v>0</v>
      </c>
      <c r="HPN15">
        <f ca="1"/>
        <v>0</v>
      </c>
      <c r="HPO15">
        <f ca="1"/>
        <v>0</v>
      </c>
      <c r="HPP15">
        <f ca="1"/>
        <v>0</v>
      </c>
      <c r="HPQ15">
        <f ca="1"/>
        <v>0</v>
      </c>
      <c r="HPR15">
        <f ca="1"/>
        <v>0</v>
      </c>
      <c r="HPS15">
        <f ca="1"/>
        <v>0</v>
      </c>
      <c r="HPT15">
        <f ca="1"/>
        <v>0</v>
      </c>
      <c r="HPU15">
        <f ca="1"/>
        <v>0</v>
      </c>
      <c r="HPV15">
        <f ca="1"/>
        <v>0</v>
      </c>
      <c r="HPW15">
        <f ca="1"/>
        <v>0</v>
      </c>
      <c r="HPX15">
        <f ca="1"/>
        <v>0</v>
      </c>
      <c r="HPY15">
        <f ca="1"/>
        <v>0</v>
      </c>
      <c r="HPZ15">
        <f ca="1"/>
        <v>0</v>
      </c>
      <c r="HQA15">
        <f ca="1"/>
        <v>0</v>
      </c>
      <c r="HQB15">
        <f ca="1"/>
        <v>0</v>
      </c>
      <c r="HQC15">
        <f ca="1"/>
        <v>0</v>
      </c>
      <c r="HQD15">
        <f ca="1"/>
        <v>0</v>
      </c>
      <c r="HQE15">
        <f ca="1"/>
        <v>0</v>
      </c>
      <c r="HQF15">
        <f ca="1"/>
        <v>0</v>
      </c>
      <c r="HQG15">
        <f ca="1"/>
        <v>0</v>
      </c>
      <c r="HQH15">
        <f ca="1"/>
        <v>0</v>
      </c>
      <c r="HQI15">
        <f ca="1"/>
        <v>0</v>
      </c>
      <c r="HQJ15">
        <f ca="1"/>
        <v>0</v>
      </c>
      <c r="HQK15">
        <f ca="1"/>
        <v>0</v>
      </c>
      <c r="HQL15">
        <f ca="1"/>
        <v>0</v>
      </c>
      <c r="HQM15">
        <f ca="1"/>
        <v>0</v>
      </c>
      <c r="HQN15">
        <f ca="1"/>
        <v>0</v>
      </c>
      <c r="HQO15">
        <f ca="1"/>
        <v>0</v>
      </c>
      <c r="HQP15">
        <f ca="1"/>
        <v>0</v>
      </c>
      <c r="HQQ15">
        <f ca="1"/>
        <v>0</v>
      </c>
      <c r="HQR15">
        <f ca="1"/>
        <v>0</v>
      </c>
      <c r="HQS15">
        <f ca="1"/>
        <v>0</v>
      </c>
      <c r="HQT15">
        <f ca="1"/>
        <v>0</v>
      </c>
      <c r="HQU15">
        <f ca="1"/>
        <v>0</v>
      </c>
      <c r="HQV15">
        <f ca="1"/>
        <v>0</v>
      </c>
      <c r="HQW15">
        <f ca="1"/>
        <v>0</v>
      </c>
      <c r="HQX15">
        <f ca="1"/>
        <v>0</v>
      </c>
      <c r="HQY15">
        <f ca="1"/>
        <v>0</v>
      </c>
      <c r="HQZ15">
        <f ca="1"/>
        <v>0</v>
      </c>
      <c r="HRA15">
        <f ca="1"/>
        <v>0</v>
      </c>
      <c r="HRB15">
        <f ca="1"/>
        <v>0</v>
      </c>
      <c r="HRC15">
        <f ca="1"/>
        <v>0</v>
      </c>
      <c r="HRD15">
        <f ca="1"/>
        <v>0</v>
      </c>
      <c r="HRE15">
        <f ca="1"/>
        <v>0</v>
      </c>
      <c r="HRF15">
        <f ca="1"/>
        <v>0</v>
      </c>
      <c r="HRG15">
        <f ca="1"/>
        <v>0</v>
      </c>
      <c r="HRH15">
        <f ca="1"/>
        <v>0</v>
      </c>
      <c r="HRI15">
        <f ca="1"/>
        <v>0</v>
      </c>
      <c r="HRJ15">
        <f ca="1"/>
        <v>0</v>
      </c>
      <c r="HRK15">
        <f ca="1"/>
        <v>0</v>
      </c>
      <c r="HRL15">
        <f ca="1"/>
        <v>0</v>
      </c>
      <c r="HRM15">
        <f ca="1"/>
        <v>0</v>
      </c>
      <c r="HRN15">
        <f ca="1"/>
        <v>0</v>
      </c>
      <c r="HRO15">
        <f ca="1"/>
        <v>0</v>
      </c>
      <c r="HRP15">
        <f ca="1"/>
        <v>0</v>
      </c>
      <c r="HRQ15">
        <f ca="1"/>
        <v>0</v>
      </c>
      <c r="HRR15">
        <f ca="1"/>
        <v>0</v>
      </c>
      <c r="HRS15">
        <f ca="1"/>
        <v>0</v>
      </c>
      <c r="HRT15">
        <f ca="1"/>
        <v>0</v>
      </c>
      <c r="HRU15">
        <f ca="1"/>
        <v>0</v>
      </c>
      <c r="HRV15">
        <f ca="1"/>
        <v>0</v>
      </c>
      <c r="HRW15">
        <f ca="1"/>
        <v>0</v>
      </c>
      <c r="HRX15">
        <f ca="1"/>
        <v>0</v>
      </c>
      <c r="HRY15">
        <f ca="1"/>
        <v>0</v>
      </c>
      <c r="HRZ15">
        <f ca="1"/>
        <v>0</v>
      </c>
      <c r="HSA15">
        <f ca="1"/>
        <v>0</v>
      </c>
      <c r="HSB15">
        <f ca="1"/>
        <v>0</v>
      </c>
      <c r="HSC15">
        <f ca="1"/>
        <v>0</v>
      </c>
      <c r="HSD15">
        <f ca="1"/>
        <v>0</v>
      </c>
      <c r="HSE15">
        <f ca="1"/>
        <v>0</v>
      </c>
      <c r="HSF15">
        <f ca="1"/>
        <v>0</v>
      </c>
      <c r="HSG15">
        <f ca="1"/>
        <v>0</v>
      </c>
      <c r="HSH15">
        <f ca="1"/>
        <v>0</v>
      </c>
      <c r="HSI15">
        <f ca="1"/>
        <v>0</v>
      </c>
      <c r="HSJ15">
        <f ca="1"/>
        <v>0</v>
      </c>
      <c r="HSK15">
        <f ca="1"/>
        <v>0</v>
      </c>
      <c r="HSL15">
        <f ca="1"/>
        <v>0</v>
      </c>
      <c r="HSM15">
        <f ca="1"/>
        <v>0</v>
      </c>
      <c r="HSN15">
        <f ca="1"/>
        <v>0</v>
      </c>
      <c r="HSO15">
        <f ca="1"/>
        <v>0</v>
      </c>
      <c r="HSP15">
        <f ca="1"/>
        <v>0</v>
      </c>
      <c r="HSQ15">
        <f ca="1"/>
        <v>0</v>
      </c>
      <c r="HSR15">
        <f ca="1"/>
        <v>0</v>
      </c>
      <c r="HSS15">
        <f ca="1"/>
        <v>0</v>
      </c>
      <c r="HST15">
        <f ca="1"/>
        <v>0</v>
      </c>
      <c r="HSU15">
        <f ca="1"/>
        <v>0</v>
      </c>
      <c r="HSV15">
        <f ca="1"/>
        <v>0</v>
      </c>
      <c r="HSW15">
        <f ca="1"/>
        <v>0</v>
      </c>
      <c r="HSX15">
        <f ca="1"/>
        <v>0</v>
      </c>
      <c r="HSY15">
        <f ca="1"/>
        <v>0</v>
      </c>
      <c r="HSZ15">
        <f ca="1"/>
        <v>0</v>
      </c>
      <c r="HTA15">
        <f ca="1"/>
        <v>0</v>
      </c>
      <c r="HTB15">
        <f ca="1"/>
        <v>0</v>
      </c>
      <c r="HTC15">
        <f ca="1"/>
        <v>0</v>
      </c>
      <c r="HTD15">
        <f ca="1"/>
        <v>0</v>
      </c>
      <c r="HTE15">
        <f ca="1"/>
        <v>0</v>
      </c>
      <c r="HTF15">
        <f ca="1"/>
        <v>0</v>
      </c>
      <c r="HTG15">
        <f ca="1"/>
        <v>0</v>
      </c>
      <c r="HTH15">
        <f ca="1"/>
        <v>0</v>
      </c>
      <c r="HTI15">
        <f ca="1"/>
        <v>0</v>
      </c>
      <c r="HTJ15">
        <f ca="1"/>
        <v>0</v>
      </c>
      <c r="HTK15">
        <f ca="1"/>
        <v>0</v>
      </c>
      <c r="HTL15">
        <f ca="1"/>
        <v>0</v>
      </c>
      <c r="HTM15">
        <f ca="1"/>
        <v>0</v>
      </c>
      <c r="HTN15">
        <f ca="1"/>
        <v>0</v>
      </c>
      <c r="HTO15">
        <f ca="1"/>
        <v>0</v>
      </c>
      <c r="HTP15">
        <f ca="1"/>
        <v>0</v>
      </c>
      <c r="HTQ15">
        <f ca="1"/>
        <v>0</v>
      </c>
      <c r="HTR15">
        <f ca="1"/>
        <v>0</v>
      </c>
      <c r="HTS15">
        <f ca="1"/>
        <v>0</v>
      </c>
      <c r="HTT15">
        <f ca="1"/>
        <v>0</v>
      </c>
      <c r="HTU15">
        <f ca="1"/>
        <v>0</v>
      </c>
      <c r="HTV15">
        <f ca="1"/>
        <v>0</v>
      </c>
      <c r="HTW15">
        <f ca="1"/>
        <v>0</v>
      </c>
      <c r="HTX15">
        <f ca="1"/>
        <v>0</v>
      </c>
      <c r="HTY15">
        <f ca="1"/>
        <v>0</v>
      </c>
      <c r="HTZ15">
        <f ca="1"/>
        <v>0</v>
      </c>
      <c r="HUA15">
        <f ca="1"/>
        <v>0</v>
      </c>
      <c r="HUB15">
        <f ca="1"/>
        <v>0</v>
      </c>
      <c r="HUC15">
        <f ca="1"/>
        <v>0</v>
      </c>
      <c r="HUD15">
        <f ca="1"/>
        <v>0</v>
      </c>
      <c r="HUE15">
        <f ca="1"/>
        <v>0</v>
      </c>
      <c r="HUF15">
        <f ca="1"/>
        <v>0</v>
      </c>
      <c r="HUG15">
        <f ca="1"/>
        <v>0</v>
      </c>
      <c r="HUH15">
        <f ca="1"/>
        <v>0</v>
      </c>
      <c r="HUI15">
        <f ca="1"/>
        <v>0</v>
      </c>
      <c r="HUJ15">
        <f ca="1"/>
        <v>0</v>
      </c>
      <c r="HUK15">
        <f ca="1"/>
        <v>0</v>
      </c>
      <c r="HUL15">
        <f ca="1"/>
        <v>0</v>
      </c>
      <c r="HUM15">
        <f ca="1"/>
        <v>0</v>
      </c>
      <c r="HUN15">
        <f ca="1"/>
        <v>0</v>
      </c>
      <c r="HUO15">
        <f ca="1"/>
        <v>0</v>
      </c>
      <c r="HUP15">
        <f ca="1"/>
        <v>0</v>
      </c>
      <c r="HUQ15">
        <f ca="1"/>
        <v>0</v>
      </c>
      <c r="HUR15">
        <f ca="1"/>
        <v>0</v>
      </c>
      <c r="HUS15">
        <f ca="1"/>
        <v>0</v>
      </c>
      <c r="HUT15">
        <f ca="1"/>
        <v>0</v>
      </c>
      <c r="HUU15">
        <f ca="1"/>
        <v>0</v>
      </c>
      <c r="HUV15">
        <f ca="1"/>
        <v>0</v>
      </c>
      <c r="HUW15">
        <f ca="1"/>
        <v>0</v>
      </c>
      <c r="HUX15">
        <f ca="1"/>
        <v>0</v>
      </c>
      <c r="HUY15">
        <f ca="1"/>
        <v>0</v>
      </c>
      <c r="HUZ15">
        <f ca="1"/>
        <v>0</v>
      </c>
      <c r="HVA15">
        <f ca="1"/>
        <v>0</v>
      </c>
      <c r="HVB15">
        <f ca="1"/>
        <v>0</v>
      </c>
      <c r="HVC15">
        <f ca="1"/>
        <v>0</v>
      </c>
      <c r="HVD15">
        <f ca="1"/>
        <v>0</v>
      </c>
      <c r="HVE15">
        <f ca="1"/>
        <v>0</v>
      </c>
      <c r="HVF15">
        <f ca="1"/>
        <v>0</v>
      </c>
      <c r="HVG15">
        <f ca="1"/>
        <v>0</v>
      </c>
      <c r="HVH15">
        <f ca="1"/>
        <v>0</v>
      </c>
      <c r="HVI15">
        <f ca="1"/>
        <v>0</v>
      </c>
      <c r="HVJ15">
        <f ca="1"/>
        <v>0</v>
      </c>
      <c r="HVK15">
        <f ca="1"/>
        <v>0</v>
      </c>
      <c r="HVL15">
        <f ca="1"/>
        <v>0</v>
      </c>
      <c r="HVM15">
        <f ca="1"/>
        <v>0</v>
      </c>
      <c r="HVN15">
        <f ca="1"/>
        <v>0</v>
      </c>
      <c r="HVO15">
        <f ca="1"/>
        <v>0</v>
      </c>
      <c r="HVP15">
        <f ca="1"/>
        <v>0</v>
      </c>
      <c r="HVQ15">
        <f ca="1"/>
        <v>0</v>
      </c>
      <c r="HVR15">
        <f ca="1"/>
        <v>0</v>
      </c>
      <c r="HVS15">
        <f ca="1"/>
        <v>0</v>
      </c>
      <c r="HVT15">
        <f ca="1"/>
        <v>0</v>
      </c>
      <c r="HVU15">
        <f ca="1"/>
        <v>0</v>
      </c>
      <c r="HVV15">
        <f ca="1"/>
        <v>0</v>
      </c>
      <c r="HVW15">
        <f ca="1"/>
        <v>0</v>
      </c>
      <c r="HVX15">
        <f ca="1"/>
        <v>0</v>
      </c>
      <c r="HVY15">
        <f ca="1"/>
        <v>0</v>
      </c>
      <c r="HVZ15">
        <f ca="1"/>
        <v>0</v>
      </c>
      <c r="HWA15">
        <f ca="1"/>
        <v>0</v>
      </c>
      <c r="HWB15">
        <f ca="1"/>
        <v>0</v>
      </c>
      <c r="HWC15">
        <f ca="1"/>
        <v>0</v>
      </c>
      <c r="HWD15">
        <f ca="1"/>
        <v>0</v>
      </c>
      <c r="HWE15">
        <f ca="1"/>
        <v>0</v>
      </c>
      <c r="HWF15">
        <f ca="1"/>
        <v>0</v>
      </c>
      <c r="HWG15">
        <f ca="1"/>
        <v>0</v>
      </c>
      <c r="HWH15">
        <f ca="1"/>
        <v>0</v>
      </c>
      <c r="HWI15">
        <f ca="1"/>
        <v>0</v>
      </c>
      <c r="HWJ15">
        <f ca="1"/>
        <v>0</v>
      </c>
      <c r="HWK15">
        <f ca="1"/>
        <v>0</v>
      </c>
      <c r="HWL15">
        <f ca="1"/>
        <v>0</v>
      </c>
      <c r="HWM15">
        <f ca="1"/>
        <v>0</v>
      </c>
      <c r="HWN15">
        <f ca="1"/>
        <v>0</v>
      </c>
      <c r="HWO15">
        <f ca="1"/>
        <v>0</v>
      </c>
      <c r="HWP15">
        <f ca="1"/>
        <v>0</v>
      </c>
      <c r="HWQ15">
        <f ca="1"/>
        <v>0</v>
      </c>
      <c r="HWR15">
        <f ca="1"/>
        <v>0</v>
      </c>
      <c r="HWS15">
        <f ca="1"/>
        <v>0</v>
      </c>
      <c r="HWT15">
        <f ca="1"/>
        <v>0</v>
      </c>
      <c r="HWU15">
        <f ca="1"/>
        <v>0</v>
      </c>
      <c r="HWV15">
        <f ca="1"/>
        <v>0</v>
      </c>
      <c r="HWW15">
        <f ca="1"/>
        <v>0</v>
      </c>
      <c r="HWX15">
        <f ca="1"/>
        <v>0</v>
      </c>
      <c r="HWY15">
        <f ca="1"/>
        <v>0</v>
      </c>
      <c r="HWZ15">
        <f ca="1"/>
        <v>0</v>
      </c>
      <c r="HXA15">
        <f ca="1"/>
        <v>0</v>
      </c>
      <c r="HXB15">
        <f ca="1"/>
        <v>0</v>
      </c>
      <c r="HXC15">
        <f ca="1"/>
        <v>0</v>
      </c>
      <c r="HXD15">
        <f ca="1"/>
        <v>0</v>
      </c>
      <c r="HXE15">
        <f ca="1"/>
        <v>0</v>
      </c>
      <c r="HXF15">
        <f ca="1"/>
        <v>0</v>
      </c>
      <c r="HXG15">
        <f ca="1"/>
        <v>0</v>
      </c>
      <c r="HXH15">
        <f ca="1"/>
        <v>0</v>
      </c>
      <c r="HXI15">
        <f ca="1"/>
        <v>0</v>
      </c>
      <c r="HXJ15">
        <f ca="1"/>
        <v>0</v>
      </c>
      <c r="HXK15">
        <f ca="1"/>
        <v>0</v>
      </c>
      <c r="HXL15">
        <f ca="1"/>
        <v>0</v>
      </c>
      <c r="HXM15">
        <f ca="1"/>
        <v>0</v>
      </c>
      <c r="HXN15">
        <f ca="1"/>
        <v>0</v>
      </c>
      <c r="HXO15">
        <f ca="1"/>
        <v>0</v>
      </c>
      <c r="HXP15">
        <f ca="1"/>
        <v>0</v>
      </c>
      <c r="HXQ15">
        <f ca="1"/>
        <v>0</v>
      </c>
      <c r="HXR15">
        <f ca="1"/>
        <v>0</v>
      </c>
      <c r="HXS15">
        <f ca="1"/>
        <v>0</v>
      </c>
      <c r="HXT15">
        <f ca="1"/>
        <v>0</v>
      </c>
      <c r="HXU15">
        <f ca="1"/>
        <v>0</v>
      </c>
      <c r="HXV15">
        <f ca="1"/>
        <v>0</v>
      </c>
      <c r="HXW15">
        <f ca="1"/>
        <v>0</v>
      </c>
      <c r="HXX15">
        <f ca="1"/>
        <v>0</v>
      </c>
      <c r="HXY15">
        <f ca="1"/>
        <v>0</v>
      </c>
      <c r="HXZ15">
        <f ca="1"/>
        <v>0</v>
      </c>
      <c r="HYA15">
        <f ca="1"/>
        <v>0</v>
      </c>
      <c r="HYB15">
        <f ca="1"/>
        <v>0</v>
      </c>
      <c r="HYC15">
        <f ca="1"/>
        <v>0</v>
      </c>
      <c r="HYD15">
        <f ca="1"/>
        <v>0</v>
      </c>
      <c r="HYE15">
        <f ca="1"/>
        <v>0</v>
      </c>
      <c r="HYF15">
        <f ca="1"/>
        <v>0</v>
      </c>
      <c r="HYG15">
        <f ca="1"/>
        <v>0</v>
      </c>
      <c r="HYH15">
        <f ca="1"/>
        <v>0</v>
      </c>
      <c r="HYI15">
        <f ca="1"/>
        <v>0</v>
      </c>
      <c r="HYJ15">
        <f ca="1"/>
        <v>0</v>
      </c>
      <c r="HYK15">
        <f ca="1"/>
        <v>0</v>
      </c>
      <c r="HYL15">
        <f ca="1"/>
        <v>0</v>
      </c>
      <c r="HYM15">
        <f ca="1"/>
        <v>0</v>
      </c>
      <c r="HYN15">
        <f ca="1"/>
        <v>0</v>
      </c>
      <c r="HYO15">
        <f ca="1"/>
        <v>0</v>
      </c>
      <c r="HYP15">
        <f ca="1"/>
        <v>0</v>
      </c>
      <c r="HYQ15">
        <f ca="1"/>
        <v>0</v>
      </c>
      <c r="HYR15">
        <f ca="1"/>
        <v>0</v>
      </c>
      <c r="HYS15">
        <f ca="1"/>
        <v>0</v>
      </c>
      <c r="HYT15">
        <f ca="1"/>
        <v>0</v>
      </c>
      <c r="HYU15">
        <f ca="1"/>
        <v>0</v>
      </c>
      <c r="HYV15">
        <f ca="1"/>
        <v>0</v>
      </c>
      <c r="HYW15">
        <f ca="1"/>
        <v>0</v>
      </c>
      <c r="HYX15">
        <f ca="1"/>
        <v>0</v>
      </c>
      <c r="HYY15">
        <f ca="1"/>
        <v>0</v>
      </c>
      <c r="HYZ15">
        <f ca="1"/>
        <v>0</v>
      </c>
      <c r="HZA15">
        <f ca="1"/>
        <v>0</v>
      </c>
      <c r="HZB15">
        <f ca="1"/>
        <v>0</v>
      </c>
      <c r="HZC15">
        <f ca="1"/>
        <v>0</v>
      </c>
      <c r="HZD15">
        <f ca="1"/>
        <v>0</v>
      </c>
      <c r="HZE15">
        <f ca="1"/>
        <v>0</v>
      </c>
      <c r="HZF15">
        <f ca="1"/>
        <v>0</v>
      </c>
      <c r="HZG15">
        <f ca="1"/>
        <v>0</v>
      </c>
      <c r="HZH15">
        <f ca="1"/>
        <v>0</v>
      </c>
      <c r="HZI15">
        <f ca="1"/>
        <v>0</v>
      </c>
      <c r="HZJ15">
        <f ca="1"/>
        <v>0</v>
      </c>
      <c r="HZK15">
        <f ca="1"/>
        <v>0</v>
      </c>
      <c r="HZL15">
        <f ca="1"/>
        <v>0</v>
      </c>
      <c r="HZM15">
        <f ca="1"/>
        <v>0</v>
      </c>
      <c r="HZN15">
        <f ca="1"/>
        <v>0</v>
      </c>
      <c r="HZO15">
        <f ca="1"/>
        <v>0</v>
      </c>
      <c r="HZP15">
        <f ca="1"/>
        <v>0</v>
      </c>
      <c r="HZQ15">
        <f ca="1"/>
        <v>0</v>
      </c>
      <c r="HZR15">
        <f ca="1"/>
        <v>0</v>
      </c>
      <c r="HZS15">
        <f ca="1"/>
        <v>0</v>
      </c>
      <c r="HZT15">
        <f ca="1"/>
        <v>0</v>
      </c>
      <c r="HZU15">
        <f ca="1"/>
        <v>0</v>
      </c>
      <c r="HZV15">
        <f ca="1"/>
        <v>0</v>
      </c>
      <c r="HZW15">
        <f ca="1"/>
        <v>0</v>
      </c>
      <c r="HZX15">
        <f ca="1"/>
        <v>0</v>
      </c>
      <c r="HZY15">
        <f ca="1"/>
        <v>0</v>
      </c>
      <c r="HZZ15">
        <f ca="1"/>
        <v>0</v>
      </c>
      <c r="IAA15">
        <f ca="1"/>
        <v>0</v>
      </c>
      <c r="IAB15">
        <f ca="1"/>
        <v>0</v>
      </c>
      <c r="IAC15">
        <f ca="1"/>
        <v>0</v>
      </c>
      <c r="IAD15">
        <f ca="1"/>
        <v>0</v>
      </c>
      <c r="IAE15">
        <f ca="1"/>
        <v>0</v>
      </c>
      <c r="IAF15">
        <f ca="1"/>
        <v>0</v>
      </c>
      <c r="IAG15">
        <f ca="1"/>
        <v>0</v>
      </c>
      <c r="IAH15">
        <f ca="1"/>
        <v>0</v>
      </c>
      <c r="IAI15">
        <f ca="1"/>
        <v>0</v>
      </c>
      <c r="IAJ15">
        <f ca="1"/>
        <v>0</v>
      </c>
      <c r="IAK15">
        <f ca="1"/>
        <v>0</v>
      </c>
      <c r="IAL15">
        <f ca="1"/>
        <v>0</v>
      </c>
      <c r="IAM15">
        <f ca="1"/>
        <v>0</v>
      </c>
      <c r="IAN15">
        <f ca="1"/>
        <v>0</v>
      </c>
      <c r="IAO15">
        <f ca="1"/>
        <v>0</v>
      </c>
      <c r="IAP15">
        <f ca="1"/>
        <v>0</v>
      </c>
      <c r="IAQ15">
        <f ca="1"/>
        <v>0</v>
      </c>
      <c r="IAR15">
        <f ca="1"/>
        <v>0</v>
      </c>
      <c r="IAS15">
        <f ca="1"/>
        <v>0</v>
      </c>
      <c r="IAT15">
        <f ca="1"/>
        <v>0</v>
      </c>
      <c r="IAU15">
        <f ca="1"/>
        <v>0</v>
      </c>
      <c r="IAV15">
        <f ca="1"/>
        <v>0</v>
      </c>
      <c r="IAW15">
        <f ca="1"/>
        <v>0</v>
      </c>
      <c r="IAX15">
        <f ca="1"/>
        <v>0</v>
      </c>
      <c r="IAY15">
        <f ca="1"/>
        <v>0</v>
      </c>
      <c r="IAZ15">
        <f ca="1"/>
        <v>0</v>
      </c>
      <c r="IBA15">
        <f ca="1"/>
        <v>0</v>
      </c>
      <c r="IBB15">
        <f ca="1"/>
        <v>0</v>
      </c>
      <c r="IBC15">
        <f ca="1"/>
        <v>0</v>
      </c>
      <c r="IBD15">
        <f ca="1"/>
        <v>0</v>
      </c>
      <c r="IBE15">
        <f ca="1"/>
        <v>0</v>
      </c>
      <c r="IBF15">
        <f ca="1"/>
        <v>0</v>
      </c>
      <c r="IBG15">
        <f ca="1"/>
        <v>0</v>
      </c>
      <c r="IBH15">
        <f ca="1"/>
        <v>0</v>
      </c>
      <c r="IBI15">
        <f ca="1"/>
        <v>0</v>
      </c>
      <c r="IBJ15">
        <f ca="1"/>
        <v>0</v>
      </c>
      <c r="IBK15">
        <f ca="1"/>
        <v>0</v>
      </c>
      <c r="IBL15">
        <f ca="1"/>
        <v>0</v>
      </c>
      <c r="IBM15">
        <f ca="1"/>
        <v>0</v>
      </c>
      <c r="IBN15">
        <f ca="1"/>
        <v>0</v>
      </c>
      <c r="IBO15">
        <f ca="1"/>
        <v>0</v>
      </c>
      <c r="IBP15">
        <f ca="1"/>
        <v>0</v>
      </c>
      <c r="IBQ15">
        <f ca="1"/>
        <v>0</v>
      </c>
      <c r="IBR15">
        <f ca="1"/>
        <v>0</v>
      </c>
      <c r="IBS15">
        <f ca="1"/>
        <v>0</v>
      </c>
      <c r="IBT15">
        <f ca="1"/>
        <v>0</v>
      </c>
      <c r="IBU15">
        <f ca="1"/>
        <v>0</v>
      </c>
      <c r="IBV15">
        <f ca="1"/>
        <v>0</v>
      </c>
      <c r="IBW15">
        <f ca="1"/>
        <v>0</v>
      </c>
      <c r="IBX15">
        <f ca="1"/>
        <v>0</v>
      </c>
      <c r="IBY15">
        <f ca="1"/>
        <v>0</v>
      </c>
      <c r="IBZ15">
        <f ca="1"/>
        <v>0</v>
      </c>
      <c r="ICA15">
        <f ca="1"/>
        <v>0</v>
      </c>
      <c r="ICB15">
        <f ca="1"/>
        <v>0</v>
      </c>
      <c r="ICC15">
        <f ca="1"/>
        <v>0</v>
      </c>
      <c r="ICD15">
        <f ca="1"/>
        <v>0</v>
      </c>
      <c r="ICE15">
        <f ca="1"/>
        <v>0</v>
      </c>
      <c r="ICF15">
        <f ca="1"/>
        <v>0</v>
      </c>
      <c r="ICG15">
        <f ca="1"/>
        <v>0</v>
      </c>
      <c r="ICH15">
        <f ca="1"/>
        <v>0</v>
      </c>
      <c r="ICI15">
        <f ca="1"/>
        <v>0</v>
      </c>
      <c r="ICJ15">
        <f ca="1"/>
        <v>0</v>
      </c>
      <c r="ICK15">
        <f ca="1"/>
        <v>0</v>
      </c>
      <c r="ICL15">
        <f ca="1"/>
        <v>0</v>
      </c>
      <c r="ICM15">
        <f ca="1"/>
        <v>0</v>
      </c>
      <c r="ICN15">
        <f ca="1"/>
        <v>0</v>
      </c>
      <c r="ICO15">
        <f ca="1"/>
        <v>0</v>
      </c>
      <c r="ICP15">
        <f ca="1"/>
        <v>0</v>
      </c>
      <c r="ICQ15">
        <f ca="1"/>
        <v>0</v>
      </c>
      <c r="ICR15">
        <f ca="1"/>
        <v>0</v>
      </c>
      <c r="ICS15">
        <f ca="1"/>
        <v>0</v>
      </c>
      <c r="ICT15">
        <f ca="1"/>
        <v>0</v>
      </c>
      <c r="ICU15">
        <f ca="1"/>
        <v>0</v>
      </c>
      <c r="ICV15">
        <f ca="1"/>
        <v>0</v>
      </c>
      <c r="ICW15">
        <f ca="1"/>
        <v>0</v>
      </c>
      <c r="ICX15">
        <f ca="1"/>
        <v>0</v>
      </c>
      <c r="ICY15">
        <f ca="1"/>
        <v>0</v>
      </c>
      <c r="ICZ15">
        <f ca="1"/>
        <v>0</v>
      </c>
      <c r="IDA15">
        <f ca="1"/>
        <v>0</v>
      </c>
      <c r="IDB15">
        <f ca="1"/>
        <v>0</v>
      </c>
      <c r="IDC15">
        <f ca="1"/>
        <v>0</v>
      </c>
      <c r="IDD15">
        <f ca="1"/>
        <v>0</v>
      </c>
      <c r="IDE15">
        <f ca="1"/>
        <v>0</v>
      </c>
      <c r="IDF15">
        <f ca="1"/>
        <v>0</v>
      </c>
      <c r="IDG15">
        <f ca="1"/>
        <v>0</v>
      </c>
      <c r="IDH15">
        <f ca="1"/>
        <v>0</v>
      </c>
      <c r="IDI15">
        <f ca="1"/>
        <v>0</v>
      </c>
      <c r="IDJ15">
        <f ca="1"/>
        <v>0</v>
      </c>
      <c r="IDK15">
        <f ca="1"/>
        <v>0</v>
      </c>
      <c r="IDL15">
        <f ca="1"/>
        <v>0</v>
      </c>
      <c r="IDM15">
        <f ca="1"/>
        <v>0</v>
      </c>
      <c r="IDN15">
        <f ca="1"/>
        <v>0</v>
      </c>
      <c r="IDO15">
        <f ca="1"/>
        <v>0</v>
      </c>
      <c r="IDP15">
        <f ca="1"/>
        <v>0</v>
      </c>
      <c r="IDQ15">
        <f ca="1"/>
        <v>0</v>
      </c>
      <c r="IDR15">
        <f ca="1"/>
        <v>0</v>
      </c>
      <c r="IDS15">
        <f ca="1"/>
        <v>0</v>
      </c>
      <c r="IDT15">
        <f ca="1"/>
        <v>0</v>
      </c>
      <c r="IDU15">
        <f ca="1"/>
        <v>0</v>
      </c>
      <c r="IDV15">
        <f ca="1"/>
        <v>0</v>
      </c>
      <c r="IDW15">
        <f ca="1"/>
        <v>0</v>
      </c>
      <c r="IDX15">
        <f ca="1"/>
        <v>0</v>
      </c>
      <c r="IDY15">
        <f ca="1"/>
        <v>0</v>
      </c>
      <c r="IDZ15">
        <f ca="1"/>
        <v>0</v>
      </c>
      <c r="IEA15">
        <f ca="1"/>
        <v>0</v>
      </c>
      <c r="IEB15">
        <f ca="1"/>
        <v>0</v>
      </c>
      <c r="IEC15">
        <f ca="1"/>
        <v>0</v>
      </c>
      <c r="IED15">
        <f ca="1"/>
        <v>0</v>
      </c>
      <c r="IEE15">
        <f ca="1"/>
        <v>0</v>
      </c>
      <c r="IEF15">
        <f ca="1"/>
        <v>0</v>
      </c>
      <c r="IEG15">
        <f ca="1"/>
        <v>0</v>
      </c>
      <c r="IEH15">
        <f ca="1"/>
        <v>0</v>
      </c>
      <c r="IEI15">
        <f ca="1"/>
        <v>0</v>
      </c>
      <c r="IEJ15">
        <f ca="1"/>
        <v>0</v>
      </c>
      <c r="IEK15">
        <f ca="1"/>
        <v>0</v>
      </c>
      <c r="IEL15">
        <f ca="1"/>
        <v>0</v>
      </c>
      <c r="IEM15">
        <f ca="1"/>
        <v>0</v>
      </c>
      <c r="IEN15">
        <f ca="1"/>
        <v>0</v>
      </c>
      <c r="IEO15">
        <f ca="1"/>
        <v>0</v>
      </c>
      <c r="IEP15">
        <f ca="1"/>
        <v>0</v>
      </c>
      <c r="IEQ15">
        <f ca="1"/>
        <v>0</v>
      </c>
      <c r="IER15">
        <f ca="1"/>
        <v>0</v>
      </c>
      <c r="IES15">
        <f ca="1"/>
        <v>0</v>
      </c>
      <c r="IET15">
        <f ca="1"/>
        <v>0</v>
      </c>
      <c r="IEU15">
        <f ca="1"/>
        <v>0</v>
      </c>
      <c r="IEV15">
        <f ca="1"/>
        <v>0</v>
      </c>
      <c r="IEW15">
        <f ca="1"/>
        <v>0</v>
      </c>
      <c r="IEX15">
        <f ca="1"/>
        <v>0</v>
      </c>
      <c r="IEY15">
        <f ca="1"/>
        <v>0</v>
      </c>
      <c r="IEZ15">
        <f ca="1"/>
        <v>0</v>
      </c>
      <c r="IFA15">
        <f ca="1"/>
        <v>0</v>
      </c>
      <c r="IFB15">
        <f ca="1"/>
        <v>0</v>
      </c>
      <c r="IFC15">
        <f ca="1"/>
        <v>0</v>
      </c>
      <c r="IFD15">
        <f ca="1"/>
        <v>0</v>
      </c>
      <c r="IFE15">
        <f ca="1"/>
        <v>0</v>
      </c>
      <c r="IFF15">
        <f ca="1"/>
        <v>0</v>
      </c>
      <c r="IFG15">
        <f ca="1"/>
        <v>0</v>
      </c>
      <c r="IFH15">
        <f ca="1"/>
        <v>0</v>
      </c>
      <c r="IFI15">
        <f ca="1"/>
        <v>0</v>
      </c>
      <c r="IFJ15">
        <f ca="1"/>
        <v>0</v>
      </c>
      <c r="IFK15">
        <f ca="1"/>
        <v>0</v>
      </c>
      <c r="IFL15">
        <f ca="1"/>
        <v>0</v>
      </c>
      <c r="IFM15">
        <f ca="1"/>
        <v>0</v>
      </c>
      <c r="IFN15">
        <f ca="1"/>
        <v>0</v>
      </c>
      <c r="IFO15">
        <f ca="1"/>
        <v>0</v>
      </c>
      <c r="IFP15">
        <f ca="1"/>
        <v>0</v>
      </c>
      <c r="IFQ15">
        <f ca="1"/>
        <v>0</v>
      </c>
      <c r="IFR15">
        <f ca="1"/>
        <v>0</v>
      </c>
      <c r="IFS15">
        <f ca="1"/>
        <v>0</v>
      </c>
      <c r="IFT15">
        <f ca="1"/>
        <v>0</v>
      </c>
      <c r="IFU15">
        <f ca="1"/>
        <v>0</v>
      </c>
      <c r="IFV15">
        <f ca="1"/>
        <v>0</v>
      </c>
      <c r="IFW15">
        <f ca="1"/>
        <v>0</v>
      </c>
      <c r="IFX15">
        <f ca="1"/>
        <v>0</v>
      </c>
      <c r="IFY15">
        <f ca="1"/>
        <v>0</v>
      </c>
      <c r="IFZ15">
        <f ca="1"/>
        <v>0</v>
      </c>
      <c r="IGA15">
        <f ca="1"/>
        <v>0</v>
      </c>
      <c r="IGB15">
        <f ca="1"/>
        <v>0</v>
      </c>
      <c r="IGC15">
        <f ca="1"/>
        <v>0</v>
      </c>
      <c r="IGD15">
        <f ca="1"/>
        <v>0</v>
      </c>
      <c r="IGE15">
        <f ca="1"/>
        <v>0</v>
      </c>
      <c r="IGF15">
        <f ca="1"/>
        <v>0</v>
      </c>
      <c r="IGG15">
        <f ca="1"/>
        <v>0</v>
      </c>
      <c r="IGH15">
        <f ca="1"/>
        <v>0</v>
      </c>
      <c r="IGI15">
        <f ca="1"/>
        <v>0</v>
      </c>
      <c r="IGJ15">
        <f ca="1"/>
        <v>0</v>
      </c>
      <c r="IGK15">
        <f ca="1"/>
        <v>0</v>
      </c>
      <c r="IGL15">
        <f ca="1"/>
        <v>0</v>
      </c>
      <c r="IGM15">
        <f ca="1"/>
        <v>0</v>
      </c>
      <c r="IGN15">
        <f ca="1"/>
        <v>0</v>
      </c>
      <c r="IGO15">
        <f ca="1"/>
        <v>0</v>
      </c>
      <c r="IGP15">
        <f ca="1"/>
        <v>0</v>
      </c>
      <c r="IGQ15">
        <f ca="1"/>
        <v>0</v>
      </c>
      <c r="IGR15">
        <f ca="1"/>
        <v>0</v>
      </c>
      <c r="IGS15">
        <f ca="1"/>
        <v>0</v>
      </c>
      <c r="IGT15">
        <f ca="1"/>
        <v>0</v>
      </c>
      <c r="IGU15">
        <f ca="1"/>
        <v>0</v>
      </c>
      <c r="IGV15">
        <f ca="1"/>
        <v>0</v>
      </c>
      <c r="IGW15">
        <f ca="1"/>
        <v>0</v>
      </c>
      <c r="IGX15">
        <f ca="1"/>
        <v>0</v>
      </c>
      <c r="IGY15">
        <f ca="1"/>
        <v>0</v>
      </c>
      <c r="IGZ15">
        <f ca="1"/>
        <v>0</v>
      </c>
      <c r="IHA15">
        <f ca="1"/>
        <v>0</v>
      </c>
      <c r="IHB15">
        <f ca="1"/>
        <v>0</v>
      </c>
      <c r="IHC15">
        <f ca="1"/>
        <v>0</v>
      </c>
      <c r="IHD15">
        <f ca="1"/>
        <v>0</v>
      </c>
      <c r="IHE15">
        <f ca="1"/>
        <v>0</v>
      </c>
      <c r="IHF15">
        <f ca="1"/>
        <v>0</v>
      </c>
      <c r="IHG15">
        <f ca="1"/>
        <v>0</v>
      </c>
      <c r="IHH15">
        <f ca="1"/>
        <v>0</v>
      </c>
      <c r="IHI15">
        <f ca="1"/>
        <v>0</v>
      </c>
      <c r="IHJ15">
        <f ca="1"/>
        <v>0</v>
      </c>
      <c r="IHK15">
        <f ca="1"/>
        <v>0</v>
      </c>
      <c r="IHL15">
        <f ca="1"/>
        <v>0</v>
      </c>
      <c r="IHM15">
        <f ca="1"/>
        <v>0</v>
      </c>
      <c r="IHN15">
        <f ca="1"/>
        <v>0</v>
      </c>
      <c r="IHO15">
        <f ca="1"/>
        <v>0</v>
      </c>
      <c r="IHP15">
        <f ca="1"/>
        <v>0</v>
      </c>
      <c r="IHQ15">
        <f ca="1"/>
        <v>0</v>
      </c>
      <c r="IHR15">
        <f ca="1"/>
        <v>0</v>
      </c>
      <c r="IHS15">
        <f ca="1"/>
        <v>0</v>
      </c>
      <c r="IHT15">
        <f ca="1"/>
        <v>0</v>
      </c>
      <c r="IHU15">
        <f ca="1"/>
        <v>0</v>
      </c>
      <c r="IHV15">
        <f ca="1"/>
        <v>0</v>
      </c>
      <c r="IHW15">
        <f ca="1"/>
        <v>0</v>
      </c>
      <c r="IHX15">
        <f ca="1"/>
        <v>0</v>
      </c>
      <c r="IHY15">
        <f ca="1"/>
        <v>0</v>
      </c>
      <c r="IHZ15">
        <f ca="1"/>
        <v>0</v>
      </c>
      <c r="IIA15">
        <f ca="1"/>
        <v>0</v>
      </c>
      <c r="IIB15">
        <f ca="1"/>
        <v>0</v>
      </c>
      <c r="IIC15">
        <f ca="1"/>
        <v>0</v>
      </c>
      <c r="IID15">
        <f ca="1"/>
        <v>0</v>
      </c>
      <c r="IIE15">
        <f ca="1"/>
        <v>0</v>
      </c>
      <c r="IIF15">
        <f ca="1"/>
        <v>0</v>
      </c>
      <c r="IIG15">
        <f ca="1"/>
        <v>0</v>
      </c>
      <c r="IIH15">
        <f ca="1"/>
        <v>0</v>
      </c>
      <c r="III15">
        <f ca="1"/>
        <v>0</v>
      </c>
      <c r="IIJ15">
        <f ca="1"/>
        <v>0</v>
      </c>
      <c r="IIK15">
        <f ca="1"/>
        <v>0</v>
      </c>
      <c r="IIL15">
        <f ca="1"/>
        <v>0</v>
      </c>
      <c r="IIM15">
        <f ca="1"/>
        <v>0</v>
      </c>
      <c r="IIN15">
        <f ca="1"/>
        <v>0</v>
      </c>
      <c r="IIO15">
        <f ca="1"/>
        <v>0</v>
      </c>
      <c r="IIP15">
        <f ca="1"/>
        <v>0</v>
      </c>
      <c r="IIQ15">
        <f ca="1"/>
        <v>0</v>
      </c>
      <c r="IIR15">
        <f ca="1"/>
        <v>0</v>
      </c>
      <c r="IIS15">
        <f ca="1"/>
        <v>0</v>
      </c>
      <c r="IIT15">
        <f ca="1"/>
        <v>0</v>
      </c>
      <c r="IIU15">
        <f ca="1"/>
        <v>0</v>
      </c>
      <c r="IIV15">
        <f ca="1"/>
        <v>0</v>
      </c>
      <c r="IIW15">
        <f ca="1"/>
        <v>0</v>
      </c>
      <c r="IIX15">
        <f ca="1"/>
        <v>0</v>
      </c>
      <c r="IIY15">
        <f ca="1"/>
        <v>0</v>
      </c>
      <c r="IIZ15">
        <f ca="1"/>
        <v>0</v>
      </c>
      <c r="IJA15">
        <f ca="1"/>
        <v>0</v>
      </c>
      <c r="IJB15">
        <f ca="1"/>
        <v>0</v>
      </c>
      <c r="IJC15">
        <f ca="1"/>
        <v>0</v>
      </c>
      <c r="IJD15">
        <f ca="1"/>
        <v>0</v>
      </c>
      <c r="IJE15">
        <f ca="1"/>
        <v>0</v>
      </c>
      <c r="IJF15">
        <f ca="1"/>
        <v>0</v>
      </c>
      <c r="IJG15">
        <f ca="1"/>
        <v>0</v>
      </c>
      <c r="IJH15">
        <f ca="1"/>
        <v>0</v>
      </c>
      <c r="IJI15">
        <f ca="1"/>
        <v>0</v>
      </c>
      <c r="IJJ15">
        <f ca="1"/>
        <v>0</v>
      </c>
      <c r="IJK15">
        <f ca="1"/>
        <v>0</v>
      </c>
      <c r="IJL15">
        <f ca="1"/>
        <v>0</v>
      </c>
      <c r="IJM15">
        <f ca="1"/>
        <v>0</v>
      </c>
      <c r="IJN15">
        <f ca="1"/>
        <v>0</v>
      </c>
      <c r="IJO15">
        <f ca="1"/>
        <v>0</v>
      </c>
      <c r="IJP15">
        <f ca="1"/>
        <v>0</v>
      </c>
      <c r="IJQ15">
        <f ca="1"/>
        <v>0</v>
      </c>
      <c r="IJR15">
        <f ca="1"/>
        <v>0</v>
      </c>
      <c r="IJS15">
        <f ca="1"/>
        <v>0</v>
      </c>
      <c r="IJT15">
        <f ca="1"/>
        <v>0</v>
      </c>
      <c r="IJU15">
        <f ca="1"/>
        <v>0</v>
      </c>
      <c r="IJV15">
        <f ca="1"/>
        <v>0</v>
      </c>
      <c r="IJW15">
        <f ca="1"/>
        <v>0</v>
      </c>
      <c r="IJX15">
        <f ca="1"/>
        <v>0</v>
      </c>
      <c r="IJY15">
        <f ca="1"/>
        <v>0</v>
      </c>
      <c r="IJZ15">
        <f ca="1"/>
        <v>0</v>
      </c>
      <c r="IKA15">
        <f ca="1"/>
        <v>0</v>
      </c>
      <c r="IKB15">
        <f ca="1"/>
        <v>0</v>
      </c>
      <c r="IKC15">
        <f ca="1"/>
        <v>0</v>
      </c>
      <c r="IKD15">
        <f ca="1"/>
        <v>0</v>
      </c>
      <c r="IKE15">
        <f ca="1"/>
        <v>0</v>
      </c>
      <c r="IKF15">
        <f ca="1"/>
        <v>0</v>
      </c>
      <c r="IKG15">
        <f ca="1"/>
        <v>0</v>
      </c>
      <c r="IKH15">
        <f ca="1"/>
        <v>0</v>
      </c>
      <c r="IKI15">
        <f ca="1"/>
        <v>0</v>
      </c>
      <c r="IKJ15">
        <f ca="1"/>
        <v>0</v>
      </c>
      <c r="IKK15">
        <f ca="1"/>
        <v>0</v>
      </c>
      <c r="IKL15">
        <f ca="1"/>
        <v>0</v>
      </c>
      <c r="IKM15">
        <f ca="1"/>
        <v>0</v>
      </c>
      <c r="IKN15">
        <f ca="1"/>
        <v>0</v>
      </c>
      <c r="IKO15">
        <f ca="1"/>
        <v>0</v>
      </c>
      <c r="IKP15">
        <f ca="1"/>
        <v>0</v>
      </c>
      <c r="IKQ15">
        <f ca="1"/>
        <v>0</v>
      </c>
      <c r="IKR15">
        <f ca="1"/>
        <v>0</v>
      </c>
      <c r="IKS15">
        <f ca="1"/>
        <v>0</v>
      </c>
      <c r="IKT15">
        <f ca="1"/>
        <v>0</v>
      </c>
      <c r="IKU15">
        <f ca="1"/>
        <v>0</v>
      </c>
      <c r="IKV15">
        <f ca="1"/>
        <v>0</v>
      </c>
      <c r="IKW15">
        <f ca="1"/>
        <v>0</v>
      </c>
      <c r="IKX15">
        <f ca="1"/>
        <v>0</v>
      </c>
      <c r="IKY15">
        <f ca="1"/>
        <v>0</v>
      </c>
      <c r="IKZ15">
        <f ca="1"/>
        <v>0</v>
      </c>
      <c r="ILA15">
        <f ca="1"/>
        <v>0</v>
      </c>
      <c r="ILB15">
        <f ca="1"/>
        <v>0</v>
      </c>
      <c r="ILC15">
        <f ca="1"/>
        <v>0</v>
      </c>
      <c r="ILD15">
        <f ca="1"/>
        <v>0</v>
      </c>
      <c r="ILE15">
        <f ca="1"/>
        <v>0</v>
      </c>
      <c r="ILF15">
        <f ca="1"/>
        <v>0</v>
      </c>
      <c r="ILG15">
        <f ca="1"/>
        <v>0</v>
      </c>
      <c r="ILH15">
        <f ca="1"/>
        <v>0</v>
      </c>
      <c r="ILI15">
        <f ca="1"/>
        <v>0</v>
      </c>
      <c r="ILJ15">
        <f ca="1"/>
        <v>0</v>
      </c>
      <c r="ILK15">
        <f ca="1"/>
        <v>0</v>
      </c>
      <c r="ILL15">
        <f ca="1"/>
        <v>0</v>
      </c>
      <c r="ILM15">
        <f ca="1"/>
        <v>0</v>
      </c>
      <c r="ILN15">
        <f ca="1"/>
        <v>0</v>
      </c>
      <c r="ILO15">
        <f ca="1"/>
        <v>0</v>
      </c>
      <c r="ILP15">
        <f ca="1"/>
        <v>0</v>
      </c>
      <c r="ILQ15">
        <f ca="1"/>
        <v>0</v>
      </c>
      <c r="ILR15">
        <f ca="1"/>
        <v>0</v>
      </c>
      <c r="ILS15">
        <f ca="1"/>
        <v>0</v>
      </c>
      <c r="ILT15">
        <f ca="1"/>
        <v>0</v>
      </c>
      <c r="ILU15">
        <f ca="1"/>
        <v>0</v>
      </c>
      <c r="ILV15">
        <f ca="1"/>
        <v>0</v>
      </c>
      <c r="ILW15">
        <f ca="1"/>
        <v>0</v>
      </c>
      <c r="ILX15">
        <f ca="1"/>
        <v>0</v>
      </c>
      <c r="ILY15">
        <f ca="1"/>
        <v>0</v>
      </c>
      <c r="ILZ15">
        <f ca="1"/>
        <v>0</v>
      </c>
      <c r="IMA15">
        <f ca="1"/>
        <v>0</v>
      </c>
      <c r="IMB15">
        <f ca="1"/>
        <v>0</v>
      </c>
      <c r="IMC15">
        <f ca="1"/>
        <v>0</v>
      </c>
      <c r="IMD15">
        <f ca="1"/>
        <v>0</v>
      </c>
      <c r="IME15">
        <f ca="1"/>
        <v>0</v>
      </c>
      <c r="IMF15">
        <f ca="1"/>
        <v>0</v>
      </c>
      <c r="IMG15">
        <f ca="1"/>
        <v>0</v>
      </c>
      <c r="IMH15">
        <f ca="1"/>
        <v>0</v>
      </c>
      <c r="IMI15">
        <f ca="1"/>
        <v>0</v>
      </c>
      <c r="IMJ15">
        <f ca="1"/>
        <v>0</v>
      </c>
      <c r="IMK15">
        <f ca="1"/>
        <v>0</v>
      </c>
      <c r="IML15">
        <f ca="1"/>
        <v>0</v>
      </c>
      <c r="IMM15">
        <f ca="1"/>
        <v>0</v>
      </c>
      <c r="IMN15">
        <f ca="1"/>
        <v>0</v>
      </c>
      <c r="IMO15">
        <f ca="1"/>
        <v>0</v>
      </c>
      <c r="IMP15">
        <f ca="1"/>
        <v>0</v>
      </c>
      <c r="IMQ15">
        <f ca="1"/>
        <v>0</v>
      </c>
      <c r="IMR15">
        <f ca="1"/>
        <v>0</v>
      </c>
      <c r="IMS15">
        <f ca="1"/>
        <v>0</v>
      </c>
      <c r="IMT15">
        <f ca="1"/>
        <v>0</v>
      </c>
      <c r="IMU15">
        <f ca="1"/>
        <v>0</v>
      </c>
      <c r="IMV15">
        <f ca="1"/>
        <v>0</v>
      </c>
      <c r="IMW15">
        <f ca="1"/>
        <v>0</v>
      </c>
      <c r="IMX15">
        <f ca="1"/>
        <v>0</v>
      </c>
      <c r="IMY15">
        <f ca="1"/>
        <v>0</v>
      </c>
      <c r="IMZ15">
        <f ca="1"/>
        <v>0</v>
      </c>
      <c r="INA15">
        <f ca="1"/>
        <v>0</v>
      </c>
      <c r="INB15">
        <f ca="1"/>
        <v>0</v>
      </c>
      <c r="INC15">
        <f ca="1"/>
        <v>0</v>
      </c>
      <c r="IND15">
        <f ca="1"/>
        <v>0</v>
      </c>
      <c r="INE15">
        <f ca="1"/>
        <v>0</v>
      </c>
      <c r="INF15">
        <f ca="1"/>
        <v>0</v>
      </c>
      <c r="ING15">
        <f ca="1"/>
        <v>0</v>
      </c>
      <c r="INH15">
        <f ca="1"/>
        <v>0</v>
      </c>
      <c r="INI15">
        <f ca="1"/>
        <v>0</v>
      </c>
      <c r="INJ15">
        <f ca="1"/>
        <v>0</v>
      </c>
      <c r="INK15">
        <f ca="1"/>
        <v>0</v>
      </c>
      <c r="INL15">
        <f ca="1"/>
        <v>0</v>
      </c>
      <c r="INM15">
        <f ca="1"/>
        <v>0</v>
      </c>
      <c r="INN15">
        <f ca="1"/>
        <v>0</v>
      </c>
      <c r="INO15">
        <f ca="1"/>
        <v>0</v>
      </c>
      <c r="INP15">
        <f ca="1"/>
        <v>0</v>
      </c>
      <c r="INQ15">
        <f ca="1"/>
        <v>0</v>
      </c>
      <c r="INR15">
        <f ca="1"/>
        <v>0</v>
      </c>
      <c r="INS15">
        <f ca="1"/>
        <v>0</v>
      </c>
      <c r="INT15">
        <f ca="1"/>
        <v>0</v>
      </c>
      <c r="INU15">
        <f ca="1"/>
        <v>0</v>
      </c>
      <c r="INV15">
        <f ca="1"/>
        <v>0</v>
      </c>
      <c r="INW15">
        <f ca="1"/>
        <v>0</v>
      </c>
      <c r="INX15">
        <f ca="1"/>
        <v>0</v>
      </c>
      <c r="INY15">
        <f ca="1"/>
        <v>0</v>
      </c>
      <c r="INZ15">
        <f ca="1"/>
        <v>0</v>
      </c>
      <c r="IOA15">
        <f ca="1"/>
        <v>0</v>
      </c>
      <c r="IOB15">
        <f ca="1"/>
        <v>0</v>
      </c>
      <c r="IOC15">
        <f ca="1"/>
        <v>0</v>
      </c>
      <c r="IOD15">
        <f ca="1"/>
        <v>0</v>
      </c>
      <c r="IOE15">
        <f ca="1"/>
        <v>0</v>
      </c>
      <c r="IOF15">
        <f ca="1"/>
        <v>0</v>
      </c>
      <c r="IOG15">
        <f ca="1"/>
        <v>0</v>
      </c>
      <c r="IOH15">
        <f ca="1"/>
        <v>0</v>
      </c>
      <c r="IOI15">
        <f ca="1"/>
        <v>0</v>
      </c>
      <c r="IOJ15">
        <f ca="1"/>
        <v>0</v>
      </c>
      <c r="IOK15">
        <f ca="1"/>
        <v>0</v>
      </c>
      <c r="IOL15">
        <f ca="1"/>
        <v>0</v>
      </c>
      <c r="IOM15">
        <f ca="1"/>
        <v>0</v>
      </c>
      <c r="ION15">
        <f ca="1"/>
        <v>0</v>
      </c>
      <c r="IOO15">
        <f ca="1"/>
        <v>0</v>
      </c>
      <c r="IOP15">
        <f ca="1"/>
        <v>0</v>
      </c>
      <c r="IOQ15">
        <f ca="1"/>
        <v>0</v>
      </c>
      <c r="IOR15">
        <f ca="1"/>
        <v>0</v>
      </c>
      <c r="IOS15">
        <f ca="1"/>
        <v>0</v>
      </c>
      <c r="IOT15">
        <f ca="1"/>
        <v>0</v>
      </c>
      <c r="IOU15">
        <f ca="1"/>
        <v>0</v>
      </c>
      <c r="IOV15">
        <f ca="1"/>
        <v>0</v>
      </c>
      <c r="IOW15">
        <f ca="1"/>
        <v>0</v>
      </c>
      <c r="IOX15">
        <f ca="1"/>
        <v>0</v>
      </c>
      <c r="IOY15">
        <f ca="1"/>
        <v>0</v>
      </c>
      <c r="IOZ15">
        <f ca="1"/>
        <v>0</v>
      </c>
      <c r="IPA15">
        <f ca="1"/>
        <v>0</v>
      </c>
      <c r="IPB15">
        <f ca="1"/>
        <v>0</v>
      </c>
      <c r="IPC15">
        <f ca="1"/>
        <v>0</v>
      </c>
      <c r="IPD15">
        <f ca="1"/>
        <v>0</v>
      </c>
      <c r="IPE15">
        <f ca="1"/>
        <v>0</v>
      </c>
      <c r="IPF15">
        <f ca="1"/>
        <v>0</v>
      </c>
      <c r="IPG15">
        <f ca="1"/>
        <v>0</v>
      </c>
      <c r="IPH15">
        <f ca="1"/>
        <v>0</v>
      </c>
      <c r="IPI15">
        <f ca="1"/>
        <v>0</v>
      </c>
      <c r="IPJ15">
        <f ca="1"/>
        <v>0</v>
      </c>
      <c r="IPK15">
        <f ca="1"/>
        <v>0</v>
      </c>
      <c r="IPL15">
        <f ca="1"/>
        <v>0</v>
      </c>
      <c r="IPM15">
        <f ca="1"/>
        <v>0</v>
      </c>
      <c r="IPN15">
        <f ca="1"/>
        <v>0</v>
      </c>
      <c r="IPO15">
        <f ca="1"/>
        <v>0</v>
      </c>
      <c r="IPP15">
        <f ca="1"/>
        <v>0</v>
      </c>
      <c r="IPQ15">
        <f ca="1"/>
        <v>0</v>
      </c>
      <c r="IPR15">
        <f ca="1"/>
        <v>0</v>
      </c>
      <c r="IPS15">
        <f ca="1"/>
        <v>0</v>
      </c>
      <c r="IPT15">
        <f ca="1"/>
        <v>0</v>
      </c>
      <c r="IPU15">
        <f ca="1"/>
        <v>0</v>
      </c>
      <c r="IPV15">
        <f ca="1"/>
        <v>0</v>
      </c>
      <c r="IPW15">
        <f ca="1"/>
        <v>0</v>
      </c>
      <c r="IPX15">
        <f ca="1"/>
        <v>0</v>
      </c>
      <c r="IPY15">
        <f ca="1"/>
        <v>0</v>
      </c>
      <c r="IPZ15">
        <f ca="1"/>
        <v>0</v>
      </c>
      <c r="IQA15">
        <f ca="1"/>
        <v>0</v>
      </c>
      <c r="IQB15">
        <f ca="1"/>
        <v>0</v>
      </c>
      <c r="IQC15">
        <f ca="1"/>
        <v>0</v>
      </c>
      <c r="IQD15">
        <f ca="1"/>
        <v>0</v>
      </c>
      <c r="IQE15">
        <f ca="1"/>
        <v>0</v>
      </c>
      <c r="IQF15">
        <f ca="1"/>
        <v>0</v>
      </c>
      <c r="IQG15">
        <f ca="1"/>
        <v>0</v>
      </c>
      <c r="IQH15">
        <f ca="1"/>
        <v>0</v>
      </c>
      <c r="IQI15">
        <f ca="1"/>
        <v>0</v>
      </c>
      <c r="IQJ15">
        <f ca="1"/>
        <v>0</v>
      </c>
      <c r="IQK15">
        <f ca="1"/>
        <v>0</v>
      </c>
      <c r="IQL15">
        <f ca="1"/>
        <v>0</v>
      </c>
      <c r="IQM15">
        <f ca="1"/>
        <v>0</v>
      </c>
      <c r="IQN15">
        <f ca="1"/>
        <v>0</v>
      </c>
      <c r="IQO15">
        <f ca="1"/>
        <v>0</v>
      </c>
      <c r="IQP15">
        <f ca="1"/>
        <v>0</v>
      </c>
      <c r="IQQ15">
        <f ca="1"/>
        <v>0</v>
      </c>
      <c r="IQR15">
        <f ca="1"/>
        <v>0</v>
      </c>
      <c r="IQS15">
        <f ca="1"/>
        <v>0</v>
      </c>
      <c r="IQT15">
        <f ca="1"/>
        <v>0</v>
      </c>
      <c r="IQU15">
        <f ca="1"/>
        <v>0</v>
      </c>
      <c r="IQV15">
        <f ca="1"/>
        <v>0</v>
      </c>
      <c r="IQW15">
        <f ca="1"/>
        <v>0</v>
      </c>
      <c r="IQX15">
        <f ca="1"/>
        <v>0</v>
      </c>
      <c r="IQY15">
        <f ca="1"/>
        <v>0</v>
      </c>
      <c r="IQZ15">
        <f ca="1"/>
        <v>0</v>
      </c>
      <c r="IRA15">
        <f ca="1"/>
        <v>0</v>
      </c>
      <c r="IRB15">
        <f ca="1"/>
        <v>0</v>
      </c>
      <c r="IRC15">
        <f ca="1"/>
        <v>0</v>
      </c>
      <c r="IRD15">
        <f ca="1"/>
        <v>0</v>
      </c>
      <c r="IRE15">
        <f ca="1"/>
        <v>0</v>
      </c>
      <c r="IRF15">
        <f ca="1"/>
        <v>0</v>
      </c>
      <c r="IRG15">
        <f ca="1"/>
        <v>0</v>
      </c>
      <c r="IRH15">
        <f ca="1"/>
        <v>0</v>
      </c>
      <c r="IRI15">
        <f ca="1"/>
        <v>0</v>
      </c>
      <c r="IRJ15">
        <f ca="1"/>
        <v>0</v>
      </c>
      <c r="IRK15">
        <f ca="1"/>
        <v>0</v>
      </c>
      <c r="IRL15">
        <f ca="1"/>
        <v>0</v>
      </c>
      <c r="IRM15">
        <f ca="1"/>
        <v>0</v>
      </c>
      <c r="IRN15">
        <f ca="1"/>
        <v>0</v>
      </c>
      <c r="IRO15">
        <f ca="1"/>
        <v>0</v>
      </c>
      <c r="IRP15">
        <f ca="1"/>
        <v>0</v>
      </c>
      <c r="IRQ15">
        <f ca="1"/>
        <v>0</v>
      </c>
      <c r="IRR15">
        <f ca="1"/>
        <v>0</v>
      </c>
      <c r="IRS15">
        <f ca="1"/>
        <v>0</v>
      </c>
      <c r="IRT15">
        <f ca="1"/>
        <v>0</v>
      </c>
      <c r="IRU15">
        <f ca="1"/>
        <v>0</v>
      </c>
      <c r="IRV15">
        <f ca="1"/>
        <v>0</v>
      </c>
      <c r="IRW15">
        <f ca="1"/>
        <v>0</v>
      </c>
      <c r="IRX15">
        <f ca="1"/>
        <v>0</v>
      </c>
      <c r="IRY15">
        <f ca="1"/>
        <v>0</v>
      </c>
      <c r="IRZ15">
        <f ca="1"/>
        <v>0</v>
      </c>
      <c r="ISA15">
        <f ca="1"/>
        <v>0</v>
      </c>
      <c r="ISB15">
        <f ca="1"/>
        <v>0</v>
      </c>
      <c r="ISC15">
        <f ca="1"/>
        <v>0</v>
      </c>
      <c r="ISD15">
        <f ca="1"/>
        <v>0</v>
      </c>
      <c r="ISE15">
        <f ca="1"/>
        <v>0</v>
      </c>
      <c r="ISF15">
        <f ca="1"/>
        <v>0</v>
      </c>
      <c r="ISG15">
        <f ca="1"/>
        <v>0</v>
      </c>
      <c r="ISH15">
        <f ca="1"/>
        <v>0</v>
      </c>
      <c r="ISI15">
        <f ca="1"/>
        <v>0</v>
      </c>
      <c r="ISJ15">
        <f ca="1"/>
        <v>0</v>
      </c>
      <c r="ISK15">
        <f ca="1"/>
        <v>0</v>
      </c>
      <c r="ISL15">
        <f ca="1"/>
        <v>0</v>
      </c>
      <c r="ISM15">
        <f ca="1"/>
        <v>0</v>
      </c>
      <c r="ISN15">
        <f ca="1"/>
        <v>0</v>
      </c>
      <c r="ISO15">
        <f ca="1"/>
        <v>0</v>
      </c>
      <c r="ISP15">
        <f ca="1"/>
        <v>0</v>
      </c>
      <c r="ISQ15">
        <f ca="1"/>
        <v>0</v>
      </c>
      <c r="ISR15">
        <f ca="1"/>
        <v>0</v>
      </c>
      <c r="ISS15">
        <f ca="1"/>
        <v>0</v>
      </c>
      <c r="IST15">
        <f ca="1"/>
        <v>0</v>
      </c>
      <c r="ISU15">
        <f ca="1"/>
        <v>0</v>
      </c>
      <c r="ISV15">
        <f ca="1"/>
        <v>0</v>
      </c>
      <c r="ISW15">
        <f ca="1"/>
        <v>0</v>
      </c>
      <c r="ISX15">
        <f ca="1"/>
        <v>0</v>
      </c>
      <c r="ISY15">
        <f ca="1"/>
        <v>0</v>
      </c>
      <c r="ISZ15">
        <f ca="1"/>
        <v>0</v>
      </c>
      <c r="ITA15">
        <f ca="1"/>
        <v>0</v>
      </c>
      <c r="ITB15">
        <f ca="1"/>
        <v>0</v>
      </c>
      <c r="ITC15">
        <f ca="1"/>
        <v>0</v>
      </c>
      <c r="ITD15">
        <f ca="1"/>
        <v>0</v>
      </c>
      <c r="ITE15">
        <f ca="1"/>
        <v>0</v>
      </c>
      <c r="ITF15">
        <f ca="1"/>
        <v>0</v>
      </c>
      <c r="ITG15">
        <f ca="1"/>
        <v>0</v>
      </c>
      <c r="ITH15">
        <f ca="1"/>
        <v>0</v>
      </c>
      <c r="ITI15">
        <f ca="1"/>
        <v>0</v>
      </c>
      <c r="ITJ15">
        <f ca="1"/>
        <v>0</v>
      </c>
      <c r="ITK15">
        <f ca="1"/>
        <v>0</v>
      </c>
      <c r="ITL15">
        <f ca="1"/>
        <v>0</v>
      </c>
      <c r="ITM15">
        <f ca="1"/>
        <v>0</v>
      </c>
      <c r="ITN15">
        <f ca="1"/>
        <v>0</v>
      </c>
      <c r="ITO15">
        <f ca="1"/>
        <v>0</v>
      </c>
      <c r="ITP15">
        <f ca="1"/>
        <v>0</v>
      </c>
      <c r="ITQ15">
        <f ca="1"/>
        <v>0</v>
      </c>
      <c r="ITR15">
        <f ca="1"/>
        <v>0</v>
      </c>
      <c r="ITS15">
        <f ca="1"/>
        <v>0</v>
      </c>
      <c r="ITT15">
        <f ca="1"/>
        <v>0</v>
      </c>
      <c r="ITU15">
        <f ca="1"/>
        <v>0</v>
      </c>
      <c r="ITV15">
        <f ca="1"/>
        <v>0</v>
      </c>
      <c r="ITW15">
        <f ca="1"/>
        <v>0</v>
      </c>
      <c r="ITX15">
        <f ca="1"/>
        <v>0</v>
      </c>
      <c r="ITY15">
        <f ca="1"/>
        <v>0</v>
      </c>
      <c r="ITZ15">
        <f ca="1"/>
        <v>0</v>
      </c>
      <c r="IUA15">
        <f ca="1"/>
        <v>0</v>
      </c>
      <c r="IUB15">
        <f ca="1"/>
        <v>0</v>
      </c>
      <c r="IUC15">
        <f ca="1"/>
        <v>0</v>
      </c>
      <c r="IUD15">
        <f ca="1"/>
        <v>0</v>
      </c>
      <c r="IUE15">
        <f ca="1"/>
        <v>0</v>
      </c>
      <c r="IUF15">
        <f ca="1"/>
        <v>0</v>
      </c>
      <c r="IUG15">
        <f ca="1"/>
        <v>0</v>
      </c>
      <c r="IUH15">
        <f ca="1"/>
        <v>0</v>
      </c>
      <c r="IUI15">
        <f ca="1"/>
        <v>0</v>
      </c>
      <c r="IUJ15">
        <f ca="1"/>
        <v>0</v>
      </c>
      <c r="IUK15">
        <f ca="1"/>
        <v>0</v>
      </c>
      <c r="IUL15">
        <f ca="1"/>
        <v>0</v>
      </c>
      <c r="IUM15">
        <f ca="1"/>
        <v>0</v>
      </c>
      <c r="IUN15">
        <f ca="1"/>
        <v>0</v>
      </c>
      <c r="IUO15">
        <f ca="1"/>
        <v>0</v>
      </c>
      <c r="IUP15">
        <f ca="1"/>
        <v>0</v>
      </c>
      <c r="IUQ15">
        <f ca="1"/>
        <v>0</v>
      </c>
      <c r="IUR15">
        <f ca="1"/>
        <v>0</v>
      </c>
      <c r="IUS15">
        <f ca="1"/>
        <v>0</v>
      </c>
      <c r="IUT15">
        <f ca="1"/>
        <v>0</v>
      </c>
      <c r="IUU15">
        <f ca="1"/>
        <v>0</v>
      </c>
      <c r="IUV15">
        <f ca="1"/>
        <v>0</v>
      </c>
      <c r="IUW15">
        <f ca="1"/>
        <v>0</v>
      </c>
      <c r="IUX15">
        <f ca="1"/>
        <v>0</v>
      </c>
      <c r="IUY15">
        <f ca="1"/>
        <v>0</v>
      </c>
      <c r="IUZ15">
        <f ca="1"/>
        <v>0</v>
      </c>
      <c r="IVA15">
        <f ca="1"/>
        <v>0</v>
      </c>
      <c r="IVB15">
        <f ca="1"/>
        <v>0</v>
      </c>
      <c r="IVC15">
        <f ca="1"/>
        <v>0</v>
      </c>
      <c r="IVD15">
        <f ca="1"/>
        <v>0</v>
      </c>
      <c r="IVE15">
        <f ca="1"/>
        <v>0</v>
      </c>
      <c r="IVF15">
        <f ca="1"/>
        <v>0</v>
      </c>
      <c r="IVG15">
        <f ca="1"/>
        <v>0</v>
      </c>
      <c r="IVH15">
        <f ca="1"/>
        <v>0</v>
      </c>
      <c r="IVI15">
        <f ca="1"/>
        <v>0</v>
      </c>
      <c r="IVJ15">
        <f ca="1"/>
        <v>0</v>
      </c>
      <c r="IVK15">
        <f ca="1"/>
        <v>0</v>
      </c>
      <c r="IVL15">
        <f ca="1"/>
        <v>0</v>
      </c>
      <c r="IVM15">
        <f ca="1"/>
        <v>0</v>
      </c>
      <c r="IVN15">
        <f ca="1"/>
        <v>0</v>
      </c>
      <c r="IVO15">
        <f ca="1"/>
        <v>0</v>
      </c>
      <c r="IVP15">
        <f ca="1"/>
        <v>0</v>
      </c>
      <c r="IVQ15">
        <f ca="1"/>
        <v>0</v>
      </c>
      <c r="IVR15">
        <f ca="1"/>
        <v>0</v>
      </c>
      <c r="IVS15">
        <f ca="1"/>
        <v>0</v>
      </c>
      <c r="IVT15">
        <f ca="1"/>
        <v>0</v>
      </c>
      <c r="IVU15">
        <f ca="1"/>
        <v>0</v>
      </c>
      <c r="IVV15">
        <f ca="1"/>
        <v>0</v>
      </c>
      <c r="IVW15">
        <f ca="1"/>
        <v>0</v>
      </c>
      <c r="IVX15">
        <f ca="1"/>
        <v>0</v>
      </c>
      <c r="IVY15">
        <f ca="1"/>
        <v>0</v>
      </c>
      <c r="IVZ15">
        <f ca="1"/>
        <v>0</v>
      </c>
      <c r="IWA15">
        <f ca="1"/>
        <v>0</v>
      </c>
      <c r="IWB15">
        <f ca="1"/>
        <v>0</v>
      </c>
      <c r="IWC15">
        <f ca="1"/>
        <v>0</v>
      </c>
      <c r="IWD15">
        <f ca="1"/>
        <v>0</v>
      </c>
      <c r="IWE15">
        <f ca="1"/>
        <v>0</v>
      </c>
      <c r="IWF15">
        <f ca="1"/>
        <v>0</v>
      </c>
      <c r="IWG15">
        <f ca="1"/>
        <v>0</v>
      </c>
      <c r="IWH15">
        <f ca="1"/>
        <v>0</v>
      </c>
      <c r="IWI15">
        <f ca="1"/>
        <v>0</v>
      </c>
      <c r="IWJ15">
        <f ca="1"/>
        <v>0</v>
      </c>
      <c r="IWK15">
        <f ca="1"/>
        <v>0</v>
      </c>
      <c r="IWL15">
        <f ca="1"/>
        <v>0</v>
      </c>
      <c r="IWM15">
        <f ca="1"/>
        <v>0</v>
      </c>
      <c r="IWN15">
        <f ca="1"/>
        <v>0</v>
      </c>
      <c r="IWO15">
        <f ca="1"/>
        <v>0</v>
      </c>
      <c r="IWP15">
        <f ca="1"/>
        <v>0</v>
      </c>
      <c r="IWQ15">
        <f ca="1"/>
        <v>0</v>
      </c>
      <c r="IWR15">
        <f ca="1"/>
        <v>0</v>
      </c>
      <c r="IWS15">
        <f ca="1"/>
        <v>0</v>
      </c>
      <c r="IWT15">
        <f ca="1"/>
        <v>0</v>
      </c>
      <c r="IWU15">
        <f ca="1"/>
        <v>0</v>
      </c>
      <c r="IWV15">
        <f ca="1"/>
        <v>0</v>
      </c>
      <c r="IWW15">
        <f ca="1"/>
        <v>0</v>
      </c>
      <c r="IWX15">
        <f ca="1"/>
        <v>0</v>
      </c>
      <c r="IWY15">
        <f ca="1"/>
        <v>0</v>
      </c>
      <c r="IWZ15">
        <f ca="1"/>
        <v>0</v>
      </c>
      <c r="IXA15">
        <f ca="1"/>
        <v>0</v>
      </c>
      <c r="IXB15">
        <f ca="1"/>
        <v>0</v>
      </c>
      <c r="IXC15">
        <f ca="1"/>
        <v>0</v>
      </c>
      <c r="IXD15">
        <f ca="1"/>
        <v>0</v>
      </c>
      <c r="IXE15">
        <f ca="1"/>
        <v>0</v>
      </c>
      <c r="IXF15">
        <f ca="1"/>
        <v>0</v>
      </c>
      <c r="IXG15">
        <f ca="1"/>
        <v>0</v>
      </c>
      <c r="IXH15">
        <f ca="1"/>
        <v>0</v>
      </c>
      <c r="IXI15">
        <f ca="1"/>
        <v>0</v>
      </c>
      <c r="IXJ15">
        <f ca="1"/>
        <v>0</v>
      </c>
      <c r="IXK15">
        <f ca="1"/>
        <v>0</v>
      </c>
      <c r="IXL15">
        <f ca="1"/>
        <v>0</v>
      </c>
      <c r="IXM15">
        <f ca="1"/>
        <v>0</v>
      </c>
      <c r="IXN15">
        <f ca="1"/>
        <v>0</v>
      </c>
      <c r="IXO15">
        <f ca="1"/>
        <v>0</v>
      </c>
      <c r="IXP15">
        <f ca="1"/>
        <v>0</v>
      </c>
      <c r="IXQ15">
        <f ca="1"/>
        <v>0</v>
      </c>
      <c r="IXR15">
        <f ca="1"/>
        <v>0</v>
      </c>
      <c r="IXS15">
        <f ca="1"/>
        <v>0</v>
      </c>
      <c r="IXT15">
        <f ca="1"/>
        <v>0</v>
      </c>
      <c r="IXU15">
        <f ca="1"/>
        <v>0</v>
      </c>
      <c r="IXV15">
        <f ca="1"/>
        <v>0</v>
      </c>
      <c r="IXW15">
        <f ca="1"/>
        <v>0</v>
      </c>
      <c r="IXX15">
        <f ca="1"/>
        <v>0</v>
      </c>
      <c r="IXY15">
        <f ca="1"/>
        <v>0</v>
      </c>
      <c r="IXZ15">
        <f ca="1"/>
        <v>0</v>
      </c>
      <c r="IYA15">
        <f ca="1"/>
        <v>0</v>
      </c>
      <c r="IYB15">
        <f ca="1"/>
        <v>0</v>
      </c>
      <c r="IYC15">
        <f ca="1"/>
        <v>0</v>
      </c>
      <c r="IYD15">
        <f ca="1"/>
        <v>0</v>
      </c>
      <c r="IYE15">
        <f ca="1"/>
        <v>0</v>
      </c>
      <c r="IYF15">
        <f ca="1"/>
        <v>0</v>
      </c>
      <c r="IYG15">
        <f ca="1"/>
        <v>0</v>
      </c>
      <c r="IYH15">
        <f ca="1"/>
        <v>0</v>
      </c>
      <c r="IYI15">
        <f ca="1"/>
        <v>0</v>
      </c>
      <c r="IYJ15">
        <f ca="1"/>
        <v>0</v>
      </c>
      <c r="IYK15">
        <f ca="1"/>
        <v>0</v>
      </c>
      <c r="IYL15">
        <f ca="1"/>
        <v>0</v>
      </c>
      <c r="IYM15">
        <f ca="1"/>
        <v>0</v>
      </c>
      <c r="IYN15">
        <f ca="1"/>
        <v>0</v>
      </c>
      <c r="IYO15">
        <f ca="1"/>
        <v>0</v>
      </c>
      <c r="IYP15">
        <f ca="1"/>
        <v>0</v>
      </c>
      <c r="IYQ15">
        <f ca="1"/>
        <v>0</v>
      </c>
      <c r="IYR15">
        <f ca="1"/>
        <v>0</v>
      </c>
      <c r="IYS15">
        <f ca="1"/>
        <v>0</v>
      </c>
      <c r="IYT15">
        <f ca="1"/>
        <v>0</v>
      </c>
      <c r="IYU15">
        <f ca="1"/>
        <v>0</v>
      </c>
      <c r="IYV15">
        <f ca="1"/>
        <v>0</v>
      </c>
      <c r="IYW15">
        <f ca="1"/>
        <v>0</v>
      </c>
      <c r="IYX15">
        <f ca="1"/>
        <v>0</v>
      </c>
      <c r="IYY15">
        <f ca="1"/>
        <v>0</v>
      </c>
      <c r="IYZ15">
        <f ca="1"/>
        <v>0</v>
      </c>
      <c r="IZA15">
        <f ca="1"/>
        <v>0</v>
      </c>
      <c r="IZB15">
        <f ca="1"/>
        <v>0</v>
      </c>
      <c r="IZC15">
        <f ca="1"/>
        <v>0</v>
      </c>
      <c r="IZD15">
        <f ca="1"/>
        <v>0</v>
      </c>
      <c r="IZE15">
        <f ca="1"/>
        <v>0</v>
      </c>
      <c r="IZF15">
        <f ca="1"/>
        <v>0</v>
      </c>
      <c r="IZG15">
        <f ca="1"/>
        <v>0</v>
      </c>
      <c r="IZH15">
        <f ca="1"/>
        <v>0</v>
      </c>
      <c r="IZI15">
        <f ca="1"/>
        <v>0</v>
      </c>
      <c r="IZJ15">
        <f ca="1"/>
        <v>0</v>
      </c>
      <c r="IZK15">
        <f ca="1"/>
        <v>0</v>
      </c>
      <c r="IZL15">
        <f ca="1"/>
        <v>0</v>
      </c>
      <c r="IZM15">
        <f ca="1"/>
        <v>0</v>
      </c>
      <c r="IZN15">
        <f ca="1"/>
        <v>0</v>
      </c>
      <c r="IZO15">
        <f ca="1"/>
        <v>0</v>
      </c>
      <c r="IZP15">
        <f ca="1"/>
        <v>0</v>
      </c>
      <c r="IZQ15">
        <f ca="1"/>
        <v>0</v>
      </c>
      <c r="IZR15">
        <f ca="1"/>
        <v>0</v>
      </c>
      <c r="IZS15">
        <f ca="1"/>
        <v>0</v>
      </c>
      <c r="IZT15">
        <f ca="1"/>
        <v>0</v>
      </c>
      <c r="IZU15">
        <f ca="1"/>
        <v>0</v>
      </c>
      <c r="IZV15">
        <f ca="1"/>
        <v>0</v>
      </c>
      <c r="IZW15">
        <f ca="1"/>
        <v>0</v>
      </c>
      <c r="IZX15">
        <f ca="1"/>
        <v>0</v>
      </c>
      <c r="IZY15">
        <f ca="1"/>
        <v>0</v>
      </c>
      <c r="IZZ15">
        <f ca="1"/>
        <v>0</v>
      </c>
      <c r="JAA15">
        <f ca="1"/>
        <v>0</v>
      </c>
      <c r="JAB15">
        <f ca="1"/>
        <v>0</v>
      </c>
      <c r="JAC15">
        <f ca="1"/>
        <v>0</v>
      </c>
      <c r="JAD15">
        <f ca="1"/>
        <v>0</v>
      </c>
      <c r="JAE15">
        <f ca="1"/>
        <v>0</v>
      </c>
      <c r="JAF15">
        <f ca="1"/>
        <v>0</v>
      </c>
      <c r="JAG15">
        <f ca="1"/>
        <v>0</v>
      </c>
      <c r="JAH15">
        <f ca="1"/>
        <v>0</v>
      </c>
      <c r="JAI15">
        <f ca="1"/>
        <v>0</v>
      </c>
      <c r="JAJ15">
        <f ca="1"/>
        <v>0</v>
      </c>
      <c r="JAK15">
        <f ca="1"/>
        <v>0</v>
      </c>
      <c r="JAL15">
        <f ca="1"/>
        <v>0</v>
      </c>
      <c r="JAM15">
        <f ca="1"/>
        <v>0</v>
      </c>
      <c r="JAN15">
        <f ca="1"/>
        <v>0</v>
      </c>
      <c r="JAO15">
        <f ca="1"/>
        <v>0</v>
      </c>
      <c r="JAP15">
        <f ca="1"/>
        <v>0</v>
      </c>
      <c r="JAQ15">
        <f ca="1"/>
        <v>0</v>
      </c>
      <c r="JAR15">
        <f ca="1"/>
        <v>0</v>
      </c>
      <c r="JAS15">
        <f ca="1"/>
        <v>0</v>
      </c>
      <c r="JAT15">
        <f ca="1"/>
        <v>0</v>
      </c>
      <c r="JAU15">
        <f ca="1"/>
        <v>0</v>
      </c>
      <c r="JAV15">
        <f ca="1"/>
        <v>0</v>
      </c>
      <c r="JAW15">
        <f ca="1"/>
        <v>0</v>
      </c>
      <c r="JAX15">
        <f ca="1"/>
        <v>0</v>
      </c>
      <c r="JAY15">
        <f ca="1"/>
        <v>0</v>
      </c>
      <c r="JAZ15">
        <f ca="1"/>
        <v>0</v>
      </c>
      <c r="JBA15">
        <f ca="1"/>
        <v>0</v>
      </c>
      <c r="JBB15">
        <f ca="1"/>
        <v>0</v>
      </c>
      <c r="JBC15">
        <f ca="1"/>
        <v>0</v>
      </c>
      <c r="JBD15">
        <f ca="1"/>
        <v>0</v>
      </c>
      <c r="JBE15">
        <f ca="1"/>
        <v>0</v>
      </c>
      <c r="JBF15">
        <f ca="1"/>
        <v>0</v>
      </c>
      <c r="JBG15">
        <f ca="1"/>
        <v>0</v>
      </c>
      <c r="JBH15">
        <f ca="1"/>
        <v>0</v>
      </c>
      <c r="JBI15">
        <f ca="1"/>
        <v>0</v>
      </c>
      <c r="JBJ15">
        <f ca="1"/>
        <v>0</v>
      </c>
      <c r="JBK15">
        <f ca="1"/>
        <v>0</v>
      </c>
      <c r="JBL15">
        <f ca="1"/>
        <v>0</v>
      </c>
      <c r="JBM15">
        <f ca="1"/>
        <v>0</v>
      </c>
      <c r="JBN15">
        <f ca="1"/>
        <v>0</v>
      </c>
      <c r="JBO15">
        <f ca="1"/>
        <v>0</v>
      </c>
      <c r="JBP15">
        <f ca="1"/>
        <v>0</v>
      </c>
      <c r="JBQ15">
        <f ca="1"/>
        <v>0</v>
      </c>
      <c r="JBR15">
        <f ca="1"/>
        <v>0</v>
      </c>
      <c r="JBS15">
        <f ca="1"/>
        <v>0</v>
      </c>
      <c r="JBT15">
        <f ca="1"/>
        <v>0</v>
      </c>
      <c r="JBU15">
        <f ca="1"/>
        <v>0</v>
      </c>
      <c r="JBV15">
        <f ca="1"/>
        <v>0</v>
      </c>
      <c r="JBW15">
        <f ca="1"/>
        <v>0</v>
      </c>
      <c r="JBX15">
        <f ca="1"/>
        <v>0</v>
      </c>
      <c r="JBY15">
        <f ca="1"/>
        <v>0</v>
      </c>
      <c r="JBZ15">
        <f ca="1"/>
        <v>0</v>
      </c>
      <c r="JCA15">
        <f ca="1"/>
        <v>0</v>
      </c>
      <c r="JCB15">
        <f ca="1"/>
        <v>0</v>
      </c>
      <c r="JCC15">
        <f ca="1"/>
        <v>0</v>
      </c>
      <c r="JCD15">
        <f ca="1"/>
        <v>0</v>
      </c>
      <c r="JCE15">
        <f ca="1"/>
        <v>0</v>
      </c>
      <c r="JCF15">
        <f ca="1"/>
        <v>0</v>
      </c>
      <c r="JCG15">
        <f ca="1"/>
        <v>0</v>
      </c>
      <c r="JCH15">
        <f ca="1"/>
        <v>0</v>
      </c>
      <c r="JCI15">
        <f ca="1"/>
        <v>0</v>
      </c>
      <c r="JCJ15">
        <f ca="1"/>
        <v>0</v>
      </c>
      <c r="JCK15">
        <f ca="1"/>
        <v>0</v>
      </c>
      <c r="JCL15">
        <f ca="1"/>
        <v>0</v>
      </c>
      <c r="JCM15">
        <f ca="1"/>
        <v>0</v>
      </c>
      <c r="JCN15">
        <f ca="1"/>
        <v>0</v>
      </c>
      <c r="JCO15">
        <f ca="1"/>
        <v>0</v>
      </c>
      <c r="JCP15">
        <f ca="1"/>
        <v>0</v>
      </c>
      <c r="JCQ15">
        <f ca="1"/>
        <v>0</v>
      </c>
      <c r="JCR15">
        <f ca="1"/>
        <v>0</v>
      </c>
      <c r="JCS15">
        <f ca="1"/>
        <v>0</v>
      </c>
      <c r="JCT15">
        <f ca="1"/>
        <v>0</v>
      </c>
      <c r="JCU15">
        <f ca="1"/>
        <v>0</v>
      </c>
      <c r="JCV15">
        <f ca="1"/>
        <v>0</v>
      </c>
      <c r="JCW15">
        <f ca="1"/>
        <v>0</v>
      </c>
      <c r="JCX15">
        <f ca="1"/>
        <v>0</v>
      </c>
      <c r="JCY15">
        <f ca="1"/>
        <v>0</v>
      </c>
      <c r="JCZ15">
        <f ca="1"/>
        <v>0</v>
      </c>
      <c r="JDA15">
        <f ca="1"/>
        <v>0</v>
      </c>
      <c r="JDB15">
        <f ca="1"/>
        <v>0</v>
      </c>
      <c r="JDC15">
        <f ca="1"/>
        <v>0</v>
      </c>
      <c r="JDD15">
        <f ca="1"/>
        <v>0</v>
      </c>
      <c r="JDE15">
        <f ca="1"/>
        <v>0</v>
      </c>
      <c r="JDF15">
        <f ca="1"/>
        <v>0</v>
      </c>
      <c r="JDG15">
        <f ca="1"/>
        <v>0</v>
      </c>
      <c r="JDH15">
        <f ca="1"/>
        <v>0</v>
      </c>
      <c r="JDI15">
        <f ca="1"/>
        <v>0</v>
      </c>
      <c r="JDJ15">
        <f ca="1"/>
        <v>0</v>
      </c>
      <c r="JDK15">
        <f ca="1"/>
        <v>0</v>
      </c>
      <c r="JDL15">
        <f ca="1"/>
        <v>0</v>
      </c>
      <c r="JDM15">
        <f ca="1"/>
        <v>0</v>
      </c>
      <c r="JDN15">
        <f ca="1"/>
        <v>0</v>
      </c>
      <c r="JDO15">
        <f ca="1"/>
        <v>0</v>
      </c>
      <c r="JDP15">
        <f ca="1"/>
        <v>0</v>
      </c>
      <c r="JDQ15">
        <f ca="1"/>
        <v>0</v>
      </c>
      <c r="JDR15">
        <f ca="1"/>
        <v>0</v>
      </c>
      <c r="JDS15">
        <f ca="1"/>
        <v>0</v>
      </c>
      <c r="JDT15">
        <f ca="1"/>
        <v>0</v>
      </c>
      <c r="JDU15">
        <f ca="1"/>
        <v>0</v>
      </c>
      <c r="JDV15">
        <f ca="1"/>
        <v>0</v>
      </c>
      <c r="JDW15">
        <f ca="1"/>
        <v>0</v>
      </c>
      <c r="JDX15">
        <f ca="1"/>
        <v>0</v>
      </c>
      <c r="JDY15">
        <f ca="1"/>
        <v>0</v>
      </c>
      <c r="JDZ15">
        <f ca="1"/>
        <v>0</v>
      </c>
      <c r="JEA15">
        <f ca="1"/>
        <v>0</v>
      </c>
      <c r="JEB15">
        <f ca="1"/>
        <v>0</v>
      </c>
      <c r="JEC15">
        <f ca="1"/>
        <v>0</v>
      </c>
      <c r="JED15">
        <f ca="1"/>
        <v>0</v>
      </c>
      <c r="JEE15">
        <f ca="1"/>
        <v>0</v>
      </c>
      <c r="JEF15">
        <f ca="1"/>
        <v>0</v>
      </c>
      <c r="JEG15">
        <f ca="1"/>
        <v>0</v>
      </c>
      <c r="JEH15">
        <f ca="1"/>
        <v>0</v>
      </c>
      <c r="JEI15">
        <f ca="1"/>
        <v>0</v>
      </c>
      <c r="JEJ15">
        <f ca="1"/>
        <v>0</v>
      </c>
      <c r="JEK15">
        <f ca="1"/>
        <v>0</v>
      </c>
      <c r="JEL15">
        <f ca="1"/>
        <v>0</v>
      </c>
      <c r="JEM15">
        <f ca="1"/>
        <v>0</v>
      </c>
      <c r="JEN15">
        <f ca="1"/>
        <v>0</v>
      </c>
      <c r="JEO15">
        <f ca="1"/>
        <v>0</v>
      </c>
      <c r="JEP15">
        <f ca="1"/>
        <v>0</v>
      </c>
      <c r="JEQ15">
        <f ca="1"/>
        <v>0</v>
      </c>
      <c r="JER15">
        <f ca="1"/>
        <v>0</v>
      </c>
      <c r="JES15">
        <f ca="1"/>
        <v>0</v>
      </c>
      <c r="JET15">
        <f ca="1"/>
        <v>0</v>
      </c>
      <c r="JEU15">
        <f ca="1"/>
        <v>0</v>
      </c>
      <c r="JEV15">
        <f ca="1"/>
        <v>0</v>
      </c>
      <c r="JEW15">
        <f ca="1"/>
        <v>0</v>
      </c>
      <c r="JEX15">
        <f ca="1"/>
        <v>0</v>
      </c>
      <c r="JEY15">
        <f ca="1"/>
        <v>0</v>
      </c>
      <c r="JEZ15">
        <f ca="1"/>
        <v>0</v>
      </c>
      <c r="JFA15">
        <f ca="1"/>
        <v>0</v>
      </c>
      <c r="JFB15">
        <f ca="1"/>
        <v>0</v>
      </c>
      <c r="JFC15">
        <f ca="1"/>
        <v>0</v>
      </c>
      <c r="JFD15">
        <f ca="1"/>
        <v>0</v>
      </c>
      <c r="JFE15">
        <f ca="1"/>
        <v>0</v>
      </c>
      <c r="JFF15">
        <f ca="1"/>
        <v>0</v>
      </c>
      <c r="JFG15">
        <f ca="1"/>
        <v>0</v>
      </c>
      <c r="JFH15">
        <f ca="1"/>
        <v>0</v>
      </c>
      <c r="JFI15">
        <f ca="1"/>
        <v>0</v>
      </c>
      <c r="JFJ15">
        <f ca="1"/>
        <v>0</v>
      </c>
      <c r="JFK15">
        <f ca="1"/>
        <v>0</v>
      </c>
      <c r="JFL15">
        <f ca="1"/>
        <v>0</v>
      </c>
      <c r="JFM15">
        <f ca="1"/>
        <v>0</v>
      </c>
      <c r="JFN15">
        <f ca="1"/>
        <v>0</v>
      </c>
      <c r="JFO15">
        <f ca="1"/>
        <v>0</v>
      </c>
      <c r="JFP15">
        <f ca="1"/>
        <v>0</v>
      </c>
      <c r="JFQ15">
        <f ca="1"/>
        <v>0</v>
      </c>
      <c r="JFR15">
        <f ca="1"/>
        <v>0</v>
      </c>
      <c r="JFS15">
        <f ca="1"/>
        <v>0</v>
      </c>
      <c r="JFT15">
        <f ca="1"/>
        <v>0</v>
      </c>
      <c r="JFU15">
        <f ca="1"/>
        <v>0</v>
      </c>
      <c r="JFV15">
        <f ca="1"/>
        <v>0</v>
      </c>
      <c r="JFW15">
        <f ca="1"/>
        <v>0</v>
      </c>
      <c r="JFX15">
        <f ca="1"/>
        <v>0</v>
      </c>
      <c r="JFY15">
        <f ca="1"/>
        <v>0</v>
      </c>
      <c r="JFZ15">
        <f ca="1"/>
        <v>0</v>
      </c>
      <c r="JGA15">
        <f ca="1"/>
        <v>0</v>
      </c>
      <c r="JGB15">
        <f ca="1"/>
        <v>0</v>
      </c>
      <c r="JGC15">
        <f ca="1"/>
        <v>0</v>
      </c>
      <c r="JGD15">
        <f ca="1"/>
        <v>0</v>
      </c>
      <c r="JGE15">
        <f ca="1"/>
        <v>0</v>
      </c>
      <c r="JGF15">
        <f ca="1"/>
        <v>0</v>
      </c>
      <c r="JGG15">
        <f ca="1"/>
        <v>0</v>
      </c>
      <c r="JGH15">
        <f ca="1"/>
        <v>0</v>
      </c>
      <c r="JGI15">
        <f ca="1"/>
        <v>0</v>
      </c>
      <c r="JGJ15">
        <f ca="1"/>
        <v>0</v>
      </c>
      <c r="JGK15">
        <f ca="1"/>
        <v>0</v>
      </c>
      <c r="JGL15">
        <f ca="1"/>
        <v>0</v>
      </c>
      <c r="JGM15">
        <f ca="1"/>
        <v>0</v>
      </c>
      <c r="JGN15">
        <f ca="1"/>
        <v>0</v>
      </c>
      <c r="JGO15">
        <f ca="1"/>
        <v>0</v>
      </c>
      <c r="JGP15">
        <f ca="1"/>
        <v>0</v>
      </c>
      <c r="JGQ15">
        <f ca="1"/>
        <v>0</v>
      </c>
      <c r="JGR15">
        <f ca="1"/>
        <v>0</v>
      </c>
      <c r="JGS15">
        <f ca="1"/>
        <v>0</v>
      </c>
      <c r="JGT15">
        <f ca="1"/>
        <v>0</v>
      </c>
      <c r="JGU15">
        <f ca="1"/>
        <v>0</v>
      </c>
      <c r="JGV15">
        <f ca="1"/>
        <v>0</v>
      </c>
      <c r="JGW15">
        <f ca="1"/>
        <v>0</v>
      </c>
      <c r="JGX15">
        <f ca="1"/>
        <v>0</v>
      </c>
      <c r="JGY15">
        <f ca="1"/>
        <v>0</v>
      </c>
      <c r="JGZ15">
        <f ca="1"/>
        <v>0</v>
      </c>
      <c r="JHA15">
        <f ca="1"/>
        <v>0</v>
      </c>
      <c r="JHB15">
        <f ca="1"/>
        <v>0</v>
      </c>
      <c r="JHC15">
        <f ca="1"/>
        <v>0</v>
      </c>
      <c r="JHD15">
        <f ca="1"/>
        <v>0</v>
      </c>
      <c r="JHE15">
        <f ca="1"/>
        <v>0</v>
      </c>
      <c r="JHF15">
        <f ca="1"/>
        <v>0</v>
      </c>
      <c r="JHG15">
        <f ca="1"/>
        <v>0</v>
      </c>
      <c r="JHH15">
        <f ca="1"/>
        <v>0</v>
      </c>
      <c r="JHI15">
        <f ca="1"/>
        <v>0</v>
      </c>
      <c r="JHJ15">
        <f ca="1"/>
        <v>0</v>
      </c>
      <c r="JHK15">
        <f ca="1"/>
        <v>0</v>
      </c>
      <c r="JHL15">
        <f ca="1"/>
        <v>0</v>
      </c>
      <c r="JHM15">
        <f ca="1"/>
        <v>0</v>
      </c>
      <c r="JHN15">
        <f ca="1"/>
        <v>0</v>
      </c>
      <c r="JHO15">
        <f ca="1"/>
        <v>0</v>
      </c>
      <c r="JHP15">
        <f ca="1"/>
        <v>0</v>
      </c>
      <c r="JHQ15">
        <f ca="1"/>
        <v>0</v>
      </c>
      <c r="JHR15">
        <f ca="1"/>
        <v>0</v>
      </c>
      <c r="JHS15">
        <f ca="1"/>
        <v>0</v>
      </c>
      <c r="JHT15">
        <f ca="1"/>
        <v>0</v>
      </c>
      <c r="JHU15">
        <f ca="1"/>
        <v>0</v>
      </c>
      <c r="JHV15">
        <f ca="1"/>
        <v>0</v>
      </c>
      <c r="JHW15">
        <f ca="1"/>
        <v>0</v>
      </c>
      <c r="JHX15">
        <f ca="1"/>
        <v>0</v>
      </c>
      <c r="JHY15">
        <f ca="1"/>
        <v>0</v>
      </c>
      <c r="JHZ15">
        <f ca="1"/>
        <v>0</v>
      </c>
      <c r="JIA15">
        <f ca="1"/>
        <v>0</v>
      </c>
      <c r="JIB15">
        <f ca="1"/>
        <v>0</v>
      </c>
      <c r="JIC15">
        <f ca="1"/>
        <v>0</v>
      </c>
      <c r="JID15">
        <f ca="1"/>
        <v>0</v>
      </c>
      <c r="JIE15">
        <f ca="1"/>
        <v>0</v>
      </c>
      <c r="JIF15">
        <f ca="1"/>
        <v>0</v>
      </c>
      <c r="JIG15">
        <f ca="1"/>
        <v>0</v>
      </c>
      <c r="JIH15">
        <f ca="1"/>
        <v>0</v>
      </c>
      <c r="JII15">
        <f ca="1"/>
        <v>0</v>
      </c>
      <c r="JIJ15">
        <f ca="1"/>
        <v>0</v>
      </c>
      <c r="JIK15">
        <f ca="1"/>
        <v>0</v>
      </c>
      <c r="JIL15">
        <f ca="1"/>
        <v>0</v>
      </c>
      <c r="JIM15">
        <f ca="1"/>
        <v>0</v>
      </c>
      <c r="JIN15">
        <f ca="1"/>
        <v>0</v>
      </c>
      <c r="JIO15">
        <f ca="1"/>
        <v>0</v>
      </c>
      <c r="JIP15">
        <f ca="1"/>
        <v>0</v>
      </c>
      <c r="JIQ15">
        <f ca="1"/>
        <v>0</v>
      </c>
      <c r="JIR15">
        <f ca="1"/>
        <v>0</v>
      </c>
      <c r="JIS15">
        <f ca="1"/>
        <v>0</v>
      </c>
      <c r="JIT15">
        <f ca="1"/>
        <v>0</v>
      </c>
      <c r="JIU15">
        <f ca="1"/>
        <v>0</v>
      </c>
      <c r="JIV15">
        <f ca="1"/>
        <v>0</v>
      </c>
      <c r="JIW15">
        <f ca="1"/>
        <v>0</v>
      </c>
      <c r="JIX15">
        <f ca="1"/>
        <v>0</v>
      </c>
      <c r="JIY15">
        <f ca="1"/>
        <v>0</v>
      </c>
      <c r="JIZ15">
        <f ca="1"/>
        <v>0</v>
      </c>
      <c r="JJA15">
        <f ca="1"/>
        <v>0</v>
      </c>
      <c r="JJB15">
        <f ca="1"/>
        <v>0</v>
      </c>
      <c r="JJC15">
        <f ca="1"/>
        <v>0</v>
      </c>
      <c r="JJD15">
        <f ca="1"/>
        <v>0</v>
      </c>
      <c r="JJE15">
        <f ca="1"/>
        <v>0</v>
      </c>
      <c r="JJF15">
        <f ca="1"/>
        <v>0</v>
      </c>
      <c r="JJG15">
        <f ca="1"/>
        <v>0</v>
      </c>
      <c r="JJH15">
        <f ca="1"/>
        <v>0</v>
      </c>
      <c r="JJI15">
        <f ca="1"/>
        <v>0</v>
      </c>
      <c r="JJJ15">
        <f ca="1"/>
        <v>0</v>
      </c>
      <c r="JJK15">
        <f ca="1"/>
        <v>0</v>
      </c>
      <c r="JJL15">
        <f ca="1"/>
        <v>0</v>
      </c>
      <c r="JJM15">
        <f ca="1"/>
        <v>0</v>
      </c>
      <c r="JJN15">
        <f ca="1"/>
        <v>0</v>
      </c>
      <c r="JJO15">
        <f ca="1"/>
        <v>0</v>
      </c>
      <c r="JJP15">
        <f ca="1"/>
        <v>0</v>
      </c>
      <c r="JJQ15">
        <f ca="1"/>
        <v>0</v>
      </c>
      <c r="JJR15">
        <f ca="1"/>
        <v>0</v>
      </c>
      <c r="JJS15">
        <f ca="1"/>
        <v>0</v>
      </c>
      <c r="JJT15">
        <f ca="1"/>
        <v>0</v>
      </c>
      <c r="JJU15">
        <f ca="1"/>
        <v>0</v>
      </c>
      <c r="JJV15">
        <f ca="1"/>
        <v>0</v>
      </c>
      <c r="JJW15">
        <f ca="1"/>
        <v>0</v>
      </c>
      <c r="JJX15">
        <f ca="1"/>
        <v>0</v>
      </c>
      <c r="JJY15">
        <f ca="1"/>
        <v>0</v>
      </c>
      <c r="JJZ15">
        <f ca="1"/>
        <v>0</v>
      </c>
      <c r="JKA15">
        <f ca="1"/>
        <v>0</v>
      </c>
      <c r="JKB15">
        <f ca="1"/>
        <v>0</v>
      </c>
      <c r="JKC15">
        <f ca="1"/>
        <v>0</v>
      </c>
      <c r="JKD15">
        <f ca="1"/>
        <v>0</v>
      </c>
      <c r="JKE15">
        <f ca="1"/>
        <v>0</v>
      </c>
      <c r="JKF15">
        <f ca="1"/>
        <v>0</v>
      </c>
      <c r="JKG15">
        <f ca="1"/>
        <v>0</v>
      </c>
      <c r="JKH15">
        <f ca="1"/>
        <v>0</v>
      </c>
      <c r="JKI15">
        <f ca="1"/>
        <v>0</v>
      </c>
      <c r="JKJ15">
        <f ca="1"/>
        <v>0</v>
      </c>
      <c r="JKK15">
        <f ca="1"/>
        <v>0</v>
      </c>
      <c r="JKL15">
        <f ca="1"/>
        <v>0</v>
      </c>
      <c r="JKM15">
        <f ca="1"/>
        <v>0</v>
      </c>
      <c r="JKN15">
        <f ca="1"/>
        <v>0</v>
      </c>
      <c r="JKO15">
        <f ca="1"/>
        <v>0</v>
      </c>
      <c r="JKP15">
        <f ca="1"/>
        <v>0</v>
      </c>
      <c r="JKQ15">
        <f ca="1"/>
        <v>0</v>
      </c>
      <c r="JKR15">
        <f ca="1"/>
        <v>0</v>
      </c>
      <c r="JKS15">
        <f ca="1"/>
        <v>0</v>
      </c>
      <c r="JKT15">
        <f ca="1"/>
        <v>0</v>
      </c>
      <c r="JKU15">
        <f ca="1"/>
        <v>0</v>
      </c>
      <c r="JKV15">
        <f ca="1"/>
        <v>0</v>
      </c>
      <c r="JKW15">
        <f ca="1"/>
        <v>0</v>
      </c>
      <c r="JKX15">
        <f ca="1"/>
        <v>0</v>
      </c>
      <c r="JKY15">
        <f ca="1"/>
        <v>0</v>
      </c>
      <c r="JKZ15">
        <f ca="1"/>
        <v>0</v>
      </c>
      <c r="JLA15">
        <f ca="1"/>
        <v>0</v>
      </c>
      <c r="JLB15">
        <f ca="1"/>
        <v>0</v>
      </c>
      <c r="JLC15">
        <f ca="1"/>
        <v>0</v>
      </c>
      <c r="JLD15">
        <f ca="1"/>
        <v>0</v>
      </c>
      <c r="JLE15">
        <f ca="1"/>
        <v>0</v>
      </c>
      <c r="JLF15">
        <f ca="1"/>
        <v>0</v>
      </c>
      <c r="JLG15">
        <f ca="1"/>
        <v>0</v>
      </c>
      <c r="JLH15">
        <f ca="1"/>
        <v>0</v>
      </c>
      <c r="JLI15">
        <f ca="1"/>
        <v>0</v>
      </c>
      <c r="JLJ15">
        <f ca="1"/>
        <v>0</v>
      </c>
      <c r="JLK15">
        <f ca="1"/>
        <v>0</v>
      </c>
      <c r="JLL15">
        <f ca="1"/>
        <v>0</v>
      </c>
      <c r="JLM15">
        <f ca="1"/>
        <v>0</v>
      </c>
      <c r="JLN15">
        <f ca="1"/>
        <v>0</v>
      </c>
      <c r="JLO15">
        <f ca="1"/>
        <v>0</v>
      </c>
      <c r="JLP15">
        <f ca="1"/>
        <v>0</v>
      </c>
      <c r="JLQ15">
        <f ca="1"/>
        <v>0</v>
      </c>
      <c r="JLR15">
        <f ca="1"/>
        <v>0</v>
      </c>
      <c r="JLS15">
        <f ca="1"/>
        <v>0</v>
      </c>
      <c r="JLT15">
        <f ca="1"/>
        <v>0</v>
      </c>
      <c r="JLU15">
        <f ca="1"/>
        <v>0</v>
      </c>
      <c r="JLV15">
        <f ca="1"/>
        <v>0</v>
      </c>
      <c r="JLW15">
        <f ca="1"/>
        <v>0</v>
      </c>
      <c r="JLX15">
        <f ca="1"/>
        <v>0</v>
      </c>
      <c r="JLY15">
        <f ca="1"/>
        <v>0</v>
      </c>
      <c r="JLZ15">
        <f ca="1"/>
        <v>0</v>
      </c>
      <c r="JMA15">
        <f ca="1"/>
        <v>0</v>
      </c>
      <c r="JMB15">
        <f ca="1"/>
        <v>0</v>
      </c>
      <c r="JMC15">
        <f ca="1"/>
        <v>0</v>
      </c>
      <c r="JMD15">
        <f ca="1"/>
        <v>0</v>
      </c>
      <c r="JME15">
        <f ca="1"/>
        <v>0</v>
      </c>
      <c r="JMF15">
        <f ca="1"/>
        <v>0</v>
      </c>
      <c r="JMG15">
        <f ca="1"/>
        <v>0</v>
      </c>
      <c r="JMH15">
        <f ca="1"/>
        <v>0</v>
      </c>
      <c r="JMI15">
        <f ca="1"/>
        <v>0</v>
      </c>
      <c r="JMJ15">
        <f ca="1"/>
        <v>0</v>
      </c>
      <c r="JMK15">
        <f ca="1"/>
        <v>0</v>
      </c>
      <c r="JML15">
        <f ca="1"/>
        <v>0</v>
      </c>
      <c r="JMM15">
        <f ca="1"/>
        <v>0</v>
      </c>
      <c r="JMN15">
        <f ca="1"/>
        <v>0</v>
      </c>
      <c r="JMO15">
        <f ca="1"/>
        <v>0</v>
      </c>
      <c r="JMP15">
        <f ca="1"/>
        <v>0</v>
      </c>
      <c r="JMQ15">
        <f ca="1"/>
        <v>0</v>
      </c>
      <c r="JMR15">
        <f ca="1"/>
        <v>0</v>
      </c>
      <c r="JMS15">
        <f ca="1"/>
        <v>0</v>
      </c>
      <c r="JMT15">
        <f ca="1"/>
        <v>0</v>
      </c>
      <c r="JMU15">
        <f ca="1"/>
        <v>0</v>
      </c>
      <c r="JMV15">
        <f ca="1"/>
        <v>0</v>
      </c>
      <c r="JMW15">
        <f ca="1"/>
        <v>0</v>
      </c>
      <c r="JMX15">
        <f ca="1"/>
        <v>0</v>
      </c>
      <c r="JMY15">
        <f ca="1"/>
        <v>0</v>
      </c>
      <c r="JMZ15">
        <f ca="1"/>
        <v>0</v>
      </c>
      <c r="JNA15">
        <f ca="1"/>
        <v>0</v>
      </c>
      <c r="JNB15">
        <f ca="1"/>
        <v>0</v>
      </c>
      <c r="JNC15">
        <f ca="1"/>
        <v>0</v>
      </c>
      <c r="JND15">
        <f ca="1"/>
        <v>0</v>
      </c>
      <c r="JNE15">
        <f ca="1"/>
        <v>0</v>
      </c>
      <c r="JNF15">
        <f ca="1"/>
        <v>0</v>
      </c>
      <c r="JNG15">
        <f ca="1"/>
        <v>0</v>
      </c>
      <c r="JNH15">
        <f ca="1"/>
        <v>0</v>
      </c>
      <c r="JNI15">
        <f ca="1"/>
        <v>0</v>
      </c>
      <c r="JNJ15">
        <f ca="1"/>
        <v>0</v>
      </c>
      <c r="JNK15">
        <f ca="1"/>
        <v>0</v>
      </c>
      <c r="JNL15">
        <f ca="1"/>
        <v>0</v>
      </c>
      <c r="JNM15">
        <f ca="1"/>
        <v>0</v>
      </c>
      <c r="JNN15">
        <f ca="1"/>
        <v>0</v>
      </c>
      <c r="JNO15">
        <f ca="1"/>
        <v>0</v>
      </c>
      <c r="JNP15">
        <f ca="1"/>
        <v>0</v>
      </c>
      <c r="JNQ15">
        <f ca="1"/>
        <v>0</v>
      </c>
      <c r="JNR15">
        <f ca="1"/>
        <v>0</v>
      </c>
      <c r="JNS15">
        <f ca="1"/>
        <v>0</v>
      </c>
      <c r="JNT15">
        <f ca="1"/>
        <v>0</v>
      </c>
      <c r="JNU15">
        <f ca="1"/>
        <v>0</v>
      </c>
      <c r="JNV15">
        <f ca="1"/>
        <v>0</v>
      </c>
      <c r="JNW15">
        <f ca="1"/>
        <v>0</v>
      </c>
      <c r="JNX15">
        <f ca="1"/>
        <v>0</v>
      </c>
      <c r="JNY15">
        <f ca="1"/>
        <v>0</v>
      </c>
      <c r="JNZ15">
        <f ca="1"/>
        <v>0</v>
      </c>
      <c r="JOA15">
        <f ca="1"/>
        <v>0</v>
      </c>
      <c r="JOB15">
        <f ca="1"/>
        <v>0</v>
      </c>
      <c r="JOC15">
        <f ca="1"/>
        <v>0</v>
      </c>
      <c r="JOD15">
        <f ca="1"/>
        <v>0</v>
      </c>
      <c r="JOE15">
        <f ca="1"/>
        <v>0</v>
      </c>
      <c r="JOF15">
        <f ca="1"/>
        <v>0</v>
      </c>
      <c r="JOG15">
        <f ca="1"/>
        <v>0</v>
      </c>
      <c r="JOH15">
        <f ca="1"/>
        <v>0</v>
      </c>
      <c r="JOI15">
        <f ca="1"/>
        <v>0</v>
      </c>
      <c r="JOJ15">
        <f ca="1"/>
        <v>0</v>
      </c>
      <c r="JOK15">
        <f ca="1"/>
        <v>0</v>
      </c>
      <c r="JOL15">
        <f ca="1"/>
        <v>0</v>
      </c>
      <c r="JOM15">
        <f ca="1"/>
        <v>0</v>
      </c>
      <c r="JON15">
        <f ca="1"/>
        <v>0</v>
      </c>
      <c r="JOO15">
        <f ca="1"/>
        <v>0</v>
      </c>
      <c r="JOP15">
        <f ca="1"/>
        <v>0</v>
      </c>
      <c r="JOQ15">
        <f ca="1"/>
        <v>0</v>
      </c>
      <c r="JOR15">
        <f ca="1"/>
        <v>0</v>
      </c>
      <c r="JOS15">
        <f ca="1"/>
        <v>0</v>
      </c>
      <c r="JOT15">
        <f ca="1"/>
        <v>0</v>
      </c>
      <c r="JOU15">
        <f ca="1"/>
        <v>0</v>
      </c>
      <c r="JOV15">
        <f ca="1"/>
        <v>0</v>
      </c>
      <c r="JOW15">
        <f ca="1"/>
        <v>0</v>
      </c>
      <c r="JOX15">
        <f ca="1"/>
        <v>0</v>
      </c>
      <c r="JOY15">
        <f ca="1"/>
        <v>0</v>
      </c>
      <c r="JOZ15">
        <f ca="1"/>
        <v>0</v>
      </c>
      <c r="JPA15">
        <f ca="1"/>
        <v>0</v>
      </c>
      <c r="JPB15">
        <f ca="1"/>
        <v>0</v>
      </c>
      <c r="JPC15">
        <f ca="1"/>
        <v>0</v>
      </c>
      <c r="JPD15">
        <f ca="1"/>
        <v>0</v>
      </c>
      <c r="JPE15">
        <f ca="1"/>
        <v>0</v>
      </c>
      <c r="JPF15">
        <f ca="1"/>
        <v>0</v>
      </c>
      <c r="JPG15">
        <f ca="1"/>
        <v>0</v>
      </c>
      <c r="JPH15">
        <f ca="1"/>
        <v>0</v>
      </c>
      <c r="JPI15">
        <f ca="1"/>
        <v>0</v>
      </c>
      <c r="JPJ15">
        <f ca="1"/>
        <v>0</v>
      </c>
      <c r="JPK15">
        <f ca="1"/>
        <v>0</v>
      </c>
      <c r="JPL15">
        <f ca="1"/>
        <v>0</v>
      </c>
      <c r="JPM15">
        <f ca="1"/>
        <v>0</v>
      </c>
      <c r="JPN15">
        <f ca="1"/>
        <v>0</v>
      </c>
      <c r="JPO15">
        <f ca="1"/>
        <v>0</v>
      </c>
      <c r="JPP15">
        <f ca="1"/>
        <v>0</v>
      </c>
      <c r="JPQ15">
        <f ca="1"/>
        <v>0</v>
      </c>
      <c r="JPR15">
        <f ca="1"/>
        <v>0</v>
      </c>
      <c r="JPS15">
        <f ca="1"/>
        <v>0</v>
      </c>
      <c r="JPT15">
        <f ca="1"/>
        <v>0</v>
      </c>
      <c r="JPU15">
        <f ca="1"/>
        <v>0</v>
      </c>
      <c r="JPV15">
        <f ca="1"/>
        <v>0</v>
      </c>
      <c r="JPW15">
        <f ca="1"/>
        <v>0</v>
      </c>
      <c r="JPX15">
        <f ca="1"/>
        <v>0</v>
      </c>
      <c r="JPY15">
        <f ca="1"/>
        <v>0</v>
      </c>
      <c r="JPZ15">
        <f ca="1"/>
        <v>0</v>
      </c>
      <c r="JQA15">
        <f ca="1"/>
        <v>0</v>
      </c>
      <c r="JQB15">
        <f ca="1"/>
        <v>0</v>
      </c>
      <c r="JQC15">
        <f ca="1"/>
        <v>0</v>
      </c>
      <c r="JQD15">
        <f ca="1"/>
        <v>0</v>
      </c>
      <c r="JQE15">
        <f ca="1"/>
        <v>0</v>
      </c>
      <c r="JQF15">
        <f ca="1"/>
        <v>0</v>
      </c>
      <c r="JQG15">
        <f ca="1"/>
        <v>0</v>
      </c>
      <c r="JQH15">
        <f ca="1"/>
        <v>0</v>
      </c>
      <c r="JQI15">
        <f ca="1"/>
        <v>0</v>
      </c>
      <c r="JQJ15">
        <f ca="1"/>
        <v>0</v>
      </c>
      <c r="JQK15">
        <f ca="1"/>
        <v>0</v>
      </c>
      <c r="JQL15">
        <f ca="1"/>
        <v>0</v>
      </c>
      <c r="JQM15">
        <f ca="1"/>
        <v>0</v>
      </c>
      <c r="JQN15">
        <f ca="1"/>
        <v>0</v>
      </c>
      <c r="JQO15">
        <f ca="1"/>
        <v>0</v>
      </c>
      <c r="JQP15">
        <f ca="1"/>
        <v>0</v>
      </c>
      <c r="JQQ15">
        <f ca="1"/>
        <v>0</v>
      </c>
      <c r="JQR15">
        <f ca="1"/>
        <v>0</v>
      </c>
      <c r="JQS15">
        <f ca="1"/>
        <v>0</v>
      </c>
      <c r="JQT15">
        <f ca="1"/>
        <v>0</v>
      </c>
      <c r="JQU15">
        <f ca="1"/>
        <v>0</v>
      </c>
      <c r="JQV15">
        <f ca="1"/>
        <v>0</v>
      </c>
      <c r="JQW15">
        <f ca="1"/>
        <v>0</v>
      </c>
      <c r="JQX15">
        <f ca="1"/>
        <v>0</v>
      </c>
      <c r="JQY15">
        <f ca="1"/>
        <v>0</v>
      </c>
      <c r="JQZ15">
        <f ca="1"/>
        <v>0</v>
      </c>
      <c r="JRA15">
        <f ca="1"/>
        <v>0</v>
      </c>
      <c r="JRB15">
        <f ca="1"/>
        <v>0</v>
      </c>
      <c r="JRC15">
        <f ca="1"/>
        <v>0</v>
      </c>
      <c r="JRD15">
        <f ca="1"/>
        <v>0</v>
      </c>
      <c r="JRE15">
        <f ca="1"/>
        <v>0</v>
      </c>
      <c r="JRF15">
        <f ca="1"/>
        <v>0</v>
      </c>
      <c r="JRG15">
        <f ca="1"/>
        <v>0</v>
      </c>
      <c r="JRH15">
        <f ca="1"/>
        <v>0</v>
      </c>
      <c r="JRI15">
        <f ca="1"/>
        <v>0</v>
      </c>
      <c r="JRJ15">
        <f ca="1"/>
        <v>0</v>
      </c>
      <c r="JRK15">
        <f ca="1"/>
        <v>0</v>
      </c>
      <c r="JRL15">
        <f ca="1"/>
        <v>0</v>
      </c>
      <c r="JRM15">
        <f ca="1"/>
        <v>0</v>
      </c>
      <c r="JRN15">
        <f ca="1"/>
        <v>0</v>
      </c>
      <c r="JRO15">
        <f ca="1"/>
        <v>0</v>
      </c>
      <c r="JRP15">
        <f ca="1"/>
        <v>0</v>
      </c>
      <c r="JRQ15">
        <f ca="1"/>
        <v>0</v>
      </c>
      <c r="JRR15">
        <f ca="1"/>
        <v>0</v>
      </c>
      <c r="JRS15">
        <f ca="1"/>
        <v>0</v>
      </c>
      <c r="JRT15">
        <f ca="1"/>
        <v>0</v>
      </c>
      <c r="JRU15">
        <f ca="1"/>
        <v>0</v>
      </c>
      <c r="JRV15">
        <f ca="1"/>
        <v>0</v>
      </c>
      <c r="JRW15">
        <f ca="1"/>
        <v>0</v>
      </c>
      <c r="JRX15">
        <f ca="1"/>
        <v>0</v>
      </c>
      <c r="JRY15">
        <f ca="1"/>
        <v>0</v>
      </c>
      <c r="JRZ15">
        <f ca="1"/>
        <v>0</v>
      </c>
      <c r="JSA15">
        <f ca="1"/>
        <v>0</v>
      </c>
      <c r="JSB15">
        <f ca="1"/>
        <v>0</v>
      </c>
      <c r="JSC15">
        <f ca="1"/>
        <v>0</v>
      </c>
      <c r="JSD15">
        <f ca="1"/>
        <v>0</v>
      </c>
      <c r="JSE15">
        <f ca="1"/>
        <v>0</v>
      </c>
      <c r="JSF15">
        <f ca="1"/>
        <v>0</v>
      </c>
      <c r="JSG15">
        <f ca="1"/>
        <v>0</v>
      </c>
      <c r="JSH15">
        <f ca="1"/>
        <v>0</v>
      </c>
      <c r="JSI15">
        <f ca="1"/>
        <v>0</v>
      </c>
      <c r="JSJ15">
        <f ca="1"/>
        <v>0</v>
      </c>
      <c r="JSK15">
        <f ca="1"/>
        <v>0</v>
      </c>
      <c r="JSL15">
        <f ca="1"/>
        <v>0</v>
      </c>
      <c r="JSM15">
        <f ca="1"/>
        <v>0</v>
      </c>
      <c r="JSN15">
        <f ca="1"/>
        <v>0</v>
      </c>
      <c r="JSO15">
        <f ca="1"/>
        <v>0</v>
      </c>
      <c r="JSP15">
        <f ca="1"/>
        <v>0</v>
      </c>
      <c r="JSQ15">
        <f ca="1"/>
        <v>0</v>
      </c>
      <c r="JSR15">
        <f ca="1"/>
        <v>0</v>
      </c>
      <c r="JSS15">
        <f ca="1"/>
        <v>0</v>
      </c>
      <c r="JST15">
        <f ca="1"/>
        <v>0</v>
      </c>
      <c r="JSU15">
        <f ca="1"/>
        <v>0</v>
      </c>
      <c r="JSV15">
        <f ca="1"/>
        <v>0</v>
      </c>
      <c r="JSW15">
        <f ca="1"/>
        <v>0</v>
      </c>
      <c r="JSX15">
        <f ca="1"/>
        <v>0</v>
      </c>
      <c r="JSY15">
        <f ca="1"/>
        <v>0</v>
      </c>
      <c r="JSZ15">
        <f ca="1"/>
        <v>0</v>
      </c>
      <c r="JTA15">
        <f ca="1"/>
        <v>0</v>
      </c>
      <c r="JTB15">
        <f ca="1"/>
        <v>0</v>
      </c>
      <c r="JTC15">
        <f ca="1"/>
        <v>0</v>
      </c>
      <c r="JTD15">
        <f ca="1"/>
        <v>0</v>
      </c>
      <c r="JTE15">
        <f ca="1"/>
        <v>0</v>
      </c>
      <c r="JTF15">
        <f ca="1"/>
        <v>0</v>
      </c>
      <c r="JTG15">
        <f ca="1"/>
        <v>0</v>
      </c>
      <c r="JTH15">
        <f ca="1"/>
        <v>0</v>
      </c>
      <c r="JTI15">
        <f ca="1"/>
        <v>0</v>
      </c>
      <c r="JTJ15">
        <f ca="1"/>
        <v>0</v>
      </c>
      <c r="JTK15">
        <f ca="1"/>
        <v>0</v>
      </c>
      <c r="JTL15">
        <f ca="1"/>
        <v>0</v>
      </c>
      <c r="JTM15">
        <f ca="1"/>
        <v>0</v>
      </c>
      <c r="JTN15">
        <f ca="1"/>
        <v>0</v>
      </c>
      <c r="JTO15">
        <f ca="1"/>
        <v>0</v>
      </c>
      <c r="JTP15">
        <f ca="1"/>
        <v>0</v>
      </c>
      <c r="JTQ15">
        <f ca="1"/>
        <v>0</v>
      </c>
      <c r="JTR15">
        <f ca="1"/>
        <v>0</v>
      </c>
      <c r="JTS15">
        <f ca="1"/>
        <v>0</v>
      </c>
      <c r="JTT15">
        <f ca="1"/>
        <v>0</v>
      </c>
      <c r="JTU15">
        <f ca="1"/>
        <v>0</v>
      </c>
      <c r="JTV15">
        <f ca="1"/>
        <v>0</v>
      </c>
      <c r="JTW15">
        <f ca="1"/>
        <v>0</v>
      </c>
      <c r="JTX15">
        <f ca="1"/>
        <v>0</v>
      </c>
      <c r="JTY15">
        <f ca="1"/>
        <v>0</v>
      </c>
      <c r="JTZ15">
        <f ca="1"/>
        <v>0</v>
      </c>
      <c r="JUA15">
        <f ca="1"/>
        <v>0</v>
      </c>
      <c r="JUB15">
        <f ca="1"/>
        <v>0</v>
      </c>
      <c r="JUC15">
        <f ca="1"/>
        <v>0</v>
      </c>
      <c r="JUD15">
        <f ca="1"/>
        <v>0</v>
      </c>
      <c r="JUE15">
        <f ca="1"/>
        <v>0</v>
      </c>
      <c r="JUF15">
        <f ca="1"/>
        <v>0</v>
      </c>
      <c r="JUG15">
        <f ca="1"/>
        <v>0</v>
      </c>
      <c r="JUH15">
        <f ca="1"/>
        <v>0</v>
      </c>
      <c r="JUI15">
        <f ca="1"/>
        <v>0</v>
      </c>
      <c r="JUJ15">
        <f ca="1"/>
        <v>0</v>
      </c>
      <c r="JUK15">
        <f ca="1"/>
        <v>0</v>
      </c>
      <c r="JUL15">
        <f ca="1"/>
        <v>0</v>
      </c>
      <c r="JUM15">
        <f ca="1"/>
        <v>0</v>
      </c>
      <c r="JUN15">
        <f ca="1"/>
        <v>0</v>
      </c>
      <c r="JUO15">
        <f ca="1"/>
        <v>0</v>
      </c>
      <c r="JUP15">
        <f ca="1"/>
        <v>0</v>
      </c>
      <c r="JUQ15">
        <f ca="1"/>
        <v>0</v>
      </c>
      <c r="JUR15">
        <f ca="1"/>
        <v>0</v>
      </c>
      <c r="JUS15">
        <f ca="1"/>
        <v>0</v>
      </c>
      <c r="JUT15">
        <f ca="1"/>
        <v>0</v>
      </c>
      <c r="JUU15">
        <f ca="1"/>
        <v>0</v>
      </c>
      <c r="JUV15">
        <f ca="1"/>
        <v>0</v>
      </c>
      <c r="JUW15">
        <f ca="1"/>
        <v>0</v>
      </c>
      <c r="JUX15">
        <f ca="1"/>
        <v>0</v>
      </c>
      <c r="JUY15">
        <f ca="1"/>
        <v>0</v>
      </c>
      <c r="JUZ15">
        <f ca="1"/>
        <v>0</v>
      </c>
      <c r="JVA15">
        <f ca="1"/>
        <v>0</v>
      </c>
      <c r="JVB15">
        <f ca="1"/>
        <v>0</v>
      </c>
      <c r="JVC15">
        <f ca="1"/>
        <v>0</v>
      </c>
      <c r="JVD15">
        <f ca="1"/>
        <v>0</v>
      </c>
      <c r="JVE15">
        <f ca="1"/>
        <v>0</v>
      </c>
      <c r="JVF15">
        <f ca="1"/>
        <v>0</v>
      </c>
      <c r="JVG15">
        <f ca="1"/>
        <v>0</v>
      </c>
      <c r="JVH15">
        <f ca="1"/>
        <v>0</v>
      </c>
      <c r="JVI15">
        <f ca="1"/>
        <v>0</v>
      </c>
      <c r="JVJ15">
        <f ca="1"/>
        <v>0</v>
      </c>
      <c r="JVK15">
        <f ca="1"/>
        <v>0</v>
      </c>
      <c r="JVL15">
        <f ca="1"/>
        <v>0</v>
      </c>
      <c r="JVM15">
        <f ca="1"/>
        <v>0</v>
      </c>
      <c r="JVN15">
        <f ca="1"/>
        <v>0</v>
      </c>
      <c r="JVO15">
        <f ca="1"/>
        <v>0</v>
      </c>
      <c r="JVP15">
        <f ca="1"/>
        <v>0</v>
      </c>
      <c r="JVQ15">
        <f ca="1"/>
        <v>0</v>
      </c>
      <c r="JVR15">
        <f ca="1"/>
        <v>0</v>
      </c>
      <c r="JVS15">
        <f ca="1"/>
        <v>0</v>
      </c>
      <c r="JVT15">
        <f ca="1"/>
        <v>0</v>
      </c>
      <c r="JVU15">
        <f ca="1"/>
        <v>0</v>
      </c>
      <c r="JVV15">
        <f ca="1"/>
        <v>0</v>
      </c>
      <c r="JVW15">
        <f ca="1"/>
        <v>0</v>
      </c>
      <c r="JVX15">
        <f ca="1"/>
        <v>0</v>
      </c>
      <c r="JVY15">
        <f ca="1"/>
        <v>0</v>
      </c>
      <c r="JVZ15">
        <f ca="1"/>
        <v>0</v>
      </c>
      <c r="JWA15">
        <f ca="1"/>
        <v>0</v>
      </c>
      <c r="JWB15">
        <f ca="1"/>
        <v>0</v>
      </c>
      <c r="JWC15">
        <f ca="1"/>
        <v>0</v>
      </c>
      <c r="JWD15">
        <f ca="1"/>
        <v>0</v>
      </c>
      <c r="JWE15">
        <f ca="1"/>
        <v>0</v>
      </c>
      <c r="JWF15">
        <f ca="1"/>
        <v>0</v>
      </c>
      <c r="JWG15">
        <f ca="1"/>
        <v>0</v>
      </c>
      <c r="JWH15">
        <f ca="1"/>
        <v>0</v>
      </c>
      <c r="JWI15">
        <f ca="1"/>
        <v>0</v>
      </c>
      <c r="JWJ15">
        <f ca="1"/>
        <v>0</v>
      </c>
      <c r="JWK15">
        <f ca="1"/>
        <v>0</v>
      </c>
      <c r="JWL15">
        <f ca="1"/>
        <v>0</v>
      </c>
      <c r="JWM15">
        <f ca="1"/>
        <v>0</v>
      </c>
      <c r="JWN15">
        <f ca="1"/>
        <v>0</v>
      </c>
      <c r="JWO15">
        <f ca="1"/>
        <v>0</v>
      </c>
      <c r="JWP15">
        <f ca="1"/>
        <v>0</v>
      </c>
      <c r="JWQ15">
        <f ca="1"/>
        <v>0</v>
      </c>
      <c r="JWR15">
        <f ca="1"/>
        <v>0</v>
      </c>
      <c r="JWS15">
        <f ca="1"/>
        <v>0</v>
      </c>
      <c r="JWT15">
        <f ca="1"/>
        <v>0</v>
      </c>
      <c r="JWU15">
        <f ca="1"/>
        <v>0</v>
      </c>
      <c r="JWV15">
        <f ca="1"/>
        <v>0</v>
      </c>
      <c r="JWW15">
        <f ca="1"/>
        <v>0</v>
      </c>
      <c r="JWX15">
        <f ca="1"/>
        <v>0</v>
      </c>
      <c r="JWY15">
        <f ca="1"/>
        <v>0</v>
      </c>
      <c r="JWZ15">
        <f ca="1"/>
        <v>0</v>
      </c>
      <c r="JXA15">
        <f ca="1"/>
        <v>0</v>
      </c>
      <c r="JXB15">
        <f ca="1"/>
        <v>0</v>
      </c>
      <c r="JXC15">
        <f ca="1"/>
        <v>0</v>
      </c>
      <c r="JXD15">
        <f ca="1"/>
        <v>0</v>
      </c>
      <c r="JXE15">
        <f ca="1"/>
        <v>0</v>
      </c>
      <c r="JXF15">
        <f ca="1"/>
        <v>0</v>
      </c>
      <c r="JXG15">
        <f ca="1"/>
        <v>0</v>
      </c>
      <c r="JXH15">
        <f ca="1"/>
        <v>0</v>
      </c>
      <c r="JXI15">
        <f ca="1"/>
        <v>0</v>
      </c>
      <c r="JXJ15">
        <f ca="1"/>
        <v>0</v>
      </c>
      <c r="JXK15">
        <f ca="1"/>
        <v>0</v>
      </c>
      <c r="JXL15">
        <f ca="1"/>
        <v>0</v>
      </c>
      <c r="JXM15">
        <f ca="1"/>
        <v>0</v>
      </c>
      <c r="JXN15">
        <f ca="1"/>
        <v>0</v>
      </c>
      <c r="JXO15">
        <f ca="1"/>
        <v>0</v>
      </c>
      <c r="JXP15">
        <f ca="1"/>
        <v>0</v>
      </c>
      <c r="JXQ15">
        <f ca="1"/>
        <v>0</v>
      </c>
      <c r="JXR15">
        <f ca="1"/>
        <v>0</v>
      </c>
      <c r="JXS15">
        <f ca="1"/>
        <v>0</v>
      </c>
      <c r="JXT15">
        <f ca="1"/>
        <v>0</v>
      </c>
      <c r="JXU15">
        <f ca="1"/>
        <v>0</v>
      </c>
      <c r="JXV15">
        <f ca="1"/>
        <v>0</v>
      </c>
      <c r="JXW15">
        <f ca="1"/>
        <v>0</v>
      </c>
      <c r="JXX15">
        <f ca="1"/>
        <v>0</v>
      </c>
      <c r="JXY15">
        <f ca="1"/>
        <v>0</v>
      </c>
      <c r="JXZ15">
        <f ca="1"/>
        <v>0</v>
      </c>
      <c r="JYA15">
        <f ca="1"/>
        <v>0</v>
      </c>
      <c r="JYB15">
        <f ca="1"/>
        <v>0</v>
      </c>
      <c r="JYC15">
        <f ca="1"/>
        <v>0</v>
      </c>
      <c r="JYD15">
        <f ca="1"/>
        <v>0</v>
      </c>
      <c r="JYE15">
        <f ca="1"/>
        <v>0</v>
      </c>
      <c r="JYF15">
        <f ca="1"/>
        <v>0</v>
      </c>
      <c r="JYG15">
        <f ca="1"/>
        <v>0</v>
      </c>
      <c r="JYH15">
        <f ca="1"/>
        <v>0</v>
      </c>
      <c r="JYI15">
        <f ca="1"/>
        <v>0</v>
      </c>
      <c r="JYJ15">
        <f ca="1"/>
        <v>0</v>
      </c>
      <c r="JYK15">
        <f ca="1"/>
        <v>0</v>
      </c>
      <c r="JYL15">
        <f ca="1"/>
        <v>0</v>
      </c>
      <c r="JYM15">
        <f ca="1"/>
        <v>0</v>
      </c>
      <c r="JYN15">
        <f ca="1"/>
        <v>0</v>
      </c>
      <c r="JYO15">
        <f ca="1"/>
        <v>0</v>
      </c>
      <c r="JYP15">
        <f ca="1"/>
        <v>0</v>
      </c>
      <c r="JYQ15">
        <f ca="1"/>
        <v>0</v>
      </c>
      <c r="JYR15">
        <f ca="1"/>
        <v>0</v>
      </c>
      <c r="JYS15">
        <f ca="1"/>
        <v>0</v>
      </c>
      <c r="JYT15">
        <f ca="1"/>
        <v>0</v>
      </c>
      <c r="JYU15">
        <f ca="1"/>
        <v>0</v>
      </c>
      <c r="JYV15">
        <f ca="1"/>
        <v>0</v>
      </c>
      <c r="JYW15">
        <f ca="1"/>
        <v>0</v>
      </c>
      <c r="JYX15">
        <f ca="1"/>
        <v>0</v>
      </c>
      <c r="JYY15">
        <f ca="1"/>
        <v>0</v>
      </c>
      <c r="JYZ15">
        <f ca="1"/>
        <v>0</v>
      </c>
      <c r="JZA15">
        <f ca="1"/>
        <v>0</v>
      </c>
      <c r="JZB15">
        <f ca="1"/>
        <v>0</v>
      </c>
      <c r="JZC15">
        <f ca="1"/>
        <v>0</v>
      </c>
      <c r="JZD15">
        <f ca="1"/>
        <v>0</v>
      </c>
      <c r="JZE15">
        <f ca="1"/>
        <v>0</v>
      </c>
      <c r="JZF15">
        <f ca="1"/>
        <v>0</v>
      </c>
      <c r="JZG15">
        <f ca="1"/>
        <v>0</v>
      </c>
      <c r="JZH15">
        <f ca="1"/>
        <v>0</v>
      </c>
      <c r="JZI15">
        <f ca="1"/>
        <v>0</v>
      </c>
      <c r="JZJ15">
        <f ca="1"/>
        <v>0</v>
      </c>
      <c r="JZK15">
        <f ca="1"/>
        <v>0</v>
      </c>
      <c r="JZL15">
        <f ca="1"/>
        <v>0</v>
      </c>
      <c r="JZM15">
        <f ca="1"/>
        <v>0</v>
      </c>
      <c r="JZN15">
        <f ca="1"/>
        <v>0</v>
      </c>
      <c r="JZO15">
        <f ca="1"/>
        <v>0</v>
      </c>
      <c r="JZP15">
        <f ca="1"/>
        <v>0</v>
      </c>
      <c r="JZQ15">
        <f ca="1"/>
        <v>0</v>
      </c>
      <c r="JZR15">
        <f ca="1"/>
        <v>0</v>
      </c>
      <c r="JZS15">
        <f ca="1"/>
        <v>0</v>
      </c>
      <c r="JZT15">
        <f ca="1"/>
        <v>0</v>
      </c>
      <c r="JZU15">
        <f ca="1"/>
        <v>0</v>
      </c>
      <c r="JZV15">
        <f ca="1"/>
        <v>0</v>
      </c>
      <c r="JZW15">
        <f ca="1"/>
        <v>0</v>
      </c>
      <c r="JZX15">
        <f ca="1"/>
        <v>0</v>
      </c>
      <c r="JZY15">
        <f ca="1"/>
        <v>0</v>
      </c>
      <c r="JZZ15">
        <f ca="1"/>
        <v>0</v>
      </c>
      <c r="KAA15">
        <f ca="1"/>
        <v>0</v>
      </c>
      <c r="KAB15">
        <f ca="1"/>
        <v>0</v>
      </c>
      <c r="KAC15">
        <f ca="1"/>
        <v>0</v>
      </c>
      <c r="KAD15">
        <f ca="1"/>
        <v>0</v>
      </c>
      <c r="KAE15">
        <f ca="1"/>
        <v>0</v>
      </c>
      <c r="KAF15">
        <f ca="1"/>
        <v>0</v>
      </c>
      <c r="KAG15">
        <f ca="1"/>
        <v>0</v>
      </c>
      <c r="KAH15">
        <f ca="1"/>
        <v>0</v>
      </c>
      <c r="KAI15">
        <f ca="1"/>
        <v>0</v>
      </c>
      <c r="KAJ15">
        <f ca="1"/>
        <v>0</v>
      </c>
      <c r="KAK15">
        <f ca="1"/>
        <v>0</v>
      </c>
      <c r="KAL15">
        <f ca="1"/>
        <v>0</v>
      </c>
      <c r="KAM15">
        <f ca="1"/>
        <v>0</v>
      </c>
      <c r="KAN15">
        <f ca="1"/>
        <v>0</v>
      </c>
      <c r="KAO15">
        <f ca="1"/>
        <v>0</v>
      </c>
      <c r="KAP15">
        <f ca="1"/>
        <v>0</v>
      </c>
      <c r="KAQ15">
        <f ca="1"/>
        <v>0</v>
      </c>
      <c r="KAR15">
        <f ca="1"/>
        <v>0</v>
      </c>
      <c r="KAS15">
        <f ca="1"/>
        <v>0</v>
      </c>
      <c r="KAT15">
        <f ca="1"/>
        <v>0</v>
      </c>
      <c r="KAU15">
        <f ca="1"/>
        <v>0</v>
      </c>
      <c r="KAV15">
        <f ca="1"/>
        <v>0</v>
      </c>
      <c r="KAW15">
        <f ca="1"/>
        <v>0</v>
      </c>
      <c r="KAX15">
        <f ca="1"/>
        <v>0</v>
      </c>
      <c r="KAY15">
        <f ca="1"/>
        <v>0</v>
      </c>
      <c r="KAZ15">
        <f ca="1"/>
        <v>0</v>
      </c>
      <c r="KBA15">
        <f ca="1"/>
        <v>0</v>
      </c>
      <c r="KBB15">
        <f ca="1"/>
        <v>0</v>
      </c>
      <c r="KBC15">
        <f ca="1"/>
        <v>0</v>
      </c>
      <c r="KBD15">
        <f ca="1"/>
        <v>0</v>
      </c>
      <c r="KBE15">
        <f ca="1"/>
        <v>0</v>
      </c>
      <c r="KBF15">
        <f ca="1"/>
        <v>0</v>
      </c>
      <c r="KBG15">
        <f ca="1"/>
        <v>0</v>
      </c>
      <c r="KBH15">
        <f ca="1"/>
        <v>0</v>
      </c>
      <c r="KBI15">
        <f ca="1"/>
        <v>0</v>
      </c>
      <c r="KBJ15">
        <f ca="1"/>
        <v>0</v>
      </c>
      <c r="KBK15">
        <f ca="1"/>
        <v>0</v>
      </c>
      <c r="KBL15">
        <f ca="1"/>
        <v>0</v>
      </c>
      <c r="KBM15">
        <f ca="1"/>
        <v>0</v>
      </c>
      <c r="KBN15">
        <f ca="1"/>
        <v>0</v>
      </c>
      <c r="KBO15">
        <f ca="1"/>
        <v>0</v>
      </c>
      <c r="KBP15">
        <f ca="1"/>
        <v>0</v>
      </c>
      <c r="KBQ15">
        <f ca="1"/>
        <v>0</v>
      </c>
      <c r="KBR15">
        <f ca="1"/>
        <v>0</v>
      </c>
      <c r="KBS15">
        <f ca="1"/>
        <v>0</v>
      </c>
      <c r="KBT15">
        <f ca="1"/>
        <v>0</v>
      </c>
      <c r="KBU15">
        <f ca="1"/>
        <v>0</v>
      </c>
      <c r="KBV15">
        <f ca="1"/>
        <v>0</v>
      </c>
      <c r="KBW15">
        <f ca="1"/>
        <v>0</v>
      </c>
      <c r="KBX15">
        <f ca="1"/>
        <v>0</v>
      </c>
      <c r="KBY15">
        <f ca="1"/>
        <v>0</v>
      </c>
      <c r="KBZ15">
        <f ca="1"/>
        <v>0</v>
      </c>
      <c r="KCA15">
        <f ca="1"/>
        <v>0</v>
      </c>
      <c r="KCB15">
        <f ca="1"/>
        <v>0</v>
      </c>
      <c r="KCC15">
        <f ca="1"/>
        <v>0</v>
      </c>
      <c r="KCD15">
        <f ca="1"/>
        <v>0</v>
      </c>
      <c r="KCE15">
        <f ca="1"/>
        <v>0</v>
      </c>
      <c r="KCF15">
        <f ca="1"/>
        <v>0</v>
      </c>
      <c r="KCG15">
        <f ca="1"/>
        <v>0</v>
      </c>
      <c r="KCH15">
        <f ca="1"/>
        <v>0</v>
      </c>
      <c r="KCI15">
        <f ca="1"/>
        <v>0</v>
      </c>
      <c r="KCJ15">
        <f ca="1"/>
        <v>0</v>
      </c>
      <c r="KCK15">
        <f ca="1"/>
        <v>0</v>
      </c>
      <c r="KCL15">
        <f ca="1"/>
        <v>0</v>
      </c>
      <c r="KCM15">
        <f ca="1"/>
        <v>0</v>
      </c>
      <c r="KCN15">
        <f ca="1"/>
        <v>0</v>
      </c>
      <c r="KCO15">
        <f ca="1"/>
        <v>0</v>
      </c>
      <c r="KCP15">
        <f ca="1"/>
        <v>0</v>
      </c>
      <c r="KCQ15">
        <f ca="1"/>
        <v>0</v>
      </c>
      <c r="KCR15">
        <f ca="1"/>
        <v>0</v>
      </c>
      <c r="KCS15">
        <f ca="1"/>
        <v>0</v>
      </c>
      <c r="KCT15">
        <f ca="1"/>
        <v>0</v>
      </c>
      <c r="KCU15">
        <f ca="1"/>
        <v>0</v>
      </c>
      <c r="KCV15">
        <f ca="1"/>
        <v>0</v>
      </c>
      <c r="KCW15">
        <f ca="1"/>
        <v>0</v>
      </c>
      <c r="KCX15">
        <f ca="1"/>
        <v>0</v>
      </c>
      <c r="KCY15">
        <f ca="1"/>
        <v>0</v>
      </c>
      <c r="KCZ15">
        <f ca="1"/>
        <v>0</v>
      </c>
      <c r="KDA15">
        <f ca="1"/>
        <v>0</v>
      </c>
      <c r="KDB15">
        <f ca="1"/>
        <v>0</v>
      </c>
      <c r="KDC15">
        <f ca="1"/>
        <v>0</v>
      </c>
      <c r="KDD15">
        <f ca="1"/>
        <v>0</v>
      </c>
      <c r="KDE15">
        <f ca="1"/>
        <v>0</v>
      </c>
      <c r="KDF15">
        <f ca="1"/>
        <v>0</v>
      </c>
      <c r="KDG15">
        <f ca="1"/>
        <v>0</v>
      </c>
      <c r="KDH15">
        <f ca="1"/>
        <v>0</v>
      </c>
      <c r="KDI15">
        <f ca="1"/>
        <v>0</v>
      </c>
      <c r="KDJ15">
        <f ca="1"/>
        <v>0</v>
      </c>
      <c r="KDK15">
        <f ca="1"/>
        <v>0</v>
      </c>
      <c r="KDL15">
        <f ca="1"/>
        <v>0</v>
      </c>
      <c r="KDM15">
        <f ca="1"/>
        <v>0</v>
      </c>
      <c r="KDN15">
        <f ca="1"/>
        <v>0</v>
      </c>
      <c r="KDO15">
        <f ca="1"/>
        <v>0</v>
      </c>
      <c r="KDP15">
        <f ca="1"/>
        <v>0</v>
      </c>
      <c r="KDQ15">
        <f ca="1"/>
        <v>0</v>
      </c>
      <c r="KDR15">
        <f ca="1"/>
        <v>0</v>
      </c>
      <c r="KDS15">
        <f ca="1"/>
        <v>0</v>
      </c>
      <c r="KDT15">
        <f ca="1"/>
        <v>0</v>
      </c>
      <c r="KDU15">
        <f ca="1"/>
        <v>0</v>
      </c>
      <c r="KDV15">
        <f ca="1"/>
        <v>0</v>
      </c>
      <c r="KDW15">
        <f ca="1"/>
        <v>0</v>
      </c>
      <c r="KDX15">
        <f ca="1"/>
        <v>0</v>
      </c>
      <c r="KDY15">
        <f ca="1"/>
        <v>0</v>
      </c>
      <c r="KDZ15">
        <f ca="1"/>
        <v>0</v>
      </c>
      <c r="KEA15">
        <f ca="1"/>
        <v>0</v>
      </c>
      <c r="KEB15">
        <f ca="1"/>
        <v>0</v>
      </c>
      <c r="KEC15">
        <f ca="1"/>
        <v>0</v>
      </c>
      <c r="KED15">
        <f ca="1"/>
        <v>0</v>
      </c>
      <c r="KEE15">
        <f ca="1"/>
        <v>0</v>
      </c>
      <c r="KEF15">
        <f ca="1"/>
        <v>0</v>
      </c>
      <c r="KEG15">
        <f ca="1"/>
        <v>0</v>
      </c>
      <c r="KEH15">
        <f ca="1"/>
        <v>0</v>
      </c>
      <c r="KEI15">
        <f ca="1"/>
        <v>0</v>
      </c>
      <c r="KEJ15">
        <f ca="1"/>
        <v>0</v>
      </c>
      <c r="KEK15">
        <f ca="1"/>
        <v>0</v>
      </c>
      <c r="KEL15">
        <f ca="1"/>
        <v>0</v>
      </c>
      <c r="KEM15">
        <f ca="1"/>
        <v>0</v>
      </c>
      <c r="KEN15">
        <f ca="1"/>
        <v>0</v>
      </c>
      <c r="KEO15">
        <f ca="1"/>
        <v>0</v>
      </c>
      <c r="KEP15">
        <f ca="1"/>
        <v>0</v>
      </c>
      <c r="KEQ15">
        <f ca="1"/>
        <v>0</v>
      </c>
      <c r="KER15">
        <f ca="1"/>
        <v>0</v>
      </c>
      <c r="KES15">
        <f ca="1"/>
        <v>0</v>
      </c>
      <c r="KET15">
        <f ca="1"/>
        <v>0</v>
      </c>
      <c r="KEU15">
        <f ca="1"/>
        <v>0</v>
      </c>
      <c r="KEV15">
        <f ca="1"/>
        <v>0</v>
      </c>
      <c r="KEW15">
        <f ca="1"/>
        <v>0</v>
      </c>
      <c r="KEX15">
        <f ca="1"/>
        <v>0</v>
      </c>
      <c r="KEY15">
        <f ca="1"/>
        <v>0</v>
      </c>
      <c r="KEZ15">
        <f ca="1"/>
        <v>0</v>
      </c>
      <c r="KFA15">
        <f ca="1"/>
        <v>0</v>
      </c>
      <c r="KFB15">
        <f ca="1"/>
        <v>0</v>
      </c>
      <c r="KFC15">
        <f ca="1"/>
        <v>0</v>
      </c>
      <c r="KFD15">
        <f ca="1"/>
        <v>0</v>
      </c>
      <c r="KFE15">
        <f ca="1"/>
        <v>0</v>
      </c>
      <c r="KFF15">
        <f ca="1"/>
        <v>0</v>
      </c>
      <c r="KFG15">
        <f ca="1"/>
        <v>0</v>
      </c>
      <c r="KFH15">
        <f ca="1"/>
        <v>0</v>
      </c>
      <c r="KFI15">
        <f ca="1"/>
        <v>0</v>
      </c>
      <c r="KFJ15">
        <f ca="1"/>
        <v>0</v>
      </c>
      <c r="KFK15">
        <f ca="1"/>
        <v>0</v>
      </c>
      <c r="KFL15">
        <f ca="1"/>
        <v>0</v>
      </c>
      <c r="KFM15">
        <f ca="1"/>
        <v>0</v>
      </c>
      <c r="KFN15">
        <f ca="1"/>
        <v>0</v>
      </c>
      <c r="KFO15">
        <f ca="1"/>
        <v>0</v>
      </c>
      <c r="KFP15">
        <f ca="1"/>
        <v>0</v>
      </c>
      <c r="KFQ15">
        <f ca="1"/>
        <v>0</v>
      </c>
      <c r="KFR15">
        <f ca="1"/>
        <v>0</v>
      </c>
      <c r="KFS15">
        <f ca="1"/>
        <v>0</v>
      </c>
      <c r="KFT15">
        <f ca="1"/>
        <v>0</v>
      </c>
      <c r="KFU15">
        <f ca="1"/>
        <v>0</v>
      </c>
      <c r="KFV15">
        <f ca="1"/>
        <v>0</v>
      </c>
      <c r="KFW15">
        <f ca="1"/>
        <v>0</v>
      </c>
      <c r="KFX15">
        <f ca="1"/>
        <v>0</v>
      </c>
      <c r="KFY15">
        <f ca="1"/>
        <v>0</v>
      </c>
      <c r="KFZ15">
        <f ca="1"/>
        <v>0</v>
      </c>
      <c r="KGA15">
        <f ca="1"/>
        <v>0</v>
      </c>
      <c r="KGB15">
        <f ca="1"/>
        <v>0</v>
      </c>
      <c r="KGC15">
        <f ca="1"/>
        <v>0</v>
      </c>
      <c r="KGD15">
        <f ca="1"/>
        <v>0</v>
      </c>
      <c r="KGE15">
        <f ca="1"/>
        <v>0</v>
      </c>
      <c r="KGF15">
        <f ca="1"/>
        <v>0</v>
      </c>
      <c r="KGG15">
        <f ca="1"/>
        <v>0</v>
      </c>
      <c r="KGH15">
        <f ca="1"/>
        <v>0</v>
      </c>
      <c r="KGI15">
        <f ca="1"/>
        <v>0</v>
      </c>
      <c r="KGJ15">
        <f ca="1"/>
        <v>0</v>
      </c>
      <c r="KGK15">
        <f ca="1"/>
        <v>0</v>
      </c>
      <c r="KGL15">
        <f ca="1"/>
        <v>0</v>
      </c>
      <c r="KGM15">
        <f ca="1"/>
        <v>0</v>
      </c>
      <c r="KGN15">
        <f ca="1"/>
        <v>0</v>
      </c>
      <c r="KGO15">
        <f ca="1"/>
        <v>0</v>
      </c>
      <c r="KGP15">
        <f ca="1"/>
        <v>0</v>
      </c>
      <c r="KGQ15">
        <f ca="1"/>
        <v>0</v>
      </c>
      <c r="KGR15">
        <f ca="1"/>
        <v>0</v>
      </c>
      <c r="KGS15">
        <f ca="1"/>
        <v>0</v>
      </c>
      <c r="KGT15">
        <f ca="1"/>
        <v>0</v>
      </c>
      <c r="KGU15">
        <f ca="1"/>
        <v>0</v>
      </c>
      <c r="KGV15">
        <f ca="1"/>
        <v>0</v>
      </c>
      <c r="KGW15">
        <f ca="1"/>
        <v>0</v>
      </c>
      <c r="KGX15">
        <f ca="1"/>
        <v>0</v>
      </c>
      <c r="KGY15">
        <f ca="1"/>
        <v>0</v>
      </c>
      <c r="KGZ15">
        <f ca="1"/>
        <v>0</v>
      </c>
      <c r="KHA15">
        <f ca="1"/>
        <v>0</v>
      </c>
      <c r="KHB15">
        <f ca="1"/>
        <v>0</v>
      </c>
      <c r="KHC15">
        <f ca="1"/>
        <v>0</v>
      </c>
      <c r="KHD15">
        <f ca="1"/>
        <v>0</v>
      </c>
      <c r="KHE15">
        <f ca="1"/>
        <v>0</v>
      </c>
      <c r="KHF15">
        <f ca="1"/>
        <v>0</v>
      </c>
      <c r="KHG15">
        <f ca="1"/>
        <v>0</v>
      </c>
      <c r="KHH15">
        <f ca="1"/>
        <v>0</v>
      </c>
      <c r="KHI15">
        <f ca="1"/>
        <v>0</v>
      </c>
      <c r="KHJ15">
        <f ca="1"/>
        <v>0</v>
      </c>
      <c r="KHK15">
        <f ca="1"/>
        <v>0</v>
      </c>
      <c r="KHL15">
        <f ca="1"/>
        <v>0</v>
      </c>
      <c r="KHM15">
        <f ca="1"/>
        <v>0</v>
      </c>
      <c r="KHN15">
        <f ca="1"/>
        <v>0</v>
      </c>
      <c r="KHO15">
        <f ca="1"/>
        <v>0</v>
      </c>
      <c r="KHP15">
        <f ca="1"/>
        <v>0</v>
      </c>
      <c r="KHQ15">
        <f ca="1"/>
        <v>0</v>
      </c>
      <c r="KHR15">
        <f ca="1"/>
        <v>0</v>
      </c>
      <c r="KHS15">
        <f ca="1"/>
        <v>0</v>
      </c>
      <c r="KHT15">
        <f ca="1"/>
        <v>0</v>
      </c>
      <c r="KHU15">
        <f ca="1"/>
        <v>0</v>
      </c>
      <c r="KHV15">
        <f ca="1"/>
        <v>0</v>
      </c>
      <c r="KHW15">
        <f ca="1"/>
        <v>0</v>
      </c>
      <c r="KHX15">
        <f ca="1"/>
        <v>0</v>
      </c>
      <c r="KHY15">
        <f ca="1"/>
        <v>0</v>
      </c>
      <c r="KHZ15">
        <f ca="1"/>
        <v>0</v>
      </c>
      <c r="KIA15">
        <f ca="1"/>
        <v>0</v>
      </c>
      <c r="KIB15">
        <f ca="1"/>
        <v>0</v>
      </c>
      <c r="KIC15">
        <f ca="1"/>
        <v>0</v>
      </c>
      <c r="KID15">
        <f ca="1"/>
        <v>0</v>
      </c>
      <c r="KIE15">
        <f ca="1"/>
        <v>0</v>
      </c>
      <c r="KIF15">
        <f ca="1"/>
        <v>0</v>
      </c>
      <c r="KIG15">
        <f ca="1"/>
        <v>0</v>
      </c>
      <c r="KIH15">
        <f ca="1"/>
        <v>0</v>
      </c>
      <c r="KII15">
        <f ca="1"/>
        <v>0</v>
      </c>
      <c r="KIJ15">
        <f ca="1"/>
        <v>0</v>
      </c>
      <c r="KIK15">
        <f ca="1"/>
        <v>0</v>
      </c>
      <c r="KIL15">
        <f ca="1"/>
        <v>0</v>
      </c>
      <c r="KIM15">
        <f ca="1"/>
        <v>0</v>
      </c>
      <c r="KIN15">
        <f ca="1"/>
        <v>0</v>
      </c>
      <c r="KIO15">
        <f ca="1"/>
        <v>0</v>
      </c>
      <c r="KIP15">
        <f ca="1"/>
        <v>0</v>
      </c>
      <c r="KIQ15">
        <f ca="1"/>
        <v>0</v>
      </c>
      <c r="KIR15">
        <f ca="1"/>
        <v>0</v>
      </c>
      <c r="KIS15">
        <f ca="1"/>
        <v>0</v>
      </c>
      <c r="KIT15">
        <f ca="1"/>
        <v>0</v>
      </c>
      <c r="KIU15">
        <f ca="1"/>
        <v>0</v>
      </c>
      <c r="KIV15">
        <f ca="1"/>
        <v>0</v>
      </c>
      <c r="KIW15">
        <f ca="1"/>
        <v>0</v>
      </c>
      <c r="KIX15">
        <f ca="1"/>
        <v>0</v>
      </c>
      <c r="KIY15">
        <f ca="1"/>
        <v>0</v>
      </c>
      <c r="KIZ15">
        <f ca="1"/>
        <v>0</v>
      </c>
      <c r="KJA15">
        <f ca="1"/>
        <v>0</v>
      </c>
      <c r="KJB15">
        <f ca="1"/>
        <v>0</v>
      </c>
      <c r="KJC15">
        <f ca="1"/>
        <v>0</v>
      </c>
      <c r="KJD15">
        <f ca="1"/>
        <v>0</v>
      </c>
      <c r="KJE15">
        <f ca="1"/>
        <v>0</v>
      </c>
      <c r="KJF15">
        <f ca="1"/>
        <v>0</v>
      </c>
      <c r="KJG15">
        <f ca="1"/>
        <v>0</v>
      </c>
      <c r="KJH15">
        <f ca="1"/>
        <v>0</v>
      </c>
      <c r="KJI15">
        <f ca="1"/>
        <v>0</v>
      </c>
      <c r="KJJ15">
        <f ca="1"/>
        <v>0</v>
      </c>
      <c r="KJK15">
        <f ca="1"/>
        <v>0</v>
      </c>
      <c r="KJL15">
        <f ca="1"/>
        <v>0</v>
      </c>
      <c r="KJM15">
        <f ca="1"/>
        <v>0</v>
      </c>
      <c r="KJN15">
        <f ca="1"/>
        <v>0</v>
      </c>
      <c r="KJO15">
        <f ca="1"/>
        <v>0</v>
      </c>
      <c r="KJP15">
        <f ca="1"/>
        <v>0</v>
      </c>
      <c r="KJQ15">
        <f ca="1"/>
        <v>0</v>
      </c>
      <c r="KJR15">
        <f ca="1"/>
        <v>0</v>
      </c>
      <c r="KJS15">
        <f ca="1"/>
        <v>0</v>
      </c>
      <c r="KJT15">
        <f ca="1"/>
        <v>0</v>
      </c>
      <c r="KJU15">
        <f ca="1"/>
        <v>0</v>
      </c>
      <c r="KJV15">
        <f ca="1"/>
        <v>0</v>
      </c>
      <c r="KJW15">
        <f ca="1"/>
        <v>0</v>
      </c>
      <c r="KJX15">
        <f ca="1"/>
        <v>0</v>
      </c>
      <c r="KJY15">
        <f ca="1"/>
        <v>0</v>
      </c>
      <c r="KJZ15">
        <f ca="1"/>
        <v>0</v>
      </c>
      <c r="KKA15">
        <f ca="1"/>
        <v>0</v>
      </c>
      <c r="KKB15">
        <f ca="1"/>
        <v>0</v>
      </c>
      <c r="KKC15">
        <f ca="1"/>
        <v>0</v>
      </c>
      <c r="KKD15">
        <f ca="1"/>
        <v>0</v>
      </c>
      <c r="KKE15">
        <f ca="1"/>
        <v>0</v>
      </c>
      <c r="KKF15">
        <f ca="1"/>
        <v>0</v>
      </c>
      <c r="KKG15">
        <f ca="1"/>
        <v>0</v>
      </c>
      <c r="KKH15">
        <f ca="1"/>
        <v>0</v>
      </c>
      <c r="KKI15">
        <f ca="1"/>
        <v>0</v>
      </c>
      <c r="KKJ15">
        <f ca="1"/>
        <v>0</v>
      </c>
      <c r="KKK15">
        <f ca="1"/>
        <v>0</v>
      </c>
      <c r="KKL15">
        <f ca="1"/>
        <v>0</v>
      </c>
      <c r="KKM15">
        <f ca="1"/>
        <v>0</v>
      </c>
      <c r="KKN15">
        <f ca="1"/>
        <v>0</v>
      </c>
      <c r="KKO15">
        <f ca="1"/>
        <v>0</v>
      </c>
      <c r="KKP15">
        <f ca="1"/>
        <v>0</v>
      </c>
      <c r="KKQ15">
        <f ca="1"/>
        <v>0</v>
      </c>
      <c r="KKR15">
        <f ca="1"/>
        <v>0</v>
      </c>
      <c r="KKS15">
        <f ca="1"/>
        <v>0</v>
      </c>
      <c r="KKT15">
        <f ca="1"/>
        <v>0</v>
      </c>
      <c r="KKU15">
        <f ca="1"/>
        <v>0</v>
      </c>
      <c r="KKV15">
        <f ca="1"/>
        <v>0</v>
      </c>
      <c r="KKW15">
        <f ca="1"/>
        <v>0</v>
      </c>
      <c r="KKX15">
        <f ca="1"/>
        <v>0</v>
      </c>
      <c r="KKY15">
        <f ca="1"/>
        <v>0</v>
      </c>
      <c r="KKZ15">
        <f ca="1"/>
        <v>0</v>
      </c>
      <c r="KLA15">
        <f ca="1"/>
        <v>0</v>
      </c>
      <c r="KLB15">
        <f ca="1"/>
        <v>0</v>
      </c>
      <c r="KLC15">
        <f ca="1"/>
        <v>0</v>
      </c>
      <c r="KLD15">
        <f ca="1"/>
        <v>0</v>
      </c>
      <c r="KLE15">
        <f ca="1"/>
        <v>0</v>
      </c>
      <c r="KLF15">
        <f ca="1"/>
        <v>0</v>
      </c>
      <c r="KLG15">
        <f ca="1"/>
        <v>0</v>
      </c>
      <c r="KLH15">
        <f ca="1"/>
        <v>0</v>
      </c>
      <c r="KLI15">
        <f ca="1"/>
        <v>0</v>
      </c>
      <c r="KLJ15">
        <f ca="1"/>
        <v>0</v>
      </c>
      <c r="KLK15">
        <f ca="1"/>
        <v>0</v>
      </c>
      <c r="KLL15">
        <f ca="1"/>
        <v>0</v>
      </c>
      <c r="KLM15">
        <f ca="1"/>
        <v>0</v>
      </c>
      <c r="KLN15">
        <f ca="1"/>
        <v>0</v>
      </c>
      <c r="KLO15">
        <f ca="1"/>
        <v>0</v>
      </c>
      <c r="KLP15">
        <f ca="1"/>
        <v>0</v>
      </c>
      <c r="KLQ15">
        <f ca="1"/>
        <v>0</v>
      </c>
      <c r="KLR15">
        <f ca="1"/>
        <v>0</v>
      </c>
      <c r="KLS15">
        <f ca="1"/>
        <v>0</v>
      </c>
      <c r="KLT15">
        <f ca="1"/>
        <v>0</v>
      </c>
      <c r="KLU15">
        <f ca="1"/>
        <v>0</v>
      </c>
      <c r="KLV15">
        <f ca="1"/>
        <v>0</v>
      </c>
      <c r="KLW15">
        <f ca="1"/>
        <v>0</v>
      </c>
      <c r="KLX15">
        <f ca="1"/>
        <v>0</v>
      </c>
      <c r="KLY15">
        <f ca="1"/>
        <v>0</v>
      </c>
      <c r="KLZ15">
        <f ca="1"/>
        <v>0</v>
      </c>
      <c r="KMA15">
        <f ca="1"/>
        <v>0</v>
      </c>
      <c r="KMB15">
        <f ca="1"/>
        <v>0</v>
      </c>
      <c r="KMC15">
        <f ca="1"/>
        <v>0</v>
      </c>
      <c r="KMD15">
        <f ca="1"/>
        <v>0</v>
      </c>
      <c r="KME15">
        <f ca="1"/>
        <v>0</v>
      </c>
      <c r="KMF15">
        <f ca="1"/>
        <v>0</v>
      </c>
      <c r="KMG15">
        <f ca="1"/>
        <v>0</v>
      </c>
      <c r="KMH15">
        <f ca="1"/>
        <v>0</v>
      </c>
      <c r="KMI15">
        <f ca="1"/>
        <v>0</v>
      </c>
      <c r="KMJ15">
        <f ca="1"/>
        <v>0</v>
      </c>
      <c r="KMK15">
        <f ca="1"/>
        <v>0</v>
      </c>
      <c r="KML15">
        <f ca="1"/>
        <v>0</v>
      </c>
      <c r="KMM15">
        <f ca="1"/>
        <v>0</v>
      </c>
      <c r="KMN15">
        <f ca="1"/>
        <v>0</v>
      </c>
      <c r="KMO15">
        <f ca="1"/>
        <v>0</v>
      </c>
      <c r="KMP15">
        <f ca="1"/>
        <v>0</v>
      </c>
      <c r="KMQ15">
        <f ca="1"/>
        <v>0</v>
      </c>
      <c r="KMR15">
        <f ca="1"/>
        <v>0</v>
      </c>
      <c r="KMS15">
        <f ca="1"/>
        <v>0</v>
      </c>
      <c r="KMT15">
        <f ca="1"/>
        <v>0</v>
      </c>
      <c r="KMU15">
        <f ca="1"/>
        <v>0</v>
      </c>
      <c r="KMV15">
        <f ca="1"/>
        <v>0</v>
      </c>
      <c r="KMW15">
        <f ca="1"/>
        <v>0</v>
      </c>
      <c r="KMX15">
        <f ca="1"/>
        <v>0</v>
      </c>
      <c r="KMY15">
        <f ca="1"/>
        <v>0</v>
      </c>
      <c r="KMZ15">
        <f ca="1"/>
        <v>0</v>
      </c>
      <c r="KNA15">
        <f ca="1"/>
        <v>0</v>
      </c>
      <c r="KNB15">
        <f ca="1"/>
        <v>0</v>
      </c>
      <c r="KNC15">
        <f ca="1"/>
        <v>0</v>
      </c>
      <c r="KND15">
        <f ca="1"/>
        <v>0</v>
      </c>
      <c r="KNE15">
        <f ca="1"/>
        <v>0</v>
      </c>
      <c r="KNF15">
        <f ca="1"/>
        <v>0</v>
      </c>
      <c r="KNG15">
        <f ca="1"/>
        <v>0</v>
      </c>
      <c r="KNH15">
        <f ca="1"/>
        <v>0</v>
      </c>
      <c r="KNI15">
        <f ca="1"/>
        <v>0</v>
      </c>
      <c r="KNJ15">
        <f ca="1"/>
        <v>0</v>
      </c>
      <c r="KNK15">
        <f ca="1"/>
        <v>0</v>
      </c>
      <c r="KNL15">
        <f ca="1"/>
        <v>0</v>
      </c>
      <c r="KNM15">
        <f ca="1"/>
        <v>0</v>
      </c>
      <c r="KNN15">
        <f ca="1"/>
        <v>0</v>
      </c>
      <c r="KNO15">
        <f ca="1"/>
        <v>0</v>
      </c>
      <c r="KNP15">
        <f ca="1"/>
        <v>0</v>
      </c>
      <c r="KNQ15">
        <f ca="1"/>
        <v>0</v>
      </c>
      <c r="KNR15">
        <f ca="1"/>
        <v>0</v>
      </c>
      <c r="KNS15">
        <f ca="1"/>
        <v>0</v>
      </c>
      <c r="KNT15">
        <f ca="1"/>
        <v>0</v>
      </c>
      <c r="KNU15">
        <f ca="1"/>
        <v>0</v>
      </c>
      <c r="KNV15">
        <f ca="1"/>
        <v>0</v>
      </c>
      <c r="KNW15">
        <f ca="1"/>
        <v>0</v>
      </c>
      <c r="KNX15">
        <f ca="1"/>
        <v>0</v>
      </c>
      <c r="KNY15">
        <f ca="1"/>
        <v>0</v>
      </c>
      <c r="KNZ15">
        <f ca="1"/>
        <v>0</v>
      </c>
      <c r="KOA15">
        <f ca="1"/>
        <v>0</v>
      </c>
      <c r="KOB15">
        <f ca="1"/>
        <v>0</v>
      </c>
      <c r="KOC15">
        <f ca="1"/>
        <v>0</v>
      </c>
      <c r="KOD15">
        <f ca="1"/>
        <v>0</v>
      </c>
      <c r="KOE15">
        <f ca="1"/>
        <v>0</v>
      </c>
      <c r="KOF15">
        <f ca="1"/>
        <v>0</v>
      </c>
      <c r="KOG15">
        <f ca="1"/>
        <v>0</v>
      </c>
      <c r="KOH15">
        <f ca="1"/>
        <v>0</v>
      </c>
      <c r="KOI15">
        <f ca="1"/>
        <v>0</v>
      </c>
      <c r="KOJ15">
        <f ca="1"/>
        <v>0</v>
      </c>
      <c r="KOK15">
        <f ca="1"/>
        <v>0</v>
      </c>
      <c r="KOL15">
        <f ca="1"/>
        <v>0</v>
      </c>
      <c r="KOM15">
        <f ca="1"/>
        <v>0</v>
      </c>
      <c r="KON15">
        <f ca="1"/>
        <v>0</v>
      </c>
      <c r="KOO15">
        <f ca="1"/>
        <v>0</v>
      </c>
      <c r="KOP15">
        <f ca="1"/>
        <v>0</v>
      </c>
      <c r="KOQ15">
        <f ca="1"/>
        <v>0</v>
      </c>
      <c r="KOR15">
        <f ca="1"/>
        <v>0</v>
      </c>
      <c r="KOS15">
        <f ca="1"/>
        <v>0</v>
      </c>
      <c r="KOT15">
        <f ca="1"/>
        <v>0</v>
      </c>
      <c r="KOU15">
        <f ca="1"/>
        <v>0</v>
      </c>
      <c r="KOV15">
        <f ca="1"/>
        <v>0</v>
      </c>
      <c r="KOW15">
        <f ca="1"/>
        <v>0</v>
      </c>
      <c r="KOX15">
        <f ca="1"/>
        <v>0</v>
      </c>
      <c r="KOY15">
        <f ca="1"/>
        <v>0</v>
      </c>
      <c r="KOZ15">
        <f ca="1"/>
        <v>0</v>
      </c>
      <c r="KPA15">
        <f ca="1"/>
        <v>0</v>
      </c>
      <c r="KPB15">
        <f ca="1"/>
        <v>0</v>
      </c>
      <c r="KPC15">
        <f ca="1"/>
        <v>0</v>
      </c>
      <c r="KPD15">
        <f ca="1"/>
        <v>0</v>
      </c>
      <c r="KPE15">
        <f ca="1"/>
        <v>0</v>
      </c>
      <c r="KPF15">
        <f ca="1"/>
        <v>0</v>
      </c>
      <c r="KPG15">
        <f ca="1"/>
        <v>0</v>
      </c>
      <c r="KPH15">
        <f ca="1"/>
        <v>0</v>
      </c>
      <c r="KPI15">
        <f ca="1"/>
        <v>0</v>
      </c>
      <c r="KPJ15">
        <f ca="1"/>
        <v>0</v>
      </c>
      <c r="KPK15">
        <f ca="1"/>
        <v>0</v>
      </c>
      <c r="KPL15">
        <f ca="1"/>
        <v>0</v>
      </c>
      <c r="KPM15">
        <f ca="1"/>
        <v>0</v>
      </c>
      <c r="KPN15">
        <f ca="1"/>
        <v>0</v>
      </c>
      <c r="KPO15">
        <f ca="1"/>
        <v>0</v>
      </c>
      <c r="KPP15">
        <f ca="1"/>
        <v>0</v>
      </c>
      <c r="KPQ15">
        <f ca="1"/>
        <v>0</v>
      </c>
      <c r="KPR15">
        <f ca="1"/>
        <v>0</v>
      </c>
      <c r="KPS15">
        <f ca="1"/>
        <v>0</v>
      </c>
      <c r="KPT15">
        <f ca="1"/>
        <v>0</v>
      </c>
      <c r="KPU15">
        <f ca="1"/>
        <v>0</v>
      </c>
      <c r="KPV15">
        <f ca="1"/>
        <v>0</v>
      </c>
      <c r="KPW15">
        <f ca="1"/>
        <v>0</v>
      </c>
      <c r="KPX15">
        <f ca="1"/>
        <v>0</v>
      </c>
      <c r="KPY15">
        <f ca="1"/>
        <v>0</v>
      </c>
      <c r="KPZ15">
        <f ca="1"/>
        <v>0</v>
      </c>
      <c r="KQA15">
        <f ca="1"/>
        <v>0</v>
      </c>
      <c r="KQB15">
        <f ca="1"/>
        <v>0</v>
      </c>
      <c r="KQC15">
        <f ca="1"/>
        <v>0</v>
      </c>
      <c r="KQD15">
        <f ca="1"/>
        <v>0</v>
      </c>
      <c r="KQE15">
        <f ca="1"/>
        <v>0</v>
      </c>
      <c r="KQF15">
        <f ca="1"/>
        <v>0</v>
      </c>
      <c r="KQG15">
        <f ca="1"/>
        <v>0</v>
      </c>
      <c r="KQH15">
        <f ca="1"/>
        <v>0</v>
      </c>
      <c r="KQI15">
        <f ca="1"/>
        <v>0</v>
      </c>
      <c r="KQJ15">
        <f ca="1"/>
        <v>0</v>
      </c>
      <c r="KQK15">
        <f ca="1"/>
        <v>0</v>
      </c>
      <c r="KQL15">
        <f ca="1"/>
        <v>0</v>
      </c>
      <c r="KQM15">
        <f ca="1"/>
        <v>0</v>
      </c>
      <c r="KQN15">
        <f ca="1"/>
        <v>0</v>
      </c>
      <c r="KQO15">
        <f ca="1"/>
        <v>0</v>
      </c>
      <c r="KQP15">
        <f ca="1"/>
        <v>0</v>
      </c>
      <c r="KQQ15">
        <f ca="1"/>
        <v>0</v>
      </c>
      <c r="KQR15">
        <f ca="1"/>
        <v>0</v>
      </c>
      <c r="KQS15">
        <f ca="1"/>
        <v>0</v>
      </c>
      <c r="KQT15">
        <f ca="1"/>
        <v>0</v>
      </c>
      <c r="KQU15">
        <f ca="1"/>
        <v>0</v>
      </c>
      <c r="KQV15">
        <f ca="1"/>
        <v>0</v>
      </c>
      <c r="KQW15">
        <f ca="1"/>
        <v>0</v>
      </c>
      <c r="KQX15">
        <f ca="1"/>
        <v>0</v>
      </c>
      <c r="KQY15">
        <f ca="1"/>
        <v>0</v>
      </c>
      <c r="KQZ15">
        <f ca="1"/>
        <v>0</v>
      </c>
      <c r="KRA15">
        <f ca="1"/>
        <v>0</v>
      </c>
      <c r="KRB15">
        <f ca="1"/>
        <v>0</v>
      </c>
      <c r="KRC15">
        <f ca="1"/>
        <v>0</v>
      </c>
      <c r="KRD15">
        <f ca="1"/>
        <v>0</v>
      </c>
      <c r="KRE15">
        <f ca="1"/>
        <v>0</v>
      </c>
      <c r="KRF15">
        <f ca="1"/>
        <v>0</v>
      </c>
      <c r="KRG15">
        <f ca="1"/>
        <v>0</v>
      </c>
      <c r="KRH15">
        <f ca="1"/>
        <v>0</v>
      </c>
      <c r="KRI15">
        <f ca="1"/>
        <v>0</v>
      </c>
      <c r="KRJ15">
        <f ca="1"/>
        <v>0</v>
      </c>
      <c r="KRK15">
        <f ca="1"/>
        <v>0</v>
      </c>
      <c r="KRL15">
        <f ca="1"/>
        <v>0</v>
      </c>
      <c r="KRM15">
        <f ca="1"/>
        <v>0</v>
      </c>
      <c r="KRN15">
        <f ca="1"/>
        <v>0</v>
      </c>
      <c r="KRO15">
        <f ca="1"/>
        <v>0</v>
      </c>
      <c r="KRP15">
        <f ca="1"/>
        <v>0</v>
      </c>
      <c r="KRQ15">
        <f ca="1"/>
        <v>0</v>
      </c>
      <c r="KRR15">
        <f ca="1"/>
        <v>0</v>
      </c>
      <c r="KRS15">
        <f ca="1"/>
        <v>0</v>
      </c>
      <c r="KRT15">
        <f ca="1"/>
        <v>0</v>
      </c>
      <c r="KRU15">
        <f ca="1"/>
        <v>0</v>
      </c>
      <c r="KRV15">
        <f ca="1"/>
        <v>0</v>
      </c>
      <c r="KRW15">
        <f ca="1"/>
        <v>0</v>
      </c>
      <c r="KRX15">
        <f ca="1"/>
        <v>0</v>
      </c>
      <c r="KRY15">
        <f ca="1"/>
        <v>0</v>
      </c>
      <c r="KRZ15">
        <f ca="1"/>
        <v>0</v>
      </c>
      <c r="KSA15">
        <f ca="1"/>
        <v>0</v>
      </c>
      <c r="KSB15">
        <f ca="1"/>
        <v>0</v>
      </c>
      <c r="KSC15">
        <f ca="1"/>
        <v>0</v>
      </c>
      <c r="KSD15">
        <f ca="1"/>
        <v>0</v>
      </c>
      <c r="KSE15">
        <f ca="1"/>
        <v>0</v>
      </c>
      <c r="KSF15">
        <f ca="1"/>
        <v>0</v>
      </c>
      <c r="KSG15">
        <f ca="1"/>
        <v>0</v>
      </c>
      <c r="KSH15">
        <f ca="1"/>
        <v>0</v>
      </c>
      <c r="KSI15">
        <f ca="1"/>
        <v>0</v>
      </c>
      <c r="KSJ15">
        <f ca="1"/>
        <v>0</v>
      </c>
      <c r="KSK15">
        <f ca="1"/>
        <v>0</v>
      </c>
      <c r="KSL15">
        <f ca="1"/>
        <v>0</v>
      </c>
      <c r="KSM15">
        <f ca="1"/>
        <v>0</v>
      </c>
      <c r="KSN15">
        <f ca="1"/>
        <v>0</v>
      </c>
      <c r="KSO15">
        <f ca="1"/>
        <v>0</v>
      </c>
      <c r="KSP15">
        <f ca="1"/>
        <v>0</v>
      </c>
      <c r="KSQ15">
        <f ca="1"/>
        <v>0</v>
      </c>
      <c r="KSR15">
        <f ca="1"/>
        <v>0</v>
      </c>
      <c r="KSS15">
        <f ca="1"/>
        <v>0</v>
      </c>
      <c r="KST15">
        <f ca="1"/>
        <v>0</v>
      </c>
      <c r="KSU15">
        <f ca="1"/>
        <v>0</v>
      </c>
      <c r="KSV15">
        <f ca="1"/>
        <v>0</v>
      </c>
      <c r="KSW15">
        <f ca="1"/>
        <v>0</v>
      </c>
      <c r="KSX15">
        <f ca="1"/>
        <v>0</v>
      </c>
      <c r="KSY15">
        <f ca="1"/>
        <v>0</v>
      </c>
      <c r="KSZ15">
        <f ca="1"/>
        <v>0</v>
      </c>
      <c r="KTA15">
        <f ca="1"/>
        <v>0</v>
      </c>
      <c r="KTB15">
        <f ca="1"/>
        <v>0</v>
      </c>
      <c r="KTC15">
        <f ca="1"/>
        <v>0</v>
      </c>
      <c r="KTD15">
        <f ca="1"/>
        <v>0</v>
      </c>
      <c r="KTE15">
        <f ca="1"/>
        <v>0</v>
      </c>
      <c r="KTF15">
        <f ca="1"/>
        <v>0</v>
      </c>
      <c r="KTG15">
        <f ca="1"/>
        <v>0</v>
      </c>
      <c r="KTH15">
        <f ca="1"/>
        <v>0</v>
      </c>
      <c r="KTI15">
        <f ca="1"/>
        <v>0</v>
      </c>
      <c r="KTJ15">
        <f ca="1"/>
        <v>0</v>
      </c>
      <c r="KTK15">
        <f ca="1"/>
        <v>0</v>
      </c>
      <c r="KTL15">
        <f ca="1"/>
        <v>0</v>
      </c>
      <c r="KTM15">
        <f ca="1"/>
        <v>0</v>
      </c>
      <c r="KTN15">
        <f ca="1"/>
        <v>0</v>
      </c>
      <c r="KTO15">
        <f ca="1"/>
        <v>0</v>
      </c>
      <c r="KTP15">
        <f ca="1"/>
        <v>0</v>
      </c>
      <c r="KTQ15">
        <f ca="1"/>
        <v>0</v>
      </c>
      <c r="KTR15">
        <f ca="1"/>
        <v>0</v>
      </c>
      <c r="KTS15">
        <f ca="1"/>
        <v>0</v>
      </c>
      <c r="KTT15">
        <f ca="1"/>
        <v>0</v>
      </c>
      <c r="KTU15">
        <f ca="1"/>
        <v>0</v>
      </c>
      <c r="KTV15">
        <f ca="1"/>
        <v>0</v>
      </c>
      <c r="KTW15">
        <f ca="1"/>
        <v>0</v>
      </c>
      <c r="KTX15">
        <f ca="1"/>
        <v>0</v>
      </c>
      <c r="KTY15">
        <f ca="1"/>
        <v>0</v>
      </c>
      <c r="KTZ15">
        <f ca="1"/>
        <v>0</v>
      </c>
      <c r="KUA15">
        <f ca="1"/>
        <v>0</v>
      </c>
      <c r="KUB15">
        <f ca="1"/>
        <v>0</v>
      </c>
      <c r="KUC15">
        <f ca="1"/>
        <v>0</v>
      </c>
      <c r="KUD15">
        <f ca="1"/>
        <v>0</v>
      </c>
      <c r="KUE15">
        <f ca="1"/>
        <v>0</v>
      </c>
      <c r="KUF15">
        <f ca="1"/>
        <v>0</v>
      </c>
      <c r="KUG15">
        <f ca="1"/>
        <v>0</v>
      </c>
      <c r="KUH15">
        <f ca="1"/>
        <v>0</v>
      </c>
      <c r="KUI15">
        <f ca="1"/>
        <v>0</v>
      </c>
      <c r="KUJ15">
        <f ca="1"/>
        <v>0</v>
      </c>
      <c r="KUK15">
        <f ca="1"/>
        <v>0</v>
      </c>
      <c r="KUL15">
        <f ca="1"/>
        <v>0</v>
      </c>
      <c r="KUM15">
        <f ca="1"/>
        <v>0</v>
      </c>
      <c r="KUN15">
        <f ca="1"/>
        <v>0</v>
      </c>
      <c r="KUO15">
        <f ca="1"/>
        <v>0</v>
      </c>
      <c r="KUP15">
        <f ca="1"/>
        <v>0</v>
      </c>
      <c r="KUQ15">
        <f ca="1"/>
        <v>0</v>
      </c>
      <c r="KUR15">
        <f ca="1"/>
        <v>0</v>
      </c>
      <c r="KUS15">
        <f ca="1"/>
        <v>0</v>
      </c>
      <c r="KUT15">
        <f ca="1"/>
        <v>0</v>
      </c>
      <c r="KUU15">
        <f ca="1"/>
        <v>0</v>
      </c>
      <c r="KUV15">
        <f ca="1"/>
        <v>0</v>
      </c>
      <c r="KUW15">
        <f ca="1"/>
        <v>0</v>
      </c>
      <c r="KUX15">
        <f ca="1"/>
        <v>0</v>
      </c>
      <c r="KUY15">
        <f ca="1"/>
        <v>0</v>
      </c>
      <c r="KUZ15">
        <f ca="1"/>
        <v>0</v>
      </c>
      <c r="KVA15">
        <f ca="1"/>
        <v>0</v>
      </c>
      <c r="KVB15">
        <f ca="1"/>
        <v>0</v>
      </c>
      <c r="KVC15">
        <f ca="1"/>
        <v>0</v>
      </c>
      <c r="KVD15">
        <f ca="1"/>
        <v>0</v>
      </c>
      <c r="KVE15">
        <f ca="1"/>
        <v>0</v>
      </c>
      <c r="KVF15">
        <f ca="1"/>
        <v>0</v>
      </c>
      <c r="KVG15">
        <f ca="1"/>
        <v>0</v>
      </c>
      <c r="KVH15">
        <f ca="1"/>
        <v>0</v>
      </c>
      <c r="KVI15">
        <f ca="1"/>
        <v>0</v>
      </c>
      <c r="KVJ15">
        <f ca="1"/>
        <v>0</v>
      </c>
      <c r="KVK15">
        <f ca="1"/>
        <v>0</v>
      </c>
      <c r="KVL15">
        <f ca="1"/>
        <v>0</v>
      </c>
      <c r="KVM15">
        <f ca="1"/>
        <v>0</v>
      </c>
      <c r="KVN15">
        <f ca="1"/>
        <v>0</v>
      </c>
      <c r="KVO15">
        <f ca="1"/>
        <v>0</v>
      </c>
      <c r="KVP15">
        <f ca="1"/>
        <v>0</v>
      </c>
      <c r="KVQ15">
        <f ca="1"/>
        <v>0</v>
      </c>
      <c r="KVR15">
        <f ca="1"/>
        <v>0</v>
      </c>
      <c r="KVS15">
        <f ca="1"/>
        <v>0</v>
      </c>
      <c r="KVT15">
        <f ca="1"/>
        <v>0</v>
      </c>
      <c r="KVU15">
        <f ca="1"/>
        <v>0</v>
      </c>
      <c r="KVV15">
        <f ca="1"/>
        <v>0</v>
      </c>
      <c r="KVW15">
        <f ca="1"/>
        <v>0</v>
      </c>
      <c r="KVX15">
        <f ca="1"/>
        <v>0</v>
      </c>
      <c r="KVY15">
        <f ca="1"/>
        <v>0</v>
      </c>
      <c r="KVZ15">
        <f ca="1"/>
        <v>0</v>
      </c>
      <c r="KWA15">
        <f ca="1"/>
        <v>0</v>
      </c>
      <c r="KWB15">
        <f ca="1"/>
        <v>0</v>
      </c>
      <c r="KWC15">
        <f ca="1"/>
        <v>0</v>
      </c>
      <c r="KWD15">
        <f ca="1"/>
        <v>0</v>
      </c>
      <c r="KWE15">
        <f ca="1"/>
        <v>0</v>
      </c>
      <c r="KWF15">
        <f ca="1"/>
        <v>0</v>
      </c>
      <c r="KWG15">
        <f ca="1"/>
        <v>0</v>
      </c>
      <c r="KWH15">
        <f ca="1"/>
        <v>0</v>
      </c>
      <c r="KWI15">
        <f ca="1"/>
        <v>0</v>
      </c>
      <c r="KWJ15">
        <f ca="1"/>
        <v>0</v>
      </c>
      <c r="KWK15">
        <f ca="1"/>
        <v>0</v>
      </c>
      <c r="KWL15">
        <f ca="1"/>
        <v>0</v>
      </c>
      <c r="KWM15">
        <f ca="1"/>
        <v>0</v>
      </c>
      <c r="KWN15">
        <f ca="1"/>
        <v>0</v>
      </c>
      <c r="KWO15">
        <f ca="1"/>
        <v>0</v>
      </c>
      <c r="KWP15">
        <f ca="1"/>
        <v>0</v>
      </c>
      <c r="KWQ15">
        <f ca="1"/>
        <v>0</v>
      </c>
      <c r="KWR15">
        <f ca="1"/>
        <v>0</v>
      </c>
      <c r="KWS15">
        <f ca="1"/>
        <v>0</v>
      </c>
      <c r="KWT15">
        <f ca="1"/>
        <v>0</v>
      </c>
      <c r="KWU15">
        <f ca="1"/>
        <v>0</v>
      </c>
      <c r="KWV15">
        <f ca="1"/>
        <v>0</v>
      </c>
      <c r="KWW15">
        <f ca="1"/>
        <v>0</v>
      </c>
      <c r="KWX15">
        <f ca="1"/>
        <v>0</v>
      </c>
      <c r="KWY15">
        <f ca="1"/>
        <v>0</v>
      </c>
      <c r="KWZ15">
        <f ca="1"/>
        <v>0</v>
      </c>
      <c r="KXA15">
        <f ca="1"/>
        <v>0</v>
      </c>
      <c r="KXB15">
        <f ca="1"/>
        <v>0</v>
      </c>
      <c r="KXC15">
        <f ca="1"/>
        <v>0</v>
      </c>
      <c r="KXD15">
        <f ca="1"/>
        <v>0</v>
      </c>
      <c r="KXE15">
        <f ca="1"/>
        <v>0</v>
      </c>
      <c r="KXF15">
        <f ca="1"/>
        <v>0</v>
      </c>
      <c r="KXG15">
        <f ca="1"/>
        <v>0</v>
      </c>
      <c r="KXH15">
        <f ca="1"/>
        <v>0</v>
      </c>
      <c r="KXI15">
        <f ca="1"/>
        <v>0</v>
      </c>
      <c r="KXJ15">
        <f ca="1"/>
        <v>0</v>
      </c>
      <c r="KXK15">
        <f ca="1"/>
        <v>0</v>
      </c>
      <c r="KXL15">
        <f ca="1"/>
        <v>0</v>
      </c>
      <c r="KXM15">
        <f ca="1"/>
        <v>0</v>
      </c>
      <c r="KXN15">
        <f ca="1"/>
        <v>0</v>
      </c>
      <c r="KXO15">
        <f ca="1"/>
        <v>0</v>
      </c>
      <c r="KXP15">
        <f ca="1"/>
        <v>0</v>
      </c>
      <c r="KXQ15">
        <f ca="1"/>
        <v>0</v>
      </c>
      <c r="KXR15">
        <f ca="1"/>
        <v>0</v>
      </c>
      <c r="KXS15">
        <f ca="1"/>
        <v>0</v>
      </c>
      <c r="KXT15">
        <f ca="1"/>
        <v>0</v>
      </c>
      <c r="KXU15">
        <f ca="1"/>
        <v>0</v>
      </c>
      <c r="KXV15">
        <f ca="1"/>
        <v>0</v>
      </c>
      <c r="KXW15">
        <f ca="1"/>
        <v>0</v>
      </c>
      <c r="KXX15">
        <f ca="1"/>
        <v>0</v>
      </c>
      <c r="KXY15">
        <f ca="1"/>
        <v>0</v>
      </c>
      <c r="KXZ15">
        <f ca="1"/>
        <v>0</v>
      </c>
      <c r="KYA15">
        <f ca="1"/>
        <v>0</v>
      </c>
      <c r="KYB15">
        <f ca="1"/>
        <v>0</v>
      </c>
      <c r="KYC15">
        <f ca="1"/>
        <v>0</v>
      </c>
      <c r="KYD15">
        <f ca="1"/>
        <v>0</v>
      </c>
      <c r="KYE15">
        <f ca="1"/>
        <v>0</v>
      </c>
      <c r="KYF15">
        <f ca="1"/>
        <v>0</v>
      </c>
      <c r="KYG15">
        <f ca="1"/>
        <v>0</v>
      </c>
      <c r="KYH15">
        <f ca="1"/>
        <v>0</v>
      </c>
      <c r="KYI15">
        <f ca="1"/>
        <v>0</v>
      </c>
      <c r="KYJ15">
        <f ca="1"/>
        <v>0</v>
      </c>
      <c r="KYK15">
        <f ca="1"/>
        <v>0</v>
      </c>
      <c r="KYL15">
        <f ca="1"/>
        <v>0</v>
      </c>
      <c r="KYM15">
        <f ca="1"/>
        <v>0</v>
      </c>
      <c r="KYN15">
        <f ca="1"/>
        <v>0</v>
      </c>
      <c r="KYO15">
        <f ca="1"/>
        <v>0</v>
      </c>
      <c r="KYP15">
        <f ca="1"/>
        <v>0</v>
      </c>
      <c r="KYQ15">
        <f ca="1"/>
        <v>0</v>
      </c>
      <c r="KYR15">
        <f ca="1"/>
        <v>0</v>
      </c>
      <c r="KYS15">
        <f ca="1"/>
        <v>0</v>
      </c>
      <c r="KYT15">
        <f ca="1"/>
        <v>0</v>
      </c>
      <c r="KYU15">
        <f ca="1"/>
        <v>0</v>
      </c>
      <c r="KYV15">
        <f ca="1"/>
        <v>0</v>
      </c>
      <c r="KYW15">
        <f ca="1"/>
        <v>0</v>
      </c>
      <c r="KYX15">
        <f ca="1"/>
        <v>0</v>
      </c>
      <c r="KYY15">
        <f ca="1"/>
        <v>0</v>
      </c>
      <c r="KYZ15">
        <f ca="1"/>
        <v>0</v>
      </c>
      <c r="KZA15">
        <f ca="1"/>
        <v>0</v>
      </c>
      <c r="KZB15">
        <f ca="1"/>
        <v>0</v>
      </c>
      <c r="KZC15">
        <f ca="1"/>
        <v>0</v>
      </c>
      <c r="KZD15">
        <f ca="1"/>
        <v>0</v>
      </c>
      <c r="KZE15">
        <f ca="1"/>
        <v>0</v>
      </c>
      <c r="KZF15">
        <f ca="1"/>
        <v>0</v>
      </c>
      <c r="KZG15">
        <f ca="1"/>
        <v>0</v>
      </c>
      <c r="KZH15">
        <f ca="1"/>
        <v>0</v>
      </c>
      <c r="KZI15">
        <f ca="1"/>
        <v>0</v>
      </c>
      <c r="KZJ15">
        <f ca="1"/>
        <v>0</v>
      </c>
      <c r="KZK15">
        <f ca="1"/>
        <v>0</v>
      </c>
      <c r="KZL15">
        <f ca="1"/>
        <v>0</v>
      </c>
      <c r="KZM15">
        <f ca="1"/>
        <v>0</v>
      </c>
      <c r="KZN15">
        <f ca="1"/>
        <v>0</v>
      </c>
      <c r="KZO15">
        <f ca="1"/>
        <v>0</v>
      </c>
      <c r="KZP15">
        <f ca="1"/>
        <v>0</v>
      </c>
      <c r="KZQ15">
        <f ca="1"/>
        <v>0</v>
      </c>
      <c r="KZR15">
        <f ca="1"/>
        <v>0</v>
      </c>
      <c r="KZS15">
        <f ca="1"/>
        <v>0</v>
      </c>
      <c r="KZT15">
        <f ca="1"/>
        <v>0</v>
      </c>
      <c r="KZU15">
        <f ca="1"/>
        <v>0</v>
      </c>
      <c r="KZV15">
        <f ca="1"/>
        <v>0</v>
      </c>
      <c r="KZW15">
        <f ca="1"/>
        <v>0</v>
      </c>
      <c r="KZX15">
        <f ca="1"/>
        <v>0</v>
      </c>
      <c r="KZY15">
        <f ca="1"/>
        <v>0</v>
      </c>
      <c r="KZZ15">
        <f ca="1"/>
        <v>0</v>
      </c>
      <c r="LAA15">
        <f ca="1"/>
        <v>0</v>
      </c>
      <c r="LAB15">
        <f ca="1"/>
        <v>0</v>
      </c>
      <c r="LAC15">
        <f ca="1"/>
        <v>0</v>
      </c>
      <c r="LAD15">
        <f ca="1"/>
        <v>0</v>
      </c>
      <c r="LAE15">
        <f ca="1"/>
        <v>0</v>
      </c>
      <c r="LAF15">
        <f ca="1"/>
        <v>0</v>
      </c>
      <c r="LAG15">
        <f ca="1"/>
        <v>0</v>
      </c>
      <c r="LAH15">
        <f ca="1"/>
        <v>0</v>
      </c>
      <c r="LAI15">
        <f ca="1"/>
        <v>0</v>
      </c>
      <c r="LAJ15">
        <f ca="1"/>
        <v>0</v>
      </c>
      <c r="LAK15">
        <f ca="1"/>
        <v>0</v>
      </c>
      <c r="LAL15">
        <f ca="1"/>
        <v>0</v>
      </c>
      <c r="LAM15">
        <f ca="1"/>
        <v>0</v>
      </c>
      <c r="LAN15">
        <f ca="1"/>
        <v>0</v>
      </c>
      <c r="LAO15">
        <f ca="1"/>
        <v>0</v>
      </c>
      <c r="LAP15">
        <f ca="1"/>
        <v>0</v>
      </c>
      <c r="LAQ15">
        <f ca="1"/>
        <v>0</v>
      </c>
      <c r="LAR15">
        <f ca="1"/>
        <v>0</v>
      </c>
      <c r="LAS15">
        <f ca="1"/>
        <v>0</v>
      </c>
      <c r="LAT15">
        <f ca="1"/>
        <v>0</v>
      </c>
      <c r="LAU15">
        <f ca="1"/>
        <v>0</v>
      </c>
      <c r="LAV15">
        <f ca="1"/>
        <v>0</v>
      </c>
      <c r="LAW15">
        <f ca="1"/>
        <v>0</v>
      </c>
      <c r="LAX15">
        <f ca="1"/>
        <v>0</v>
      </c>
      <c r="LAY15">
        <f ca="1"/>
        <v>0</v>
      </c>
      <c r="LAZ15">
        <f ca="1"/>
        <v>0</v>
      </c>
      <c r="LBA15">
        <f ca="1"/>
        <v>0</v>
      </c>
      <c r="LBB15">
        <f ca="1"/>
        <v>0</v>
      </c>
      <c r="LBC15">
        <f ca="1"/>
        <v>0</v>
      </c>
      <c r="LBD15">
        <f ca="1"/>
        <v>0</v>
      </c>
      <c r="LBE15">
        <f ca="1"/>
        <v>0</v>
      </c>
      <c r="LBF15">
        <f ca="1"/>
        <v>0</v>
      </c>
      <c r="LBG15">
        <f ca="1"/>
        <v>0</v>
      </c>
      <c r="LBH15">
        <f ca="1"/>
        <v>0</v>
      </c>
      <c r="LBI15">
        <f ca="1"/>
        <v>0</v>
      </c>
      <c r="LBJ15">
        <f ca="1"/>
        <v>0</v>
      </c>
      <c r="LBK15">
        <f ca="1"/>
        <v>0</v>
      </c>
      <c r="LBL15">
        <f ca="1"/>
        <v>0</v>
      </c>
      <c r="LBM15">
        <f ca="1"/>
        <v>0</v>
      </c>
      <c r="LBN15">
        <f ca="1"/>
        <v>0</v>
      </c>
      <c r="LBO15">
        <f ca="1"/>
        <v>0</v>
      </c>
      <c r="LBP15">
        <f ca="1"/>
        <v>0</v>
      </c>
      <c r="LBQ15">
        <f ca="1"/>
        <v>0</v>
      </c>
      <c r="LBR15">
        <f ca="1"/>
        <v>0</v>
      </c>
      <c r="LBS15">
        <f ca="1"/>
        <v>0</v>
      </c>
      <c r="LBT15">
        <f ca="1"/>
        <v>0</v>
      </c>
      <c r="LBU15">
        <f ca="1"/>
        <v>0</v>
      </c>
      <c r="LBV15">
        <f ca="1"/>
        <v>0</v>
      </c>
      <c r="LBW15">
        <f ca="1"/>
        <v>0</v>
      </c>
      <c r="LBX15">
        <f ca="1"/>
        <v>0</v>
      </c>
      <c r="LBY15">
        <f ca="1"/>
        <v>0</v>
      </c>
      <c r="LBZ15">
        <f ca="1"/>
        <v>0</v>
      </c>
      <c r="LCA15">
        <f ca="1"/>
        <v>0</v>
      </c>
      <c r="LCB15">
        <f ca="1"/>
        <v>0</v>
      </c>
      <c r="LCC15">
        <f ca="1"/>
        <v>0</v>
      </c>
      <c r="LCD15">
        <f ca="1"/>
        <v>0</v>
      </c>
      <c r="LCE15">
        <f ca="1"/>
        <v>0</v>
      </c>
      <c r="LCF15">
        <f ca="1"/>
        <v>0</v>
      </c>
      <c r="LCG15">
        <f ca="1"/>
        <v>0</v>
      </c>
      <c r="LCH15">
        <f ca="1"/>
        <v>0</v>
      </c>
      <c r="LCI15">
        <f ca="1"/>
        <v>0</v>
      </c>
      <c r="LCJ15">
        <f ca="1"/>
        <v>0</v>
      </c>
      <c r="LCK15">
        <f ca="1"/>
        <v>0</v>
      </c>
      <c r="LCL15">
        <f ca="1"/>
        <v>0</v>
      </c>
      <c r="LCM15">
        <f ca="1"/>
        <v>0</v>
      </c>
      <c r="LCN15">
        <f ca="1"/>
        <v>0</v>
      </c>
      <c r="LCO15">
        <f ca="1"/>
        <v>0</v>
      </c>
      <c r="LCP15">
        <f ca="1"/>
        <v>0</v>
      </c>
      <c r="LCQ15">
        <f ca="1"/>
        <v>0</v>
      </c>
      <c r="LCR15">
        <f ca="1"/>
        <v>0</v>
      </c>
      <c r="LCS15">
        <f ca="1"/>
        <v>0</v>
      </c>
      <c r="LCT15">
        <f ca="1"/>
        <v>0</v>
      </c>
      <c r="LCU15">
        <f ca="1"/>
        <v>0</v>
      </c>
      <c r="LCV15">
        <f ca="1"/>
        <v>0</v>
      </c>
      <c r="LCW15">
        <f ca="1"/>
        <v>0</v>
      </c>
      <c r="LCX15">
        <f ca="1"/>
        <v>0</v>
      </c>
      <c r="LCY15">
        <f ca="1"/>
        <v>0</v>
      </c>
      <c r="LCZ15">
        <f ca="1"/>
        <v>0</v>
      </c>
      <c r="LDA15">
        <f ca="1"/>
        <v>0</v>
      </c>
      <c r="LDB15">
        <f ca="1"/>
        <v>0</v>
      </c>
      <c r="LDC15">
        <f ca="1"/>
        <v>0</v>
      </c>
      <c r="LDD15">
        <f ca="1"/>
        <v>0</v>
      </c>
      <c r="LDE15">
        <f ca="1"/>
        <v>0</v>
      </c>
      <c r="LDF15">
        <f ca="1"/>
        <v>0</v>
      </c>
      <c r="LDG15">
        <f ca="1"/>
        <v>0</v>
      </c>
      <c r="LDH15">
        <f ca="1"/>
        <v>0</v>
      </c>
      <c r="LDI15">
        <f ca="1"/>
        <v>0</v>
      </c>
      <c r="LDJ15">
        <f ca="1"/>
        <v>0</v>
      </c>
      <c r="LDK15">
        <f ca="1"/>
        <v>0</v>
      </c>
      <c r="LDL15">
        <f ca="1"/>
        <v>0</v>
      </c>
      <c r="LDM15">
        <f ca="1"/>
        <v>0</v>
      </c>
      <c r="LDN15">
        <f ca="1"/>
        <v>0</v>
      </c>
      <c r="LDO15">
        <f ca="1"/>
        <v>0</v>
      </c>
      <c r="LDP15">
        <f ca="1"/>
        <v>0</v>
      </c>
      <c r="LDQ15">
        <f ca="1"/>
        <v>0</v>
      </c>
      <c r="LDR15">
        <f ca="1"/>
        <v>0</v>
      </c>
      <c r="LDS15">
        <f ca="1"/>
        <v>0</v>
      </c>
      <c r="LDT15">
        <f ca="1"/>
        <v>0</v>
      </c>
      <c r="LDU15">
        <f ca="1"/>
        <v>0</v>
      </c>
      <c r="LDV15">
        <f ca="1"/>
        <v>0</v>
      </c>
      <c r="LDW15">
        <f ca="1"/>
        <v>0</v>
      </c>
      <c r="LDX15">
        <f ca="1"/>
        <v>0</v>
      </c>
      <c r="LDY15">
        <f ca="1"/>
        <v>0</v>
      </c>
      <c r="LDZ15">
        <f ca="1"/>
        <v>0</v>
      </c>
      <c r="LEA15">
        <f ca="1"/>
        <v>0</v>
      </c>
      <c r="LEB15">
        <f ca="1"/>
        <v>0</v>
      </c>
      <c r="LEC15">
        <f ca="1"/>
        <v>0</v>
      </c>
      <c r="LED15">
        <f ca="1"/>
        <v>0</v>
      </c>
      <c r="LEE15">
        <f ca="1"/>
        <v>0</v>
      </c>
      <c r="LEF15">
        <f ca="1"/>
        <v>0</v>
      </c>
      <c r="LEG15">
        <f ca="1"/>
        <v>0</v>
      </c>
      <c r="LEH15">
        <f ca="1"/>
        <v>0</v>
      </c>
      <c r="LEI15">
        <f ca="1"/>
        <v>0</v>
      </c>
      <c r="LEJ15">
        <f ca="1"/>
        <v>0</v>
      </c>
      <c r="LEK15">
        <f ca="1"/>
        <v>0</v>
      </c>
      <c r="LEL15">
        <f ca="1"/>
        <v>0</v>
      </c>
      <c r="LEM15">
        <f ca="1"/>
        <v>0</v>
      </c>
      <c r="LEN15">
        <f ca="1"/>
        <v>0</v>
      </c>
      <c r="LEO15">
        <f ca="1"/>
        <v>0</v>
      </c>
      <c r="LEP15">
        <f ca="1"/>
        <v>0</v>
      </c>
      <c r="LEQ15">
        <f ca="1"/>
        <v>0</v>
      </c>
      <c r="LER15">
        <f ca="1"/>
        <v>0</v>
      </c>
      <c r="LES15">
        <f ca="1"/>
        <v>0</v>
      </c>
      <c r="LET15">
        <f ca="1"/>
        <v>0</v>
      </c>
      <c r="LEU15">
        <f ca="1"/>
        <v>0</v>
      </c>
      <c r="LEV15">
        <f ca="1"/>
        <v>0</v>
      </c>
      <c r="LEW15">
        <f ca="1"/>
        <v>0</v>
      </c>
      <c r="LEX15">
        <f ca="1"/>
        <v>0</v>
      </c>
      <c r="LEY15">
        <f ca="1"/>
        <v>0</v>
      </c>
      <c r="LEZ15">
        <f ca="1"/>
        <v>0</v>
      </c>
      <c r="LFA15">
        <f ca="1"/>
        <v>0</v>
      </c>
      <c r="LFB15">
        <f ca="1"/>
        <v>0</v>
      </c>
      <c r="LFC15">
        <f ca="1"/>
        <v>0</v>
      </c>
      <c r="LFD15">
        <f ca="1"/>
        <v>0</v>
      </c>
      <c r="LFE15">
        <f ca="1"/>
        <v>0</v>
      </c>
      <c r="LFF15">
        <f ca="1"/>
        <v>0</v>
      </c>
      <c r="LFG15">
        <f ca="1"/>
        <v>0</v>
      </c>
      <c r="LFH15">
        <f ca="1"/>
        <v>0</v>
      </c>
      <c r="LFI15">
        <f ca="1"/>
        <v>0</v>
      </c>
      <c r="LFJ15">
        <f ca="1"/>
        <v>0</v>
      </c>
      <c r="LFK15">
        <f ca="1"/>
        <v>0</v>
      </c>
      <c r="LFL15">
        <f ca="1"/>
        <v>0</v>
      </c>
      <c r="LFM15">
        <f ca="1"/>
        <v>0</v>
      </c>
      <c r="LFN15">
        <f ca="1"/>
        <v>0</v>
      </c>
      <c r="LFO15">
        <f ca="1"/>
        <v>0</v>
      </c>
      <c r="LFP15">
        <f ca="1"/>
        <v>0</v>
      </c>
      <c r="LFQ15">
        <f ca="1"/>
        <v>0</v>
      </c>
      <c r="LFR15">
        <f ca="1"/>
        <v>0</v>
      </c>
      <c r="LFS15">
        <f ca="1"/>
        <v>0</v>
      </c>
      <c r="LFT15">
        <f ca="1"/>
        <v>0</v>
      </c>
      <c r="LFU15">
        <f ca="1"/>
        <v>0</v>
      </c>
      <c r="LFV15">
        <f ca="1"/>
        <v>0</v>
      </c>
      <c r="LFW15">
        <f ca="1"/>
        <v>0</v>
      </c>
      <c r="LFX15">
        <f ca="1"/>
        <v>0</v>
      </c>
      <c r="LFY15">
        <f ca="1"/>
        <v>0</v>
      </c>
      <c r="LFZ15">
        <f ca="1"/>
        <v>0</v>
      </c>
      <c r="LGA15">
        <f ca="1"/>
        <v>0</v>
      </c>
      <c r="LGB15">
        <f ca="1"/>
        <v>0</v>
      </c>
      <c r="LGC15">
        <f ca="1"/>
        <v>0</v>
      </c>
      <c r="LGD15">
        <f ca="1"/>
        <v>0</v>
      </c>
      <c r="LGE15">
        <f ca="1"/>
        <v>0</v>
      </c>
      <c r="LGF15">
        <f ca="1"/>
        <v>0</v>
      </c>
      <c r="LGG15">
        <f ca="1"/>
        <v>0</v>
      </c>
      <c r="LGH15">
        <f ca="1"/>
        <v>0</v>
      </c>
      <c r="LGI15">
        <f ca="1"/>
        <v>0</v>
      </c>
      <c r="LGJ15">
        <f ca="1"/>
        <v>0</v>
      </c>
      <c r="LGK15">
        <f ca="1"/>
        <v>0</v>
      </c>
      <c r="LGL15">
        <f ca="1"/>
        <v>0</v>
      </c>
      <c r="LGM15">
        <f ca="1"/>
        <v>0</v>
      </c>
      <c r="LGN15">
        <f ca="1"/>
        <v>0</v>
      </c>
      <c r="LGO15">
        <f ca="1"/>
        <v>0</v>
      </c>
      <c r="LGP15">
        <f ca="1"/>
        <v>0</v>
      </c>
      <c r="LGQ15">
        <f ca="1"/>
        <v>0</v>
      </c>
      <c r="LGR15">
        <f ca="1"/>
        <v>0</v>
      </c>
      <c r="LGS15">
        <f ca="1"/>
        <v>0</v>
      </c>
      <c r="LGT15">
        <f ca="1"/>
        <v>0</v>
      </c>
      <c r="LGU15">
        <f ca="1"/>
        <v>0</v>
      </c>
      <c r="LGV15">
        <f ca="1"/>
        <v>0</v>
      </c>
      <c r="LGW15">
        <f ca="1"/>
        <v>0</v>
      </c>
      <c r="LGX15">
        <f ca="1"/>
        <v>0</v>
      </c>
      <c r="LGY15">
        <f ca="1"/>
        <v>0</v>
      </c>
      <c r="LGZ15">
        <f ca="1"/>
        <v>0</v>
      </c>
      <c r="LHA15">
        <f ca="1"/>
        <v>0</v>
      </c>
      <c r="LHB15">
        <f ca="1"/>
        <v>0</v>
      </c>
      <c r="LHC15">
        <f ca="1"/>
        <v>0</v>
      </c>
      <c r="LHD15">
        <f ca="1"/>
        <v>0</v>
      </c>
      <c r="LHE15">
        <f ca="1"/>
        <v>0</v>
      </c>
      <c r="LHF15">
        <f ca="1"/>
        <v>0</v>
      </c>
      <c r="LHG15">
        <f ca="1"/>
        <v>0</v>
      </c>
      <c r="LHH15">
        <f ca="1"/>
        <v>0</v>
      </c>
      <c r="LHI15">
        <f ca="1"/>
        <v>0</v>
      </c>
      <c r="LHJ15">
        <f ca="1"/>
        <v>0</v>
      </c>
      <c r="LHK15">
        <f ca="1"/>
        <v>0</v>
      </c>
      <c r="LHL15">
        <f ca="1"/>
        <v>0</v>
      </c>
      <c r="LHM15">
        <f ca="1"/>
        <v>0</v>
      </c>
      <c r="LHN15">
        <f ca="1"/>
        <v>0</v>
      </c>
      <c r="LHO15">
        <f ca="1"/>
        <v>0</v>
      </c>
      <c r="LHP15">
        <f ca="1"/>
        <v>0</v>
      </c>
      <c r="LHQ15">
        <f ca="1"/>
        <v>0</v>
      </c>
      <c r="LHR15">
        <f ca="1"/>
        <v>0</v>
      </c>
      <c r="LHS15">
        <f ca="1"/>
        <v>0</v>
      </c>
      <c r="LHT15">
        <f ca="1"/>
        <v>0</v>
      </c>
      <c r="LHU15">
        <f ca="1"/>
        <v>0</v>
      </c>
      <c r="LHV15">
        <f ca="1"/>
        <v>0</v>
      </c>
      <c r="LHW15">
        <f ca="1"/>
        <v>0</v>
      </c>
      <c r="LHX15">
        <f ca="1"/>
        <v>0</v>
      </c>
      <c r="LHY15">
        <f ca="1"/>
        <v>0</v>
      </c>
      <c r="LHZ15">
        <f ca="1"/>
        <v>0</v>
      </c>
      <c r="LIA15">
        <f ca="1"/>
        <v>0</v>
      </c>
      <c r="LIB15">
        <f ca="1"/>
        <v>0</v>
      </c>
      <c r="LIC15">
        <f ca="1"/>
        <v>0</v>
      </c>
      <c r="LID15">
        <f ca="1"/>
        <v>0</v>
      </c>
      <c r="LIE15">
        <f ca="1"/>
        <v>0</v>
      </c>
      <c r="LIF15">
        <f ca="1"/>
        <v>0</v>
      </c>
      <c r="LIG15">
        <f ca="1"/>
        <v>0</v>
      </c>
      <c r="LIH15">
        <f ca="1"/>
        <v>0</v>
      </c>
      <c r="LII15">
        <f ca="1"/>
        <v>0</v>
      </c>
      <c r="LIJ15">
        <f ca="1"/>
        <v>0</v>
      </c>
      <c r="LIK15">
        <f ca="1"/>
        <v>0</v>
      </c>
      <c r="LIL15">
        <f ca="1"/>
        <v>0</v>
      </c>
      <c r="LIM15">
        <f ca="1"/>
        <v>0</v>
      </c>
      <c r="LIN15">
        <f ca="1"/>
        <v>0</v>
      </c>
      <c r="LIO15">
        <f ca="1"/>
        <v>0</v>
      </c>
      <c r="LIP15">
        <f ca="1"/>
        <v>0</v>
      </c>
      <c r="LIQ15">
        <f ca="1"/>
        <v>0</v>
      </c>
      <c r="LIR15">
        <f ca="1"/>
        <v>0</v>
      </c>
      <c r="LIS15">
        <f ca="1"/>
        <v>0</v>
      </c>
      <c r="LIT15">
        <f ca="1"/>
        <v>0</v>
      </c>
      <c r="LIU15">
        <f ca="1"/>
        <v>0</v>
      </c>
      <c r="LIV15">
        <f ca="1"/>
        <v>0</v>
      </c>
      <c r="LIW15">
        <f ca="1"/>
        <v>0</v>
      </c>
      <c r="LIX15">
        <f ca="1"/>
        <v>0</v>
      </c>
      <c r="LIY15">
        <f ca="1"/>
        <v>0</v>
      </c>
      <c r="LIZ15">
        <f ca="1"/>
        <v>0</v>
      </c>
      <c r="LJA15">
        <f ca="1"/>
        <v>0</v>
      </c>
      <c r="LJB15">
        <f ca="1"/>
        <v>0</v>
      </c>
      <c r="LJC15">
        <f ca="1"/>
        <v>0</v>
      </c>
      <c r="LJD15">
        <f ca="1"/>
        <v>0</v>
      </c>
      <c r="LJE15">
        <f ca="1"/>
        <v>0</v>
      </c>
      <c r="LJF15">
        <f ca="1"/>
        <v>0</v>
      </c>
      <c r="LJG15">
        <f ca="1"/>
        <v>0</v>
      </c>
      <c r="LJH15">
        <f ca="1"/>
        <v>0</v>
      </c>
      <c r="LJI15">
        <f ca="1"/>
        <v>0</v>
      </c>
      <c r="LJJ15">
        <f ca="1"/>
        <v>0</v>
      </c>
      <c r="LJK15">
        <f ca="1"/>
        <v>0</v>
      </c>
      <c r="LJL15">
        <f ca="1"/>
        <v>0</v>
      </c>
      <c r="LJM15">
        <f ca="1"/>
        <v>0</v>
      </c>
      <c r="LJN15">
        <f ca="1"/>
        <v>0</v>
      </c>
      <c r="LJO15">
        <f ca="1"/>
        <v>0</v>
      </c>
      <c r="LJP15">
        <f ca="1"/>
        <v>0</v>
      </c>
      <c r="LJQ15">
        <f ca="1"/>
        <v>0</v>
      </c>
      <c r="LJR15">
        <f ca="1"/>
        <v>0</v>
      </c>
      <c r="LJS15">
        <f ca="1"/>
        <v>0</v>
      </c>
      <c r="LJT15">
        <f ca="1"/>
        <v>0</v>
      </c>
      <c r="LJU15">
        <f ca="1"/>
        <v>0</v>
      </c>
      <c r="LJV15">
        <f ca="1"/>
        <v>0</v>
      </c>
      <c r="LJW15">
        <f ca="1"/>
        <v>0</v>
      </c>
      <c r="LJX15">
        <f ca="1"/>
        <v>0</v>
      </c>
      <c r="LJY15">
        <f ca="1"/>
        <v>0</v>
      </c>
      <c r="LJZ15">
        <f ca="1"/>
        <v>0</v>
      </c>
      <c r="LKA15">
        <f ca="1"/>
        <v>0</v>
      </c>
      <c r="LKB15">
        <f ca="1"/>
        <v>0</v>
      </c>
      <c r="LKC15">
        <f ca="1"/>
        <v>0</v>
      </c>
      <c r="LKD15">
        <f ca="1"/>
        <v>0</v>
      </c>
      <c r="LKE15">
        <f ca="1"/>
        <v>0</v>
      </c>
      <c r="LKF15">
        <f ca="1"/>
        <v>0</v>
      </c>
      <c r="LKG15">
        <f ca="1"/>
        <v>0</v>
      </c>
      <c r="LKH15">
        <f ca="1"/>
        <v>0</v>
      </c>
      <c r="LKI15">
        <f ca="1"/>
        <v>0</v>
      </c>
      <c r="LKJ15">
        <f ca="1"/>
        <v>0</v>
      </c>
      <c r="LKK15">
        <f ca="1"/>
        <v>0</v>
      </c>
      <c r="LKL15">
        <f ca="1"/>
        <v>0</v>
      </c>
      <c r="LKM15">
        <f ca="1"/>
        <v>0</v>
      </c>
      <c r="LKN15">
        <f ca="1"/>
        <v>0</v>
      </c>
      <c r="LKO15">
        <f ca="1"/>
        <v>0</v>
      </c>
      <c r="LKP15">
        <f ca="1"/>
        <v>0</v>
      </c>
      <c r="LKQ15">
        <f ca="1"/>
        <v>0</v>
      </c>
      <c r="LKR15">
        <f ca="1"/>
        <v>0</v>
      </c>
      <c r="LKS15">
        <f ca="1"/>
        <v>0</v>
      </c>
      <c r="LKT15">
        <f ca="1"/>
        <v>0</v>
      </c>
      <c r="LKU15">
        <f ca="1"/>
        <v>0</v>
      </c>
      <c r="LKV15">
        <f ca="1"/>
        <v>0</v>
      </c>
      <c r="LKW15">
        <f ca="1"/>
        <v>0</v>
      </c>
      <c r="LKX15">
        <f ca="1"/>
        <v>0</v>
      </c>
      <c r="LKY15">
        <f ca="1"/>
        <v>0</v>
      </c>
      <c r="LKZ15">
        <f ca="1"/>
        <v>0</v>
      </c>
      <c r="LLA15">
        <f ca="1"/>
        <v>0</v>
      </c>
      <c r="LLB15">
        <f ca="1"/>
        <v>0</v>
      </c>
      <c r="LLC15">
        <f ca="1"/>
        <v>0</v>
      </c>
      <c r="LLD15">
        <f ca="1"/>
        <v>0</v>
      </c>
      <c r="LLE15">
        <f ca="1"/>
        <v>0</v>
      </c>
      <c r="LLF15">
        <f ca="1"/>
        <v>0</v>
      </c>
      <c r="LLG15">
        <f ca="1"/>
        <v>0</v>
      </c>
      <c r="LLH15">
        <f ca="1"/>
        <v>0</v>
      </c>
      <c r="LLI15">
        <f ca="1"/>
        <v>0</v>
      </c>
      <c r="LLJ15">
        <f ca="1"/>
        <v>0</v>
      </c>
      <c r="LLK15">
        <f ca="1"/>
        <v>0</v>
      </c>
      <c r="LLL15">
        <f ca="1"/>
        <v>0</v>
      </c>
      <c r="LLM15">
        <f ca="1"/>
        <v>0</v>
      </c>
      <c r="LLN15">
        <f ca="1"/>
        <v>0</v>
      </c>
      <c r="LLO15">
        <f ca="1"/>
        <v>0</v>
      </c>
      <c r="LLP15">
        <f ca="1"/>
        <v>0</v>
      </c>
      <c r="LLQ15">
        <f ca="1"/>
        <v>0</v>
      </c>
      <c r="LLR15">
        <f ca="1"/>
        <v>0</v>
      </c>
      <c r="LLS15">
        <f ca="1"/>
        <v>0</v>
      </c>
      <c r="LLT15">
        <f ca="1"/>
        <v>0</v>
      </c>
      <c r="LLU15">
        <f ca="1"/>
        <v>0</v>
      </c>
      <c r="LLV15">
        <f ca="1"/>
        <v>0</v>
      </c>
      <c r="LLW15">
        <f ca="1"/>
        <v>0</v>
      </c>
      <c r="LLX15">
        <f ca="1"/>
        <v>0</v>
      </c>
      <c r="LLY15">
        <f ca="1"/>
        <v>0</v>
      </c>
      <c r="LLZ15">
        <f ca="1"/>
        <v>0</v>
      </c>
      <c r="LMA15">
        <f ca="1"/>
        <v>0</v>
      </c>
      <c r="LMB15">
        <f ca="1"/>
        <v>0</v>
      </c>
      <c r="LMC15">
        <f ca="1"/>
        <v>0</v>
      </c>
      <c r="LMD15">
        <f ca="1"/>
        <v>0</v>
      </c>
      <c r="LME15">
        <f ca="1"/>
        <v>0</v>
      </c>
      <c r="LMF15">
        <f ca="1"/>
        <v>0</v>
      </c>
      <c r="LMG15">
        <f ca="1"/>
        <v>0</v>
      </c>
      <c r="LMH15">
        <f ca="1"/>
        <v>0</v>
      </c>
      <c r="LMI15">
        <f ca="1"/>
        <v>0</v>
      </c>
      <c r="LMJ15">
        <f ca="1"/>
        <v>0</v>
      </c>
      <c r="LMK15">
        <f ca="1"/>
        <v>0</v>
      </c>
      <c r="LML15">
        <f ca="1"/>
        <v>0</v>
      </c>
      <c r="LMM15">
        <f ca="1"/>
        <v>0</v>
      </c>
      <c r="LMN15">
        <f ca="1"/>
        <v>0</v>
      </c>
      <c r="LMO15">
        <f ca="1"/>
        <v>0</v>
      </c>
      <c r="LMP15">
        <f ca="1"/>
        <v>0</v>
      </c>
      <c r="LMQ15">
        <f ca="1"/>
        <v>0</v>
      </c>
      <c r="LMR15">
        <f ca="1"/>
        <v>0</v>
      </c>
      <c r="LMS15">
        <f ca="1"/>
        <v>0</v>
      </c>
      <c r="LMT15">
        <f ca="1"/>
        <v>0</v>
      </c>
      <c r="LMU15">
        <f ca="1"/>
        <v>0</v>
      </c>
      <c r="LMV15">
        <f ca="1"/>
        <v>0</v>
      </c>
      <c r="LMW15">
        <f ca="1"/>
        <v>0</v>
      </c>
      <c r="LMX15">
        <f ca="1"/>
        <v>0</v>
      </c>
      <c r="LMY15">
        <f ca="1"/>
        <v>0</v>
      </c>
      <c r="LMZ15">
        <f ca="1"/>
        <v>0</v>
      </c>
      <c r="LNA15">
        <f ca="1"/>
        <v>0</v>
      </c>
      <c r="LNB15">
        <f ca="1"/>
        <v>0</v>
      </c>
      <c r="LNC15">
        <f ca="1"/>
        <v>0</v>
      </c>
      <c r="LND15">
        <f ca="1"/>
        <v>0</v>
      </c>
      <c r="LNE15">
        <f ca="1"/>
        <v>0</v>
      </c>
      <c r="LNF15">
        <f ca="1"/>
        <v>0</v>
      </c>
      <c r="LNG15">
        <f ca="1"/>
        <v>0</v>
      </c>
      <c r="LNH15">
        <f ca="1"/>
        <v>0</v>
      </c>
      <c r="LNI15">
        <f ca="1"/>
        <v>0</v>
      </c>
      <c r="LNJ15">
        <f ca="1"/>
        <v>0</v>
      </c>
      <c r="LNK15">
        <f ca="1"/>
        <v>0</v>
      </c>
      <c r="LNL15">
        <f ca="1"/>
        <v>0</v>
      </c>
      <c r="LNM15">
        <f ca="1"/>
        <v>0</v>
      </c>
      <c r="LNN15">
        <f ca="1"/>
        <v>0</v>
      </c>
      <c r="LNO15">
        <f ca="1"/>
        <v>0</v>
      </c>
      <c r="LNP15">
        <f ca="1"/>
        <v>0</v>
      </c>
      <c r="LNQ15">
        <f ca="1"/>
        <v>0</v>
      </c>
      <c r="LNR15">
        <f ca="1"/>
        <v>0</v>
      </c>
      <c r="LNS15">
        <f ca="1"/>
        <v>0</v>
      </c>
      <c r="LNT15">
        <f ca="1"/>
        <v>0</v>
      </c>
      <c r="LNU15">
        <f ca="1"/>
        <v>0</v>
      </c>
      <c r="LNV15">
        <f ca="1"/>
        <v>0</v>
      </c>
      <c r="LNW15">
        <f ca="1"/>
        <v>0</v>
      </c>
      <c r="LNX15">
        <f ca="1"/>
        <v>0</v>
      </c>
      <c r="LNY15">
        <f ca="1"/>
        <v>0</v>
      </c>
      <c r="LNZ15">
        <f ca="1"/>
        <v>0</v>
      </c>
      <c r="LOA15">
        <f ca="1"/>
        <v>0</v>
      </c>
      <c r="LOB15">
        <f ca="1"/>
        <v>0</v>
      </c>
      <c r="LOC15">
        <f ca="1"/>
        <v>0</v>
      </c>
      <c r="LOD15">
        <f ca="1"/>
        <v>0</v>
      </c>
      <c r="LOE15">
        <f ca="1"/>
        <v>0</v>
      </c>
      <c r="LOF15">
        <f ca="1"/>
        <v>0</v>
      </c>
      <c r="LOG15">
        <f ca="1"/>
        <v>0</v>
      </c>
      <c r="LOH15">
        <f ca="1"/>
        <v>0</v>
      </c>
      <c r="LOI15">
        <f ca="1"/>
        <v>0</v>
      </c>
      <c r="LOJ15">
        <f ca="1"/>
        <v>0</v>
      </c>
      <c r="LOK15">
        <f ca="1"/>
        <v>0</v>
      </c>
      <c r="LOL15">
        <f ca="1"/>
        <v>0</v>
      </c>
      <c r="LOM15">
        <f ca="1"/>
        <v>0</v>
      </c>
      <c r="LON15">
        <f ca="1"/>
        <v>0</v>
      </c>
      <c r="LOO15">
        <f ca="1"/>
        <v>0</v>
      </c>
      <c r="LOP15">
        <f ca="1"/>
        <v>0</v>
      </c>
      <c r="LOQ15">
        <f ca="1"/>
        <v>0</v>
      </c>
      <c r="LOR15">
        <f ca="1"/>
        <v>0</v>
      </c>
      <c r="LOS15">
        <f ca="1"/>
        <v>0</v>
      </c>
      <c r="LOT15">
        <f ca="1"/>
        <v>0</v>
      </c>
      <c r="LOU15">
        <f ca="1"/>
        <v>0</v>
      </c>
      <c r="LOV15">
        <f ca="1"/>
        <v>0</v>
      </c>
      <c r="LOW15">
        <f ca="1"/>
        <v>0</v>
      </c>
      <c r="LOX15">
        <f ca="1"/>
        <v>0</v>
      </c>
      <c r="LOY15">
        <f ca="1"/>
        <v>0</v>
      </c>
      <c r="LOZ15">
        <f ca="1"/>
        <v>0</v>
      </c>
      <c r="LPA15">
        <f ca="1"/>
        <v>0</v>
      </c>
      <c r="LPB15">
        <f ca="1"/>
        <v>0</v>
      </c>
      <c r="LPC15">
        <f ca="1"/>
        <v>0</v>
      </c>
      <c r="LPD15">
        <f ca="1"/>
        <v>0</v>
      </c>
      <c r="LPE15">
        <f ca="1"/>
        <v>0</v>
      </c>
      <c r="LPF15">
        <f ca="1"/>
        <v>0</v>
      </c>
      <c r="LPG15">
        <f ca="1"/>
        <v>0</v>
      </c>
      <c r="LPH15">
        <f ca="1"/>
        <v>0</v>
      </c>
      <c r="LPI15">
        <f ca="1"/>
        <v>0</v>
      </c>
      <c r="LPJ15">
        <f ca="1"/>
        <v>0</v>
      </c>
      <c r="LPK15">
        <f ca="1"/>
        <v>0</v>
      </c>
      <c r="LPL15">
        <f ca="1"/>
        <v>0</v>
      </c>
      <c r="LPM15">
        <f ca="1"/>
        <v>0</v>
      </c>
      <c r="LPN15">
        <f ca="1"/>
        <v>0</v>
      </c>
      <c r="LPO15">
        <f ca="1"/>
        <v>0</v>
      </c>
      <c r="LPP15">
        <f ca="1"/>
        <v>0</v>
      </c>
      <c r="LPQ15">
        <f ca="1"/>
        <v>0</v>
      </c>
      <c r="LPR15">
        <f ca="1"/>
        <v>0</v>
      </c>
      <c r="LPS15">
        <f ca="1"/>
        <v>0</v>
      </c>
      <c r="LPT15">
        <f ca="1"/>
        <v>0</v>
      </c>
      <c r="LPU15">
        <f ca="1"/>
        <v>0</v>
      </c>
      <c r="LPV15">
        <f ca="1"/>
        <v>0</v>
      </c>
      <c r="LPW15">
        <f ca="1"/>
        <v>0</v>
      </c>
      <c r="LPX15">
        <f ca="1"/>
        <v>0</v>
      </c>
      <c r="LPY15">
        <f ca="1"/>
        <v>0</v>
      </c>
      <c r="LPZ15">
        <f ca="1"/>
        <v>0</v>
      </c>
      <c r="LQA15">
        <f ca="1"/>
        <v>0</v>
      </c>
      <c r="LQB15">
        <f ca="1"/>
        <v>0</v>
      </c>
      <c r="LQC15">
        <f ca="1"/>
        <v>0</v>
      </c>
      <c r="LQD15">
        <f ca="1"/>
        <v>0</v>
      </c>
      <c r="LQE15">
        <f ca="1"/>
        <v>0</v>
      </c>
      <c r="LQF15">
        <f ca="1"/>
        <v>0</v>
      </c>
      <c r="LQG15">
        <f ca="1"/>
        <v>0</v>
      </c>
      <c r="LQH15">
        <f ca="1"/>
        <v>0</v>
      </c>
      <c r="LQI15">
        <f ca="1"/>
        <v>0</v>
      </c>
      <c r="LQJ15">
        <f ca="1"/>
        <v>0</v>
      </c>
      <c r="LQK15">
        <f ca="1"/>
        <v>0</v>
      </c>
      <c r="LQL15">
        <f ca="1"/>
        <v>0</v>
      </c>
      <c r="LQM15">
        <f ca="1"/>
        <v>0</v>
      </c>
      <c r="LQN15">
        <f ca="1"/>
        <v>0</v>
      </c>
      <c r="LQO15">
        <f ca="1"/>
        <v>0</v>
      </c>
      <c r="LQP15">
        <f ca="1"/>
        <v>0</v>
      </c>
      <c r="LQQ15">
        <f ca="1"/>
        <v>0</v>
      </c>
      <c r="LQR15">
        <f ca="1"/>
        <v>0</v>
      </c>
      <c r="LQS15">
        <f ca="1"/>
        <v>0</v>
      </c>
      <c r="LQT15">
        <f ca="1"/>
        <v>0</v>
      </c>
      <c r="LQU15">
        <f ca="1"/>
        <v>0</v>
      </c>
      <c r="LQV15">
        <f ca="1"/>
        <v>0</v>
      </c>
      <c r="LQW15">
        <f ca="1"/>
        <v>0</v>
      </c>
      <c r="LQX15">
        <f ca="1"/>
        <v>0</v>
      </c>
      <c r="LQY15">
        <f ca="1"/>
        <v>0</v>
      </c>
      <c r="LQZ15">
        <f ca="1"/>
        <v>0</v>
      </c>
      <c r="LRA15">
        <f ca="1"/>
        <v>0</v>
      </c>
      <c r="LRB15">
        <f ca="1"/>
        <v>0</v>
      </c>
      <c r="LRC15">
        <f ca="1"/>
        <v>0</v>
      </c>
      <c r="LRD15">
        <f ca="1"/>
        <v>0</v>
      </c>
      <c r="LRE15">
        <f ca="1"/>
        <v>0</v>
      </c>
      <c r="LRF15">
        <f ca="1"/>
        <v>0</v>
      </c>
      <c r="LRG15">
        <f ca="1"/>
        <v>0</v>
      </c>
      <c r="LRH15">
        <f ca="1"/>
        <v>0</v>
      </c>
      <c r="LRI15">
        <f ca="1"/>
        <v>0</v>
      </c>
      <c r="LRJ15">
        <f ca="1"/>
        <v>0</v>
      </c>
      <c r="LRK15">
        <f ca="1"/>
        <v>0</v>
      </c>
      <c r="LRL15">
        <f ca="1"/>
        <v>0</v>
      </c>
      <c r="LRM15">
        <f ca="1"/>
        <v>0</v>
      </c>
      <c r="LRN15">
        <f ca="1"/>
        <v>0</v>
      </c>
      <c r="LRO15">
        <f ca="1"/>
        <v>0</v>
      </c>
      <c r="LRP15">
        <f ca="1"/>
        <v>0</v>
      </c>
      <c r="LRQ15">
        <f ca="1"/>
        <v>0</v>
      </c>
      <c r="LRR15">
        <f ca="1"/>
        <v>0</v>
      </c>
      <c r="LRS15">
        <f ca="1"/>
        <v>0</v>
      </c>
      <c r="LRT15">
        <f ca="1"/>
        <v>0</v>
      </c>
      <c r="LRU15">
        <f ca="1"/>
        <v>0</v>
      </c>
      <c r="LRV15">
        <f ca="1"/>
        <v>0</v>
      </c>
      <c r="LRW15">
        <f ca="1"/>
        <v>0</v>
      </c>
      <c r="LRX15">
        <f ca="1"/>
        <v>0</v>
      </c>
      <c r="LRY15">
        <f ca="1"/>
        <v>0</v>
      </c>
      <c r="LRZ15">
        <f ca="1"/>
        <v>0</v>
      </c>
      <c r="LSA15">
        <f ca="1"/>
        <v>0</v>
      </c>
      <c r="LSB15">
        <f ca="1"/>
        <v>0</v>
      </c>
      <c r="LSC15">
        <f ca="1"/>
        <v>0</v>
      </c>
      <c r="LSD15">
        <f ca="1"/>
        <v>0</v>
      </c>
      <c r="LSE15">
        <f ca="1"/>
        <v>0</v>
      </c>
      <c r="LSF15">
        <f ca="1"/>
        <v>0</v>
      </c>
      <c r="LSG15">
        <f ca="1"/>
        <v>0</v>
      </c>
      <c r="LSH15">
        <f ca="1"/>
        <v>0</v>
      </c>
      <c r="LSI15">
        <f ca="1"/>
        <v>0</v>
      </c>
      <c r="LSJ15">
        <f ca="1"/>
        <v>0</v>
      </c>
      <c r="LSK15">
        <f ca="1"/>
        <v>0</v>
      </c>
      <c r="LSL15">
        <f ca="1"/>
        <v>0</v>
      </c>
      <c r="LSM15">
        <f ca="1"/>
        <v>0</v>
      </c>
      <c r="LSN15">
        <f ca="1"/>
        <v>0</v>
      </c>
      <c r="LSO15">
        <f ca="1"/>
        <v>0</v>
      </c>
      <c r="LSP15">
        <f ca="1"/>
        <v>0</v>
      </c>
      <c r="LSQ15">
        <f ca="1"/>
        <v>0</v>
      </c>
      <c r="LSR15">
        <f ca="1"/>
        <v>0</v>
      </c>
      <c r="LSS15">
        <f ca="1"/>
        <v>0</v>
      </c>
      <c r="LST15">
        <f ca="1"/>
        <v>0</v>
      </c>
      <c r="LSU15">
        <f ca="1"/>
        <v>0</v>
      </c>
      <c r="LSV15">
        <f ca="1"/>
        <v>0</v>
      </c>
      <c r="LSW15">
        <f ca="1"/>
        <v>0</v>
      </c>
      <c r="LSX15">
        <f ca="1"/>
        <v>0</v>
      </c>
      <c r="LSY15">
        <f ca="1"/>
        <v>0</v>
      </c>
      <c r="LSZ15">
        <f ca="1"/>
        <v>0</v>
      </c>
      <c r="LTA15">
        <f ca="1"/>
        <v>0</v>
      </c>
      <c r="LTB15">
        <f ca="1"/>
        <v>0</v>
      </c>
      <c r="LTC15">
        <f ca="1"/>
        <v>0</v>
      </c>
      <c r="LTD15">
        <f ca="1"/>
        <v>0</v>
      </c>
      <c r="LTE15">
        <f ca="1"/>
        <v>0</v>
      </c>
      <c r="LTF15">
        <f ca="1"/>
        <v>0</v>
      </c>
      <c r="LTG15">
        <f ca="1"/>
        <v>0</v>
      </c>
      <c r="LTH15">
        <f ca="1"/>
        <v>0</v>
      </c>
      <c r="LTI15">
        <f ca="1"/>
        <v>0</v>
      </c>
      <c r="LTJ15">
        <f ca="1"/>
        <v>0</v>
      </c>
      <c r="LTK15">
        <f ca="1"/>
        <v>0</v>
      </c>
      <c r="LTL15">
        <f ca="1"/>
        <v>0</v>
      </c>
      <c r="LTM15">
        <f ca="1"/>
        <v>0</v>
      </c>
      <c r="LTN15">
        <f ca="1"/>
        <v>0</v>
      </c>
      <c r="LTO15">
        <f ca="1"/>
        <v>0</v>
      </c>
      <c r="LTP15">
        <f ca="1"/>
        <v>0</v>
      </c>
      <c r="LTQ15">
        <f ca="1"/>
        <v>0</v>
      </c>
      <c r="LTR15">
        <f ca="1"/>
        <v>0</v>
      </c>
      <c r="LTS15">
        <f ca="1"/>
        <v>0</v>
      </c>
      <c r="LTT15">
        <f ca="1"/>
        <v>0</v>
      </c>
      <c r="LTU15">
        <f ca="1"/>
        <v>0</v>
      </c>
      <c r="LTV15">
        <f ca="1"/>
        <v>0</v>
      </c>
      <c r="LTW15">
        <f ca="1"/>
        <v>0</v>
      </c>
      <c r="LTX15">
        <f ca="1"/>
        <v>0</v>
      </c>
      <c r="LTY15">
        <f ca="1"/>
        <v>0</v>
      </c>
      <c r="LTZ15">
        <f ca="1"/>
        <v>0</v>
      </c>
      <c r="LUA15">
        <f ca="1"/>
        <v>0</v>
      </c>
      <c r="LUB15">
        <f ca="1"/>
        <v>0</v>
      </c>
      <c r="LUC15">
        <f ca="1"/>
        <v>0</v>
      </c>
      <c r="LUD15">
        <f ca="1"/>
        <v>0</v>
      </c>
      <c r="LUE15">
        <f ca="1"/>
        <v>0</v>
      </c>
      <c r="LUF15">
        <f ca="1"/>
        <v>0</v>
      </c>
      <c r="LUG15">
        <f ca="1"/>
        <v>0</v>
      </c>
      <c r="LUH15">
        <f ca="1"/>
        <v>0</v>
      </c>
      <c r="LUI15">
        <f ca="1"/>
        <v>0</v>
      </c>
      <c r="LUJ15">
        <f ca="1"/>
        <v>0</v>
      </c>
      <c r="LUK15">
        <f ca="1"/>
        <v>0</v>
      </c>
      <c r="LUL15">
        <f ca="1"/>
        <v>0</v>
      </c>
      <c r="LUM15">
        <f ca="1"/>
        <v>0</v>
      </c>
      <c r="LUN15">
        <f ca="1"/>
        <v>0</v>
      </c>
      <c r="LUO15">
        <f ca="1"/>
        <v>0</v>
      </c>
      <c r="LUP15">
        <f ca="1"/>
        <v>0</v>
      </c>
      <c r="LUQ15">
        <f ca="1"/>
        <v>0</v>
      </c>
      <c r="LUR15">
        <f ca="1"/>
        <v>0</v>
      </c>
      <c r="LUS15">
        <f ca="1"/>
        <v>0</v>
      </c>
      <c r="LUT15">
        <f ca="1"/>
        <v>0</v>
      </c>
      <c r="LUU15">
        <f ca="1"/>
        <v>0</v>
      </c>
      <c r="LUV15">
        <f ca="1"/>
        <v>0</v>
      </c>
      <c r="LUW15">
        <f ca="1"/>
        <v>0</v>
      </c>
      <c r="LUX15">
        <f ca="1"/>
        <v>0</v>
      </c>
      <c r="LUY15">
        <f ca="1"/>
        <v>0</v>
      </c>
      <c r="LUZ15">
        <f ca="1"/>
        <v>0</v>
      </c>
      <c r="LVA15">
        <f ca="1"/>
        <v>0</v>
      </c>
      <c r="LVB15">
        <f ca="1"/>
        <v>0</v>
      </c>
      <c r="LVC15">
        <f ca="1"/>
        <v>0</v>
      </c>
      <c r="LVD15">
        <f ca="1"/>
        <v>0</v>
      </c>
      <c r="LVE15">
        <f ca="1"/>
        <v>0</v>
      </c>
      <c r="LVF15">
        <f ca="1"/>
        <v>0</v>
      </c>
      <c r="LVG15">
        <f ca="1"/>
        <v>0</v>
      </c>
      <c r="LVH15">
        <f ca="1"/>
        <v>0</v>
      </c>
      <c r="LVI15">
        <f ca="1"/>
        <v>0</v>
      </c>
      <c r="LVJ15">
        <f ca="1"/>
        <v>0</v>
      </c>
      <c r="LVK15">
        <f ca="1"/>
        <v>0</v>
      </c>
      <c r="LVL15">
        <f ca="1"/>
        <v>0</v>
      </c>
      <c r="LVM15">
        <f ca="1"/>
        <v>0</v>
      </c>
      <c r="LVN15">
        <f ca="1"/>
        <v>0</v>
      </c>
      <c r="LVO15">
        <f ca="1"/>
        <v>0</v>
      </c>
      <c r="LVP15">
        <f ca="1"/>
        <v>0</v>
      </c>
      <c r="LVQ15">
        <f ca="1"/>
        <v>0</v>
      </c>
      <c r="LVR15">
        <f ca="1"/>
        <v>0</v>
      </c>
      <c r="LVS15">
        <f ca="1"/>
        <v>0</v>
      </c>
      <c r="LVT15">
        <f ca="1"/>
        <v>0</v>
      </c>
      <c r="LVU15">
        <f ca="1"/>
        <v>0</v>
      </c>
      <c r="LVV15">
        <f ca="1"/>
        <v>0</v>
      </c>
      <c r="LVW15">
        <f ca="1"/>
        <v>0</v>
      </c>
      <c r="LVX15">
        <f ca="1"/>
        <v>0</v>
      </c>
      <c r="LVY15">
        <f ca="1"/>
        <v>0</v>
      </c>
      <c r="LVZ15">
        <f ca="1"/>
        <v>0</v>
      </c>
      <c r="LWA15">
        <f ca="1"/>
        <v>0</v>
      </c>
      <c r="LWB15">
        <f ca="1"/>
        <v>0</v>
      </c>
      <c r="LWC15">
        <f ca="1"/>
        <v>0</v>
      </c>
      <c r="LWD15">
        <f ca="1"/>
        <v>0</v>
      </c>
      <c r="LWE15">
        <f ca="1"/>
        <v>0</v>
      </c>
      <c r="LWF15">
        <f ca="1"/>
        <v>0</v>
      </c>
      <c r="LWG15">
        <f ca="1"/>
        <v>0</v>
      </c>
      <c r="LWH15">
        <f ca="1"/>
        <v>0</v>
      </c>
      <c r="LWI15">
        <f ca="1"/>
        <v>0</v>
      </c>
      <c r="LWJ15">
        <f ca="1"/>
        <v>0</v>
      </c>
      <c r="LWK15">
        <f ca="1"/>
        <v>0</v>
      </c>
      <c r="LWL15">
        <f ca="1"/>
        <v>0</v>
      </c>
      <c r="LWM15">
        <f ca="1"/>
        <v>0</v>
      </c>
      <c r="LWN15">
        <f ca="1"/>
        <v>0</v>
      </c>
      <c r="LWO15">
        <f ca="1"/>
        <v>0</v>
      </c>
      <c r="LWP15">
        <f ca="1"/>
        <v>0</v>
      </c>
      <c r="LWQ15">
        <f ca="1"/>
        <v>0</v>
      </c>
      <c r="LWR15">
        <f ca="1"/>
        <v>0</v>
      </c>
      <c r="LWS15">
        <f ca="1"/>
        <v>0</v>
      </c>
      <c r="LWT15">
        <f ca="1"/>
        <v>0</v>
      </c>
      <c r="LWU15">
        <f ca="1"/>
        <v>0</v>
      </c>
      <c r="LWV15">
        <f ca="1"/>
        <v>0</v>
      </c>
      <c r="LWW15">
        <f ca="1"/>
        <v>0</v>
      </c>
      <c r="LWX15">
        <f ca="1"/>
        <v>0</v>
      </c>
      <c r="LWY15">
        <f ca="1"/>
        <v>0</v>
      </c>
      <c r="LWZ15">
        <f ca="1"/>
        <v>0</v>
      </c>
      <c r="LXA15">
        <f ca="1"/>
        <v>0</v>
      </c>
      <c r="LXB15">
        <f ca="1"/>
        <v>0</v>
      </c>
      <c r="LXC15">
        <f ca="1"/>
        <v>0</v>
      </c>
      <c r="LXD15">
        <f ca="1"/>
        <v>0</v>
      </c>
      <c r="LXE15">
        <f ca="1"/>
        <v>0</v>
      </c>
      <c r="LXF15">
        <f ca="1"/>
        <v>0</v>
      </c>
      <c r="LXG15">
        <f ca="1"/>
        <v>0</v>
      </c>
      <c r="LXH15">
        <f ca="1"/>
        <v>0</v>
      </c>
      <c r="LXI15">
        <f ca="1"/>
        <v>0</v>
      </c>
      <c r="LXJ15">
        <f ca="1"/>
        <v>0</v>
      </c>
      <c r="LXK15">
        <f ca="1"/>
        <v>0</v>
      </c>
      <c r="LXL15">
        <f ca="1"/>
        <v>0</v>
      </c>
      <c r="LXM15">
        <f ca="1"/>
        <v>0</v>
      </c>
      <c r="LXN15">
        <f ca="1"/>
        <v>0</v>
      </c>
      <c r="LXO15">
        <f ca="1"/>
        <v>0</v>
      </c>
      <c r="LXP15">
        <f ca="1"/>
        <v>0</v>
      </c>
      <c r="LXQ15">
        <f ca="1"/>
        <v>0</v>
      </c>
      <c r="LXR15">
        <f ca="1"/>
        <v>0</v>
      </c>
      <c r="LXS15">
        <f ca="1"/>
        <v>0</v>
      </c>
      <c r="LXT15">
        <f ca="1"/>
        <v>0</v>
      </c>
      <c r="LXU15">
        <f ca="1"/>
        <v>0</v>
      </c>
      <c r="LXV15">
        <f ca="1"/>
        <v>0</v>
      </c>
      <c r="LXW15">
        <f ca="1"/>
        <v>0</v>
      </c>
      <c r="LXX15">
        <f ca="1"/>
        <v>0</v>
      </c>
      <c r="LXY15">
        <f ca="1"/>
        <v>0</v>
      </c>
      <c r="LXZ15">
        <f ca="1"/>
        <v>0</v>
      </c>
      <c r="LYA15">
        <f ca="1"/>
        <v>0</v>
      </c>
      <c r="LYB15">
        <f ca="1"/>
        <v>0</v>
      </c>
      <c r="LYC15">
        <f ca="1"/>
        <v>0</v>
      </c>
      <c r="LYD15">
        <f ca="1"/>
        <v>0</v>
      </c>
      <c r="LYE15">
        <f ca="1"/>
        <v>0</v>
      </c>
      <c r="LYF15">
        <f ca="1"/>
        <v>0</v>
      </c>
      <c r="LYG15">
        <f ca="1"/>
        <v>0</v>
      </c>
      <c r="LYH15">
        <f ca="1"/>
        <v>0</v>
      </c>
      <c r="LYI15">
        <f ca="1"/>
        <v>0</v>
      </c>
      <c r="LYJ15">
        <f ca="1"/>
        <v>0</v>
      </c>
      <c r="LYK15">
        <f ca="1"/>
        <v>0</v>
      </c>
      <c r="LYL15">
        <f ca="1"/>
        <v>0</v>
      </c>
      <c r="LYM15">
        <f ca="1"/>
        <v>0</v>
      </c>
      <c r="LYN15">
        <f ca="1"/>
        <v>0</v>
      </c>
      <c r="LYO15">
        <f ca="1"/>
        <v>0</v>
      </c>
      <c r="LYP15">
        <f ca="1"/>
        <v>0</v>
      </c>
      <c r="LYQ15">
        <f ca="1"/>
        <v>0</v>
      </c>
      <c r="LYR15">
        <f ca="1"/>
        <v>0</v>
      </c>
      <c r="LYS15">
        <f ca="1"/>
        <v>0</v>
      </c>
      <c r="LYT15">
        <f ca="1"/>
        <v>0</v>
      </c>
      <c r="LYU15">
        <f ca="1"/>
        <v>0</v>
      </c>
      <c r="LYV15">
        <f ca="1"/>
        <v>0</v>
      </c>
      <c r="LYW15">
        <f ca="1"/>
        <v>0</v>
      </c>
      <c r="LYX15">
        <f ca="1"/>
        <v>0</v>
      </c>
      <c r="LYY15">
        <f ca="1"/>
        <v>0</v>
      </c>
      <c r="LYZ15">
        <f ca="1"/>
        <v>0</v>
      </c>
      <c r="LZA15">
        <f ca="1"/>
        <v>0</v>
      </c>
      <c r="LZB15">
        <f ca="1"/>
        <v>0</v>
      </c>
      <c r="LZC15">
        <f ca="1"/>
        <v>0</v>
      </c>
      <c r="LZD15">
        <f ca="1"/>
        <v>0</v>
      </c>
      <c r="LZE15">
        <f ca="1"/>
        <v>0</v>
      </c>
      <c r="LZF15">
        <f ca="1"/>
        <v>0</v>
      </c>
      <c r="LZG15">
        <f ca="1"/>
        <v>0</v>
      </c>
      <c r="LZH15">
        <f ca="1"/>
        <v>0</v>
      </c>
      <c r="LZI15">
        <f ca="1"/>
        <v>0</v>
      </c>
      <c r="LZJ15">
        <f ca="1"/>
        <v>0</v>
      </c>
      <c r="LZK15">
        <f ca="1"/>
        <v>0</v>
      </c>
      <c r="LZL15">
        <f ca="1"/>
        <v>0</v>
      </c>
      <c r="LZM15">
        <f ca="1"/>
        <v>0</v>
      </c>
      <c r="LZN15">
        <f ca="1"/>
        <v>0</v>
      </c>
      <c r="LZO15">
        <f ca="1"/>
        <v>0</v>
      </c>
      <c r="LZP15">
        <f ca="1"/>
        <v>0</v>
      </c>
      <c r="LZQ15">
        <f ca="1"/>
        <v>0</v>
      </c>
      <c r="LZR15">
        <f ca="1"/>
        <v>0</v>
      </c>
      <c r="LZS15">
        <f ca="1"/>
        <v>0</v>
      </c>
      <c r="LZT15">
        <f ca="1"/>
        <v>0</v>
      </c>
      <c r="LZU15">
        <f ca="1"/>
        <v>0</v>
      </c>
      <c r="LZV15">
        <f ca="1"/>
        <v>0</v>
      </c>
      <c r="LZW15">
        <f ca="1"/>
        <v>0</v>
      </c>
      <c r="LZX15">
        <f ca="1"/>
        <v>0</v>
      </c>
      <c r="LZY15">
        <f ca="1"/>
        <v>0</v>
      </c>
      <c r="LZZ15">
        <f ca="1"/>
        <v>0</v>
      </c>
      <c r="MAA15">
        <f ca="1"/>
        <v>0</v>
      </c>
      <c r="MAB15">
        <f ca="1"/>
        <v>0</v>
      </c>
      <c r="MAC15">
        <f ca="1"/>
        <v>0</v>
      </c>
      <c r="MAD15">
        <f ca="1"/>
        <v>0</v>
      </c>
      <c r="MAE15">
        <f ca="1"/>
        <v>0</v>
      </c>
      <c r="MAF15">
        <f ca="1"/>
        <v>0</v>
      </c>
      <c r="MAG15">
        <f ca="1"/>
        <v>0</v>
      </c>
      <c r="MAH15">
        <f ca="1"/>
        <v>0</v>
      </c>
      <c r="MAI15">
        <f ca="1"/>
        <v>0</v>
      </c>
      <c r="MAJ15">
        <f ca="1"/>
        <v>0</v>
      </c>
      <c r="MAK15">
        <f ca="1"/>
        <v>0</v>
      </c>
      <c r="MAL15">
        <f ca="1"/>
        <v>0</v>
      </c>
      <c r="MAM15">
        <f ca="1"/>
        <v>0</v>
      </c>
      <c r="MAN15">
        <f ca="1"/>
        <v>0</v>
      </c>
      <c r="MAO15">
        <f ca="1"/>
        <v>0</v>
      </c>
      <c r="MAP15">
        <f ca="1"/>
        <v>0</v>
      </c>
      <c r="MAQ15">
        <f ca="1"/>
        <v>0</v>
      </c>
      <c r="MAR15">
        <f ca="1"/>
        <v>0</v>
      </c>
      <c r="MAS15">
        <f ca="1"/>
        <v>0</v>
      </c>
      <c r="MAT15">
        <f ca="1"/>
        <v>0</v>
      </c>
      <c r="MAU15">
        <f ca="1"/>
        <v>0</v>
      </c>
      <c r="MAV15">
        <f ca="1"/>
        <v>0</v>
      </c>
      <c r="MAW15">
        <f ca="1"/>
        <v>0</v>
      </c>
      <c r="MAX15">
        <f ca="1"/>
        <v>0</v>
      </c>
      <c r="MAY15">
        <f ca="1"/>
        <v>0</v>
      </c>
      <c r="MAZ15">
        <f ca="1"/>
        <v>0</v>
      </c>
      <c r="MBA15">
        <f ca="1"/>
        <v>0</v>
      </c>
      <c r="MBB15">
        <f ca="1"/>
        <v>0</v>
      </c>
      <c r="MBC15">
        <f ca="1"/>
        <v>0</v>
      </c>
      <c r="MBD15">
        <f ca="1"/>
        <v>0</v>
      </c>
      <c r="MBE15">
        <f ca="1"/>
        <v>0</v>
      </c>
      <c r="MBF15">
        <f ca="1"/>
        <v>0</v>
      </c>
      <c r="MBG15">
        <f ca="1"/>
        <v>0</v>
      </c>
      <c r="MBH15">
        <f ca="1"/>
        <v>0</v>
      </c>
      <c r="MBI15">
        <f ca="1"/>
        <v>0</v>
      </c>
      <c r="MBJ15">
        <f ca="1"/>
        <v>0</v>
      </c>
      <c r="MBK15">
        <f ca="1"/>
        <v>0</v>
      </c>
      <c r="MBL15">
        <f ca="1"/>
        <v>0</v>
      </c>
      <c r="MBM15">
        <f ca="1"/>
        <v>0</v>
      </c>
      <c r="MBN15">
        <f ca="1"/>
        <v>0</v>
      </c>
      <c r="MBO15">
        <f ca="1"/>
        <v>0</v>
      </c>
      <c r="MBP15">
        <f ca="1"/>
        <v>0</v>
      </c>
      <c r="MBQ15">
        <f ca="1"/>
        <v>0</v>
      </c>
      <c r="MBR15">
        <f ca="1"/>
        <v>0</v>
      </c>
      <c r="MBS15">
        <f ca="1"/>
        <v>0</v>
      </c>
      <c r="MBT15">
        <f ca="1"/>
        <v>0</v>
      </c>
      <c r="MBU15">
        <f ca="1"/>
        <v>0</v>
      </c>
      <c r="MBV15">
        <f ca="1"/>
        <v>0</v>
      </c>
      <c r="MBW15">
        <f ca="1"/>
        <v>0</v>
      </c>
      <c r="MBX15">
        <f ca="1"/>
        <v>0</v>
      </c>
      <c r="MBY15">
        <f ca="1"/>
        <v>0</v>
      </c>
      <c r="MBZ15">
        <f ca="1"/>
        <v>0</v>
      </c>
      <c r="MCA15">
        <f ca="1"/>
        <v>0</v>
      </c>
      <c r="MCB15">
        <f ca="1"/>
        <v>0</v>
      </c>
      <c r="MCC15">
        <f ca="1"/>
        <v>0</v>
      </c>
      <c r="MCD15">
        <f ca="1"/>
        <v>0</v>
      </c>
      <c r="MCE15">
        <f ca="1"/>
        <v>0</v>
      </c>
      <c r="MCF15">
        <f ca="1"/>
        <v>0</v>
      </c>
      <c r="MCG15">
        <f ca="1"/>
        <v>0</v>
      </c>
      <c r="MCH15">
        <f ca="1"/>
        <v>0</v>
      </c>
      <c r="MCI15">
        <f ca="1"/>
        <v>0</v>
      </c>
      <c r="MCJ15">
        <f ca="1"/>
        <v>0</v>
      </c>
      <c r="MCK15">
        <f ca="1"/>
        <v>0</v>
      </c>
      <c r="MCL15">
        <f ca="1"/>
        <v>0</v>
      </c>
      <c r="MCM15">
        <f ca="1"/>
        <v>0</v>
      </c>
      <c r="MCN15">
        <f ca="1"/>
        <v>0</v>
      </c>
      <c r="MCO15">
        <f ca="1"/>
        <v>0</v>
      </c>
      <c r="MCP15">
        <f ca="1"/>
        <v>0</v>
      </c>
      <c r="MCQ15">
        <f ca="1"/>
        <v>0</v>
      </c>
      <c r="MCR15">
        <f ca="1"/>
        <v>0</v>
      </c>
      <c r="MCS15">
        <f ca="1"/>
        <v>0</v>
      </c>
      <c r="MCT15">
        <f ca="1"/>
        <v>0</v>
      </c>
      <c r="MCU15">
        <f ca="1"/>
        <v>0</v>
      </c>
      <c r="MCV15">
        <f ca="1"/>
        <v>0</v>
      </c>
      <c r="MCW15">
        <f ca="1"/>
        <v>0</v>
      </c>
      <c r="MCX15">
        <f ca="1"/>
        <v>0</v>
      </c>
      <c r="MCY15">
        <f ca="1"/>
        <v>0</v>
      </c>
      <c r="MCZ15">
        <f ca="1"/>
        <v>0</v>
      </c>
      <c r="MDA15">
        <f ca="1"/>
        <v>0</v>
      </c>
      <c r="MDB15">
        <f ca="1"/>
        <v>0</v>
      </c>
      <c r="MDC15">
        <f ca="1"/>
        <v>0</v>
      </c>
      <c r="MDD15">
        <f ca="1"/>
        <v>0</v>
      </c>
      <c r="MDE15">
        <f ca="1"/>
        <v>0</v>
      </c>
      <c r="MDF15">
        <f ca="1"/>
        <v>0</v>
      </c>
      <c r="MDG15">
        <f ca="1"/>
        <v>0</v>
      </c>
      <c r="MDH15">
        <f ca="1"/>
        <v>0</v>
      </c>
      <c r="MDI15">
        <f ca="1"/>
        <v>0</v>
      </c>
      <c r="MDJ15">
        <f ca="1"/>
        <v>0</v>
      </c>
      <c r="MDK15">
        <f ca="1"/>
        <v>0</v>
      </c>
      <c r="MDL15">
        <f ca="1"/>
        <v>0</v>
      </c>
      <c r="MDM15">
        <f ca="1"/>
        <v>0</v>
      </c>
      <c r="MDN15">
        <f ca="1"/>
        <v>0</v>
      </c>
      <c r="MDO15">
        <f ca="1"/>
        <v>0</v>
      </c>
      <c r="MDP15">
        <f ca="1"/>
        <v>0</v>
      </c>
      <c r="MDQ15">
        <f ca="1"/>
        <v>0</v>
      </c>
      <c r="MDR15">
        <f ca="1"/>
        <v>0</v>
      </c>
      <c r="MDS15">
        <f ca="1"/>
        <v>0</v>
      </c>
      <c r="MDT15">
        <f ca="1"/>
        <v>0</v>
      </c>
      <c r="MDU15">
        <f ca="1"/>
        <v>0</v>
      </c>
      <c r="MDV15">
        <f ca="1"/>
        <v>0</v>
      </c>
      <c r="MDW15">
        <f ca="1"/>
        <v>0</v>
      </c>
      <c r="MDX15">
        <f ca="1"/>
        <v>0</v>
      </c>
      <c r="MDY15">
        <f ca="1"/>
        <v>0</v>
      </c>
      <c r="MDZ15">
        <f ca="1"/>
        <v>0</v>
      </c>
      <c r="MEA15">
        <f ca="1"/>
        <v>0</v>
      </c>
      <c r="MEB15">
        <f ca="1"/>
        <v>0</v>
      </c>
      <c r="MEC15">
        <f ca="1"/>
        <v>0</v>
      </c>
      <c r="MED15">
        <f ca="1"/>
        <v>0</v>
      </c>
      <c r="MEE15">
        <f ca="1"/>
        <v>0</v>
      </c>
      <c r="MEF15">
        <f ca="1"/>
        <v>0</v>
      </c>
      <c r="MEG15">
        <f ca="1"/>
        <v>0</v>
      </c>
      <c r="MEH15">
        <f ca="1"/>
        <v>0</v>
      </c>
      <c r="MEI15">
        <f ca="1"/>
        <v>0</v>
      </c>
      <c r="MEJ15">
        <f ca="1"/>
        <v>0</v>
      </c>
      <c r="MEK15">
        <f ca="1"/>
        <v>0</v>
      </c>
      <c r="MEL15">
        <f ca="1"/>
        <v>0</v>
      </c>
      <c r="MEM15">
        <f ca="1"/>
        <v>0</v>
      </c>
      <c r="MEN15">
        <f ca="1"/>
        <v>0</v>
      </c>
      <c r="MEO15">
        <f ca="1"/>
        <v>0</v>
      </c>
      <c r="MEP15">
        <f ca="1"/>
        <v>0</v>
      </c>
      <c r="MEQ15">
        <f ca="1"/>
        <v>0</v>
      </c>
      <c r="MER15">
        <f ca="1"/>
        <v>0</v>
      </c>
      <c r="MES15">
        <f ca="1"/>
        <v>0</v>
      </c>
      <c r="MET15">
        <f ca="1"/>
        <v>0</v>
      </c>
      <c r="MEU15">
        <f ca="1"/>
        <v>0</v>
      </c>
      <c r="MEV15">
        <f ca="1"/>
        <v>0</v>
      </c>
      <c r="MEW15">
        <f ca="1"/>
        <v>0</v>
      </c>
      <c r="MEX15">
        <f ca="1"/>
        <v>0</v>
      </c>
      <c r="MEY15">
        <f ca="1"/>
        <v>0</v>
      </c>
      <c r="MEZ15">
        <f ca="1"/>
        <v>0</v>
      </c>
      <c r="MFA15">
        <f ca="1"/>
        <v>0</v>
      </c>
      <c r="MFB15">
        <f ca="1"/>
        <v>0</v>
      </c>
      <c r="MFC15">
        <f ca="1"/>
        <v>0</v>
      </c>
      <c r="MFD15">
        <f ca="1"/>
        <v>0</v>
      </c>
      <c r="MFE15">
        <f ca="1"/>
        <v>0</v>
      </c>
      <c r="MFF15">
        <f ca="1"/>
        <v>0</v>
      </c>
      <c r="MFG15">
        <f ca="1"/>
        <v>0</v>
      </c>
      <c r="MFH15">
        <f ca="1"/>
        <v>0</v>
      </c>
      <c r="MFI15">
        <f ca="1"/>
        <v>0</v>
      </c>
      <c r="MFJ15">
        <f ca="1"/>
        <v>0</v>
      </c>
      <c r="MFK15">
        <f ca="1"/>
        <v>0</v>
      </c>
      <c r="MFL15">
        <f ca="1"/>
        <v>0</v>
      </c>
      <c r="MFM15">
        <f ca="1"/>
        <v>0</v>
      </c>
      <c r="MFN15">
        <f ca="1"/>
        <v>0</v>
      </c>
      <c r="MFO15">
        <f ca="1"/>
        <v>0</v>
      </c>
      <c r="MFP15">
        <f ca="1"/>
        <v>0</v>
      </c>
      <c r="MFQ15">
        <f ca="1"/>
        <v>0</v>
      </c>
      <c r="MFR15">
        <f ca="1"/>
        <v>0</v>
      </c>
      <c r="MFS15">
        <f ca="1"/>
        <v>0</v>
      </c>
      <c r="MFT15">
        <f ca="1"/>
        <v>0</v>
      </c>
      <c r="MFU15">
        <f ca="1"/>
        <v>0</v>
      </c>
      <c r="MFV15">
        <f ca="1"/>
        <v>0</v>
      </c>
      <c r="MFW15">
        <f ca="1"/>
        <v>0</v>
      </c>
      <c r="MFX15">
        <f ca="1"/>
        <v>0</v>
      </c>
      <c r="MFY15">
        <f ca="1"/>
        <v>0</v>
      </c>
      <c r="MFZ15">
        <f ca="1"/>
        <v>0</v>
      </c>
      <c r="MGA15">
        <f ca="1"/>
        <v>0</v>
      </c>
      <c r="MGB15">
        <f ca="1"/>
        <v>0</v>
      </c>
      <c r="MGC15">
        <f ca="1"/>
        <v>0</v>
      </c>
      <c r="MGD15">
        <f ca="1"/>
        <v>0</v>
      </c>
      <c r="MGE15">
        <f ca="1"/>
        <v>0</v>
      </c>
      <c r="MGF15">
        <f ca="1"/>
        <v>0</v>
      </c>
      <c r="MGG15">
        <f ca="1"/>
        <v>0</v>
      </c>
      <c r="MGH15">
        <f ca="1"/>
        <v>0</v>
      </c>
      <c r="MGI15">
        <f ca="1"/>
        <v>0</v>
      </c>
      <c r="MGJ15">
        <f ca="1"/>
        <v>0</v>
      </c>
      <c r="MGK15">
        <f ca="1"/>
        <v>0</v>
      </c>
      <c r="MGL15">
        <f ca="1"/>
        <v>0</v>
      </c>
      <c r="MGM15">
        <f ca="1"/>
        <v>0</v>
      </c>
      <c r="MGN15">
        <f ca="1"/>
        <v>0</v>
      </c>
      <c r="MGO15">
        <f ca="1"/>
        <v>0</v>
      </c>
      <c r="MGP15">
        <f ca="1"/>
        <v>0</v>
      </c>
      <c r="MGQ15">
        <f ca="1"/>
        <v>0</v>
      </c>
      <c r="MGR15">
        <f ca="1"/>
        <v>0</v>
      </c>
      <c r="MGS15">
        <f ca="1"/>
        <v>0</v>
      </c>
      <c r="MGT15">
        <f ca="1"/>
        <v>0</v>
      </c>
      <c r="MGU15">
        <f ca="1"/>
        <v>0</v>
      </c>
      <c r="MGV15">
        <f ca="1"/>
        <v>0</v>
      </c>
      <c r="MGW15">
        <f ca="1"/>
        <v>0</v>
      </c>
      <c r="MGX15">
        <f ca="1"/>
        <v>0</v>
      </c>
      <c r="MGY15">
        <f ca="1"/>
        <v>0</v>
      </c>
      <c r="MGZ15">
        <f ca="1"/>
        <v>0</v>
      </c>
      <c r="MHA15">
        <f ca="1"/>
        <v>0</v>
      </c>
      <c r="MHB15">
        <f ca="1"/>
        <v>0</v>
      </c>
      <c r="MHC15">
        <f ca="1"/>
        <v>0</v>
      </c>
      <c r="MHD15">
        <f ca="1"/>
        <v>0</v>
      </c>
      <c r="MHE15">
        <f ca="1"/>
        <v>0</v>
      </c>
      <c r="MHF15">
        <f ca="1"/>
        <v>0</v>
      </c>
      <c r="MHG15">
        <f ca="1"/>
        <v>0</v>
      </c>
      <c r="MHH15">
        <f ca="1"/>
        <v>0</v>
      </c>
      <c r="MHI15">
        <f ca="1"/>
        <v>0</v>
      </c>
      <c r="MHJ15">
        <f ca="1"/>
        <v>0</v>
      </c>
      <c r="MHK15">
        <f ca="1"/>
        <v>0</v>
      </c>
      <c r="MHL15">
        <f ca="1"/>
        <v>0</v>
      </c>
      <c r="MHM15">
        <f ca="1"/>
        <v>0</v>
      </c>
      <c r="MHN15">
        <f ca="1"/>
        <v>0</v>
      </c>
      <c r="MHO15">
        <f ca="1"/>
        <v>0</v>
      </c>
      <c r="MHP15">
        <f ca="1"/>
        <v>0</v>
      </c>
      <c r="MHQ15">
        <f ca="1"/>
        <v>0</v>
      </c>
      <c r="MHR15">
        <f ca="1"/>
        <v>0</v>
      </c>
      <c r="MHS15">
        <f ca="1"/>
        <v>0</v>
      </c>
      <c r="MHT15">
        <f ca="1"/>
        <v>0</v>
      </c>
      <c r="MHU15">
        <f ca="1"/>
        <v>0</v>
      </c>
      <c r="MHV15">
        <f ca="1"/>
        <v>0</v>
      </c>
      <c r="MHW15">
        <f ca="1"/>
        <v>0</v>
      </c>
      <c r="MHX15">
        <f ca="1"/>
        <v>0</v>
      </c>
      <c r="MHY15">
        <f ca="1"/>
        <v>0</v>
      </c>
      <c r="MHZ15">
        <f ca="1"/>
        <v>0</v>
      </c>
      <c r="MIA15">
        <f ca="1"/>
        <v>0</v>
      </c>
      <c r="MIB15">
        <f ca="1"/>
        <v>0</v>
      </c>
      <c r="MIC15">
        <f ca="1"/>
        <v>0</v>
      </c>
      <c r="MID15">
        <f ca="1"/>
        <v>0</v>
      </c>
      <c r="MIE15">
        <f ca="1"/>
        <v>0</v>
      </c>
      <c r="MIF15">
        <f ca="1"/>
        <v>0</v>
      </c>
      <c r="MIG15">
        <f ca="1"/>
        <v>0</v>
      </c>
      <c r="MIH15">
        <f ca="1"/>
        <v>0</v>
      </c>
      <c r="MII15">
        <f ca="1"/>
        <v>0</v>
      </c>
      <c r="MIJ15">
        <f ca="1"/>
        <v>0</v>
      </c>
      <c r="MIK15">
        <f ca="1"/>
        <v>0</v>
      </c>
      <c r="MIL15">
        <f ca="1"/>
        <v>0</v>
      </c>
      <c r="MIM15">
        <f ca="1"/>
        <v>0</v>
      </c>
      <c r="MIN15">
        <f ca="1"/>
        <v>0</v>
      </c>
      <c r="MIO15">
        <f ca="1"/>
        <v>0</v>
      </c>
      <c r="MIP15">
        <f ca="1"/>
        <v>0</v>
      </c>
      <c r="MIQ15">
        <f ca="1"/>
        <v>0</v>
      </c>
      <c r="MIR15">
        <f ca="1"/>
        <v>0</v>
      </c>
      <c r="MIS15">
        <f ca="1"/>
        <v>0</v>
      </c>
      <c r="MIT15">
        <f ca="1"/>
        <v>0</v>
      </c>
      <c r="MIU15">
        <f ca="1"/>
        <v>0</v>
      </c>
      <c r="MIV15">
        <f ca="1"/>
        <v>0</v>
      </c>
      <c r="MIW15">
        <f ca="1"/>
        <v>0</v>
      </c>
      <c r="MIX15">
        <f ca="1"/>
        <v>0</v>
      </c>
      <c r="MIY15">
        <f ca="1"/>
        <v>0</v>
      </c>
      <c r="MIZ15">
        <f ca="1"/>
        <v>0</v>
      </c>
      <c r="MJA15">
        <f ca="1"/>
        <v>0</v>
      </c>
      <c r="MJB15">
        <f ca="1"/>
        <v>0</v>
      </c>
      <c r="MJC15">
        <f ca="1"/>
        <v>0</v>
      </c>
      <c r="MJD15">
        <f ca="1"/>
        <v>0</v>
      </c>
      <c r="MJE15">
        <f ca="1"/>
        <v>0</v>
      </c>
      <c r="MJF15">
        <f ca="1"/>
        <v>0</v>
      </c>
      <c r="MJG15">
        <f ca="1"/>
        <v>0</v>
      </c>
      <c r="MJH15">
        <f ca="1"/>
        <v>0</v>
      </c>
      <c r="MJI15">
        <f ca="1"/>
        <v>0</v>
      </c>
      <c r="MJJ15">
        <f ca="1"/>
        <v>0</v>
      </c>
      <c r="MJK15">
        <f ca="1"/>
        <v>0</v>
      </c>
      <c r="MJL15">
        <f ca="1"/>
        <v>0</v>
      </c>
      <c r="MJM15">
        <f ca="1"/>
        <v>0</v>
      </c>
      <c r="MJN15">
        <f ca="1"/>
        <v>0</v>
      </c>
      <c r="MJO15">
        <f ca="1"/>
        <v>0</v>
      </c>
      <c r="MJP15">
        <f ca="1"/>
        <v>0</v>
      </c>
      <c r="MJQ15">
        <f ca="1"/>
        <v>0</v>
      </c>
      <c r="MJR15">
        <f ca="1"/>
        <v>0</v>
      </c>
      <c r="MJS15">
        <f ca="1"/>
        <v>0</v>
      </c>
      <c r="MJT15">
        <f ca="1"/>
        <v>0</v>
      </c>
      <c r="MJU15">
        <f ca="1"/>
        <v>0</v>
      </c>
      <c r="MJV15">
        <f ca="1"/>
        <v>0</v>
      </c>
      <c r="MJW15">
        <f ca="1"/>
        <v>0</v>
      </c>
      <c r="MJX15">
        <f ca="1"/>
        <v>0</v>
      </c>
      <c r="MJY15">
        <f ca="1"/>
        <v>0</v>
      </c>
      <c r="MJZ15">
        <f ca="1"/>
        <v>0</v>
      </c>
      <c r="MKA15">
        <f ca="1"/>
        <v>0</v>
      </c>
      <c r="MKB15">
        <f ca="1"/>
        <v>0</v>
      </c>
      <c r="MKC15">
        <f ca="1"/>
        <v>0</v>
      </c>
      <c r="MKD15">
        <f ca="1"/>
        <v>0</v>
      </c>
      <c r="MKE15">
        <f ca="1"/>
        <v>0</v>
      </c>
      <c r="MKF15">
        <f ca="1"/>
        <v>0</v>
      </c>
      <c r="MKG15">
        <f ca="1"/>
        <v>0</v>
      </c>
      <c r="MKH15">
        <f ca="1"/>
        <v>0</v>
      </c>
      <c r="MKI15">
        <f ca="1"/>
        <v>0</v>
      </c>
      <c r="MKJ15">
        <f ca="1"/>
        <v>0</v>
      </c>
      <c r="MKK15">
        <f ca="1"/>
        <v>0</v>
      </c>
      <c r="MKL15">
        <f ca="1"/>
        <v>0</v>
      </c>
      <c r="MKM15">
        <f ca="1"/>
        <v>0</v>
      </c>
      <c r="MKN15">
        <f ca="1"/>
        <v>0</v>
      </c>
      <c r="MKO15">
        <f ca="1"/>
        <v>0</v>
      </c>
      <c r="MKP15">
        <f ca="1"/>
        <v>0</v>
      </c>
      <c r="MKQ15">
        <f ca="1"/>
        <v>0</v>
      </c>
      <c r="MKR15">
        <f ca="1"/>
        <v>0</v>
      </c>
      <c r="MKS15">
        <f ca="1"/>
        <v>0</v>
      </c>
      <c r="MKT15">
        <f ca="1"/>
        <v>0</v>
      </c>
      <c r="MKU15">
        <f ca="1"/>
        <v>0</v>
      </c>
      <c r="MKV15">
        <f ca="1"/>
        <v>0</v>
      </c>
      <c r="MKW15">
        <f ca="1"/>
        <v>0</v>
      </c>
      <c r="MKX15">
        <f ca="1"/>
        <v>0</v>
      </c>
      <c r="MKY15">
        <f ca="1"/>
        <v>0</v>
      </c>
      <c r="MKZ15">
        <f ca="1"/>
        <v>0</v>
      </c>
      <c r="MLA15">
        <f ca="1"/>
        <v>0</v>
      </c>
      <c r="MLB15">
        <f ca="1"/>
        <v>0</v>
      </c>
      <c r="MLC15">
        <f ca="1"/>
        <v>0</v>
      </c>
      <c r="MLD15">
        <f ca="1"/>
        <v>0</v>
      </c>
      <c r="MLE15">
        <f ca="1"/>
        <v>0</v>
      </c>
      <c r="MLF15">
        <f ca="1"/>
        <v>0</v>
      </c>
      <c r="MLG15">
        <f ca="1"/>
        <v>0</v>
      </c>
      <c r="MLH15">
        <f ca="1"/>
        <v>0</v>
      </c>
      <c r="MLI15">
        <f ca="1"/>
        <v>0</v>
      </c>
      <c r="MLJ15">
        <f ca="1"/>
        <v>0</v>
      </c>
      <c r="MLK15">
        <f ca="1"/>
        <v>0</v>
      </c>
      <c r="MLL15">
        <f ca="1"/>
        <v>0</v>
      </c>
      <c r="MLM15">
        <f ca="1"/>
        <v>0</v>
      </c>
      <c r="MLN15">
        <f ca="1"/>
        <v>0</v>
      </c>
      <c r="MLO15">
        <f ca="1"/>
        <v>0</v>
      </c>
      <c r="MLP15">
        <f ca="1"/>
        <v>0</v>
      </c>
      <c r="MLQ15">
        <f ca="1"/>
        <v>0</v>
      </c>
      <c r="MLR15">
        <f ca="1"/>
        <v>0</v>
      </c>
      <c r="MLS15">
        <f ca="1"/>
        <v>0</v>
      </c>
      <c r="MLT15">
        <f ca="1"/>
        <v>0</v>
      </c>
      <c r="MLU15">
        <f ca="1"/>
        <v>0</v>
      </c>
      <c r="MLV15">
        <f ca="1"/>
        <v>0</v>
      </c>
      <c r="MLW15">
        <f ca="1"/>
        <v>0</v>
      </c>
      <c r="MLX15">
        <f ca="1"/>
        <v>0</v>
      </c>
      <c r="MLY15">
        <f ca="1"/>
        <v>0</v>
      </c>
      <c r="MLZ15">
        <f ca="1"/>
        <v>0</v>
      </c>
      <c r="MMA15">
        <f ca="1"/>
        <v>0</v>
      </c>
      <c r="MMB15">
        <f ca="1"/>
        <v>0</v>
      </c>
      <c r="MMC15">
        <f ca="1"/>
        <v>0</v>
      </c>
      <c r="MMD15">
        <f ca="1"/>
        <v>0</v>
      </c>
      <c r="MME15">
        <f ca="1"/>
        <v>0</v>
      </c>
      <c r="MMF15">
        <f ca="1"/>
        <v>0</v>
      </c>
      <c r="MMG15">
        <f ca="1"/>
        <v>0</v>
      </c>
      <c r="MMH15">
        <f ca="1"/>
        <v>0</v>
      </c>
      <c r="MMI15">
        <f ca="1"/>
        <v>0</v>
      </c>
      <c r="MMJ15">
        <f ca="1"/>
        <v>0</v>
      </c>
      <c r="MMK15">
        <f ca="1"/>
        <v>0</v>
      </c>
      <c r="MML15">
        <f ca="1"/>
        <v>0</v>
      </c>
      <c r="MMM15">
        <f ca="1"/>
        <v>0</v>
      </c>
      <c r="MMN15">
        <f ca="1"/>
        <v>0</v>
      </c>
      <c r="MMO15">
        <f ca="1"/>
        <v>0</v>
      </c>
      <c r="MMP15">
        <f ca="1"/>
        <v>0</v>
      </c>
      <c r="MMQ15">
        <f ca="1"/>
        <v>0</v>
      </c>
      <c r="MMR15">
        <f ca="1"/>
        <v>0</v>
      </c>
      <c r="MMS15">
        <f ca="1"/>
        <v>0</v>
      </c>
      <c r="MMT15">
        <f ca="1"/>
        <v>0</v>
      </c>
      <c r="MMU15">
        <f ca="1"/>
        <v>0</v>
      </c>
      <c r="MMV15">
        <f ca="1"/>
        <v>0</v>
      </c>
      <c r="MMW15">
        <f ca="1"/>
        <v>0</v>
      </c>
      <c r="MMX15">
        <f ca="1"/>
        <v>0</v>
      </c>
      <c r="MMY15">
        <f ca="1"/>
        <v>0</v>
      </c>
      <c r="MMZ15">
        <f ca="1"/>
        <v>0</v>
      </c>
      <c r="MNA15">
        <f ca="1"/>
        <v>0</v>
      </c>
      <c r="MNB15">
        <f ca="1"/>
        <v>0</v>
      </c>
      <c r="MNC15">
        <f ca="1"/>
        <v>0</v>
      </c>
      <c r="MND15">
        <f ca="1"/>
        <v>0</v>
      </c>
      <c r="MNE15">
        <f ca="1"/>
        <v>0</v>
      </c>
      <c r="MNF15">
        <f ca="1"/>
        <v>0</v>
      </c>
      <c r="MNG15">
        <f ca="1"/>
        <v>0</v>
      </c>
      <c r="MNH15">
        <f ca="1"/>
        <v>0</v>
      </c>
      <c r="MNI15">
        <f ca="1"/>
        <v>0</v>
      </c>
      <c r="MNJ15">
        <f ca="1"/>
        <v>0</v>
      </c>
      <c r="MNK15">
        <f ca="1"/>
        <v>0</v>
      </c>
      <c r="MNL15">
        <f ca="1"/>
        <v>0</v>
      </c>
      <c r="MNM15">
        <f ca="1"/>
        <v>0</v>
      </c>
      <c r="MNN15">
        <f ca="1"/>
        <v>0</v>
      </c>
      <c r="MNO15">
        <f ca="1"/>
        <v>0</v>
      </c>
      <c r="MNP15">
        <f ca="1"/>
        <v>0</v>
      </c>
      <c r="MNQ15">
        <f ca="1"/>
        <v>0</v>
      </c>
      <c r="MNR15">
        <f ca="1"/>
        <v>0</v>
      </c>
      <c r="MNS15">
        <f ca="1"/>
        <v>0</v>
      </c>
      <c r="MNT15">
        <f ca="1"/>
        <v>0</v>
      </c>
      <c r="MNU15">
        <f ca="1"/>
        <v>0</v>
      </c>
      <c r="MNV15">
        <f ca="1"/>
        <v>0</v>
      </c>
      <c r="MNW15">
        <f ca="1"/>
        <v>0</v>
      </c>
      <c r="MNX15">
        <f ca="1"/>
        <v>0</v>
      </c>
      <c r="MNY15">
        <f ca="1"/>
        <v>0</v>
      </c>
      <c r="MNZ15">
        <f ca="1"/>
        <v>0</v>
      </c>
      <c r="MOA15">
        <f ca="1"/>
        <v>0</v>
      </c>
      <c r="MOB15">
        <f ca="1"/>
        <v>0</v>
      </c>
      <c r="MOC15">
        <f ca="1"/>
        <v>0</v>
      </c>
      <c r="MOD15">
        <f ca="1"/>
        <v>0</v>
      </c>
      <c r="MOE15">
        <f ca="1"/>
        <v>0</v>
      </c>
      <c r="MOF15">
        <f ca="1"/>
        <v>0</v>
      </c>
      <c r="MOG15">
        <f ca="1"/>
        <v>0</v>
      </c>
      <c r="MOH15">
        <f ca="1"/>
        <v>0</v>
      </c>
      <c r="MOI15">
        <f ca="1"/>
        <v>0</v>
      </c>
      <c r="MOJ15">
        <f ca="1"/>
        <v>0</v>
      </c>
      <c r="MOK15">
        <f ca="1"/>
        <v>0</v>
      </c>
      <c r="MOL15">
        <f ca="1"/>
        <v>0</v>
      </c>
      <c r="MOM15">
        <f ca="1"/>
        <v>0</v>
      </c>
      <c r="MON15">
        <f ca="1"/>
        <v>0</v>
      </c>
      <c r="MOO15">
        <f ca="1"/>
        <v>0</v>
      </c>
      <c r="MOP15">
        <f ca="1"/>
        <v>0</v>
      </c>
      <c r="MOQ15">
        <f ca="1"/>
        <v>0</v>
      </c>
      <c r="MOR15">
        <f ca="1"/>
        <v>0</v>
      </c>
      <c r="MOS15">
        <f ca="1"/>
        <v>0</v>
      </c>
      <c r="MOT15">
        <f ca="1"/>
        <v>0</v>
      </c>
      <c r="MOU15">
        <f ca="1"/>
        <v>0</v>
      </c>
      <c r="MOV15">
        <f ca="1"/>
        <v>0</v>
      </c>
      <c r="MOW15">
        <f ca="1"/>
        <v>0</v>
      </c>
      <c r="MOX15">
        <f ca="1"/>
        <v>0</v>
      </c>
      <c r="MOY15">
        <f ca="1"/>
        <v>0</v>
      </c>
      <c r="MOZ15">
        <f ca="1"/>
        <v>0</v>
      </c>
      <c r="MPA15">
        <f ca="1"/>
        <v>0</v>
      </c>
      <c r="MPB15">
        <f ca="1"/>
        <v>0</v>
      </c>
      <c r="MPC15">
        <f ca="1"/>
        <v>0</v>
      </c>
      <c r="MPD15">
        <f ca="1"/>
        <v>0</v>
      </c>
      <c r="MPE15">
        <f ca="1"/>
        <v>0</v>
      </c>
      <c r="MPF15">
        <f ca="1"/>
        <v>0</v>
      </c>
      <c r="MPG15">
        <f ca="1"/>
        <v>0</v>
      </c>
      <c r="MPH15">
        <f ca="1"/>
        <v>0</v>
      </c>
      <c r="MPI15">
        <f ca="1"/>
        <v>0</v>
      </c>
      <c r="MPJ15">
        <f ca="1"/>
        <v>0</v>
      </c>
      <c r="MPK15">
        <f ca="1"/>
        <v>0</v>
      </c>
      <c r="MPL15">
        <f ca="1"/>
        <v>0</v>
      </c>
      <c r="MPM15">
        <f ca="1"/>
        <v>0</v>
      </c>
      <c r="MPN15">
        <f ca="1"/>
        <v>0</v>
      </c>
      <c r="MPO15">
        <f ca="1"/>
        <v>0</v>
      </c>
      <c r="MPP15">
        <f ca="1"/>
        <v>0</v>
      </c>
      <c r="MPQ15">
        <f ca="1"/>
        <v>0</v>
      </c>
      <c r="MPR15">
        <f ca="1"/>
        <v>0</v>
      </c>
      <c r="MPS15">
        <f ca="1"/>
        <v>0</v>
      </c>
      <c r="MPT15">
        <f ca="1"/>
        <v>0</v>
      </c>
      <c r="MPU15">
        <f ca="1"/>
        <v>0</v>
      </c>
      <c r="MPV15">
        <f ca="1"/>
        <v>0</v>
      </c>
      <c r="MPW15">
        <f ca="1"/>
        <v>0</v>
      </c>
      <c r="MPX15">
        <f ca="1"/>
        <v>0</v>
      </c>
      <c r="MPY15">
        <f ca="1"/>
        <v>0</v>
      </c>
      <c r="MPZ15">
        <f ca="1"/>
        <v>0</v>
      </c>
      <c r="MQA15">
        <f ca="1"/>
        <v>0</v>
      </c>
      <c r="MQB15">
        <f ca="1"/>
        <v>0</v>
      </c>
      <c r="MQC15">
        <f ca="1"/>
        <v>0</v>
      </c>
      <c r="MQD15">
        <f ca="1"/>
        <v>0</v>
      </c>
      <c r="MQE15">
        <f ca="1"/>
        <v>0</v>
      </c>
      <c r="MQF15">
        <f ca="1"/>
        <v>0</v>
      </c>
      <c r="MQG15">
        <f ca="1"/>
        <v>0</v>
      </c>
      <c r="MQH15">
        <f ca="1"/>
        <v>0</v>
      </c>
      <c r="MQI15">
        <f ca="1"/>
        <v>0</v>
      </c>
      <c r="MQJ15">
        <f ca="1"/>
        <v>0</v>
      </c>
      <c r="MQK15">
        <f ca="1"/>
        <v>0</v>
      </c>
      <c r="MQL15">
        <f ca="1"/>
        <v>0</v>
      </c>
      <c r="MQM15">
        <f ca="1"/>
        <v>0</v>
      </c>
      <c r="MQN15">
        <f ca="1"/>
        <v>0</v>
      </c>
      <c r="MQO15">
        <f ca="1"/>
        <v>0</v>
      </c>
      <c r="MQP15">
        <f ca="1"/>
        <v>0</v>
      </c>
      <c r="MQQ15">
        <f ca="1"/>
        <v>0</v>
      </c>
      <c r="MQR15">
        <f ca="1"/>
        <v>0</v>
      </c>
      <c r="MQS15">
        <f ca="1"/>
        <v>0</v>
      </c>
      <c r="MQT15">
        <f ca="1"/>
        <v>0</v>
      </c>
      <c r="MQU15">
        <f ca="1"/>
        <v>0</v>
      </c>
      <c r="MQV15">
        <f ca="1"/>
        <v>0</v>
      </c>
      <c r="MQW15">
        <f ca="1"/>
        <v>0</v>
      </c>
      <c r="MQX15">
        <f ca="1"/>
        <v>0</v>
      </c>
      <c r="MQY15">
        <f ca="1"/>
        <v>0</v>
      </c>
      <c r="MQZ15">
        <f ca="1"/>
        <v>0</v>
      </c>
      <c r="MRA15">
        <f ca="1"/>
        <v>0</v>
      </c>
      <c r="MRB15">
        <f ca="1"/>
        <v>0</v>
      </c>
      <c r="MRC15">
        <f ca="1"/>
        <v>0</v>
      </c>
      <c r="MRD15">
        <f ca="1"/>
        <v>0</v>
      </c>
      <c r="MRE15">
        <f ca="1"/>
        <v>0</v>
      </c>
      <c r="MRF15">
        <f ca="1"/>
        <v>0</v>
      </c>
      <c r="MRG15">
        <f ca="1"/>
        <v>0</v>
      </c>
      <c r="MRH15">
        <f ca="1"/>
        <v>0</v>
      </c>
      <c r="MRI15">
        <f ca="1"/>
        <v>0</v>
      </c>
      <c r="MRJ15">
        <f ca="1"/>
        <v>0</v>
      </c>
      <c r="MRK15">
        <f ca="1"/>
        <v>0</v>
      </c>
      <c r="MRL15">
        <f ca="1"/>
        <v>0</v>
      </c>
      <c r="MRM15">
        <f ca="1"/>
        <v>0</v>
      </c>
      <c r="MRN15">
        <f ca="1"/>
        <v>0</v>
      </c>
      <c r="MRO15">
        <f ca="1"/>
        <v>0</v>
      </c>
      <c r="MRP15">
        <f ca="1"/>
        <v>0</v>
      </c>
      <c r="MRQ15">
        <f ca="1"/>
        <v>0</v>
      </c>
      <c r="MRR15">
        <f ca="1"/>
        <v>0</v>
      </c>
      <c r="MRS15">
        <f ca="1"/>
        <v>0</v>
      </c>
      <c r="MRT15">
        <f ca="1"/>
        <v>0</v>
      </c>
      <c r="MRU15">
        <f ca="1"/>
        <v>0</v>
      </c>
      <c r="MRV15">
        <f ca="1"/>
        <v>0</v>
      </c>
      <c r="MRW15">
        <f ca="1"/>
        <v>0</v>
      </c>
      <c r="MRX15">
        <f ca="1"/>
        <v>0</v>
      </c>
      <c r="MRY15">
        <f ca="1"/>
        <v>0</v>
      </c>
      <c r="MRZ15">
        <f ca="1"/>
        <v>0</v>
      </c>
      <c r="MSA15">
        <f ca="1"/>
        <v>0</v>
      </c>
      <c r="MSB15">
        <f ca="1"/>
        <v>0</v>
      </c>
      <c r="MSC15">
        <f ca="1"/>
        <v>0</v>
      </c>
      <c r="MSD15">
        <f ca="1"/>
        <v>0</v>
      </c>
      <c r="MSE15">
        <f ca="1"/>
        <v>0</v>
      </c>
      <c r="MSF15">
        <f ca="1"/>
        <v>0</v>
      </c>
      <c r="MSG15">
        <f ca="1"/>
        <v>0</v>
      </c>
      <c r="MSH15">
        <f ca="1"/>
        <v>0</v>
      </c>
      <c r="MSI15">
        <f ca="1"/>
        <v>0</v>
      </c>
      <c r="MSJ15">
        <f ca="1"/>
        <v>0</v>
      </c>
      <c r="MSK15">
        <f ca="1"/>
        <v>0</v>
      </c>
      <c r="MSL15">
        <f ca="1"/>
        <v>0</v>
      </c>
      <c r="MSM15">
        <f ca="1"/>
        <v>0</v>
      </c>
      <c r="MSN15">
        <f ca="1"/>
        <v>0</v>
      </c>
      <c r="MSO15">
        <f ca="1"/>
        <v>0</v>
      </c>
      <c r="MSP15">
        <f ca="1"/>
        <v>0</v>
      </c>
      <c r="MSQ15">
        <f ca="1"/>
        <v>0</v>
      </c>
      <c r="MSR15">
        <f ca="1"/>
        <v>0</v>
      </c>
      <c r="MSS15">
        <f ca="1"/>
        <v>0</v>
      </c>
      <c r="MST15">
        <f ca="1"/>
        <v>0</v>
      </c>
      <c r="MSU15">
        <f ca="1"/>
        <v>0</v>
      </c>
      <c r="MSV15">
        <f ca="1"/>
        <v>0</v>
      </c>
      <c r="MSW15">
        <f ca="1"/>
        <v>0</v>
      </c>
      <c r="MSX15">
        <f ca="1"/>
        <v>0</v>
      </c>
      <c r="MSY15">
        <f ca="1"/>
        <v>0</v>
      </c>
      <c r="MSZ15">
        <f ca="1"/>
        <v>0</v>
      </c>
      <c r="MTA15">
        <f ca="1"/>
        <v>0</v>
      </c>
      <c r="MTB15">
        <f ca="1"/>
        <v>0</v>
      </c>
      <c r="MTC15">
        <f ca="1"/>
        <v>0</v>
      </c>
      <c r="MTD15">
        <f ca="1"/>
        <v>0</v>
      </c>
      <c r="MTE15">
        <f ca="1"/>
        <v>0</v>
      </c>
      <c r="MTF15">
        <f ca="1"/>
        <v>0</v>
      </c>
      <c r="MTG15">
        <f ca="1"/>
        <v>0</v>
      </c>
      <c r="MTH15">
        <f ca="1"/>
        <v>0</v>
      </c>
      <c r="MTI15">
        <f ca="1"/>
        <v>0</v>
      </c>
      <c r="MTJ15">
        <f ca="1"/>
        <v>0</v>
      </c>
      <c r="MTK15">
        <f ca="1"/>
        <v>0</v>
      </c>
      <c r="MTL15">
        <f ca="1"/>
        <v>0</v>
      </c>
      <c r="MTM15">
        <f ca="1"/>
        <v>0</v>
      </c>
      <c r="MTN15">
        <f ca="1"/>
        <v>0</v>
      </c>
      <c r="MTO15">
        <f ca="1"/>
        <v>0</v>
      </c>
      <c r="MTP15">
        <f ca="1"/>
        <v>0</v>
      </c>
      <c r="MTQ15">
        <f ca="1"/>
        <v>0</v>
      </c>
      <c r="MTR15">
        <f ca="1"/>
        <v>0</v>
      </c>
      <c r="MTS15">
        <f ca="1"/>
        <v>0</v>
      </c>
      <c r="MTT15">
        <f ca="1"/>
        <v>0</v>
      </c>
      <c r="MTU15">
        <f ca="1"/>
        <v>0</v>
      </c>
      <c r="MTV15">
        <f ca="1"/>
        <v>0</v>
      </c>
      <c r="MTW15">
        <f ca="1"/>
        <v>0</v>
      </c>
      <c r="MTX15">
        <f ca="1"/>
        <v>0</v>
      </c>
      <c r="MTY15">
        <f ca="1"/>
        <v>0</v>
      </c>
      <c r="MTZ15">
        <f ca="1"/>
        <v>0</v>
      </c>
      <c r="MUA15">
        <f ca="1"/>
        <v>0</v>
      </c>
      <c r="MUB15">
        <f ca="1"/>
        <v>0</v>
      </c>
      <c r="MUC15">
        <f ca="1"/>
        <v>0</v>
      </c>
      <c r="MUD15">
        <f ca="1"/>
        <v>0</v>
      </c>
      <c r="MUE15">
        <f ca="1"/>
        <v>0</v>
      </c>
      <c r="MUF15">
        <f ca="1"/>
        <v>0</v>
      </c>
      <c r="MUG15">
        <f ca="1"/>
        <v>0</v>
      </c>
      <c r="MUH15">
        <f ca="1"/>
        <v>0</v>
      </c>
      <c r="MUI15">
        <f ca="1"/>
        <v>0</v>
      </c>
      <c r="MUJ15">
        <f ca="1"/>
        <v>0</v>
      </c>
      <c r="MUK15">
        <f ca="1"/>
        <v>0</v>
      </c>
      <c r="MUL15">
        <f ca="1"/>
        <v>0</v>
      </c>
      <c r="MUM15">
        <f ca="1"/>
        <v>0</v>
      </c>
      <c r="MUN15">
        <f ca="1"/>
        <v>0</v>
      </c>
      <c r="MUO15">
        <f ca="1"/>
        <v>0</v>
      </c>
      <c r="MUP15">
        <f ca="1"/>
        <v>0</v>
      </c>
      <c r="MUQ15">
        <f ca="1"/>
        <v>0</v>
      </c>
      <c r="MUR15">
        <f ca="1"/>
        <v>0</v>
      </c>
      <c r="MUS15">
        <f ca="1"/>
        <v>0</v>
      </c>
      <c r="MUT15">
        <f ca="1"/>
        <v>0</v>
      </c>
      <c r="MUU15">
        <f ca="1"/>
        <v>0</v>
      </c>
      <c r="MUV15">
        <f ca="1"/>
        <v>0</v>
      </c>
      <c r="MUW15">
        <f ca="1"/>
        <v>0</v>
      </c>
      <c r="MUX15">
        <f ca="1"/>
        <v>0</v>
      </c>
      <c r="MUY15">
        <f ca="1"/>
        <v>0</v>
      </c>
      <c r="MUZ15">
        <f ca="1"/>
        <v>0</v>
      </c>
      <c r="MVA15">
        <f ca="1"/>
        <v>0</v>
      </c>
      <c r="MVB15">
        <f ca="1"/>
        <v>0</v>
      </c>
      <c r="MVC15">
        <f ca="1"/>
        <v>0</v>
      </c>
      <c r="MVD15">
        <f ca="1"/>
        <v>0</v>
      </c>
      <c r="MVE15">
        <f ca="1"/>
        <v>0</v>
      </c>
      <c r="MVF15">
        <f ca="1"/>
        <v>0</v>
      </c>
      <c r="MVG15">
        <f ca="1"/>
        <v>0</v>
      </c>
      <c r="MVH15">
        <f ca="1"/>
        <v>0</v>
      </c>
      <c r="MVI15">
        <f ca="1"/>
        <v>0</v>
      </c>
      <c r="MVJ15">
        <f ca="1"/>
        <v>0</v>
      </c>
      <c r="MVK15">
        <f ca="1"/>
        <v>0</v>
      </c>
      <c r="MVL15">
        <f ca="1"/>
        <v>0</v>
      </c>
      <c r="MVM15">
        <f ca="1"/>
        <v>0</v>
      </c>
      <c r="MVN15">
        <f ca="1"/>
        <v>0</v>
      </c>
      <c r="MVO15">
        <f ca="1"/>
        <v>0</v>
      </c>
      <c r="MVP15">
        <f ca="1"/>
        <v>0</v>
      </c>
      <c r="MVQ15">
        <f ca="1"/>
        <v>0</v>
      </c>
      <c r="MVR15">
        <f ca="1"/>
        <v>0</v>
      </c>
      <c r="MVS15">
        <f ca="1"/>
        <v>0</v>
      </c>
      <c r="MVT15">
        <f ca="1"/>
        <v>0</v>
      </c>
      <c r="MVU15">
        <f ca="1"/>
        <v>0</v>
      </c>
      <c r="MVV15">
        <f ca="1"/>
        <v>0</v>
      </c>
      <c r="MVW15">
        <f ca="1"/>
        <v>0</v>
      </c>
      <c r="MVX15">
        <f ca="1"/>
        <v>0</v>
      </c>
      <c r="MVY15">
        <f ca="1"/>
        <v>0</v>
      </c>
      <c r="MVZ15">
        <f ca="1"/>
        <v>0</v>
      </c>
      <c r="MWA15">
        <f ca="1"/>
        <v>0</v>
      </c>
      <c r="MWB15">
        <f ca="1"/>
        <v>0</v>
      </c>
      <c r="MWC15">
        <f ca="1"/>
        <v>0</v>
      </c>
      <c r="MWD15">
        <f ca="1"/>
        <v>0</v>
      </c>
      <c r="MWE15">
        <f ca="1"/>
        <v>0</v>
      </c>
      <c r="MWF15">
        <f ca="1"/>
        <v>0</v>
      </c>
      <c r="MWG15">
        <f ca="1"/>
        <v>0</v>
      </c>
      <c r="MWH15">
        <f ca="1"/>
        <v>0</v>
      </c>
      <c r="MWI15">
        <f ca="1"/>
        <v>0</v>
      </c>
      <c r="MWJ15">
        <f ca="1"/>
        <v>0</v>
      </c>
      <c r="MWK15">
        <f ca="1"/>
        <v>0</v>
      </c>
      <c r="MWL15">
        <f ca="1"/>
        <v>0</v>
      </c>
      <c r="MWM15">
        <f ca="1"/>
        <v>0</v>
      </c>
      <c r="MWN15">
        <f ca="1"/>
        <v>0</v>
      </c>
      <c r="MWO15">
        <f ca="1"/>
        <v>0</v>
      </c>
      <c r="MWP15">
        <f ca="1"/>
        <v>0</v>
      </c>
      <c r="MWQ15">
        <f ca="1"/>
        <v>0</v>
      </c>
      <c r="MWR15">
        <f ca="1"/>
        <v>0</v>
      </c>
      <c r="MWS15">
        <f ca="1"/>
        <v>0</v>
      </c>
      <c r="MWT15">
        <f ca="1"/>
        <v>0</v>
      </c>
      <c r="MWU15">
        <f ca="1"/>
        <v>0</v>
      </c>
      <c r="MWV15">
        <f ca="1"/>
        <v>0</v>
      </c>
      <c r="MWW15">
        <f ca="1"/>
        <v>0</v>
      </c>
      <c r="MWX15">
        <f ca="1"/>
        <v>0</v>
      </c>
      <c r="MWY15">
        <f ca="1"/>
        <v>0</v>
      </c>
      <c r="MWZ15">
        <f ca="1"/>
        <v>0</v>
      </c>
      <c r="MXA15">
        <f ca="1"/>
        <v>0</v>
      </c>
      <c r="MXB15">
        <f ca="1"/>
        <v>0</v>
      </c>
      <c r="MXC15">
        <f ca="1"/>
        <v>0</v>
      </c>
      <c r="MXD15">
        <f ca="1"/>
        <v>0</v>
      </c>
      <c r="MXE15">
        <f ca="1"/>
        <v>0</v>
      </c>
      <c r="MXF15">
        <f ca="1"/>
        <v>0</v>
      </c>
      <c r="MXG15">
        <f ca="1"/>
        <v>0</v>
      </c>
      <c r="MXH15">
        <f ca="1"/>
        <v>0</v>
      </c>
      <c r="MXI15">
        <f ca="1"/>
        <v>0</v>
      </c>
      <c r="MXJ15">
        <f ca="1"/>
        <v>0</v>
      </c>
      <c r="MXK15">
        <f ca="1"/>
        <v>0</v>
      </c>
      <c r="MXL15">
        <f ca="1"/>
        <v>0</v>
      </c>
      <c r="MXM15">
        <f ca="1"/>
        <v>0</v>
      </c>
      <c r="MXN15">
        <f ca="1"/>
        <v>0</v>
      </c>
      <c r="MXO15">
        <f ca="1"/>
        <v>0</v>
      </c>
      <c r="MXP15">
        <f ca="1"/>
        <v>0</v>
      </c>
      <c r="MXQ15">
        <f ca="1"/>
        <v>0</v>
      </c>
      <c r="MXR15">
        <f ca="1"/>
        <v>0</v>
      </c>
      <c r="MXS15">
        <f ca="1"/>
        <v>0</v>
      </c>
      <c r="MXT15">
        <f ca="1"/>
        <v>0</v>
      </c>
      <c r="MXU15">
        <f ca="1"/>
        <v>0</v>
      </c>
      <c r="MXV15">
        <f ca="1"/>
        <v>0</v>
      </c>
      <c r="MXW15">
        <f ca="1"/>
        <v>0</v>
      </c>
      <c r="MXX15">
        <f ca="1"/>
        <v>0</v>
      </c>
      <c r="MXY15">
        <f ca="1"/>
        <v>0</v>
      </c>
      <c r="MXZ15">
        <f ca="1"/>
        <v>0</v>
      </c>
      <c r="MYA15">
        <f ca="1"/>
        <v>0</v>
      </c>
      <c r="MYB15">
        <f ca="1"/>
        <v>0</v>
      </c>
      <c r="MYC15">
        <f ca="1"/>
        <v>0</v>
      </c>
      <c r="MYD15">
        <f ca="1"/>
        <v>0</v>
      </c>
      <c r="MYE15">
        <f ca="1"/>
        <v>0</v>
      </c>
      <c r="MYF15">
        <f ca="1"/>
        <v>0</v>
      </c>
      <c r="MYG15">
        <f ca="1"/>
        <v>0</v>
      </c>
      <c r="MYH15">
        <f ca="1"/>
        <v>0</v>
      </c>
      <c r="MYI15">
        <f ca="1"/>
        <v>0</v>
      </c>
      <c r="MYJ15">
        <f ca="1"/>
        <v>0</v>
      </c>
      <c r="MYK15">
        <f ca="1"/>
        <v>0</v>
      </c>
      <c r="MYL15">
        <f ca="1"/>
        <v>0</v>
      </c>
      <c r="MYM15">
        <f ca="1"/>
        <v>0</v>
      </c>
      <c r="MYN15">
        <f ca="1"/>
        <v>0</v>
      </c>
      <c r="MYO15">
        <f ca="1"/>
        <v>0</v>
      </c>
      <c r="MYP15">
        <f ca="1"/>
        <v>0</v>
      </c>
      <c r="MYQ15">
        <f ca="1"/>
        <v>0</v>
      </c>
      <c r="MYR15">
        <f ca="1"/>
        <v>0</v>
      </c>
      <c r="MYS15">
        <f ca="1"/>
        <v>0</v>
      </c>
      <c r="MYT15">
        <f ca="1"/>
        <v>0</v>
      </c>
      <c r="MYU15">
        <f ca="1"/>
        <v>0</v>
      </c>
      <c r="MYV15">
        <f ca="1"/>
        <v>0</v>
      </c>
      <c r="MYW15">
        <f ca="1"/>
        <v>0</v>
      </c>
      <c r="MYX15">
        <f ca="1"/>
        <v>0</v>
      </c>
      <c r="MYY15">
        <f ca="1"/>
        <v>0</v>
      </c>
      <c r="MYZ15">
        <f ca="1"/>
        <v>0</v>
      </c>
      <c r="MZA15">
        <f ca="1"/>
        <v>0</v>
      </c>
      <c r="MZB15">
        <f ca="1"/>
        <v>0</v>
      </c>
      <c r="MZC15">
        <f ca="1"/>
        <v>0</v>
      </c>
      <c r="MZD15">
        <f ca="1"/>
        <v>0</v>
      </c>
      <c r="MZE15">
        <f ca="1"/>
        <v>0</v>
      </c>
      <c r="MZF15">
        <f ca="1"/>
        <v>0</v>
      </c>
      <c r="MZG15">
        <f ca="1"/>
        <v>0</v>
      </c>
      <c r="MZH15">
        <f ca="1"/>
        <v>0</v>
      </c>
      <c r="MZI15">
        <f ca="1"/>
        <v>0</v>
      </c>
      <c r="MZJ15">
        <f ca="1"/>
        <v>0</v>
      </c>
      <c r="MZK15">
        <f ca="1"/>
        <v>0</v>
      </c>
      <c r="MZL15">
        <f ca="1"/>
        <v>0</v>
      </c>
      <c r="MZM15">
        <f ca="1"/>
        <v>0</v>
      </c>
      <c r="MZN15">
        <f ca="1"/>
        <v>0</v>
      </c>
      <c r="MZO15">
        <f ca="1"/>
        <v>0</v>
      </c>
      <c r="MZP15">
        <f ca="1"/>
        <v>0</v>
      </c>
      <c r="MZQ15">
        <f ca="1"/>
        <v>0</v>
      </c>
      <c r="MZR15">
        <f ca="1"/>
        <v>0</v>
      </c>
      <c r="MZS15">
        <f ca="1"/>
        <v>0</v>
      </c>
      <c r="MZT15">
        <f ca="1"/>
        <v>0</v>
      </c>
      <c r="MZU15">
        <f ca="1"/>
        <v>0</v>
      </c>
      <c r="MZV15">
        <f ca="1"/>
        <v>0</v>
      </c>
      <c r="MZW15">
        <f ca="1"/>
        <v>0</v>
      </c>
      <c r="MZX15">
        <f ca="1"/>
        <v>0</v>
      </c>
      <c r="MZY15">
        <f ca="1"/>
        <v>0</v>
      </c>
      <c r="MZZ15">
        <f ca="1"/>
        <v>0</v>
      </c>
      <c r="NAA15">
        <f ca="1"/>
        <v>0</v>
      </c>
      <c r="NAB15">
        <f ca="1"/>
        <v>0</v>
      </c>
      <c r="NAC15">
        <f ca="1"/>
        <v>0</v>
      </c>
      <c r="NAD15">
        <f ca="1"/>
        <v>0</v>
      </c>
      <c r="NAE15">
        <f ca="1"/>
        <v>0</v>
      </c>
      <c r="NAF15">
        <f ca="1"/>
        <v>0</v>
      </c>
      <c r="NAG15">
        <f ca="1"/>
        <v>0</v>
      </c>
      <c r="NAH15">
        <f ca="1"/>
        <v>0</v>
      </c>
      <c r="NAI15">
        <f ca="1"/>
        <v>0</v>
      </c>
      <c r="NAJ15">
        <f ca="1"/>
        <v>0</v>
      </c>
      <c r="NAK15">
        <f ca="1"/>
        <v>0</v>
      </c>
      <c r="NAL15">
        <f ca="1"/>
        <v>0</v>
      </c>
      <c r="NAM15">
        <f ca="1"/>
        <v>0</v>
      </c>
      <c r="NAN15">
        <f ca="1"/>
        <v>0</v>
      </c>
      <c r="NAO15">
        <f ca="1"/>
        <v>0</v>
      </c>
      <c r="NAP15">
        <f ca="1"/>
        <v>0</v>
      </c>
      <c r="NAQ15">
        <f ca="1"/>
        <v>0</v>
      </c>
      <c r="NAR15">
        <f ca="1"/>
        <v>0</v>
      </c>
      <c r="NAS15">
        <f ca="1"/>
        <v>0</v>
      </c>
      <c r="NAT15">
        <f ca="1"/>
        <v>0</v>
      </c>
      <c r="NAU15">
        <f ca="1"/>
        <v>0</v>
      </c>
      <c r="NAV15">
        <f ca="1"/>
        <v>0</v>
      </c>
      <c r="NAW15">
        <f ca="1"/>
        <v>0</v>
      </c>
      <c r="NAX15">
        <f ca="1"/>
        <v>0</v>
      </c>
      <c r="NAY15">
        <f ca="1"/>
        <v>0</v>
      </c>
      <c r="NAZ15">
        <f ca="1"/>
        <v>0</v>
      </c>
      <c r="NBA15">
        <f ca="1"/>
        <v>0</v>
      </c>
      <c r="NBB15">
        <f ca="1"/>
        <v>0</v>
      </c>
      <c r="NBC15">
        <f ca="1"/>
        <v>0</v>
      </c>
      <c r="NBD15">
        <f ca="1"/>
        <v>0</v>
      </c>
      <c r="NBE15">
        <f ca="1"/>
        <v>0</v>
      </c>
      <c r="NBF15">
        <f ca="1"/>
        <v>0</v>
      </c>
      <c r="NBG15">
        <f ca="1"/>
        <v>0</v>
      </c>
      <c r="NBH15">
        <f ca="1"/>
        <v>0</v>
      </c>
      <c r="NBI15">
        <f ca="1"/>
        <v>0</v>
      </c>
      <c r="NBJ15">
        <f ca="1"/>
        <v>0</v>
      </c>
      <c r="NBK15">
        <f ca="1"/>
        <v>0</v>
      </c>
      <c r="NBL15">
        <f ca="1"/>
        <v>0</v>
      </c>
      <c r="NBM15">
        <f ca="1"/>
        <v>0</v>
      </c>
      <c r="NBN15">
        <f ca="1"/>
        <v>0</v>
      </c>
      <c r="NBO15">
        <f ca="1"/>
        <v>0</v>
      </c>
      <c r="NBP15">
        <f ca="1"/>
        <v>0</v>
      </c>
      <c r="NBQ15">
        <f ca="1"/>
        <v>0</v>
      </c>
      <c r="NBR15">
        <f ca="1"/>
        <v>0</v>
      </c>
      <c r="NBS15">
        <f ca="1"/>
        <v>0</v>
      </c>
      <c r="NBT15">
        <f ca="1"/>
        <v>0</v>
      </c>
      <c r="NBU15">
        <f ca="1"/>
        <v>0</v>
      </c>
      <c r="NBV15">
        <f ca="1"/>
        <v>0</v>
      </c>
      <c r="NBW15">
        <f ca="1"/>
        <v>0</v>
      </c>
      <c r="NBX15">
        <f ca="1"/>
        <v>0</v>
      </c>
      <c r="NBY15">
        <f ca="1"/>
        <v>0</v>
      </c>
      <c r="NBZ15">
        <f ca="1"/>
        <v>0</v>
      </c>
      <c r="NCA15">
        <f ca="1"/>
        <v>0</v>
      </c>
      <c r="NCB15">
        <f ca="1"/>
        <v>0</v>
      </c>
      <c r="NCC15">
        <f ca="1"/>
        <v>0</v>
      </c>
      <c r="NCD15">
        <f ca="1"/>
        <v>0</v>
      </c>
      <c r="NCE15">
        <f ca="1"/>
        <v>0</v>
      </c>
      <c r="NCF15">
        <f ca="1"/>
        <v>0</v>
      </c>
      <c r="NCG15">
        <f ca="1"/>
        <v>0</v>
      </c>
      <c r="NCH15">
        <f ca="1"/>
        <v>0</v>
      </c>
      <c r="NCI15">
        <f ca="1"/>
        <v>0</v>
      </c>
      <c r="NCJ15">
        <f ca="1"/>
        <v>0</v>
      </c>
      <c r="NCK15">
        <f ca="1"/>
        <v>0</v>
      </c>
      <c r="NCL15">
        <f ca="1"/>
        <v>0</v>
      </c>
      <c r="NCM15">
        <f ca="1"/>
        <v>0</v>
      </c>
      <c r="NCN15">
        <f ca="1"/>
        <v>0</v>
      </c>
      <c r="NCO15">
        <f ca="1"/>
        <v>0</v>
      </c>
      <c r="NCP15">
        <f ca="1"/>
        <v>0</v>
      </c>
      <c r="NCQ15">
        <f ca="1"/>
        <v>0</v>
      </c>
      <c r="NCR15">
        <f ca="1"/>
        <v>0</v>
      </c>
      <c r="NCS15">
        <f ca="1"/>
        <v>0</v>
      </c>
      <c r="NCT15">
        <f ca="1"/>
        <v>0</v>
      </c>
      <c r="NCU15">
        <f ca="1"/>
        <v>0</v>
      </c>
      <c r="NCV15">
        <f ca="1"/>
        <v>0</v>
      </c>
      <c r="NCW15">
        <f ca="1"/>
        <v>0</v>
      </c>
      <c r="NCX15">
        <f ca="1"/>
        <v>0</v>
      </c>
      <c r="NCY15">
        <f ca="1"/>
        <v>0</v>
      </c>
      <c r="NCZ15">
        <f ca="1"/>
        <v>0</v>
      </c>
      <c r="NDA15">
        <f ca="1"/>
        <v>0</v>
      </c>
      <c r="NDB15">
        <f ca="1"/>
        <v>0</v>
      </c>
      <c r="NDC15">
        <f ca="1"/>
        <v>0</v>
      </c>
      <c r="NDD15">
        <f ca="1"/>
        <v>0</v>
      </c>
      <c r="NDE15">
        <f ca="1"/>
        <v>0</v>
      </c>
      <c r="NDF15">
        <f ca="1"/>
        <v>0</v>
      </c>
      <c r="NDG15">
        <f ca="1"/>
        <v>0</v>
      </c>
      <c r="NDH15">
        <f ca="1"/>
        <v>0</v>
      </c>
      <c r="NDI15">
        <f ca="1"/>
        <v>0</v>
      </c>
      <c r="NDJ15">
        <f ca="1"/>
        <v>0</v>
      </c>
      <c r="NDK15">
        <f ca="1"/>
        <v>0</v>
      </c>
      <c r="NDL15">
        <f ca="1"/>
        <v>0</v>
      </c>
      <c r="NDM15">
        <f ca="1"/>
        <v>0</v>
      </c>
      <c r="NDN15">
        <f ca="1"/>
        <v>0</v>
      </c>
      <c r="NDO15">
        <f ca="1"/>
        <v>0</v>
      </c>
      <c r="NDP15">
        <f ca="1"/>
        <v>0</v>
      </c>
      <c r="NDQ15">
        <f ca="1"/>
        <v>0</v>
      </c>
      <c r="NDR15">
        <f ca="1"/>
        <v>0</v>
      </c>
      <c r="NDS15">
        <f ca="1"/>
        <v>0</v>
      </c>
      <c r="NDT15">
        <f ca="1"/>
        <v>0</v>
      </c>
      <c r="NDU15">
        <f ca="1"/>
        <v>0</v>
      </c>
      <c r="NDV15">
        <f ca="1"/>
        <v>0</v>
      </c>
      <c r="NDW15">
        <f ca="1"/>
        <v>0</v>
      </c>
      <c r="NDX15">
        <f ca="1"/>
        <v>0</v>
      </c>
      <c r="NDY15">
        <f ca="1"/>
        <v>0</v>
      </c>
      <c r="NDZ15">
        <f ca="1"/>
        <v>0</v>
      </c>
      <c r="NEA15">
        <f ca="1"/>
        <v>0</v>
      </c>
      <c r="NEB15">
        <f ca="1"/>
        <v>0</v>
      </c>
      <c r="NEC15">
        <f ca="1"/>
        <v>0</v>
      </c>
      <c r="NED15">
        <f ca="1"/>
        <v>0</v>
      </c>
      <c r="NEE15">
        <f ca="1"/>
        <v>0</v>
      </c>
      <c r="NEF15">
        <f ca="1"/>
        <v>0</v>
      </c>
      <c r="NEG15">
        <f ca="1"/>
        <v>0</v>
      </c>
      <c r="NEH15">
        <f ca="1"/>
        <v>0</v>
      </c>
      <c r="NEI15">
        <f ca="1"/>
        <v>0</v>
      </c>
      <c r="NEJ15">
        <f ca="1"/>
        <v>0</v>
      </c>
      <c r="NEK15">
        <f ca="1"/>
        <v>0</v>
      </c>
      <c r="NEL15">
        <f ca="1"/>
        <v>0</v>
      </c>
      <c r="NEM15">
        <f ca="1"/>
        <v>0</v>
      </c>
      <c r="NEN15">
        <f ca="1"/>
        <v>0</v>
      </c>
      <c r="NEO15">
        <f ca="1"/>
        <v>0</v>
      </c>
      <c r="NEP15">
        <f ca="1"/>
        <v>0</v>
      </c>
      <c r="NEQ15">
        <f ca="1"/>
        <v>0</v>
      </c>
      <c r="NER15">
        <f ca="1"/>
        <v>0</v>
      </c>
      <c r="NES15">
        <f ca="1"/>
        <v>0</v>
      </c>
      <c r="NET15">
        <f ca="1"/>
        <v>0</v>
      </c>
      <c r="NEU15">
        <f ca="1"/>
        <v>0</v>
      </c>
      <c r="NEV15">
        <f ca="1"/>
        <v>0</v>
      </c>
      <c r="NEW15">
        <f ca="1"/>
        <v>0</v>
      </c>
      <c r="NEX15">
        <f ca="1"/>
        <v>0</v>
      </c>
      <c r="NEY15">
        <f ca="1"/>
        <v>0</v>
      </c>
      <c r="NEZ15">
        <f ca="1"/>
        <v>0</v>
      </c>
      <c r="NFA15">
        <f ca="1"/>
        <v>0</v>
      </c>
      <c r="NFB15">
        <f ca="1"/>
        <v>0</v>
      </c>
      <c r="NFC15">
        <f ca="1"/>
        <v>0</v>
      </c>
      <c r="NFD15">
        <f ca="1"/>
        <v>0</v>
      </c>
      <c r="NFE15">
        <f ca="1"/>
        <v>0</v>
      </c>
      <c r="NFF15">
        <f ca="1"/>
        <v>0</v>
      </c>
      <c r="NFG15">
        <f ca="1"/>
        <v>0</v>
      </c>
      <c r="NFH15">
        <f ca="1"/>
        <v>0</v>
      </c>
      <c r="NFI15">
        <f ca="1"/>
        <v>0</v>
      </c>
      <c r="NFJ15">
        <f ca="1"/>
        <v>0</v>
      </c>
      <c r="NFK15">
        <f ca="1"/>
        <v>0</v>
      </c>
      <c r="NFL15">
        <f ca="1"/>
        <v>0</v>
      </c>
      <c r="NFM15">
        <f ca="1"/>
        <v>0</v>
      </c>
      <c r="NFN15">
        <f ca="1"/>
        <v>0</v>
      </c>
      <c r="NFO15">
        <f ca="1"/>
        <v>0</v>
      </c>
      <c r="NFP15">
        <f ca="1"/>
        <v>0</v>
      </c>
      <c r="NFQ15">
        <f ca="1"/>
        <v>0</v>
      </c>
      <c r="NFR15">
        <f ca="1"/>
        <v>0</v>
      </c>
      <c r="NFS15">
        <f ca="1"/>
        <v>0</v>
      </c>
      <c r="NFT15">
        <f ca="1"/>
        <v>0</v>
      </c>
      <c r="NFU15">
        <f ca="1"/>
        <v>0</v>
      </c>
      <c r="NFV15">
        <f ca="1"/>
        <v>0</v>
      </c>
      <c r="NFW15">
        <f ca="1"/>
        <v>0</v>
      </c>
      <c r="NFX15">
        <f ca="1"/>
        <v>0</v>
      </c>
      <c r="NFY15">
        <f ca="1"/>
        <v>0</v>
      </c>
      <c r="NFZ15">
        <f ca="1"/>
        <v>0</v>
      </c>
      <c r="NGA15">
        <f ca="1"/>
        <v>0</v>
      </c>
      <c r="NGB15">
        <f ca="1"/>
        <v>0</v>
      </c>
      <c r="NGC15">
        <f ca="1"/>
        <v>0</v>
      </c>
      <c r="NGD15">
        <f ca="1"/>
        <v>0</v>
      </c>
      <c r="NGE15">
        <f ca="1"/>
        <v>0</v>
      </c>
      <c r="NGF15">
        <f ca="1"/>
        <v>0</v>
      </c>
      <c r="NGG15">
        <f ca="1"/>
        <v>0</v>
      </c>
      <c r="NGH15">
        <f ca="1"/>
        <v>0</v>
      </c>
      <c r="NGI15">
        <f ca="1"/>
        <v>0</v>
      </c>
      <c r="NGJ15">
        <f ca="1"/>
        <v>0</v>
      </c>
      <c r="NGK15">
        <f ca="1"/>
        <v>0</v>
      </c>
      <c r="NGL15">
        <f ca="1"/>
        <v>0</v>
      </c>
      <c r="NGM15">
        <f ca="1"/>
        <v>0</v>
      </c>
      <c r="NGN15">
        <f ca="1"/>
        <v>0</v>
      </c>
      <c r="NGO15">
        <f ca="1"/>
        <v>0</v>
      </c>
      <c r="NGP15">
        <f ca="1"/>
        <v>0</v>
      </c>
      <c r="NGQ15">
        <f ca="1"/>
        <v>0</v>
      </c>
      <c r="NGR15">
        <f ca="1"/>
        <v>0</v>
      </c>
      <c r="NGS15">
        <f ca="1"/>
        <v>0</v>
      </c>
      <c r="NGT15">
        <f ca="1"/>
        <v>0</v>
      </c>
      <c r="NGU15">
        <f ca="1"/>
        <v>0</v>
      </c>
      <c r="NGV15">
        <f ca="1"/>
        <v>0</v>
      </c>
      <c r="NGW15">
        <f ca="1"/>
        <v>0</v>
      </c>
      <c r="NGX15">
        <f ca="1"/>
        <v>0</v>
      </c>
      <c r="NGY15">
        <f ca="1"/>
        <v>0</v>
      </c>
      <c r="NGZ15">
        <f ca="1"/>
        <v>0</v>
      </c>
      <c r="NHA15">
        <f ca="1"/>
        <v>0</v>
      </c>
      <c r="NHB15">
        <f ca="1"/>
        <v>0</v>
      </c>
      <c r="NHC15">
        <f ca="1"/>
        <v>0</v>
      </c>
      <c r="NHD15">
        <f ca="1"/>
        <v>0</v>
      </c>
      <c r="NHE15">
        <f ca="1"/>
        <v>0</v>
      </c>
      <c r="NHF15">
        <f ca="1"/>
        <v>0</v>
      </c>
      <c r="NHG15">
        <f ca="1"/>
        <v>0</v>
      </c>
      <c r="NHH15">
        <f ca="1"/>
        <v>0</v>
      </c>
      <c r="NHI15">
        <f ca="1"/>
        <v>0</v>
      </c>
      <c r="NHJ15">
        <f ca="1"/>
        <v>0</v>
      </c>
      <c r="NHK15">
        <f ca="1"/>
        <v>0</v>
      </c>
      <c r="NHL15">
        <f ca="1"/>
        <v>0</v>
      </c>
      <c r="NHM15">
        <f ca="1"/>
        <v>0</v>
      </c>
      <c r="NHN15">
        <f ca="1"/>
        <v>0</v>
      </c>
      <c r="NHO15">
        <f ca="1"/>
        <v>0</v>
      </c>
      <c r="NHP15">
        <f ca="1"/>
        <v>0</v>
      </c>
      <c r="NHQ15">
        <f ca="1"/>
        <v>0</v>
      </c>
      <c r="NHR15">
        <f ca="1"/>
        <v>0</v>
      </c>
      <c r="NHS15">
        <f ca="1"/>
        <v>0</v>
      </c>
      <c r="NHT15">
        <f ca="1"/>
        <v>0</v>
      </c>
      <c r="NHU15">
        <f ca="1"/>
        <v>0</v>
      </c>
      <c r="NHV15">
        <f ca="1"/>
        <v>0</v>
      </c>
      <c r="NHW15">
        <f ca="1"/>
        <v>0</v>
      </c>
      <c r="NHX15">
        <f ca="1"/>
        <v>0</v>
      </c>
      <c r="NHY15">
        <f ca="1"/>
        <v>0</v>
      </c>
      <c r="NHZ15">
        <f ca="1"/>
        <v>0</v>
      </c>
      <c r="NIA15">
        <f ca="1"/>
        <v>0</v>
      </c>
      <c r="NIB15">
        <f ca="1"/>
        <v>0</v>
      </c>
      <c r="NIC15">
        <f ca="1"/>
        <v>0</v>
      </c>
      <c r="NID15">
        <f ca="1"/>
        <v>0</v>
      </c>
      <c r="NIE15">
        <f ca="1"/>
        <v>0</v>
      </c>
      <c r="NIF15">
        <f ca="1"/>
        <v>0</v>
      </c>
      <c r="NIG15">
        <f ca="1"/>
        <v>0</v>
      </c>
      <c r="NIH15">
        <f ca="1"/>
        <v>0</v>
      </c>
      <c r="NII15">
        <f ca="1"/>
        <v>0</v>
      </c>
      <c r="NIJ15">
        <f ca="1"/>
        <v>0</v>
      </c>
      <c r="NIK15">
        <f ca="1"/>
        <v>0</v>
      </c>
      <c r="NIL15">
        <f ca="1"/>
        <v>0</v>
      </c>
      <c r="NIM15">
        <f ca="1"/>
        <v>0</v>
      </c>
      <c r="NIN15">
        <f ca="1"/>
        <v>0</v>
      </c>
      <c r="NIO15">
        <f ca="1"/>
        <v>0</v>
      </c>
      <c r="NIP15">
        <f ca="1"/>
        <v>0</v>
      </c>
      <c r="NIQ15">
        <f ca="1"/>
        <v>0</v>
      </c>
      <c r="NIR15">
        <f ca="1"/>
        <v>0</v>
      </c>
      <c r="NIS15">
        <f ca="1"/>
        <v>0</v>
      </c>
      <c r="NIT15">
        <f ca="1"/>
        <v>0</v>
      </c>
      <c r="NIU15">
        <f ca="1"/>
        <v>0</v>
      </c>
      <c r="NIV15">
        <f ca="1"/>
        <v>0</v>
      </c>
      <c r="NIW15">
        <f ca="1"/>
        <v>0</v>
      </c>
      <c r="NIX15">
        <f ca="1"/>
        <v>0</v>
      </c>
      <c r="NIY15">
        <f ca="1"/>
        <v>0</v>
      </c>
      <c r="NIZ15">
        <f ca="1"/>
        <v>0</v>
      </c>
      <c r="NJA15">
        <f ca="1"/>
        <v>0</v>
      </c>
      <c r="NJB15">
        <f ca="1"/>
        <v>0</v>
      </c>
      <c r="NJC15">
        <f ca="1"/>
        <v>0</v>
      </c>
      <c r="NJD15">
        <f ca="1"/>
        <v>0</v>
      </c>
      <c r="NJE15">
        <f ca="1"/>
        <v>0</v>
      </c>
      <c r="NJF15">
        <f ca="1"/>
        <v>0</v>
      </c>
      <c r="NJG15">
        <f ca="1"/>
        <v>0</v>
      </c>
      <c r="NJH15">
        <f ca="1"/>
        <v>0</v>
      </c>
      <c r="NJI15">
        <f ca="1"/>
        <v>0</v>
      </c>
      <c r="NJJ15">
        <f ca="1"/>
        <v>0</v>
      </c>
      <c r="NJK15">
        <f ca="1"/>
        <v>0</v>
      </c>
      <c r="NJL15">
        <f ca="1"/>
        <v>0</v>
      </c>
      <c r="NJM15">
        <f ca="1"/>
        <v>0</v>
      </c>
      <c r="NJN15">
        <f ca="1"/>
        <v>0</v>
      </c>
      <c r="NJO15">
        <f ca="1"/>
        <v>0</v>
      </c>
      <c r="NJP15">
        <f ca="1"/>
        <v>0</v>
      </c>
      <c r="NJQ15">
        <f ca="1"/>
        <v>0</v>
      </c>
      <c r="NJR15">
        <f ca="1"/>
        <v>0</v>
      </c>
      <c r="NJS15">
        <f ca="1"/>
        <v>0</v>
      </c>
      <c r="NJT15">
        <f ca="1"/>
        <v>0</v>
      </c>
      <c r="NJU15">
        <f ca="1"/>
        <v>0</v>
      </c>
      <c r="NJV15">
        <f ca="1"/>
        <v>0</v>
      </c>
      <c r="NJW15">
        <f ca="1"/>
        <v>0</v>
      </c>
      <c r="NJX15">
        <f ca="1"/>
        <v>0</v>
      </c>
      <c r="NJY15">
        <f ca="1"/>
        <v>0</v>
      </c>
      <c r="NJZ15">
        <f ca="1"/>
        <v>0</v>
      </c>
      <c r="NKA15">
        <f ca="1"/>
        <v>0</v>
      </c>
      <c r="NKB15">
        <f ca="1"/>
        <v>0</v>
      </c>
      <c r="NKC15">
        <f ca="1"/>
        <v>0</v>
      </c>
      <c r="NKD15">
        <f ca="1"/>
        <v>0</v>
      </c>
      <c r="NKE15">
        <f ca="1"/>
        <v>0</v>
      </c>
      <c r="NKF15">
        <f ca="1"/>
        <v>0</v>
      </c>
      <c r="NKG15">
        <f ca="1"/>
        <v>0</v>
      </c>
      <c r="NKH15">
        <f ca="1"/>
        <v>0</v>
      </c>
      <c r="NKI15">
        <f ca="1"/>
        <v>0</v>
      </c>
      <c r="NKJ15">
        <f ca="1"/>
        <v>0</v>
      </c>
      <c r="NKK15">
        <f ca="1"/>
        <v>0</v>
      </c>
      <c r="NKL15">
        <f ca="1"/>
        <v>0</v>
      </c>
      <c r="NKM15">
        <f ca="1"/>
        <v>0</v>
      </c>
      <c r="NKN15">
        <f ca="1"/>
        <v>0</v>
      </c>
      <c r="NKO15">
        <f ca="1"/>
        <v>0</v>
      </c>
      <c r="NKP15">
        <f ca="1"/>
        <v>0</v>
      </c>
      <c r="NKQ15">
        <f ca="1"/>
        <v>0</v>
      </c>
      <c r="NKR15">
        <f ca="1"/>
        <v>0</v>
      </c>
      <c r="NKS15">
        <f ca="1"/>
        <v>0</v>
      </c>
      <c r="NKT15">
        <f ca="1"/>
        <v>0</v>
      </c>
      <c r="NKU15">
        <f ca="1"/>
        <v>0</v>
      </c>
      <c r="NKV15">
        <f ca="1"/>
        <v>0</v>
      </c>
      <c r="NKW15">
        <f ca="1"/>
        <v>0</v>
      </c>
      <c r="NKX15">
        <f ca="1"/>
        <v>0</v>
      </c>
      <c r="NKY15">
        <f ca="1"/>
        <v>0</v>
      </c>
      <c r="NKZ15">
        <f ca="1"/>
        <v>0</v>
      </c>
      <c r="NLA15">
        <f ca="1"/>
        <v>0</v>
      </c>
      <c r="NLB15">
        <f ca="1"/>
        <v>0</v>
      </c>
      <c r="NLC15">
        <f ca="1"/>
        <v>0</v>
      </c>
      <c r="NLD15">
        <f ca="1"/>
        <v>0</v>
      </c>
      <c r="NLE15">
        <f ca="1"/>
        <v>0</v>
      </c>
      <c r="NLF15">
        <f ca="1"/>
        <v>0</v>
      </c>
      <c r="NLG15">
        <f ca="1"/>
        <v>0</v>
      </c>
      <c r="NLH15">
        <f ca="1"/>
        <v>0</v>
      </c>
      <c r="NLI15">
        <f ca="1"/>
        <v>0</v>
      </c>
      <c r="NLJ15">
        <f ca="1"/>
        <v>0</v>
      </c>
      <c r="NLK15">
        <f ca="1"/>
        <v>0</v>
      </c>
      <c r="NLL15">
        <f ca="1"/>
        <v>0</v>
      </c>
      <c r="NLM15">
        <f ca="1"/>
        <v>0</v>
      </c>
      <c r="NLN15">
        <f ca="1"/>
        <v>0</v>
      </c>
      <c r="NLO15">
        <f ca="1"/>
        <v>0</v>
      </c>
      <c r="NLP15">
        <f ca="1"/>
        <v>0</v>
      </c>
      <c r="NLQ15">
        <f ca="1"/>
        <v>0</v>
      </c>
      <c r="NLR15">
        <f ca="1"/>
        <v>0</v>
      </c>
      <c r="NLS15">
        <f ca="1"/>
        <v>0</v>
      </c>
      <c r="NLT15">
        <f ca="1"/>
        <v>0</v>
      </c>
      <c r="NLU15">
        <f ca="1"/>
        <v>0</v>
      </c>
      <c r="NLV15">
        <f ca="1"/>
        <v>0</v>
      </c>
      <c r="NLW15">
        <f ca="1"/>
        <v>0</v>
      </c>
      <c r="NLX15">
        <f ca="1"/>
        <v>0</v>
      </c>
      <c r="NLY15">
        <f ca="1"/>
        <v>0</v>
      </c>
      <c r="NLZ15">
        <f ca="1"/>
        <v>0</v>
      </c>
      <c r="NMA15">
        <f ca="1"/>
        <v>0</v>
      </c>
      <c r="NMB15">
        <f ca="1"/>
        <v>0</v>
      </c>
      <c r="NMC15">
        <f ca="1"/>
        <v>0</v>
      </c>
      <c r="NMD15">
        <f ca="1"/>
        <v>0</v>
      </c>
      <c r="NME15">
        <f ca="1"/>
        <v>0</v>
      </c>
      <c r="NMF15">
        <f ca="1"/>
        <v>0</v>
      </c>
      <c r="NMG15">
        <f ca="1"/>
        <v>0</v>
      </c>
      <c r="NMH15">
        <f ca="1"/>
        <v>0</v>
      </c>
      <c r="NMI15">
        <f ca="1"/>
        <v>0</v>
      </c>
      <c r="NMJ15">
        <f ca="1"/>
        <v>0</v>
      </c>
      <c r="NMK15">
        <f ca="1"/>
        <v>0</v>
      </c>
      <c r="NML15">
        <f ca="1"/>
        <v>0</v>
      </c>
      <c r="NMM15">
        <f ca="1"/>
        <v>0</v>
      </c>
      <c r="NMN15">
        <f ca="1"/>
        <v>0</v>
      </c>
      <c r="NMO15">
        <f ca="1"/>
        <v>0</v>
      </c>
      <c r="NMP15">
        <f ca="1"/>
        <v>0</v>
      </c>
      <c r="NMQ15">
        <f ca="1"/>
        <v>0</v>
      </c>
      <c r="NMR15">
        <f ca="1"/>
        <v>0</v>
      </c>
      <c r="NMS15">
        <f ca="1"/>
        <v>0</v>
      </c>
      <c r="NMT15">
        <f ca="1"/>
        <v>0</v>
      </c>
      <c r="NMU15">
        <f ca="1"/>
        <v>0</v>
      </c>
      <c r="NMV15">
        <f ca="1"/>
        <v>0</v>
      </c>
      <c r="NMW15">
        <f ca="1"/>
        <v>0</v>
      </c>
      <c r="NMX15">
        <f ca="1"/>
        <v>0</v>
      </c>
      <c r="NMY15">
        <f ca="1"/>
        <v>0</v>
      </c>
      <c r="NMZ15">
        <f ca="1"/>
        <v>0</v>
      </c>
      <c r="NNA15">
        <f ca="1"/>
        <v>0</v>
      </c>
      <c r="NNB15">
        <f ca="1"/>
        <v>0</v>
      </c>
      <c r="NNC15">
        <f ca="1"/>
        <v>0</v>
      </c>
      <c r="NND15">
        <f ca="1"/>
        <v>0</v>
      </c>
      <c r="NNE15">
        <f ca="1"/>
        <v>0</v>
      </c>
      <c r="NNF15">
        <f ca="1"/>
        <v>0</v>
      </c>
      <c r="NNG15">
        <f ca="1"/>
        <v>0</v>
      </c>
      <c r="NNH15">
        <f ca="1"/>
        <v>0</v>
      </c>
      <c r="NNI15">
        <f ca="1"/>
        <v>0</v>
      </c>
      <c r="NNJ15">
        <f ca="1"/>
        <v>0</v>
      </c>
      <c r="NNK15">
        <f ca="1"/>
        <v>0</v>
      </c>
      <c r="NNL15">
        <f ca="1"/>
        <v>0</v>
      </c>
      <c r="NNM15">
        <f ca="1"/>
        <v>0</v>
      </c>
      <c r="NNN15">
        <f ca="1"/>
        <v>0</v>
      </c>
      <c r="NNO15">
        <f ca="1"/>
        <v>0</v>
      </c>
      <c r="NNP15">
        <f ca="1"/>
        <v>0</v>
      </c>
      <c r="NNQ15">
        <f ca="1"/>
        <v>0</v>
      </c>
      <c r="NNR15">
        <f ca="1"/>
        <v>0</v>
      </c>
      <c r="NNS15">
        <f ca="1"/>
        <v>0</v>
      </c>
      <c r="NNT15">
        <f ca="1"/>
        <v>0</v>
      </c>
      <c r="NNU15">
        <f ca="1"/>
        <v>0</v>
      </c>
      <c r="NNV15">
        <f ca="1"/>
        <v>0</v>
      </c>
      <c r="NNW15">
        <f ca="1"/>
        <v>0</v>
      </c>
      <c r="NNX15">
        <f ca="1"/>
        <v>0</v>
      </c>
      <c r="NNY15">
        <f ca="1"/>
        <v>0</v>
      </c>
      <c r="NNZ15">
        <f ca="1"/>
        <v>0</v>
      </c>
      <c r="NOA15">
        <f ca="1"/>
        <v>0</v>
      </c>
      <c r="NOB15">
        <f ca="1"/>
        <v>0</v>
      </c>
      <c r="NOC15">
        <f ca="1"/>
        <v>0</v>
      </c>
      <c r="NOD15">
        <f ca="1"/>
        <v>0</v>
      </c>
      <c r="NOE15">
        <f ca="1"/>
        <v>0</v>
      </c>
      <c r="NOF15">
        <f ca="1"/>
        <v>0</v>
      </c>
      <c r="NOG15">
        <f ca="1"/>
        <v>0</v>
      </c>
      <c r="NOH15">
        <f ca="1"/>
        <v>0</v>
      </c>
      <c r="NOI15">
        <f ca="1"/>
        <v>0</v>
      </c>
      <c r="NOJ15">
        <f ca="1"/>
        <v>0</v>
      </c>
      <c r="NOK15">
        <f ca="1"/>
        <v>0</v>
      </c>
      <c r="NOL15">
        <f ca="1"/>
        <v>0</v>
      </c>
      <c r="NOM15">
        <f ca="1"/>
        <v>0</v>
      </c>
      <c r="NON15">
        <f ca="1"/>
        <v>0</v>
      </c>
      <c r="NOO15">
        <f ca="1"/>
        <v>0</v>
      </c>
      <c r="NOP15">
        <f ca="1"/>
        <v>0</v>
      </c>
      <c r="NOQ15">
        <f ca="1"/>
        <v>0</v>
      </c>
      <c r="NOR15">
        <f ca="1"/>
        <v>0</v>
      </c>
      <c r="NOS15">
        <f ca="1"/>
        <v>0</v>
      </c>
      <c r="NOT15">
        <f ca="1"/>
        <v>0</v>
      </c>
      <c r="NOU15">
        <f ca="1"/>
        <v>0</v>
      </c>
      <c r="NOV15">
        <f ca="1"/>
        <v>0</v>
      </c>
      <c r="NOW15">
        <f ca="1"/>
        <v>0</v>
      </c>
      <c r="NOX15">
        <f ca="1"/>
        <v>0</v>
      </c>
      <c r="NOY15">
        <f ca="1"/>
        <v>0</v>
      </c>
      <c r="NOZ15">
        <f ca="1"/>
        <v>0</v>
      </c>
      <c r="NPA15">
        <f ca="1"/>
        <v>0</v>
      </c>
      <c r="NPB15">
        <f ca="1"/>
        <v>0</v>
      </c>
      <c r="NPC15">
        <f ca="1"/>
        <v>0</v>
      </c>
      <c r="NPD15">
        <f ca="1"/>
        <v>0</v>
      </c>
      <c r="NPE15">
        <f ca="1"/>
        <v>0</v>
      </c>
      <c r="NPF15">
        <f ca="1"/>
        <v>0</v>
      </c>
      <c r="NPG15">
        <f ca="1"/>
        <v>0</v>
      </c>
      <c r="NPH15">
        <f ca="1"/>
        <v>0</v>
      </c>
      <c r="NPI15">
        <f ca="1"/>
        <v>0</v>
      </c>
      <c r="NPJ15">
        <f ca="1"/>
        <v>0</v>
      </c>
      <c r="NPK15">
        <f ca="1"/>
        <v>0</v>
      </c>
      <c r="NPL15">
        <f ca="1"/>
        <v>0</v>
      </c>
      <c r="NPM15">
        <f ca="1"/>
        <v>0</v>
      </c>
      <c r="NPN15">
        <f ca="1"/>
        <v>0</v>
      </c>
      <c r="NPO15">
        <f ca="1"/>
        <v>0</v>
      </c>
      <c r="NPP15">
        <f ca="1"/>
        <v>0</v>
      </c>
      <c r="NPQ15">
        <f ca="1"/>
        <v>0</v>
      </c>
      <c r="NPR15">
        <f ca="1"/>
        <v>0</v>
      </c>
      <c r="NPS15">
        <f ca="1"/>
        <v>0</v>
      </c>
      <c r="NPT15">
        <f ca="1"/>
        <v>0</v>
      </c>
      <c r="NPU15">
        <f ca="1"/>
        <v>0</v>
      </c>
      <c r="NPV15">
        <f ca="1"/>
        <v>0</v>
      </c>
      <c r="NPW15">
        <f ca="1"/>
        <v>0</v>
      </c>
      <c r="NPX15">
        <f ca="1"/>
        <v>0</v>
      </c>
      <c r="NPY15">
        <f ca="1"/>
        <v>0</v>
      </c>
      <c r="NPZ15">
        <f ca="1"/>
        <v>0</v>
      </c>
      <c r="NQA15">
        <f ca="1"/>
        <v>0</v>
      </c>
      <c r="NQB15">
        <f ca="1"/>
        <v>0</v>
      </c>
      <c r="NQC15">
        <f ca="1"/>
        <v>0</v>
      </c>
      <c r="NQD15">
        <f ca="1"/>
        <v>0</v>
      </c>
      <c r="NQE15">
        <f ca="1"/>
        <v>0</v>
      </c>
      <c r="NQF15">
        <f ca="1"/>
        <v>0</v>
      </c>
      <c r="NQG15">
        <f ca="1"/>
        <v>0</v>
      </c>
      <c r="NQH15">
        <f ca="1"/>
        <v>0</v>
      </c>
      <c r="NQI15">
        <f ca="1"/>
        <v>0</v>
      </c>
      <c r="NQJ15">
        <f ca="1"/>
        <v>0</v>
      </c>
      <c r="NQK15">
        <f ca="1"/>
        <v>0</v>
      </c>
      <c r="NQL15">
        <f ca="1"/>
        <v>0</v>
      </c>
      <c r="NQM15">
        <f ca="1"/>
        <v>0</v>
      </c>
      <c r="NQN15">
        <f ca="1"/>
        <v>0</v>
      </c>
      <c r="NQO15">
        <f ca="1"/>
        <v>0</v>
      </c>
      <c r="NQP15">
        <f ca="1"/>
        <v>0</v>
      </c>
      <c r="NQQ15">
        <f ca="1"/>
        <v>0</v>
      </c>
      <c r="NQR15">
        <f ca="1"/>
        <v>0</v>
      </c>
      <c r="NQS15">
        <f ca="1"/>
        <v>0</v>
      </c>
      <c r="NQT15">
        <f ca="1"/>
        <v>0</v>
      </c>
      <c r="NQU15">
        <f ca="1"/>
        <v>0</v>
      </c>
      <c r="NQV15">
        <f ca="1"/>
        <v>0</v>
      </c>
      <c r="NQW15">
        <f ca="1"/>
        <v>0</v>
      </c>
      <c r="NQX15">
        <f ca="1"/>
        <v>0</v>
      </c>
      <c r="NQY15">
        <f ca="1"/>
        <v>0</v>
      </c>
      <c r="NQZ15">
        <f ca="1"/>
        <v>0</v>
      </c>
      <c r="NRA15">
        <f ca="1"/>
        <v>0</v>
      </c>
      <c r="NRB15">
        <f ca="1"/>
        <v>0</v>
      </c>
      <c r="NRC15">
        <f ca="1"/>
        <v>0</v>
      </c>
      <c r="NRD15">
        <f ca="1"/>
        <v>0</v>
      </c>
      <c r="NRE15">
        <f ca="1"/>
        <v>0</v>
      </c>
      <c r="NRF15">
        <f ca="1"/>
        <v>0</v>
      </c>
      <c r="NRG15">
        <f ca="1"/>
        <v>0</v>
      </c>
      <c r="NRH15">
        <f ca="1"/>
        <v>0</v>
      </c>
      <c r="NRI15">
        <f ca="1"/>
        <v>0</v>
      </c>
      <c r="NRJ15">
        <f ca="1"/>
        <v>0</v>
      </c>
      <c r="NRK15">
        <f ca="1"/>
        <v>0</v>
      </c>
      <c r="NRL15">
        <f ca="1"/>
        <v>0</v>
      </c>
      <c r="NRM15">
        <f ca="1"/>
        <v>0</v>
      </c>
      <c r="NRN15">
        <f ca="1"/>
        <v>0</v>
      </c>
      <c r="NRO15">
        <f ca="1"/>
        <v>0</v>
      </c>
      <c r="NRP15">
        <f ca="1"/>
        <v>0</v>
      </c>
      <c r="NRQ15">
        <f ca="1"/>
        <v>0</v>
      </c>
      <c r="NRR15">
        <f ca="1"/>
        <v>0</v>
      </c>
      <c r="NRS15">
        <f ca="1"/>
        <v>0</v>
      </c>
      <c r="NRT15">
        <f ca="1"/>
        <v>0</v>
      </c>
      <c r="NRU15">
        <f ca="1"/>
        <v>0</v>
      </c>
      <c r="NRV15">
        <f ca="1"/>
        <v>0</v>
      </c>
      <c r="NRW15">
        <f ca="1"/>
        <v>0</v>
      </c>
      <c r="NRX15">
        <f ca="1"/>
        <v>0</v>
      </c>
      <c r="NRY15">
        <f ca="1"/>
        <v>0</v>
      </c>
      <c r="NRZ15">
        <f ca="1"/>
        <v>0</v>
      </c>
      <c r="NSA15">
        <f ca="1"/>
        <v>0</v>
      </c>
      <c r="NSB15">
        <f ca="1"/>
        <v>0</v>
      </c>
      <c r="NSC15">
        <f ca="1"/>
        <v>0</v>
      </c>
      <c r="NSD15">
        <f ca="1"/>
        <v>0</v>
      </c>
      <c r="NSE15">
        <f ca="1"/>
        <v>0</v>
      </c>
      <c r="NSF15">
        <f ca="1"/>
        <v>0</v>
      </c>
      <c r="NSG15">
        <f ca="1"/>
        <v>0</v>
      </c>
      <c r="NSH15">
        <f ca="1"/>
        <v>0</v>
      </c>
      <c r="NSI15">
        <f ca="1"/>
        <v>0</v>
      </c>
      <c r="NSJ15">
        <f ca="1"/>
        <v>0</v>
      </c>
      <c r="NSK15">
        <f ca="1"/>
        <v>0</v>
      </c>
      <c r="NSL15">
        <f ca="1"/>
        <v>0</v>
      </c>
      <c r="NSM15">
        <f ca="1"/>
        <v>0</v>
      </c>
      <c r="NSN15">
        <f ca="1"/>
        <v>0</v>
      </c>
      <c r="NSO15">
        <f ca="1"/>
        <v>0</v>
      </c>
      <c r="NSP15">
        <f ca="1"/>
        <v>0</v>
      </c>
      <c r="NSQ15">
        <f ca="1"/>
        <v>0</v>
      </c>
      <c r="NSR15">
        <f ca="1"/>
        <v>0</v>
      </c>
      <c r="NSS15">
        <f ca="1"/>
        <v>0</v>
      </c>
      <c r="NST15">
        <f ca="1"/>
        <v>0</v>
      </c>
      <c r="NSU15">
        <f ca="1"/>
        <v>0</v>
      </c>
      <c r="NSV15">
        <f ca="1"/>
        <v>0</v>
      </c>
      <c r="NSW15">
        <f ca="1"/>
        <v>0</v>
      </c>
      <c r="NSX15">
        <f ca="1"/>
        <v>0</v>
      </c>
      <c r="NSY15">
        <f ca="1"/>
        <v>0</v>
      </c>
      <c r="NSZ15">
        <f ca="1"/>
        <v>0</v>
      </c>
      <c r="NTA15">
        <f ca="1"/>
        <v>0</v>
      </c>
      <c r="NTB15">
        <f ca="1"/>
        <v>0</v>
      </c>
      <c r="NTC15">
        <f ca="1"/>
        <v>0</v>
      </c>
      <c r="NTD15">
        <f ca="1"/>
        <v>0</v>
      </c>
      <c r="NTE15">
        <f ca="1"/>
        <v>0</v>
      </c>
      <c r="NTF15">
        <f ca="1"/>
        <v>0</v>
      </c>
      <c r="NTG15">
        <f ca="1"/>
        <v>0</v>
      </c>
      <c r="NTH15">
        <f ca="1"/>
        <v>0</v>
      </c>
      <c r="NTI15">
        <f ca="1"/>
        <v>0</v>
      </c>
      <c r="NTJ15">
        <f ca="1"/>
        <v>0</v>
      </c>
      <c r="NTK15">
        <f ca="1"/>
        <v>0</v>
      </c>
      <c r="NTL15">
        <f ca="1"/>
        <v>0</v>
      </c>
      <c r="NTM15">
        <f ca="1"/>
        <v>0</v>
      </c>
      <c r="NTN15">
        <f ca="1"/>
        <v>0</v>
      </c>
      <c r="NTO15">
        <f ca="1"/>
        <v>0</v>
      </c>
      <c r="NTP15">
        <f ca="1"/>
        <v>0</v>
      </c>
      <c r="NTQ15">
        <f ca="1"/>
        <v>0</v>
      </c>
      <c r="NTR15">
        <f ca="1"/>
        <v>0</v>
      </c>
      <c r="NTS15">
        <f ca="1"/>
        <v>0</v>
      </c>
      <c r="NTT15">
        <f ca="1"/>
        <v>0</v>
      </c>
      <c r="NTU15">
        <f ca="1"/>
        <v>0</v>
      </c>
      <c r="NTV15">
        <f ca="1"/>
        <v>0</v>
      </c>
      <c r="NTW15">
        <f ca="1"/>
        <v>0</v>
      </c>
      <c r="NTX15">
        <f ca="1"/>
        <v>0</v>
      </c>
      <c r="NTY15">
        <f ca="1"/>
        <v>0</v>
      </c>
      <c r="NTZ15">
        <f ca="1"/>
        <v>0</v>
      </c>
      <c r="NUA15">
        <f ca="1"/>
        <v>0</v>
      </c>
      <c r="NUB15">
        <f ca="1"/>
        <v>0</v>
      </c>
      <c r="NUC15">
        <f ca="1"/>
        <v>0</v>
      </c>
      <c r="NUD15">
        <f ca="1"/>
        <v>0</v>
      </c>
      <c r="NUE15">
        <f ca="1"/>
        <v>0</v>
      </c>
      <c r="NUF15">
        <f ca="1"/>
        <v>0</v>
      </c>
      <c r="NUG15">
        <f ca="1"/>
        <v>0</v>
      </c>
      <c r="NUH15">
        <f ca="1"/>
        <v>0</v>
      </c>
      <c r="NUI15">
        <f ca="1"/>
        <v>0</v>
      </c>
      <c r="NUJ15">
        <f ca="1"/>
        <v>0</v>
      </c>
      <c r="NUK15">
        <f ca="1"/>
        <v>0</v>
      </c>
      <c r="NUL15">
        <f ca="1"/>
        <v>0</v>
      </c>
      <c r="NUM15">
        <f ca="1"/>
        <v>0</v>
      </c>
      <c r="NUN15">
        <f ca="1"/>
        <v>0</v>
      </c>
      <c r="NUO15">
        <f ca="1"/>
        <v>0</v>
      </c>
      <c r="NUP15">
        <f ca="1"/>
        <v>0</v>
      </c>
      <c r="NUQ15">
        <f ca="1"/>
        <v>0</v>
      </c>
      <c r="NUR15">
        <f ca="1"/>
        <v>0</v>
      </c>
      <c r="NUS15">
        <f ca="1"/>
        <v>0</v>
      </c>
      <c r="NUT15">
        <f ca="1"/>
        <v>0</v>
      </c>
      <c r="NUU15">
        <f ca="1"/>
        <v>0</v>
      </c>
      <c r="NUV15">
        <f ca="1"/>
        <v>0</v>
      </c>
      <c r="NUW15">
        <f ca="1"/>
        <v>0</v>
      </c>
      <c r="NUX15">
        <f ca="1"/>
        <v>0</v>
      </c>
      <c r="NUY15">
        <f ca="1"/>
        <v>0</v>
      </c>
      <c r="NUZ15">
        <f ca="1"/>
        <v>0</v>
      </c>
      <c r="NVA15">
        <f ca="1"/>
        <v>0</v>
      </c>
      <c r="NVB15">
        <f ca="1"/>
        <v>0</v>
      </c>
      <c r="NVC15">
        <f ca="1"/>
        <v>0</v>
      </c>
      <c r="NVD15">
        <f ca="1"/>
        <v>0</v>
      </c>
      <c r="NVE15">
        <f ca="1"/>
        <v>0</v>
      </c>
      <c r="NVF15">
        <f ca="1"/>
        <v>0</v>
      </c>
      <c r="NVG15">
        <f ca="1"/>
        <v>0</v>
      </c>
      <c r="NVH15">
        <f ca="1"/>
        <v>0</v>
      </c>
      <c r="NVI15">
        <f ca="1"/>
        <v>0</v>
      </c>
      <c r="NVJ15">
        <f ca="1"/>
        <v>0</v>
      </c>
      <c r="NVK15">
        <f ca="1"/>
        <v>0</v>
      </c>
      <c r="NVL15">
        <f ca="1"/>
        <v>0</v>
      </c>
      <c r="NVM15">
        <f ca="1"/>
        <v>0</v>
      </c>
      <c r="NVN15">
        <f ca="1"/>
        <v>0</v>
      </c>
      <c r="NVO15">
        <f ca="1"/>
        <v>0</v>
      </c>
      <c r="NVP15">
        <f ca="1"/>
        <v>0</v>
      </c>
      <c r="NVQ15">
        <f ca="1"/>
        <v>0</v>
      </c>
      <c r="NVR15">
        <f ca="1"/>
        <v>0</v>
      </c>
      <c r="NVS15">
        <f ca="1"/>
        <v>0</v>
      </c>
      <c r="NVT15">
        <f ca="1"/>
        <v>0</v>
      </c>
      <c r="NVU15">
        <f ca="1"/>
        <v>0</v>
      </c>
      <c r="NVV15">
        <f ca="1"/>
        <v>0</v>
      </c>
      <c r="NVW15">
        <f ca="1"/>
        <v>0</v>
      </c>
      <c r="NVX15">
        <f ca="1"/>
        <v>0</v>
      </c>
      <c r="NVY15">
        <f ca="1"/>
        <v>0</v>
      </c>
      <c r="NVZ15">
        <f ca="1"/>
        <v>0</v>
      </c>
      <c r="NWA15">
        <f ca="1"/>
        <v>0</v>
      </c>
      <c r="NWB15">
        <f ca="1"/>
        <v>0</v>
      </c>
      <c r="NWC15">
        <f ca="1"/>
        <v>0</v>
      </c>
      <c r="NWD15">
        <f ca="1"/>
        <v>0</v>
      </c>
      <c r="NWE15">
        <f ca="1"/>
        <v>0</v>
      </c>
      <c r="NWF15">
        <f ca="1"/>
        <v>0</v>
      </c>
      <c r="NWG15">
        <f ca="1"/>
        <v>0</v>
      </c>
      <c r="NWH15">
        <f ca="1"/>
        <v>0</v>
      </c>
      <c r="NWI15">
        <f ca="1"/>
        <v>0</v>
      </c>
      <c r="NWJ15">
        <f ca="1"/>
        <v>0</v>
      </c>
      <c r="NWK15">
        <f ca="1"/>
        <v>0</v>
      </c>
      <c r="NWL15">
        <f ca="1"/>
        <v>0</v>
      </c>
      <c r="NWM15">
        <f ca="1"/>
        <v>0</v>
      </c>
      <c r="NWN15">
        <f ca="1"/>
        <v>0</v>
      </c>
      <c r="NWO15">
        <f ca="1"/>
        <v>0</v>
      </c>
      <c r="NWP15">
        <f ca="1"/>
        <v>0</v>
      </c>
      <c r="NWQ15">
        <f ca="1"/>
        <v>0</v>
      </c>
      <c r="NWR15">
        <f ca="1"/>
        <v>0</v>
      </c>
      <c r="NWS15">
        <f ca="1"/>
        <v>0</v>
      </c>
      <c r="NWT15">
        <f ca="1"/>
        <v>0</v>
      </c>
      <c r="NWU15">
        <f ca="1"/>
        <v>0</v>
      </c>
      <c r="NWV15">
        <f ca="1"/>
        <v>0</v>
      </c>
      <c r="NWW15">
        <f ca="1"/>
        <v>0</v>
      </c>
      <c r="NWX15">
        <f ca="1"/>
        <v>0</v>
      </c>
      <c r="NWY15">
        <f ca="1"/>
        <v>0</v>
      </c>
      <c r="NWZ15">
        <f ca="1"/>
        <v>0</v>
      </c>
      <c r="NXA15">
        <f ca="1"/>
        <v>0</v>
      </c>
      <c r="NXB15">
        <f ca="1"/>
        <v>0</v>
      </c>
      <c r="NXC15">
        <f ca="1"/>
        <v>0</v>
      </c>
      <c r="NXD15">
        <f ca="1"/>
        <v>0</v>
      </c>
      <c r="NXE15">
        <f ca="1"/>
        <v>0</v>
      </c>
      <c r="NXF15">
        <f ca="1"/>
        <v>0</v>
      </c>
      <c r="NXG15">
        <f ca="1"/>
        <v>0</v>
      </c>
      <c r="NXH15">
        <f ca="1"/>
        <v>0</v>
      </c>
      <c r="NXI15">
        <f ca="1"/>
        <v>0</v>
      </c>
      <c r="NXJ15">
        <f ca="1"/>
        <v>0</v>
      </c>
      <c r="NXK15">
        <f ca="1"/>
        <v>0</v>
      </c>
      <c r="NXL15">
        <f ca="1"/>
        <v>0</v>
      </c>
      <c r="NXM15">
        <f ca="1"/>
        <v>0</v>
      </c>
      <c r="NXN15">
        <f ca="1"/>
        <v>0</v>
      </c>
      <c r="NXO15">
        <f ca="1"/>
        <v>0</v>
      </c>
      <c r="NXP15">
        <f ca="1"/>
        <v>0</v>
      </c>
      <c r="NXQ15">
        <f ca="1"/>
        <v>0</v>
      </c>
      <c r="NXR15">
        <f ca="1"/>
        <v>0</v>
      </c>
      <c r="NXS15">
        <f ca="1"/>
        <v>0</v>
      </c>
      <c r="NXT15">
        <f ca="1"/>
        <v>0</v>
      </c>
      <c r="NXU15">
        <f ca="1"/>
        <v>0</v>
      </c>
      <c r="NXV15">
        <f ca="1"/>
        <v>0</v>
      </c>
      <c r="NXW15">
        <f ca="1"/>
        <v>0</v>
      </c>
      <c r="NXX15">
        <f ca="1"/>
        <v>0</v>
      </c>
      <c r="NXY15">
        <f ca="1"/>
        <v>0</v>
      </c>
      <c r="NXZ15">
        <f ca="1"/>
        <v>0</v>
      </c>
      <c r="NYA15">
        <f ca="1"/>
        <v>0</v>
      </c>
      <c r="NYB15">
        <f ca="1"/>
        <v>0</v>
      </c>
      <c r="NYC15">
        <f ca="1"/>
        <v>0</v>
      </c>
      <c r="NYD15">
        <f ca="1"/>
        <v>0</v>
      </c>
      <c r="NYE15">
        <f ca="1"/>
        <v>0</v>
      </c>
      <c r="NYF15">
        <f ca="1"/>
        <v>0</v>
      </c>
      <c r="NYG15">
        <f ca="1"/>
        <v>0</v>
      </c>
      <c r="NYH15">
        <f ca="1"/>
        <v>0</v>
      </c>
      <c r="NYI15">
        <f ca="1"/>
        <v>0</v>
      </c>
      <c r="NYJ15">
        <f ca="1"/>
        <v>0</v>
      </c>
      <c r="NYK15">
        <f ca="1"/>
        <v>0</v>
      </c>
      <c r="NYL15">
        <f ca="1"/>
        <v>0</v>
      </c>
      <c r="NYM15">
        <f ca="1"/>
        <v>0</v>
      </c>
      <c r="NYN15">
        <f ca="1"/>
        <v>0</v>
      </c>
      <c r="NYO15">
        <f ca="1"/>
        <v>0</v>
      </c>
      <c r="NYP15">
        <f ca="1"/>
        <v>0</v>
      </c>
      <c r="NYQ15">
        <f ca="1"/>
        <v>0</v>
      </c>
      <c r="NYR15">
        <f ca="1"/>
        <v>0</v>
      </c>
      <c r="NYS15">
        <f ca="1"/>
        <v>0</v>
      </c>
      <c r="NYT15">
        <f ca="1"/>
        <v>0</v>
      </c>
      <c r="NYU15">
        <f ca="1"/>
        <v>0</v>
      </c>
      <c r="NYV15">
        <f ca="1"/>
        <v>0</v>
      </c>
      <c r="NYW15">
        <f ca="1"/>
        <v>0</v>
      </c>
      <c r="NYX15">
        <f ca="1"/>
        <v>0</v>
      </c>
      <c r="NYY15">
        <f ca="1"/>
        <v>0</v>
      </c>
      <c r="NYZ15">
        <f ca="1"/>
        <v>0</v>
      </c>
      <c r="NZA15">
        <f ca="1"/>
        <v>0</v>
      </c>
      <c r="NZB15">
        <f ca="1"/>
        <v>0</v>
      </c>
      <c r="NZC15">
        <f ca="1"/>
        <v>0</v>
      </c>
      <c r="NZD15">
        <f ca="1"/>
        <v>0</v>
      </c>
      <c r="NZE15">
        <f ca="1"/>
        <v>0</v>
      </c>
      <c r="NZF15">
        <f ca="1"/>
        <v>0</v>
      </c>
      <c r="NZG15">
        <f ca="1"/>
        <v>0</v>
      </c>
      <c r="NZH15">
        <f ca="1"/>
        <v>0</v>
      </c>
      <c r="NZI15">
        <f ca="1"/>
        <v>0</v>
      </c>
      <c r="NZJ15">
        <f ca="1"/>
        <v>0</v>
      </c>
      <c r="NZK15">
        <f ca="1"/>
        <v>0</v>
      </c>
      <c r="NZL15">
        <f ca="1"/>
        <v>0</v>
      </c>
      <c r="NZM15">
        <f ca="1"/>
        <v>0</v>
      </c>
      <c r="NZN15">
        <f ca="1"/>
        <v>0</v>
      </c>
      <c r="NZO15">
        <f ca="1"/>
        <v>0</v>
      </c>
      <c r="NZP15">
        <f ca="1"/>
        <v>0</v>
      </c>
      <c r="NZQ15">
        <f ca="1"/>
        <v>0</v>
      </c>
      <c r="NZR15">
        <f ca="1"/>
        <v>0</v>
      </c>
      <c r="NZS15">
        <f ca="1"/>
        <v>0</v>
      </c>
      <c r="NZT15">
        <f ca="1"/>
        <v>0</v>
      </c>
      <c r="NZU15">
        <f ca="1"/>
        <v>0</v>
      </c>
      <c r="NZV15">
        <f ca="1"/>
        <v>0</v>
      </c>
      <c r="NZW15">
        <f ca="1"/>
        <v>0</v>
      </c>
      <c r="NZX15">
        <f ca="1"/>
        <v>0</v>
      </c>
      <c r="NZY15">
        <f ca="1"/>
        <v>0</v>
      </c>
      <c r="NZZ15">
        <f ca="1"/>
        <v>0</v>
      </c>
      <c r="OAA15">
        <f ca="1"/>
        <v>0</v>
      </c>
      <c r="OAB15">
        <f ca="1"/>
        <v>0</v>
      </c>
      <c r="OAC15">
        <f ca="1"/>
        <v>0</v>
      </c>
      <c r="OAD15">
        <f ca="1"/>
        <v>0</v>
      </c>
      <c r="OAE15">
        <f ca="1"/>
        <v>0</v>
      </c>
      <c r="OAF15">
        <f ca="1"/>
        <v>0</v>
      </c>
      <c r="OAG15">
        <f ca="1"/>
        <v>0</v>
      </c>
      <c r="OAH15">
        <f ca="1"/>
        <v>0</v>
      </c>
      <c r="OAI15">
        <f ca="1"/>
        <v>0</v>
      </c>
      <c r="OAJ15">
        <f ca="1"/>
        <v>0</v>
      </c>
      <c r="OAK15">
        <f ca="1"/>
        <v>0</v>
      </c>
      <c r="OAL15">
        <f ca="1"/>
        <v>0</v>
      </c>
      <c r="OAM15">
        <f ca="1"/>
        <v>0</v>
      </c>
      <c r="OAN15">
        <f ca="1"/>
        <v>0</v>
      </c>
      <c r="OAO15">
        <f ca="1"/>
        <v>0</v>
      </c>
      <c r="OAP15">
        <f ca="1"/>
        <v>0</v>
      </c>
      <c r="OAQ15">
        <f ca="1"/>
        <v>0</v>
      </c>
      <c r="OAR15">
        <f ca="1"/>
        <v>0</v>
      </c>
      <c r="OAS15">
        <f ca="1"/>
        <v>0</v>
      </c>
      <c r="OAT15">
        <f ca="1"/>
        <v>0</v>
      </c>
      <c r="OAU15">
        <f ca="1"/>
        <v>0</v>
      </c>
      <c r="OAV15">
        <f ca="1"/>
        <v>0</v>
      </c>
      <c r="OAW15">
        <f ca="1"/>
        <v>0</v>
      </c>
      <c r="OAX15">
        <f ca="1"/>
        <v>0</v>
      </c>
      <c r="OAY15">
        <f ca="1"/>
        <v>0</v>
      </c>
      <c r="OAZ15">
        <f ca="1"/>
        <v>0</v>
      </c>
      <c r="OBA15">
        <f ca="1"/>
        <v>0</v>
      </c>
      <c r="OBB15">
        <f ca="1"/>
        <v>0</v>
      </c>
      <c r="OBC15">
        <f ca="1"/>
        <v>0</v>
      </c>
      <c r="OBD15">
        <f ca="1"/>
        <v>0</v>
      </c>
      <c r="OBE15">
        <f ca="1"/>
        <v>0</v>
      </c>
      <c r="OBF15">
        <f ca="1"/>
        <v>0</v>
      </c>
      <c r="OBG15">
        <f ca="1"/>
        <v>0</v>
      </c>
      <c r="OBH15">
        <f ca="1"/>
        <v>0</v>
      </c>
      <c r="OBI15">
        <f ca="1"/>
        <v>0</v>
      </c>
      <c r="OBJ15">
        <f ca="1"/>
        <v>0</v>
      </c>
      <c r="OBK15">
        <f ca="1"/>
        <v>0</v>
      </c>
      <c r="OBL15">
        <f ca="1"/>
        <v>0</v>
      </c>
      <c r="OBM15">
        <f ca="1"/>
        <v>0</v>
      </c>
      <c r="OBN15">
        <f ca="1"/>
        <v>0</v>
      </c>
      <c r="OBO15">
        <f ca="1"/>
        <v>0</v>
      </c>
      <c r="OBP15">
        <f ca="1"/>
        <v>0</v>
      </c>
      <c r="OBQ15">
        <f ca="1"/>
        <v>0</v>
      </c>
      <c r="OBR15">
        <f ca="1"/>
        <v>0</v>
      </c>
      <c r="OBS15">
        <f ca="1"/>
        <v>0</v>
      </c>
      <c r="OBT15">
        <f ca="1"/>
        <v>0</v>
      </c>
      <c r="OBU15">
        <f ca="1"/>
        <v>0</v>
      </c>
      <c r="OBV15">
        <f ca="1"/>
        <v>0</v>
      </c>
      <c r="OBW15">
        <f ca="1"/>
        <v>0</v>
      </c>
      <c r="OBX15">
        <f ca="1"/>
        <v>0</v>
      </c>
      <c r="OBY15">
        <f ca="1"/>
        <v>0</v>
      </c>
      <c r="OBZ15">
        <f ca="1"/>
        <v>0</v>
      </c>
      <c r="OCA15">
        <f ca="1"/>
        <v>0</v>
      </c>
      <c r="OCB15">
        <f ca="1"/>
        <v>0</v>
      </c>
      <c r="OCC15">
        <f ca="1"/>
        <v>0</v>
      </c>
      <c r="OCD15">
        <f ca="1"/>
        <v>0</v>
      </c>
      <c r="OCE15">
        <f ca="1"/>
        <v>0</v>
      </c>
      <c r="OCF15">
        <f ca="1"/>
        <v>0</v>
      </c>
      <c r="OCG15">
        <f ca="1"/>
        <v>0</v>
      </c>
      <c r="OCH15">
        <f ca="1"/>
        <v>0</v>
      </c>
      <c r="OCI15">
        <f ca="1"/>
        <v>0</v>
      </c>
      <c r="OCJ15">
        <f ca="1"/>
        <v>0</v>
      </c>
      <c r="OCK15">
        <f ca="1"/>
        <v>0</v>
      </c>
      <c r="OCL15">
        <f ca="1"/>
        <v>0</v>
      </c>
      <c r="OCM15">
        <f ca="1"/>
        <v>0</v>
      </c>
      <c r="OCN15">
        <f ca="1"/>
        <v>0</v>
      </c>
      <c r="OCO15">
        <f ca="1"/>
        <v>0</v>
      </c>
      <c r="OCP15">
        <f ca="1"/>
        <v>0</v>
      </c>
      <c r="OCQ15">
        <f ca="1"/>
        <v>0</v>
      </c>
      <c r="OCR15">
        <f ca="1"/>
        <v>0</v>
      </c>
      <c r="OCS15">
        <f ca="1"/>
        <v>0</v>
      </c>
      <c r="OCT15">
        <f ca="1"/>
        <v>0</v>
      </c>
      <c r="OCU15">
        <f ca="1"/>
        <v>0</v>
      </c>
      <c r="OCV15">
        <f ca="1"/>
        <v>0</v>
      </c>
      <c r="OCW15">
        <f ca="1"/>
        <v>0</v>
      </c>
      <c r="OCX15">
        <f ca="1"/>
        <v>0</v>
      </c>
      <c r="OCY15">
        <f ca="1"/>
        <v>0</v>
      </c>
      <c r="OCZ15">
        <f ca="1"/>
        <v>0</v>
      </c>
      <c r="ODA15">
        <f ca="1"/>
        <v>0</v>
      </c>
      <c r="ODB15">
        <f ca="1"/>
        <v>0</v>
      </c>
      <c r="ODC15">
        <f ca="1"/>
        <v>0</v>
      </c>
      <c r="ODD15">
        <f ca="1"/>
        <v>0</v>
      </c>
      <c r="ODE15">
        <f ca="1"/>
        <v>0</v>
      </c>
      <c r="ODF15">
        <f ca="1"/>
        <v>0</v>
      </c>
      <c r="ODG15">
        <f ca="1"/>
        <v>0</v>
      </c>
      <c r="ODH15">
        <f ca="1"/>
        <v>0</v>
      </c>
      <c r="ODI15">
        <f ca="1"/>
        <v>0</v>
      </c>
      <c r="ODJ15">
        <f ca="1"/>
        <v>0</v>
      </c>
      <c r="ODK15">
        <f ca="1"/>
        <v>0</v>
      </c>
      <c r="ODL15">
        <f ca="1"/>
        <v>0</v>
      </c>
      <c r="ODM15">
        <f ca="1"/>
        <v>0</v>
      </c>
      <c r="ODN15">
        <f ca="1"/>
        <v>0</v>
      </c>
      <c r="ODO15">
        <f ca="1"/>
        <v>0</v>
      </c>
      <c r="ODP15">
        <f ca="1"/>
        <v>0</v>
      </c>
      <c r="ODQ15">
        <f ca="1"/>
        <v>0</v>
      </c>
      <c r="ODR15">
        <f ca="1"/>
        <v>0</v>
      </c>
      <c r="ODS15">
        <f ca="1"/>
        <v>0</v>
      </c>
      <c r="ODT15">
        <f ca="1"/>
        <v>0</v>
      </c>
      <c r="ODU15">
        <f ca="1"/>
        <v>0</v>
      </c>
      <c r="ODV15">
        <f ca="1"/>
        <v>0</v>
      </c>
      <c r="ODW15">
        <f ca="1"/>
        <v>0</v>
      </c>
      <c r="ODX15">
        <f ca="1"/>
        <v>0</v>
      </c>
      <c r="ODY15">
        <f ca="1"/>
        <v>0</v>
      </c>
      <c r="ODZ15">
        <f ca="1"/>
        <v>0</v>
      </c>
      <c r="OEA15">
        <f ca="1"/>
        <v>0</v>
      </c>
      <c r="OEB15">
        <f ca="1"/>
        <v>0</v>
      </c>
      <c r="OEC15">
        <f ca="1"/>
        <v>0</v>
      </c>
      <c r="OED15">
        <f ca="1"/>
        <v>0</v>
      </c>
      <c r="OEE15">
        <f ca="1"/>
        <v>0</v>
      </c>
      <c r="OEF15">
        <f ca="1"/>
        <v>0</v>
      </c>
      <c r="OEG15">
        <f ca="1"/>
        <v>0</v>
      </c>
      <c r="OEH15">
        <f ca="1"/>
        <v>0</v>
      </c>
      <c r="OEI15">
        <f ca="1"/>
        <v>0</v>
      </c>
      <c r="OEJ15">
        <f ca="1"/>
        <v>0</v>
      </c>
      <c r="OEK15">
        <f ca="1"/>
        <v>0</v>
      </c>
      <c r="OEL15">
        <f ca="1"/>
        <v>0</v>
      </c>
      <c r="OEM15">
        <f ca="1"/>
        <v>0</v>
      </c>
      <c r="OEN15">
        <f ca="1"/>
        <v>0</v>
      </c>
      <c r="OEO15">
        <f ca="1"/>
        <v>0</v>
      </c>
      <c r="OEP15">
        <f ca="1"/>
        <v>0</v>
      </c>
      <c r="OEQ15">
        <f ca="1"/>
        <v>0</v>
      </c>
      <c r="OER15">
        <f ca="1"/>
        <v>0</v>
      </c>
      <c r="OES15">
        <f ca="1"/>
        <v>0</v>
      </c>
      <c r="OET15">
        <f ca="1"/>
        <v>0</v>
      </c>
      <c r="OEU15">
        <f ca="1"/>
        <v>0</v>
      </c>
      <c r="OEV15">
        <f ca="1"/>
        <v>0</v>
      </c>
      <c r="OEW15">
        <f ca="1"/>
        <v>0</v>
      </c>
      <c r="OEX15">
        <f ca="1"/>
        <v>0</v>
      </c>
      <c r="OEY15">
        <f ca="1"/>
        <v>0</v>
      </c>
      <c r="OEZ15">
        <f ca="1"/>
        <v>0</v>
      </c>
      <c r="OFA15">
        <f ca="1"/>
        <v>0</v>
      </c>
      <c r="OFB15">
        <f ca="1"/>
        <v>0</v>
      </c>
      <c r="OFC15">
        <f ca="1"/>
        <v>0</v>
      </c>
      <c r="OFD15">
        <f ca="1"/>
        <v>0</v>
      </c>
      <c r="OFE15">
        <f ca="1"/>
        <v>0</v>
      </c>
      <c r="OFF15">
        <f ca="1"/>
        <v>0</v>
      </c>
      <c r="OFG15">
        <f ca="1"/>
        <v>0</v>
      </c>
      <c r="OFH15">
        <f ca="1"/>
        <v>0</v>
      </c>
      <c r="OFI15">
        <f ca="1"/>
        <v>0</v>
      </c>
      <c r="OFJ15">
        <f ca="1"/>
        <v>0</v>
      </c>
      <c r="OFK15">
        <f ca="1"/>
        <v>0</v>
      </c>
      <c r="OFL15">
        <f ca="1"/>
        <v>0</v>
      </c>
      <c r="OFM15">
        <f ca="1"/>
        <v>0</v>
      </c>
      <c r="OFN15">
        <f ca="1"/>
        <v>0</v>
      </c>
      <c r="OFO15">
        <f ca="1"/>
        <v>0</v>
      </c>
      <c r="OFP15">
        <f ca="1"/>
        <v>0</v>
      </c>
      <c r="OFQ15">
        <f ca="1"/>
        <v>0</v>
      </c>
      <c r="OFR15">
        <f ca="1"/>
        <v>0</v>
      </c>
      <c r="OFS15">
        <f ca="1"/>
        <v>0</v>
      </c>
      <c r="OFT15">
        <f ca="1"/>
        <v>0</v>
      </c>
      <c r="OFU15">
        <f ca="1"/>
        <v>0</v>
      </c>
      <c r="OFV15">
        <f ca="1"/>
        <v>0</v>
      </c>
      <c r="OFW15">
        <f ca="1"/>
        <v>0</v>
      </c>
      <c r="OFX15">
        <f ca="1"/>
        <v>0</v>
      </c>
      <c r="OFY15">
        <f ca="1"/>
        <v>0</v>
      </c>
      <c r="OFZ15">
        <f ca="1"/>
        <v>0</v>
      </c>
      <c r="OGA15">
        <f ca="1"/>
        <v>0</v>
      </c>
      <c r="OGB15">
        <f ca="1"/>
        <v>0</v>
      </c>
      <c r="OGC15">
        <f ca="1"/>
        <v>0</v>
      </c>
      <c r="OGD15">
        <f ca="1"/>
        <v>0</v>
      </c>
      <c r="OGE15">
        <f ca="1"/>
        <v>0</v>
      </c>
      <c r="OGF15">
        <f ca="1"/>
        <v>0</v>
      </c>
      <c r="OGG15">
        <f ca="1"/>
        <v>0</v>
      </c>
      <c r="OGH15">
        <f ca="1"/>
        <v>0</v>
      </c>
      <c r="OGI15">
        <f ca="1"/>
        <v>0</v>
      </c>
      <c r="OGJ15">
        <f ca="1"/>
        <v>0</v>
      </c>
      <c r="OGK15">
        <f ca="1"/>
        <v>0</v>
      </c>
      <c r="OGL15">
        <f ca="1"/>
        <v>0</v>
      </c>
      <c r="OGM15">
        <f ca="1"/>
        <v>0</v>
      </c>
      <c r="OGN15">
        <f ca="1"/>
        <v>0</v>
      </c>
      <c r="OGO15">
        <f ca="1"/>
        <v>0</v>
      </c>
      <c r="OGP15">
        <f ca="1"/>
        <v>0</v>
      </c>
      <c r="OGQ15">
        <f ca="1"/>
        <v>0</v>
      </c>
      <c r="OGR15">
        <f ca="1"/>
        <v>0</v>
      </c>
      <c r="OGS15">
        <f ca="1"/>
        <v>0</v>
      </c>
      <c r="OGT15">
        <f ca="1"/>
        <v>0</v>
      </c>
      <c r="OGU15">
        <f ca="1"/>
        <v>0</v>
      </c>
      <c r="OGV15">
        <f ca="1"/>
        <v>0</v>
      </c>
      <c r="OGW15">
        <f ca="1"/>
        <v>0</v>
      </c>
      <c r="OGX15">
        <f ca="1"/>
        <v>0</v>
      </c>
      <c r="OGY15">
        <f ca="1"/>
        <v>0</v>
      </c>
      <c r="OGZ15">
        <f ca="1"/>
        <v>0</v>
      </c>
      <c r="OHA15">
        <f ca="1"/>
        <v>0</v>
      </c>
      <c r="OHB15">
        <f ca="1"/>
        <v>0</v>
      </c>
      <c r="OHC15">
        <f ca="1"/>
        <v>0</v>
      </c>
      <c r="OHD15">
        <f ca="1"/>
        <v>0</v>
      </c>
      <c r="OHE15">
        <f ca="1"/>
        <v>0</v>
      </c>
      <c r="OHF15">
        <f ca="1"/>
        <v>0</v>
      </c>
      <c r="OHG15">
        <f ca="1"/>
        <v>0</v>
      </c>
      <c r="OHH15">
        <f ca="1"/>
        <v>0</v>
      </c>
      <c r="OHI15">
        <f ca="1"/>
        <v>0</v>
      </c>
      <c r="OHJ15">
        <f ca="1"/>
        <v>0</v>
      </c>
      <c r="OHK15">
        <f ca="1"/>
        <v>0</v>
      </c>
      <c r="OHL15">
        <f ca="1"/>
        <v>0</v>
      </c>
      <c r="OHM15">
        <f ca="1"/>
        <v>0</v>
      </c>
      <c r="OHN15">
        <f ca="1"/>
        <v>0</v>
      </c>
      <c r="OHO15">
        <f ca="1"/>
        <v>0</v>
      </c>
      <c r="OHP15">
        <f ca="1"/>
        <v>0</v>
      </c>
      <c r="OHQ15">
        <f ca="1"/>
        <v>0</v>
      </c>
      <c r="OHR15">
        <f ca="1"/>
        <v>0</v>
      </c>
      <c r="OHS15">
        <f ca="1"/>
        <v>0</v>
      </c>
      <c r="OHT15">
        <f ca="1"/>
        <v>0</v>
      </c>
      <c r="OHU15">
        <f ca="1"/>
        <v>0</v>
      </c>
      <c r="OHV15">
        <f ca="1"/>
        <v>0</v>
      </c>
      <c r="OHW15">
        <f ca="1"/>
        <v>0</v>
      </c>
      <c r="OHX15">
        <f ca="1"/>
        <v>0</v>
      </c>
      <c r="OHY15">
        <f ca="1"/>
        <v>0</v>
      </c>
      <c r="OHZ15">
        <f ca="1"/>
        <v>0</v>
      </c>
      <c r="OIA15">
        <f ca="1"/>
        <v>0</v>
      </c>
      <c r="OIB15">
        <f ca="1"/>
        <v>0</v>
      </c>
      <c r="OIC15">
        <f ca="1"/>
        <v>0</v>
      </c>
      <c r="OID15">
        <f ca="1"/>
        <v>0</v>
      </c>
      <c r="OIE15">
        <f ca="1"/>
        <v>0</v>
      </c>
      <c r="OIF15">
        <f ca="1"/>
        <v>0</v>
      </c>
      <c r="OIG15">
        <f ca="1"/>
        <v>0</v>
      </c>
      <c r="OIH15">
        <f ca="1"/>
        <v>0</v>
      </c>
      <c r="OII15">
        <f ca="1"/>
        <v>0</v>
      </c>
      <c r="OIJ15">
        <f ca="1"/>
        <v>0</v>
      </c>
      <c r="OIK15">
        <f ca="1"/>
        <v>0</v>
      </c>
      <c r="OIL15">
        <f ca="1"/>
        <v>0</v>
      </c>
      <c r="OIM15">
        <f ca="1"/>
        <v>0</v>
      </c>
      <c r="OIN15">
        <f ca="1"/>
        <v>0</v>
      </c>
      <c r="OIO15">
        <f ca="1"/>
        <v>0</v>
      </c>
      <c r="OIP15">
        <f ca="1"/>
        <v>0</v>
      </c>
      <c r="OIQ15">
        <f ca="1"/>
        <v>0</v>
      </c>
      <c r="OIR15">
        <f ca="1"/>
        <v>0</v>
      </c>
      <c r="OIS15">
        <f ca="1"/>
        <v>0</v>
      </c>
      <c r="OIT15">
        <f ca="1"/>
        <v>0</v>
      </c>
      <c r="OIU15">
        <f ca="1"/>
        <v>0</v>
      </c>
      <c r="OIV15">
        <f ca="1"/>
        <v>0</v>
      </c>
      <c r="OIW15">
        <f ca="1"/>
        <v>0</v>
      </c>
      <c r="OIX15">
        <f ca="1"/>
        <v>0</v>
      </c>
      <c r="OIY15">
        <f ca="1"/>
        <v>0</v>
      </c>
      <c r="OIZ15">
        <f ca="1"/>
        <v>0</v>
      </c>
      <c r="OJA15">
        <f ca="1"/>
        <v>0</v>
      </c>
      <c r="OJB15">
        <f ca="1"/>
        <v>0</v>
      </c>
      <c r="OJC15">
        <f ca="1"/>
        <v>0</v>
      </c>
      <c r="OJD15">
        <f ca="1"/>
        <v>0</v>
      </c>
      <c r="OJE15">
        <f ca="1"/>
        <v>0</v>
      </c>
      <c r="OJF15">
        <f ca="1"/>
        <v>0</v>
      </c>
      <c r="OJG15">
        <f ca="1"/>
        <v>0</v>
      </c>
      <c r="OJH15">
        <f ca="1"/>
        <v>0</v>
      </c>
      <c r="OJI15">
        <f ca="1"/>
        <v>0</v>
      </c>
      <c r="OJJ15">
        <f ca="1"/>
        <v>0</v>
      </c>
      <c r="OJK15">
        <f ca="1"/>
        <v>0</v>
      </c>
      <c r="OJL15">
        <f ca="1"/>
        <v>0</v>
      </c>
      <c r="OJM15">
        <f ca="1"/>
        <v>0</v>
      </c>
      <c r="OJN15">
        <f ca="1"/>
        <v>0</v>
      </c>
      <c r="OJO15">
        <f ca="1"/>
        <v>0</v>
      </c>
      <c r="OJP15">
        <f ca="1"/>
        <v>0</v>
      </c>
      <c r="OJQ15">
        <f ca="1"/>
        <v>0</v>
      </c>
      <c r="OJR15">
        <f ca="1"/>
        <v>0</v>
      </c>
      <c r="OJS15">
        <f ca="1"/>
        <v>0</v>
      </c>
      <c r="OJT15">
        <f ca="1"/>
        <v>0</v>
      </c>
      <c r="OJU15">
        <f ca="1"/>
        <v>0</v>
      </c>
      <c r="OJV15">
        <f ca="1"/>
        <v>0</v>
      </c>
      <c r="OJW15">
        <f ca="1"/>
        <v>0</v>
      </c>
      <c r="OJX15">
        <f ca="1"/>
        <v>0</v>
      </c>
      <c r="OJY15">
        <f ca="1"/>
        <v>0</v>
      </c>
      <c r="OJZ15">
        <f ca="1"/>
        <v>0</v>
      </c>
      <c r="OKA15">
        <f ca="1"/>
        <v>0</v>
      </c>
      <c r="OKB15">
        <f ca="1"/>
        <v>0</v>
      </c>
      <c r="OKC15">
        <f ca="1"/>
        <v>0</v>
      </c>
      <c r="OKD15">
        <f ca="1"/>
        <v>0</v>
      </c>
      <c r="OKE15">
        <f ca="1"/>
        <v>0</v>
      </c>
      <c r="OKF15">
        <f ca="1"/>
        <v>0</v>
      </c>
      <c r="OKG15">
        <f ca="1"/>
        <v>0</v>
      </c>
      <c r="OKH15">
        <f ca="1"/>
        <v>0</v>
      </c>
      <c r="OKI15">
        <f ca="1"/>
        <v>0</v>
      </c>
      <c r="OKJ15">
        <f ca="1"/>
        <v>0</v>
      </c>
      <c r="OKK15">
        <f ca="1"/>
        <v>0</v>
      </c>
      <c r="OKL15">
        <f ca="1"/>
        <v>0</v>
      </c>
      <c r="OKM15">
        <f ca="1"/>
        <v>0</v>
      </c>
      <c r="OKN15">
        <f ca="1"/>
        <v>0</v>
      </c>
      <c r="OKO15">
        <f ca="1"/>
        <v>0</v>
      </c>
      <c r="OKP15">
        <f ca="1"/>
        <v>0</v>
      </c>
      <c r="OKQ15">
        <f ca="1"/>
        <v>0</v>
      </c>
      <c r="OKR15">
        <f ca="1"/>
        <v>0</v>
      </c>
      <c r="OKS15">
        <f ca="1"/>
        <v>0</v>
      </c>
      <c r="OKT15">
        <f ca="1"/>
        <v>0</v>
      </c>
      <c r="OKU15">
        <f ca="1"/>
        <v>0</v>
      </c>
      <c r="OKV15">
        <f ca="1"/>
        <v>0</v>
      </c>
      <c r="OKW15">
        <f ca="1"/>
        <v>0</v>
      </c>
      <c r="OKX15">
        <f ca="1"/>
        <v>0</v>
      </c>
      <c r="OKY15">
        <f ca="1"/>
        <v>0</v>
      </c>
      <c r="OKZ15">
        <f ca="1"/>
        <v>0</v>
      </c>
      <c r="OLA15">
        <f ca="1"/>
        <v>0</v>
      </c>
      <c r="OLB15">
        <f ca="1"/>
        <v>0</v>
      </c>
      <c r="OLC15">
        <f ca="1"/>
        <v>0</v>
      </c>
      <c r="OLD15">
        <f ca="1"/>
        <v>0</v>
      </c>
      <c r="OLE15">
        <f ca="1"/>
        <v>0</v>
      </c>
      <c r="OLF15">
        <f ca="1"/>
        <v>0</v>
      </c>
      <c r="OLG15">
        <f ca="1"/>
        <v>0</v>
      </c>
      <c r="OLH15">
        <f ca="1"/>
        <v>0</v>
      </c>
      <c r="OLI15">
        <f ca="1"/>
        <v>0</v>
      </c>
      <c r="OLJ15">
        <f ca="1"/>
        <v>0</v>
      </c>
      <c r="OLK15">
        <f ca="1"/>
        <v>0</v>
      </c>
      <c r="OLL15">
        <f ca="1"/>
        <v>0</v>
      </c>
      <c r="OLM15">
        <f ca="1"/>
        <v>0</v>
      </c>
      <c r="OLN15">
        <f ca="1"/>
        <v>0</v>
      </c>
      <c r="OLO15">
        <f ca="1"/>
        <v>0</v>
      </c>
      <c r="OLP15">
        <f ca="1"/>
        <v>0</v>
      </c>
      <c r="OLQ15">
        <f ca="1"/>
        <v>0</v>
      </c>
      <c r="OLR15">
        <f ca="1"/>
        <v>0</v>
      </c>
      <c r="OLS15">
        <f ca="1"/>
        <v>0</v>
      </c>
      <c r="OLT15">
        <f ca="1"/>
        <v>0</v>
      </c>
      <c r="OLU15">
        <f ca="1"/>
        <v>0</v>
      </c>
      <c r="OLV15">
        <f ca="1"/>
        <v>0</v>
      </c>
      <c r="OLW15">
        <f ca="1"/>
        <v>0</v>
      </c>
      <c r="OLX15">
        <f ca="1"/>
        <v>0</v>
      </c>
      <c r="OLY15">
        <f ca="1"/>
        <v>0</v>
      </c>
      <c r="OLZ15">
        <f ca="1"/>
        <v>0</v>
      </c>
      <c r="OMA15">
        <f ca="1"/>
        <v>0</v>
      </c>
      <c r="OMB15">
        <f ca="1"/>
        <v>0</v>
      </c>
      <c r="OMC15">
        <f ca="1"/>
        <v>0</v>
      </c>
      <c r="OMD15">
        <f ca="1"/>
        <v>0</v>
      </c>
      <c r="OME15">
        <f ca="1"/>
        <v>0</v>
      </c>
      <c r="OMF15">
        <f ca="1"/>
        <v>0</v>
      </c>
      <c r="OMG15">
        <f ca="1"/>
        <v>0</v>
      </c>
      <c r="OMH15">
        <f ca="1"/>
        <v>0</v>
      </c>
      <c r="OMI15">
        <f ca="1"/>
        <v>0</v>
      </c>
      <c r="OMJ15">
        <f ca="1"/>
        <v>0</v>
      </c>
      <c r="OMK15">
        <f ca="1"/>
        <v>0</v>
      </c>
      <c r="OML15">
        <f ca="1"/>
        <v>0</v>
      </c>
      <c r="OMM15">
        <f ca="1"/>
        <v>0</v>
      </c>
      <c r="OMN15">
        <f ca="1"/>
        <v>0</v>
      </c>
      <c r="OMO15">
        <f ca="1"/>
        <v>0</v>
      </c>
      <c r="OMP15">
        <f ca="1"/>
        <v>0</v>
      </c>
      <c r="OMQ15">
        <f ca="1"/>
        <v>0</v>
      </c>
      <c r="OMR15">
        <f ca="1"/>
        <v>0</v>
      </c>
      <c r="OMS15">
        <f ca="1"/>
        <v>0</v>
      </c>
      <c r="OMT15">
        <f ca="1"/>
        <v>0</v>
      </c>
      <c r="OMU15">
        <f ca="1"/>
        <v>0</v>
      </c>
      <c r="OMV15">
        <f ca="1"/>
        <v>0</v>
      </c>
      <c r="OMW15">
        <f ca="1"/>
        <v>0</v>
      </c>
      <c r="OMX15">
        <f ca="1"/>
        <v>0</v>
      </c>
      <c r="OMY15">
        <f ca="1"/>
        <v>0</v>
      </c>
      <c r="OMZ15">
        <f ca="1"/>
        <v>0</v>
      </c>
      <c r="ONA15">
        <f ca="1"/>
        <v>0</v>
      </c>
      <c r="ONB15">
        <f ca="1"/>
        <v>0</v>
      </c>
      <c r="ONC15">
        <f ca="1"/>
        <v>0</v>
      </c>
      <c r="OND15">
        <f ca="1"/>
        <v>0</v>
      </c>
      <c r="ONE15">
        <f ca="1"/>
        <v>0</v>
      </c>
      <c r="ONF15">
        <f ca="1"/>
        <v>0</v>
      </c>
      <c r="ONG15">
        <f ca="1"/>
        <v>0</v>
      </c>
      <c r="ONH15">
        <f ca="1"/>
        <v>0</v>
      </c>
      <c r="ONI15">
        <f ca="1"/>
        <v>0</v>
      </c>
      <c r="ONJ15">
        <f ca="1"/>
        <v>0</v>
      </c>
      <c r="ONK15">
        <f ca="1"/>
        <v>0</v>
      </c>
      <c r="ONL15">
        <f ca="1"/>
        <v>0</v>
      </c>
      <c r="ONM15">
        <f ca="1"/>
        <v>0</v>
      </c>
      <c r="ONN15">
        <f ca="1"/>
        <v>0</v>
      </c>
      <c r="ONO15">
        <f ca="1"/>
        <v>0</v>
      </c>
      <c r="ONP15">
        <f ca="1"/>
        <v>0</v>
      </c>
      <c r="ONQ15">
        <f ca="1"/>
        <v>0</v>
      </c>
      <c r="ONR15">
        <f ca="1"/>
        <v>0</v>
      </c>
      <c r="ONS15">
        <f ca="1"/>
        <v>0</v>
      </c>
      <c r="ONT15">
        <f ca="1"/>
        <v>0</v>
      </c>
      <c r="ONU15">
        <f ca="1"/>
        <v>0</v>
      </c>
      <c r="ONV15">
        <f ca="1"/>
        <v>0</v>
      </c>
      <c r="ONW15">
        <f ca="1"/>
        <v>0</v>
      </c>
      <c r="ONX15">
        <f ca="1"/>
        <v>0</v>
      </c>
      <c r="ONY15">
        <f ca="1"/>
        <v>0</v>
      </c>
      <c r="ONZ15">
        <f ca="1"/>
        <v>0</v>
      </c>
      <c r="OOA15">
        <f ca="1"/>
        <v>0</v>
      </c>
      <c r="OOB15">
        <f ca="1"/>
        <v>0</v>
      </c>
      <c r="OOC15">
        <f ca="1"/>
        <v>0</v>
      </c>
      <c r="OOD15">
        <f ca="1"/>
        <v>0</v>
      </c>
      <c r="OOE15">
        <f ca="1"/>
        <v>0</v>
      </c>
      <c r="OOF15">
        <f ca="1"/>
        <v>0</v>
      </c>
      <c r="OOG15">
        <f ca="1"/>
        <v>0</v>
      </c>
      <c r="OOH15">
        <f ca="1"/>
        <v>0</v>
      </c>
      <c r="OOI15">
        <f ca="1"/>
        <v>0</v>
      </c>
      <c r="OOJ15">
        <f ca="1"/>
        <v>0</v>
      </c>
      <c r="OOK15">
        <f ca="1"/>
        <v>0</v>
      </c>
      <c r="OOL15">
        <f ca="1"/>
        <v>0</v>
      </c>
      <c r="OOM15">
        <f ca="1"/>
        <v>0</v>
      </c>
      <c r="OON15">
        <f ca="1"/>
        <v>0</v>
      </c>
      <c r="OOO15">
        <f ca="1"/>
        <v>0</v>
      </c>
      <c r="OOP15">
        <f ca="1"/>
        <v>0</v>
      </c>
      <c r="OOQ15">
        <f ca="1"/>
        <v>0</v>
      </c>
      <c r="OOR15">
        <f ca="1"/>
        <v>0</v>
      </c>
      <c r="OOS15">
        <f ca="1"/>
        <v>0</v>
      </c>
      <c r="OOT15">
        <f ca="1"/>
        <v>0</v>
      </c>
      <c r="OOU15">
        <f ca="1"/>
        <v>0</v>
      </c>
      <c r="OOV15">
        <f ca="1"/>
        <v>0</v>
      </c>
      <c r="OOW15">
        <f ca="1"/>
        <v>0</v>
      </c>
      <c r="OOX15">
        <f ca="1"/>
        <v>0</v>
      </c>
      <c r="OOY15">
        <f ca="1"/>
        <v>0</v>
      </c>
      <c r="OOZ15">
        <f ca="1"/>
        <v>0</v>
      </c>
      <c r="OPA15">
        <f ca="1"/>
        <v>0</v>
      </c>
      <c r="OPB15">
        <f ca="1"/>
        <v>0</v>
      </c>
      <c r="OPC15">
        <f ca="1"/>
        <v>0</v>
      </c>
      <c r="OPD15">
        <f ca="1"/>
        <v>0</v>
      </c>
      <c r="OPE15">
        <f ca="1"/>
        <v>0</v>
      </c>
      <c r="OPF15">
        <f ca="1"/>
        <v>0</v>
      </c>
      <c r="OPG15">
        <f ca="1"/>
        <v>0</v>
      </c>
      <c r="OPH15">
        <f ca="1"/>
        <v>0</v>
      </c>
      <c r="OPI15">
        <f ca="1"/>
        <v>0</v>
      </c>
      <c r="OPJ15">
        <f ca="1"/>
        <v>0</v>
      </c>
      <c r="OPK15">
        <f ca="1"/>
        <v>0</v>
      </c>
      <c r="OPL15">
        <f ca="1"/>
        <v>0</v>
      </c>
      <c r="OPM15">
        <f ca="1"/>
        <v>0</v>
      </c>
      <c r="OPN15">
        <f ca="1"/>
        <v>0</v>
      </c>
      <c r="OPO15">
        <f ca="1"/>
        <v>0</v>
      </c>
      <c r="OPP15">
        <f ca="1"/>
        <v>0</v>
      </c>
      <c r="OPQ15">
        <f ca="1"/>
        <v>0</v>
      </c>
      <c r="OPR15">
        <f ca="1"/>
        <v>0</v>
      </c>
      <c r="OPS15">
        <f ca="1"/>
        <v>0</v>
      </c>
      <c r="OPT15">
        <f ca="1"/>
        <v>0</v>
      </c>
      <c r="OPU15">
        <f ca="1"/>
        <v>0</v>
      </c>
      <c r="OPV15">
        <f ca="1"/>
        <v>0</v>
      </c>
      <c r="OPW15">
        <f ca="1"/>
        <v>0</v>
      </c>
      <c r="OPX15">
        <f ca="1"/>
        <v>0</v>
      </c>
      <c r="OPY15">
        <f ca="1"/>
        <v>0</v>
      </c>
      <c r="OPZ15">
        <f ca="1"/>
        <v>0</v>
      </c>
      <c r="OQA15">
        <f ca="1"/>
        <v>0</v>
      </c>
      <c r="OQB15">
        <f ca="1"/>
        <v>0</v>
      </c>
      <c r="OQC15">
        <f ca="1"/>
        <v>0</v>
      </c>
      <c r="OQD15">
        <f ca="1"/>
        <v>0</v>
      </c>
      <c r="OQE15">
        <f ca="1"/>
        <v>0</v>
      </c>
      <c r="OQF15">
        <f ca="1"/>
        <v>0</v>
      </c>
      <c r="OQG15">
        <f ca="1"/>
        <v>0</v>
      </c>
      <c r="OQH15">
        <f ca="1"/>
        <v>0</v>
      </c>
      <c r="OQI15">
        <f ca="1"/>
        <v>0</v>
      </c>
      <c r="OQJ15">
        <f ca="1"/>
        <v>0</v>
      </c>
      <c r="OQK15">
        <f ca="1"/>
        <v>0</v>
      </c>
      <c r="OQL15">
        <f ca="1"/>
        <v>0</v>
      </c>
      <c r="OQM15">
        <f ca="1"/>
        <v>0</v>
      </c>
      <c r="OQN15">
        <f ca="1"/>
        <v>0</v>
      </c>
      <c r="OQO15">
        <f ca="1"/>
        <v>0</v>
      </c>
      <c r="OQP15">
        <f ca="1"/>
        <v>0</v>
      </c>
      <c r="OQQ15">
        <f ca="1"/>
        <v>0</v>
      </c>
      <c r="OQR15">
        <f ca="1"/>
        <v>0</v>
      </c>
      <c r="OQS15">
        <f ca="1"/>
        <v>0</v>
      </c>
      <c r="OQT15">
        <f ca="1"/>
        <v>0</v>
      </c>
      <c r="OQU15">
        <f ca="1"/>
        <v>0</v>
      </c>
      <c r="OQV15">
        <f ca="1"/>
        <v>0</v>
      </c>
      <c r="OQW15">
        <f ca="1"/>
        <v>0</v>
      </c>
      <c r="OQX15">
        <f ca="1"/>
        <v>0</v>
      </c>
      <c r="OQY15">
        <f ca="1"/>
        <v>0</v>
      </c>
      <c r="OQZ15">
        <f ca="1"/>
        <v>0</v>
      </c>
      <c r="ORA15">
        <f ca="1"/>
        <v>0</v>
      </c>
      <c r="ORB15">
        <f ca="1"/>
        <v>0</v>
      </c>
      <c r="ORC15">
        <f ca="1"/>
        <v>0</v>
      </c>
      <c r="ORD15">
        <f ca="1"/>
        <v>0</v>
      </c>
      <c r="ORE15">
        <f ca="1"/>
        <v>0</v>
      </c>
      <c r="ORF15">
        <f ca="1"/>
        <v>0</v>
      </c>
      <c r="ORG15">
        <f ca="1"/>
        <v>0</v>
      </c>
      <c r="ORH15">
        <f ca="1"/>
        <v>0</v>
      </c>
      <c r="ORI15">
        <f ca="1"/>
        <v>0</v>
      </c>
      <c r="ORJ15">
        <f ca="1"/>
        <v>0</v>
      </c>
      <c r="ORK15">
        <f ca="1"/>
        <v>0</v>
      </c>
      <c r="ORL15">
        <f ca="1"/>
        <v>0</v>
      </c>
      <c r="ORM15">
        <f ca="1"/>
        <v>0</v>
      </c>
      <c r="ORN15">
        <f ca="1"/>
        <v>0</v>
      </c>
      <c r="ORO15">
        <f ca="1"/>
        <v>0</v>
      </c>
      <c r="ORP15">
        <f ca="1"/>
        <v>0</v>
      </c>
      <c r="ORQ15">
        <f ca="1"/>
        <v>0</v>
      </c>
      <c r="ORR15">
        <f ca="1"/>
        <v>0</v>
      </c>
      <c r="ORS15">
        <f ca="1"/>
        <v>0</v>
      </c>
      <c r="ORT15">
        <f ca="1"/>
        <v>0</v>
      </c>
      <c r="ORU15">
        <f ca="1"/>
        <v>0</v>
      </c>
      <c r="ORV15">
        <f ca="1"/>
        <v>0</v>
      </c>
      <c r="ORW15">
        <f ca="1"/>
        <v>0</v>
      </c>
      <c r="ORX15">
        <f ca="1"/>
        <v>0</v>
      </c>
      <c r="ORY15">
        <f ca="1"/>
        <v>0</v>
      </c>
      <c r="ORZ15">
        <f ca="1"/>
        <v>0</v>
      </c>
      <c r="OSA15">
        <f ca="1"/>
        <v>0</v>
      </c>
      <c r="OSB15">
        <f ca="1"/>
        <v>0</v>
      </c>
      <c r="OSC15">
        <f ca="1"/>
        <v>0</v>
      </c>
      <c r="OSD15">
        <f ca="1"/>
        <v>0</v>
      </c>
      <c r="OSE15">
        <f ca="1"/>
        <v>0</v>
      </c>
      <c r="OSF15">
        <f ca="1"/>
        <v>0</v>
      </c>
      <c r="OSG15">
        <f ca="1"/>
        <v>0</v>
      </c>
      <c r="OSH15">
        <f ca="1"/>
        <v>0</v>
      </c>
      <c r="OSI15">
        <f ca="1"/>
        <v>0</v>
      </c>
      <c r="OSJ15">
        <f ca="1"/>
        <v>0</v>
      </c>
      <c r="OSK15">
        <f ca="1"/>
        <v>0</v>
      </c>
      <c r="OSL15">
        <f ca="1"/>
        <v>0</v>
      </c>
      <c r="OSM15">
        <f ca="1"/>
        <v>0</v>
      </c>
      <c r="OSN15">
        <f ca="1"/>
        <v>0</v>
      </c>
      <c r="OSO15">
        <f ca="1"/>
        <v>0</v>
      </c>
      <c r="OSP15">
        <f ca="1"/>
        <v>0</v>
      </c>
      <c r="OSQ15">
        <f ca="1"/>
        <v>0</v>
      </c>
      <c r="OSR15">
        <f ca="1"/>
        <v>0</v>
      </c>
      <c r="OSS15">
        <f ca="1"/>
        <v>0</v>
      </c>
      <c r="OST15">
        <f ca="1"/>
        <v>0</v>
      </c>
      <c r="OSU15">
        <f ca="1"/>
        <v>0</v>
      </c>
      <c r="OSV15">
        <f ca="1"/>
        <v>0</v>
      </c>
      <c r="OSW15">
        <f ca="1"/>
        <v>0</v>
      </c>
      <c r="OSX15">
        <f ca="1"/>
        <v>0</v>
      </c>
      <c r="OSY15">
        <f ca="1"/>
        <v>0</v>
      </c>
      <c r="OSZ15">
        <f ca="1"/>
        <v>0</v>
      </c>
      <c r="OTA15">
        <f ca="1"/>
        <v>0</v>
      </c>
      <c r="OTB15">
        <f ca="1"/>
        <v>0</v>
      </c>
      <c r="OTC15">
        <f ca="1"/>
        <v>0</v>
      </c>
      <c r="OTD15">
        <f ca="1"/>
        <v>0</v>
      </c>
      <c r="OTE15">
        <f ca="1"/>
        <v>0</v>
      </c>
      <c r="OTF15">
        <f ca="1"/>
        <v>0</v>
      </c>
      <c r="OTG15">
        <f ca="1"/>
        <v>0</v>
      </c>
      <c r="OTH15">
        <f ca="1"/>
        <v>0</v>
      </c>
      <c r="OTI15">
        <f ca="1"/>
        <v>0</v>
      </c>
      <c r="OTJ15">
        <f ca="1"/>
        <v>0</v>
      </c>
      <c r="OTK15">
        <f ca="1"/>
        <v>0</v>
      </c>
      <c r="OTL15">
        <f ca="1"/>
        <v>0</v>
      </c>
      <c r="OTM15">
        <f ca="1"/>
        <v>0</v>
      </c>
      <c r="OTN15">
        <f ca="1"/>
        <v>0</v>
      </c>
      <c r="OTO15">
        <f ca="1"/>
        <v>0</v>
      </c>
      <c r="OTP15">
        <f ca="1"/>
        <v>0</v>
      </c>
      <c r="OTQ15">
        <f ca="1"/>
        <v>0</v>
      </c>
      <c r="OTR15">
        <f ca="1"/>
        <v>0</v>
      </c>
      <c r="OTS15">
        <f ca="1"/>
        <v>0</v>
      </c>
      <c r="OTT15">
        <f ca="1"/>
        <v>0</v>
      </c>
      <c r="OTU15">
        <f ca="1"/>
        <v>0</v>
      </c>
      <c r="OTV15">
        <f ca="1"/>
        <v>0</v>
      </c>
      <c r="OTW15">
        <f ca="1"/>
        <v>0</v>
      </c>
      <c r="OTX15">
        <f ca="1"/>
        <v>0</v>
      </c>
      <c r="OTY15">
        <f ca="1"/>
        <v>0</v>
      </c>
      <c r="OTZ15">
        <f ca="1"/>
        <v>0</v>
      </c>
      <c r="OUA15">
        <f ca="1"/>
        <v>0</v>
      </c>
      <c r="OUB15">
        <f ca="1"/>
        <v>0</v>
      </c>
      <c r="OUC15">
        <f ca="1"/>
        <v>0</v>
      </c>
      <c r="OUD15">
        <f ca="1"/>
        <v>0</v>
      </c>
      <c r="OUE15">
        <f ca="1"/>
        <v>0</v>
      </c>
      <c r="OUF15">
        <f ca="1"/>
        <v>0</v>
      </c>
      <c r="OUG15">
        <f ca="1"/>
        <v>0</v>
      </c>
      <c r="OUH15">
        <f ca="1"/>
        <v>0</v>
      </c>
      <c r="OUI15">
        <f ca="1"/>
        <v>0</v>
      </c>
      <c r="OUJ15">
        <f ca="1"/>
        <v>0</v>
      </c>
      <c r="OUK15">
        <f ca="1"/>
        <v>0</v>
      </c>
      <c r="OUL15">
        <f ca="1"/>
        <v>0</v>
      </c>
      <c r="OUM15">
        <f ca="1"/>
        <v>0</v>
      </c>
      <c r="OUN15">
        <f ca="1"/>
        <v>0</v>
      </c>
      <c r="OUO15">
        <f ca="1"/>
        <v>0</v>
      </c>
      <c r="OUP15">
        <f ca="1"/>
        <v>0</v>
      </c>
      <c r="OUQ15">
        <f ca="1"/>
        <v>0</v>
      </c>
      <c r="OUR15">
        <f ca="1"/>
        <v>0</v>
      </c>
      <c r="OUS15">
        <f ca="1"/>
        <v>0</v>
      </c>
      <c r="OUT15">
        <f ca="1"/>
        <v>0</v>
      </c>
      <c r="OUU15">
        <f ca="1"/>
        <v>0</v>
      </c>
      <c r="OUV15">
        <f ca="1"/>
        <v>0</v>
      </c>
      <c r="OUW15">
        <f ca="1"/>
        <v>0</v>
      </c>
      <c r="OUX15">
        <f ca="1"/>
        <v>0</v>
      </c>
      <c r="OUY15">
        <f ca="1"/>
        <v>0</v>
      </c>
      <c r="OUZ15">
        <f ca="1"/>
        <v>0</v>
      </c>
      <c r="OVA15">
        <f ca="1"/>
        <v>0</v>
      </c>
      <c r="OVB15">
        <f ca="1"/>
        <v>0</v>
      </c>
      <c r="OVC15">
        <f ca="1"/>
        <v>0</v>
      </c>
      <c r="OVD15">
        <f ca="1"/>
        <v>0</v>
      </c>
      <c r="OVE15">
        <f ca="1"/>
        <v>0</v>
      </c>
      <c r="OVF15">
        <f ca="1"/>
        <v>0</v>
      </c>
      <c r="OVG15">
        <f ca="1"/>
        <v>0</v>
      </c>
      <c r="OVH15">
        <f ca="1"/>
        <v>0</v>
      </c>
      <c r="OVI15">
        <f ca="1"/>
        <v>0</v>
      </c>
      <c r="OVJ15">
        <f ca="1"/>
        <v>0</v>
      </c>
      <c r="OVK15">
        <f ca="1"/>
        <v>0</v>
      </c>
      <c r="OVL15">
        <f ca="1"/>
        <v>0</v>
      </c>
      <c r="OVM15">
        <f ca="1"/>
        <v>0</v>
      </c>
      <c r="OVN15">
        <f ca="1"/>
        <v>0</v>
      </c>
      <c r="OVO15">
        <f ca="1"/>
        <v>0</v>
      </c>
      <c r="OVP15">
        <f ca="1"/>
        <v>0</v>
      </c>
      <c r="OVQ15">
        <f ca="1"/>
        <v>0</v>
      </c>
      <c r="OVR15">
        <f ca="1"/>
        <v>0</v>
      </c>
      <c r="OVS15">
        <f ca="1"/>
        <v>0</v>
      </c>
      <c r="OVT15">
        <f ca="1"/>
        <v>0</v>
      </c>
      <c r="OVU15">
        <f ca="1"/>
        <v>0</v>
      </c>
      <c r="OVV15">
        <f ca="1"/>
        <v>0</v>
      </c>
      <c r="OVW15">
        <f ca="1"/>
        <v>0</v>
      </c>
      <c r="OVX15">
        <f ca="1"/>
        <v>0</v>
      </c>
      <c r="OVY15">
        <f ca="1"/>
        <v>0</v>
      </c>
      <c r="OVZ15">
        <f ca="1"/>
        <v>0</v>
      </c>
      <c r="OWA15">
        <f ca="1"/>
        <v>0</v>
      </c>
      <c r="OWB15">
        <f ca="1"/>
        <v>0</v>
      </c>
      <c r="OWC15">
        <f ca="1"/>
        <v>0</v>
      </c>
      <c r="OWD15">
        <f ca="1"/>
        <v>0</v>
      </c>
      <c r="OWE15">
        <f ca="1"/>
        <v>0</v>
      </c>
      <c r="OWF15">
        <f ca="1"/>
        <v>0</v>
      </c>
      <c r="OWG15">
        <f ca="1"/>
        <v>0</v>
      </c>
      <c r="OWH15">
        <f ca="1"/>
        <v>0</v>
      </c>
      <c r="OWI15">
        <f ca="1"/>
        <v>0</v>
      </c>
      <c r="OWJ15">
        <f ca="1"/>
        <v>0</v>
      </c>
      <c r="OWK15">
        <f ca="1"/>
        <v>0</v>
      </c>
      <c r="OWL15">
        <f ca="1"/>
        <v>0</v>
      </c>
      <c r="OWM15">
        <f ca="1"/>
        <v>0</v>
      </c>
      <c r="OWN15">
        <f ca="1"/>
        <v>0</v>
      </c>
      <c r="OWO15">
        <f ca="1"/>
        <v>0</v>
      </c>
      <c r="OWP15">
        <f ca="1"/>
        <v>0</v>
      </c>
      <c r="OWQ15">
        <f ca="1"/>
        <v>0</v>
      </c>
      <c r="OWR15">
        <f ca="1"/>
        <v>0</v>
      </c>
      <c r="OWS15">
        <f ca="1"/>
        <v>0</v>
      </c>
      <c r="OWT15">
        <f ca="1"/>
        <v>0</v>
      </c>
      <c r="OWU15">
        <f ca="1"/>
        <v>0</v>
      </c>
      <c r="OWV15">
        <f ca="1"/>
        <v>0</v>
      </c>
      <c r="OWW15">
        <f ca="1"/>
        <v>0</v>
      </c>
      <c r="OWX15">
        <f ca="1"/>
        <v>0</v>
      </c>
      <c r="OWY15">
        <f ca="1"/>
        <v>0</v>
      </c>
      <c r="OWZ15">
        <f ca="1"/>
        <v>0</v>
      </c>
      <c r="OXA15">
        <f ca="1"/>
        <v>0</v>
      </c>
      <c r="OXB15">
        <f ca="1"/>
        <v>0</v>
      </c>
      <c r="OXC15">
        <f ca="1"/>
        <v>0</v>
      </c>
      <c r="OXD15">
        <f ca="1"/>
        <v>0</v>
      </c>
      <c r="OXE15">
        <f ca="1"/>
        <v>0</v>
      </c>
      <c r="OXF15">
        <f ca="1"/>
        <v>0</v>
      </c>
      <c r="OXG15">
        <f ca="1"/>
        <v>0</v>
      </c>
      <c r="OXH15">
        <f ca="1"/>
        <v>0</v>
      </c>
      <c r="OXI15">
        <f ca="1"/>
        <v>0</v>
      </c>
      <c r="OXJ15">
        <f ca="1"/>
        <v>0</v>
      </c>
      <c r="OXK15">
        <f ca="1"/>
        <v>0</v>
      </c>
      <c r="OXL15">
        <f ca="1"/>
        <v>0</v>
      </c>
      <c r="OXM15">
        <f ca="1"/>
        <v>0</v>
      </c>
      <c r="OXN15">
        <f ca="1"/>
        <v>0</v>
      </c>
      <c r="OXO15">
        <f ca="1"/>
        <v>0</v>
      </c>
      <c r="OXP15">
        <f ca="1"/>
        <v>0</v>
      </c>
      <c r="OXQ15">
        <f ca="1"/>
        <v>0</v>
      </c>
      <c r="OXR15">
        <f ca="1"/>
        <v>0</v>
      </c>
      <c r="OXS15">
        <f ca="1"/>
        <v>0</v>
      </c>
      <c r="OXT15">
        <f ca="1"/>
        <v>0</v>
      </c>
      <c r="OXU15">
        <f ca="1"/>
        <v>0</v>
      </c>
      <c r="OXV15">
        <f ca="1"/>
        <v>0</v>
      </c>
      <c r="OXW15">
        <f ca="1"/>
        <v>0</v>
      </c>
      <c r="OXX15">
        <f ca="1"/>
        <v>0</v>
      </c>
      <c r="OXY15">
        <f ca="1"/>
        <v>0</v>
      </c>
      <c r="OXZ15">
        <f ca="1"/>
        <v>0</v>
      </c>
      <c r="OYA15">
        <f ca="1"/>
        <v>0</v>
      </c>
      <c r="OYB15">
        <f ca="1"/>
        <v>0</v>
      </c>
      <c r="OYC15">
        <f ca="1"/>
        <v>0</v>
      </c>
      <c r="OYD15">
        <f ca="1"/>
        <v>0</v>
      </c>
      <c r="OYE15">
        <f ca="1"/>
        <v>0</v>
      </c>
      <c r="OYF15">
        <f ca="1"/>
        <v>0</v>
      </c>
      <c r="OYG15">
        <f ca="1"/>
        <v>0</v>
      </c>
      <c r="OYH15">
        <f ca="1"/>
        <v>0</v>
      </c>
      <c r="OYI15">
        <f ca="1"/>
        <v>0</v>
      </c>
      <c r="OYJ15">
        <f ca="1"/>
        <v>0</v>
      </c>
      <c r="OYK15">
        <f ca="1"/>
        <v>0</v>
      </c>
      <c r="OYL15">
        <f ca="1"/>
        <v>0</v>
      </c>
      <c r="OYM15">
        <f ca="1"/>
        <v>0</v>
      </c>
      <c r="OYN15">
        <f ca="1"/>
        <v>0</v>
      </c>
      <c r="OYO15">
        <f ca="1"/>
        <v>0</v>
      </c>
      <c r="OYP15">
        <f ca="1"/>
        <v>0</v>
      </c>
      <c r="OYQ15">
        <f ca="1"/>
        <v>0</v>
      </c>
      <c r="OYR15">
        <f ca="1"/>
        <v>0</v>
      </c>
      <c r="OYS15">
        <f ca="1"/>
        <v>0</v>
      </c>
      <c r="OYT15">
        <f ca="1"/>
        <v>0</v>
      </c>
      <c r="OYU15">
        <f ca="1"/>
        <v>0</v>
      </c>
      <c r="OYV15">
        <f ca="1"/>
        <v>0</v>
      </c>
      <c r="OYW15">
        <f ca="1"/>
        <v>0</v>
      </c>
      <c r="OYX15">
        <f ca="1"/>
        <v>0</v>
      </c>
      <c r="OYY15">
        <f ca="1"/>
        <v>0</v>
      </c>
      <c r="OYZ15">
        <f ca="1"/>
        <v>0</v>
      </c>
      <c r="OZA15">
        <f ca="1"/>
        <v>0</v>
      </c>
      <c r="OZB15">
        <f ca="1"/>
        <v>0</v>
      </c>
      <c r="OZC15">
        <f ca="1"/>
        <v>0</v>
      </c>
      <c r="OZD15">
        <f ca="1"/>
        <v>0</v>
      </c>
      <c r="OZE15">
        <f ca="1"/>
        <v>0</v>
      </c>
      <c r="OZF15">
        <f ca="1"/>
        <v>0</v>
      </c>
      <c r="OZG15">
        <f ca="1"/>
        <v>0</v>
      </c>
      <c r="OZH15">
        <f ca="1"/>
        <v>0</v>
      </c>
      <c r="OZI15">
        <f ca="1"/>
        <v>0</v>
      </c>
      <c r="OZJ15">
        <f ca="1"/>
        <v>0</v>
      </c>
      <c r="OZK15">
        <f ca="1"/>
        <v>0</v>
      </c>
      <c r="OZL15">
        <f ca="1"/>
        <v>0</v>
      </c>
      <c r="OZM15">
        <f ca="1"/>
        <v>0</v>
      </c>
      <c r="OZN15">
        <f ca="1"/>
        <v>0</v>
      </c>
      <c r="OZO15">
        <f ca="1"/>
        <v>0</v>
      </c>
      <c r="OZP15">
        <f ca="1"/>
        <v>0</v>
      </c>
      <c r="OZQ15">
        <f ca="1"/>
        <v>0</v>
      </c>
      <c r="OZR15">
        <f ca="1"/>
        <v>0</v>
      </c>
      <c r="OZS15">
        <f ca="1"/>
        <v>0</v>
      </c>
      <c r="OZT15">
        <f ca="1"/>
        <v>0</v>
      </c>
      <c r="OZU15">
        <f ca="1"/>
        <v>0</v>
      </c>
      <c r="OZV15">
        <f ca="1"/>
        <v>0</v>
      </c>
      <c r="OZW15">
        <f ca="1"/>
        <v>0</v>
      </c>
      <c r="OZX15">
        <f ca="1"/>
        <v>0</v>
      </c>
      <c r="OZY15">
        <f ca="1"/>
        <v>0</v>
      </c>
      <c r="OZZ15">
        <f ca="1"/>
        <v>0</v>
      </c>
      <c r="PAA15">
        <f ca="1"/>
        <v>0</v>
      </c>
      <c r="PAB15">
        <f ca="1"/>
        <v>0</v>
      </c>
      <c r="PAC15">
        <f ca="1"/>
        <v>0</v>
      </c>
      <c r="PAD15">
        <f ca="1"/>
        <v>0</v>
      </c>
      <c r="PAE15">
        <f ca="1"/>
        <v>0</v>
      </c>
      <c r="PAF15">
        <f ca="1"/>
        <v>0</v>
      </c>
      <c r="PAG15">
        <f ca="1"/>
        <v>0</v>
      </c>
      <c r="PAH15">
        <f ca="1"/>
        <v>0</v>
      </c>
      <c r="PAI15">
        <f ca="1"/>
        <v>0</v>
      </c>
      <c r="PAJ15">
        <f ca="1"/>
        <v>0</v>
      </c>
      <c r="PAK15">
        <f ca="1"/>
        <v>0</v>
      </c>
      <c r="PAL15">
        <f ca="1"/>
        <v>0</v>
      </c>
      <c r="PAM15">
        <f ca="1"/>
        <v>0</v>
      </c>
      <c r="PAN15">
        <f ca="1"/>
        <v>0</v>
      </c>
      <c r="PAO15">
        <f ca="1"/>
        <v>0</v>
      </c>
      <c r="PAP15">
        <f ca="1"/>
        <v>0</v>
      </c>
      <c r="PAQ15">
        <f ca="1"/>
        <v>0</v>
      </c>
      <c r="PAR15">
        <f ca="1"/>
        <v>0</v>
      </c>
      <c r="PAS15">
        <f ca="1"/>
        <v>0</v>
      </c>
      <c r="PAT15">
        <f ca="1"/>
        <v>0</v>
      </c>
      <c r="PAU15">
        <f ca="1"/>
        <v>0</v>
      </c>
      <c r="PAV15">
        <f ca="1"/>
        <v>0</v>
      </c>
      <c r="PAW15">
        <f ca="1"/>
        <v>0</v>
      </c>
      <c r="PAX15">
        <f ca="1"/>
        <v>0</v>
      </c>
      <c r="PAY15">
        <f ca="1"/>
        <v>0</v>
      </c>
      <c r="PAZ15">
        <f ca="1"/>
        <v>0</v>
      </c>
      <c r="PBA15">
        <f ca="1"/>
        <v>0</v>
      </c>
      <c r="PBB15">
        <f ca="1"/>
        <v>0</v>
      </c>
      <c r="PBC15">
        <f ca="1"/>
        <v>0</v>
      </c>
      <c r="PBD15">
        <f ca="1"/>
        <v>0</v>
      </c>
      <c r="PBE15">
        <f ca="1"/>
        <v>0</v>
      </c>
      <c r="PBF15">
        <f ca="1"/>
        <v>0</v>
      </c>
      <c r="PBG15">
        <f ca="1"/>
        <v>0</v>
      </c>
      <c r="PBH15">
        <f ca="1"/>
        <v>0</v>
      </c>
      <c r="PBI15">
        <f ca="1"/>
        <v>0</v>
      </c>
      <c r="PBJ15">
        <f ca="1"/>
        <v>0</v>
      </c>
      <c r="PBK15">
        <f ca="1"/>
        <v>0</v>
      </c>
      <c r="PBL15">
        <f ca="1"/>
        <v>0</v>
      </c>
      <c r="PBM15">
        <f ca="1"/>
        <v>0</v>
      </c>
      <c r="PBN15">
        <f ca="1"/>
        <v>0</v>
      </c>
      <c r="PBO15">
        <f ca="1"/>
        <v>0</v>
      </c>
      <c r="PBP15">
        <f ca="1"/>
        <v>0</v>
      </c>
      <c r="PBQ15">
        <f ca="1"/>
        <v>0</v>
      </c>
      <c r="PBR15">
        <f ca="1"/>
        <v>0</v>
      </c>
      <c r="PBS15">
        <f ca="1"/>
        <v>0</v>
      </c>
      <c r="PBT15">
        <f ca="1"/>
        <v>0</v>
      </c>
      <c r="PBU15">
        <f ca="1"/>
        <v>0</v>
      </c>
      <c r="PBV15">
        <f ca="1"/>
        <v>0</v>
      </c>
      <c r="PBW15">
        <f ca="1"/>
        <v>0</v>
      </c>
      <c r="PBX15">
        <f ca="1"/>
        <v>0</v>
      </c>
      <c r="PBY15">
        <f ca="1"/>
        <v>0</v>
      </c>
      <c r="PBZ15">
        <f ca="1"/>
        <v>0</v>
      </c>
      <c r="PCA15">
        <f ca="1"/>
        <v>0</v>
      </c>
      <c r="PCB15">
        <f ca="1"/>
        <v>0</v>
      </c>
      <c r="PCC15">
        <f ca="1"/>
        <v>0</v>
      </c>
      <c r="PCD15">
        <f ca="1"/>
        <v>0</v>
      </c>
      <c r="PCE15">
        <f ca="1"/>
        <v>0</v>
      </c>
      <c r="PCF15">
        <f ca="1"/>
        <v>0</v>
      </c>
      <c r="PCG15">
        <f ca="1"/>
        <v>0</v>
      </c>
      <c r="PCH15">
        <f ca="1"/>
        <v>0</v>
      </c>
      <c r="PCI15">
        <f ca="1"/>
        <v>0</v>
      </c>
      <c r="PCJ15">
        <f ca="1"/>
        <v>0</v>
      </c>
      <c r="PCK15">
        <f ca="1"/>
        <v>0</v>
      </c>
      <c r="PCL15">
        <f ca="1"/>
        <v>0</v>
      </c>
      <c r="PCM15">
        <f ca="1"/>
        <v>0</v>
      </c>
      <c r="PCN15">
        <f ca="1"/>
        <v>0</v>
      </c>
      <c r="PCO15">
        <f ca="1"/>
        <v>0</v>
      </c>
      <c r="PCP15">
        <f ca="1"/>
        <v>0</v>
      </c>
      <c r="PCQ15">
        <f ca="1"/>
        <v>0</v>
      </c>
      <c r="PCR15">
        <f ca="1"/>
        <v>0</v>
      </c>
      <c r="PCS15">
        <f ca="1"/>
        <v>0</v>
      </c>
      <c r="PCT15">
        <f ca="1"/>
        <v>0</v>
      </c>
      <c r="PCU15">
        <f ca="1"/>
        <v>0</v>
      </c>
      <c r="PCV15">
        <f ca="1"/>
        <v>0</v>
      </c>
      <c r="PCW15">
        <f ca="1"/>
        <v>0</v>
      </c>
      <c r="PCX15">
        <f ca="1"/>
        <v>0</v>
      </c>
      <c r="PCY15">
        <f ca="1"/>
        <v>0</v>
      </c>
      <c r="PCZ15">
        <f ca="1"/>
        <v>0</v>
      </c>
      <c r="PDA15">
        <f ca="1"/>
        <v>0</v>
      </c>
      <c r="PDB15">
        <f ca="1"/>
        <v>0</v>
      </c>
      <c r="PDC15">
        <f ca="1"/>
        <v>0</v>
      </c>
      <c r="PDD15">
        <f ca="1"/>
        <v>0</v>
      </c>
      <c r="PDE15">
        <f ca="1"/>
        <v>0</v>
      </c>
      <c r="PDF15">
        <f ca="1"/>
        <v>0</v>
      </c>
      <c r="PDG15">
        <f ca="1"/>
        <v>0</v>
      </c>
      <c r="PDH15">
        <f ca="1"/>
        <v>0</v>
      </c>
      <c r="PDI15">
        <f ca="1"/>
        <v>0</v>
      </c>
      <c r="PDJ15">
        <f ca="1"/>
        <v>0</v>
      </c>
      <c r="PDK15">
        <f ca="1"/>
        <v>0</v>
      </c>
      <c r="PDL15">
        <f ca="1"/>
        <v>0</v>
      </c>
      <c r="PDM15">
        <f ca="1"/>
        <v>0</v>
      </c>
      <c r="PDN15">
        <f ca="1"/>
        <v>0</v>
      </c>
      <c r="PDO15">
        <f ca="1"/>
        <v>0</v>
      </c>
      <c r="PDP15">
        <f ca="1"/>
        <v>0</v>
      </c>
      <c r="PDQ15">
        <f ca="1"/>
        <v>0</v>
      </c>
      <c r="PDR15">
        <f ca="1"/>
        <v>0</v>
      </c>
      <c r="PDS15">
        <f ca="1"/>
        <v>0</v>
      </c>
      <c r="PDT15">
        <f ca="1"/>
        <v>0</v>
      </c>
      <c r="PDU15">
        <f ca="1"/>
        <v>0</v>
      </c>
      <c r="PDV15">
        <f ca="1"/>
        <v>0</v>
      </c>
      <c r="PDW15">
        <f ca="1"/>
        <v>0</v>
      </c>
      <c r="PDX15">
        <f ca="1"/>
        <v>0</v>
      </c>
      <c r="PDY15">
        <f ca="1"/>
        <v>0</v>
      </c>
      <c r="PDZ15">
        <f ca="1"/>
        <v>0</v>
      </c>
      <c r="PEA15">
        <f ca="1"/>
        <v>0</v>
      </c>
      <c r="PEB15">
        <f ca="1"/>
        <v>0</v>
      </c>
      <c r="PEC15">
        <f ca="1"/>
        <v>0</v>
      </c>
      <c r="PED15">
        <f ca="1"/>
        <v>0</v>
      </c>
      <c r="PEE15">
        <f ca="1"/>
        <v>0</v>
      </c>
      <c r="PEF15">
        <f ca="1"/>
        <v>0</v>
      </c>
      <c r="PEG15">
        <f ca="1"/>
        <v>0</v>
      </c>
      <c r="PEH15">
        <f ca="1"/>
        <v>0</v>
      </c>
      <c r="PEI15">
        <f ca="1"/>
        <v>0</v>
      </c>
      <c r="PEJ15">
        <f ca="1"/>
        <v>0</v>
      </c>
      <c r="PEK15">
        <f ca="1"/>
        <v>0</v>
      </c>
      <c r="PEL15">
        <f ca="1"/>
        <v>0</v>
      </c>
      <c r="PEM15">
        <f ca="1"/>
        <v>0</v>
      </c>
      <c r="PEN15">
        <f ca="1"/>
        <v>0</v>
      </c>
      <c r="PEO15">
        <f ca="1"/>
        <v>0</v>
      </c>
      <c r="PEP15">
        <f ca="1"/>
        <v>0</v>
      </c>
      <c r="PEQ15">
        <f ca="1"/>
        <v>0</v>
      </c>
      <c r="PER15">
        <f ca="1"/>
        <v>0</v>
      </c>
      <c r="PES15">
        <f ca="1"/>
        <v>0</v>
      </c>
      <c r="PET15">
        <f ca="1"/>
        <v>0</v>
      </c>
      <c r="PEU15">
        <f ca="1"/>
        <v>0</v>
      </c>
      <c r="PEV15">
        <f ca="1"/>
        <v>0</v>
      </c>
      <c r="PEW15">
        <f ca="1"/>
        <v>0</v>
      </c>
      <c r="PEX15">
        <f ca="1"/>
        <v>0</v>
      </c>
      <c r="PEY15">
        <f ca="1"/>
        <v>0</v>
      </c>
      <c r="PEZ15">
        <f ca="1"/>
        <v>0</v>
      </c>
      <c r="PFA15">
        <f ca="1"/>
        <v>0</v>
      </c>
      <c r="PFB15">
        <f ca="1"/>
        <v>0</v>
      </c>
      <c r="PFC15">
        <f ca="1"/>
        <v>0</v>
      </c>
      <c r="PFD15">
        <f ca="1"/>
        <v>0</v>
      </c>
      <c r="PFE15">
        <f ca="1"/>
        <v>0</v>
      </c>
      <c r="PFF15">
        <f ca="1"/>
        <v>0</v>
      </c>
      <c r="PFG15">
        <f ca="1"/>
        <v>0</v>
      </c>
      <c r="PFH15">
        <f ca="1"/>
        <v>0</v>
      </c>
      <c r="PFI15">
        <f ca="1"/>
        <v>0</v>
      </c>
      <c r="PFJ15">
        <f ca="1"/>
        <v>0</v>
      </c>
      <c r="PFK15">
        <f ca="1"/>
        <v>0</v>
      </c>
      <c r="PFL15">
        <f ca="1"/>
        <v>0</v>
      </c>
      <c r="PFM15">
        <f ca="1"/>
        <v>0</v>
      </c>
      <c r="PFN15">
        <f ca="1"/>
        <v>0</v>
      </c>
      <c r="PFO15">
        <f ca="1"/>
        <v>0</v>
      </c>
      <c r="PFP15">
        <f ca="1"/>
        <v>0</v>
      </c>
      <c r="PFQ15">
        <f ca="1"/>
        <v>0</v>
      </c>
      <c r="PFR15">
        <f ca="1"/>
        <v>0</v>
      </c>
      <c r="PFS15">
        <f ca="1"/>
        <v>0</v>
      </c>
      <c r="PFT15">
        <f ca="1"/>
        <v>0</v>
      </c>
      <c r="PFU15">
        <f ca="1"/>
        <v>0</v>
      </c>
      <c r="PFV15">
        <f ca="1"/>
        <v>0</v>
      </c>
      <c r="PFW15">
        <f ca="1"/>
        <v>0</v>
      </c>
      <c r="PFX15">
        <f ca="1"/>
        <v>0</v>
      </c>
      <c r="PFY15">
        <f ca="1"/>
        <v>0</v>
      </c>
      <c r="PFZ15">
        <f ca="1"/>
        <v>0</v>
      </c>
      <c r="PGA15">
        <f ca="1"/>
        <v>0</v>
      </c>
      <c r="PGB15">
        <f ca="1"/>
        <v>0</v>
      </c>
      <c r="PGC15">
        <f ca="1"/>
        <v>0</v>
      </c>
      <c r="PGD15">
        <f ca="1"/>
        <v>0</v>
      </c>
      <c r="PGE15">
        <f ca="1"/>
        <v>0</v>
      </c>
      <c r="PGF15">
        <f ca="1"/>
        <v>0</v>
      </c>
      <c r="PGG15">
        <f ca="1"/>
        <v>0</v>
      </c>
      <c r="PGH15">
        <f ca="1"/>
        <v>0</v>
      </c>
      <c r="PGI15">
        <f ca="1"/>
        <v>0</v>
      </c>
      <c r="PGJ15">
        <f ca="1"/>
        <v>0</v>
      </c>
      <c r="PGK15">
        <f ca="1"/>
        <v>0</v>
      </c>
      <c r="PGL15">
        <f ca="1"/>
        <v>0</v>
      </c>
      <c r="PGM15">
        <f ca="1"/>
        <v>0</v>
      </c>
      <c r="PGN15">
        <f ca="1"/>
        <v>0</v>
      </c>
      <c r="PGO15">
        <f ca="1"/>
        <v>0</v>
      </c>
      <c r="PGP15">
        <f ca="1"/>
        <v>0</v>
      </c>
      <c r="PGQ15">
        <f ca="1"/>
        <v>0</v>
      </c>
      <c r="PGR15">
        <f ca="1"/>
        <v>0</v>
      </c>
      <c r="PGS15">
        <f ca="1"/>
        <v>0</v>
      </c>
      <c r="PGT15">
        <f ca="1"/>
        <v>0</v>
      </c>
      <c r="PGU15">
        <f ca="1"/>
        <v>0</v>
      </c>
      <c r="PGV15">
        <f ca="1"/>
        <v>0</v>
      </c>
      <c r="PGW15">
        <f ca="1"/>
        <v>0</v>
      </c>
      <c r="PGX15">
        <f ca="1"/>
        <v>0</v>
      </c>
      <c r="PGY15">
        <f ca="1"/>
        <v>0</v>
      </c>
      <c r="PGZ15">
        <f ca="1"/>
        <v>0</v>
      </c>
      <c r="PHA15">
        <f ca="1"/>
        <v>0</v>
      </c>
      <c r="PHB15">
        <f ca="1"/>
        <v>0</v>
      </c>
      <c r="PHC15">
        <f ca="1"/>
        <v>0</v>
      </c>
      <c r="PHD15">
        <f ca="1"/>
        <v>0</v>
      </c>
      <c r="PHE15">
        <f ca="1"/>
        <v>0</v>
      </c>
      <c r="PHF15">
        <f ca="1"/>
        <v>0</v>
      </c>
      <c r="PHG15">
        <f ca="1"/>
        <v>0</v>
      </c>
      <c r="PHH15">
        <f ca="1"/>
        <v>0</v>
      </c>
      <c r="PHI15">
        <f ca="1"/>
        <v>0</v>
      </c>
      <c r="PHJ15">
        <f ca="1"/>
        <v>0</v>
      </c>
      <c r="PHK15">
        <f ca="1"/>
        <v>0</v>
      </c>
      <c r="PHL15">
        <f ca="1"/>
        <v>0</v>
      </c>
      <c r="PHM15">
        <f ca="1"/>
        <v>0</v>
      </c>
      <c r="PHN15">
        <f ca="1"/>
        <v>0</v>
      </c>
      <c r="PHO15">
        <f ca="1"/>
        <v>0</v>
      </c>
      <c r="PHP15">
        <f ca="1"/>
        <v>0</v>
      </c>
      <c r="PHQ15">
        <f ca="1"/>
        <v>0</v>
      </c>
      <c r="PHR15">
        <f ca="1"/>
        <v>0</v>
      </c>
      <c r="PHS15">
        <f ca="1"/>
        <v>0</v>
      </c>
      <c r="PHT15">
        <f ca="1"/>
        <v>0</v>
      </c>
      <c r="PHU15">
        <f ca="1"/>
        <v>0</v>
      </c>
      <c r="PHV15">
        <f ca="1"/>
        <v>0</v>
      </c>
      <c r="PHW15">
        <f ca="1"/>
        <v>0</v>
      </c>
      <c r="PHX15">
        <f ca="1"/>
        <v>0</v>
      </c>
      <c r="PHY15">
        <f ca="1"/>
        <v>0</v>
      </c>
      <c r="PHZ15">
        <f ca="1"/>
        <v>0</v>
      </c>
      <c r="PIA15">
        <f ca="1"/>
        <v>0</v>
      </c>
      <c r="PIB15">
        <f ca="1"/>
        <v>0</v>
      </c>
      <c r="PIC15">
        <f ca="1"/>
        <v>0</v>
      </c>
      <c r="PID15">
        <f ca="1"/>
        <v>0</v>
      </c>
      <c r="PIE15">
        <f ca="1"/>
        <v>0</v>
      </c>
      <c r="PIF15">
        <f ca="1"/>
        <v>0</v>
      </c>
      <c r="PIG15">
        <f ca="1"/>
        <v>0</v>
      </c>
      <c r="PIH15">
        <f ca="1"/>
        <v>0</v>
      </c>
      <c r="PII15">
        <f ca="1"/>
        <v>0</v>
      </c>
      <c r="PIJ15">
        <f ca="1"/>
        <v>0</v>
      </c>
      <c r="PIK15">
        <f ca="1"/>
        <v>0</v>
      </c>
      <c r="PIL15">
        <f ca="1"/>
        <v>0</v>
      </c>
      <c r="PIM15">
        <f ca="1"/>
        <v>0</v>
      </c>
      <c r="PIN15">
        <f ca="1"/>
        <v>0</v>
      </c>
      <c r="PIO15">
        <f ca="1"/>
        <v>0</v>
      </c>
      <c r="PIP15">
        <f ca="1"/>
        <v>0</v>
      </c>
      <c r="PIQ15">
        <f ca="1"/>
        <v>0</v>
      </c>
      <c r="PIR15">
        <f ca="1"/>
        <v>0</v>
      </c>
      <c r="PIS15">
        <f ca="1"/>
        <v>0</v>
      </c>
      <c r="PIT15">
        <f ca="1"/>
        <v>0</v>
      </c>
      <c r="PIU15">
        <f ca="1"/>
        <v>0</v>
      </c>
      <c r="PIV15">
        <f ca="1"/>
        <v>0</v>
      </c>
      <c r="PIW15">
        <f ca="1"/>
        <v>0</v>
      </c>
      <c r="PIX15">
        <f ca="1"/>
        <v>0</v>
      </c>
      <c r="PIY15">
        <f ca="1"/>
        <v>0</v>
      </c>
      <c r="PIZ15">
        <f ca="1"/>
        <v>0</v>
      </c>
      <c r="PJA15">
        <f ca="1"/>
        <v>0</v>
      </c>
      <c r="PJB15">
        <f ca="1"/>
        <v>0</v>
      </c>
      <c r="PJC15">
        <f ca="1"/>
        <v>0</v>
      </c>
      <c r="PJD15">
        <f ca="1"/>
        <v>0</v>
      </c>
      <c r="PJE15">
        <f ca="1"/>
        <v>0</v>
      </c>
      <c r="PJF15">
        <f ca="1"/>
        <v>0</v>
      </c>
      <c r="PJG15">
        <f ca="1"/>
        <v>0</v>
      </c>
      <c r="PJH15">
        <f ca="1"/>
        <v>0</v>
      </c>
      <c r="PJI15">
        <f ca="1"/>
        <v>0</v>
      </c>
      <c r="PJJ15">
        <f ca="1"/>
        <v>0</v>
      </c>
      <c r="PJK15">
        <f ca="1"/>
        <v>0</v>
      </c>
      <c r="PJL15">
        <f ca="1"/>
        <v>0</v>
      </c>
      <c r="PJM15">
        <f ca="1"/>
        <v>0</v>
      </c>
      <c r="PJN15">
        <f ca="1"/>
        <v>0</v>
      </c>
      <c r="PJO15">
        <f ca="1"/>
        <v>0</v>
      </c>
      <c r="PJP15">
        <f ca="1"/>
        <v>0</v>
      </c>
      <c r="PJQ15">
        <f ca="1"/>
        <v>0</v>
      </c>
      <c r="PJR15">
        <f ca="1"/>
        <v>0</v>
      </c>
      <c r="PJS15">
        <f ca="1"/>
        <v>0</v>
      </c>
      <c r="PJT15">
        <f ca="1"/>
        <v>0</v>
      </c>
      <c r="PJU15">
        <f ca="1"/>
        <v>0</v>
      </c>
      <c r="PJV15">
        <f ca="1"/>
        <v>0</v>
      </c>
      <c r="PJW15">
        <f ca="1"/>
        <v>0</v>
      </c>
      <c r="PJX15">
        <f ca="1"/>
        <v>0</v>
      </c>
      <c r="PJY15">
        <f ca="1"/>
        <v>0</v>
      </c>
      <c r="PJZ15">
        <f ca="1"/>
        <v>0</v>
      </c>
      <c r="PKA15">
        <f ca="1"/>
        <v>0</v>
      </c>
      <c r="PKB15">
        <f ca="1"/>
        <v>0</v>
      </c>
      <c r="PKC15">
        <f ca="1"/>
        <v>0</v>
      </c>
      <c r="PKD15">
        <f ca="1"/>
        <v>0</v>
      </c>
      <c r="PKE15">
        <f ca="1"/>
        <v>0</v>
      </c>
      <c r="PKF15">
        <f ca="1"/>
        <v>0</v>
      </c>
      <c r="PKG15">
        <f ca="1"/>
        <v>0</v>
      </c>
      <c r="PKH15">
        <f ca="1"/>
        <v>0</v>
      </c>
      <c r="PKI15">
        <f ca="1"/>
        <v>0</v>
      </c>
      <c r="PKJ15">
        <f ca="1"/>
        <v>0</v>
      </c>
      <c r="PKK15">
        <f ca="1"/>
        <v>0</v>
      </c>
      <c r="PKL15">
        <f ca="1"/>
        <v>0</v>
      </c>
      <c r="PKM15">
        <f ca="1"/>
        <v>0</v>
      </c>
      <c r="PKN15">
        <f ca="1"/>
        <v>0</v>
      </c>
      <c r="PKO15">
        <f ca="1"/>
        <v>0</v>
      </c>
      <c r="PKP15">
        <f ca="1"/>
        <v>0</v>
      </c>
      <c r="PKQ15">
        <f ca="1"/>
        <v>0</v>
      </c>
      <c r="PKR15">
        <f ca="1"/>
        <v>0</v>
      </c>
      <c r="PKS15">
        <f ca="1"/>
        <v>0</v>
      </c>
      <c r="PKT15">
        <f ca="1"/>
        <v>0</v>
      </c>
      <c r="PKU15">
        <f ca="1"/>
        <v>0</v>
      </c>
      <c r="PKV15">
        <f ca="1"/>
        <v>0</v>
      </c>
      <c r="PKW15">
        <f ca="1"/>
        <v>0</v>
      </c>
      <c r="PKX15">
        <f ca="1"/>
        <v>0</v>
      </c>
      <c r="PKY15">
        <f ca="1"/>
        <v>0</v>
      </c>
      <c r="PKZ15">
        <f ca="1"/>
        <v>0</v>
      </c>
      <c r="PLA15">
        <f ca="1"/>
        <v>0</v>
      </c>
      <c r="PLB15">
        <f ca="1"/>
        <v>0</v>
      </c>
      <c r="PLC15">
        <f ca="1"/>
        <v>0</v>
      </c>
      <c r="PLD15">
        <f ca="1"/>
        <v>0</v>
      </c>
      <c r="PLE15">
        <f ca="1"/>
        <v>0</v>
      </c>
      <c r="PLF15">
        <f ca="1"/>
        <v>0</v>
      </c>
      <c r="PLG15">
        <f ca="1"/>
        <v>0</v>
      </c>
      <c r="PLH15">
        <f ca="1"/>
        <v>0</v>
      </c>
      <c r="PLI15">
        <f ca="1"/>
        <v>0</v>
      </c>
      <c r="PLJ15">
        <f ca="1"/>
        <v>0</v>
      </c>
      <c r="PLK15">
        <f ca="1"/>
        <v>0</v>
      </c>
      <c r="PLL15">
        <f ca="1"/>
        <v>0</v>
      </c>
      <c r="PLM15">
        <f ca="1"/>
        <v>0</v>
      </c>
      <c r="PLN15">
        <f ca="1"/>
        <v>0</v>
      </c>
      <c r="PLO15">
        <f ca="1"/>
        <v>0</v>
      </c>
      <c r="PLP15">
        <f ca="1"/>
        <v>0</v>
      </c>
      <c r="PLQ15">
        <f ca="1"/>
        <v>0</v>
      </c>
      <c r="PLR15">
        <f ca="1"/>
        <v>0</v>
      </c>
      <c r="PLS15">
        <f ca="1"/>
        <v>0</v>
      </c>
      <c r="PLT15">
        <f ca="1"/>
        <v>0</v>
      </c>
      <c r="PLU15">
        <f ca="1"/>
        <v>0</v>
      </c>
      <c r="PLV15">
        <f ca="1"/>
        <v>0</v>
      </c>
      <c r="PLW15">
        <f ca="1"/>
        <v>0</v>
      </c>
      <c r="PLX15">
        <f ca="1"/>
        <v>0</v>
      </c>
      <c r="PLY15">
        <f ca="1"/>
        <v>0</v>
      </c>
      <c r="PLZ15">
        <f ca="1"/>
        <v>0</v>
      </c>
      <c r="PMA15">
        <f ca="1"/>
        <v>0</v>
      </c>
      <c r="PMB15">
        <f ca="1"/>
        <v>0</v>
      </c>
      <c r="PMC15">
        <f ca="1"/>
        <v>0</v>
      </c>
      <c r="PMD15">
        <f ca="1"/>
        <v>0</v>
      </c>
      <c r="PME15">
        <f ca="1"/>
        <v>0</v>
      </c>
      <c r="PMF15">
        <f ca="1"/>
        <v>0</v>
      </c>
      <c r="PMG15">
        <f ca="1"/>
        <v>0</v>
      </c>
      <c r="PMH15">
        <f ca="1"/>
        <v>0</v>
      </c>
      <c r="PMI15">
        <f ca="1"/>
        <v>0</v>
      </c>
      <c r="PMJ15">
        <f ca="1"/>
        <v>0</v>
      </c>
      <c r="PMK15">
        <f ca="1"/>
        <v>0</v>
      </c>
      <c r="PML15">
        <f ca="1"/>
        <v>0</v>
      </c>
      <c r="PMM15">
        <f ca="1"/>
        <v>0</v>
      </c>
      <c r="PMN15">
        <f ca="1"/>
        <v>0</v>
      </c>
      <c r="PMO15">
        <f ca="1"/>
        <v>0</v>
      </c>
      <c r="PMP15">
        <f ca="1"/>
        <v>0</v>
      </c>
      <c r="PMQ15">
        <f ca="1"/>
        <v>0</v>
      </c>
      <c r="PMR15">
        <f ca="1"/>
        <v>0</v>
      </c>
      <c r="PMS15">
        <f ca="1"/>
        <v>0</v>
      </c>
      <c r="PMT15">
        <f ca="1"/>
        <v>0</v>
      </c>
      <c r="PMU15">
        <f ca="1"/>
        <v>0</v>
      </c>
      <c r="PMV15">
        <f ca="1"/>
        <v>0</v>
      </c>
      <c r="PMW15">
        <f ca="1"/>
        <v>0</v>
      </c>
      <c r="PMX15">
        <f ca="1"/>
        <v>0</v>
      </c>
      <c r="PMY15">
        <f ca="1"/>
        <v>0</v>
      </c>
      <c r="PMZ15">
        <f ca="1"/>
        <v>0</v>
      </c>
      <c r="PNA15">
        <f ca="1"/>
        <v>0</v>
      </c>
      <c r="PNB15">
        <f ca="1"/>
        <v>0</v>
      </c>
      <c r="PNC15">
        <f ca="1"/>
        <v>0</v>
      </c>
      <c r="PND15">
        <f ca="1"/>
        <v>0</v>
      </c>
      <c r="PNE15">
        <f ca="1"/>
        <v>0</v>
      </c>
      <c r="PNF15">
        <f ca="1"/>
        <v>0</v>
      </c>
      <c r="PNG15">
        <f ca="1"/>
        <v>0</v>
      </c>
      <c r="PNH15">
        <f ca="1"/>
        <v>0</v>
      </c>
      <c r="PNI15">
        <f ca="1"/>
        <v>0</v>
      </c>
      <c r="PNJ15">
        <f ca="1"/>
        <v>0</v>
      </c>
      <c r="PNK15">
        <f ca="1"/>
        <v>0</v>
      </c>
      <c r="PNL15">
        <f ca="1"/>
        <v>0</v>
      </c>
      <c r="PNM15">
        <f ca="1"/>
        <v>0</v>
      </c>
      <c r="PNN15">
        <f ca="1"/>
        <v>0</v>
      </c>
      <c r="PNO15">
        <f ca="1"/>
        <v>0</v>
      </c>
      <c r="PNP15">
        <f ca="1"/>
        <v>0</v>
      </c>
      <c r="PNQ15">
        <f ca="1"/>
        <v>0</v>
      </c>
      <c r="PNR15">
        <f ca="1"/>
        <v>0</v>
      </c>
      <c r="PNS15">
        <f ca="1"/>
        <v>0</v>
      </c>
      <c r="PNT15">
        <f ca="1"/>
        <v>0</v>
      </c>
      <c r="PNU15">
        <f ca="1"/>
        <v>0</v>
      </c>
      <c r="PNV15">
        <f ca="1"/>
        <v>0</v>
      </c>
      <c r="PNW15">
        <f ca="1"/>
        <v>0</v>
      </c>
      <c r="PNX15">
        <f ca="1"/>
        <v>0</v>
      </c>
      <c r="PNY15">
        <f ca="1"/>
        <v>0</v>
      </c>
      <c r="PNZ15">
        <f ca="1"/>
        <v>0</v>
      </c>
      <c r="POA15">
        <f ca="1"/>
        <v>0</v>
      </c>
      <c r="POB15">
        <f ca="1"/>
        <v>0</v>
      </c>
      <c r="POC15">
        <f ca="1"/>
        <v>0</v>
      </c>
      <c r="POD15">
        <f ca="1"/>
        <v>0</v>
      </c>
      <c r="POE15">
        <f ca="1"/>
        <v>0</v>
      </c>
      <c r="POF15">
        <f ca="1"/>
        <v>0</v>
      </c>
      <c r="POG15">
        <f ca="1"/>
        <v>0</v>
      </c>
      <c r="POH15">
        <f ca="1"/>
        <v>0</v>
      </c>
      <c r="POI15">
        <f ca="1"/>
        <v>0</v>
      </c>
      <c r="POJ15">
        <f ca="1"/>
        <v>0</v>
      </c>
      <c r="POK15">
        <f ca="1"/>
        <v>0</v>
      </c>
      <c r="POL15">
        <f ca="1"/>
        <v>0</v>
      </c>
      <c r="POM15">
        <f ca="1"/>
        <v>0</v>
      </c>
      <c r="PON15">
        <f ca="1"/>
        <v>0</v>
      </c>
      <c r="POO15">
        <f ca="1"/>
        <v>0</v>
      </c>
      <c r="POP15">
        <f ca="1"/>
        <v>0</v>
      </c>
      <c r="POQ15">
        <f ca="1"/>
        <v>0</v>
      </c>
      <c r="POR15">
        <f ca="1"/>
        <v>0</v>
      </c>
      <c r="POS15">
        <f ca="1"/>
        <v>0</v>
      </c>
      <c r="POT15">
        <f ca="1"/>
        <v>0</v>
      </c>
      <c r="POU15">
        <f ca="1"/>
        <v>0</v>
      </c>
      <c r="POV15">
        <f ca="1"/>
        <v>0</v>
      </c>
      <c r="POW15">
        <f ca="1"/>
        <v>0</v>
      </c>
      <c r="POX15">
        <f ca="1"/>
        <v>0</v>
      </c>
      <c r="POY15">
        <f ca="1"/>
        <v>0</v>
      </c>
      <c r="POZ15">
        <f ca="1"/>
        <v>0</v>
      </c>
      <c r="PPA15">
        <f ca="1"/>
        <v>0</v>
      </c>
      <c r="PPB15">
        <f ca="1"/>
        <v>0</v>
      </c>
      <c r="PPC15">
        <f ca="1"/>
        <v>0</v>
      </c>
      <c r="PPD15">
        <f ca="1"/>
        <v>0</v>
      </c>
      <c r="PPE15">
        <f ca="1"/>
        <v>0</v>
      </c>
      <c r="PPF15">
        <f ca="1"/>
        <v>0</v>
      </c>
      <c r="PPG15">
        <f ca="1"/>
        <v>0</v>
      </c>
      <c r="PPH15">
        <f ca="1"/>
        <v>0</v>
      </c>
      <c r="PPI15">
        <f ca="1"/>
        <v>0</v>
      </c>
      <c r="PPJ15">
        <f ca="1"/>
        <v>0</v>
      </c>
      <c r="PPK15">
        <f ca="1"/>
        <v>0</v>
      </c>
      <c r="PPL15">
        <f ca="1"/>
        <v>0</v>
      </c>
      <c r="PPM15">
        <f ca="1"/>
        <v>0</v>
      </c>
      <c r="PPN15">
        <f ca="1"/>
        <v>0</v>
      </c>
      <c r="PPO15">
        <f ca="1"/>
        <v>0</v>
      </c>
      <c r="PPP15">
        <f ca="1"/>
        <v>0</v>
      </c>
      <c r="PPQ15">
        <f ca="1"/>
        <v>0</v>
      </c>
      <c r="PPR15">
        <f ca="1"/>
        <v>0</v>
      </c>
      <c r="PPS15">
        <f ca="1"/>
        <v>0</v>
      </c>
      <c r="PPT15">
        <f ca="1"/>
        <v>0</v>
      </c>
      <c r="PPU15">
        <f ca="1"/>
        <v>0</v>
      </c>
      <c r="PPV15">
        <f ca="1"/>
        <v>0</v>
      </c>
      <c r="PPW15">
        <f ca="1"/>
        <v>0</v>
      </c>
      <c r="PPX15">
        <f ca="1"/>
        <v>0</v>
      </c>
      <c r="PPY15">
        <f ca="1"/>
        <v>0</v>
      </c>
      <c r="PPZ15">
        <f ca="1"/>
        <v>0</v>
      </c>
      <c r="PQA15">
        <f ca="1"/>
        <v>0</v>
      </c>
      <c r="PQB15">
        <f ca="1"/>
        <v>0</v>
      </c>
      <c r="PQC15">
        <f ca="1"/>
        <v>0</v>
      </c>
      <c r="PQD15">
        <f ca="1"/>
        <v>0</v>
      </c>
      <c r="PQE15">
        <f ca="1"/>
        <v>0</v>
      </c>
      <c r="PQF15">
        <f ca="1"/>
        <v>0</v>
      </c>
      <c r="PQG15">
        <f ca="1"/>
        <v>0</v>
      </c>
      <c r="PQH15">
        <f ca="1"/>
        <v>0</v>
      </c>
      <c r="PQI15">
        <f ca="1"/>
        <v>0</v>
      </c>
      <c r="PQJ15">
        <f ca="1"/>
        <v>0</v>
      </c>
      <c r="PQK15">
        <f ca="1"/>
        <v>0</v>
      </c>
      <c r="PQL15">
        <f ca="1"/>
        <v>0</v>
      </c>
      <c r="PQM15">
        <f ca="1"/>
        <v>0</v>
      </c>
      <c r="PQN15">
        <f ca="1"/>
        <v>0</v>
      </c>
      <c r="PQO15">
        <f ca="1"/>
        <v>0</v>
      </c>
      <c r="PQP15">
        <f ca="1"/>
        <v>0</v>
      </c>
      <c r="PQQ15">
        <f ca="1"/>
        <v>0</v>
      </c>
      <c r="PQR15">
        <f ca="1"/>
        <v>0</v>
      </c>
      <c r="PQS15">
        <f ca="1"/>
        <v>0</v>
      </c>
      <c r="PQT15">
        <f ca="1"/>
        <v>0</v>
      </c>
      <c r="PQU15">
        <f ca="1"/>
        <v>0</v>
      </c>
      <c r="PQV15">
        <f ca="1"/>
        <v>0</v>
      </c>
      <c r="PQW15">
        <f ca="1"/>
        <v>0</v>
      </c>
      <c r="PQX15">
        <f ca="1"/>
        <v>0</v>
      </c>
      <c r="PQY15">
        <f ca="1"/>
        <v>0</v>
      </c>
      <c r="PQZ15">
        <f ca="1"/>
        <v>0</v>
      </c>
      <c r="PRA15">
        <f ca="1"/>
        <v>0</v>
      </c>
      <c r="PRB15">
        <f ca="1"/>
        <v>0</v>
      </c>
      <c r="PRC15">
        <f ca="1"/>
        <v>0</v>
      </c>
      <c r="PRD15">
        <f ca="1"/>
        <v>0</v>
      </c>
      <c r="PRE15">
        <f ca="1"/>
        <v>0</v>
      </c>
      <c r="PRF15">
        <f ca="1"/>
        <v>0</v>
      </c>
      <c r="PRG15">
        <f ca="1"/>
        <v>0</v>
      </c>
      <c r="PRH15">
        <f ca="1"/>
        <v>0</v>
      </c>
      <c r="PRI15">
        <f ca="1"/>
        <v>0</v>
      </c>
      <c r="PRJ15">
        <f ca="1"/>
        <v>0</v>
      </c>
      <c r="PRK15">
        <f ca="1"/>
        <v>0</v>
      </c>
      <c r="PRL15">
        <f ca="1"/>
        <v>0</v>
      </c>
      <c r="PRM15">
        <f ca="1"/>
        <v>0</v>
      </c>
      <c r="PRN15">
        <f ca="1"/>
        <v>0</v>
      </c>
      <c r="PRO15">
        <f ca="1"/>
        <v>0</v>
      </c>
      <c r="PRP15">
        <f ca="1"/>
        <v>0</v>
      </c>
      <c r="PRQ15">
        <f ca="1"/>
        <v>0</v>
      </c>
      <c r="PRR15">
        <f ca="1"/>
        <v>0</v>
      </c>
      <c r="PRS15">
        <f ca="1"/>
        <v>0</v>
      </c>
      <c r="PRT15">
        <f ca="1"/>
        <v>0</v>
      </c>
      <c r="PRU15">
        <f ca="1"/>
        <v>0</v>
      </c>
      <c r="PRV15">
        <f ca="1"/>
        <v>0</v>
      </c>
      <c r="PRW15">
        <f ca="1"/>
        <v>0</v>
      </c>
      <c r="PRX15">
        <f ca="1"/>
        <v>0</v>
      </c>
      <c r="PRY15">
        <f ca="1"/>
        <v>0</v>
      </c>
      <c r="PRZ15">
        <f ca="1"/>
        <v>0</v>
      </c>
      <c r="PSA15">
        <f ca="1"/>
        <v>0</v>
      </c>
      <c r="PSB15">
        <f ca="1"/>
        <v>0</v>
      </c>
      <c r="PSC15">
        <f ca="1"/>
        <v>0</v>
      </c>
      <c r="PSD15">
        <f ca="1"/>
        <v>0</v>
      </c>
      <c r="PSE15">
        <f ca="1"/>
        <v>0</v>
      </c>
      <c r="PSF15">
        <f ca="1"/>
        <v>0</v>
      </c>
      <c r="PSG15">
        <f ca="1"/>
        <v>0</v>
      </c>
      <c r="PSH15">
        <f ca="1"/>
        <v>0</v>
      </c>
      <c r="PSI15">
        <f ca="1"/>
        <v>0</v>
      </c>
      <c r="PSJ15">
        <f ca="1"/>
        <v>0</v>
      </c>
      <c r="PSK15">
        <f ca="1"/>
        <v>0</v>
      </c>
      <c r="PSL15">
        <f ca="1"/>
        <v>0</v>
      </c>
      <c r="PSM15">
        <f ca="1"/>
        <v>0</v>
      </c>
      <c r="PSN15">
        <f ca="1"/>
        <v>0</v>
      </c>
      <c r="PSO15">
        <f ca="1"/>
        <v>0</v>
      </c>
      <c r="PSP15">
        <f ca="1"/>
        <v>0</v>
      </c>
      <c r="PSQ15">
        <f ca="1"/>
        <v>0</v>
      </c>
      <c r="PSR15">
        <f ca="1"/>
        <v>0</v>
      </c>
      <c r="PSS15">
        <f ca="1"/>
        <v>0</v>
      </c>
      <c r="PST15">
        <f ca="1"/>
        <v>0</v>
      </c>
      <c r="PSU15">
        <f ca="1"/>
        <v>0</v>
      </c>
      <c r="PSV15">
        <f ca="1"/>
        <v>0</v>
      </c>
      <c r="PSW15">
        <f ca="1"/>
        <v>0</v>
      </c>
      <c r="PSX15">
        <f ca="1"/>
        <v>0</v>
      </c>
      <c r="PSY15">
        <f ca="1"/>
        <v>0</v>
      </c>
      <c r="PSZ15">
        <f ca="1"/>
        <v>0</v>
      </c>
      <c r="PTA15">
        <f ca="1"/>
        <v>0</v>
      </c>
      <c r="PTB15">
        <f ca="1"/>
        <v>0</v>
      </c>
      <c r="PTC15">
        <f ca="1"/>
        <v>0</v>
      </c>
      <c r="PTD15">
        <f ca="1"/>
        <v>0</v>
      </c>
      <c r="PTE15">
        <f ca="1"/>
        <v>0</v>
      </c>
      <c r="PTF15">
        <f ca="1"/>
        <v>0</v>
      </c>
      <c r="PTG15">
        <f ca="1"/>
        <v>0</v>
      </c>
      <c r="PTH15">
        <f ca="1"/>
        <v>0</v>
      </c>
      <c r="PTI15">
        <f ca="1"/>
        <v>0</v>
      </c>
      <c r="PTJ15">
        <f ca="1"/>
        <v>0</v>
      </c>
      <c r="PTK15">
        <f ca="1"/>
        <v>0</v>
      </c>
      <c r="PTL15">
        <f ca="1"/>
        <v>0</v>
      </c>
      <c r="PTM15">
        <f ca="1"/>
        <v>0</v>
      </c>
      <c r="PTN15">
        <f ca="1"/>
        <v>0</v>
      </c>
      <c r="PTO15">
        <f ca="1"/>
        <v>0</v>
      </c>
      <c r="PTP15">
        <f ca="1"/>
        <v>0</v>
      </c>
      <c r="PTQ15">
        <f ca="1"/>
        <v>0</v>
      </c>
      <c r="PTR15">
        <f ca="1"/>
        <v>0</v>
      </c>
      <c r="PTS15">
        <f ca="1"/>
        <v>0</v>
      </c>
      <c r="PTT15">
        <f ca="1"/>
        <v>0</v>
      </c>
      <c r="PTU15">
        <f ca="1"/>
        <v>0</v>
      </c>
      <c r="PTV15">
        <f ca="1"/>
        <v>0</v>
      </c>
      <c r="PTW15">
        <f ca="1"/>
        <v>0</v>
      </c>
      <c r="PTX15">
        <f ca="1"/>
        <v>0</v>
      </c>
      <c r="PTY15">
        <f ca="1"/>
        <v>0</v>
      </c>
      <c r="PTZ15">
        <f ca="1"/>
        <v>0</v>
      </c>
      <c r="PUA15">
        <f ca="1"/>
        <v>0</v>
      </c>
      <c r="PUB15">
        <f ca="1"/>
        <v>0</v>
      </c>
      <c r="PUC15">
        <f ca="1"/>
        <v>0</v>
      </c>
      <c r="PUD15">
        <f ca="1"/>
        <v>0</v>
      </c>
      <c r="PUE15">
        <f ca="1"/>
        <v>0</v>
      </c>
      <c r="PUF15">
        <f ca="1"/>
        <v>0</v>
      </c>
      <c r="PUG15">
        <f ca="1"/>
        <v>0</v>
      </c>
      <c r="PUH15">
        <f ca="1"/>
        <v>0</v>
      </c>
      <c r="PUI15">
        <f ca="1"/>
        <v>0</v>
      </c>
      <c r="PUJ15">
        <f ca="1"/>
        <v>0</v>
      </c>
      <c r="PUK15">
        <f ca="1"/>
        <v>0</v>
      </c>
      <c r="PUL15">
        <f ca="1"/>
        <v>0</v>
      </c>
      <c r="PUM15">
        <f ca="1"/>
        <v>0</v>
      </c>
      <c r="PUN15">
        <f ca="1"/>
        <v>0</v>
      </c>
      <c r="PUO15">
        <f ca="1"/>
        <v>0</v>
      </c>
      <c r="PUP15">
        <f ca="1"/>
        <v>0</v>
      </c>
      <c r="PUQ15">
        <f ca="1"/>
        <v>0</v>
      </c>
      <c r="PUR15">
        <f ca="1"/>
        <v>0</v>
      </c>
      <c r="PUS15">
        <f ca="1"/>
        <v>0</v>
      </c>
      <c r="PUT15">
        <f ca="1"/>
        <v>0</v>
      </c>
      <c r="PUU15">
        <f ca="1"/>
        <v>0</v>
      </c>
      <c r="PUV15">
        <f ca="1"/>
        <v>0</v>
      </c>
      <c r="PUW15">
        <f ca="1"/>
        <v>0</v>
      </c>
      <c r="PUX15">
        <f ca="1"/>
        <v>0</v>
      </c>
      <c r="PUY15">
        <f ca="1"/>
        <v>0</v>
      </c>
      <c r="PUZ15">
        <f ca="1"/>
        <v>0</v>
      </c>
      <c r="PVA15">
        <f ca="1"/>
        <v>0</v>
      </c>
      <c r="PVB15">
        <f ca="1"/>
        <v>0</v>
      </c>
      <c r="PVC15">
        <f ca="1"/>
        <v>0</v>
      </c>
      <c r="PVD15">
        <f ca="1"/>
        <v>0</v>
      </c>
      <c r="PVE15">
        <f ca="1"/>
        <v>0</v>
      </c>
      <c r="PVF15">
        <f ca="1"/>
        <v>0</v>
      </c>
      <c r="PVG15">
        <f ca="1"/>
        <v>0</v>
      </c>
      <c r="PVH15">
        <f ca="1"/>
        <v>0</v>
      </c>
      <c r="PVI15">
        <f ca="1"/>
        <v>0</v>
      </c>
      <c r="PVJ15">
        <f ca="1"/>
        <v>0</v>
      </c>
      <c r="PVK15">
        <f ca="1"/>
        <v>0</v>
      </c>
      <c r="PVL15">
        <f ca="1"/>
        <v>0</v>
      </c>
      <c r="PVM15">
        <f ca="1"/>
        <v>0</v>
      </c>
      <c r="PVN15">
        <f ca="1"/>
        <v>0</v>
      </c>
      <c r="PVO15">
        <f ca="1"/>
        <v>0</v>
      </c>
      <c r="PVP15">
        <f ca="1"/>
        <v>0</v>
      </c>
      <c r="PVQ15">
        <f ca="1"/>
        <v>0</v>
      </c>
      <c r="PVR15">
        <f ca="1"/>
        <v>0</v>
      </c>
      <c r="PVS15">
        <f ca="1"/>
        <v>0</v>
      </c>
      <c r="PVT15">
        <f ca="1"/>
        <v>0</v>
      </c>
      <c r="PVU15">
        <f ca="1"/>
        <v>0</v>
      </c>
      <c r="PVV15">
        <f ca="1"/>
        <v>0</v>
      </c>
      <c r="PVW15">
        <f ca="1"/>
        <v>0</v>
      </c>
      <c r="PVX15">
        <f ca="1"/>
        <v>0</v>
      </c>
      <c r="PVY15">
        <f ca="1"/>
        <v>0</v>
      </c>
      <c r="PVZ15">
        <f ca="1"/>
        <v>0</v>
      </c>
      <c r="PWA15">
        <f ca="1"/>
        <v>0</v>
      </c>
      <c r="PWB15">
        <f ca="1"/>
        <v>0</v>
      </c>
      <c r="PWC15">
        <f ca="1"/>
        <v>0</v>
      </c>
      <c r="PWD15">
        <f ca="1"/>
        <v>0</v>
      </c>
      <c r="PWE15">
        <f ca="1"/>
        <v>0</v>
      </c>
      <c r="PWF15">
        <f ca="1"/>
        <v>0</v>
      </c>
      <c r="PWG15">
        <f ca="1"/>
        <v>0</v>
      </c>
      <c r="PWH15">
        <f ca="1"/>
        <v>0</v>
      </c>
      <c r="PWI15">
        <f ca="1"/>
        <v>0</v>
      </c>
      <c r="PWJ15">
        <f ca="1"/>
        <v>0</v>
      </c>
      <c r="PWK15">
        <f ca="1"/>
        <v>0</v>
      </c>
      <c r="PWL15">
        <f ca="1"/>
        <v>0</v>
      </c>
      <c r="PWM15">
        <f ca="1"/>
        <v>0</v>
      </c>
      <c r="PWN15">
        <f ca="1"/>
        <v>0</v>
      </c>
      <c r="PWO15">
        <f ca="1"/>
        <v>0</v>
      </c>
      <c r="PWP15">
        <f ca="1"/>
        <v>0</v>
      </c>
      <c r="PWQ15">
        <f ca="1"/>
        <v>0</v>
      </c>
      <c r="PWR15">
        <f ca="1"/>
        <v>0</v>
      </c>
      <c r="PWS15">
        <f ca="1"/>
        <v>0</v>
      </c>
      <c r="PWT15">
        <f ca="1"/>
        <v>0</v>
      </c>
      <c r="PWU15">
        <f ca="1"/>
        <v>0</v>
      </c>
      <c r="PWV15">
        <f ca="1"/>
        <v>0</v>
      </c>
      <c r="PWW15">
        <f ca="1"/>
        <v>0</v>
      </c>
      <c r="PWX15">
        <f ca="1"/>
        <v>0</v>
      </c>
      <c r="PWY15">
        <f ca="1"/>
        <v>0</v>
      </c>
      <c r="PWZ15">
        <f ca="1"/>
        <v>0</v>
      </c>
      <c r="PXA15">
        <f ca="1"/>
        <v>0</v>
      </c>
      <c r="PXB15">
        <f ca="1"/>
        <v>0</v>
      </c>
      <c r="PXC15">
        <f ca="1"/>
        <v>0</v>
      </c>
      <c r="PXD15">
        <f ca="1"/>
        <v>0</v>
      </c>
      <c r="PXE15">
        <f ca="1"/>
        <v>0</v>
      </c>
      <c r="PXF15">
        <f ca="1"/>
        <v>0</v>
      </c>
      <c r="PXG15">
        <f ca="1"/>
        <v>0</v>
      </c>
      <c r="PXH15">
        <f ca="1"/>
        <v>0</v>
      </c>
      <c r="PXI15">
        <f ca="1"/>
        <v>0</v>
      </c>
      <c r="PXJ15">
        <f ca="1"/>
        <v>0</v>
      </c>
      <c r="PXK15">
        <f ca="1"/>
        <v>0</v>
      </c>
      <c r="PXL15">
        <f ca="1"/>
        <v>0</v>
      </c>
      <c r="PXM15">
        <f ca="1"/>
        <v>0</v>
      </c>
      <c r="PXN15">
        <f ca="1"/>
        <v>0</v>
      </c>
      <c r="PXO15">
        <f ca="1"/>
        <v>0</v>
      </c>
      <c r="PXP15">
        <f ca="1"/>
        <v>0</v>
      </c>
      <c r="PXQ15">
        <f ca="1"/>
        <v>0</v>
      </c>
      <c r="PXR15">
        <f ca="1"/>
        <v>0</v>
      </c>
      <c r="PXS15">
        <f ca="1"/>
        <v>0</v>
      </c>
      <c r="PXT15">
        <f ca="1"/>
        <v>0</v>
      </c>
      <c r="PXU15">
        <f ca="1"/>
        <v>0</v>
      </c>
      <c r="PXV15">
        <f ca="1"/>
        <v>0</v>
      </c>
      <c r="PXW15">
        <f ca="1"/>
        <v>0</v>
      </c>
      <c r="PXX15">
        <f ca="1"/>
        <v>0</v>
      </c>
      <c r="PXY15">
        <f ca="1"/>
        <v>0</v>
      </c>
      <c r="PXZ15">
        <f ca="1"/>
        <v>0</v>
      </c>
      <c r="PYA15">
        <f ca="1"/>
        <v>0</v>
      </c>
      <c r="PYB15">
        <f ca="1"/>
        <v>0</v>
      </c>
      <c r="PYC15">
        <f ca="1"/>
        <v>0</v>
      </c>
      <c r="PYD15">
        <f ca="1"/>
        <v>0</v>
      </c>
      <c r="PYE15">
        <f ca="1"/>
        <v>0</v>
      </c>
      <c r="PYF15">
        <f ca="1"/>
        <v>0</v>
      </c>
      <c r="PYG15">
        <f ca="1"/>
        <v>0</v>
      </c>
      <c r="PYH15">
        <f ca="1"/>
        <v>0</v>
      </c>
      <c r="PYI15">
        <f ca="1"/>
        <v>0</v>
      </c>
      <c r="PYJ15">
        <f ca="1"/>
        <v>0</v>
      </c>
      <c r="PYK15">
        <f ca="1"/>
        <v>0</v>
      </c>
      <c r="PYL15">
        <f ca="1"/>
        <v>0</v>
      </c>
      <c r="PYM15">
        <f ca="1"/>
        <v>0</v>
      </c>
      <c r="PYN15">
        <f ca="1"/>
        <v>0</v>
      </c>
      <c r="PYO15">
        <f ca="1"/>
        <v>0</v>
      </c>
      <c r="PYP15">
        <f ca="1"/>
        <v>0</v>
      </c>
      <c r="PYQ15">
        <f ca="1"/>
        <v>0</v>
      </c>
      <c r="PYR15">
        <f ca="1"/>
        <v>0</v>
      </c>
      <c r="PYS15">
        <f ca="1"/>
        <v>0</v>
      </c>
      <c r="PYT15">
        <f ca="1"/>
        <v>0</v>
      </c>
      <c r="PYU15">
        <f ca="1"/>
        <v>0</v>
      </c>
      <c r="PYV15">
        <f ca="1"/>
        <v>0</v>
      </c>
      <c r="PYW15">
        <f ca="1"/>
        <v>0</v>
      </c>
      <c r="PYX15">
        <f ca="1"/>
        <v>0</v>
      </c>
      <c r="PYY15">
        <f ca="1"/>
        <v>0</v>
      </c>
      <c r="PYZ15">
        <f ca="1"/>
        <v>0</v>
      </c>
      <c r="PZA15">
        <f ca="1"/>
        <v>0</v>
      </c>
      <c r="PZB15">
        <f ca="1"/>
        <v>0</v>
      </c>
      <c r="PZC15">
        <f ca="1"/>
        <v>0</v>
      </c>
      <c r="PZD15">
        <f ca="1"/>
        <v>0</v>
      </c>
      <c r="PZE15">
        <f ca="1"/>
        <v>0</v>
      </c>
      <c r="PZF15">
        <f ca="1"/>
        <v>0</v>
      </c>
      <c r="PZG15">
        <f ca="1"/>
        <v>0</v>
      </c>
      <c r="PZH15">
        <f ca="1"/>
        <v>0</v>
      </c>
      <c r="PZI15">
        <f ca="1"/>
        <v>0</v>
      </c>
      <c r="PZJ15">
        <f ca="1"/>
        <v>0</v>
      </c>
      <c r="PZK15">
        <f ca="1"/>
        <v>0</v>
      </c>
      <c r="PZL15">
        <f ca="1"/>
        <v>0</v>
      </c>
      <c r="PZM15">
        <f ca="1"/>
        <v>0</v>
      </c>
      <c r="PZN15">
        <f ca="1"/>
        <v>0</v>
      </c>
      <c r="PZO15">
        <f ca="1"/>
        <v>0</v>
      </c>
      <c r="PZP15">
        <f ca="1"/>
        <v>0</v>
      </c>
      <c r="PZQ15">
        <f ca="1"/>
        <v>0</v>
      </c>
      <c r="PZR15">
        <f ca="1"/>
        <v>0</v>
      </c>
      <c r="PZS15">
        <f ca="1"/>
        <v>0</v>
      </c>
      <c r="PZT15">
        <f ca="1"/>
        <v>0</v>
      </c>
      <c r="PZU15">
        <f ca="1"/>
        <v>0</v>
      </c>
      <c r="PZV15">
        <f ca="1"/>
        <v>0</v>
      </c>
      <c r="PZW15">
        <f ca="1"/>
        <v>0</v>
      </c>
      <c r="PZX15">
        <f ca="1"/>
        <v>0</v>
      </c>
      <c r="PZY15">
        <f ca="1"/>
        <v>0</v>
      </c>
      <c r="PZZ15">
        <f ca="1"/>
        <v>0</v>
      </c>
      <c r="QAA15">
        <f ca="1"/>
        <v>0</v>
      </c>
      <c r="QAB15">
        <f ca="1"/>
        <v>0</v>
      </c>
      <c r="QAC15">
        <f ca="1"/>
        <v>0</v>
      </c>
      <c r="QAD15">
        <f ca="1"/>
        <v>0</v>
      </c>
      <c r="QAE15">
        <f ca="1"/>
        <v>0</v>
      </c>
      <c r="QAF15">
        <f ca="1"/>
        <v>0</v>
      </c>
      <c r="QAG15">
        <f ca="1"/>
        <v>0</v>
      </c>
      <c r="QAH15">
        <f ca="1"/>
        <v>0</v>
      </c>
      <c r="QAI15">
        <f ca="1"/>
        <v>0</v>
      </c>
      <c r="QAJ15">
        <f ca="1"/>
        <v>0</v>
      </c>
      <c r="QAK15">
        <f ca="1"/>
        <v>0</v>
      </c>
      <c r="QAL15">
        <f ca="1"/>
        <v>0</v>
      </c>
      <c r="QAM15">
        <f ca="1"/>
        <v>0</v>
      </c>
      <c r="QAN15">
        <f ca="1"/>
        <v>0</v>
      </c>
      <c r="QAO15">
        <f ca="1"/>
        <v>0</v>
      </c>
      <c r="QAP15">
        <f ca="1"/>
        <v>0</v>
      </c>
      <c r="QAQ15">
        <f ca="1"/>
        <v>0</v>
      </c>
      <c r="QAR15">
        <f ca="1"/>
        <v>0</v>
      </c>
      <c r="QAS15">
        <f ca="1"/>
        <v>0</v>
      </c>
      <c r="QAT15">
        <f ca="1"/>
        <v>0</v>
      </c>
      <c r="QAU15">
        <f ca="1"/>
        <v>0</v>
      </c>
      <c r="QAV15">
        <f ca="1"/>
        <v>0</v>
      </c>
      <c r="QAW15">
        <f ca="1"/>
        <v>0</v>
      </c>
      <c r="QAX15">
        <f ca="1"/>
        <v>0</v>
      </c>
      <c r="QAY15">
        <f ca="1"/>
        <v>0</v>
      </c>
      <c r="QAZ15">
        <f ca="1"/>
        <v>0</v>
      </c>
      <c r="QBA15">
        <f ca="1"/>
        <v>0</v>
      </c>
      <c r="QBB15">
        <f ca="1"/>
        <v>0</v>
      </c>
      <c r="QBC15">
        <f ca="1"/>
        <v>0</v>
      </c>
      <c r="QBD15">
        <f ca="1"/>
        <v>0</v>
      </c>
      <c r="QBE15">
        <f ca="1"/>
        <v>0</v>
      </c>
      <c r="QBF15">
        <f ca="1"/>
        <v>0</v>
      </c>
      <c r="QBG15">
        <f ca="1"/>
        <v>0</v>
      </c>
      <c r="QBH15">
        <f ca="1"/>
        <v>0</v>
      </c>
      <c r="QBI15">
        <f ca="1"/>
        <v>0</v>
      </c>
      <c r="QBJ15">
        <f ca="1"/>
        <v>0</v>
      </c>
      <c r="QBK15">
        <f ca="1"/>
        <v>0</v>
      </c>
      <c r="QBL15">
        <f ca="1"/>
        <v>0</v>
      </c>
      <c r="QBM15">
        <f ca="1"/>
        <v>0</v>
      </c>
      <c r="QBN15">
        <f ca="1"/>
        <v>0</v>
      </c>
      <c r="QBO15">
        <f ca="1"/>
        <v>0</v>
      </c>
      <c r="QBP15">
        <f ca="1"/>
        <v>0</v>
      </c>
      <c r="QBQ15">
        <f ca="1"/>
        <v>0</v>
      </c>
      <c r="QBR15">
        <f ca="1"/>
        <v>0</v>
      </c>
      <c r="QBS15">
        <f ca="1"/>
        <v>0</v>
      </c>
      <c r="QBT15">
        <f ca="1"/>
        <v>0</v>
      </c>
      <c r="QBU15">
        <f ca="1"/>
        <v>0</v>
      </c>
      <c r="QBV15">
        <f ca="1"/>
        <v>0</v>
      </c>
      <c r="QBW15">
        <f ca="1"/>
        <v>0</v>
      </c>
      <c r="QBX15">
        <f ca="1"/>
        <v>0</v>
      </c>
      <c r="QBY15">
        <f ca="1"/>
        <v>0</v>
      </c>
      <c r="QBZ15">
        <f ca="1"/>
        <v>0</v>
      </c>
      <c r="QCA15">
        <f ca="1"/>
        <v>0</v>
      </c>
      <c r="QCB15">
        <f ca="1"/>
        <v>0</v>
      </c>
      <c r="QCC15">
        <f ca="1"/>
        <v>0</v>
      </c>
      <c r="QCD15">
        <f ca="1"/>
        <v>0</v>
      </c>
      <c r="QCE15">
        <f ca="1"/>
        <v>0</v>
      </c>
      <c r="QCF15">
        <f ca="1"/>
        <v>0</v>
      </c>
      <c r="QCG15">
        <f ca="1"/>
        <v>0</v>
      </c>
      <c r="QCH15">
        <f ca="1"/>
        <v>0</v>
      </c>
      <c r="QCI15">
        <f ca="1"/>
        <v>0</v>
      </c>
      <c r="QCJ15">
        <f ca="1"/>
        <v>0</v>
      </c>
      <c r="QCK15">
        <f ca="1"/>
        <v>0</v>
      </c>
      <c r="QCL15">
        <f ca="1"/>
        <v>0</v>
      </c>
      <c r="QCM15">
        <f ca="1"/>
        <v>0</v>
      </c>
      <c r="QCN15">
        <f ca="1"/>
        <v>0</v>
      </c>
      <c r="QCO15">
        <f ca="1"/>
        <v>0</v>
      </c>
      <c r="QCP15">
        <f ca="1"/>
        <v>0</v>
      </c>
      <c r="QCQ15">
        <f ca="1"/>
        <v>0</v>
      </c>
      <c r="QCR15">
        <f ca="1"/>
        <v>0</v>
      </c>
      <c r="QCS15">
        <f ca="1"/>
        <v>0</v>
      </c>
      <c r="QCT15">
        <f ca="1"/>
        <v>0</v>
      </c>
      <c r="QCU15">
        <f ca="1"/>
        <v>0</v>
      </c>
      <c r="QCV15">
        <f ca="1"/>
        <v>0</v>
      </c>
      <c r="QCW15">
        <f ca="1"/>
        <v>0</v>
      </c>
      <c r="QCX15">
        <f ca="1"/>
        <v>0</v>
      </c>
      <c r="QCY15">
        <f ca="1"/>
        <v>0</v>
      </c>
      <c r="QCZ15">
        <f ca="1"/>
        <v>0</v>
      </c>
      <c r="QDA15">
        <f ca="1"/>
        <v>0</v>
      </c>
      <c r="QDB15">
        <f ca="1"/>
        <v>0</v>
      </c>
      <c r="QDC15">
        <f ca="1"/>
        <v>0</v>
      </c>
      <c r="QDD15">
        <f ca="1"/>
        <v>0</v>
      </c>
      <c r="QDE15">
        <f ca="1"/>
        <v>0</v>
      </c>
      <c r="QDF15">
        <f ca="1"/>
        <v>0</v>
      </c>
      <c r="QDG15">
        <f ca="1"/>
        <v>0</v>
      </c>
      <c r="QDH15">
        <f ca="1"/>
        <v>0</v>
      </c>
      <c r="QDI15">
        <f ca="1"/>
        <v>0</v>
      </c>
      <c r="QDJ15">
        <f ca="1"/>
        <v>0</v>
      </c>
      <c r="QDK15">
        <f ca="1"/>
        <v>0</v>
      </c>
      <c r="QDL15">
        <f ca="1"/>
        <v>0</v>
      </c>
      <c r="QDM15">
        <f ca="1"/>
        <v>0</v>
      </c>
      <c r="QDN15">
        <f ca="1"/>
        <v>0</v>
      </c>
      <c r="QDO15">
        <f ca="1"/>
        <v>0</v>
      </c>
      <c r="QDP15">
        <f ca="1"/>
        <v>0</v>
      </c>
      <c r="QDQ15">
        <f ca="1"/>
        <v>0</v>
      </c>
      <c r="QDR15">
        <f ca="1"/>
        <v>0</v>
      </c>
      <c r="QDS15">
        <f ca="1"/>
        <v>0</v>
      </c>
      <c r="QDT15">
        <f ca="1"/>
        <v>0</v>
      </c>
      <c r="QDU15">
        <f ca="1"/>
        <v>0</v>
      </c>
      <c r="QDV15">
        <f ca="1"/>
        <v>0</v>
      </c>
      <c r="QDW15">
        <f ca="1"/>
        <v>0</v>
      </c>
      <c r="QDX15">
        <f ca="1"/>
        <v>0</v>
      </c>
      <c r="QDY15">
        <f ca="1"/>
        <v>0</v>
      </c>
      <c r="QDZ15">
        <f ca="1"/>
        <v>0</v>
      </c>
      <c r="QEA15">
        <f ca="1"/>
        <v>0</v>
      </c>
      <c r="QEB15">
        <f ca="1"/>
        <v>0</v>
      </c>
      <c r="QEC15">
        <f ca="1"/>
        <v>0</v>
      </c>
      <c r="QED15">
        <f ca="1"/>
        <v>0</v>
      </c>
      <c r="QEE15">
        <f ca="1"/>
        <v>0</v>
      </c>
      <c r="QEF15">
        <f ca="1"/>
        <v>0</v>
      </c>
      <c r="QEG15">
        <f ca="1"/>
        <v>0</v>
      </c>
      <c r="QEH15">
        <f ca="1"/>
        <v>0</v>
      </c>
      <c r="QEI15">
        <f ca="1"/>
        <v>0</v>
      </c>
      <c r="QEJ15">
        <f ca="1"/>
        <v>0</v>
      </c>
      <c r="QEK15">
        <f ca="1"/>
        <v>0</v>
      </c>
      <c r="QEL15">
        <f ca="1"/>
        <v>0</v>
      </c>
      <c r="QEM15">
        <f ca="1"/>
        <v>0</v>
      </c>
      <c r="QEN15">
        <f ca="1"/>
        <v>0</v>
      </c>
      <c r="QEO15">
        <f ca="1"/>
        <v>0</v>
      </c>
      <c r="QEP15">
        <f ca="1"/>
        <v>0</v>
      </c>
      <c r="QEQ15">
        <f ca="1"/>
        <v>0</v>
      </c>
      <c r="QER15">
        <f ca="1"/>
        <v>0</v>
      </c>
      <c r="QES15">
        <f ca="1"/>
        <v>0</v>
      </c>
      <c r="QET15">
        <f ca="1"/>
        <v>0</v>
      </c>
      <c r="QEU15">
        <f ca="1"/>
        <v>0</v>
      </c>
      <c r="QEV15">
        <f ca="1"/>
        <v>0</v>
      </c>
      <c r="QEW15">
        <f ca="1"/>
        <v>0</v>
      </c>
      <c r="QEX15">
        <f ca="1"/>
        <v>0</v>
      </c>
      <c r="QEY15">
        <f ca="1"/>
        <v>0</v>
      </c>
      <c r="QEZ15">
        <f ca="1"/>
        <v>0</v>
      </c>
      <c r="QFA15">
        <f ca="1"/>
        <v>0</v>
      </c>
      <c r="QFB15">
        <f ca="1"/>
        <v>0</v>
      </c>
      <c r="QFC15">
        <f ca="1"/>
        <v>0</v>
      </c>
      <c r="QFD15">
        <f ca="1"/>
        <v>0</v>
      </c>
      <c r="QFE15">
        <f ca="1"/>
        <v>0</v>
      </c>
      <c r="QFF15">
        <f ca="1"/>
        <v>0</v>
      </c>
      <c r="QFG15">
        <f ca="1"/>
        <v>0</v>
      </c>
      <c r="QFH15">
        <f ca="1"/>
        <v>0</v>
      </c>
      <c r="QFI15">
        <f ca="1"/>
        <v>0</v>
      </c>
      <c r="QFJ15">
        <f ca="1"/>
        <v>0</v>
      </c>
      <c r="QFK15">
        <f ca="1"/>
        <v>0</v>
      </c>
      <c r="QFL15">
        <f ca="1"/>
        <v>0</v>
      </c>
      <c r="QFM15">
        <f ca="1"/>
        <v>0</v>
      </c>
      <c r="QFN15">
        <f ca="1"/>
        <v>0</v>
      </c>
      <c r="QFO15">
        <f ca="1"/>
        <v>0</v>
      </c>
      <c r="QFP15">
        <f ca="1"/>
        <v>0</v>
      </c>
      <c r="QFQ15">
        <f ca="1"/>
        <v>0</v>
      </c>
      <c r="QFR15">
        <f ca="1"/>
        <v>0</v>
      </c>
      <c r="QFS15">
        <f ca="1"/>
        <v>0</v>
      </c>
      <c r="QFT15">
        <f ca="1"/>
        <v>0</v>
      </c>
      <c r="QFU15">
        <f ca="1"/>
        <v>0</v>
      </c>
      <c r="QFV15">
        <f ca="1"/>
        <v>0</v>
      </c>
      <c r="QFW15">
        <f ca="1"/>
        <v>0</v>
      </c>
      <c r="QFX15">
        <f ca="1"/>
        <v>0</v>
      </c>
      <c r="QFY15">
        <f ca="1"/>
        <v>0</v>
      </c>
      <c r="QFZ15">
        <f ca="1"/>
        <v>0</v>
      </c>
      <c r="QGA15">
        <f ca="1"/>
        <v>0</v>
      </c>
      <c r="QGB15">
        <f ca="1"/>
        <v>0</v>
      </c>
      <c r="QGC15">
        <f ca="1"/>
        <v>0</v>
      </c>
      <c r="QGD15">
        <f ca="1"/>
        <v>0</v>
      </c>
      <c r="QGE15">
        <f ca="1"/>
        <v>0</v>
      </c>
      <c r="QGF15">
        <f ca="1"/>
        <v>0</v>
      </c>
      <c r="QGG15">
        <f ca="1"/>
        <v>0</v>
      </c>
      <c r="QGH15">
        <f ca="1"/>
        <v>0</v>
      </c>
      <c r="QGI15">
        <f ca="1"/>
        <v>0</v>
      </c>
      <c r="QGJ15">
        <f ca="1"/>
        <v>0</v>
      </c>
      <c r="QGK15">
        <f ca="1"/>
        <v>0</v>
      </c>
      <c r="QGL15">
        <f ca="1"/>
        <v>0</v>
      </c>
      <c r="QGM15">
        <f ca="1"/>
        <v>0</v>
      </c>
      <c r="QGN15">
        <f ca="1"/>
        <v>0</v>
      </c>
      <c r="QGO15">
        <f ca="1"/>
        <v>0</v>
      </c>
      <c r="QGP15">
        <f ca="1"/>
        <v>0</v>
      </c>
      <c r="QGQ15">
        <f ca="1"/>
        <v>0</v>
      </c>
      <c r="QGR15">
        <f ca="1"/>
        <v>0</v>
      </c>
      <c r="QGS15">
        <f ca="1"/>
        <v>0</v>
      </c>
      <c r="QGT15">
        <f ca="1"/>
        <v>0</v>
      </c>
      <c r="QGU15">
        <f ca="1"/>
        <v>0</v>
      </c>
      <c r="QGV15">
        <f ca="1"/>
        <v>0</v>
      </c>
      <c r="QGW15">
        <f ca="1"/>
        <v>0</v>
      </c>
      <c r="QGX15">
        <f ca="1"/>
        <v>0</v>
      </c>
      <c r="QGY15">
        <f ca="1"/>
        <v>0</v>
      </c>
      <c r="QGZ15">
        <f ca="1"/>
        <v>0</v>
      </c>
      <c r="QHA15">
        <f ca="1"/>
        <v>0</v>
      </c>
      <c r="QHB15">
        <f ca="1"/>
        <v>0</v>
      </c>
      <c r="QHC15">
        <f ca="1"/>
        <v>0</v>
      </c>
      <c r="QHD15">
        <f ca="1"/>
        <v>0</v>
      </c>
      <c r="QHE15">
        <f ca="1"/>
        <v>0</v>
      </c>
      <c r="QHF15">
        <f ca="1"/>
        <v>0</v>
      </c>
      <c r="QHG15">
        <f ca="1"/>
        <v>0</v>
      </c>
      <c r="QHH15">
        <f ca="1"/>
        <v>0</v>
      </c>
      <c r="QHI15">
        <f ca="1"/>
        <v>0</v>
      </c>
      <c r="QHJ15">
        <f ca="1"/>
        <v>0</v>
      </c>
      <c r="QHK15">
        <f ca="1"/>
        <v>0</v>
      </c>
      <c r="QHL15">
        <f ca="1"/>
        <v>0</v>
      </c>
      <c r="QHM15">
        <f ca="1"/>
        <v>0</v>
      </c>
      <c r="QHN15">
        <f ca="1"/>
        <v>0</v>
      </c>
      <c r="QHO15">
        <f ca="1"/>
        <v>0</v>
      </c>
      <c r="QHP15">
        <f ca="1"/>
        <v>0</v>
      </c>
      <c r="QHQ15">
        <f ca="1"/>
        <v>0</v>
      </c>
      <c r="QHR15">
        <f ca="1"/>
        <v>0</v>
      </c>
      <c r="QHS15">
        <f ca="1"/>
        <v>0</v>
      </c>
      <c r="QHT15">
        <f ca="1"/>
        <v>0</v>
      </c>
      <c r="QHU15">
        <f ca="1"/>
        <v>0</v>
      </c>
      <c r="QHV15">
        <f ca="1"/>
        <v>0</v>
      </c>
      <c r="QHW15">
        <f ca="1"/>
        <v>0</v>
      </c>
      <c r="QHX15">
        <f ca="1"/>
        <v>0</v>
      </c>
      <c r="QHY15">
        <f ca="1"/>
        <v>0</v>
      </c>
      <c r="QHZ15">
        <f ca="1"/>
        <v>0</v>
      </c>
      <c r="QIA15">
        <f ca="1"/>
        <v>0</v>
      </c>
      <c r="QIB15">
        <f ca="1"/>
        <v>0</v>
      </c>
      <c r="QIC15">
        <f ca="1"/>
        <v>0</v>
      </c>
      <c r="QID15">
        <f ca="1"/>
        <v>0</v>
      </c>
      <c r="QIE15">
        <f ca="1"/>
        <v>0</v>
      </c>
      <c r="QIF15">
        <f ca="1"/>
        <v>0</v>
      </c>
      <c r="QIG15">
        <f ca="1"/>
        <v>0</v>
      </c>
      <c r="QIH15">
        <f ca="1"/>
        <v>0</v>
      </c>
      <c r="QII15">
        <f ca="1"/>
        <v>0</v>
      </c>
      <c r="QIJ15">
        <f ca="1"/>
        <v>0</v>
      </c>
      <c r="QIK15">
        <f ca="1"/>
        <v>0</v>
      </c>
      <c r="QIL15">
        <f ca="1"/>
        <v>0</v>
      </c>
      <c r="QIM15">
        <f ca="1"/>
        <v>0</v>
      </c>
      <c r="QIN15">
        <f ca="1"/>
        <v>0</v>
      </c>
      <c r="QIO15">
        <f ca="1"/>
        <v>0</v>
      </c>
      <c r="QIP15">
        <f ca="1"/>
        <v>0</v>
      </c>
      <c r="QIQ15">
        <f ca="1"/>
        <v>0</v>
      </c>
      <c r="QIR15">
        <f ca="1"/>
        <v>0</v>
      </c>
      <c r="QIS15">
        <f ca="1"/>
        <v>0</v>
      </c>
      <c r="QIT15">
        <f ca="1"/>
        <v>0</v>
      </c>
      <c r="QIU15">
        <f ca="1"/>
        <v>0</v>
      </c>
      <c r="QIV15">
        <f ca="1"/>
        <v>0</v>
      </c>
      <c r="QIW15">
        <f ca="1"/>
        <v>0</v>
      </c>
      <c r="QIX15">
        <f ca="1"/>
        <v>0</v>
      </c>
      <c r="QIY15">
        <f ca="1"/>
        <v>0</v>
      </c>
      <c r="QIZ15">
        <f ca="1"/>
        <v>0</v>
      </c>
      <c r="QJA15">
        <f ca="1"/>
        <v>0</v>
      </c>
      <c r="QJB15">
        <f ca="1"/>
        <v>0</v>
      </c>
      <c r="QJC15">
        <f ca="1"/>
        <v>0</v>
      </c>
      <c r="QJD15">
        <f ca="1"/>
        <v>0</v>
      </c>
      <c r="QJE15">
        <f ca="1"/>
        <v>0</v>
      </c>
      <c r="QJF15">
        <f ca="1"/>
        <v>0</v>
      </c>
      <c r="QJG15">
        <f ca="1"/>
        <v>0</v>
      </c>
      <c r="QJH15">
        <f ca="1"/>
        <v>0</v>
      </c>
      <c r="QJI15">
        <f ca="1"/>
        <v>0</v>
      </c>
      <c r="QJJ15">
        <f ca="1"/>
        <v>0</v>
      </c>
      <c r="QJK15">
        <f ca="1"/>
        <v>0</v>
      </c>
      <c r="QJL15">
        <f ca="1"/>
        <v>0</v>
      </c>
      <c r="QJM15">
        <f ca="1"/>
        <v>0</v>
      </c>
      <c r="QJN15">
        <f ca="1"/>
        <v>0</v>
      </c>
      <c r="QJO15">
        <f ca="1"/>
        <v>0</v>
      </c>
      <c r="QJP15">
        <f ca="1"/>
        <v>0</v>
      </c>
      <c r="QJQ15">
        <f ca="1"/>
        <v>0</v>
      </c>
      <c r="QJR15">
        <f ca="1"/>
        <v>0</v>
      </c>
      <c r="QJS15">
        <f ca="1"/>
        <v>0</v>
      </c>
      <c r="QJT15">
        <f ca="1"/>
        <v>0</v>
      </c>
      <c r="QJU15">
        <f ca="1"/>
        <v>0</v>
      </c>
      <c r="QJV15">
        <f ca="1"/>
        <v>0</v>
      </c>
      <c r="QJW15">
        <f ca="1"/>
        <v>0</v>
      </c>
      <c r="QJX15">
        <f ca="1"/>
        <v>0</v>
      </c>
      <c r="QJY15">
        <f ca="1"/>
        <v>0</v>
      </c>
      <c r="QJZ15">
        <f ca="1"/>
        <v>0</v>
      </c>
      <c r="QKA15">
        <f ca="1"/>
        <v>0</v>
      </c>
      <c r="QKB15">
        <f ca="1"/>
        <v>0</v>
      </c>
      <c r="QKC15">
        <f ca="1"/>
        <v>0</v>
      </c>
      <c r="QKD15">
        <f ca="1"/>
        <v>0</v>
      </c>
      <c r="QKE15">
        <f ca="1"/>
        <v>0</v>
      </c>
      <c r="QKF15">
        <f ca="1"/>
        <v>0</v>
      </c>
      <c r="QKG15">
        <f ca="1"/>
        <v>0</v>
      </c>
      <c r="QKH15">
        <f ca="1"/>
        <v>0</v>
      </c>
      <c r="QKI15">
        <f ca="1"/>
        <v>0</v>
      </c>
      <c r="QKJ15">
        <f ca="1"/>
        <v>0</v>
      </c>
      <c r="QKK15">
        <f ca="1"/>
        <v>0</v>
      </c>
      <c r="QKL15">
        <f ca="1"/>
        <v>0</v>
      </c>
      <c r="QKM15">
        <f ca="1"/>
        <v>0</v>
      </c>
      <c r="QKN15">
        <f ca="1"/>
        <v>0</v>
      </c>
      <c r="QKO15">
        <f ca="1"/>
        <v>0</v>
      </c>
      <c r="QKP15">
        <f ca="1"/>
        <v>0</v>
      </c>
      <c r="QKQ15">
        <f ca="1"/>
        <v>0</v>
      </c>
      <c r="QKR15">
        <f ca="1"/>
        <v>0</v>
      </c>
      <c r="QKS15">
        <f ca="1"/>
        <v>0</v>
      </c>
      <c r="QKT15">
        <f ca="1"/>
        <v>0</v>
      </c>
      <c r="QKU15">
        <f ca="1"/>
        <v>0</v>
      </c>
      <c r="QKV15">
        <f ca="1"/>
        <v>0</v>
      </c>
      <c r="QKW15">
        <f ca="1"/>
        <v>0</v>
      </c>
      <c r="QKX15">
        <f ca="1"/>
        <v>0</v>
      </c>
      <c r="QKY15">
        <f ca="1"/>
        <v>0</v>
      </c>
      <c r="QKZ15">
        <f ca="1"/>
        <v>0</v>
      </c>
      <c r="QLA15">
        <f ca="1"/>
        <v>0</v>
      </c>
      <c r="QLB15">
        <f ca="1"/>
        <v>0</v>
      </c>
      <c r="QLC15">
        <f ca="1"/>
        <v>0</v>
      </c>
      <c r="QLD15">
        <f ca="1"/>
        <v>0</v>
      </c>
      <c r="QLE15">
        <f ca="1"/>
        <v>0</v>
      </c>
      <c r="QLF15">
        <f ca="1"/>
        <v>0</v>
      </c>
      <c r="QLG15">
        <f ca="1"/>
        <v>0</v>
      </c>
      <c r="QLH15">
        <f ca="1"/>
        <v>0</v>
      </c>
      <c r="QLI15">
        <f ca="1"/>
        <v>0</v>
      </c>
      <c r="QLJ15">
        <f ca="1"/>
        <v>0</v>
      </c>
      <c r="QLK15">
        <f ca="1"/>
        <v>0</v>
      </c>
      <c r="QLL15">
        <f ca="1"/>
        <v>0</v>
      </c>
      <c r="QLM15">
        <f ca="1"/>
        <v>0</v>
      </c>
      <c r="QLN15">
        <f ca="1"/>
        <v>0</v>
      </c>
      <c r="QLO15">
        <f ca="1"/>
        <v>0</v>
      </c>
      <c r="QLP15">
        <f ca="1"/>
        <v>0</v>
      </c>
      <c r="QLQ15">
        <f ca="1"/>
        <v>0</v>
      </c>
      <c r="QLR15">
        <f ca="1"/>
        <v>0</v>
      </c>
      <c r="QLS15">
        <f ca="1"/>
        <v>0</v>
      </c>
      <c r="QLT15">
        <f ca="1"/>
        <v>0</v>
      </c>
      <c r="QLU15">
        <f ca="1"/>
        <v>0</v>
      </c>
      <c r="QLV15">
        <f ca="1"/>
        <v>0</v>
      </c>
      <c r="QLW15">
        <f ca="1"/>
        <v>0</v>
      </c>
      <c r="QLX15">
        <f ca="1"/>
        <v>0</v>
      </c>
      <c r="QLY15">
        <f ca="1"/>
        <v>0</v>
      </c>
      <c r="QLZ15">
        <f ca="1"/>
        <v>0</v>
      </c>
      <c r="QMA15">
        <f ca="1"/>
        <v>0</v>
      </c>
      <c r="QMB15">
        <f ca="1"/>
        <v>0</v>
      </c>
      <c r="QMC15">
        <f ca="1"/>
        <v>0</v>
      </c>
      <c r="QMD15">
        <f ca="1"/>
        <v>0</v>
      </c>
      <c r="QME15">
        <f ca="1"/>
        <v>0</v>
      </c>
      <c r="QMF15">
        <f ca="1"/>
        <v>0</v>
      </c>
      <c r="QMG15">
        <f ca="1"/>
        <v>0</v>
      </c>
      <c r="QMH15">
        <f ca="1"/>
        <v>0</v>
      </c>
      <c r="QMI15">
        <f ca="1"/>
        <v>0</v>
      </c>
      <c r="QMJ15">
        <f ca="1"/>
        <v>0</v>
      </c>
      <c r="QMK15">
        <f ca="1"/>
        <v>0</v>
      </c>
      <c r="QML15">
        <f ca="1"/>
        <v>0</v>
      </c>
      <c r="QMM15">
        <f ca="1"/>
        <v>0</v>
      </c>
      <c r="QMN15">
        <f ca="1"/>
        <v>0</v>
      </c>
      <c r="QMO15">
        <f ca="1"/>
        <v>0</v>
      </c>
      <c r="QMP15">
        <f ca="1"/>
        <v>0</v>
      </c>
      <c r="QMQ15">
        <f ca="1"/>
        <v>0</v>
      </c>
      <c r="QMR15">
        <f ca="1"/>
        <v>0</v>
      </c>
      <c r="QMS15">
        <f ca="1"/>
        <v>0</v>
      </c>
      <c r="QMT15">
        <f ca="1"/>
        <v>0</v>
      </c>
      <c r="QMU15">
        <f ca="1"/>
        <v>0</v>
      </c>
      <c r="QMV15">
        <f ca="1"/>
        <v>0</v>
      </c>
      <c r="QMW15">
        <f ca="1"/>
        <v>0</v>
      </c>
      <c r="QMX15">
        <f ca="1"/>
        <v>0</v>
      </c>
      <c r="QMY15">
        <f ca="1"/>
        <v>0</v>
      </c>
      <c r="QMZ15">
        <f ca="1"/>
        <v>0</v>
      </c>
      <c r="QNA15">
        <f ca="1"/>
        <v>0</v>
      </c>
      <c r="QNB15">
        <f ca="1"/>
        <v>0</v>
      </c>
      <c r="QNC15">
        <f ca="1"/>
        <v>0</v>
      </c>
      <c r="QND15">
        <f ca="1"/>
        <v>0</v>
      </c>
      <c r="QNE15">
        <f ca="1"/>
        <v>0</v>
      </c>
      <c r="QNF15">
        <f ca="1"/>
        <v>0</v>
      </c>
      <c r="QNG15">
        <f ca="1"/>
        <v>0</v>
      </c>
      <c r="QNH15">
        <f ca="1"/>
        <v>0</v>
      </c>
      <c r="QNI15">
        <f ca="1"/>
        <v>0</v>
      </c>
      <c r="QNJ15">
        <f ca="1"/>
        <v>0</v>
      </c>
      <c r="QNK15">
        <f ca="1"/>
        <v>0</v>
      </c>
      <c r="QNL15">
        <f ca="1"/>
        <v>0</v>
      </c>
      <c r="QNM15">
        <f ca="1"/>
        <v>0</v>
      </c>
      <c r="QNN15">
        <f ca="1"/>
        <v>0</v>
      </c>
      <c r="QNO15">
        <f ca="1"/>
        <v>0</v>
      </c>
      <c r="QNP15">
        <f ca="1"/>
        <v>0</v>
      </c>
      <c r="QNQ15">
        <f ca="1"/>
        <v>0</v>
      </c>
      <c r="QNR15">
        <f ca="1"/>
        <v>0</v>
      </c>
      <c r="QNS15">
        <f ca="1"/>
        <v>0</v>
      </c>
      <c r="QNT15">
        <f ca="1"/>
        <v>0</v>
      </c>
      <c r="QNU15">
        <f ca="1"/>
        <v>0</v>
      </c>
      <c r="QNV15">
        <f ca="1"/>
        <v>0</v>
      </c>
      <c r="QNW15">
        <f ca="1"/>
        <v>0</v>
      </c>
      <c r="QNX15">
        <f ca="1"/>
        <v>0</v>
      </c>
      <c r="QNY15">
        <f ca="1"/>
        <v>0</v>
      </c>
      <c r="QNZ15">
        <f ca="1"/>
        <v>0</v>
      </c>
      <c r="QOA15">
        <f ca="1"/>
        <v>0</v>
      </c>
      <c r="QOB15">
        <f ca="1"/>
        <v>0</v>
      </c>
      <c r="QOC15">
        <f ca="1"/>
        <v>0</v>
      </c>
      <c r="QOD15">
        <f ca="1"/>
        <v>0</v>
      </c>
      <c r="QOE15">
        <f ca="1"/>
        <v>0</v>
      </c>
      <c r="QOF15">
        <f ca="1"/>
        <v>0</v>
      </c>
      <c r="QOG15">
        <f ca="1"/>
        <v>0</v>
      </c>
      <c r="QOH15">
        <f ca="1"/>
        <v>0</v>
      </c>
      <c r="QOI15">
        <f ca="1"/>
        <v>0</v>
      </c>
      <c r="QOJ15">
        <f ca="1"/>
        <v>0</v>
      </c>
      <c r="QOK15">
        <f ca="1"/>
        <v>0</v>
      </c>
      <c r="QOL15">
        <f ca="1"/>
        <v>0</v>
      </c>
      <c r="QOM15">
        <f ca="1"/>
        <v>0</v>
      </c>
      <c r="QON15">
        <f ca="1"/>
        <v>0</v>
      </c>
      <c r="QOO15">
        <f ca="1"/>
        <v>0</v>
      </c>
      <c r="QOP15">
        <f ca="1"/>
        <v>0</v>
      </c>
      <c r="QOQ15">
        <f ca="1"/>
        <v>0</v>
      </c>
      <c r="QOR15">
        <f ca="1"/>
        <v>0</v>
      </c>
      <c r="QOS15">
        <f ca="1"/>
        <v>0</v>
      </c>
      <c r="QOT15">
        <f ca="1"/>
        <v>0</v>
      </c>
      <c r="QOU15">
        <f ca="1"/>
        <v>0</v>
      </c>
      <c r="QOV15">
        <f ca="1"/>
        <v>0</v>
      </c>
      <c r="QOW15">
        <f ca="1"/>
        <v>0</v>
      </c>
      <c r="QOX15">
        <f ca="1"/>
        <v>0</v>
      </c>
      <c r="QOY15">
        <f ca="1"/>
        <v>0</v>
      </c>
      <c r="QOZ15">
        <f ca="1"/>
        <v>0</v>
      </c>
      <c r="QPA15">
        <f ca="1"/>
        <v>0</v>
      </c>
      <c r="QPB15">
        <f ca="1"/>
        <v>0</v>
      </c>
      <c r="QPC15">
        <f ca="1"/>
        <v>0</v>
      </c>
      <c r="QPD15">
        <f ca="1"/>
        <v>0</v>
      </c>
      <c r="QPE15">
        <f ca="1"/>
        <v>0</v>
      </c>
      <c r="QPF15">
        <f ca="1"/>
        <v>0</v>
      </c>
      <c r="QPG15">
        <f ca="1"/>
        <v>0</v>
      </c>
      <c r="QPH15">
        <f ca="1"/>
        <v>0</v>
      </c>
      <c r="QPI15">
        <f ca="1"/>
        <v>0</v>
      </c>
      <c r="QPJ15">
        <f ca="1"/>
        <v>0</v>
      </c>
      <c r="QPK15">
        <f ca="1"/>
        <v>0</v>
      </c>
      <c r="QPL15">
        <f ca="1"/>
        <v>0</v>
      </c>
      <c r="QPM15">
        <f ca="1"/>
        <v>0</v>
      </c>
      <c r="QPN15">
        <f ca="1"/>
        <v>0</v>
      </c>
      <c r="QPO15">
        <f ca="1"/>
        <v>0</v>
      </c>
      <c r="QPP15">
        <f ca="1"/>
        <v>0</v>
      </c>
      <c r="QPQ15">
        <f ca="1"/>
        <v>0</v>
      </c>
      <c r="QPR15">
        <f ca="1"/>
        <v>0</v>
      </c>
      <c r="QPS15">
        <f ca="1"/>
        <v>0</v>
      </c>
      <c r="QPT15">
        <f ca="1"/>
        <v>0</v>
      </c>
      <c r="QPU15">
        <f ca="1"/>
        <v>0</v>
      </c>
      <c r="QPV15">
        <f ca="1"/>
        <v>0</v>
      </c>
      <c r="QPW15">
        <f ca="1"/>
        <v>0</v>
      </c>
      <c r="QPX15">
        <f ca="1"/>
        <v>0</v>
      </c>
      <c r="QPY15">
        <f ca="1"/>
        <v>0</v>
      </c>
      <c r="QPZ15">
        <f ca="1"/>
        <v>0</v>
      </c>
      <c r="QQA15">
        <f ca="1"/>
        <v>0</v>
      </c>
      <c r="QQB15">
        <f ca="1"/>
        <v>0</v>
      </c>
      <c r="QQC15">
        <f ca="1"/>
        <v>0</v>
      </c>
      <c r="QQD15">
        <f ca="1"/>
        <v>0</v>
      </c>
      <c r="QQE15">
        <f ca="1"/>
        <v>0</v>
      </c>
      <c r="QQF15">
        <f ca="1"/>
        <v>0</v>
      </c>
      <c r="QQG15">
        <f ca="1"/>
        <v>0</v>
      </c>
      <c r="QQH15">
        <f ca="1"/>
        <v>0</v>
      </c>
      <c r="QQI15">
        <f ca="1"/>
        <v>0</v>
      </c>
      <c r="QQJ15">
        <f ca="1"/>
        <v>0</v>
      </c>
      <c r="QQK15">
        <f ca="1"/>
        <v>0</v>
      </c>
      <c r="QQL15">
        <f ca="1"/>
        <v>0</v>
      </c>
      <c r="QQM15">
        <f ca="1"/>
        <v>0</v>
      </c>
      <c r="QQN15">
        <f ca="1"/>
        <v>0</v>
      </c>
      <c r="QQO15">
        <f ca="1"/>
        <v>0</v>
      </c>
      <c r="QQP15">
        <f ca="1"/>
        <v>0</v>
      </c>
      <c r="QQQ15">
        <f ca="1"/>
        <v>0</v>
      </c>
      <c r="QQR15">
        <f ca="1"/>
        <v>0</v>
      </c>
      <c r="QQS15">
        <f ca="1"/>
        <v>0</v>
      </c>
      <c r="QQT15">
        <f ca="1"/>
        <v>0</v>
      </c>
      <c r="QQU15">
        <f ca="1"/>
        <v>0</v>
      </c>
      <c r="QQV15">
        <f ca="1"/>
        <v>0</v>
      </c>
      <c r="QQW15">
        <f ca="1"/>
        <v>0</v>
      </c>
      <c r="QQX15">
        <f ca="1"/>
        <v>0</v>
      </c>
      <c r="QQY15">
        <f ca="1"/>
        <v>0</v>
      </c>
      <c r="QQZ15">
        <f ca="1"/>
        <v>0</v>
      </c>
      <c r="QRA15">
        <f ca="1"/>
        <v>0</v>
      </c>
      <c r="QRB15">
        <f ca="1"/>
        <v>0</v>
      </c>
      <c r="QRC15">
        <f ca="1"/>
        <v>0</v>
      </c>
      <c r="QRD15">
        <f ca="1"/>
        <v>0</v>
      </c>
      <c r="QRE15">
        <f ca="1"/>
        <v>0</v>
      </c>
      <c r="QRF15">
        <f ca="1"/>
        <v>0</v>
      </c>
      <c r="QRG15">
        <f ca="1"/>
        <v>0</v>
      </c>
      <c r="QRH15">
        <f ca="1"/>
        <v>0</v>
      </c>
      <c r="QRI15">
        <f ca="1"/>
        <v>0</v>
      </c>
      <c r="QRJ15">
        <f ca="1"/>
        <v>0</v>
      </c>
      <c r="QRK15">
        <f ca="1"/>
        <v>0</v>
      </c>
      <c r="QRL15">
        <f ca="1"/>
        <v>0</v>
      </c>
      <c r="QRM15">
        <f ca="1"/>
        <v>0</v>
      </c>
      <c r="QRN15">
        <f ca="1"/>
        <v>0</v>
      </c>
      <c r="QRO15">
        <f ca="1"/>
        <v>0</v>
      </c>
      <c r="QRP15">
        <f ca="1"/>
        <v>0</v>
      </c>
      <c r="QRQ15">
        <f ca="1"/>
        <v>0</v>
      </c>
      <c r="QRR15">
        <f ca="1"/>
        <v>0</v>
      </c>
      <c r="QRS15">
        <f ca="1"/>
        <v>0</v>
      </c>
      <c r="QRT15">
        <f ca="1"/>
        <v>0</v>
      </c>
      <c r="QRU15">
        <f ca="1"/>
        <v>0</v>
      </c>
      <c r="QRV15">
        <f ca="1"/>
        <v>0</v>
      </c>
      <c r="QRW15">
        <f ca="1"/>
        <v>0</v>
      </c>
      <c r="QRX15">
        <f ca="1"/>
        <v>0</v>
      </c>
      <c r="QRY15">
        <f ca="1"/>
        <v>0</v>
      </c>
      <c r="QRZ15">
        <f ca="1"/>
        <v>0</v>
      </c>
      <c r="QSA15">
        <f ca="1"/>
        <v>0</v>
      </c>
      <c r="QSB15">
        <f ca="1"/>
        <v>0</v>
      </c>
      <c r="QSC15">
        <f ca="1"/>
        <v>0</v>
      </c>
      <c r="QSD15">
        <f ca="1"/>
        <v>0</v>
      </c>
      <c r="QSE15">
        <f ca="1"/>
        <v>0</v>
      </c>
      <c r="QSF15">
        <f ca="1"/>
        <v>0</v>
      </c>
      <c r="QSG15">
        <f ca="1"/>
        <v>0</v>
      </c>
      <c r="QSH15">
        <f ca="1"/>
        <v>0</v>
      </c>
      <c r="QSI15">
        <f ca="1"/>
        <v>0</v>
      </c>
      <c r="QSJ15">
        <f ca="1"/>
        <v>0</v>
      </c>
      <c r="QSK15">
        <f ca="1"/>
        <v>0</v>
      </c>
      <c r="QSL15">
        <f ca="1"/>
        <v>0</v>
      </c>
      <c r="QSM15">
        <f ca="1"/>
        <v>0</v>
      </c>
      <c r="QSN15">
        <f ca="1"/>
        <v>0</v>
      </c>
      <c r="QSO15">
        <f ca="1"/>
        <v>0</v>
      </c>
      <c r="QSP15">
        <f ca="1"/>
        <v>0</v>
      </c>
      <c r="QSQ15">
        <f ca="1"/>
        <v>0</v>
      </c>
      <c r="QSR15">
        <f ca="1"/>
        <v>0</v>
      </c>
      <c r="QSS15">
        <f ca="1"/>
        <v>0</v>
      </c>
      <c r="QST15">
        <f ca="1"/>
        <v>0</v>
      </c>
      <c r="QSU15">
        <f ca="1"/>
        <v>0</v>
      </c>
      <c r="QSV15">
        <f ca="1"/>
        <v>0</v>
      </c>
      <c r="QSW15">
        <f ca="1"/>
        <v>0</v>
      </c>
      <c r="QSX15">
        <f ca="1"/>
        <v>0</v>
      </c>
      <c r="QSY15">
        <f ca="1"/>
        <v>0</v>
      </c>
      <c r="QSZ15">
        <f ca="1"/>
        <v>0</v>
      </c>
      <c r="QTA15">
        <f ca="1"/>
        <v>0</v>
      </c>
      <c r="QTB15">
        <f ca="1"/>
        <v>0</v>
      </c>
      <c r="QTC15">
        <f ca="1"/>
        <v>0</v>
      </c>
      <c r="QTD15">
        <f ca="1"/>
        <v>0</v>
      </c>
      <c r="QTE15">
        <f ca="1"/>
        <v>0</v>
      </c>
      <c r="QTF15">
        <f ca="1"/>
        <v>0</v>
      </c>
      <c r="QTG15">
        <f ca="1"/>
        <v>0</v>
      </c>
      <c r="QTH15">
        <f ca="1"/>
        <v>0</v>
      </c>
      <c r="QTI15">
        <f ca="1"/>
        <v>0</v>
      </c>
      <c r="QTJ15">
        <f ca="1"/>
        <v>0</v>
      </c>
      <c r="QTK15">
        <f ca="1"/>
        <v>0</v>
      </c>
      <c r="QTL15">
        <f ca="1"/>
        <v>0</v>
      </c>
      <c r="QTM15">
        <f ca="1"/>
        <v>0</v>
      </c>
      <c r="QTN15">
        <f ca="1"/>
        <v>0</v>
      </c>
      <c r="QTO15">
        <f ca="1"/>
        <v>0</v>
      </c>
      <c r="QTP15">
        <f ca="1"/>
        <v>0</v>
      </c>
      <c r="QTQ15">
        <f ca="1"/>
        <v>0</v>
      </c>
      <c r="QTR15">
        <f ca="1"/>
        <v>0</v>
      </c>
      <c r="QTS15">
        <f ca="1"/>
        <v>0</v>
      </c>
      <c r="QTT15">
        <f ca="1"/>
        <v>0</v>
      </c>
      <c r="QTU15">
        <f ca="1"/>
        <v>0</v>
      </c>
      <c r="QTV15">
        <f ca="1"/>
        <v>0</v>
      </c>
      <c r="QTW15">
        <f ca="1"/>
        <v>0</v>
      </c>
      <c r="QTX15">
        <f ca="1"/>
        <v>0</v>
      </c>
      <c r="QTY15">
        <f ca="1"/>
        <v>0</v>
      </c>
      <c r="QTZ15">
        <f ca="1"/>
        <v>0</v>
      </c>
      <c r="QUA15">
        <f ca="1"/>
        <v>0</v>
      </c>
      <c r="QUB15">
        <f ca="1"/>
        <v>0</v>
      </c>
      <c r="QUC15">
        <f ca="1"/>
        <v>0</v>
      </c>
      <c r="QUD15">
        <f ca="1"/>
        <v>0</v>
      </c>
      <c r="QUE15">
        <f ca="1"/>
        <v>0</v>
      </c>
      <c r="QUF15">
        <f ca="1"/>
        <v>0</v>
      </c>
      <c r="QUG15">
        <f ca="1"/>
        <v>0</v>
      </c>
      <c r="QUH15">
        <f ca="1"/>
        <v>0</v>
      </c>
      <c r="QUI15">
        <f ca="1"/>
        <v>0</v>
      </c>
      <c r="QUJ15">
        <f ca="1"/>
        <v>0</v>
      </c>
      <c r="QUK15">
        <f ca="1"/>
        <v>0</v>
      </c>
      <c r="QUL15">
        <f ca="1"/>
        <v>0</v>
      </c>
      <c r="QUM15">
        <f ca="1"/>
        <v>0</v>
      </c>
      <c r="QUN15">
        <f ca="1"/>
        <v>0</v>
      </c>
      <c r="QUO15">
        <f ca="1"/>
        <v>0</v>
      </c>
      <c r="QUP15">
        <f ca="1"/>
        <v>0</v>
      </c>
      <c r="QUQ15">
        <f ca="1"/>
        <v>0</v>
      </c>
      <c r="QUR15">
        <f ca="1"/>
        <v>0</v>
      </c>
      <c r="QUS15">
        <f ca="1"/>
        <v>0</v>
      </c>
      <c r="QUT15">
        <f ca="1"/>
        <v>0</v>
      </c>
      <c r="QUU15">
        <f ca="1"/>
        <v>0</v>
      </c>
      <c r="QUV15">
        <f ca="1"/>
        <v>0</v>
      </c>
      <c r="QUW15">
        <f ca="1"/>
        <v>0</v>
      </c>
      <c r="QUX15">
        <f ca="1"/>
        <v>0</v>
      </c>
      <c r="QUY15">
        <f ca="1"/>
        <v>0</v>
      </c>
      <c r="QUZ15">
        <f ca="1"/>
        <v>0</v>
      </c>
      <c r="QVA15">
        <f ca="1"/>
        <v>0</v>
      </c>
      <c r="QVB15">
        <f ca="1"/>
        <v>0</v>
      </c>
      <c r="QVC15">
        <f ca="1"/>
        <v>0</v>
      </c>
      <c r="QVD15">
        <f ca="1"/>
        <v>0</v>
      </c>
      <c r="QVE15">
        <f ca="1"/>
        <v>0</v>
      </c>
      <c r="QVF15">
        <f ca="1"/>
        <v>0</v>
      </c>
      <c r="QVG15">
        <f ca="1"/>
        <v>0</v>
      </c>
      <c r="QVH15">
        <f ca="1"/>
        <v>0</v>
      </c>
      <c r="QVI15">
        <f ca="1"/>
        <v>0</v>
      </c>
      <c r="QVJ15">
        <f ca="1"/>
        <v>0</v>
      </c>
      <c r="QVK15">
        <f ca="1"/>
        <v>0</v>
      </c>
      <c r="QVL15">
        <f ca="1"/>
        <v>0</v>
      </c>
      <c r="QVM15">
        <f ca="1"/>
        <v>0</v>
      </c>
      <c r="QVN15">
        <f ca="1"/>
        <v>0</v>
      </c>
      <c r="QVO15">
        <f ca="1"/>
        <v>0</v>
      </c>
      <c r="QVP15">
        <f ca="1"/>
        <v>0</v>
      </c>
      <c r="QVQ15">
        <f ca="1"/>
        <v>0</v>
      </c>
      <c r="QVR15">
        <f ca="1"/>
        <v>0</v>
      </c>
      <c r="QVS15">
        <f ca="1"/>
        <v>0</v>
      </c>
      <c r="QVT15">
        <f ca="1"/>
        <v>0</v>
      </c>
      <c r="QVU15">
        <f ca="1"/>
        <v>0</v>
      </c>
      <c r="QVV15">
        <f ca="1"/>
        <v>0</v>
      </c>
      <c r="QVW15">
        <f ca="1"/>
        <v>0</v>
      </c>
      <c r="QVX15">
        <f ca="1"/>
        <v>0</v>
      </c>
      <c r="QVY15">
        <f ca="1"/>
        <v>0</v>
      </c>
      <c r="QVZ15">
        <f ca="1"/>
        <v>0</v>
      </c>
      <c r="QWA15">
        <f ca="1"/>
        <v>0</v>
      </c>
      <c r="QWB15">
        <f ca="1"/>
        <v>0</v>
      </c>
      <c r="QWC15">
        <f ca="1"/>
        <v>0</v>
      </c>
      <c r="QWD15">
        <f ca="1"/>
        <v>0</v>
      </c>
      <c r="QWE15">
        <f ca="1"/>
        <v>0</v>
      </c>
      <c r="QWF15">
        <f ca="1"/>
        <v>0</v>
      </c>
      <c r="QWG15">
        <f ca="1"/>
        <v>0</v>
      </c>
      <c r="QWH15">
        <f ca="1"/>
        <v>0</v>
      </c>
      <c r="QWI15">
        <f ca="1"/>
        <v>0</v>
      </c>
      <c r="QWJ15">
        <f ca="1"/>
        <v>0</v>
      </c>
      <c r="QWK15">
        <f ca="1"/>
        <v>0</v>
      </c>
      <c r="QWL15">
        <f ca="1"/>
        <v>0</v>
      </c>
      <c r="QWM15">
        <f ca="1"/>
        <v>0</v>
      </c>
      <c r="QWN15">
        <f ca="1"/>
        <v>0</v>
      </c>
      <c r="QWO15">
        <f ca="1"/>
        <v>0</v>
      </c>
      <c r="QWP15">
        <f ca="1"/>
        <v>0</v>
      </c>
      <c r="QWQ15">
        <f ca="1"/>
        <v>0</v>
      </c>
      <c r="QWR15">
        <f ca="1"/>
        <v>0</v>
      </c>
      <c r="QWS15">
        <f ca="1"/>
        <v>0</v>
      </c>
      <c r="QWT15">
        <f ca="1"/>
        <v>0</v>
      </c>
      <c r="QWU15">
        <f ca="1"/>
        <v>0</v>
      </c>
      <c r="QWV15">
        <f ca="1"/>
        <v>0</v>
      </c>
      <c r="QWW15">
        <f ca="1"/>
        <v>0</v>
      </c>
      <c r="QWX15">
        <f ca="1"/>
        <v>0</v>
      </c>
      <c r="QWY15">
        <f ca="1"/>
        <v>0</v>
      </c>
      <c r="QWZ15">
        <f ca="1"/>
        <v>0</v>
      </c>
      <c r="QXA15">
        <f ca="1"/>
        <v>0</v>
      </c>
      <c r="QXB15">
        <f ca="1"/>
        <v>0</v>
      </c>
      <c r="QXC15">
        <f ca="1"/>
        <v>0</v>
      </c>
      <c r="QXD15">
        <f ca="1"/>
        <v>0</v>
      </c>
      <c r="QXE15">
        <f ca="1"/>
        <v>0</v>
      </c>
      <c r="QXF15">
        <f ca="1"/>
        <v>0</v>
      </c>
      <c r="QXG15">
        <f ca="1"/>
        <v>0</v>
      </c>
      <c r="QXH15">
        <f ca="1"/>
        <v>0</v>
      </c>
      <c r="QXI15">
        <f ca="1"/>
        <v>0</v>
      </c>
      <c r="QXJ15">
        <f ca="1"/>
        <v>0</v>
      </c>
      <c r="QXK15">
        <f ca="1"/>
        <v>0</v>
      </c>
      <c r="QXL15">
        <f ca="1"/>
        <v>0</v>
      </c>
      <c r="QXM15">
        <f ca="1"/>
        <v>0</v>
      </c>
      <c r="QXN15">
        <f ca="1"/>
        <v>0</v>
      </c>
      <c r="QXO15">
        <f ca="1"/>
        <v>0</v>
      </c>
      <c r="QXP15">
        <f ca="1"/>
        <v>0</v>
      </c>
      <c r="QXQ15">
        <f ca="1"/>
        <v>0</v>
      </c>
      <c r="QXR15">
        <f ca="1"/>
        <v>0</v>
      </c>
      <c r="QXS15">
        <f ca="1"/>
        <v>0</v>
      </c>
      <c r="QXT15">
        <f ca="1"/>
        <v>0</v>
      </c>
      <c r="QXU15">
        <f ca="1"/>
        <v>0</v>
      </c>
      <c r="QXV15">
        <f ca="1"/>
        <v>0</v>
      </c>
      <c r="QXW15">
        <f ca="1"/>
        <v>0</v>
      </c>
      <c r="QXX15">
        <f ca="1"/>
        <v>0</v>
      </c>
      <c r="QXY15">
        <f ca="1"/>
        <v>0</v>
      </c>
      <c r="QXZ15">
        <f ca="1"/>
        <v>0</v>
      </c>
      <c r="QYA15">
        <f ca="1"/>
        <v>0</v>
      </c>
      <c r="QYB15">
        <f ca="1"/>
        <v>0</v>
      </c>
      <c r="QYC15">
        <f ca="1"/>
        <v>0</v>
      </c>
      <c r="QYD15">
        <f ca="1"/>
        <v>0</v>
      </c>
      <c r="QYE15">
        <f ca="1"/>
        <v>0</v>
      </c>
      <c r="QYF15">
        <f ca="1"/>
        <v>0</v>
      </c>
      <c r="QYG15">
        <f ca="1"/>
        <v>0</v>
      </c>
      <c r="QYH15">
        <f ca="1"/>
        <v>0</v>
      </c>
      <c r="QYI15">
        <f ca="1"/>
        <v>0</v>
      </c>
      <c r="QYJ15">
        <f ca="1"/>
        <v>0</v>
      </c>
      <c r="QYK15">
        <f ca="1"/>
        <v>0</v>
      </c>
      <c r="QYL15">
        <f ca="1"/>
        <v>0</v>
      </c>
      <c r="QYM15">
        <f ca="1"/>
        <v>0</v>
      </c>
      <c r="QYN15">
        <f ca="1"/>
        <v>0</v>
      </c>
      <c r="QYO15">
        <f ca="1"/>
        <v>0</v>
      </c>
      <c r="QYP15">
        <f ca="1"/>
        <v>0</v>
      </c>
      <c r="QYQ15">
        <f ca="1"/>
        <v>0</v>
      </c>
      <c r="QYR15">
        <f ca="1"/>
        <v>0</v>
      </c>
      <c r="QYS15">
        <f ca="1"/>
        <v>0</v>
      </c>
      <c r="QYT15">
        <f ca="1"/>
        <v>0</v>
      </c>
      <c r="QYU15">
        <f ca="1"/>
        <v>0</v>
      </c>
      <c r="QYV15">
        <f ca="1"/>
        <v>0</v>
      </c>
      <c r="QYW15">
        <f ca="1"/>
        <v>0</v>
      </c>
      <c r="QYX15">
        <f ca="1"/>
        <v>0</v>
      </c>
      <c r="QYY15">
        <f ca="1"/>
        <v>0</v>
      </c>
      <c r="QYZ15">
        <f ca="1"/>
        <v>0</v>
      </c>
      <c r="QZA15">
        <f ca="1"/>
        <v>0</v>
      </c>
      <c r="QZB15">
        <f ca="1"/>
        <v>0</v>
      </c>
      <c r="QZC15">
        <f ca="1"/>
        <v>0</v>
      </c>
      <c r="QZD15">
        <f ca="1"/>
        <v>0</v>
      </c>
      <c r="QZE15">
        <f ca="1"/>
        <v>0</v>
      </c>
      <c r="QZF15">
        <f ca="1"/>
        <v>0</v>
      </c>
      <c r="QZG15">
        <f ca="1"/>
        <v>0</v>
      </c>
      <c r="QZH15">
        <f ca="1"/>
        <v>0</v>
      </c>
      <c r="QZI15">
        <f ca="1"/>
        <v>0</v>
      </c>
      <c r="QZJ15">
        <f ca="1"/>
        <v>0</v>
      </c>
      <c r="QZK15">
        <f ca="1"/>
        <v>0</v>
      </c>
      <c r="QZL15">
        <f ca="1"/>
        <v>0</v>
      </c>
      <c r="QZM15">
        <f ca="1"/>
        <v>0</v>
      </c>
      <c r="QZN15">
        <f ca="1"/>
        <v>0</v>
      </c>
      <c r="QZO15">
        <f ca="1"/>
        <v>0</v>
      </c>
      <c r="QZP15">
        <f ca="1"/>
        <v>0</v>
      </c>
      <c r="QZQ15">
        <f ca="1"/>
        <v>0</v>
      </c>
      <c r="QZR15">
        <f ca="1"/>
        <v>0</v>
      </c>
      <c r="QZS15">
        <f ca="1"/>
        <v>0</v>
      </c>
      <c r="QZT15">
        <f ca="1"/>
        <v>0</v>
      </c>
      <c r="QZU15">
        <f ca="1"/>
        <v>0</v>
      </c>
      <c r="QZV15">
        <f ca="1"/>
        <v>0</v>
      </c>
      <c r="QZW15">
        <f ca="1"/>
        <v>0</v>
      </c>
      <c r="QZX15">
        <f ca="1"/>
        <v>0</v>
      </c>
      <c r="QZY15">
        <f ca="1"/>
        <v>0</v>
      </c>
      <c r="QZZ15">
        <f ca="1"/>
        <v>0</v>
      </c>
      <c r="RAA15">
        <f ca="1"/>
        <v>0</v>
      </c>
      <c r="RAB15">
        <f ca="1"/>
        <v>0</v>
      </c>
      <c r="RAC15">
        <f ca="1"/>
        <v>0</v>
      </c>
      <c r="RAD15">
        <f ca="1"/>
        <v>0</v>
      </c>
      <c r="RAE15">
        <f ca="1"/>
        <v>0</v>
      </c>
      <c r="RAF15">
        <f ca="1"/>
        <v>0</v>
      </c>
      <c r="RAG15">
        <f ca="1"/>
        <v>0</v>
      </c>
      <c r="RAH15">
        <f ca="1"/>
        <v>0</v>
      </c>
      <c r="RAI15">
        <f ca="1"/>
        <v>0</v>
      </c>
      <c r="RAJ15">
        <f ca="1"/>
        <v>0</v>
      </c>
      <c r="RAK15">
        <f ca="1"/>
        <v>0</v>
      </c>
      <c r="RAL15">
        <f ca="1"/>
        <v>0</v>
      </c>
      <c r="RAM15">
        <f ca="1"/>
        <v>0</v>
      </c>
      <c r="RAN15">
        <f ca="1"/>
        <v>0</v>
      </c>
      <c r="RAO15">
        <f ca="1"/>
        <v>0</v>
      </c>
      <c r="RAP15">
        <f ca="1"/>
        <v>0</v>
      </c>
      <c r="RAQ15">
        <f ca="1"/>
        <v>0</v>
      </c>
      <c r="RAR15">
        <f ca="1"/>
        <v>0</v>
      </c>
      <c r="RAS15">
        <f ca="1"/>
        <v>0</v>
      </c>
      <c r="RAT15">
        <f ca="1"/>
        <v>0</v>
      </c>
      <c r="RAU15">
        <f ca="1"/>
        <v>0</v>
      </c>
      <c r="RAV15">
        <f ca="1"/>
        <v>0</v>
      </c>
      <c r="RAW15">
        <f ca="1"/>
        <v>0</v>
      </c>
      <c r="RAX15">
        <f ca="1"/>
        <v>0</v>
      </c>
      <c r="RAY15">
        <f ca="1"/>
        <v>0</v>
      </c>
      <c r="RAZ15">
        <f ca="1"/>
        <v>0</v>
      </c>
      <c r="RBA15">
        <f ca="1"/>
        <v>0</v>
      </c>
      <c r="RBB15">
        <f ca="1"/>
        <v>0</v>
      </c>
      <c r="RBC15">
        <f ca="1"/>
        <v>0</v>
      </c>
      <c r="RBD15">
        <f ca="1"/>
        <v>0</v>
      </c>
      <c r="RBE15">
        <f ca="1"/>
        <v>0</v>
      </c>
      <c r="RBF15">
        <f ca="1"/>
        <v>0</v>
      </c>
      <c r="RBG15">
        <f ca="1"/>
        <v>0</v>
      </c>
      <c r="RBH15">
        <f ca="1"/>
        <v>0</v>
      </c>
      <c r="RBI15">
        <f ca="1"/>
        <v>0</v>
      </c>
      <c r="RBJ15">
        <f ca="1"/>
        <v>0</v>
      </c>
      <c r="RBK15">
        <f ca="1"/>
        <v>0</v>
      </c>
      <c r="RBL15">
        <f ca="1"/>
        <v>0</v>
      </c>
      <c r="RBM15">
        <f ca="1"/>
        <v>0</v>
      </c>
      <c r="RBN15">
        <f ca="1"/>
        <v>0</v>
      </c>
      <c r="RBO15">
        <f ca="1"/>
        <v>0</v>
      </c>
      <c r="RBP15">
        <f ca="1"/>
        <v>0</v>
      </c>
      <c r="RBQ15">
        <f ca="1"/>
        <v>0</v>
      </c>
      <c r="RBR15">
        <f ca="1"/>
        <v>0</v>
      </c>
      <c r="RBS15">
        <f ca="1"/>
        <v>0</v>
      </c>
      <c r="RBT15">
        <f ca="1"/>
        <v>0</v>
      </c>
      <c r="RBU15">
        <f ca="1"/>
        <v>0</v>
      </c>
      <c r="RBV15">
        <f ca="1"/>
        <v>0</v>
      </c>
      <c r="RBW15">
        <f ca="1"/>
        <v>0</v>
      </c>
      <c r="RBX15">
        <f ca="1"/>
        <v>0</v>
      </c>
      <c r="RBY15">
        <f ca="1"/>
        <v>0</v>
      </c>
      <c r="RBZ15">
        <f ca="1"/>
        <v>0</v>
      </c>
      <c r="RCA15">
        <f ca="1"/>
        <v>0</v>
      </c>
      <c r="RCB15">
        <f ca="1"/>
        <v>0</v>
      </c>
      <c r="RCC15">
        <f ca="1"/>
        <v>0</v>
      </c>
      <c r="RCD15">
        <f ca="1"/>
        <v>0</v>
      </c>
      <c r="RCE15">
        <f ca="1"/>
        <v>0</v>
      </c>
      <c r="RCF15">
        <f ca="1"/>
        <v>0</v>
      </c>
      <c r="RCG15">
        <f ca="1"/>
        <v>0</v>
      </c>
      <c r="RCH15">
        <f ca="1"/>
        <v>0</v>
      </c>
      <c r="RCI15">
        <f ca="1"/>
        <v>0</v>
      </c>
      <c r="RCJ15">
        <f ca="1"/>
        <v>0</v>
      </c>
      <c r="RCK15">
        <f ca="1"/>
        <v>0</v>
      </c>
      <c r="RCL15">
        <f ca="1"/>
        <v>0</v>
      </c>
      <c r="RCM15">
        <f ca="1"/>
        <v>0</v>
      </c>
      <c r="RCN15">
        <f ca="1"/>
        <v>0</v>
      </c>
      <c r="RCO15">
        <f ca="1"/>
        <v>0</v>
      </c>
      <c r="RCP15">
        <f ca="1"/>
        <v>0</v>
      </c>
      <c r="RCQ15">
        <f ca="1"/>
        <v>0</v>
      </c>
      <c r="RCR15">
        <f ca="1"/>
        <v>0</v>
      </c>
      <c r="RCS15">
        <f ca="1"/>
        <v>0</v>
      </c>
      <c r="RCT15">
        <f ca="1"/>
        <v>0</v>
      </c>
      <c r="RCU15">
        <f ca="1"/>
        <v>0</v>
      </c>
      <c r="RCV15">
        <f ca="1"/>
        <v>0</v>
      </c>
      <c r="RCW15">
        <f ca="1"/>
        <v>0</v>
      </c>
      <c r="RCX15">
        <f ca="1"/>
        <v>0</v>
      </c>
      <c r="RCY15">
        <f ca="1"/>
        <v>0</v>
      </c>
      <c r="RCZ15">
        <f ca="1"/>
        <v>0</v>
      </c>
      <c r="RDA15">
        <f ca="1"/>
        <v>0</v>
      </c>
      <c r="RDB15">
        <f ca="1"/>
        <v>0</v>
      </c>
      <c r="RDC15">
        <f ca="1"/>
        <v>0</v>
      </c>
      <c r="RDD15">
        <f ca="1"/>
        <v>0</v>
      </c>
      <c r="RDE15">
        <f ca="1"/>
        <v>0</v>
      </c>
      <c r="RDF15">
        <f ca="1"/>
        <v>0</v>
      </c>
      <c r="RDG15">
        <f ca="1"/>
        <v>0</v>
      </c>
      <c r="RDH15">
        <f ca="1"/>
        <v>0</v>
      </c>
      <c r="RDI15">
        <f ca="1"/>
        <v>0</v>
      </c>
      <c r="RDJ15">
        <f ca="1"/>
        <v>0</v>
      </c>
      <c r="RDK15">
        <f ca="1"/>
        <v>0</v>
      </c>
      <c r="RDL15">
        <f ca="1"/>
        <v>0</v>
      </c>
      <c r="RDM15">
        <f ca="1"/>
        <v>0</v>
      </c>
      <c r="RDN15">
        <f ca="1"/>
        <v>0</v>
      </c>
      <c r="RDO15">
        <f ca="1"/>
        <v>0</v>
      </c>
      <c r="RDP15">
        <f ca="1"/>
        <v>0</v>
      </c>
      <c r="RDQ15">
        <f ca="1"/>
        <v>0</v>
      </c>
      <c r="RDR15">
        <f ca="1"/>
        <v>0</v>
      </c>
      <c r="RDS15">
        <f ca="1"/>
        <v>0</v>
      </c>
      <c r="RDT15">
        <f ca="1"/>
        <v>0</v>
      </c>
      <c r="RDU15">
        <f ca="1"/>
        <v>0</v>
      </c>
      <c r="RDV15">
        <f ca="1"/>
        <v>0</v>
      </c>
      <c r="RDW15">
        <f ca="1"/>
        <v>0</v>
      </c>
      <c r="RDX15">
        <f ca="1"/>
        <v>0</v>
      </c>
      <c r="RDY15">
        <f ca="1"/>
        <v>0</v>
      </c>
      <c r="RDZ15">
        <f ca="1"/>
        <v>0</v>
      </c>
      <c r="REA15">
        <f ca="1"/>
        <v>0</v>
      </c>
      <c r="REB15">
        <f ca="1"/>
        <v>0</v>
      </c>
      <c r="REC15">
        <f ca="1"/>
        <v>0</v>
      </c>
      <c r="RED15">
        <f ca="1"/>
        <v>0</v>
      </c>
      <c r="REE15">
        <f ca="1"/>
        <v>0</v>
      </c>
      <c r="REF15">
        <f ca="1"/>
        <v>0</v>
      </c>
      <c r="REG15">
        <f ca="1"/>
        <v>0</v>
      </c>
      <c r="REH15">
        <f ca="1"/>
        <v>0</v>
      </c>
      <c r="REI15">
        <f ca="1"/>
        <v>0</v>
      </c>
      <c r="REJ15">
        <f ca="1"/>
        <v>0</v>
      </c>
      <c r="REK15">
        <f ca="1"/>
        <v>0</v>
      </c>
      <c r="REL15">
        <f ca="1"/>
        <v>0</v>
      </c>
      <c r="REM15">
        <f ca="1"/>
        <v>0</v>
      </c>
      <c r="REN15">
        <f ca="1"/>
        <v>0</v>
      </c>
      <c r="REO15">
        <f ca="1"/>
        <v>0</v>
      </c>
      <c r="REP15">
        <f ca="1"/>
        <v>0</v>
      </c>
      <c r="REQ15">
        <f ca="1"/>
        <v>0</v>
      </c>
      <c r="RER15">
        <f ca="1"/>
        <v>0</v>
      </c>
      <c r="RES15">
        <f ca="1"/>
        <v>0</v>
      </c>
      <c r="RET15">
        <f ca="1"/>
        <v>0</v>
      </c>
      <c r="REU15">
        <f ca="1"/>
        <v>0</v>
      </c>
      <c r="REV15">
        <f ca="1"/>
        <v>0</v>
      </c>
      <c r="REW15">
        <f ca="1"/>
        <v>0</v>
      </c>
      <c r="REX15">
        <f ca="1"/>
        <v>0</v>
      </c>
      <c r="REY15">
        <f ca="1"/>
        <v>0</v>
      </c>
      <c r="REZ15">
        <f ca="1"/>
        <v>0</v>
      </c>
      <c r="RFA15">
        <f ca="1"/>
        <v>0</v>
      </c>
      <c r="RFB15">
        <f ca="1"/>
        <v>0</v>
      </c>
      <c r="RFC15">
        <f ca="1"/>
        <v>0</v>
      </c>
      <c r="RFD15">
        <f ca="1"/>
        <v>0</v>
      </c>
      <c r="RFE15">
        <f ca="1"/>
        <v>0</v>
      </c>
      <c r="RFF15">
        <f ca="1"/>
        <v>0</v>
      </c>
      <c r="RFG15">
        <f ca="1"/>
        <v>0</v>
      </c>
      <c r="RFH15">
        <f ca="1"/>
        <v>0</v>
      </c>
      <c r="RFI15">
        <f ca="1"/>
        <v>0</v>
      </c>
      <c r="RFJ15">
        <f ca="1"/>
        <v>0</v>
      </c>
      <c r="RFK15">
        <f ca="1"/>
        <v>0</v>
      </c>
      <c r="RFL15">
        <f ca="1"/>
        <v>0</v>
      </c>
      <c r="RFM15">
        <f ca="1"/>
        <v>0</v>
      </c>
      <c r="RFN15">
        <f ca="1"/>
        <v>0</v>
      </c>
      <c r="RFO15">
        <f ca="1"/>
        <v>0</v>
      </c>
      <c r="RFP15">
        <f ca="1"/>
        <v>0</v>
      </c>
      <c r="RFQ15">
        <f ca="1"/>
        <v>0</v>
      </c>
      <c r="RFR15">
        <f ca="1"/>
        <v>0</v>
      </c>
      <c r="RFS15">
        <f ca="1"/>
        <v>0</v>
      </c>
      <c r="RFT15">
        <f ca="1"/>
        <v>0</v>
      </c>
      <c r="RFU15">
        <f ca="1"/>
        <v>0</v>
      </c>
      <c r="RFV15">
        <f ca="1"/>
        <v>0</v>
      </c>
      <c r="RFW15">
        <f ca="1"/>
        <v>0</v>
      </c>
      <c r="RFX15">
        <f ca="1"/>
        <v>0</v>
      </c>
      <c r="RFY15">
        <f ca="1"/>
        <v>0</v>
      </c>
      <c r="RFZ15">
        <f ca="1"/>
        <v>0</v>
      </c>
      <c r="RGA15">
        <f ca="1"/>
        <v>0</v>
      </c>
      <c r="RGB15">
        <f ca="1"/>
        <v>0</v>
      </c>
      <c r="RGC15">
        <f ca="1"/>
        <v>0</v>
      </c>
      <c r="RGD15">
        <f ca="1"/>
        <v>0</v>
      </c>
      <c r="RGE15">
        <f ca="1"/>
        <v>0</v>
      </c>
      <c r="RGF15">
        <f ca="1"/>
        <v>0</v>
      </c>
      <c r="RGG15">
        <f ca="1"/>
        <v>0</v>
      </c>
      <c r="RGH15">
        <f ca="1"/>
        <v>0</v>
      </c>
      <c r="RGI15">
        <f ca="1"/>
        <v>0</v>
      </c>
      <c r="RGJ15">
        <f ca="1"/>
        <v>0</v>
      </c>
      <c r="RGK15">
        <f ca="1"/>
        <v>0</v>
      </c>
      <c r="RGL15">
        <f ca="1"/>
        <v>0</v>
      </c>
      <c r="RGM15">
        <f ca="1"/>
        <v>0</v>
      </c>
      <c r="RGN15">
        <f ca="1"/>
        <v>0</v>
      </c>
      <c r="RGO15">
        <f ca="1"/>
        <v>0</v>
      </c>
      <c r="RGP15">
        <f ca="1"/>
        <v>0</v>
      </c>
      <c r="RGQ15">
        <f ca="1"/>
        <v>0</v>
      </c>
      <c r="RGR15">
        <f ca="1"/>
        <v>0</v>
      </c>
      <c r="RGS15">
        <f ca="1"/>
        <v>0</v>
      </c>
      <c r="RGT15">
        <f ca="1"/>
        <v>0</v>
      </c>
      <c r="RGU15">
        <f ca="1"/>
        <v>0</v>
      </c>
      <c r="RGV15">
        <f ca="1"/>
        <v>0</v>
      </c>
      <c r="RGW15">
        <f ca="1"/>
        <v>0</v>
      </c>
      <c r="RGX15">
        <f ca="1"/>
        <v>0</v>
      </c>
      <c r="RGY15">
        <f ca="1"/>
        <v>0</v>
      </c>
      <c r="RGZ15">
        <f ca="1"/>
        <v>0</v>
      </c>
      <c r="RHA15">
        <f ca="1"/>
        <v>0</v>
      </c>
      <c r="RHB15">
        <f ca="1"/>
        <v>0</v>
      </c>
      <c r="RHC15">
        <f ca="1"/>
        <v>0</v>
      </c>
      <c r="RHD15">
        <f ca="1"/>
        <v>0</v>
      </c>
      <c r="RHE15">
        <f ca="1"/>
        <v>0</v>
      </c>
      <c r="RHF15">
        <f ca="1"/>
        <v>0</v>
      </c>
      <c r="RHG15">
        <f ca="1"/>
        <v>0</v>
      </c>
      <c r="RHH15">
        <f ca="1"/>
        <v>0</v>
      </c>
      <c r="RHI15">
        <f ca="1"/>
        <v>0</v>
      </c>
      <c r="RHJ15">
        <f ca="1"/>
        <v>0</v>
      </c>
      <c r="RHK15">
        <f ca="1"/>
        <v>0</v>
      </c>
      <c r="RHL15">
        <f ca="1"/>
        <v>0</v>
      </c>
      <c r="RHM15">
        <f ca="1"/>
        <v>0</v>
      </c>
      <c r="RHN15">
        <f ca="1"/>
        <v>0</v>
      </c>
      <c r="RHO15">
        <f ca="1"/>
        <v>0</v>
      </c>
      <c r="RHP15">
        <f ca="1"/>
        <v>0</v>
      </c>
      <c r="RHQ15">
        <f ca="1"/>
        <v>0</v>
      </c>
      <c r="RHR15">
        <f ca="1"/>
        <v>0</v>
      </c>
      <c r="RHS15">
        <f ca="1"/>
        <v>0</v>
      </c>
      <c r="RHT15">
        <f ca="1"/>
        <v>0</v>
      </c>
      <c r="RHU15">
        <f ca="1"/>
        <v>0</v>
      </c>
      <c r="RHV15">
        <f ca="1"/>
        <v>0</v>
      </c>
      <c r="RHW15">
        <f ca="1"/>
        <v>0</v>
      </c>
      <c r="RHX15">
        <f ca="1"/>
        <v>0</v>
      </c>
      <c r="RHY15">
        <f ca="1"/>
        <v>0</v>
      </c>
      <c r="RHZ15">
        <f ca="1"/>
        <v>0</v>
      </c>
      <c r="RIA15">
        <f ca="1"/>
        <v>0</v>
      </c>
      <c r="RIB15">
        <f ca="1"/>
        <v>0</v>
      </c>
      <c r="RIC15">
        <f ca="1"/>
        <v>0</v>
      </c>
      <c r="RID15">
        <f ca="1"/>
        <v>0</v>
      </c>
      <c r="RIE15">
        <f ca="1"/>
        <v>0</v>
      </c>
      <c r="RIF15">
        <f ca="1"/>
        <v>0</v>
      </c>
      <c r="RIG15">
        <f ca="1"/>
        <v>0</v>
      </c>
      <c r="RIH15">
        <f ca="1"/>
        <v>0</v>
      </c>
      <c r="RII15">
        <f ca="1"/>
        <v>0</v>
      </c>
      <c r="RIJ15">
        <f ca="1"/>
        <v>0</v>
      </c>
      <c r="RIK15">
        <f ca="1"/>
        <v>0</v>
      </c>
      <c r="RIL15">
        <f ca="1"/>
        <v>0</v>
      </c>
      <c r="RIM15">
        <f ca="1"/>
        <v>0</v>
      </c>
      <c r="RIN15">
        <f ca="1"/>
        <v>0</v>
      </c>
      <c r="RIO15">
        <f ca="1"/>
        <v>0</v>
      </c>
      <c r="RIP15">
        <f ca="1"/>
        <v>0</v>
      </c>
      <c r="RIQ15">
        <f ca="1"/>
        <v>0</v>
      </c>
      <c r="RIR15">
        <f ca="1"/>
        <v>0</v>
      </c>
      <c r="RIS15">
        <f ca="1"/>
        <v>0</v>
      </c>
      <c r="RIT15">
        <f ca="1"/>
        <v>0</v>
      </c>
      <c r="RIU15">
        <f ca="1"/>
        <v>0</v>
      </c>
      <c r="RIV15">
        <f ca="1"/>
        <v>0</v>
      </c>
      <c r="RIW15">
        <f ca="1"/>
        <v>0</v>
      </c>
      <c r="RIX15">
        <f ca="1"/>
        <v>0</v>
      </c>
      <c r="RIY15">
        <f ca="1"/>
        <v>0</v>
      </c>
      <c r="RIZ15">
        <f ca="1"/>
        <v>0</v>
      </c>
      <c r="RJA15">
        <f ca="1"/>
        <v>0</v>
      </c>
      <c r="RJB15">
        <f ca="1"/>
        <v>0</v>
      </c>
      <c r="RJC15">
        <f ca="1"/>
        <v>0</v>
      </c>
      <c r="RJD15">
        <f ca="1"/>
        <v>0</v>
      </c>
      <c r="RJE15">
        <f ca="1"/>
        <v>0</v>
      </c>
      <c r="RJF15">
        <f ca="1"/>
        <v>0</v>
      </c>
      <c r="RJG15">
        <f ca="1"/>
        <v>0</v>
      </c>
      <c r="RJH15">
        <f ca="1"/>
        <v>0</v>
      </c>
      <c r="RJI15">
        <f ca="1"/>
        <v>0</v>
      </c>
      <c r="RJJ15">
        <f ca="1"/>
        <v>0</v>
      </c>
      <c r="RJK15">
        <f ca="1"/>
        <v>0</v>
      </c>
      <c r="RJL15">
        <f ca="1"/>
        <v>0</v>
      </c>
      <c r="RJM15">
        <f ca="1"/>
        <v>0</v>
      </c>
      <c r="RJN15">
        <f ca="1"/>
        <v>0</v>
      </c>
      <c r="RJO15">
        <f ca="1"/>
        <v>0</v>
      </c>
      <c r="RJP15">
        <f ca="1"/>
        <v>0</v>
      </c>
      <c r="RJQ15">
        <f ca="1"/>
        <v>0</v>
      </c>
      <c r="RJR15">
        <f ca="1"/>
        <v>0</v>
      </c>
      <c r="RJS15">
        <f ca="1"/>
        <v>0</v>
      </c>
      <c r="RJT15">
        <f ca="1"/>
        <v>0</v>
      </c>
      <c r="RJU15">
        <f ca="1"/>
        <v>0</v>
      </c>
      <c r="RJV15">
        <f ca="1"/>
        <v>0</v>
      </c>
      <c r="RJW15">
        <f ca="1"/>
        <v>0</v>
      </c>
      <c r="RJX15">
        <f ca="1"/>
        <v>0</v>
      </c>
      <c r="RJY15">
        <f ca="1"/>
        <v>0</v>
      </c>
      <c r="RJZ15">
        <f ca="1"/>
        <v>0</v>
      </c>
      <c r="RKA15">
        <f ca="1"/>
        <v>0</v>
      </c>
      <c r="RKB15">
        <f ca="1"/>
        <v>0</v>
      </c>
      <c r="RKC15">
        <f ca="1"/>
        <v>0</v>
      </c>
      <c r="RKD15">
        <f ca="1"/>
        <v>0</v>
      </c>
      <c r="RKE15">
        <f ca="1"/>
        <v>0</v>
      </c>
      <c r="RKF15">
        <f ca="1"/>
        <v>0</v>
      </c>
      <c r="RKG15">
        <f ca="1"/>
        <v>0</v>
      </c>
      <c r="RKH15">
        <f ca="1"/>
        <v>0</v>
      </c>
      <c r="RKI15">
        <f ca="1"/>
        <v>0</v>
      </c>
      <c r="RKJ15">
        <f ca="1"/>
        <v>0</v>
      </c>
      <c r="RKK15">
        <f ca="1"/>
        <v>0</v>
      </c>
      <c r="RKL15">
        <f ca="1"/>
        <v>0</v>
      </c>
      <c r="RKM15">
        <f ca="1"/>
        <v>0</v>
      </c>
      <c r="RKN15">
        <f ca="1"/>
        <v>0</v>
      </c>
      <c r="RKO15">
        <f ca="1"/>
        <v>0</v>
      </c>
      <c r="RKP15">
        <f ca="1"/>
        <v>0</v>
      </c>
      <c r="RKQ15">
        <f ca="1"/>
        <v>0</v>
      </c>
      <c r="RKR15">
        <f ca="1"/>
        <v>0</v>
      </c>
      <c r="RKS15">
        <f ca="1"/>
        <v>0</v>
      </c>
      <c r="RKT15">
        <f ca="1"/>
        <v>0</v>
      </c>
      <c r="RKU15">
        <f ca="1"/>
        <v>0</v>
      </c>
      <c r="RKV15">
        <f ca="1"/>
        <v>0</v>
      </c>
      <c r="RKW15">
        <f ca="1"/>
        <v>0</v>
      </c>
      <c r="RKX15">
        <f ca="1"/>
        <v>0</v>
      </c>
      <c r="RKY15">
        <f ca="1"/>
        <v>0</v>
      </c>
      <c r="RKZ15">
        <f ca="1"/>
        <v>0</v>
      </c>
      <c r="RLA15">
        <f ca="1"/>
        <v>0</v>
      </c>
      <c r="RLB15">
        <f ca="1"/>
        <v>0</v>
      </c>
      <c r="RLC15">
        <f ca="1"/>
        <v>0</v>
      </c>
      <c r="RLD15">
        <f ca="1"/>
        <v>0</v>
      </c>
      <c r="RLE15">
        <f ca="1"/>
        <v>0</v>
      </c>
      <c r="RLF15">
        <f ca="1"/>
        <v>0</v>
      </c>
      <c r="RLG15">
        <f ca="1"/>
        <v>0</v>
      </c>
      <c r="RLH15">
        <f ca="1"/>
        <v>0</v>
      </c>
      <c r="RLI15">
        <f ca="1"/>
        <v>0</v>
      </c>
      <c r="RLJ15">
        <f ca="1"/>
        <v>0</v>
      </c>
      <c r="RLK15">
        <f ca="1"/>
        <v>0</v>
      </c>
      <c r="RLL15">
        <f ca="1"/>
        <v>0</v>
      </c>
      <c r="RLM15">
        <f ca="1"/>
        <v>0</v>
      </c>
      <c r="RLN15">
        <f ca="1"/>
        <v>0</v>
      </c>
      <c r="RLO15">
        <f ca="1"/>
        <v>0</v>
      </c>
      <c r="RLP15">
        <f ca="1"/>
        <v>0</v>
      </c>
      <c r="RLQ15">
        <f ca="1"/>
        <v>0</v>
      </c>
      <c r="RLR15">
        <f ca="1"/>
        <v>0</v>
      </c>
      <c r="RLS15">
        <f ca="1"/>
        <v>0</v>
      </c>
      <c r="RLT15">
        <f ca="1"/>
        <v>0</v>
      </c>
      <c r="RLU15">
        <f ca="1"/>
        <v>0</v>
      </c>
      <c r="RLV15">
        <f ca="1"/>
        <v>0</v>
      </c>
      <c r="RLW15">
        <f ca="1"/>
        <v>0</v>
      </c>
      <c r="RLX15">
        <f ca="1"/>
        <v>0</v>
      </c>
      <c r="RLY15">
        <f ca="1"/>
        <v>0</v>
      </c>
      <c r="RLZ15">
        <f ca="1"/>
        <v>0</v>
      </c>
      <c r="RMA15">
        <f ca="1"/>
        <v>0</v>
      </c>
      <c r="RMB15">
        <f ca="1"/>
        <v>0</v>
      </c>
      <c r="RMC15">
        <f ca="1"/>
        <v>0</v>
      </c>
      <c r="RMD15">
        <f ca="1"/>
        <v>0</v>
      </c>
      <c r="RME15">
        <f ca="1"/>
        <v>0</v>
      </c>
      <c r="RMF15">
        <f ca="1"/>
        <v>0</v>
      </c>
      <c r="RMG15">
        <f ca="1"/>
        <v>0</v>
      </c>
      <c r="RMH15">
        <f ca="1"/>
        <v>0</v>
      </c>
      <c r="RMI15">
        <f ca="1"/>
        <v>0</v>
      </c>
      <c r="RMJ15">
        <f ca="1"/>
        <v>0</v>
      </c>
      <c r="RMK15">
        <f ca="1"/>
        <v>0</v>
      </c>
      <c r="RML15">
        <f ca="1"/>
        <v>0</v>
      </c>
      <c r="RMM15">
        <f ca="1"/>
        <v>0</v>
      </c>
      <c r="RMN15">
        <f ca="1"/>
        <v>0</v>
      </c>
      <c r="RMO15">
        <f ca="1"/>
        <v>0</v>
      </c>
      <c r="RMP15">
        <f ca="1"/>
        <v>0</v>
      </c>
      <c r="RMQ15">
        <f ca="1"/>
        <v>0</v>
      </c>
      <c r="RMR15">
        <f ca="1"/>
        <v>0</v>
      </c>
      <c r="RMS15">
        <f ca="1"/>
        <v>0</v>
      </c>
      <c r="RMT15">
        <f ca="1"/>
        <v>0</v>
      </c>
      <c r="RMU15">
        <f ca="1"/>
        <v>0</v>
      </c>
      <c r="RMV15">
        <f ca="1"/>
        <v>0</v>
      </c>
      <c r="RMW15">
        <f ca="1"/>
        <v>0</v>
      </c>
      <c r="RMX15">
        <f ca="1"/>
        <v>0</v>
      </c>
      <c r="RMY15">
        <f ca="1"/>
        <v>0</v>
      </c>
      <c r="RMZ15">
        <f ca="1"/>
        <v>0</v>
      </c>
      <c r="RNA15">
        <f ca="1"/>
        <v>0</v>
      </c>
      <c r="RNB15">
        <f ca="1"/>
        <v>0</v>
      </c>
      <c r="RNC15">
        <f ca="1"/>
        <v>0</v>
      </c>
      <c r="RND15">
        <f ca="1"/>
        <v>0</v>
      </c>
      <c r="RNE15">
        <f ca="1"/>
        <v>0</v>
      </c>
      <c r="RNF15">
        <f ca="1"/>
        <v>0</v>
      </c>
      <c r="RNG15">
        <f ca="1"/>
        <v>0</v>
      </c>
      <c r="RNH15">
        <f ca="1"/>
        <v>0</v>
      </c>
      <c r="RNI15">
        <f ca="1"/>
        <v>0</v>
      </c>
      <c r="RNJ15">
        <f ca="1"/>
        <v>0</v>
      </c>
      <c r="RNK15">
        <f ca="1"/>
        <v>0</v>
      </c>
      <c r="RNL15">
        <f ca="1"/>
        <v>0</v>
      </c>
      <c r="RNM15">
        <f ca="1"/>
        <v>0</v>
      </c>
      <c r="RNN15">
        <f ca="1"/>
        <v>0</v>
      </c>
      <c r="RNO15">
        <f ca="1"/>
        <v>0</v>
      </c>
      <c r="RNP15">
        <f ca="1"/>
        <v>0</v>
      </c>
      <c r="RNQ15">
        <f ca="1"/>
        <v>0</v>
      </c>
      <c r="RNR15">
        <f ca="1"/>
        <v>0</v>
      </c>
      <c r="RNS15">
        <f ca="1"/>
        <v>0</v>
      </c>
      <c r="RNT15">
        <f ca="1"/>
        <v>0</v>
      </c>
      <c r="RNU15">
        <f ca="1"/>
        <v>0</v>
      </c>
      <c r="RNV15">
        <f ca="1"/>
        <v>0</v>
      </c>
      <c r="RNW15">
        <f ca="1"/>
        <v>0</v>
      </c>
      <c r="RNX15">
        <f ca="1"/>
        <v>0</v>
      </c>
      <c r="RNY15">
        <f ca="1"/>
        <v>0</v>
      </c>
      <c r="RNZ15">
        <f ca="1"/>
        <v>0</v>
      </c>
      <c r="ROA15">
        <f ca="1"/>
        <v>0</v>
      </c>
      <c r="ROB15">
        <f ca="1"/>
        <v>0</v>
      </c>
      <c r="ROC15">
        <f ca="1"/>
        <v>0</v>
      </c>
      <c r="ROD15">
        <f ca="1"/>
        <v>0</v>
      </c>
      <c r="ROE15">
        <f ca="1"/>
        <v>0</v>
      </c>
      <c r="ROF15">
        <f ca="1"/>
        <v>0</v>
      </c>
      <c r="ROG15">
        <f ca="1"/>
        <v>0</v>
      </c>
      <c r="ROH15">
        <f ca="1"/>
        <v>0</v>
      </c>
      <c r="ROI15">
        <f ca="1"/>
        <v>0</v>
      </c>
      <c r="ROJ15">
        <f ca="1"/>
        <v>0</v>
      </c>
      <c r="ROK15">
        <f ca="1"/>
        <v>0</v>
      </c>
      <c r="ROL15">
        <f ca="1"/>
        <v>0</v>
      </c>
      <c r="ROM15">
        <f ca="1"/>
        <v>0</v>
      </c>
      <c r="RON15">
        <f ca="1"/>
        <v>0</v>
      </c>
      <c r="ROO15">
        <f ca="1"/>
        <v>0</v>
      </c>
      <c r="ROP15">
        <f ca="1"/>
        <v>0</v>
      </c>
      <c r="ROQ15">
        <f ca="1"/>
        <v>0</v>
      </c>
      <c r="ROR15">
        <f ca="1"/>
        <v>0</v>
      </c>
      <c r="ROS15">
        <f ca="1"/>
        <v>0</v>
      </c>
      <c r="ROT15">
        <f ca="1"/>
        <v>0</v>
      </c>
      <c r="ROU15">
        <f ca="1"/>
        <v>0</v>
      </c>
      <c r="ROV15">
        <f ca="1"/>
        <v>0</v>
      </c>
      <c r="ROW15">
        <f ca="1"/>
        <v>0</v>
      </c>
      <c r="ROX15">
        <f ca="1"/>
        <v>0</v>
      </c>
      <c r="ROY15">
        <f ca="1"/>
        <v>0</v>
      </c>
      <c r="ROZ15">
        <f ca="1"/>
        <v>0</v>
      </c>
      <c r="RPA15">
        <f ca="1"/>
        <v>0</v>
      </c>
      <c r="RPB15">
        <f ca="1"/>
        <v>0</v>
      </c>
      <c r="RPC15">
        <f ca="1"/>
        <v>0</v>
      </c>
      <c r="RPD15">
        <f ca="1"/>
        <v>0</v>
      </c>
      <c r="RPE15">
        <f ca="1"/>
        <v>0</v>
      </c>
      <c r="RPF15">
        <f ca="1"/>
        <v>0</v>
      </c>
      <c r="RPG15">
        <f ca="1"/>
        <v>0</v>
      </c>
      <c r="RPH15">
        <f ca="1"/>
        <v>0</v>
      </c>
      <c r="RPI15">
        <f ca="1"/>
        <v>0</v>
      </c>
      <c r="RPJ15">
        <f ca="1"/>
        <v>0</v>
      </c>
      <c r="RPK15">
        <f ca="1"/>
        <v>0</v>
      </c>
      <c r="RPL15">
        <f ca="1"/>
        <v>0</v>
      </c>
      <c r="RPM15">
        <f ca="1"/>
        <v>0</v>
      </c>
      <c r="RPN15">
        <f ca="1"/>
        <v>0</v>
      </c>
      <c r="RPO15">
        <f ca="1"/>
        <v>0</v>
      </c>
      <c r="RPP15">
        <f ca="1"/>
        <v>0</v>
      </c>
      <c r="RPQ15">
        <f ca="1"/>
        <v>0</v>
      </c>
      <c r="RPR15">
        <f ca="1"/>
        <v>0</v>
      </c>
      <c r="RPS15">
        <f ca="1"/>
        <v>0</v>
      </c>
      <c r="RPT15">
        <f ca="1"/>
        <v>0</v>
      </c>
      <c r="RPU15">
        <f ca="1"/>
        <v>0</v>
      </c>
      <c r="RPV15">
        <f ca="1"/>
        <v>0</v>
      </c>
      <c r="RPW15">
        <f ca="1"/>
        <v>0</v>
      </c>
      <c r="RPX15">
        <f ca="1"/>
        <v>0</v>
      </c>
      <c r="RPY15">
        <f ca="1"/>
        <v>0</v>
      </c>
      <c r="RPZ15">
        <f ca="1"/>
        <v>0</v>
      </c>
      <c r="RQA15">
        <f ca="1"/>
        <v>0</v>
      </c>
      <c r="RQB15">
        <f ca="1"/>
        <v>0</v>
      </c>
      <c r="RQC15">
        <f ca="1"/>
        <v>0</v>
      </c>
      <c r="RQD15">
        <f ca="1"/>
        <v>0</v>
      </c>
      <c r="RQE15">
        <f ca="1"/>
        <v>0</v>
      </c>
      <c r="RQF15">
        <f ca="1"/>
        <v>0</v>
      </c>
      <c r="RQG15">
        <f ca="1"/>
        <v>0</v>
      </c>
      <c r="RQH15">
        <f ca="1"/>
        <v>0</v>
      </c>
      <c r="RQI15">
        <f ca="1"/>
        <v>0</v>
      </c>
      <c r="RQJ15">
        <f ca="1"/>
        <v>0</v>
      </c>
      <c r="RQK15">
        <f ca="1"/>
        <v>0</v>
      </c>
      <c r="RQL15">
        <f ca="1"/>
        <v>0</v>
      </c>
      <c r="RQM15">
        <f ca="1"/>
        <v>0</v>
      </c>
      <c r="RQN15">
        <f ca="1"/>
        <v>0</v>
      </c>
      <c r="RQO15">
        <f ca="1"/>
        <v>0</v>
      </c>
      <c r="RQP15">
        <f ca="1"/>
        <v>0</v>
      </c>
      <c r="RQQ15">
        <f ca="1"/>
        <v>0</v>
      </c>
      <c r="RQR15">
        <f ca="1"/>
        <v>0</v>
      </c>
      <c r="RQS15">
        <f ca="1"/>
        <v>0</v>
      </c>
      <c r="RQT15">
        <f ca="1"/>
        <v>0</v>
      </c>
      <c r="RQU15">
        <f ca="1"/>
        <v>0</v>
      </c>
      <c r="RQV15">
        <f ca="1"/>
        <v>0</v>
      </c>
      <c r="RQW15">
        <f ca="1"/>
        <v>0</v>
      </c>
      <c r="RQX15">
        <f ca="1"/>
        <v>0</v>
      </c>
      <c r="RQY15">
        <f ca="1"/>
        <v>0</v>
      </c>
      <c r="RQZ15">
        <f ca="1"/>
        <v>0</v>
      </c>
      <c r="RRA15">
        <f ca="1"/>
        <v>0</v>
      </c>
      <c r="RRB15">
        <f ca="1"/>
        <v>0</v>
      </c>
      <c r="RRC15">
        <f ca="1"/>
        <v>0</v>
      </c>
      <c r="RRD15">
        <f ca="1"/>
        <v>0</v>
      </c>
      <c r="RRE15">
        <f ca="1"/>
        <v>0</v>
      </c>
      <c r="RRF15">
        <f ca="1"/>
        <v>0</v>
      </c>
      <c r="RRG15">
        <f ca="1"/>
        <v>0</v>
      </c>
      <c r="RRH15">
        <f ca="1"/>
        <v>0</v>
      </c>
      <c r="RRI15">
        <f ca="1"/>
        <v>0</v>
      </c>
      <c r="RRJ15">
        <f ca="1"/>
        <v>0</v>
      </c>
      <c r="RRK15">
        <f ca="1"/>
        <v>0</v>
      </c>
      <c r="RRL15">
        <f ca="1"/>
        <v>0</v>
      </c>
      <c r="RRM15">
        <f ca="1"/>
        <v>0</v>
      </c>
      <c r="RRN15">
        <f ca="1"/>
        <v>0</v>
      </c>
      <c r="RRO15">
        <f ca="1"/>
        <v>0</v>
      </c>
      <c r="RRP15">
        <f ca="1"/>
        <v>0</v>
      </c>
      <c r="RRQ15">
        <f ca="1"/>
        <v>0</v>
      </c>
      <c r="RRR15">
        <f ca="1"/>
        <v>0</v>
      </c>
      <c r="RRS15">
        <f ca="1"/>
        <v>0</v>
      </c>
      <c r="RRT15">
        <f ca="1"/>
        <v>0</v>
      </c>
      <c r="RRU15">
        <f ca="1"/>
        <v>0</v>
      </c>
      <c r="RRV15">
        <f ca="1"/>
        <v>0</v>
      </c>
      <c r="RRW15">
        <f ca="1"/>
        <v>0</v>
      </c>
      <c r="RRX15">
        <f ca="1"/>
        <v>0</v>
      </c>
      <c r="RRY15">
        <f ca="1"/>
        <v>0</v>
      </c>
      <c r="RRZ15">
        <f ca="1"/>
        <v>0</v>
      </c>
      <c r="RSA15">
        <f ca="1"/>
        <v>0</v>
      </c>
      <c r="RSB15">
        <f ca="1"/>
        <v>0</v>
      </c>
      <c r="RSC15">
        <f ca="1"/>
        <v>0</v>
      </c>
      <c r="RSD15">
        <f ca="1"/>
        <v>0</v>
      </c>
      <c r="RSE15">
        <f ca="1"/>
        <v>0</v>
      </c>
      <c r="RSF15">
        <f ca="1"/>
        <v>0</v>
      </c>
      <c r="RSG15">
        <f ca="1"/>
        <v>0</v>
      </c>
      <c r="RSH15">
        <f ca="1"/>
        <v>0</v>
      </c>
      <c r="RSI15">
        <f ca="1"/>
        <v>0</v>
      </c>
      <c r="RSJ15">
        <f ca="1"/>
        <v>0</v>
      </c>
      <c r="RSK15">
        <f ca="1"/>
        <v>0</v>
      </c>
      <c r="RSL15">
        <f ca="1"/>
        <v>0</v>
      </c>
      <c r="RSM15">
        <f ca="1"/>
        <v>0</v>
      </c>
      <c r="RSN15">
        <f ca="1"/>
        <v>0</v>
      </c>
      <c r="RSO15">
        <f ca="1"/>
        <v>0</v>
      </c>
      <c r="RSP15">
        <f ca="1"/>
        <v>0</v>
      </c>
      <c r="RSQ15">
        <f ca="1"/>
        <v>0</v>
      </c>
      <c r="RSR15">
        <f ca="1"/>
        <v>0</v>
      </c>
      <c r="RSS15">
        <f ca="1"/>
        <v>0</v>
      </c>
      <c r="RST15">
        <f ca="1"/>
        <v>0</v>
      </c>
      <c r="RSU15">
        <f ca="1"/>
        <v>0</v>
      </c>
      <c r="RSV15">
        <f ca="1"/>
        <v>0</v>
      </c>
      <c r="RSW15">
        <f ca="1"/>
        <v>0</v>
      </c>
      <c r="RSX15">
        <f ca="1"/>
        <v>0</v>
      </c>
      <c r="RSY15">
        <f ca="1"/>
        <v>0</v>
      </c>
      <c r="RSZ15">
        <f ca="1"/>
        <v>0</v>
      </c>
      <c r="RTA15">
        <f ca="1"/>
        <v>0</v>
      </c>
      <c r="RTB15">
        <f ca="1"/>
        <v>0</v>
      </c>
      <c r="RTC15">
        <f ca="1"/>
        <v>0</v>
      </c>
      <c r="RTD15">
        <f ca="1"/>
        <v>0</v>
      </c>
      <c r="RTE15">
        <f ca="1"/>
        <v>0</v>
      </c>
      <c r="RTF15">
        <f ca="1"/>
        <v>0</v>
      </c>
      <c r="RTG15">
        <f ca="1"/>
        <v>0</v>
      </c>
      <c r="RTH15">
        <f ca="1"/>
        <v>0</v>
      </c>
      <c r="RTI15">
        <f ca="1"/>
        <v>0</v>
      </c>
      <c r="RTJ15">
        <f ca="1"/>
        <v>0</v>
      </c>
      <c r="RTK15">
        <f ca="1"/>
        <v>0</v>
      </c>
      <c r="RTL15">
        <f ca="1"/>
        <v>0</v>
      </c>
      <c r="RTM15">
        <f ca="1"/>
        <v>0</v>
      </c>
      <c r="RTN15">
        <f ca="1"/>
        <v>0</v>
      </c>
      <c r="RTO15">
        <f ca="1"/>
        <v>0</v>
      </c>
      <c r="RTP15">
        <f ca="1"/>
        <v>0</v>
      </c>
      <c r="RTQ15">
        <f ca="1"/>
        <v>0</v>
      </c>
      <c r="RTR15">
        <f ca="1"/>
        <v>0</v>
      </c>
      <c r="RTS15">
        <f ca="1"/>
        <v>0</v>
      </c>
      <c r="RTT15">
        <f ca="1"/>
        <v>0</v>
      </c>
      <c r="RTU15">
        <f ca="1"/>
        <v>0</v>
      </c>
      <c r="RTV15">
        <f ca="1"/>
        <v>0</v>
      </c>
      <c r="RTW15">
        <f ca="1"/>
        <v>0</v>
      </c>
      <c r="RTX15">
        <f ca="1"/>
        <v>0</v>
      </c>
      <c r="RTY15">
        <f ca="1"/>
        <v>0</v>
      </c>
      <c r="RTZ15">
        <f ca="1"/>
        <v>0</v>
      </c>
      <c r="RUA15">
        <f ca="1"/>
        <v>0</v>
      </c>
      <c r="RUB15">
        <f ca="1"/>
        <v>0</v>
      </c>
      <c r="RUC15">
        <f ca="1"/>
        <v>0</v>
      </c>
      <c r="RUD15">
        <f ca="1"/>
        <v>0</v>
      </c>
      <c r="RUE15">
        <f ca="1"/>
        <v>0</v>
      </c>
      <c r="RUF15">
        <f ca="1"/>
        <v>0</v>
      </c>
      <c r="RUG15">
        <f ca="1"/>
        <v>0</v>
      </c>
      <c r="RUH15">
        <f ca="1"/>
        <v>0</v>
      </c>
      <c r="RUI15">
        <f ca="1"/>
        <v>0</v>
      </c>
      <c r="RUJ15">
        <f ca="1"/>
        <v>0</v>
      </c>
      <c r="RUK15">
        <f ca="1"/>
        <v>0</v>
      </c>
      <c r="RUL15">
        <f ca="1"/>
        <v>0</v>
      </c>
      <c r="RUM15">
        <f ca="1"/>
        <v>0</v>
      </c>
      <c r="RUN15">
        <f ca="1"/>
        <v>0</v>
      </c>
      <c r="RUO15">
        <f ca="1"/>
        <v>0</v>
      </c>
      <c r="RUP15">
        <f ca="1"/>
        <v>0</v>
      </c>
      <c r="RUQ15">
        <f ca="1"/>
        <v>0</v>
      </c>
      <c r="RUR15">
        <f ca="1"/>
        <v>0</v>
      </c>
      <c r="RUS15">
        <f ca="1"/>
        <v>0</v>
      </c>
      <c r="RUT15">
        <f ca="1"/>
        <v>0</v>
      </c>
      <c r="RUU15">
        <f ca="1"/>
        <v>0</v>
      </c>
      <c r="RUV15">
        <f ca="1"/>
        <v>0</v>
      </c>
      <c r="RUW15">
        <f ca="1"/>
        <v>0</v>
      </c>
      <c r="RUX15">
        <f ca="1"/>
        <v>0</v>
      </c>
      <c r="RUY15">
        <f ca="1"/>
        <v>0</v>
      </c>
      <c r="RUZ15">
        <f ca="1"/>
        <v>0</v>
      </c>
      <c r="RVA15">
        <f ca="1"/>
        <v>0</v>
      </c>
      <c r="RVB15">
        <f ca="1"/>
        <v>0</v>
      </c>
      <c r="RVC15">
        <f ca="1"/>
        <v>0</v>
      </c>
      <c r="RVD15">
        <f ca="1"/>
        <v>0</v>
      </c>
      <c r="RVE15">
        <f ca="1"/>
        <v>0</v>
      </c>
      <c r="RVF15">
        <f ca="1"/>
        <v>0</v>
      </c>
      <c r="RVG15">
        <f ca="1"/>
        <v>0</v>
      </c>
      <c r="RVH15">
        <f ca="1"/>
        <v>0</v>
      </c>
      <c r="RVI15">
        <f ca="1"/>
        <v>0</v>
      </c>
      <c r="RVJ15">
        <f ca="1"/>
        <v>0</v>
      </c>
      <c r="RVK15">
        <f ca="1"/>
        <v>0</v>
      </c>
      <c r="RVL15">
        <f ca="1"/>
        <v>0</v>
      </c>
      <c r="RVM15">
        <f ca="1"/>
        <v>0</v>
      </c>
      <c r="RVN15">
        <f ca="1"/>
        <v>0</v>
      </c>
      <c r="RVO15">
        <f ca="1"/>
        <v>0</v>
      </c>
      <c r="RVP15">
        <f ca="1"/>
        <v>0</v>
      </c>
      <c r="RVQ15">
        <f ca="1"/>
        <v>0</v>
      </c>
      <c r="RVR15">
        <f ca="1"/>
        <v>0</v>
      </c>
      <c r="RVS15">
        <f ca="1"/>
        <v>0</v>
      </c>
      <c r="RVT15">
        <f ca="1"/>
        <v>0</v>
      </c>
      <c r="RVU15">
        <f ca="1"/>
        <v>0</v>
      </c>
      <c r="RVV15">
        <f ca="1"/>
        <v>0</v>
      </c>
      <c r="RVW15">
        <f ca="1"/>
        <v>0</v>
      </c>
      <c r="RVX15">
        <f ca="1"/>
        <v>0</v>
      </c>
      <c r="RVY15">
        <f ca="1"/>
        <v>0</v>
      </c>
      <c r="RVZ15">
        <f ca="1"/>
        <v>0</v>
      </c>
      <c r="RWA15">
        <f ca="1"/>
        <v>0</v>
      </c>
      <c r="RWB15">
        <f ca="1"/>
        <v>0</v>
      </c>
      <c r="RWC15">
        <f ca="1"/>
        <v>0</v>
      </c>
      <c r="RWD15">
        <f ca="1"/>
        <v>0</v>
      </c>
      <c r="RWE15">
        <f ca="1"/>
        <v>0</v>
      </c>
      <c r="RWF15">
        <f ca="1"/>
        <v>0</v>
      </c>
      <c r="RWG15">
        <f ca="1"/>
        <v>0</v>
      </c>
      <c r="RWH15">
        <f ca="1"/>
        <v>0</v>
      </c>
      <c r="RWI15">
        <f ca="1"/>
        <v>0</v>
      </c>
      <c r="RWJ15">
        <f ca="1"/>
        <v>0</v>
      </c>
      <c r="RWK15">
        <f ca="1"/>
        <v>0</v>
      </c>
      <c r="RWL15">
        <f ca="1"/>
        <v>0</v>
      </c>
      <c r="RWM15">
        <f ca="1"/>
        <v>0</v>
      </c>
      <c r="RWN15">
        <f ca="1"/>
        <v>0</v>
      </c>
      <c r="RWO15">
        <f ca="1"/>
        <v>0</v>
      </c>
      <c r="RWP15">
        <f ca="1"/>
        <v>0</v>
      </c>
      <c r="RWQ15">
        <f ca="1"/>
        <v>0</v>
      </c>
      <c r="RWR15">
        <f ca="1"/>
        <v>0</v>
      </c>
      <c r="RWS15">
        <f ca="1"/>
        <v>0</v>
      </c>
      <c r="RWT15">
        <f ca="1"/>
        <v>0</v>
      </c>
      <c r="RWU15">
        <f ca="1"/>
        <v>0</v>
      </c>
      <c r="RWV15">
        <f ca="1"/>
        <v>0</v>
      </c>
      <c r="RWW15">
        <f ca="1"/>
        <v>0</v>
      </c>
      <c r="RWX15">
        <f ca="1"/>
        <v>0</v>
      </c>
      <c r="RWY15">
        <f ca="1"/>
        <v>0</v>
      </c>
      <c r="RWZ15">
        <f ca="1"/>
        <v>0</v>
      </c>
      <c r="RXA15">
        <f ca="1"/>
        <v>0</v>
      </c>
      <c r="RXB15">
        <f ca="1"/>
        <v>0</v>
      </c>
      <c r="RXC15">
        <f ca="1"/>
        <v>0</v>
      </c>
      <c r="RXD15">
        <f ca="1"/>
        <v>0</v>
      </c>
      <c r="RXE15">
        <f ca="1"/>
        <v>0</v>
      </c>
      <c r="RXF15">
        <f ca="1"/>
        <v>0</v>
      </c>
      <c r="RXG15">
        <f ca="1"/>
        <v>0</v>
      </c>
      <c r="RXH15">
        <f ca="1"/>
        <v>0</v>
      </c>
      <c r="RXI15">
        <f ca="1"/>
        <v>0</v>
      </c>
      <c r="RXJ15">
        <f ca="1"/>
        <v>0</v>
      </c>
      <c r="RXK15">
        <f ca="1"/>
        <v>0</v>
      </c>
      <c r="RXL15">
        <f ca="1"/>
        <v>0</v>
      </c>
      <c r="RXM15">
        <f ca="1"/>
        <v>0</v>
      </c>
      <c r="RXN15">
        <f ca="1"/>
        <v>0</v>
      </c>
      <c r="RXO15">
        <f ca="1"/>
        <v>0</v>
      </c>
      <c r="RXP15">
        <f ca="1"/>
        <v>0</v>
      </c>
      <c r="RXQ15">
        <f ca="1"/>
        <v>0</v>
      </c>
      <c r="RXR15">
        <f ca="1"/>
        <v>0</v>
      </c>
      <c r="RXS15">
        <f ca="1"/>
        <v>0</v>
      </c>
      <c r="RXT15">
        <f ca="1"/>
        <v>0</v>
      </c>
      <c r="RXU15">
        <f ca="1"/>
        <v>0</v>
      </c>
      <c r="RXV15">
        <f ca="1"/>
        <v>0</v>
      </c>
      <c r="RXW15">
        <f ca="1"/>
        <v>0</v>
      </c>
      <c r="RXX15">
        <f ca="1"/>
        <v>0</v>
      </c>
      <c r="RXY15">
        <f ca="1"/>
        <v>0</v>
      </c>
      <c r="RXZ15">
        <f ca="1"/>
        <v>0</v>
      </c>
      <c r="RYA15">
        <f ca="1"/>
        <v>0</v>
      </c>
      <c r="RYB15">
        <f ca="1"/>
        <v>0</v>
      </c>
      <c r="RYC15">
        <f ca="1"/>
        <v>0</v>
      </c>
      <c r="RYD15">
        <f ca="1"/>
        <v>0</v>
      </c>
      <c r="RYE15">
        <f ca="1"/>
        <v>0</v>
      </c>
      <c r="RYF15">
        <f ca="1"/>
        <v>0</v>
      </c>
      <c r="RYG15">
        <f ca="1"/>
        <v>0</v>
      </c>
      <c r="RYH15">
        <f ca="1"/>
        <v>0</v>
      </c>
      <c r="RYI15">
        <f ca="1"/>
        <v>0</v>
      </c>
      <c r="RYJ15">
        <f ca="1"/>
        <v>0</v>
      </c>
      <c r="RYK15">
        <f ca="1"/>
        <v>0</v>
      </c>
      <c r="RYL15">
        <f ca="1"/>
        <v>0</v>
      </c>
      <c r="RYM15">
        <f ca="1"/>
        <v>0</v>
      </c>
      <c r="RYN15">
        <f ca="1"/>
        <v>0</v>
      </c>
      <c r="RYO15">
        <f ca="1"/>
        <v>0</v>
      </c>
      <c r="RYP15">
        <f ca="1"/>
        <v>0</v>
      </c>
      <c r="RYQ15">
        <f ca="1"/>
        <v>0</v>
      </c>
      <c r="RYR15">
        <f ca="1"/>
        <v>0</v>
      </c>
      <c r="RYS15">
        <f ca="1"/>
        <v>0</v>
      </c>
      <c r="RYT15">
        <f ca="1"/>
        <v>0</v>
      </c>
      <c r="RYU15">
        <f ca="1"/>
        <v>0</v>
      </c>
      <c r="RYV15">
        <f ca="1"/>
        <v>0</v>
      </c>
      <c r="RYW15">
        <f ca="1"/>
        <v>0</v>
      </c>
      <c r="RYX15">
        <f ca="1"/>
        <v>0</v>
      </c>
      <c r="RYY15">
        <f ca="1"/>
        <v>0</v>
      </c>
      <c r="RYZ15">
        <f ca="1"/>
        <v>0</v>
      </c>
      <c r="RZA15">
        <f ca="1"/>
        <v>0</v>
      </c>
      <c r="RZB15">
        <f ca="1"/>
        <v>0</v>
      </c>
      <c r="RZC15">
        <f ca="1"/>
        <v>0</v>
      </c>
      <c r="RZD15">
        <f ca="1"/>
        <v>0</v>
      </c>
      <c r="RZE15">
        <f ca="1"/>
        <v>0</v>
      </c>
      <c r="RZF15">
        <f ca="1"/>
        <v>0</v>
      </c>
      <c r="RZG15">
        <f ca="1"/>
        <v>0</v>
      </c>
      <c r="RZH15">
        <f ca="1"/>
        <v>0</v>
      </c>
      <c r="RZI15">
        <f ca="1"/>
        <v>0</v>
      </c>
      <c r="RZJ15">
        <f ca="1"/>
        <v>0</v>
      </c>
      <c r="RZK15">
        <f ca="1"/>
        <v>0</v>
      </c>
      <c r="RZL15">
        <f ca="1"/>
        <v>0</v>
      </c>
      <c r="RZM15">
        <f ca="1"/>
        <v>0</v>
      </c>
      <c r="RZN15">
        <f ca="1"/>
        <v>0</v>
      </c>
      <c r="RZO15">
        <f ca="1"/>
        <v>0</v>
      </c>
      <c r="RZP15">
        <f ca="1"/>
        <v>0</v>
      </c>
      <c r="RZQ15">
        <f ca="1"/>
        <v>0</v>
      </c>
      <c r="RZR15">
        <f ca="1"/>
        <v>0</v>
      </c>
      <c r="RZS15">
        <f ca="1"/>
        <v>0</v>
      </c>
      <c r="RZT15">
        <f ca="1"/>
        <v>0</v>
      </c>
      <c r="RZU15">
        <f ca="1"/>
        <v>0</v>
      </c>
      <c r="RZV15">
        <f ca="1"/>
        <v>0</v>
      </c>
      <c r="RZW15">
        <f ca="1"/>
        <v>0</v>
      </c>
      <c r="RZX15">
        <f ca="1"/>
        <v>0</v>
      </c>
      <c r="RZY15">
        <f ca="1"/>
        <v>0</v>
      </c>
      <c r="RZZ15">
        <f ca="1"/>
        <v>0</v>
      </c>
      <c r="SAA15">
        <f ca="1"/>
        <v>0</v>
      </c>
      <c r="SAB15">
        <f ca="1"/>
        <v>0</v>
      </c>
      <c r="SAC15">
        <f ca="1"/>
        <v>0</v>
      </c>
      <c r="SAD15">
        <f ca="1"/>
        <v>0</v>
      </c>
      <c r="SAE15">
        <f ca="1"/>
        <v>0</v>
      </c>
      <c r="SAF15">
        <f ca="1"/>
        <v>0</v>
      </c>
      <c r="SAG15">
        <f ca="1"/>
        <v>0</v>
      </c>
      <c r="SAH15">
        <f ca="1"/>
        <v>0</v>
      </c>
      <c r="SAI15">
        <f ca="1"/>
        <v>0</v>
      </c>
      <c r="SAJ15">
        <f ca="1"/>
        <v>0</v>
      </c>
      <c r="SAK15">
        <f ca="1"/>
        <v>0</v>
      </c>
      <c r="SAL15">
        <f ca="1"/>
        <v>0</v>
      </c>
      <c r="SAM15">
        <f ca="1"/>
        <v>0</v>
      </c>
      <c r="SAN15">
        <f ca="1"/>
        <v>0</v>
      </c>
      <c r="SAO15">
        <f ca="1"/>
        <v>0</v>
      </c>
      <c r="SAP15">
        <f ca="1"/>
        <v>0</v>
      </c>
      <c r="SAQ15">
        <f ca="1"/>
        <v>0</v>
      </c>
      <c r="SAR15">
        <f ca="1"/>
        <v>0</v>
      </c>
      <c r="SAS15">
        <f ca="1"/>
        <v>0</v>
      </c>
      <c r="SAT15">
        <f ca="1"/>
        <v>0</v>
      </c>
      <c r="SAU15">
        <f ca="1"/>
        <v>0</v>
      </c>
      <c r="SAV15">
        <f ca="1"/>
        <v>0</v>
      </c>
      <c r="SAW15">
        <f ca="1"/>
        <v>0</v>
      </c>
      <c r="SAX15">
        <f ca="1"/>
        <v>0</v>
      </c>
      <c r="SAY15">
        <f ca="1"/>
        <v>0</v>
      </c>
      <c r="SAZ15">
        <f ca="1"/>
        <v>0</v>
      </c>
      <c r="SBA15">
        <f ca="1"/>
        <v>0</v>
      </c>
      <c r="SBB15">
        <f ca="1"/>
        <v>0</v>
      </c>
      <c r="SBC15">
        <f ca="1"/>
        <v>0</v>
      </c>
      <c r="SBD15">
        <f ca="1"/>
        <v>0</v>
      </c>
      <c r="SBE15">
        <f ca="1"/>
        <v>0</v>
      </c>
      <c r="SBF15">
        <f ca="1"/>
        <v>0</v>
      </c>
      <c r="SBG15">
        <f ca="1"/>
        <v>0</v>
      </c>
      <c r="SBH15">
        <f ca="1"/>
        <v>0</v>
      </c>
      <c r="SBI15">
        <f ca="1"/>
        <v>0</v>
      </c>
      <c r="SBJ15">
        <f ca="1"/>
        <v>0</v>
      </c>
      <c r="SBK15">
        <f ca="1"/>
        <v>0</v>
      </c>
      <c r="SBL15">
        <f ca="1"/>
        <v>0</v>
      </c>
      <c r="SBM15">
        <f ca="1"/>
        <v>0</v>
      </c>
      <c r="SBN15">
        <f ca="1"/>
        <v>0</v>
      </c>
      <c r="SBO15">
        <f ca="1"/>
        <v>0</v>
      </c>
      <c r="SBP15">
        <f ca="1"/>
        <v>0</v>
      </c>
      <c r="SBQ15">
        <f ca="1"/>
        <v>0</v>
      </c>
      <c r="SBR15">
        <f ca="1"/>
        <v>0</v>
      </c>
      <c r="SBS15">
        <f ca="1"/>
        <v>0</v>
      </c>
      <c r="SBT15">
        <f ca="1"/>
        <v>0</v>
      </c>
      <c r="SBU15">
        <f ca="1"/>
        <v>0</v>
      </c>
      <c r="SBV15">
        <f ca="1"/>
        <v>0</v>
      </c>
      <c r="SBW15">
        <f ca="1"/>
        <v>0</v>
      </c>
      <c r="SBX15">
        <f ca="1"/>
        <v>0</v>
      </c>
      <c r="SBY15">
        <f ca="1"/>
        <v>0</v>
      </c>
      <c r="SBZ15">
        <f ca="1"/>
        <v>0</v>
      </c>
      <c r="SCA15">
        <f ca="1"/>
        <v>0</v>
      </c>
      <c r="SCB15">
        <f ca="1"/>
        <v>0</v>
      </c>
      <c r="SCC15">
        <f ca="1"/>
        <v>0</v>
      </c>
      <c r="SCD15">
        <f ca="1"/>
        <v>0</v>
      </c>
      <c r="SCE15">
        <f ca="1"/>
        <v>0</v>
      </c>
      <c r="SCF15">
        <f ca="1"/>
        <v>0</v>
      </c>
      <c r="SCG15">
        <f ca="1"/>
        <v>0</v>
      </c>
      <c r="SCH15">
        <f ca="1"/>
        <v>0</v>
      </c>
      <c r="SCI15">
        <f ca="1"/>
        <v>0</v>
      </c>
      <c r="SCJ15">
        <f ca="1"/>
        <v>0</v>
      </c>
      <c r="SCK15">
        <f ca="1"/>
        <v>0</v>
      </c>
      <c r="SCL15">
        <f ca="1"/>
        <v>0</v>
      </c>
      <c r="SCM15">
        <f ca="1"/>
        <v>0</v>
      </c>
      <c r="SCN15">
        <f ca="1"/>
        <v>0</v>
      </c>
      <c r="SCO15">
        <f ca="1"/>
        <v>0</v>
      </c>
      <c r="SCP15">
        <f ca="1"/>
        <v>0</v>
      </c>
      <c r="SCQ15">
        <f ca="1"/>
        <v>0</v>
      </c>
      <c r="SCR15">
        <f ca="1"/>
        <v>0</v>
      </c>
      <c r="SCS15">
        <f ca="1"/>
        <v>0</v>
      </c>
      <c r="SCT15">
        <f ca="1"/>
        <v>0</v>
      </c>
      <c r="SCU15">
        <f ca="1"/>
        <v>0</v>
      </c>
      <c r="SCV15">
        <f ca="1"/>
        <v>0</v>
      </c>
      <c r="SCW15">
        <f ca="1"/>
        <v>0</v>
      </c>
      <c r="SCX15">
        <f ca="1"/>
        <v>0</v>
      </c>
      <c r="SCY15">
        <f ca="1"/>
        <v>0</v>
      </c>
      <c r="SCZ15">
        <f ca="1"/>
        <v>0</v>
      </c>
      <c r="SDA15">
        <f ca="1"/>
        <v>0</v>
      </c>
      <c r="SDB15">
        <f ca="1"/>
        <v>0</v>
      </c>
      <c r="SDC15">
        <f ca="1"/>
        <v>0</v>
      </c>
      <c r="SDD15">
        <f ca="1"/>
        <v>0</v>
      </c>
      <c r="SDE15">
        <f ca="1"/>
        <v>0</v>
      </c>
      <c r="SDF15">
        <f ca="1"/>
        <v>0</v>
      </c>
      <c r="SDG15">
        <f ca="1"/>
        <v>0</v>
      </c>
      <c r="SDH15">
        <f ca="1"/>
        <v>0</v>
      </c>
      <c r="SDI15">
        <f ca="1"/>
        <v>0</v>
      </c>
      <c r="SDJ15">
        <f ca="1"/>
        <v>0</v>
      </c>
      <c r="SDK15">
        <f ca="1"/>
        <v>0</v>
      </c>
      <c r="SDL15">
        <f ca="1"/>
        <v>0</v>
      </c>
      <c r="SDM15">
        <f ca="1"/>
        <v>0</v>
      </c>
      <c r="SDN15">
        <f ca="1"/>
        <v>0</v>
      </c>
      <c r="SDO15">
        <f ca="1"/>
        <v>0</v>
      </c>
      <c r="SDP15">
        <f ca="1"/>
        <v>0</v>
      </c>
      <c r="SDQ15">
        <f ca="1"/>
        <v>0</v>
      </c>
      <c r="SDR15">
        <f ca="1"/>
        <v>0</v>
      </c>
      <c r="SDS15">
        <f ca="1"/>
        <v>0</v>
      </c>
      <c r="SDT15">
        <f ca="1"/>
        <v>0</v>
      </c>
      <c r="SDU15">
        <f ca="1"/>
        <v>0</v>
      </c>
      <c r="SDV15">
        <f ca="1"/>
        <v>0</v>
      </c>
      <c r="SDW15">
        <f ca="1"/>
        <v>0</v>
      </c>
      <c r="SDX15">
        <f ca="1"/>
        <v>0</v>
      </c>
      <c r="SDY15">
        <f ca="1"/>
        <v>0</v>
      </c>
      <c r="SDZ15">
        <f ca="1"/>
        <v>0</v>
      </c>
      <c r="SEA15">
        <f ca="1"/>
        <v>0</v>
      </c>
      <c r="SEB15">
        <f ca="1"/>
        <v>0</v>
      </c>
      <c r="SEC15">
        <f ca="1"/>
        <v>0</v>
      </c>
      <c r="SED15">
        <f ca="1"/>
        <v>0</v>
      </c>
      <c r="SEE15">
        <f ca="1"/>
        <v>0</v>
      </c>
      <c r="SEF15">
        <f ca="1"/>
        <v>0</v>
      </c>
      <c r="SEG15">
        <f ca="1"/>
        <v>0</v>
      </c>
      <c r="SEH15">
        <f ca="1"/>
        <v>0</v>
      </c>
      <c r="SEI15">
        <f ca="1"/>
        <v>0</v>
      </c>
      <c r="SEJ15">
        <f ca="1"/>
        <v>0</v>
      </c>
      <c r="SEK15">
        <f ca="1"/>
        <v>0</v>
      </c>
      <c r="SEL15">
        <f ca="1"/>
        <v>0</v>
      </c>
      <c r="SEM15">
        <f ca="1"/>
        <v>0</v>
      </c>
      <c r="SEN15">
        <f ca="1"/>
        <v>0</v>
      </c>
      <c r="SEO15">
        <f ca="1"/>
        <v>0</v>
      </c>
      <c r="SEP15">
        <f ca="1"/>
        <v>0</v>
      </c>
      <c r="SEQ15">
        <f ca="1"/>
        <v>0</v>
      </c>
      <c r="SER15">
        <f ca="1"/>
        <v>0</v>
      </c>
      <c r="SES15">
        <f ca="1"/>
        <v>0</v>
      </c>
      <c r="SET15">
        <f ca="1"/>
        <v>0</v>
      </c>
      <c r="SEU15">
        <f ca="1"/>
        <v>0</v>
      </c>
      <c r="SEV15">
        <f ca="1"/>
        <v>0</v>
      </c>
      <c r="SEW15">
        <f ca="1"/>
        <v>0</v>
      </c>
      <c r="SEX15">
        <f ca="1"/>
        <v>0</v>
      </c>
      <c r="SEY15">
        <f ca="1"/>
        <v>0</v>
      </c>
      <c r="SEZ15">
        <f ca="1"/>
        <v>0</v>
      </c>
      <c r="SFA15">
        <f ca="1"/>
        <v>0</v>
      </c>
      <c r="SFB15">
        <f ca="1"/>
        <v>0</v>
      </c>
      <c r="SFC15">
        <f ca="1"/>
        <v>0</v>
      </c>
      <c r="SFD15">
        <f ca="1"/>
        <v>0</v>
      </c>
      <c r="SFE15">
        <f ca="1"/>
        <v>0</v>
      </c>
      <c r="SFF15">
        <f ca="1"/>
        <v>0</v>
      </c>
      <c r="SFG15">
        <f ca="1"/>
        <v>0</v>
      </c>
      <c r="SFH15">
        <f ca="1"/>
        <v>0</v>
      </c>
      <c r="SFI15">
        <f ca="1"/>
        <v>0</v>
      </c>
      <c r="SFJ15">
        <f ca="1"/>
        <v>0</v>
      </c>
      <c r="SFK15">
        <f ca="1"/>
        <v>0</v>
      </c>
      <c r="SFL15">
        <f ca="1"/>
        <v>0</v>
      </c>
      <c r="SFM15">
        <f ca="1"/>
        <v>0</v>
      </c>
      <c r="SFN15">
        <f ca="1"/>
        <v>0</v>
      </c>
      <c r="SFO15">
        <f ca="1"/>
        <v>0</v>
      </c>
      <c r="SFP15">
        <f ca="1"/>
        <v>0</v>
      </c>
      <c r="SFQ15">
        <f ca="1"/>
        <v>0</v>
      </c>
      <c r="SFR15">
        <f ca="1"/>
        <v>0</v>
      </c>
      <c r="SFS15">
        <f ca="1"/>
        <v>0</v>
      </c>
      <c r="SFT15">
        <f ca="1"/>
        <v>0</v>
      </c>
      <c r="SFU15">
        <f ca="1"/>
        <v>0</v>
      </c>
      <c r="SFV15">
        <f ca="1"/>
        <v>0</v>
      </c>
      <c r="SFW15">
        <f ca="1"/>
        <v>0</v>
      </c>
      <c r="SFX15">
        <f ca="1"/>
        <v>0</v>
      </c>
      <c r="SFY15">
        <f ca="1"/>
        <v>0</v>
      </c>
      <c r="SFZ15">
        <f ca="1"/>
        <v>0</v>
      </c>
      <c r="SGA15">
        <f ca="1"/>
        <v>0</v>
      </c>
      <c r="SGB15">
        <f ca="1"/>
        <v>0</v>
      </c>
      <c r="SGC15">
        <f ca="1"/>
        <v>0</v>
      </c>
      <c r="SGD15">
        <f ca="1"/>
        <v>0</v>
      </c>
      <c r="SGE15">
        <f ca="1"/>
        <v>0</v>
      </c>
      <c r="SGF15">
        <f ca="1"/>
        <v>0</v>
      </c>
      <c r="SGG15">
        <f ca="1"/>
        <v>0</v>
      </c>
      <c r="SGH15">
        <f ca="1"/>
        <v>0</v>
      </c>
      <c r="SGI15">
        <f ca="1"/>
        <v>0</v>
      </c>
      <c r="SGJ15">
        <f ca="1"/>
        <v>0</v>
      </c>
      <c r="SGK15">
        <f ca="1"/>
        <v>0</v>
      </c>
      <c r="SGL15">
        <f ca="1"/>
        <v>0</v>
      </c>
      <c r="SGM15">
        <f ca="1"/>
        <v>0</v>
      </c>
      <c r="SGN15">
        <f ca="1"/>
        <v>0</v>
      </c>
      <c r="SGO15">
        <f ca="1"/>
        <v>0</v>
      </c>
      <c r="SGP15">
        <f ca="1"/>
        <v>0</v>
      </c>
      <c r="SGQ15">
        <f ca="1"/>
        <v>0</v>
      </c>
      <c r="SGR15">
        <f ca="1"/>
        <v>0</v>
      </c>
      <c r="SGS15">
        <f ca="1"/>
        <v>0</v>
      </c>
      <c r="SGT15">
        <f ca="1"/>
        <v>0</v>
      </c>
      <c r="SGU15">
        <f ca="1"/>
        <v>0</v>
      </c>
      <c r="SGV15">
        <f ca="1"/>
        <v>0</v>
      </c>
      <c r="SGW15">
        <f ca="1"/>
        <v>0</v>
      </c>
      <c r="SGX15">
        <f ca="1"/>
        <v>0</v>
      </c>
      <c r="SGY15">
        <f ca="1"/>
        <v>0</v>
      </c>
      <c r="SGZ15">
        <f ca="1"/>
        <v>0</v>
      </c>
      <c r="SHA15">
        <f ca="1"/>
        <v>0</v>
      </c>
      <c r="SHB15">
        <f ca="1"/>
        <v>0</v>
      </c>
      <c r="SHC15">
        <f ca="1"/>
        <v>0</v>
      </c>
      <c r="SHD15">
        <f ca="1"/>
        <v>0</v>
      </c>
      <c r="SHE15">
        <f ca="1"/>
        <v>0</v>
      </c>
      <c r="SHF15">
        <f ca="1"/>
        <v>0</v>
      </c>
      <c r="SHG15">
        <f ca="1"/>
        <v>0</v>
      </c>
      <c r="SHH15">
        <f ca="1"/>
        <v>0</v>
      </c>
      <c r="SHI15">
        <f ca="1"/>
        <v>0</v>
      </c>
      <c r="SHJ15">
        <f ca="1"/>
        <v>0</v>
      </c>
      <c r="SHK15">
        <f ca="1"/>
        <v>0</v>
      </c>
      <c r="SHL15">
        <f ca="1"/>
        <v>0</v>
      </c>
      <c r="SHM15">
        <f ca="1"/>
        <v>0</v>
      </c>
      <c r="SHN15">
        <f ca="1"/>
        <v>0</v>
      </c>
      <c r="SHO15">
        <f ca="1"/>
        <v>0</v>
      </c>
      <c r="SHP15">
        <f ca="1"/>
        <v>0</v>
      </c>
      <c r="SHQ15">
        <f ca="1"/>
        <v>0</v>
      </c>
      <c r="SHR15">
        <f ca="1"/>
        <v>0</v>
      </c>
      <c r="SHS15">
        <f ca="1"/>
        <v>0</v>
      </c>
      <c r="SHT15">
        <f ca="1"/>
        <v>0</v>
      </c>
      <c r="SHU15">
        <f ca="1"/>
        <v>0</v>
      </c>
      <c r="SHV15">
        <f ca="1"/>
        <v>0</v>
      </c>
      <c r="SHW15">
        <f ca="1"/>
        <v>0</v>
      </c>
      <c r="SHX15">
        <f ca="1"/>
        <v>0</v>
      </c>
      <c r="SHY15">
        <f ca="1"/>
        <v>0</v>
      </c>
      <c r="SHZ15">
        <f ca="1"/>
        <v>0</v>
      </c>
      <c r="SIA15">
        <f ca="1"/>
        <v>0</v>
      </c>
      <c r="SIB15">
        <f ca="1"/>
        <v>0</v>
      </c>
      <c r="SIC15">
        <f ca="1"/>
        <v>0</v>
      </c>
      <c r="SID15">
        <f ca="1"/>
        <v>0</v>
      </c>
      <c r="SIE15">
        <f ca="1"/>
        <v>0</v>
      </c>
      <c r="SIF15">
        <f ca="1"/>
        <v>0</v>
      </c>
      <c r="SIG15">
        <f ca="1"/>
        <v>0</v>
      </c>
      <c r="SIH15">
        <f ca="1"/>
        <v>0</v>
      </c>
      <c r="SII15">
        <f ca="1"/>
        <v>0</v>
      </c>
      <c r="SIJ15">
        <f ca="1"/>
        <v>0</v>
      </c>
      <c r="SIK15">
        <f ca="1"/>
        <v>0</v>
      </c>
      <c r="SIL15">
        <f ca="1"/>
        <v>0</v>
      </c>
      <c r="SIM15">
        <f ca="1"/>
        <v>0</v>
      </c>
      <c r="SIN15">
        <f ca="1"/>
        <v>0</v>
      </c>
      <c r="SIO15">
        <f ca="1"/>
        <v>0</v>
      </c>
      <c r="SIP15">
        <f ca="1"/>
        <v>0</v>
      </c>
      <c r="SIQ15">
        <f ca="1"/>
        <v>0</v>
      </c>
      <c r="SIR15">
        <f ca="1"/>
        <v>0</v>
      </c>
      <c r="SIS15">
        <f ca="1"/>
        <v>0</v>
      </c>
      <c r="SIT15">
        <f ca="1"/>
        <v>0</v>
      </c>
      <c r="SIU15">
        <f ca="1"/>
        <v>0</v>
      </c>
      <c r="SIV15">
        <f ca="1"/>
        <v>0</v>
      </c>
      <c r="SIW15">
        <f ca="1"/>
        <v>0</v>
      </c>
      <c r="SIX15">
        <f ca="1"/>
        <v>0</v>
      </c>
      <c r="SIY15">
        <f ca="1"/>
        <v>0</v>
      </c>
      <c r="SIZ15">
        <f ca="1"/>
        <v>0</v>
      </c>
      <c r="SJA15">
        <f ca="1"/>
        <v>0</v>
      </c>
      <c r="SJB15">
        <f ca="1"/>
        <v>0</v>
      </c>
      <c r="SJC15">
        <f ca="1"/>
        <v>0</v>
      </c>
      <c r="SJD15">
        <f ca="1"/>
        <v>0</v>
      </c>
      <c r="SJE15">
        <f ca="1"/>
        <v>0</v>
      </c>
      <c r="SJF15">
        <f ca="1"/>
        <v>0</v>
      </c>
      <c r="SJG15">
        <f ca="1"/>
        <v>0</v>
      </c>
      <c r="SJH15">
        <f ca="1"/>
        <v>0</v>
      </c>
      <c r="SJI15">
        <f ca="1"/>
        <v>0</v>
      </c>
      <c r="SJJ15">
        <f ca="1"/>
        <v>0</v>
      </c>
      <c r="SJK15">
        <f ca="1"/>
        <v>0</v>
      </c>
      <c r="SJL15">
        <f ca="1"/>
        <v>0</v>
      </c>
      <c r="SJM15">
        <f ca="1"/>
        <v>0</v>
      </c>
      <c r="SJN15">
        <f ca="1"/>
        <v>0</v>
      </c>
      <c r="SJO15">
        <f ca="1"/>
        <v>0</v>
      </c>
      <c r="SJP15">
        <f ca="1"/>
        <v>0</v>
      </c>
      <c r="SJQ15">
        <f ca="1"/>
        <v>0</v>
      </c>
      <c r="SJR15">
        <f ca="1"/>
        <v>0</v>
      </c>
      <c r="SJS15">
        <f ca="1"/>
        <v>0</v>
      </c>
      <c r="SJT15">
        <f ca="1"/>
        <v>0</v>
      </c>
      <c r="SJU15">
        <f ca="1"/>
        <v>0</v>
      </c>
      <c r="SJV15">
        <f ca="1"/>
        <v>0</v>
      </c>
      <c r="SJW15">
        <f ca="1"/>
        <v>0</v>
      </c>
      <c r="SJX15">
        <f ca="1"/>
        <v>0</v>
      </c>
      <c r="SJY15">
        <f ca="1"/>
        <v>0</v>
      </c>
      <c r="SJZ15">
        <f ca="1"/>
        <v>0</v>
      </c>
      <c r="SKA15">
        <f ca="1"/>
        <v>0</v>
      </c>
      <c r="SKB15">
        <f ca="1"/>
        <v>0</v>
      </c>
      <c r="SKC15">
        <f ca="1"/>
        <v>0</v>
      </c>
      <c r="SKD15">
        <f ca="1"/>
        <v>0</v>
      </c>
      <c r="SKE15">
        <f ca="1"/>
        <v>0</v>
      </c>
      <c r="SKF15">
        <f ca="1"/>
        <v>0</v>
      </c>
      <c r="SKG15">
        <f ca="1"/>
        <v>0</v>
      </c>
      <c r="SKH15">
        <f ca="1"/>
        <v>0</v>
      </c>
      <c r="SKI15">
        <f ca="1"/>
        <v>0</v>
      </c>
      <c r="SKJ15">
        <f ca="1"/>
        <v>0</v>
      </c>
      <c r="SKK15">
        <f ca="1"/>
        <v>0</v>
      </c>
      <c r="SKL15">
        <f ca="1"/>
        <v>0</v>
      </c>
      <c r="SKM15">
        <f ca="1"/>
        <v>0</v>
      </c>
      <c r="SKN15">
        <f ca="1"/>
        <v>0</v>
      </c>
      <c r="SKO15">
        <f ca="1"/>
        <v>0</v>
      </c>
      <c r="SKP15">
        <f ca="1"/>
        <v>0</v>
      </c>
      <c r="SKQ15">
        <f ca="1"/>
        <v>0</v>
      </c>
      <c r="SKR15">
        <f ca="1"/>
        <v>0</v>
      </c>
      <c r="SKS15">
        <f ca="1"/>
        <v>0</v>
      </c>
      <c r="SKT15">
        <f ca="1"/>
        <v>0</v>
      </c>
      <c r="SKU15">
        <f ca="1"/>
        <v>0</v>
      </c>
      <c r="SKV15">
        <f ca="1"/>
        <v>0</v>
      </c>
      <c r="SKW15">
        <f ca="1"/>
        <v>0</v>
      </c>
      <c r="SKX15">
        <f ca="1"/>
        <v>0</v>
      </c>
      <c r="SKY15">
        <f ca="1"/>
        <v>0</v>
      </c>
      <c r="SKZ15">
        <f ca="1"/>
        <v>0</v>
      </c>
      <c r="SLA15">
        <f ca="1"/>
        <v>0</v>
      </c>
      <c r="SLB15">
        <f ca="1"/>
        <v>0</v>
      </c>
      <c r="SLC15">
        <f ca="1"/>
        <v>0</v>
      </c>
      <c r="SLD15">
        <f ca="1"/>
        <v>0</v>
      </c>
      <c r="SLE15">
        <f ca="1"/>
        <v>0</v>
      </c>
      <c r="SLF15">
        <f ca="1"/>
        <v>0</v>
      </c>
      <c r="SLG15">
        <f ca="1"/>
        <v>0</v>
      </c>
      <c r="SLH15">
        <f ca="1"/>
        <v>0</v>
      </c>
      <c r="SLI15">
        <f ca="1"/>
        <v>0</v>
      </c>
      <c r="SLJ15">
        <f ca="1"/>
        <v>0</v>
      </c>
      <c r="SLK15">
        <f ca="1"/>
        <v>0</v>
      </c>
      <c r="SLL15">
        <f ca="1"/>
        <v>0</v>
      </c>
      <c r="SLM15">
        <f ca="1"/>
        <v>0</v>
      </c>
      <c r="SLN15">
        <f ca="1"/>
        <v>0</v>
      </c>
      <c r="SLO15">
        <f ca="1"/>
        <v>0</v>
      </c>
      <c r="SLP15">
        <f ca="1"/>
        <v>0</v>
      </c>
      <c r="SLQ15">
        <f ca="1"/>
        <v>0</v>
      </c>
      <c r="SLR15">
        <f ca="1"/>
        <v>0</v>
      </c>
      <c r="SLS15">
        <f ca="1"/>
        <v>0</v>
      </c>
      <c r="SLT15">
        <f ca="1"/>
        <v>0</v>
      </c>
      <c r="SLU15">
        <f ca="1"/>
        <v>0</v>
      </c>
      <c r="SLV15">
        <f ca="1"/>
        <v>0</v>
      </c>
      <c r="SLW15">
        <f ca="1"/>
        <v>0</v>
      </c>
      <c r="SLX15">
        <f ca="1"/>
        <v>0</v>
      </c>
      <c r="SLY15">
        <f ca="1"/>
        <v>0</v>
      </c>
      <c r="SLZ15">
        <f ca="1"/>
        <v>0</v>
      </c>
      <c r="SMA15">
        <f ca="1"/>
        <v>0</v>
      </c>
      <c r="SMB15">
        <f ca="1"/>
        <v>0</v>
      </c>
      <c r="SMC15">
        <f ca="1"/>
        <v>0</v>
      </c>
      <c r="SMD15">
        <f ca="1"/>
        <v>0</v>
      </c>
      <c r="SME15">
        <f ca="1"/>
        <v>0</v>
      </c>
      <c r="SMF15">
        <f ca="1"/>
        <v>0</v>
      </c>
      <c r="SMG15">
        <f ca="1"/>
        <v>0</v>
      </c>
      <c r="SMH15">
        <f ca="1"/>
        <v>0</v>
      </c>
      <c r="SMI15">
        <f ca="1"/>
        <v>0</v>
      </c>
      <c r="SMJ15">
        <f ca="1"/>
        <v>0</v>
      </c>
      <c r="SMK15">
        <f ca="1"/>
        <v>0</v>
      </c>
      <c r="SML15">
        <f ca="1"/>
        <v>0</v>
      </c>
      <c r="SMM15">
        <f ca="1"/>
        <v>0</v>
      </c>
      <c r="SMN15">
        <f ca="1"/>
        <v>0</v>
      </c>
      <c r="SMO15">
        <f ca="1"/>
        <v>0</v>
      </c>
      <c r="SMP15">
        <f ca="1"/>
        <v>0</v>
      </c>
      <c r="SMQ15">
        <f ca="1"/>
        <v>0</v>
      </c>
      <c r="SMR15">
        <f ca="1"/>
        <v>0</v>
      </c>
      <c r="SMS15">
        <f ca="1"/>
        <v>0</v>
      </c>
      <c r="SMT15">
        <f ca="1"/>
        <v>0</v>
      </c>
      <c r="SMU15">
        <f ca="1"/>
        <v>0</v>
      </c>
      <c r="SMV15">
        <f ca="1"/>
        <v>0</v>
      </c>
      <c r="SMW15">
        <f ca="1"/>
        <v>0</v>
      </c>
      <c r="SMX15">
        <f ca="1"/>
        <v>0</v>
      </c>
      <c r="SMY15">
        <f ca="1"/>
        <v>0</v>
      </c>
      <c r="SMZ15">
        <f ca="1"/>
        <v>0</v>
      </c>
      <c r="SNA15">
        <f ca="1"/>
        <v>0</v>
      </c>
      <c r="SNB15">
        <f ca="1"/>
        <v>0</v>
      </c>
      <c r="SNC15">
        <f ca="1"/>
        <v>0</v>
      </c>
      <c r="SND15">
        <f ca="1"/>
        <v>0</v>
      </c>
      <c r="SNE15">
        <f ca="1"/>
        <v>0</v>
      </c>
      <c r="SNF15">
        <f ca="1"/>
        <v>0</v>
      </c>
      <c r="SNG15">
        <f ca="1"/>
        <v>0</v>
      </c>
      <c r="SNH15">
        <f ca="1"/>
        <v>0</v>
      </c>
      <c r="SNI15">
        <f ca="1"/>
        <v>0</v>
      </c>
      <c r="SNJ15">
        <f ca="1"/>
        <v>0</v>
      </c>
      <c r="SNK15">
        <f ca="1"/>
        <v>0</v>
      </c>
      <c r="SNL15">
        <f ca="1"/>
        <v>0</v>
      </c>
      <c r="SNM15">
        <f ca="1"/>
        <v>0</v>
      </c>
      <c r="SNN15">
        <f ca="1"/>
        <v>0</v>
      </c>
      <c r="SNO15">
        <f ca="1"/>
        <v>0</v>
      </c>
      <c r="SNP15">
        <f ca="1"/>
        <v>0</v>
      </c>
      <c r="SNQ15">
        <f ca="1"/>
        <v>0</v>
      </c>
      <c r="SNR15">
        <f ca="1"/>
        <v>0</v>
      </c>
      <c r="SNS15">
        <f ca="1"/>
        <v>0</v>
      </c>
      <c r="SNT15">
        <f ca="1"/>
        <v>0</v>
      </c>
      <c r="SNU15">
        <f ca="1"/>
        <v>0</v>
      </c>
      <c r="SNV15">
        <f ca="1"/>
        <v>0</v>
      </c>
      <c r="SNW15">
        <f ca="1"/>
        <v>0</v>
      </c>
      <c r="SNX15">
        <f ca="1"/>
        <v>0</v>
      </c>
      <c r="SNY15">
        <f ca="1"/>
        <v>0</v>
      </c>
      <c r="SNZ15">
        <f ca="1"/>
        <v>0</v>
      </c>
      <c r="SOA15">
        <f ca="1"/>
        <v>0</v>
      </c>
      <c r="SOB15">
        <f ca="1"/>
        <v>0</v>
      </c>
      <c r="SOC15">
        <f ca="1"/>
        <v>0</v>
      </c>
      <c r="SOD15">
        <f ca="1"/>
        <v>0</v>
      </c>
      <c r="SOE15">
        <f ca="1"/>
        <v>0</v>
      </c>
      <c r="SOF15">
        <f ca="1"/>
        <v>0</v>
      </c>
      <c r="SOG15">
        <f ca="1"/>
        <v>0</v>
      </c>
      <c r="SOH15">
        <f ca="1"/>
        <v>0</v>
      </c>
      <c r="SOI15">
        <f ca="1"/>
        <v>0</v>
      </c>
      <c r="SOJ15">
        <f ca="1"/>
        <v>0</v>
      </c>
      <c r="SOK15">
        <f ca="1"/>
        <v>0</v>
      </c>
      <c r="SOL15">
        <f ca="1"/>
        <v>0</v>
      </c>
      <c r="SOM15">
        <f ca="1"/>
        <v>0</v>
      </c>
      <c r="SON15">
        <f ca="1"/>
        <v>0</v>
      </c>
      <c r="SOO15">
        <f ca="1"/>
        <v>0</v>
      </c>
      <c r="SOP15">
        <f ca="1"/>
        <v>0</v>
      </c>
      <c r="SOQ15">
        <f ca="1"/>
        <v>0</v>
      </c>
      <c r="SOR15">
        <f ca="1"/>
        <v>0</v>
      </c>
      <c r="SOS15">
        <f ca="1"/>
        <v>0</v>
      </c>
      <c r="SOT15">
        <f ca="1"/>
        <v>0</v>
      </c>
      <c r="SOU15">
        <f ca="1"/>
        <v>0</v>
      </c>
      <c r="SOV15">
        <f ca="1"/>
        <v>0</v>
      </c>
      <c r="SOW15">
        <f ca="1"/>
        <v>0</v>
      </c>
      <c r="SOX15">
        <f ca="1"/>
        <v>0</v>
      </c>
      <c r="SOY15">
        <f ca="1"/>
        <v>0</v>
      </c>
      <c r="SOZ15">
        <f ca="1"/>
        <v>0</v>
      </c>
      <c r="SPA15">
        <f ca="1"/>
        <v>0</v>
      </c>
      <c r="SPB15">
        <f ca="1"/>
        <v>0</v>
      </c>
      <c r="SPC15">
        <f ca="1"/>
        <v>0</v>
      </c>
      <c r="SPD15">
        <f ca="1"/>
        <v>0</v>
      </c>
      <c r="SPE15">
        <f ca="1"/>
        <v>0</v>
      </c>
      <c r="SPF15">
        <f ca="1"/>
        <v>0</v>
      </c>
      <c r="SPG15">
        <f ca="1"/>
        <v>0</v>
      </c>
      <c r="SPH15">
        <f ca="1"/>
        <v>0</v>
      </c>
      <c r="SPI15">
        <f ca="1"/>
        <v>0</v>
      </c>
      <c r="SPJ15">
        <f ca="1"/>
        <v>0</v>
      </c>
      <c r="SPK15">
        <f ca="1"/>
        <v>0</v>
      </c>
      <c r="SPL15">
        <f ca="1"/>
        <v>0</v>
      </c>
      <c r="SPM15">
        <f ca="1"/>
        <v>0</v>
      </c>
      <c r="SPN15">
        <f ca="1"/>
        <v>0</v>
      </c>
      <c r="SPO15">
        <f ca="1"/>
        <v>0</v>
      </c>
      <c r="SPP15">
        <f ca="1"/>
        <v>0</v>
      </c>
      <c r="SPQ15">
        <f ca="1"/>
        <v>0</v>
      </c>
      <c r="SPR15">
        <f ca="1"/>
        <v>0</v>
      </c>
      <c r="SPS15">
        <f ca="1"/>
        <v>0</v>
      </c>
      <c r="SPT15">
        <f ca="1"/>
        <v>0</v>
      </c>
      <c r="SPU15">
        <f ca="1"/>
        <v>0</v>
      </c>
      <c r="SPV15">
        <f ca="1"/>
        <v>0</v>
      </c>
      <c r="SPW15">
        <f ca="1"/>
        <v>0</v>
      </c>
      <c r="SPX15">
        <f ca="1"/>
        <v>0</v>
      </c>
      <c r="SPY15">
        <f ca="1"/>
        <v>0</v>
      </c>
      <c r="SPZ15">
        <f ca="1"/>
        <v>0</v>
      </c>
      <c r="SQA15">
        <f ca="1"/>
        <v>0</v>
      </c>
      <c r="SQB15">
        <f ca="1"/>
        <v>0</v>
      </c>
      <c r="SQC15">
        <f ca="1"/>
        <v>0</v>
      </c>
      <c r="SQD15">
        <f ca="1"/>
        <v>0</v>
      </c>
      <c r="SQE15">
        <f ca="1"/>
        <v>0</v>
      </c>
      <c r="SQF15">
        <f ca="1"/>
        <v>0</v>
      </c>
      <c r="SQG15">
        <f ca="1"/>
        <v>0</v>
      </c>
      <c r="SQH15">
        <f ca="1"/>
        <v>0</v>
      </c>
      <c r="SQI15">
        <f ca="1"/>
        <v>0</v>
      </c>
      <c r="SQJ15">
        <f ca="1"/>
        <v>0</v>
      </c>
      <c r="SQK15">
        <f ca="1"/>
        <v>0</v>
      </c>
      <c r="SQL15">
        <f ca="1"/>
        <v>0</v>
      </c>
      <c r="SQM15">
        <f ca="1"/>
        <v>0</v>
      </c>
      <c r="SQN15">
        <f ca="1"/>
        <v>0</v>
      </c>
      <c r="SQO15">
        <f ca="1"/>
        <v>0</v>
      </c>
      <c r="SQP15">
        <f ca="1"/>
        <v>0</v>
      </c>
      <c r="SQQ15">
        <f ca="1"/>
        <v>0</v>
      </c>
      <c r="SQR15">
        <f ca="1"/>
        <v>0</v>
      </c>
      <c r="SQS15">
        <f ca="1"/>
        <v>0</v>
      </c>
      <c r="SQT15">
        <f ca="1"/>
        <v>0</v>
      </c>
      <c r="SQU15">
        <f ca="1"/>
        <v>0</v>
      </c>
      <c r="SQV15">
        <f ca="1"/>
        <v>0</v>
      </c>
      <c r="SQW15">
        <f ca="1"/>
        <v>0</v>
      </c>
      <c r="SQX15">
        <f ca="1"/>
        <v>0</v>
      </c>
      <c r="SQY15">
        <f ca="1"/>
        <v>0</v>
      </c>
      <c r="SQZ15">
        <f ca="1"/>
        <v>0</v>
      </c>
      <c r="SRA15">
        <f ca="1"/>
        <v>0</v>
      </c>
      <c r="SRB15">
        <f ca="1"/>
        <v>0</v>
      </c>
      <c r="SRC15">
        <f ca="1"/>
        <v>0</v>
      </c>
      <c r="SRD15">
        <f ca="1"/>
        <v>0</v>
      </c>
      <c r="SRE15">
        <f ca="1"/>
        <v>0</v>
      </c>
      <c r="SRF15">
        <f ca="1"/>
        <v>0</v>
      </c>
      <c r="SRG15">
        <f ca="1"/>
        <v>0</v>
      </c>
      <c r="SRH15">
        <f ca="1"/>
        <v>0</v>
      </c>
      <c r="SRI15">
        <f ca="1"/>
        <v>0</v>
      </c>
      <c r="SRJ15">
        <f ca="1"/>
        <v>0</v>
      </c>
      <c r="SRK15">
        <f ca="1"/>
        <v>0</v>
      </c>
      <c r="SRL15">
        <f ca="1"/>
        <v>0</v>
      </c>
      <c r="SRM15">
        <f ca="1"/>
        <v>0</v>
      </c>
      <c r="SRN15">
        <f ca="1"/>
        <v>0</v>
      </c>
      <c r="SRO15">
        <f ca="1"/>
        <v>0</v>
      </c>
      <c r="SRP15">
        <f ca="1"/>
        <v>0</v>
      </c>
      <c r="SRQ15">
        <f ca="1"/>
        <v>0</v>
      </c>
      <c r="SRR15">
        <f ca="1"/>
        <v>0</v>
      </c>
      <c r="SRS15">
        <f ca="1"/>
        <v>0</v>
      </c>
      <c r="SRT15">
        <f ca="1"/>
        <v>0</v>
      </c>
      <c r="SRU15">
        <f ca="1"/>
        <v>0</v>
      </c>
      <c r="SRV15">
        <f ca="1"/>
        <v>0</v>
      </c>
      <c r="SRW15">
        <f ca="1"/>
        <v>0</v>
      </c>
      <c r="SRX15">
        <f ca="1"/>
        <v>0</v>
      </c>
      <c r="SRY15">
        <f ca="1"/>
        <v>0</v>
      </c>
      <c r="SRZ15">
        <f ca="1"/>
        <v>0</v>
      </c>
      <c r="SSA15">
        <f ca="1"/>
        <v>0</v>
      </c>
      <c r="SSB15">
        <f ca="1"/>
        <v>0</v>
      </c>
      <c r="SSC15">
        <f ca="1"/>
        <v>0</v>
      </c>
      <c r="SSD15">
        <f ca="1"/>
        <v>0</v>
      </c>
      <c r="SSE15">
        <f ca="1"/>
        <v>0</v>
      </c>
      <c r="SSF15">
        <f ca="1"/>
        <v>0</v>
      </c>
      <c r="SSG15">
        <f ca="1"/>
        <v>0</v>
      </c>
      <c r="SSH15">
        <f ca="1"/>
        <v>0</v>
      </c>
      <c r="SSI15">
        <f ca="1"/>
        <v>0</v>
      </c>
      <c r="SSJ15">
        <f ca="1"/>
        <v>0</v>
      </c>
      <c r="SSK15">
        <f ca="1"/>
        <v>0</v>
      </c>
      <c r="SSL15">
        <f ca="1"/>
        <v>0</v>
      </c>
      <c r="SSM15">
        <f ca="1"/>
        <v>0</v>
      </c>
      <c r="SSN15">
        <f ca="1"/>
        <v>0</v>
      </c>
      <c r="SSO15">
        <f ca="1"/>
        <v>0</v>
      </c>
      <c r="SSP15">
        <f ca="1"/>
        <v>0</v>
      </c>
      <c r="SSQ15">
        <f ca="1"/>
        <v>0</v>
      </c>
      <c r="SSR15">
        <f ca="1"/>
        <v>0</v>
      </c>
      <c r="SSS15">
        <f ca="1"/>
        <v>0</v>
      </c>
      <c r="SST15">
        <f ca="1"/>
        <v>0</v>
      </c>
      <c r="SSU15">
        <f ca="1"/>
        <v>0</v>
      </c>
      <c r="SSV15">
        <f ca="1"/>
        <v>0</v>
      </c>
      <c r="SSW15">
        <f ca="1"/>
        <v>0</v>
      </c>
      <c r="SSX15">
        <f ca="1"/>
        <v>0</v>
      </c>
      <c r="SSY15">
        <f ca="1"/>
        <v>0</v>
      </c>
      <c r="SSZ15">
        <f ca="1"/>
        <v>0</v>
      </c>
      <c r="STA15">
        <f ca="1"/>
        <v>0</v>
      </c>
      <c r="STB15">
        <f ca="1"/>
        <v>0</v>
      </c>
      <c r="STC15">
        <f ca="1"/>
        <v>0</v>
      </c>
      <c r="STD15">
        <f ca="1"/>
        <v>0</v>
      </c>
      <c r="STE15">
        <f ca="1"/>
        <v>0</v>
      </c>
      <c r="STF15">
        <f ca="1"/>
        <v>0</v>
      </c>
      <c r="STG15">
        <f ca="1"/>
        <v>0</v>
      </c>
      <c r="STH15">
        <f ca="1"/>
        <v>0</v>
      </c>
      <c r="STI15">
        <f ca="1"/>
        <v>0</v>
      </c>
      <c r="STJ15">
        <f ca="1"/>
        <v>0</v>
      </c>
      <c r="STK15">
        <f ca="1"/>
        <v>0</v>
      </c>
      <c r="STL15">
        <f ca="1"/>
        <v>0</v>
      </c>
      <c r="STM15">
        <f ca="1"/>
        <v>0</v>
      </c>
      <c r="STN15">
        <f ca="1"/>
        <v>0</v>
      </c>
      <c r="STO15">
        <f ca="1"/>
        <v>0</v>
      </c>
      <c r="STP15">
        <f ca="1"/>
        <v>0</v>
      </c>
      <c r="STQ15">
        <f ca="1"/>
        <v>0</v>
      </c>
      <c r="STR15">
        <f ca="1"/>
        <v>0</v>
      </c>
      <c r="STS15">
        <f ca="1"/>
        <v>0</v>
      </c>
      <c r="STT15">
        <f ca="1"/>
        <v>0</v>
      </c>
      <c r="STU15">
        <f ca="1"/>
        <v>0</v>
      </c>
      <c r="STV15">
        <f ca="1"/>
        <v>0</v>
      </c>
      <c r="STW15">
        <f ca="1"/>
        <v>0</v>
      </c>
      <c r="STX15">
        <f ca="1"/>
        <v>0</v>
      </c>
      <c r="STY15">
        <f ca="1"/>
        <v>0</v>
      </c>
      <c r="STZ15">
        <f ca="1"/>
        <v>0</v>
      </c>
      <c r="SUA15">
        <f ca="1"/>
        <v>0</v>
      </c>
      <c r="SUB15">
        <f ca="1"/>
        <v>0</v>
      </c>
      <c r="SUC15">
        <f ca="1"/>
        <v>0</v>
      </c>
      <c r="SUD15">
        <f ca="1"/>
        <v>0</v>
      </c>
      <c r="SUE15">
        <f ca="1"/>
        <v>0</v>
      </c>
      <c r="SUF15">
        <f ca="1"/>
        <v>0</v>
      </c>
      <c r="SUG15">
        <f ca="1"/>
        <v>0</v>
      </c>
      <c r="SUH15">
        <f ca="1"/>
        <v>0</v>
      </c>
      <c r="SUI15">
        <f ca="1"/>
        <v>0</v>
      </c>
      <c r="SUJ15">
        <f ca="1"/>
        <v>0</v>
      </c>
      <c r="SUK15">
        <f ca="1"/>
        <v>0</v>
      </c>
      <c r="SUL15">
        <f ca="1"/>
        <v>0</v>
      </c>
      <c r="SUM15">
        <f ca="1"/>
        <v>0</v>
      </c>
      <c r="SUN15">
        <f ca="1"/>
        <v>0</v>
      </c>
      <c r="SUO15">
        <f ca="1"/>
        <v>0</v>
      </c>
      <c r="SUP15">
        <f ca="1"/>
        <v>0</v>
      </c>
      <c r="SUQ15">
        <f ca="1"/>
        <v>0</v>
      </c>
      <c r="SUR15">
        <f ca="1"/>
        <v>0</v>
      </c>
      <c r="SUS15">
        <f ca="1"/>
        <v>0</v>
      </c>
      <c r="SUT15">
        <f ca="1"/>
        <v>0</v>
      </c>
      <c r="SUU15">
        <f ca="1"/>
        <v>0</v>
      </c>
      <c r="SUV15">
        <f ca="1"/>
        <v>0</v>
      </c>
      <c r="SUW15">
        <f ca="1"/>
        <v>0</v>
      </c>
      <c r="SUX15">
        <f ca="1"/>
        <v>0</v>
      </c>
      <c r="SUY15">
        <f ca="1"/>
        <v>0</v>
      </c>
      <c r="SUZ15">
        <f ca="1"/>
        <v>0</v>
      </c>
      <c r="SVA15">
        <f ca="1"/>
        <v>0</v>
      </c>
      <c r="SVB15">
        <f ca="1"/>
        <v>0</v>
      </c>
      <c r="SVC15">
        <f ca="1"/>
        <v>0</v>
      </c>
      <c r="SVD15">
        <f ca="1"/>
        <v>0</v>
      </c>
      <c r="SVE15">
        <f ca="1"/>
        <v>0</v>
      </c>
      <c r="SVF15">
        <f ca="1"/>
        <v>0</v>
      </c>
      <c r="SVG15">
        <f ca="1"/>
        <v>0</v>
      </c>
      <c r="SVH15">
        <f ca="1"/>
        <v>0</v>
      </c>
      <c r="SVI15">
        <f ca="1"/>
        <v>0</v>
      </c>
      <c r="SVJ15">
        <f ca="1"/>
        <v>0</v>
      </c>
      <c r="SVK15">
        <f ca="1"/>
        <v>0</v>
      </c>
      <c r="SVL15">
        <f ca="1"/>
        <v>0</v>
      </c>
      <c r="SVM15">
        <f ca="1"/>
        <v>0</v>
      </c>
      <c r="SVN15">
        <f ca="1"/>
        <v>0</v>
      </c>
      <c r="SVO15">
        <f ca="1"/>
        <v>0</v>
      </c>
      <c r="SVP15">
        <f ca="1"/>
        <v>0</v>
      </c>
      <c r="SVQ15">
        <f ca="1"/>
        <v>0</v>
      </c>
      <c r="SVR15">
        <f ca="1"/>
        <v>0</v>
      </c>
      <c r="SVS15">
        <f ca="1"/>
        <v>0</v>
      </c>
      <c r="SVT15">
        <f ca="1"/>
        <v>0</v>
      </c>
      <c r="SVU15">
        <f ca="1"/>
        <v>0</v>
      </c>
      <c r="SVV15">
        <f ca="1"/>
        <v>0</v>
      </c>
      <c r="SVW15">
        <f ca="1"/>
        <v>0</v>
      </c>
      <c r="SVX15">
        <f ca="1"/>
        <v>0</v>
      </c>
      <c r="SVY15">
        <f ca="1"/>
        <v>0</v>
      </c>
      <c r="SVZ15">
        <f ca="1"/>
        <v>0</v>
      </c>
      <c r="SWA15">
        <f ca="1"/>
        <v>0</v>
      </c>
      <c r="SWB15">
        <f ca="1"/>
        <v>0</v>
      </c>
      <c r="SWC15">
        <f ca="1"/>
        <v>0</v>
      </c>
      <c r="SWD15">
        <f ca="1"/>
        <v>0</v>
      </c>
      <c r="SWE15">
        <f ca="1"/>
        <v>0</v>
      </c>
      <c r="SWF15">
        <f ca="1"/>
        <v>0</v>
      </c>
      <c r="SWG15">
        <f ca="1"/>
        <v>0</v>
      </c>
      <c r="SWH15">
        <f ca="1"/>
        <v>0</v>
      </c>
      <c r="SWI15">
        <f ca="1"/>
        <v>0</v>
      </c>
      <c r="SWJ15">
        <f ca="1"/>
        <v>0</v>
      </c>
      <c r="SWK15">
        <f ca="1"/>
        <v>0</v>
      </c>
      <c r="SWL15">
        <f ca="1"/>
        <v>0</v>
      </c>
      <c r="SWM15">
        <f ca="1"/>
        <v>0</v>
      </c>
      <c r="SWN15">
        <f ca="1"/>
        <v>0</v>
      </c>
      <c r="SWO15">
        <f ca="1"/>
        <v>0</v>
      </c>
      <c r="SWP15">
        <f ca="1"/>
        <v>0</v>
      </c>
      <c r="SWQ15">
        <f ca="1"/>
        <v>0</v>
      </c>
      <c r="SWR15">
        <f ca="1"/>
        <v>0</v>
      </c>
      <c r="SWS15">
        <f ca="1"/>
        <v>0</v>
      </c>
      <c r="SWT15">
        <f ca="1"/>
        <v>0</v>
      </c>
      <c r="SWU15">
        <f ca="1"/>
        <v>0</v>
      </c>
      <c r="SWV15">
        <f ca="1"/>
        <v>0</v>
      </c>
      <c r="SWW15">
        <f ca="1"/>
        <v>0</v>
      </c>
      <c r="SWX15">
        <f ca="1"/>
        <v>0</v>
      </c>
      <c r="SWY15">
        <f ca="1"/>
        <v>0</v>
      </c>
      <c r="SWZ15">
        <f ca="1"/>
        <v>0</v>
      </c>
      <c r="SXA15">
        <f ca="1"/>
        <v>0</v>
      </c>
      <c r="SXB15">
        <f ca="1"/>
        <v>0</v>
      </c>
      <c r="SXC15">
        <f ca="1"/>
        <v>0</v>
      </c>
      <c r="SXD15">
        <f ca="1"/>
        <v>0</v>
      </c>
      <c r="SXE15">
        <f ca="1"/>
        <v>0</v>
      </c>
      <c r="SXF15">
        <f ca="1"/>
        <v>0</v>
      </c>
      <c r="SXG15">
        <f ca="1"/>
        <v>0</v>
      </c>
      <c r="SXH15">
        <f ca="1"/>
        <v>0</v>
      </c>
      <c r="SXI15">
        <f ca="1"/>
        <v>0</v>
      </c>
      <c r="SXJ15">
        <f ca="1"/>
        <v>0</v>
      </c>
      <c r="SXK15">
        <f ca="1"/>
        <v>0</v>
      </c>
      <c r="SXL15">
        <f ca="1"/>
        <v>0</v>
      </c>
      <c r="SXM15">
        <f ca="1"/>
        <v>0</v>
      </c>
      <c r="SXN15">
        <f ca="1"/>
        <v>0</v>
      </c>
      <c r="SXO15">
        <f ca="1"/>
        <v>0</v>
      </c>
      <c r="SXP15">
        <f ca="1"/>
        <v>0</v>
      </c>
      <c r="SXQ15">
        <f ca="1"/>
        <v>0</v>
      </c>
      <c r="SXR15">
        <f ca="1"/>
        <v>0</v>
      </c>
      <c r="SXS15">
        <f ca="1"/>
        <v>0</v>
      </c>
      <c r="SXT15">
        <f ca="1"/>
        <v>0</v>
      </c>
      <c r="SXU15">
        <f ca="1"/>
        <v>0</v>
      </c>
      <c r="SXV15">
        <f ca="1"/>
        <v>0</v>
      </c>
      <c r="SXW15">
        <f ca="1"/>
        <v>0</v>
      </c>
      <c r="SXX15">
        <f ca="1"/>
        <v>0</v>
      </c>
      <c r="SXY15">
        <f ca="1"/>
        <v>0</v>
      </c>
      <c r="SXZ15">
        <f ca="1"/>
        <v>0</v>
      </c>
      <c r="SYA15">
        <f ca="1"/>
        <v>0</v>
      </c>
      <c r="SYB15">
        <f ca="1"/>
        <v>0</v>
      </c>
      <c r="SYC15">
        <f ca="1"/>
        <v>0</v>
      </c>
      <c r="SYD15">
        <f ca="1"/>
        <v>0</v>
      </c>
      <c r="SYE15">
        <f ca="1"/>
        <v>0</v>
      </c>
      <c r="SYF15">
        <f ca="1"/>
        <v>0</v>
      </c>
      <c r="SYG15">
        <f ca="1"/>
        <v>0</v>
      </c>
      <c r="SYH15">
        <f ca="1"/>
        <v>0</v>
      </c>
      <c r="SYI15">
        <f ca="1"/>
        <v>0</v>
      </c>
      <c r="SYJ15">
        <f ca="1"/>
        <v>0</v>
      </c>
      <c r="SYK15">
        <f ca="1"/>
        <v>0</v>
      </c>
      <c r="SYL15">
        <f ca="1"/>
        <v>0</v>
      </c>
      <c r="SYM15">
        <f ca="1"/>
        <v>0</v>
      </c>
      <c r="SYN15">
        <f ca="1"/>
        <v>0</v>
      </c>
      <c r="SYO15">
        <f ca="1"/>
        <v>0</v>
      </c>
      <c r="SYP15">
        <f ca="1"/>
        <v>0</v>
      </c>
      <c r="SYQ15">
        <f ca="1"/>
        <v>0</v>
      </c>
      <c r="SYR15">
        <f ca="1"/>
        <v>0</v>
      </c>
      <c r="SYS15">
        <f ca="1"/>
        <v>0</v>
      </c>
      <c r="SYT15">
        <f ca="1"/>
        <v>0</v>
      </c>
      <c r="SYU15">
        <f ca="1"/>
        <v>0</v>
      </c>
      <c r="SYV15">
        <f ca="1"/>
        <v>0</v>
      </c>
      <c r="SYW15">
        <f ca="1"/>
        <v>0</v>
      </c>
      <c r="SYX15">
        <f ca="1"/>
        <v>0</v>
      </c>
      <c r="SYY15">
        <f ca="1"/>
        <v>0</v>
      </c>
      <c r="SYZ15">
        <f ca="1"/>
        <v>0</v>
      </c>
      <c r="SZA15">
        <f ca="1"/>
        <v>0</v>
      </c>
      <c r="SZB15">
        <f ca="1"/>
        <v>0</v>
      </c>
      <c r="SZC15">
        <f ca="1"/>
        <v>0</v>
      </c>
      <c r="SZD15">
        <f ca="1"/>
        <v>0</v>
      </c>
      <c r="SZE15">
        <f ca="1"/>
        <v>0</v>
      </c>
      <c r="SZF15">
        <f ca="1"/>
        <v>0</v>
      </c>
      <c r="SZG15">
        <f ca="1"/>
        <v>0</v>
      </c>
      <c r="SZH15">
        <f ca="1"/>
        <v>0</v>
      </c>
      <c r="SZI15">
        <f ca="1"/>
        <v>0</v>
      </c>
      <c r="SZJ15">
        <f ca="1"/>
        <v>0</v>
      </c>
      <c r="SZK15">
        <f ca="1"/>
        <v>0</v>
      </c>
      <c r="SZL15">
        <f ca="1"/>
        <v>0</v>
      </c>
      <c r="SZM15">
        <f ca="1"/>
        <v>0</v>
      </c>
      <c r="SZN15">
        <f ca="1"/>
        <v>0</v>
      </c>
      <c r="SZO15">
        <f ca="1"/>
        <v>0</v>
      </c>
      <c r="SZP15">
        <f ca="1"/>
        <v>0</v>
      </c>
      <c r="SZQ15">
        <f ca="1"/>
        <v>0</v>
      </c>
      <c r="SZR15">
        <f ca="1"/>
        <v>0</v>
      </c>
      <c r="SZS15">
        <f ca="1"/>
        <v>0</v>
      </c>
      <c r="SZT15">
        <f ca="1"/>
        <v>0</v>
      </c>
      <c r="SZU15">
        <f ca="1"/>
        <v>0</v>
      </c>
      <c r="SZV15">
        <f ca="1"/>
        <v>0</v>
      </c>
      <c r="SZW15">
        <f ca="1"/>
        <v>0</v>
      </c>
      <c r="SZX15">
        <f ca="1"/>
        <v>0</v>
      </c>
      <c r="SZY15">
        <f ca="1"/>
        <v>0</v>
      </c>
      <c r="SZZ15">
        <f ca="1"/>
        <v>0</v>
      </c>
      <c r="TAA15">
        <f ca="1"/>
        <v>0</v>
      </c>
      <c r="TAB15">
        <f ca="1"/>
        <v>0</v>
      </c>
      <c r="TAC15">
        <f ca="1"/>
        <v>0</v>
      </c>
      <c r="TAD15">
        <f ca="1"/>
        <v>0</v>
      </c>
      <c r="TAE15">
        <f ca="1"/>
        <v>0</v>
      </c>
      <c r="TAF15">
        <f ca="1"/>
        <v>0</v>
      </c>
      <c r="TAG15">
        <f ca="1"/>
        <v>0</v>
      </c>
      <c r="TAH15">
        <f ca="1"/>
        <v>0</v>
      </c>
      <c r="TAI15">
        <f ca="1"/>
        <v>0</v>
      </c>
      <c r="TAJ15">
        <f ca="1"/>
        <v>0</v>
      </c>
      <c r="TAK15">
        <f ca="1"/>
        <v>0</v>
      </c>
      <c r="TAL15">
        <f ca="1"/>
        <v>0</v>
      </c>
      <c r="TAM15">
        <f ca="1"/>
        <v>0</v>
      </c>
      <c r="TAN15">
        <f ca="1"/>
        <v>0</v>
      </c>
      <c r="TAO15">
        <f ca="1"/>
        <v>0</v>
      </c>
      <c r="TAP15">
        <f ca="1"/>
        <v>0</v>
      </c>
      <c r="TAQ15">
        <f ca="1"/>
        <v>0</v>
      </c>
      <c r="TAR15">
        <f ca="1"/>
        <v>0</v>
      </c>
      <c r="TAS15">
        <f ca="1"/>
        <v>0</v>
      </c>
      <c r="TAT15">
        <f ca="1"/>
        <v>0</v>
      </c>
      <c r="TAU15">
        <f ca="1"/>
        <v>0</v>
      </c>
      <c r="TAV15">
        <f ca="1"/>
        <v>0</v>
      </c>
      <c r="TAW15">
        <f ca="1"/>
        <v>0</v>
      </c>
      <c r="TAX15">
        <f ca="1"/>
        <v>0</v>
      </c>
      <c r="TAY15">
        <f ca="1"/>
        <v>0</v>
      </c>
      <c r="TAZ15">
        <f ca="1"/>
        <v>0</v>
      </c>
      <c r="TBA15">
        <f ca="1"/>
        <v>0</v>
      </c>
      <c r="TBB15">
        <f ca="1"/>
        <v>0</v>
      </c>
      <c r="TBC15">
        <f ca="1"/>
        <v>0</v>
      </c>
      <c r="TBD15">
        <f ca="1"/>
        <v>0</v>
      </c>
      <c r="TBE15">
        <f ca="1"/>
        <v>0</v>
      </c>
      <c r="TBF15">
        <f ca="1"/>
        <v>0</v>
      </c>
      <c r="TBG15">
        <f ca="1"/>
        <v>0</v>
      </c>
      <c r="TBH15">
        <f ca="1"/>
        <v>0</v>
      </c>
      <c r="TBI15">
        <f ca="1"/>
        <v>0</v>
      </c>
      <c r="TBJ15">
        <f ca="1"/>
        <v>0</v>
      </c>
      <c r="TBK15">
        <f ca="1"/>
        <v>0</v>
      </c>
      <c r="TBL15">
        <f ca="1"/>
        <v>0</v>
      </c>
      <c r="TBM15">
        <f ca="1"/>
        <v>0</v>
      </c>
      <c r="TBN15">
        <f ca="1"/>
        <v>0</v>
      </c>
      <c r="TBO15">
        <f ca="1"/>
        <v>0</v>
      </c>
      <c r="TBP15">
        <f ca="1"/>
        <v>0</v>
      </c>
      <c r="TBQ15">
        <f ca="1"/>
        <v>0</v>
      </c>
      <c r="TBR15">
        <f ca="1"/>
        <v>0</v>
      </c>
      <c r="TBS15">
        <f ca="1"/>
        <v>0</v>
      </c>
      <c r="TBT15">
        <f ca="1"/>
        <v>0</v>
      </c>
      <c r="TBU15">
        <f ca="1"/>
        <v>0</v>
      </c>
      <c r="TBV15">
        <f ca="1"/>
        <v>0</v>
      </c>
      <c r="TBW15">
        <f ca="1"/>
        <v>0</v>
      </c>
      <c r="TBX15">
        <f ca="1"/>
        <v>0</v>
      </c>
      <c r="TBY15">
        <f ca="1"/>
        <v>0</v>
      </c>
      <c r="TBZ15">
        <f ca="1"/>
        <v>0</v>
      </c>
      <c r="TCA15">
        <f ca="1"/>
        <v>0</v>
      </c>
      <c r="TCB15">
        <f ca="1"/>
        <v>0</v>
      </c>
      <c r="TCC15">
        <f ca="1"/>
        <v>0</v>
      </c>
      <c r="TCD15">
        <f ca="1"/>
        <v>0</v>
      </c>
      <c r="TCE15">
        <f ca="1"/>
        <v>0</v>
      </c>
      <c r="TCF15">
        <f ca="1"/>
        <v>0</v>
      </c>
      <c r="TCG15">
        <f ca="1"/>
        <v>0</v>
      </c>
      <c r="TCH15">
        <f ca="1"/>
        <v>0</v>
      </c>
      <c r="TCI15">
        <f ca="1"/>
        <v>0</v>
      </c>
      <c r="TCJ15">
        <f ca="1"/>
        <v>0</v>
      </c>
      <c r="TCK15">
        <f ca="1"/>
        <v>0</v>
      </c>
      <c r="TCL15">
        <f ca="1"/>
        <v>0</v>
      </c>
      <c r="TCM15">
        <f ca="1"/>
        <v>0</v>
      </c>
      <c r="TCN15">
        <f ca="1"/>
        <v>0</v>
      </c>
      <c r="TCO15">
        <f ca="1"/>
        <v>0</v>
      </c>
      <c r="TCP15">
        <f ca="1"/>
        <v>0</v>
      </c>
      <c r="TCQ15">
        <f ca="1"/>
        <v>0</v>
      </c>
      <c r="TCR15">
        <f ca="1"/>
        <v>0</v>
      </c>
      <c r="TCS15">
        <f ca="1"/>
        <v>0</v>
      </c>
      <c r="TCT15">
        <f ca="1"/>
        <v>0</v>
      </c>
      <c r="TCU15">
        <f ca="1"/>
        <v>0</v>
      </c>
      <c r="TCV15">
        <f ca="1"/>
        <v>0</v>
      </c>
      <c r="TCW15">
        <f ca="1"/>
        <v>0</v>
      </c>
      <c r="TCX15">
        <f ca="1"/>
        <v>0</v>
      </c>
      <c r="TCY15">
        <f ca="1"/>
        <v>0</v>
      </c>
      <c r="TCZ15">
        <f ca="1"/>
        <v>0</v>
      </c>
      <c r="TDA15">
        <f ca="1"/>
        <v>0</v>
      </c>
      <c r="TDB15">
        <f ca="1"/>
        <v>0</v>
      </c>
      <c r="TDC15">
        <f ca="1"/>
        <v>0</v>
      </c>
      <c r="TDD15">
        <f ca="1"/>
        <v>0</v>
      </c>
      <c r="TDE15">
        <f ca="1"/>
        <v>0</v>
      </c>
      <c r="TDF15">
        <f ca="1"/>
        <v>0</v>
      </c>
      <c r="TDG15">
        <f ca="1"/>
        <v>0</v>
      </c>
      <c r="TDH15">
        <f ca="1"/>
        <v>0</v>
      </c>
      <c r="TDI15">
        <f ca="1"/>
        <v>0</v>
      </c>
      <c r="TDJ15">
        <f ca="1"/>
        <v>0</v>
      </c>
      <c r="TDK15">
        <f ca="1"/>
        <v>0</v>
      </c>
      <c r="TDL15">
        <f ca="1"/>
        <v>0</v>
      </c>
      <c r="TDM15">
        <f ca="1"/>
        <v>0</v>
      </c>
      <c r="TDN15">
        <f ca="1"/>
        <v>0</v>
      </c>
      <c r="TDO15">
        <f ca="1"/>
        <v>0</v>
      </c>
      <c r="TDP15">
        <f ca="1"/>
        <v>0</v>
      </c>
      <c r="TDQ15">
        <f ca="1"/>
        <v>0</v>
      </c>
      <c r="TDR15">
        <f ca="1"/>
        <v>0</v>
      </c>
      <c r="TDS15">
        <f ca="1"/>
        <v>0</v>
      </c>
      <c r="TDT15">
        <f ca="1"/>
        <v>0</v>
      </c>
      <c r="TDU15">
        <f ca="1"/>
        <v>0</v>
      </c>
      <c r="TDV15">
        <f ca="1"/>
        <v>0</v>
      </c>
      <c r="TDW15">
        <f ca="1"/>
        <v>0</v>
      </c>
      <c r="TDX15">
        <f ca="1"/>
        <v>0</v>
      </c>
      <c r="TDY15">
        <f ca="1"/>
        <v>0</v>
      </c>
      <c r="TDZ15">
        <f ca="1"/>
        <v>0</v>
      </c>
      <c r="TEA15">
        <f ca="1"/>
        <v>0</v>
      </c>
      <c r="TEB15">
        <f ca="1"/>
        <v>0</v>
      </c>
      <c r="TEC15">
        <f ca="1"/>
        <v>0</v>
      </c>
      <c r="TED15">
        <f ca="1"/>
        <v>0</v>
      </c>
      <c r="TEE15">
        <f ca="1"/>
        <v>0</v>
      </c>
      <c r="TEF15">
        <f ca="1"/>
        <v>0</v>
      </c>
      <c r="TEG15">
        <f ca="1"/>
        <v>0</v>
      </c>
      <c r="TEH15">
        <f ca="1"/>
        <v>0</v>
      </c>
      <c r="TEI15">
        <f ca="1"/>
        <v>0</v>
      </c>
      <c r="TEJ15">
        <f ca="1"/>
        <v>0</v>
      </c>
      <c r="TEK15">
        <f ca="1"/>
        <v>0</v>
      </c>
      <c r="TEL15">
        <f ca="1"/>
        <v>0</v>
      </c>
      <c r="TEM15">
        <f ca="1"/>
        <v>0</v>
      </c>
      <c r="TEN15">
        <f ca="1"/>
        <v>0</v>
      </c>
      <c r="TEO15">
        <f ca="1"/>
        <v>0</v>
      </c>
      <c r="TEP15">
        <f ca="1"/>
        <v>0</v>
      </c>
      <c r="TEQ15">
        <f ca="1"/>
        <v>0</v>
      </c>
      <c r="TER15">
        <f ca="1"/>
        <v>0</v>
      </c>
      <c r="TES15">
        <f ca="1"/>
        <v>0</v>
      </c>
      <c r="TET15">
        <f ca="1"/>
        <v>0</v>
      </c>
      <c r="TEU15">
        <f ca="1"/>
        <v>0</v>
      </c>
      <c r="TEV15">
        <f ca="1"/>
        <v>0</v>
      </c>
      <c r="TEW15">
        <f ca="1"/>
        <v>0</v>
      </c>
      <c r="TEX15">
        <f ca="1"/>
        <v>0</v>
      </c>
      <c r="TEY15">
        <f ca="1"/>
        <v>0</v>
      </c>
      <c r="TEZ15">
        <f ca="1"/>
        <v>0</v>
      </c>
      <c r="TFA15">
        <f ca="1"/>
        <v>0</v>
      </c>
      <c r="TFB15">
        <f ca="1"/>
        <v>0</v>
      </c>
      <c r="TFC15">
        <f ca="1"/>
        <v>0</v>
      </c>
      <c r="TFD15">
        <f ca="1"/>
        <v>0</v>
      </c>
      <c r="TFE15">
        <f ca="1"/>
        <v>0</v>
      </c>
      <c r="TFF15">
        <f ca="1"/>
        <v>0</v>
      </c>
      <c r="TFG15">
        <f ca="1"/>
        <v>0</v>
      </c>
      <c r="TFH15">
        <f ca="1"/>
        <v>0</v>
      </c>
      <c r="TFI15">
        <f ca="1"/>
        <v>0</v>
      </c>
      <c r="TFJ15">
        <f ca="1"/>
        <v>0</v>
      </c>
      <c r="TFK15">
        <f ca="1"/>
        <v>0</v>
      </c>
      <c r="TFL15">
        <f ca="1"/>
        <v>0</v>
      </c>
      <c r="TFM15">
        <f ca="1"/>
        <v>0</v>
      </c>
      <c r="TFN15">
        <f ca="1"/>
        <v>0</v>
      </c>
      <c r="TFO15">
        <f ca="1"/>
        <v>0</v>
      </c>
      <c r="TFP15">
        <f ca="1"/>
        <v>0</v>
      </c>
      <c r="TFQ15">
        <f ca="1"/>
        <v>0</v>
      </c>
      <c r="TFR15">
        <f ca="1"/>
        <v>0</v>
      </c>
      <c r="TFS15">
        <f ca="1"/>
        <v>0</v>
      </c>
      <c r="TFT15">
        <f ca="1"/>
        <v>0</v>
      </c>
      <c r="TFU15">
        <f ca="1"/>
        <v>0</v>
      </c>
      <c r="TFV15">
        <f ca="1"/>
        <v>0</v>
      </c>
      <c r="TFW15">
        <f ca="1"/>
        <v>0</v>
      </c>
      <c r="TFX15">
        <f ca="1"/>
        <v>0</v>
      </c>
      <c r="TFY15">
        <f ca="1"/>
        <v>0</v>
      </c>
      <c r="TFZ15">
        <f ca="1"/>
        <v>0</v>
      </c>
      <c r="TGA15">
        <f ca="1"/>
        <v>0</v>
      </c>
      <c r="TGB15">
        <f ca="1"/>
        <v>0</v>
      </c>
      <c r="TGC15">
        <f ca="1"/>
        <v>0</v>
      </c>
      <c r="TGD15">
        <f ca="1"/>
        <v>0</v>
      </c>
      <c r="TGE15">
        <f ca="1"/>
        <v>0</v>
      </c>
      <c r="TGF15">
        <f ca="1"/>
        <v>0</v>
      </c>
      <c r="TGG15">
        <f ca="1"/>
        <v>0</v>
      </c>
      <c r="TGH15">
        <f ca="1"/>
        <v>0</v>
      </c>
      <c r="TGI15">
        <f ca="1"/>
        <v>0</v>
      </c>
      <c r="TGJ15">
        <f ca="1"/>
        <v>0</v>
      </c>
      <c r="TGK15">
        <f ca="1"/>
        <v>0</v>
      </c>
      <c r="TGL15">
        <f ca="1"/>
        <v>0</v>
      </c>
      <c r="TGM15">
        <f ca="1"/>
        <v>0</v>
      </c>
      <c r="TGN15">
        <f ca="1"/>
        <v>0</v>
      </c>
      <c r="TGO15">
        <f ca="1"/>
        <v>0</v>
      </c>
      <c r="TGP15">
        <f ca="1"/>
        <v>0</v>
      </c>
      <c r="TGQ15">
        <f ca="1"/>
        <v>0</v>
      </c>
      <c r="TGR15">
        <f ca="1"/>
        <v>0</v>
      </c>
      <c r="TGS15">
        <f ca="1"/>
        <v>0</v>
      </c>
      <c r="TGT15">
        <f ca="1"/>
        <v>0</v>
      </c>
      <c r="TGU15">
        <f ca="1"/>
        <v>0</v>
      </c>
      <c r="TGV15">
        <f ca="1"/>
        <v>0</v>
      </c>
      <c r="TGW15">
        <f ca="1"/>
        <v>0</v>
      </c>
      <c r="TGX15">
        <f ca="1"/>
        <v>0</v>
      </c>
      <c r="TGY15">
        <f ca="1"/>
        <v>0</v>
      </c>
      <c r="TGZ15">
        <f ca="1"/>
        <v>0</v>
      </c>
      <c r="THA15">
        <f ca="1"/>
        <v>0</v>
      </c>
      <c r="THB15">
        <f ca="1"/>
        <v>0</v>
      </c>
      <c r="THC15">
        <f ca="1"/>
        <v>0</v>
      </c>
      <c r="THD15">
        <f ca="1"/>
        <v>0</v>
      </c>
      <c r="THE15">
        <f ca="1"/>
        <v>0</v>
      </c>
      <c r="THF15">
        <f ca="1"/>
        <v>0</v>
      </c>
      <c r="THG15">
        <f ca="1"/>
        <v>0</v>
      </c>
      <c r="THH15">
        <f ca="1"/>
        <v>0</v>
      </c>
      <c r="THI15">
        <f ca="1"/>
        <v>0</v>
      </c>
      <c r="THJ15">
        <f ca="1"/>
        <v>0</v>
      </c>
      <c r="THK15">
        <f ca="1"/>
        <v>0</v>
      </c>
      <c r="THL15">
        <f ca="1"/>
        <v>0</v>
      </c>
      <c r="THM15">
        <f ca="1"/>
        <v>0</v>
      </c>
      <c r="THN15">
        <f ca="1"/>
        <v>0</v>
      </c>
      <c r="THO15">
        <f ca="1"/>
        <v>0</v>
      </c>
      <c r="THP15">
        <f ca="1"/>
        <v>0</v>
      </c>
      <c r="THQ15">
        <f ca="1"/>
        <v>0</v>
      </c>
      <c r="THR15">
        <f ca="1"/>
        <v>0</v>
      </c>
      <c r="THS15">
        <f ca="1"/>
        <v>0</v>
      </c>
      <c r="THT15">
        <f ca="1"/>
        <v>0</v>
      </c>
      <c r="THU15">
        <f ca="1"/>
        <v>0</v>
      </c>
      <c r="THV15">
        <f ca="1"/>
        <v>0</v>
      </c>
      <c r="THW15">
        <f ca="1"/>
        <v>0</v>
      </c>
      <c r="THX15">
        <f ca="1"/>
        <v>0</v>
      </c>
      <c r="THY15">
        <f ca="1"/>
        <v>0</v>
      </c>
      <c r="THZ15">
        <f ca="1"/>
        <v>0</v>
      </c>
      <c r="TIA15">
        <f ca="1"/>
        <v>0</v>
      </c>
      <c r="TIB15">
        <f ca="1"/>
        <v>0</v>
      </c>
      <c r="TIC15">
        <f ca="1"/>
        <v>0</v>
      </c>
      <c r="TID15">
        <f ca="1"/>
        <v>0</v>
      </c>
      <c r="TIE15">
        <f ca="1"/>
        <v>0</v>
      </c>
      <c r="TIF15">
        <f ca="1"/>
        <v>0</v>
      </c>
      <c r="TIG15">
        <f ca="1"/>
        <v>0</v>
      </c>
      <c r="TIH15">
        <f ca="1"/>
        <v>0</v>
      </c>
      <c r="TII15">
        <f ca="1"/>
        <v>0</v>
      </c>
      <c r="TIJ15">
        <f ca="1"/>
        <v>0</v>
      </c>
      <c r="TIK15">
        <f ca="1"/>
        <v>0</v>
      </c>
      <c r="TIL15">
        <f ca="1"/>
        <v>0</v>
      </c>
      <c r="TIM15">
        <f ca="1"/>
        <v>0</v>
      </c>
      <c r="TIN15">
        <f ca="1"/>
        <v>0</v>
      </c>
      <c r="TIO15">
        <f ca="1"/>
        <v>0</v>
      </c>
      <c r="TIP15">
        <f ca="1"/>
        <v>0</v>
      </c>
      <c r="TIQ15">
        <f ca="1"/>
        <v>0</v>
      </c>
      <c r="TIR15">
        <f ca="1"/>
        <v>0</v>
      </c>
      <c r="TIS15">
        <f ca="1"/>
        <v>0</v>
      </c>
      <c r="TIT15">
        <f ca="1"/>
        <v>0</v>
      </c>
      <c r="TIU15">
        <f ca="1"/>
        <v>0</v>
      </c>
      <c r="TIV15">
        <f ca="1"/>
        <v>0</v>
      </c>
      <c r="TIW15">
        <f ca="1"/>
        <v>0</v>
      </c>
      <c r="TIX15">
        <f ca="1"/>
        <v>0</v>
      </c>
      <c r="TIY15">
        <f ca="1"/>
        <v>0</v>
      </c>
      <c r="TIZ15">
        <f ca="1"/>
        <v>0</v>
      </c>
      <c r="TJA15">
        <f ca="1"/>
        <v>0</v>
      </c>
      <c r="TJB15">
        <f ca="1"/>
        <v>0</v>
      </c>
      <c r="TJC15">
        <f ca="1"/>
        <v>0</v>
      </c>
      <c r="TJD15">
        <f ca="1"/>
        <v>0</v>
      </c>
      <c r="TJE15">
        <f ca="1"/>
        <v>0</v>
      </c>
      <c r="TJF15">
        <f ca="1"/>
        <v>0</v>
      </c>
      <c r="TJG15">
        <f ca="1"/>
        <v>0</v>
      </c>
      <c r="TJH15">
        <f ca="1"/>
        <v>0</v>
      </c>
      <c r="TJI15">
        <f ca="1"/>
        <v>0</v>
      </c>
      <c r="TJJ15">
        <f ca="1"/>
        <v>0</v>
      </c>
      <c r="TJK15">
        <f ca="1"/>
        <v>0</v>
      </c>
      <c r="TJL15">
        <f ca="1"/>
        <v>0</v>
      </c>
      <c r="TJM15">
        <f ca="1"/>
        <v>0</v>
      </c>
      <c r="TJN15">
        <f ca="1"/>
        <v>0</v>
      </c>
      <c r="TJO15">
        <f ca="1"/>
        <v>0</v>
      </c>
      <c r="TJP15">
        <f ca="1"/>
        <v>0</v>
      </c>
      <c r="TJQ15">
        <f ca="1"/>
        <v>0</v>
      </c>
      <c r="TJR15">
        <f ca="1"/>
        <v>0</v>
      </c>
      <c r="TJS15">
        <f ca="1"/>
        <v>0</v>
      </c>
      <c r="TJT15">
        <f ca="1"/>
        <v>0</v>
      </c>
      <c r="TJU15">
        <f ca="1"/>
        <v>0</v>
      </c>
      <c r="TJV15">
        <f ca="1"/>
        <v>0</v>
      </c>
      <c r="TJW15">
        <f ca="1"/>
        <v>0</v>
      </c>
      <c r="TJX15">
        <f ca="1"/>
        <v>0</v>
      </c>
      <c r="TJY15">
        <f ca="1"/>
        <v>0</v>
      </c>
      <c r="TJZ15">
        <f ca="1"/>
        <v>0</v>
      </c>
      <c r="TKA15">
        <f ca="1"/>
        <v>0</v>
      </c>
      <c r="TKB15">
        <f ca="1"/>
        <v>0</v>
      </c>
      <c r="TKC15">
        <f ca="1"/>
        <v>0</v>
      </c>
      <c r="TKD15">
        <f ca="1"/>
        <v>0</v>
      </c>
      <c r="TKE15">
        <f ca="1"/>
        <v>0</v>
      </c>
      <c r="TKF15">
        <f ca="1"/>
        <v>0</v>
      </c>
      <c r="TKG15">
        <f ca="1"/>
        <v>0</v>
      </c>
      <c r="TKH15">
        <f ca="1"/>
        <v>0</v>
      </c>
      <c r="TKI15">
        <f ca="1"/>
        <v>0</v>
      </c>
      <c r="TKJ15">
        <f ca="1"/>
        <v>0</v>
      </c>
      <c r="TKK15">
        <f ca="1"/>
        <v>0</v>
      </c>
      <c r="TKL15">
        <f ca="1"/>
        <v>0</v>
      </c>
      <c r="TKM15">
        <f ca="1"/>
        <v>0</v>
      </c>
      <c r="TKN15">
        <f ca="1"/>
        <v>0</v>
      </c>
      <c r="TKO15">
        <f ca="1"/>
        <v>0</v>
      </c>
      <c r="TKP15">
        <f ca="1"/>
        <v>0</v>
      </c>
      <c r="TKQ15">
        <f ca="1"/>
        <v>0</v>
      </c>
      <c r="TKR15">
        <f ca="1"/>
        <v>0</v>
      </c>
      <c r="TKS15">
        <f ca="1"/>
        <v>0</v>
      </c>
      <c r="TKT15">
        <f ca="1"/>
        <v>0</v>
      </c>
      <c r="TKU15">
        <f ca="1"/>
        <v>0</v>
      </c>
      <c r="TKV15">
        <f ca="1"/>
        <v>0</v>
      </c>
      <c r="TKW15">
        <f ca="1"/>
        <v>0</v>
      </c>
      <c r="TKX15">
        <f ca="1"/>
        <v>0</v>
      </c>
      <c r="TKY15">
        <f ca="1"/>
        <v>0</v>
      </c>
      <c r="TKZ15">
        <f ca="1"/>
        <v>0</v>
      </c>
      <c r="TLA15">
        <f ca="1"/>
        <v>0</v>
      </c>
      <c r="TLB15">
        <f ca="1"/>
        <v>0</v>
      </c>
      <c r="TLC15">
        <f ca="1"/>
        <v>0</v>
      </c>
      <c r="TLD15">
        <f ca="1"/>
        <v>0</v>
      </c>
      <c r="TLE15">
        <f ca="1"/>
        <v>0</v>
      </c>
      <c r="TLF15">
        <f ca="1"/>
        <v>0</v>
      </c>
      <c r="TLG15">
        <f ca="1"/>
        <v>0</v>
      </c>
      <c r="TLH15">
        <f ca="1"/>
        <v>0</v>
      </c>
      <c r="TLI15">
        <f ca="1"/>
        <v>0</v>
      </c>
      <c r="TLJ15">
        <f ca="1"/>
        <v>0</v>
      </c>
      <c r="TLK15">
        <f ca="1"/>
        <v>0</v>
      </c>
      <c r="TLL15">
        <f ca="1"/>
        <v>0</v>
      </c>
      <c r="TLM15">
        <f ca="1"/>
        <v>0</v>
      </c>
      <c r="TLN15">
        <f ca="1"/>
        <v>0</v>
      </c>
      <c r="TLO15">
        <f ca="1"/>
        <v>0</v>
      </c>
      <c r="TLP15">
        <f ca="1"/>
        <v>0</v>
      </c>
      <c r="TLQ15">
        <f ca="1"/>
        <v>0</v>
      </c>
      <c r="TLR15">
        <f ca="1"/>
        <v>0</v>
      </c>
      <c r="TLS15">
        <f ca="1"/>
        <v>0</v>
      </c>
      <c r="TLT15">
        <f ca="1"/>
        <v>0</v>
      </c>
      <c r="TLU15">
        <f ca="1"/>
        <v>0</v>
      </c>
      <c r="TLV15">
        <f ca="1"/>
        <v>0</v>
      </c>
      <c r="TLW15">
        <f ca="1"/>
        <v>0</v>
      </c>
      <c r="TLX15">
        <f ca="1"/>
        <v>0</v>
      </c>
      <c r="TLY15">
        <f ca="1"/>
        <v>0</v>
      </c>
      <c r="TLZ15">
        <f ca="1"/>
        <v>0</v>
      </c>
      <c r="TMA15">
        <f ca="1"/>
        <v>0</v>
      </c>
      <c r="TMB15">
        <f ca="1"/>
        <v>0</v>
      </c>
      <c r="TMC15">
        <f ca="1"/>
        <v>0</v>
      </c>
      <c r="TMD15">
        <f ca="1"/>
        <v>0</v>
      </c>
      <c r="TME15">
        <f ca="1"/>
        <v>0</v>
      </c>
      <c r="TMF15">
        <f ca="1"/>
        <v>0</v>
      </c>
      <c r="TMG15">
        <f ca="1"/>
        <v>0</v>
      </c>
      <c r="TMH15">
        <f ca="1"/>
        <v>0</v>
      </c>
      <c r="TMI15">
        <f ca="1"/>
        <v>0</v>
      </c>
      <c r="TMJ15">
        <f ca="1"/>
        <v>0</v>
      </c>
      <c r="TMK15">
        <f ca="1"/>
        <v>0</v>
      </c>
      <c r="TML15">
        <f ca="1"/>
        <v>0</v>
      </c>
      <c r="TMM15">
        <f ca="1"/>
        <v>0</v>
      </c>
      <c r="TMN15">
        <f ca="1"/>
        <v>0</v>
      </c>
      <c r="TMO15">
        <f ca="1"/>
        <v>0</v>
      </c>
      <c r="TMP15">
        <f ca="1"/>
        <v>0</v>
      </c>
      <c r="TMQ15">
        <f ca="1"/>
        <v>0</v>
      </c>
      <c r="TMR15">
        <f ca="1"/>
        <v>0</v>
      </c>
      <c r="TMS15">
        <f ca="1"/>
        <v>0</v>
      </c>
      <c r="TMT15">
        <f ca="1"/>
        <v>0</v>
      </c>
      <c r="TMU15">
        <f ca="1"/>
        <v>0</v>
      </c>
      <c r="TMV15">
        <f ca="1"/>
        <v>0</v>
      </c>
      <c r="TMW15">
        <f ca="1"/>
        <v>0</v>
      </c>
      <c r="TMX15">
        <f ca="1"/>
        <v>0</v>
      </c>
      <c r="TMY15">
        <f ca="1"/>
        <v>0</v>
      </c>
      <c r="TMZ15">
        <f ca="1"/>
        <v>0</v>
      </c>
      <c r="TNA15">
        <f ca="1"/>
        <v>0</v>
      </c>
      <c r="TNB15">
        <f ca="1"/>
        <v>0</v>
      </c>
      <c r="TNC15">
        <f ca="1"/>
        <v>0</v>
      </c>
      <c r="TND15">
        <f ca="1"/>
        <v>0</v>
      </c>
      <c r="TNE15">
        <f ca="1"/>
        <v>0</v>
      </c>
      <c r="TNF15">
        <f ca="1"/>
        <v>0</v>
      </c>
      <c r="TNG15">
        <f ca="1"/>
        <v>0</v>
      </c>
      <c r="TNH15">
        <f ca="1"/>
        <v>0</v>
      </c>
      <c r="TNI15">
        <f ca="1"/>
        <v>0</v>
      </c>
      <c r="TNJ15">
        <f ca="1"/>
        <v>0</v>
      </c>
      <c r="TNK15">
        <f ca="1"/>
        <v>0</v>
      </c>
      <c r="TNL15">
        <f ca="1"/>
        <v>0</v>
      </c>
      <c r="TNM15">
        <f ca="1"/>
        <v>0</v>
      </c>
      <c r="TNN15">
        <f ca="1"/>
        <v>0</v>
      </c>
      <c r="TNO15">
        <f ca="1"/>
        <v>0</v>
      </c>
      <c r="TNP15">
        <f ca="1"/>
        <v>0</v>
      </c>
      <c r="TNQ15">
        <f ca="1"/>
        <v>0</v>
      </c>
      <c r="TNR15">
        <f ca="1"/>
        <v>0</v>
      </c>
      <c r="TNS15">
        <f ca="1"/>
        <v>0</v>
      </c>
      <c r="TNT15">
        <f ca="1"/>
        <v>0</v>
      </c>
      <c r="TNU15">
        <f ca="1"/>
        <v>0</v>
      </c>
      <c r="TNV15">
        <f ca="1"/>
        <v>0</v>
      </c>
      <c r="TNW15">
        <f ca="1"/>
        <v>0</v>
      </c>
      <c r="TNX15">
        <f ca="1"/>
        <v>0</v>
      </c>
      <c r="TNY15">
        <f ca="1"/>
        <v>0</v>
      </c>
      <c r="TNZ15">
        <f ca="1"/>
        <v>0</v>
      </c>
      <c r="TOA15">
        <f ca="1"/>
        <v>0</v>
      </c>
      <c r="TOB15">
        <f ca="1"/>
        <v>0</v>
      </c>
      <c r="TOC15">
        <f ca="1"/>
        <v>0</v>
      </c>
      <c r="TOD15">
        <f ca="1"/>
        <v>0</v>
      </c>
      <c r="TOE15">
        <f ca="1"/>
        <v>0</v>
      </c>
      <c r="TOF15">
        <f ca="1"/>
        <v>0</v>
      </c>
      <c r="TOG15">
        <f ca="1"/>
        <v>0</v>
      </c>
      <c r="TOH15">
        <f ca="1"/>
        <v>0</v>
      </c>
      <c r="TOI15">
        <f ca="1"/>
        <v>0</v>
      </c>
      <c r="TOJ15">
        <f ca="1"/>
        <v>0</v>
      </c>
      <c r="TOK15">
        <f ca="1"/>
        <v>0</v>
      </c>
      <c r="TOL15">
        <f ca="1"/>
        <v>0</v>
      </c>
      <c r="TOM15">
        <f ca="1"/>
        <v>0</v>
      </c>
      <c r="TON15">
        <f ca="1"/>
        <v>0</v>
      </c>
      <c r="TOO15">
        <f ca="1"/>
        <v>0</v>
      </c>
      <c r="TOP15">
        <f ca="1"/>
        <v>0</v>
      </c>
      <c r="TOQ15">
        <f ca="1"/>
        <v>0</v>
      </c>
      <c r="TOR15">
        <f ca="1"/>
        <v>0</v>
      </c>
      <c r="TOS15">
        <f ca="1"/>
        <v>0</v>
      </c>
      <c r="TOT15">
        <f ca="1"/>
        <v>0</v>
      </c>
      <c r="TOU15">
        <f ca="1"/>
        <v>0</v>
      </c>
      <c r="TOV15">
        <f ca="1"/>
        <v>0</v>
      </c>
      <c r="TOW15">
        <f ca="1"/>
        <v>0</v>
      </c>
      <c r="TOX15">
        <f ca="1"/>
        <v>0</v>
      </c>
      <c r="TOY15">
        <f ca="1"/>
        <v>0</v>
      </c>
      <c r="TOZ15">
        <f ca="1"/>
        <v>0</v>
      </c>
      <c r="TPA15">
        <f ca="1"/>
        <v>0</v>
      </c>
      <c r="TPB15">
        <f ca="1"/>
        <v>0</v>
      </c>
      <c r="TPC15">
        <f ca="1"/>
        <v>0</v>
      </c>
      <c r="TPD15">
        <f ca="1"/>
        <v>0</v>
      </c>
      <c r="TPE15">
        <f ca="1"/>
        <v>0</v>
      </c>
      <c r="TPF15">
        <f ca="1"/>
        <v>0</v>
      </c>
      <c r="TPG15">
        <f ca="1"/>
        <v>0</v>
      </c>
      <c r="TPH15">
        <f ca="1"/>
        <v>0</v>
      </c>
      <c r="TPI15">
        <f ca="1"/>
        <v>0</v>
      </c>
      <c r="TPJ15">
        <f ca="1"/>
        <v>0</v>
      </c>
      <c r="TPK15">
        <f ca="1"/>
        <v>0</v>
      </c>
      <c r="TPL15">
        <f ca="1"/>
        <v>0</v>
      </c>
      <c r="TPM15">
        <f ca="1"/>
        <v>0</v>
      </c>
      <c r="TPN15">
        <f ca="1"/>
        <v>0</v>
      </c>
      <c r="TPO15">
        <f ca="1"/>
        <v>0</v>
      </c>
      <c r="TPP15">
        <f ca="1"/>
        <v>0</v>
      </c>
      <c r="TPQ15">
        <f ca="1"/>
        <v>0</v>
      </c>
      <c r="TPR15">
        <f ca="1"/>
        <v>0</v>
      </c>
      <c r="TPS15">
        <f ca="1"/>
        <v>0</v>
      </c>
      <c r="TPT15">
        <f ca="1"/>
        <v>0</v>
      </c>
      <c r="TPU15">
        <f ca="1"/>
        <v>0</v>
      </c>
      <c r="TPV15">
        <f ca="1"/>
        <v>0</v>
      </c>
      <c r="TPW15">
        <f ca="1"/>
        <v>0</v>
      </c>
      <c r="TPX15">
        <f ca="1"/>
        <v>0</v>
      </c>
      <c r="TPY15">
        <f ca="1"/>
        <v>0</v>
      </c>
      <c r="TPZ15">
        <f ca="1"/>
        <v>0</v>
      </c>
      <c r="TQA15">
        <f ca="1"/>
        <v>0</v>
      </c>
      <c r="TQB15">
        <f ca="1"/>
        <v>0</v>
      </c>
      <c r="TQC15">
        <f ca="1"/>
        <v>0</v>
      </c>
      <c r="TQD15">
        <f ca="1"/>
        <v>0</v>
      </c>
      <c r="TQE15">
        <f ca="1"/>
        <v>0</v>
      </c>
      <c r="TQF15">
        <f ca="1"/>
        <v>0</v>
      </c>
      <c r="TQG15">
        <f ca="1"/>
        <v>0</v>
      </c>
      <c r="TQH15">
        <f ca="1"/>
        <v>0</v>
      </c>
      <c r="TQI15">
        <f ca="1"/>
        <v>0</v>
      </c>
      <c r="TQJ15">
        <f ca="1"/>
        <v>0</v>
      </c>
      <c r="TQK15">
        <f ca="1"/>
        <v>0</v>
      </c>
      <c r="TQL15">
        <f ca="1"/>
        <v>0</v>
      </c>
      <c r="TQM15">
        <f ca="1"/>
        <v>0</v>
      </c>
      <c r="TQN15">
        <f ca="1"/>
        <v>0</v>
      </c>
      <c r="TQO15">
        <f ca="1"/>
        <v>0</v>
      </c>
      <c r="TQP15">
        <f ca="1"/>
        <v>0</v>
      </c>
      <c r="TQQ15">
        <f ca="1"/>
        <v>0</v>
      </c>
      <c r="TQR15">
        <f ca="1"/>
        <v>0</v>
      </c>
      <c r="TQS15">
        <f ca="1"/>
        <v>0</v>
      </c>
      <c r="TQT15">
        <f ca="1"/>
        <v>0</v>
      </c>
      <c r="TQU15">
        <f ca="1"/>
        <v>0</v>
      </c>
      <c r="TQV15">
        <f ca="1"/>
        <v>0</v>
      </c>
      <c r="TQW15">
        <f ca="1"/>
        <v>0</v>
      </c>
      <c r="TQX15">
        <f ca="1"/>
        <v>0</v>
      </c>
      <c r="TQY15">
        <f ca="1"/>
        <v>0</v>
      </c>
      <c r="TQZ15">
        <f ca="1"/>
        <v>0</v>
      </c>
      <c r="TRA15">
        <f ca="1"/>
        <v>0</v>
      </c>
      <c r="TRB15">
        <f ca="1"/>
        <v>0</v>
      </c>
      <c r="TRC15">
        <f ca="1"/>
        <v>0</v>
      </c>
      <c r="TRD15">
        <f ca="1"/>
        <v>0</v>
      </c>
      <c r="TRE15">
        <f ca="1"/>
        <v>0</v>
      </c>
      <c r="TRF15">
        <f ca="1"/>
        <v>0</v>
      </c>
      <c r="TRG15">
        <f ca="1"/>
        <v>0</v>
      </c>
      <c r="TRH15">
        <f ca="1"/>
        <v>0</v>
      </c>
      <c r="TRI15">
        <f ca="1"/>
        <v>0</v>
      </c>
      <c r="TRJ15">
        <f ca="1"/>
        <v>0</v>
      </c>
      <c r="TRK15">
        <f ca="1"/>
        <v>0</v>
      </c>
      <c r="TRL15">
        <f ca="1"/>
        <v>0</v>
      </c>
      <c r="TRM15">
        <f ca="1"/>
        <v>0</v>
      </c>
      <c r="TRN15">
        <f ca="1"/>
        <v>0</v>
      </c>
      <c r="TRO15">
        <f ca="1"/>
        <v>0</v>
      </c>
      <c r="TRP15">
        <f ca="1"/>
        <v>0</v>
      </c>
      <c r="TRQ15">
        <f ca="1"/>
        <v>0</v>
      </c>
      <c r="TRR15">
        <f ca="1"/>
        <v>0</v>
      </c>
      <c r="TRS15">
        <f ca="1"/>
        <v>0</v>
      </c>
      <c r="TRT15">
        <f ca="1"/>
        <v>0</v>
      </c>
      <c r="TRU15">
        <f ca="1"/>
        <v>0</v>
      </c>
      <c r="TRV15">
        <f ca="1"/>
        <v>0</v>
      </c>
      <c r="TRW15">
        <f ca="1"/>
        <v>0</v>
      </c>
      <c r="TRX15">
        <f ca="1"/>
        <v>0</v>
      </c>
      <c r="TRY15">
        <f ca="1"/>
        <v>0</v>
      </c>
      <c r="TRZ15">
        <f ca="1"/>
        <v>0</v>
      </c>
      <c r="TSA15">
        <f ca="1"/>
        <v>0</v>
      </c>
      <c r="TSB15">
        <f ca="1"/>
        <v>0</v>
      </c>
      <c r="TSC15">
        <f ca="1"/>
        <v>0</v>
      </c>
      <c r="TSD15">
        <f ca="1"/>
        <v>0</v>
      </c>
      <c r="TSE15">
        <f ca="1"/>
        <v>0</v>
      </c>
      <c r="TSF15">
        <f ca="1"/>
        <v>0</v>
      </c>
      <c r="TSG15">
        <f ca="1"/>
        <v>0</v>
      </c>
      <c r="TSH15">
        <f ca="1"/>
        <v>0</v>
      </c>
      <c r="TSI15">
        <f ca="1"/>
        <v>0</v>
      </c>
      <c r="TSJ15">
        <f ca="1"/>
        <v>0</v>
      </c>
      <c r="TSK15">
        <f ca="1"/>
        <v>0</v>
      </c>
      <c r="TSL15">
        <f ca="1"/>
        <v>0</v>
      </c>
      <c r="TSM15">
        <f ca="1"/>
        <v>0</v>
      </c>
      <c r="TSN15">
        <f ca="1"/>
        <v>0</v>
      </c>
      <c r="TSO15">
        <f ca="1"/>
        <v>0</v>
      </c>
      <c r="TSP15">
        <f ca="1"/>
        <v>0</v>
      </c>
      <c r="TSQ15">
        <f ca="1"/>
        <v>0</v>
      </c>
      <c r="TSR15">
        <f ca="1"/>
        <v>0</v>
      </c>
      <c r="TSS15">
        <f ca="1"/>
        <v>0</v>
      </c>
      <c r="TST15">
        <f ca="1"/>
        <v>0</v>
      </c>
      <c r="TSU15">
        <f ca="1"/>
        <v>0</v>
      </c>
      <c r="TSV15">
        <f ca="1"/>
        <v>0</v>
      </c>
      <c r="TSW15">
        <f ca="1"/>
        <v>0</v>
      </c>
      <c r="TSX15">
        <f ca="1"/>
        <v>0</v>
      </c>
      <c r="TSY15">
        <f ca="1"/>
        <v>0</v>
      </c>
      <c r="TSZ15">
        <f ca="1"/>
        <v>0</v>
      </c>
      <c r="TTA15">
        <f ca="1"/>
        <v>0</v>
      </c>
      <c r="TTB15">
        <f ca="1"/>
        <v>0</v>
      </c>
      <c r="TTC15">
        <f ca="1"/>
        <v>0</v>
      </c>
      <c r="TTD15">
        <f ca="1"/>
        <v>0</v>
      </c>
      <c r="TTE15">
        <f ca="1"/>
        <v>0</v>
      </c>
      <c r="TTF15">
        <f ca="1"/>
        <v>0</v>
      </c>
      <c r="TTG15">
        <f ca="1"/>
        <v>0</v>
      </c>
      <c r="TTH15">
        <f ca="1"/>
        <v>0</v>
      </c>
      <c r="TTI15">
        <f ca="1"/>
        <v>0</v>
      </c>
      <c r="TTJ15">
        <f ca="1"/>
        <v>0</v>
      </c>
      <c r="TTK15">
        <f ca="1"/>
        <v>0</v>
      </c>
      <c r="TTL15">
        <f ca="1"/>
        <v>0</v>
      </c>
      <c r="TTM15">
        <f ca="1"/>
        <v>0</v>
      </c>
      <c r="TTN15">
        <f ca="1"/>
        <v>0</v>
      </c>
      <c r="TTO15">
        <f ca="1"/>
        <v>0</v>
      </c>
      <c r="TTP15">
        <f ca="1"/>
        <v>0</v>
      </c>
      <c r="TTQ15">
        <f ca="1"/>
        <v>0</v>
      </c>
      <c r="TTR15">
        <f ca="1"/>
        <v>0</v>
      </c>
      <c r="TTS15">
        <f ca="1"/>
        <v>0</v>
      </c>
      <c r="TTT15">
        <f ca="1"/>
        <v>0</v>
      </c>
      <c r="TTU15">
        <f ca="1"/>
        <v>0</v>
      </c>
      <c r="TTV15">
        <f ca="1"/>
        <v>0</v>
      </c>
      <c r="TTW15">
        <f ca="1"/>
        <v>0</v>
      </c>
      <c r="TTX15">
        <f ca="1"/>
        <v>0</v>
      </c>
      <c r="TTY15">
        <f ca="1"/>
        <v>0</v>
      </c>
      <c r="TTZ15">
        <f ca="1"/>
        <v>0</v>
      </c>
      <c r="TUA15">
        <f ca="1"/>
        <v>0</v>
      </c>
      <c r="TUB15">
        <f ca="1"/>
        <v>0</v>
      </c>
      <c r="TUC15">
        <f ca="1"/>
        <v>0</v>
      </c>
      <c r="TUD15">
        <f ca="1"/>
        <v>0</v>
      </c>
      <c r="TUE15">
        <f ca="1"/>
        <v>0</v>
      </c>
      <c r="TUF15">
        <f ca="1"/>
        <v>0</v>
      </c>
      <c r="TUG15">
        <f ca="1"/>
        <v>0</v>
      </c>
      <c r="TUH15">
        <f ca="1"/>
        <v>0</v>
      </c>
      <c r="TUI15">
        <f ca="1"/>
        <v>0</v>
      </c>
      <c r="TUJ15">
        <f ca="1"/>
        <v>0</v>
      </c>
      <c r="TUK15">
        <f ca="1"/>
        <v>0</v>
      </c>
      <c r="TUL15">
        <f ca="1"/>
        <v>0</v>
      </c>
      <c r="TUM15">
        <f ca="1"/>
        <v>0</v>
      </c>
      <c r="TUN15">
        <f ca="1"/>
        <v>0</v>
      </c>
      <c r="TUO15">
        <f ca="1"/>
        <v>0</v>
      </c>
      <c r="TUP15">
        <f ca="1"/>
        <v>0</v>
      </c>
      <c r="TUQ15">
        <f ca="1"/>
        <v>0</v>
      </c>
      <c r="TUR15">
        <f ca="1"/>
        <v>0</v>
      </c>
      <c r="TUS15">
        <f ca="1"/>
        <v>0</v>
      </c>
      <c r="TUT15">
        <f ca="1"/>
        <v>0</v>
      </c>
      <c r="TUU15">
        <f ca="1"/>
        <v>0</v>
      </c>
      <c r="TUV15">
        <f ca="1"/>
        <v>0</v>
      </c>
      <c r="TUW15">
        <f ca="1"/>
        <v>0</v>
      </c>
      <c r="TUX15">
        <f ca="1"/>
        <v>0</v>
      </c>
      <c r="TUY15">
        <f ca="1"/>
        <v>0</v>
      </c>
      <c r="TUZ15">
        <f ca="1"/>
        <v>0</v>
      </c>
      <c r="TVA15">
        <f ca="1"/>
        <v>0</v>
      </c>
      <c r="TVB15">
        <f ca="1"/>
        <v>0</v>
      </c>
      <c r="TVC15">
        <f ca="1"/>
        <v>0</v>
      </c>
      <c r="TVD15">
        <f ca="1"/>
        <v>0</v>
      </c>
      <c r="TVE15">
        <f ca="1"/>
        <v>0</v>
      </c>
      <c r="TVF15">
        <f ca="1"/>
        <v>0</v>
      </c>
      <c r="TVG15">
        <f ca="1"/>
        <v>0</v>
      </c>
      <c r="TVH15">
        <f ca="1"/>
        <v>0</v>
      </c>
      <c r="TVI15">
        <f ca="1"/>
        <v>0</v>
      </c>
      <c r="TVJ15">
        <f ca="1"/>
        <v>0</v>
      </c>
      <c r="TVK15">
        <f ca="1"/>
        <v>0</v>
      </c>
      <c r="TVL15">
        <f ca="1"/>
        <v>0</v>
      </c>
      <c r="TVM15">
        <f ca="1"/>
        <v>0</v>
      </c>
      <c r="TVN15">
        <f ca="1"/>
        <v>0</v>
      </c>
      <c r="TVO15">
        <f ca="1"/>
        <v>0</v>
      </c>
      <c r="TVP15">
        <f ca="1"/>
        <v>0</v>
      </c>
      <c r="TVQ15">
        <f ca="1"/>
        <v>0</v>
      </c>
      <c r="TVR15">
        <f ca="1"/>
        <v>0</v>
      </c>
      <c r="TVS15">
        <f ca="1"/>
        <v>0</v>
      </c>
      <c r="TVT15">
        <f ca="1"/>
        <v>0</v>
      </c>
      <c r="TVU15">
        <f ca="1"/>
        <v>0</v>
      </c>
      <c r="TVV15">
        <f ca="1"/>
        <v>0</v>
      </c>
      <c r="TVW15">
        <f ca="1"/>
        <v>0</v>
      </c>
      <c r="TVX15">
        <f ca="1"/>
        <v>0</v>
      </c>
      <c r="TVY15">
        <f ca="1"/>
        <v>0</v>
      </c>
      <c r="TVZ15">
        <f ca="1"/>
        <v>0</v>
      </c>
      <c r="TWA15">
        <f ca="1"/>
        <v>0</v>
      </c>
      <c r="TWB15">
        <f ca="1"/>
        <v>0</v>
      </c>
      <c r="TWC15">
        <f ca="1"/>
        <v>0</v>
      </c>
      <c r="TWD15">
        <f ca="1"/>
        <v>0</v>
      </c>
      <c r="TWE15">
        <f ca="1"/>
        <v>0</v>
      </c>
      <c r="TWF15">
        <f ca="1"/>
        <v>0</v>
      </c>
      <c r="TWG15">
        <f ca="1"/>
        <v>0</v>
      </c>
      <c r="TWH15">
        <f ca="1"/>
        <v>0</v>
      </c>
      <c r="TWI15">
        <f ca="1"/>
        <v>0</v>
      </c>
      <c r="TWJ15">
        <f ca="1"/>
        <v>0</v>
      </c>
      <c r="TWK15">
        <f ca="1"/>
        <v>0</v>
      </c>
      <c r="TWL15">
        <f ca="1"/>
        <v>0</v>
      </c>
      <c r="TWM15">
        <f ca="1"/>
        <v>0</v>
      </c>
      <c r="TWN15">
        <f ca="1"/>
        <v>0</v>
      </c>
      <c r="TWO15">
        <f ca="1"/>
        <v>0</v>
      </c>
      <c r="TWP15">
        <f ca="1"/>
        <v>0</v>
      </c>
      <c r="TWQ15">
        <f ca="1"/>
        <v>0</v>
      </c>
      <c r="TWR15">
        <f ca="1"/>
        <v>0</v>
      </c>
      <c r="TWS15">
        <f ca="1"/>
        <v>0</v>
      </c>
      <c r="TWT15">
        <f ca="1"/>
        <v>0</v>
      </c>
      <c r="TWU15">
        <f ca="1"/>
        <v>0</v>
      </c>
      <c r="TWV15">
        <f ca="1"/>
        <v>0</v>
      </c>
      <c r="TWW15">
        <f ca="1"/>
        <v>0</v>
      </c>
      <c r="TWX15">
        <f ca="1"/>
        <v>0</v>
      </c>
      <c r="TWY15">
        <f ca="1"/>
        <v>0</v>
      </c>
      <c r="TWZ15">
        <f ca="1"/>
        <v>0</v>
      </c>
      <c r="TXA15">
        <f ca="1"/>
        <v>0</v>
      </c>
      <c r="TXB15">
        <f ca="1"/>
        <v>0</v>
      </c>
      <c r="TXC15">
        <f ca="1"/>
        <v>0</v>
      </c>
      <c r="TXD15">
        <f ca="1"/>
        <v>0</v>
      </c>
      <c r="TXE15">
        <f ca="1"/>
        <v>0</v>
      </c>
      <c r="TXF15">
        <f ca="1"/>
        <v>0</v>
      </c>
      <c r="TXG15">
        <f ca="1"/>
        <v>0</v>
      </c>
      <c r="TXH15">
        <f ca="1"/>
        <v>0</v>
      </c>
      <c r="TXI15">
        <f ca="1"/>
        <v>0</v>
      </c>
      <c r="TXJ15">
        <f ca="1"/>
        <v>0</v>
      </c>
      <c r="TXK15">
        <f ca="1"/>
        <v>0</v>
      </c>
      <c r="TXL15">
        <f ca="1"/>
        <v>0</v>
      </c>
      <c r="TXM15">
        <f ca="1"/>
        <v>0</v>
      </c>
      <c r="TXN15">
        <f ca="1"/>
        <v>0</v>
      </c>
      <c r="TXO15">
        <f ca="1"/>
        <v>0</v>
      </c>
      <c r="TXP15">
        <f ca="1"/>
        <v>0</v>
      </c>
      <c r="TXQ15">
        <f ca="1"/>
        <v>0</v>
      </c>
      <c r="TXR15">
        <f ca="1"/>
        <v>0</v>
      </c>
      <c r="TXS15">
        <f ca="1"/>
        <v>0</v>
      </c>
      <c r="TXT15">
        <f ca="1"/>
        <v>0</v>
      </c>
      <c r="TXU15">
        <f ca="1"/>
        <v>0</v>
      </c>
      <c r="TXV15">
        <f ca="1"/>
        <v>0</v>
      </c>
      <c r="TXW15">
        <f ca="1"/>
        <v>0</v>
      </c>
      <c r="TXX15">
        <f ca="1"/>
        <v>0</v>
      </c>
      <c r="TXY15">
        <f ca="1"/>
        <v>0</v>
      </c>
      <c r="TXZ15">
        <f ca="1"/>
        <v>0</v>
      </c>
      <c r="TYA15">
        <f ca="1"/>
        <v>0</v>
      </c>
      <c r="TYB15">
        <f ca="1"/>
        <v>0</v>
      </c>
      <c r="TYC15">
        <f ca="1"/>
        <v>0</v>
      </c>
      <c r="TYD15">
        <f ca="1"/>
        <v>0</v>
      </c>
      <c r="TYE15">
        <f ca="1"/>
        <v>0</v>
      </c>
      <c r="TYF15">
        <f ca="1"/>
        <v>0</v>
      </c>
      <c r="TYG15">
        <f ca="1"/>
        <v>0</v>
      </c>
      <c r="TYH15">
        <f ca="1"/>
        <v>0</v>
      </c>
      <c r="TYI15">
        <f ca="1"/>
        <v>0</v>
      </c>
      <c r="TYJ15">
        <f ca="1"/>
        <v>0</v>
      </c>
      <c r="TYK15">
        <f ca="1"/>
        <v>0</v>
      </c>
      <c r="TYL15">
        <f ca="1"/>
        <v>0</v>
      </c>
      <c r="TYM15">
        <f ca="1"/>
        <v>0</v>
      </c>
      <c r="TYN15">
        <f ca="1"/>
        <v>0</v>
      </c>
      <c r="TYO15">
        <f ca="1"/>
        <v>0</v>
      </c>
      <c r="TYP15">
        <f ca="1"/>
        <v>0</v>
      </c>
      <c r="TYQ15">
        <f ca="1"/>
        <v>0</v>
      </c>
      <c r="TYR15">
        <f ca="1"/>
        <v>0</v>
      </c>
      <c r="TYS15">
        <f ca="1"/>
        <v>0</v>
      </c>
      <c r="TYT15">
        <f ca="1"/>
        <v>0</v>
      </c>
      <c r="TYU15">
        <f ca="1"/>
        <v>0</v>
      </c>
      <c r="TYV15">
        <f ca="1"/>
        <v>0</v>
      </c>
      <c r="TYW15">
        <f ca="1"/>
        <v>0</v>
      </c>
      <c r="TYX15">
        <f ca="1"/>
        <v>0</v>
      </c>
      <c r="TYY15">
        <f ca="1"/>
        <v>0</v>
      </c>
      <c r="TYZ15">
        <f ca="1"/>
        <v>0</v>
      </c>
      <c r="TZA15">
        <f ca="1"/>
        <v>0</v>
      </c>
      <c r="TZB15">
        <f ca="1"/>
        <v>0</v>
      </c>
      <c r="TZC15">
        <f ca="1"/>
        <v>0</v>
      </c>
      <c r="TZD15">
        <f ca="1"/>
        <v>0</v>
      </c>
      <c r="TZE15">
        <f ca="1"/>
        <v>0</v>
      </c>
      <c r="TZF15">
        <f ca="1"/>
        <v>0</v>
      </c>
      <c r="TZG15">
        <f ca="1"/>
        <v>0</v>
      </c>
      <c r="TZH15">
        <f ca="1"/>
        <v>0</v>
      </c>
      <c r="TZI15">
        <f ca="1"/>
        <v>0</v>
      </c>
      <c r="TZJ15">
        <f ca="1"/>
        <v>0</v>
      </c>
      <c r="TZK15">
        <f ca="1"/>
        <v>0</v>
      </c>
      <c r="TZL15">
        <f ca="1"/>
        <v>0</v>
      </c>
      <c r="TZM15">
        <f ca="1"/>
        <v>0</v>
      </c>
      <c r="TZN15">
        <f ca="1"/>
        <v>0</v>
      </c>
      <c r="TZO15">
        <f ca="1"/>
        <v>0</v>
      </c>
      <c r="TZP15">
        <f ca="1"/>
        <v>0</v>
      </c>
      <c r="TZQ15">
        <f ca="1"/>
        <v>0</v>
      </c>
      <c r="TZR15">
        <f ca="1"/>
        <v>0</v>
      </c>
      <c r="TZS15">
        <f ca="1"/>
        <v>0</v>
      </c>
      <c r="TZT15">
        <f ca="1"/>
        <v>0</v>
      </c>
      <c r="TZU15">
        <f ca="1"/>
        <v>0</v>
      </c>
      <c r="TZV15">
        <f ca="1"/>
        <v>0</v>
      </c>
      <c r="TZW15">
        <f ca="1"/>
        <v>0</v>
      </c>
      <c r="TZX15">
        <f ca="1"/>
        <v>0</v>
      </c>
      <c r="TZY15">
        <f ca="1"/>
        <v>0</v>
      </c>
      <c r="TZZ15">
        <f ca="1"/>
        <v>0</v>
      </c>
      <c r="UAA15">
        <f ca="1"/>
        <v>0</v>
      </c>
      <c r="UAB15">
        <f ca="1"/>
        <v>0</v>
      </c>
      <c r="UAC15">
        <f ca="1"/>
        <v>0</v>
      </c>
      <c r="UAD15">
        <f ca="1"/>
        <v>0</v>
      </c>
      <c r="UAE15">
        <f ca="1"/>
        <v>0</v>
      </c>
      <c r="UAF15">
        <f ca="1"/>
        <v>0</v>
      </c>
      <c r="UAG15">
        <f ca="1"/>
        <v>0</v>
      </c>
      <c r="UAH15">
        <f ca="1"/>
        <v>0</v>
      </c>
      <c r="UAI15">
        <f ca="1"/>
        <v>0</v>
      </c>
      <c r="UAJ15">
        <f ca="1"/>
        <v>0</v>
      </c>
      <c r="UAK15">
        <f ca="1"/>
        <v>0</v>
      </c>
      <c r="UAL15">
        <f ca="1"/>
        <v>0</v>
      </c>
      <c r="UAM15">
        <f ca="1"/>
        <v>0</v>
      </c>
      <c r="UAN15">
        <f ca="1"/>
        <v>0</v>
      </c>
      <c r="UAO15">
        <f ca="1"/>
        <v>0</v>
      </c>
      <c r="UAP15">
        <f ca="1"/>
        <v>0</v>
      </c>
      <c r="UAQ15">
        <f ca="1"/>
        <v>0</v>
      </c>
      <c r="UAR15">
        <f ca="1"/>
        <v>0</v>
      </c>
      <c r="UAS15">
        <f ca="1"/>
        <v>0</v>
      </c>
      <c r="UAT15">
        <f ca="1"/>
        <v>0</v>
      </c>
      <c r="UAU15">
        <f ca="1"/>
        <v>0</v>
      </c>
      <c r="UAV15">
        <f ca="1"/>
        <v>0</v>
      </c>
      <c r="UAW15">
        <f ca="1"/>
        <v>0</v>
      </c>
      <c r="UAX15">
        <f ca="1"/>
        <v>0</v>
      </c>
      <c r="UAY15">
        <f ca="1"/>
        <v>0</v>
      </c>
      <c r="UAZ15">
        <f ca="1"/>
        <v>0</v>
      </c>
      <c r="UBA15">
        <f ca="1"/>
        <v>0</v>
      </c>
      <c r="UBB15">
        <f ca="1"/>
        <v>0</v>
      </c>
      <c r="UBC15">
        <f ca="1"/>
        <v>0</v>
      </c>
      <c r="UBD15">
        <f ca="1"/>
        <v>0</v>
      </c>
      <c r="UBE15">
        <f ca="1"/>
        <v>0</v>
      </c>
      <c r="UBF15">
        <f ca="1"/>
        <v>0</v>
      </c>
      <c r="UBG15">
        <f ca="1"/>
        <v>0</v>
      </c>
      <c r="UBH15">
        <f ca="1"/>
        <v>0</v>
      </c>
      <c r="UBI15">
        <f ca="1"/>
        <v>0</v>
      </c>
      <c r="UBJ15">
        <f ca="1"/>
        <v>0</v>
      </c>
      <c r="UBK15">
        <f ca="1"/>
        <v>0</v>
      </c>
      <c r="UBL15">
        <f ca="1"/>
        <v>0</v>
      </c>
      <c r="UBM15">
        <f ca="1"/>
        <v>0</v>
      </c>
      <c r="UBN15">
        <f ca="1"/>
        <v>0</v>
      </c>
      <c r="UBO15">
        <f ca="1"/>
        <v>0</v>
      </c>
      <c r="UBP15">
        <f ca="1"/>
        <v>0</v>
      </c>
      <c r="UBQ15">
        <f ca="1"/>
        <v>0</v>
      </c>
      <c r="UBR15">
        <f ca="1"/>
        <v>0</v>
      </c>
      <c r="UBS15">
        <f ca="1"/>
        <v>0</v>
      </c>
      <c r="UBT15">
        <f ca="1"/>
        <v>0</v>
      </c>
      <c r="UBU15">
        <f ca="1"/>
        <v>0</v>
      </c>
      <c r="UBV15">
        <f ca="1"/>
        <v>0</v>
      </c>
      <c r="UBW15">
        <f ca="1"/>
        <v>0</v>
      </c>
      <c r="UBX15">
        <f ca="1"/>
        <v>0</v>
      </c>
      <c r="UBY15">
        <f ca="1"/>
        <v>0</v>
      </c>
      <c r="UBZ15">
        <f ca="1"/>
        <v>0</v>
      </c>
      <c r="UCA15">
        <f ca="1"/>
        <v>0</v>
      </c>
      <c r="UCB15">
        <f ca="1"/>
        <v>0</v>
      </c>
      <c r="UCC15">
        <f ca="1"/>
        <v>0</v>
      </c>
      <c r="UCD15">
        <f ca="1"/>
        <v>0</v>
      </c>
      <c r="UCE15">
        <f ca="1"/>
        <v>0</v>
      </c>
      <c r="UCF15">
        <f ca="1"/>
        <v>0</v>
      </c>
      <c r="UCG15">
        <f ca="1"/>
        <v>0</v>
      </c>
      <c r="UCH15">
        <f ca="1"/>
        <v>0</v>
      </c>
      <c r="UCI15">
        <f ca="1"/>
        <v>0</v>
      </c>
      <c r="UCJ15">
        <f ca="1"/>
        <v>0</v>
      </c>
      <c r="UCK15">
        <f ca="1"/>
        <v>0</v>
      </c>
      <c r="UCL15">
        <f ca="1"/>
        <v>0</v>
      </c>
      <c r="UCM15">
        <f ca="1"/>
        <v>0</v>
      </c>
      <c r="UCN15">
        <f ca="1"/>
        <v>0</v>
      </c>
      <c r="UCO15">
        <f ca="1"/>
        <v>0</v>
      </c>
      <c r="UCP15">
        <f ca="1"/>
        <v>0</v>
      </c>
      <c r="UCQ15">
        <f ca="1"/>
        <v>0</v>
      </c>
      <c r="UCR15">
        <f ca="1"/>
        <v>0</v>
      </c>
      <c r="UCS15">
        <f ca="1"/>
        <v>0</v>
      </c>
      <c r="UCT15">
        <f ca="1"/>
        <v>0</v>
      </c>
      <c r="UCU15">
        <f ca="1"/>
        <v>0</v>
      </c>
      <c r="UCV15">
        <f ca="1"/>
        <v>0</v>
      </c>
      <c r="UCW15">
        <f ca="1"/>
        <v>0</v>
      </c>
      <c r="UCX15">
        <f ca="1"/>
        <v>0</v>
      </c>
      <c r="UCY15">
        <f ca="1"/>
        <v>0</v>
      </c>
      <c r="UCZ15">
        <f ca="1"/>
        <v>0</v>
      </c>
      <c r="UDA15">
        <f ca="1"/>
        <v>0</v>
      </c>
      <c r="UDB15">
        <f ca="1"/>
        <v>0</v>
      </c>
      <c r="UDC15">
        <f ca="1"/>
        <v>0</v>
      </c>
      <c r="UDD15">
        <f ca="1"/>
        <v>0</v>
      </c>
      <c r="UDE15">
        <f ca="1"/>
        <v>0</v>
      </c>
      <c r="UDF15">
        <f ca="1"/>
        <v>0</v>
      </c>
      <c r="UDG15">
        <f ca="1"/>
        <v>0</v>
      </c>
      <c r="UDH15">
        <f ca="1"/>
        <v>0</v>
      </c>
      <c r="UDI15">
        <f ca="1"/>
        <v>0</v>
      </c>
      <c r="UDJ15">
        <f ca="1"/>
        <v>0</v>
      </c>
      <c r="UDK15">
        <f ca="1"/>
        <v>0</v>
      </c>
      <c r="UDL15">
        <f ca="1"/>
        <v>0</v>
      </c>
      <c r="UDM15">
        <f ca="1"/>
        <v>0</v>
      </c>
      <c r="UDN15">
        <f ca="1"/>
        <v>0</v>
      </c>
      <c r="UDO15">
        <f ca="1"/>
        <v>0</v>
      </c>
      <c r="UDP15">
        <f ca="1"/>
        <v>0</v>
      </c>
      <c r="UDQ15">
        <f ca="1"/>
        <v>0</v>
      </c>
      <c r="UDR15">
        <f ca="1"/>
        <v>0</v>
      </c>
      <c r="UDS15">
        <f ca="1"/>
        <v>0</v>
      </c>
      <c r="UDT15">
        <f ca="1"/>
        <v>0</v>
      </c>
      <c r="UDU15">
        <f ca="1"/>
        <v>0</v>
      </c>
      <c r="UDV15">
        <f ca="1"/>
        <v>0</v>
      </c>
      <c r="UDW15">
        <f ca="1"/>
        <v>0</v>
      </c>
      <c r="UDX15">
        <f ca="1"/>
        <v>0</v>
      </c>
      <c r="UDY15">
        <f ca="1"/>
        <v>0</v>
      </c>
      <c r="UDZ15">
        <f ca="1"/>
        <v>0</v>
      </c>
      <c r="UEA15">
        <f ca="1"/>
        <v>0</v>
      </c>
      <c r="UEB15">
        <f ca="1"/>
        <v>0</v>
      </c>
      <c r="UEC15">
        <f ca="1"/>
        <v>0</v>
      </c>
      <c r="UED15">
        <f ca="1"/>
        <v>0</v>
      </c>
      <c r="UEE15">
        <f ca="1"/>
        <v>0</v>
      </c>
      <c r="UEF15">
        <f ca="1"/>
        <v>0</v>
      </c>
      <c r="UEG15">
        <f ca="1"/>
        <v>0</v>
      </c>
      <c r="UEH15">
        <f ca="1"/>
        <v>0</v>
      </c>
      <c r="UEI15">
        <f ca="1"/>
        <v>0</v>
      </c>
      <c r="UEJ15">
        <f ca="1"/>
        <v>0</v>
      </c>
      <c r="UEK15">
        <f ca="1"/>
        <v>0</v>
      </c>
      <c r="UEL15">
        <f ca="1"/>
        <v>0</v>
      </c>
      <c r="UEM15">
        <f ca="1"/>
        <v>0</v>
      </c>
      <c r="UEN15">
        <f ca="1"/>
        <v>0</v>
      </c>
      <c r="UEO15">
        <f ca="1"/>
        <v>0</v>
      </c>
      <c r="UEP15">
        <f ca="1"/>
        <v>0</v>
      </c>
      <c r="UEQ15">
        <f ca="1"/>
        <v>0</v>
      </c>
      <c r="UER15">
        <f ca="1"/>
        <v>0</v>
      </c>
      <c r="UES15">
        <f ca="1"/>
        <v>0</v>
      </c>
      <c r="UET15">
        <f ca="1"/>
        <v>0</v>
      </c>
      <c r="UEU15">
        <f ca="1"/>
        <v>0</v>
      </c>
      <c r="UEV15">
        <f ca="1"/>
        <v>0</v>
      </c>
      <c r="UEW15">
        <f ca="1"/>
        <v>0</v>
      </c>
      <c r="UEX15">
        <f ca="1"/>
        <v>0</v>
      </c>
      <c r="UEY15">
        <f ca="1"/>
        <v>0</v>
      </c>
      <c r="UEZ15">
        <f ca="1"/>
        <v>0</v>
      </c>
      <c r="UFA15">
        <f ca="1"/>
        <v>0</v>
      </c>
      <c r="UFB15">
        <f ca="1"/>
        <v>0</v>
      </c>
      <c r="UFC15">
        <f ca="1"/>
        <v>0</v>
      </c>
      <c r="UFD15">
        <f ca="1"/>
        <v>0</v>
      </c>
      <c r="UFE15">
        <f ca="1"/>
        <v>0</v>
      </c>
      <c r="UFF15">
        <f ca="1"/>
        <v>0</v>
      </c>
      <c r="UFG15">
        <f ca="1"/>
        <v>0</v>
      </c>
      <c r="UFH15">
        <f ca="1"/>
        <v>0</v>
      </c>
      <c r="UFI15">
        <f ca="1"/>
        <v>0</v>
      </c>
      <c r="UFJ15">
        <f ca="1"/>
        <v>0</v>
      </c>
      <c r="UFK15">
        <f ca="1"/>
        <v>0</v>
      </c>
      <c r="UFL15">
        <f ca="1"/>
        <v>0</v>
      </c>
      <c r="UFM15">
        <f ca="1"/>
        <v>0</v>
      </c>
      <c r="UFN15">
        <f ca="1"/>
        <v>0</v>
      </c>
      <c r="UFO15">
        <f ca="1"/>
        <v>0</v>
      </c>
      <c r="UFP15">
        <f ca="1"/>
        <v>0</v>
      </c>
      <c r="UFQ15">
        <f ca="1"/>
        <v>0</v>
      </c>
      <c r="UFR15">
        <f ca="1"/>
        <v>0</v>
      </c>
      <c r="UFS15">
        <f ca="1"/>
        <v>0</v>
      </c>
      <c r="UFT15">
        <f ca="1"/>
        <v>0</v>
      </c>
      <c r="UFU15">
        <f ca="1"/>
        <v>0</v>
      </c>
      <c r="UFV15">
        <f ca="1"/>
        <v>0</v>
      </c>
      <c r="UFW15">
        <f ca="1"/>
        <v>0</v>
      </c>
      <c r="UFX15">
        <f ca="1"/>
        <v>0</v>
      </c>
      <c r="UFY15">
        <f ca="1"/>
        <v>0</v>
      </c>
      <c r="UFZ15">
        <f ca="1"/>
        <v>0</v>
      </c>
      <c r="UGA15">
        <f ca="1"/>
        <v>0</v>
      </c>
      <c r="UGB15">
        <f ca="1"/>
        <v>0</v>
      </c>
      <c r="UGC15">
        <f ca="1"/>
        <v>0</v>
      </c>
      <c r="UGD15">
        <f ca="1"/>
        <v>0</v>
      </c>
      <c r="UGE15">
        <f ca="1"/>
        <v>0</v>
      </c>
      <c r="UGF15">
        <f ca="1"/>
        <v>0</v>
      </c>
      <c r="UGG15">
        <f ca="1"/>
        <v>0</v>
      </c>
      <c r="UGH15">
        <f ca="1"/>
        <v>0</v>
      </c>
      <c r="UGI15">
        <f ca="1"/>
        <v>0</v>
      </c>
      <c r="UGJ15">
        <f ca="1"/>
        <v>0</v>
      </c>
      <c r="UGK15">
        <f ca="1"/>
        <v>0</v>
      </c>
      <c r="UGL15">
        <f ca="1"/>
        <v>0</v>
      </c>
      <c r="UGM15">
        <f ca="1"/>
        <v>0</v>
      </c>
      <c r="UGN15">
        <f ca="1"/>
        <v>0</v>
      </c>
      <c r="UGO15">
        <f ca="1"/>
        <v>0</v>
      </c>
      <c r="UGP15">
        <f ca="1"/>
        <v>0</v>
      </c>
      <c r="UGQ15">
        <f ca="1"/>
        <v>0</v>
      </c>
      <c r="UGR15">
        <f ca="1"/>
        <v>0</v>
      </c>
      <c r="UGS15">
        <f ca="1"/>
        <v>0</v>
      </c>
      <c r="UGT15">
        <f ca="1"/>
        <v>0</v>
      </c>
      <c r="UGU15">
        <f ca="1"/>
        <v>0</v>
      </c>
      <c r="UGV15">
        <f ca="1"/>
        <v>0</v>
      </c>
      <c r="UGW15">
        <f ca="1"/>
        <v>0</v>
      </c>
      <c r="UGX15">
        <f ca="1"/>
        <v>0</v>
      </c>
      <c r="UGY15">
        <f ca="1"/>
        <v>0</v>
      </c>
      <c r="UGZ15">
        <f ca="1"/>
        <v>0</v>
      </c>
      <c r="UHA15">
        <f ca="1"/>
        <v>0</v>
      </c>
      <c r="UHB15">
        <f ca="1"/>
        <v>0</v>
      </c>
      <c r="UHC15">
        <f ca="1"/>
        <v>0</v>
      </c>
      <c r="UHD15">
        <f ca="1"/>
        <v>0</v>
      </c>
      <c r="UHE15">
        <f ca="1"/>
        <v>0</v>
      </c>
      <c r="UHF15">
        <f ca="1"/>
        <v>0</v>
      </c>
      <c r="UHG15">
        <f ca="1"/>
        <v>0</v>
      </c>
      <c r="UHH15">
        <f ca="1"/>
        <v>0</v>
      </c>
      <c r="UHI15">
        <f ca="1"/>
        <v>0</v>
      </c>
      <c r="UHJ15">
        <f ca="1"/>
        <v>0</v>
      </c>
      <c r="UHK15">
        <f ca="1"/>
        <v>0</v>
      </c>
      <c r="UHL15">
        <f ca="1"/>
        <v>0</v>
      </c>
      <c r="UHM15">
        <f ca="1"/>
        <v>0</v>
      </c>
      <c r="UHN15">
        <f ca="1"/>
        <v>0</v>
      </c>
      <c r="UHO15">
        <f ca="1"/>
        <v>0</v>
      </c>
      <c r="UHP15">
        <f ca="1"/>
        <v>0</v>
      </c>
      <c r="UHQ15">
        <f ca="1"/>
        <v>0</v>
      </c>
      <c r="UHR15">
        <f ca="1"/>
        <v>0</v>
      </c>
      <c r="UHS15">
        <f ca="1"/>
        <v>0</v>
      </c>
      <c r="UHT15">
        <f ca="1"/>
        <v>0</v>
      </c>
      <c r="UHU15">
        <f ca="1"/>
        <v>0</v>
      </c>
      <c r="UHV15">
        <f ca="1"/>
        <v>0</v>
      </c>
      <c r="UHW15">
        <f ca="1"/>
        <v>0</v>
      </c>
      <c r="UHX15">
        <f ca="1"/>
        <v>0</v>
      </c>
      <c r="UHY15">
        <f ca="1"/>
        <v>0</v>
      </c>
      <c r="UHZ15">
        <f ca="1"/>
        <v>0</v>
      </c>
      <c r="UIA15">
        <f ca="1"/>
        <v>0</v>
      </c>
      <c r="UIB15">
        <f ca="1"/>
        <v>0</v>
      </c>
      <c r="UIC15">
        <f ca="1"/>
        <v>0</v>
      </c>
      <c r="UID15">
        <f ca="1"/>
        <v>0</v>
      </c>
      <c r="UIE15">
        <f ca="1"/>
        <v>0</v>
      </c>
      <c r="UIF15">
        <f ca="1"/>
        <v>0</v>
      </c>
      <c r="UIG15">
        <f ca="1"/>
        <v>0</v>
      </c>
      <c r="UIH15">
        <f ca="1"/>
        <v>0</v>
      </c>
      <c r="UII15">
        <f ca="1"/>
        <v>0</v>
      </c>
      <c r="UIJ15">
        <f ca="1"/>
        <v>0</v>
      </c>
      <c r="UIK15">
        <f ca="1"/>
        <v>0</v>
      </c>
      <c r="UIL15">
        <f ca="1"/>
        <v>0</v>
      </c>
      <c r="UIM15">
        <f ca="1"/>
        <v>0</v>
      </c>
      <c r="UIN15">
        <f ca="1"/>
        <v>0</v>
      </c>
      <c r="UIO15">
        <f ca="1"/>
        <v>0</v>
      </c>
      <c r="UIP15">
        <f ca="1"/>
        <v>0</v>
      </c>
      <c r="UIQ15">
        <f ca="1"/>
        <v>0</v>
      </c>
      <c r="UIR15">
        <f ca="1"/>
        <v>0</v>
      </c>
      <c r="UIS15">
        <f ca="1"/>
        <v>0</v>
      </c>
      <c r="UIT15">
        <f ca="1"/>
        <v>0</v>
      </c>
      <c r="UIU15">
        <f ca="1"/>
        <v>0</v>
      </c>
      <c r="UIV15">
        <f ca="1"/>
        <v>0</v>
      </c>
      <c r="UIW15">
        <f ca="1"/>
        <v>0</v>
      </c>
      <c r="UIX15">
        <f ca="1"/>
        <v>0</v>
      </c>
      <c r="UIY15">
        <f ca="1"/>
        <v>0</v>
      </c>
      <c r="UIZ15">
        <f ca="1"/>
        <v>0</v>
      </c>
      <c r="UJA15">
        <f ca="1"/>
        <v>0</v>
      </c>
      <c r="UJB15">
        <f ca="1"/>
        <v>0</v>
      </c>
      <c r="UJC15">
        <f ca="1"/>
        <v>0</v>
      </c>
      <c r="UJD15">
        <f ca="1"/>
        <v>0</v>
      </c>
      <c r="UJE15">
        <f ca="1"/>
        <v>0</v>
      </c>
      <c r="UJF15">
        <f ca="1"/>
        <v>0</v>
      </c>
      <c r="UJG15">
        <f ca="1"/>
        <v>0</v>
      </c>
      <c r="UJH15">
        <f ca="1"/>
        <v>0</v>
      </c>
      <c r="UJI15">
        <f ca="1"/>
        <v>0</v>
      </c>
      <c r="UJJ15">
        <f ca="1"/>
        <v>0</v>
      </c>
      <c r="UJK15">
        <f ca="1"/>
        <v>0</v>
      </c>
      <c r="UJL15">
        <f ca="1"/>
        <v>0</v>
      </c>
      <c r="UJM15">
        <f ca="1"/>
        <v>0</v>
      </c>
      <c r="UJN15">
        <f ca="1"/>
        <v>0</v>
      </c>
      <c r="UJO15">
        <f ca="1"/>
        <v>0</v>
      </c>
      <c r="UJP15">
        <f ca="1"/>
        <v>0</v>
      </c>
      <c r="UJQ15">
        <f ca="1"/>
        <v>0</v>
      </c>
      <c r="UJR15">
        <f ca="1"/>
        <v>0</v>
      </c>
      <c r="UJS15">
        <f ca="1"/>
        <v>0</v>
      </c>
      <c r="UJT15">
        <f ca="1"/>
        <v>0</v>
      </c>
      <c r="UJU15">
        <f ca="1"/>
        <v>0</v>
      </c>
      <c r="UJV15">
        <f ca="1"/>
        <v>0</v>
      </c>
      <c r="UJW15">
        <f ca="1"/>
        <v>0</v>
      </c>
      <c r="UJX15">
        <f ca="1"/>
        <v>0</v>
      </c>
      <c r="UJY15">
        <f ca="1"/>
        <v>0</v>
      </c>
      <c r="UJZ15">
        <f ca="1"/>
        <v>0</v>
      </c>
      <c r="UKA15">
        <f ca="1"/>
        <v>0</v>
      </c>
      <c r="UKB15">
        <f ca="1"/>
        <v>0</v>
      </c>
      <c r="UKC15">
        <f ca="1"/>
        <v>0</v>
      </c>
      <c r="UKD15">
        <f ca="1"/>
        <v>0</v>
      </c>
      <c r="UKE15">
        <f ca="1"/>
        <v>0</v>
      </c>
      <c r="UKF15">
        <f ca="1"/>
        <v>0</v>
      </c>
      <c r="UKG15">
        <f ca="1"/>
        <v>0</v>
      </c>
      <c r="UKH15">
        <f ca="1"/>
        <v>0</v>
      </c>
      <c r="UKI15">
        <f ca="1"/>
        <v>0</v>
      </c>
      <c r="UKJ15">
        <f ca="1"/>
        <v>0</v>
      </c>
      <c r="UKK15">
        <f ca="1"/>
        <v>0</v>
      </c>
      <c r="UKL15">
        <f ca="1"/>
        <v>0</v>
      </c>
      <c r="UKM15">
        <f ca="1"/>
        <v>0</v>
      </c>
      <c r="UKN15">
        <f ca="1"/>
        <v>0</v>
      </c>
      <c r="UKO15">
        <f ca="1"/>
        <v>0</v>
      </c>
      <c r="UKP15">
        <f ca="1"/>
        <v>0</v>
      </c>
      <c r="UKQ15">
        <f ca="1"/>
        <v>0</v>
      </c>
      <c r="UKR15">
        <f ca="1"/>
        <v>0</v>
      </c>
      <c r="UKS15">
        <f ca="1"/>
        <v>0</v>
      </c>
      <c r="UKT15">
        <f ca="1"/>
        <v>0</v>
      </c>
      <c r="UKU15">
        <f ca="1"/>
        <v>0</v>
      </c>
      <c r="UKV15">
        <f ca="1"/>
        <v>0</v>
      </c>
      <c r="UKW15">
        <f ca="1"/>
        <v>0</v>
      </c>
      <c r="UKX15">
        <f ca="1"/>
        <v>0</v>
      </c>
      <c r="UKY15">
        <f ca="1"/>
        <v>0</v>
      </c>
      <c r="UKZ15">
        <f ca="1"/>
        <v>0</v>
      </c>
      <c r="ULA15">
        <f ca="1"/>
        <v>0</v>
      </c>
      <c r="ULB15">
        <f ca="1"/>
        <v>0</v>
      </c>
      <c r="ULC15">
        <f ca="1"/>
        <v>0</v>
      </c>
      <c r="ULD15">
        <f ca="1"/>
        <v>0</v>
      </c>
      <c r="ULE15">
        <f ca="1"/>
        <v>0</v>
      </c>
      <c r="ULF15">
        <f ca="1"/>
        <v>0</v>
      </c>
      <c r="ULG15">
        <f ca="1"/>
        <v>0</v>
      </c>
      <c r="ULH15">
        <f ca="1"/>
        <v>0</v>
      </c>
      <c r="ULI15">
        <f ca="1"/>
        <v>0</v>
      </c>
      <c r="ULJ15">
        <f ca="1"/>
        <v>0</v>
      </c>
      <c r="ULK15">
        <f ca="1"/>
        <v>0</v>
      </c>
      <c r="ULL15">
        <f ca="1"/>
        <v>0</v>
      </c>
      <c r="ULM15">
        <f ca="1"/>
        <v>0</v>
      </c>
      <c r="ULN15">
        <f ca="1"/>
        <v>0</v>
      </c>
      <c r="ULO15">
        <f ca="1"/>
        <v>0</v>
      </c>
      <c r="ULP15">
        <f ca="1"/>
        <v>0</v>
      </c>
      <c r="ULQ15">
        <f ca="1"/>
        <v>0</v>
      </c>
      <c r="ULR15">
        <f ca="1"/>
        <v>0</v>
      </c>
      <c r="ULS15">
        <f ca="1"/>
        <v>0</v>
      </c>
      <c r="ULT15">
        <f ca="1"/>
        <v>0</v>
      </c>
      <c r="ULU15">
        <f ca="1"/>
        <v>0</v>
      </c>
      <c r="ULV15">
        <f ca="1"/>
        <v>0</v>
      </c>
      <c r="ULW15">
        <f ca="1"/>
        <v>0</v>
      </c>
      <c r="ULX15">
        <f ca="1"/>
        <v>0</v>
      </c>
      <c r="ULY15">
        <f ca="1"/>
        <v>0</v>
      </c>
      <c r="ULZ15">
        <f ca="1"/>
        <v>0</v>
      </c>
      <c r="UMA15">
        <f ca="1"/>
        <v>0</v>
      </c>
      <c r="UMB15">
        <f ca="1"/>
        <v>0</v>
      </c>
      <c r="UMC15">
        <f ca="1"/>
        <v>0</v>
      </c>
      <c r="UMD15">
        <f ca="1"/>
        <v>0</v>
      </c>
      <c r="UME15">
        <f ca="1"/>
        <v>0</v>
      </c>
      <c r="UMF15">
        <f ca="1"/>
        <v>0</v>
      </c>
      <c r="UMG15">
        <f ca="1"/>
        <v>0</v>
      </c>
      <c r="UMH15">
        <f ca="1"/>
        <v>0</v>
      </c>
      <c r="UMI15">
        <f ca="1"/>
        <v>0</v>
      </c>
      <c r="UMJ15">
        <f ca="1"/>
        <v>0</v>
      </c>
      <c r="UMK15">
        <f ca="1"/>
        <v>0</v>
      </c>
      <c r="UML15">
        <f ca="1"/>
        <v>0</v>
      </c>
      <c r="UMM15">
        <f ca="1"/>
        <v>0</v>
      </c>
      <c r="UMN15">
        <f ca="1"/>
        <v>0</v>
      </c>
      <c r="UMO15">
        <f ca="1"/>
        <v>0</v>
      </c>
      <c r="UMP15">
        <f ca="1"/>
        <v>0</v>
      </c>
      <c r="UMQ15">
        <f ca="1"/>
        <v>0</v>
      </c>
      <c r="UMR15">
        <f ca="1"/>
        <v>0</v>
      </c>
      <c r="UMS15">
        <f ca="1"/>
        <v>0</v>
      </c>
      <c r="UMT15">
        <f ca="1"/>
        <v>0</v>
      </c>
      <c r="UMU15">
        <f ca="1"/>
        <v>0</v>
      </c>
      <c r="UMV15">
        <f ca="1"/>
        <v>0</v>
      </c>
      <c r="UMW15">
        <f ca="1"/>
        <v>0</v>
      </c>
      <c r="UMX15">
        <f ca="1"/>
        <v>0</v>
      </c>
      <c r="UMY15">
        <f ca="1"/>
        <v>0</v>
      </c>
      <c r="UMZ15">
        <f ca="1"/>
        <v>0</v>
      </c>
      <c r="UNA15">
        <f ca="1"/>
        <v>0</v>
      </c>
      <c r="UNB15">
        <f ca="1"/>
        <v>0</v>
      </c>
      <c r="UNC15">
        <f ca="1"/>
        <v>0</v>
      </c>
      <c r="UND15">
        <f ca="1"/>
        <v>0</v>
      </c>
      <c r="UNE15">
        <f ca="1"/>
        <v>0</v>
      </c>
      <c r="UNF15">
        <f ca="1"/>
        <v>0</v>
      </c>
      <c r="UNG15">
        <f ca="1"/>
        <v>0</v>
      </c>
      <c r="UNH15">
        <f ca="1"/>
        <v>0</v>
      </c>
      <c r="UNI15">
        <f ca="1"/>
        <v>0</v>
      </c>
      <c r="UNJ15">
        <f ca="1"/>
        <v>0</v>
      </c>
      <c r="UNK15">
        <f ca="1"/>
        <v>0</v>
      </c>
      <c r="UNL15">
        <f ca="1"/>
        <v>0</v>
      </c>
      <c r="UNM15">
        <f ca="1"/>
        <v>0</v>
      </c>
      <c r="UNN15">
        <f ca="1"/>
        <v>0</v>
      </c>
      <c r="UNO15">
        <f ca="1"/>
        <v>0</v>
      </c>
      <c r="UNP15">
        <f ca="1"/>
        <v>0</v>
      </c>
      <c r="UNQ15">
        <f ca="1"/>
        <v>0</v>
      </c>
      <c r="UNR15">
        <f ca="1"/>
        <v>0</v>
      </c>
      <c r="UNS15">
        <f ca="1"/>
        <v>0</v>
      </c>
      <c r="UNT15">
        <f ca="1"/>
        <v>0</v>
      </c>
      <c r="UNU15">
        <f ca="1"/>
        <v>0</v>
      </c>
      <c r="UNV15">
        <f ca="1"/>
        <v>0</v>
      </c>
      <c r="UNW15">
        <f ca="1"/>
        <v>0</v>
      </c>
      <c r="UNX15">
        <f ca="1"/>
        <v>0</v>
      </c>
      <c r="UNY15">
        <f ca="1"/>
        <v>0</v>
      </c>
      <c r="UNZ15">
        <f ca="1"/>
        <v>0</v>
      </c>
      <c r="UOA15">
        <f ca="1"/>
        <v>0</v>
      </c>
      <c r="UOB15">
        <f ca="1"/>
        <v>0</v>
      </c>
      <c r="UOC15">
        <f ca="1"/>
        <v>0</v>
      </c>
      <c r="UOD15">
        <f ca="1"/>
        <v>0</v>
      </c>
      <c r="UOE15">
        <f ca="1"/>
        <v>0</v>
      </c>
      <c r="UOF15">
        <f ca="1"/>
        <v>0</v>
      </c>
      <c r="UOG15">
        <f ca="1"/>
        <v>0</v>
      </c>
      <c r="UOH15">
        <f ca="1"/>
        <v>0</v>
      </c>
      <c r="UOI15">
        <f ca="1"/>
        <v>0</v>
      </c>
      <c r="UOJ15">
        <f ca="1"/>
        <v>0</v>
      </c>
      <c r="UOK15">
        <f ca="1"/>
        <v>0</v>
      </c>
      <c r="UOL15">
        <f ca="1"/>
        <v>0</v>
      </c>
      <c r="UOM15">
        <f ca="1"/>
        <v>0</v>
      </c>
      <c r="UON15">
        <f ca="1"/>
        <v>0</v>
      </c>
      <c r="UOO15">
        <f ca="1"/>
        <v>0</v>
      </c>
      <c r="UOP15">
        <f ca="1"/>
        <v>0</v>
      </c>
      <c r="UOQ15">
        <f ca="1"/>
        <v>0</v>
      </c>
      <c r="UOR15">
        <f ca="1"/>
        <v>0</v>
      </c>
      <c r="UOS15">
        <f ca="1"/>
        <v>0</v>
      </c>
      <c r="UOT15">
        <f ca="1"/>
        <v>0</v>
      </c>
      <c r="UOU15">
        <f ca="1"/>
        <v>0</v>
      </c>
      <c r="UOV15">
        <f ca="1"/>
        <v>0</v>
      </c>
      <c r="UOW15">
        <f ca="1"/>
        <v>0</v>
      </c>
      <c r="UOX15">
        <f ca="1"/>
        <v>0</v>
      </c>
      <c r="UOY15">
        <f ca="1"/>
        <v>0</v>
      </c>
      <c r="UOZ15">
        <f ca="1"/>
        <v>0</v>
      </c>
      <c r="UPA15">
        <f ca="1"/>
        <v>0</v>
      </c>
      <c r="UPB15">
        <f ca="1"/>
        <v>0</v>
      </c>
      <c r="UPC15">
        <f ca="1"/>
        <v>0</v>
      </c>
      <c r="UPD15">
        <f ca="1"/>
        <v>0</v>
      </c>
      <c r="UPE15">
        <f ca="1"/>
        <v>0</v>
      </c>
      <c r="UPF15">
        <f ca="1"/>
        <v>0</v>
      </c>
      <c r="UPG15">
        <f ca="1"/>
        <v>0</v>
      </c>
      <c r="UPH15">
        <f ca="1"/>
        <v>0</v>
      </c>
      <c r="UPI15">
        <f ca="1"/>
        <v>0</v>
      </c>
      <c r="UPJ15">
        <f ca="1"/>
        <v>0</v>
      </c>
      <c r="UPK15">
        <f ca="1"/>
        <v>0</v>
      </c>
      <c r="UPL15">
        <f ca="1"/>
        <v>0</v>
      </c>
      <c r="UPM15">
        <f ca="1"/>
        <v>0</v>
      </c>
      <c r="UPN15">
        <f ca="1"/>
        <v>0</v>
      </c>
      <c r="UPO15">
        <f ca="1"/>
        <v>0</v>
      </c>
      <c r="UPP15">
        <f ca="1"/>
        <v>0</v>
      </c>
      <c r="UPQ15">
        <f ca="1"/>
        <v>0</v>
      </c>
      <c r="UPR15">
        <f ca="1"/>
        <v>0</v>
      </c>
      <c r="UPS15">
        <f ca="1"/>
        <v>0</v>
      </c>
      <c r="UPT15">
        <f ca="1"/>
        <v>0</v>
      </c>
      <c r="UPU15">
        <f ca="1"/>
        <v>0</v>
      </c>
      <c r="UPV15">
        <f ca="1"/>
        <v>0</v>
      </c>
      <c r="UPW15">
        <f ca="1"/>
        <v>0</v>
      </c>
      <c r="UPX15">
        <f ca="1"/>
        <v>0</v>
      </c>
      <c r="UPY15">
        <f ca="1"/>
        <v>0</v>
      </c>
      <c r="UPZ15">
        <f ca="1"/>
        <v>0</v>
      </c>
      <c r="UQA15">
        <f ca="1"/>
        <v>0</v>
      </c>
      <c r="UQB15">
        <f ca="1"/>
        <v>0</v>
      </c>
      <c r="UQC15">
        <f ca="1"/>
        <v>0</v>
      </c>
      <c r="UQD15">
        <f ca="1"/>
        <v>0</v>
      </c>
      <c r="UQE15">
        <f ca="1"/>
        <v>0</v>
      </c>
      <c r="UQF15">
        <f ca="1"/>
        <v>0</v>
      </c>
      <c r="UQG15">
        <f ca="1"/>
        <v>0</v>
      </c>
      <c r="UQH15">
        <f ca="1"/>
        <v>0</v>
      </c>
      <c r="UQI15">
        <f ca="1"/>
        <v>0</v>
      </c>
      <c r="UQJ15">
        <f ca="1"/>
        <v>0</v>
      </c>
      <c r="UQK15">
        <f ca="1"/>
        <v>0</v>
      </c>
      <c r="UQL15">
        <f ca="1"/>
        <v>0</v>
      </c>
      <c r="UQM15">
        <f ca="1"/>
        <v>0</v>
      </c>
      <c r="UQN15">
        <f ca="1"/>
        <v>0</v>
      </c>
      <c r="UQO15">
        <f ca="1"/>
        <v>0</v>
      </c>
      <c r="UQP15">
        <f ca="1"/>
        <v>0</v>
      </c>
      <c r="UQQ15">
        <f ca="1"/>
        <v>0</v>
      </c>
      <c r="UQR15">
        <f ca="1"/>
        <v>0</v>
      </c>
      <c r="UQS15">
        <f ca="1"/>
        <v>0</v>
      </c>
      <c r="UQT15">
        <f ca="1"/>
        <v>0</v>
      </c>
      <c r="UQU15">
        <f ca="1"/>
        <v>0</v>
      </c>
      <c r="UQV15">
        <f ca="1"/>
        <v>0</v>
      </c>
      <c r="UQW15">
        <f ca="1"/>
        <v>0</v>
      </c>
      <c r="UQX15">
        <f ca="1"/>
        <v>0</v>
      </c>
      <c r="UQY15">
        <f ca="1"/>
        <v>0</v>
      </c>
      <c r="UQZ15">
        <f ca="1"/>
        <v>0</v>
      </c>
      <c r="URA15">
        <f ca="1"/>
        <v>0</v>
      </c>
      <c r="URB15">
        <f ca="1"/>
        <v>0</v>
      </c>
      <c r="URC15">
        <f ca="1"/>
        <v>0</v>
      </c>
      <c r="URD15">
        <f ca="1"/>
        <v>0</v>
      </c>
      <c r="URE15">
        <f ca="1"/>
        <v>0</v>
      </c>
      <c r="URF15">
        <f ca="1"/>
        <v>0</v>
      </c>
      <c r="URG15">
        <f ca="1"/>
        <v>0</v>
      </c>
      <c r="URH15">
        <f ca="1"/>
        <v>0</v>
      </c>
      <c r="URI15">
        <f ca="1"/>
        <v>0</v>
      </c>
      <c r="URJ15">
        <f ca="1"/>
        <v>0</v>
      </c>
      <c r="URK15">
        <f ca="1"/>
        <v>0</v>
      </c>
      <c r="URL15">
        <f ca="1"/>
        <v>0</v>
      </c>
      <c r="URM15">
        <f ca="1"/>
        <v>0</v>
      </c>
      <c r="URN15">
        <f ca="1"/>
        <v>0</v>
      </c>
      <c r="URO15">
        <f ca="1"/>
        <v>0</v>
      </c>
      <c r="URP15">
        <f ca="1"/>
        <v>0</v>
      </c>
      <c r="URQ15">
        <f ca="1"/>
        <v>0</v>
      </c>
      <c r="URR15">
        <f ca="1"/>
        <v>0</v>
      </c>
      <c r="URS15">
        <f ca="1"/>
        <v>0</v>
      </c>
      <c r="URT15">
        <f ca="1"/>
        <v>0</v>
      </c>
      <c r="URU15">
        <f ca="1"/>
        <v>0</v>
      </c>
      <c r="URV15">
        <f ca="1"/>
        <v>0</v>
      </c>
      <c r="URW15">
        <f ca="1"/>
        <v>0</v>
      </c>
      <c r="URX15">
        <f ca="1"/>
        <v>0</v>
      </c>
      <c r="URY15">
        <f ca="1"/>
        <v>0</v>
      </c>
      <c r="URZ15">
        <f ca="1"/>
        <v>0</v>
      </c>
      <c r="USA15">
        <f ca="1"/>
        <v>0</v>
      </c>
      <c r="USB15">
        <f ca="1"/>
        <v>0</v>
      </c>
      <c r="USC15">
        <f ca="1"/>
        <v>0</v>
      </c>
      <c r="USD15">
        <f ca="1"/>
        <v>0</v>
      </c>
      <c r="USE15">
        <f ca="1"/>
        <v>0</v>
      </c>
      <c r="USF15">
        <f ca="1"/>
        <v>0</v>
      </c>
      <c r="USG15">
        <f ca="1"/>
        <v>0</v>
      </c>
      <c r="USH15">
        <f ca="1"/>
        <v>0</v>
      </c>
      <c r="USI15">
        <f ca="1"/>
        <v>0</v>
      </c>
      <c r="USJ15">
        <f ca="1"/>
        <v>0</v>
      </c>
      <c r="USK15">
        <f ca="1"/>
        <v>0</v>
      </c>
      <c r="USL15">
        <f ca="1"/>
        <v>0</v>
      </c>
      <c r="USM15">
        <f ca="1"/>
        <v>0</v>
      </c>
      <c r="USN15">
        <f ca="1"/>
        <v>0</v>
      </c>
      <c r="USO15">
        <f ca="1"/>
        <v>0</v>
      </c>
      <c r="USP15">
        <f ca="1"/>
        <v>0</v>
      </c>
      <c r="USQ15">
        <f ca="1"/>
        <v>0</v>
      </c>
      <c r="USR15">
        <f ca="1"/>
        <v>0</v>
      </c>
      <c r="USS15">
        <f ca="1"/>
        <v>0</v>
      </c>
      <c r="UST15">
        <f ca="1"/>
        <v>0</v>
      </c>
      <c r="USU15">
        <f ca="1"/>
        <v>0</v>
      </c>
      <c r="USV15">
        <f ca="1"/>
        <v>0</v>
      </c>
      <c r="USW15">
        <f ca="1"/>
        <v>0</v>
      </c>
      <c r="USX15">
        <f ca="1"/>
        <v>0</v>
      </c>
      <c r="USY15">
        <f ca="1"/>
        <v>0</v>
      </c>
      <c r="USZ15">
        <f ca="1"/>
        <v>0</v>
      </c>
      <c r="UTA15">
        <f ca="1"/>
        <v>0</v>
      </c>
      <c r="UTB15">
        <f ca="1"/>
        <v>0</v>
      </c>
      <c r="UTC15">
        <f ca="1"/>
        <v>0</v>
      </c>
      <c r="UTD15">
        <f ca="1"/>
        <v>0</v>
      </c>
      <c r="UTE15">
        <f ca="1"/>
        <v>0</v>
      </c>
      <c r="UTF15">
        <f ca="1"/>
        <v>0</v>
      </c>
      <c r="UTG15">
        <f ca="1"/>
        <v>0</v>
      </c>
      <c r="UTH15">
        <f ca="1"/>
        <v>0</v>
      </c>
      <c r="UTI15">
        <f ca="1"/>
        <v>0</v>
      </c>
      <c r="UTJ15">
        <f ca="1"/>
        <v>0</v>
      </c>
      <c r="UTK15">
        <f ca="1"/>
        <v>0</v>
      </c>
      <c r="UTL15">
        <f ca="1"/>
        <v>0</v>
      </c>
      <c r="UTM15">
        <f ca="1"/>
        <v>0</v>
      </c>
      <c r="UTN15">
        <f ca="1"/>
        <v>0</v>
      </c>
      <c r="UTO15">
        <f ca="1"/>
        <v>0</v>
      </c>
      <c r="UTP15">
        <f ca="1"/>
        <v>0</v>
      </c>
      <c r="UTQ15">
        <f ca="1"/>
        <v>0</v>
      </c>
      <c r="UTR15">
        <f ca="1"/>
        <v>0</v>
      </c>
      <c r="UTS15">
        <f ca="1"/>
        <v>0</v>
      </c>
      <c r="UTT15">
        <f ca="1"/>
        <v>0</v>
      </c>
      <c r="UTU15">
        <f ca="1"/>
        <v>0</v>
      </c>
      <c r="UTV15">
        <f ca="1"/>
        <v>0</v>
      </c>
      <c r="UTW15">
        <f ca="1"/>
        <v>0</v>
      </c>
      <c r="UTX15">
        <f ca="1"/>
        <v>0</v>
      </c>
      <c r="UTY15">
        <f ca="1"/>
        <v>0</v>
      </c>
      <c r="UTZ15">
        <f ca="1"/>
        <v>0</v>
      </c>
      <c r="UUA15">
        <f ca="1"/>
        <v>0</v>
      </c>
      <c r="UUB15">
        <f ca="1"/>
        <v>0</v>
      </c>
      <c r="UUC15">
        <f ca="1"/>
        <v>0</v>
      </c>
      <c r="UUD15">
        <f ca="1"/>
        <v>0</v>
      </c>
      <c r="UUE15">
        <f ca="1"/>
        <v>0</v>
      </c>
      <c r="UUF15">
        <f ca="1"/>
        <v>0</v>
      </c>
      <c r="UUG15">
        <f ca="1"/>
        <v>0</v>
      </c>
      <c r="UUH15">
        <f ca="1"/>
        <v>0</v>
      </c>
      <c r="UUI15">
        <f ca="1"/>
        <v>0</v>
      </c>
      <c r="UUJ15">
        <f ca="1"/>
        <v>0</v>
      </c>
      <c r="UUK15">
        <f ca="1"/>
        <v>0</v>
      </c>
      <c r="UUL15">
        <f ca="1"/>
        <v>0</v>
      </c>
      <c r="UUM15">
        <f ca="1"/>
        <v>0</v>
      </c>
      <c r="UUN15">
        <f ca="1"/>
        <v>0</v>
      </c>
      <c r="UUO15">
        <f ca="1"/>
        <v>0</v>
      </c>
      <c r="UUP15">
        <f ca="1"/>
        <v>0</v>
      </c>
      <c r="UUQ15">
        <f ca="1"/>
        <v>0</v>
      </c>
      <c r="UUR15">
        <f ca="1"/>
        <v>0</v>
      </c>
      <c r="UUS15">
        <f ca="1"/>
        <v>0</v>
      </c>
      <c r="UUT15">
        <f ca="1"/>
        <v>0</v>
      </c>
      <c r="UUU15">
        <f ca="1"/>
        <v>0</v>
      </c>
      <c r="UUV15">
        <f ca="1"/>
        <v>0</v>
      </c>
      <c r="UUW15">
        <f ca="1"/>
        <v>0</v>
      </c>
      <c r="UUX15">
        <f ca="1"/>
        <v>0</v>
      </c>
      <c r="UUY15">
        <f ca="1"/>
        <v>0</v>
      </c>
      <c r="UUZ15">
        <f ca="1"/>
        <v>0</v>
      </c>
      <c r="UVA15">
        <f ca="1"/>
        <v>0</v>
      </c>
      <c r="UVB15">
        <f ca="1"/>
        <v>0</v>
      </c>
      <c r="UVC15">
        <f ca="1"/>
        <v>0</v>
      </c>
      <c r="UVD15">
        <f ca="1"/>
        <v>0</v>
      </c>
      <c r="UVE15">
        <f ca="1"/>
        <v>0</v>
      </c>
      <c r="UVF15">
        <f ca="1"/>
        <v>0</v>
      </c>
      <c r="UVG15">
        <f ca="1"/>
        <v>0</v>
      </c>
      <c r="UVH15">
        <f ca="1"/>
        <v>0</v>
      </c>
      <c r="UVI15">
        <f ca="1"/>
        <v>0</v>
      </c>
      <c r="UVJ15">
        <f ca="1"/>
        <v>0</v>
      </c>
      <c r="UVK15">
        <f ca="1"/>
        <v>0</v>
      </c>
      <c r="UVL15">
        <f ca="1"/>
        <v>0</v>
      </c>
      <c r="UVM15">
        <f ca="1"/>
        <v>0</v>
      </c>
      <c r="UVN15">
        <f ca="1"/>
        <v>0</v>
      </c>
      <c r="UVO15">
        <f ca="1"/>
        <v>0</v>
      </c>
      <c r="UVP15">
        <f ca="1"/>
        <v>0</v>
      </c>
      <c r="UVQ15">
        <f ca="1"/>
        <v>0</v>
      </c>
      <c r="UVR15">
        <f ca="1"/>
        <v>0</v>
      </c>
      <c r="UVS15">
        <f ca="1"/>
        <v>0</v>
      </c>
      <c r="UVT15">
        <f ca="1"/>
        <v>0</v>
      </c>
      <c r="UVU15">
        <f ca="1"/>
        <v>0</v>
      </c>
      <c r="UVV15">
        <f ca="1"/>
        <v>0</v>
      </c>
      <c r="UVW15">
        <f ca="1"/>
        <v>0</v>
      </c>
      <c r="UVX15">
        <f ca="1"/>
        <v>0</v>
      </c>
      <c r="UVY15">
        <f ca="1"/>
        <v>0</v>
      </c>
      <c r="UVZ15">
        <f ca="1"/>
        <v>0</v>
      </c>
      <c r="UWA15">
        <f ca="1"/>
        <v>0</v>
      </c>
      <c r="UWB15">
        <f ca="1"/>
        <v>0</v>
      </c>
      <c r="UWC15">
        <f ca="1"/>
        <v>0</v>
      </c>
      <c r="UWD15">
        <f ca="1"/>
        <v>0</v>
      </c>
      <c r="UWE15">
        <f ca="1"/>
        <v>0</v>
      </c>
      <c r="UWF15">
        <f ca="1"/>
        <v>0</v>
      </c>
      <c r="UWG15">
        <f ca="1"/>
        <v>0</v>
      </c>
      <c r="UWH15">
        <f ca="1"/>
        <v>0</v>
      </c>
      <c r="UWI15">
        <f ca="1"/>
        <v>0</v>
      </c>
      <c r="UWJ15">
        <f ca="1"/>
        <v>0</v>
      </c>
      <c r="UWK15">
        <f ca="1"/>
        <v>0</v>
      </c>
      <c r="UWL15">
        <f ca="1"/>
        <v>0</v>
      </c>
      <c r="UWM15">
        <f ca="1"/>
        <v>0</v>
      </c>
      <c r="UWN15">
        <f ca="1"/>
        <v>0</v>
      </c>
      <c r="UWO15">
        <f ca="1"/>
        <v>0</v>
      </c>
      <c r="UWP15">
        <f ca="1"/>
        <v>0</v>
      </c>
      <c r="UWQ15">
        <f ca="1"/>
        <v>0</v>
      </c>
      <c r="UWR15">
        <f ca="1"/>
        <v>0</v>
      </c>
      <c r="UWS15">
        <f ca="1"/>
        <v>0</v>
      </c>
      <c r="UWT15">
        <f ca="1"/>
        <v>0</v>
      </c>
      <c r="UWU15">
        <f ca="1"/>
        <v>0</v>
      </c>
      <c r="UWV15">
        <f ca="1"/>
        <v>0</v>
      </c>
      <c r="UWW15">
        <f ca="1"/>
        <v>0</v>
      </c>
      <c r="UWX15">
        <f ca="1"/>
        <v>0</v>
      </c>
      <c r="UWY15">
        <f ca="1"/>
        <v>0</v>
      </c>
      <c r="UWZ15">
        <f ca="1"/>
        <v>0</v>
      </c>
      <c r="UXA15">
        <f ca="1"/>
        <v>0</v>
      </c>
      <c r="UXB15">
        <f ca="1"/>
        <v>0</v>
      </c>
      <c r="UXC15">
        <f ca="1"/>
        <v>0</v>
      </c>
      <c r="UXD15">
        <f ca="1"/>
        <v>0</v>
      </c>
      <c r="UXE15">
        <f ca="1"/>
        <v>0</v>
      </c>
      <c r="UXF15">
        <f ca="1"/>
        <v>0</v>
      </c>
      <c r="UXG15">
        <f ca="1"/>
        <v>0</v>
      </c>
      <c r="UXH15">
        <f ca="1"/>
        <v>0</v>
      </c>
      <c r="UXI15">
        <f ca="1"/>
        <v>0</v>
      </c>
      <c r="UXJ15">
        <f ca="1"/>
        <v>0</v>
      </c>
      <c r="UXK15">
        <f ca="1"/>
        <v>0</v>
      </c>
      <c r="UXL15">
        <f ca="1"/>
        <v>0</v>
      </c>
      <c r="UXM15">
        <f ca="1"/>
        <v>0</v>
      </c>
      <c r="UXN15">
        <f ca="1"/>
        <v>0</v>
      </c>
      <c r="UXO15">
        <f ca="1"/>
        <v>0</v>
      </c>
      <c r="UXP15">
        <f ca="1"/>
        <v>0</v>
      </c>
      <c r="UXQ15">
        <f ca="1"/>
        <v>0</v>
      </c>
      <c r="UXR15">
        <f ca="1"/>
        <v>0</v>
      </c>
      <c r="UXS15">
        <f ca="1"/>
        <v>0</v>
      </c>
      <c r="UXT15">
        <f ca="1"/>
        <v>0</v>
      </c>
      <c r="UXU15">
        <f ca="1"/>
        <v>0</v>
      </c>
      <c r="UXV15">
        <f ca="1"/>
        <v>0</v>
      </c>
      <c r="UXW15">
        <f ca="1"/>
        <v>0</v>
      </c>
      <c r="UXX15">
        <f ca="1"/>
        <v>0</v>
      </c>
      <c r="UXY15">
        <f ca="1"/>
        <v>0</v>
      </c>
      <c r="UXZ15">
        <f ca="1"/>
        <v>0</v>
      </c>
      <c r="UYA15">
        <f ca="1"/>
        <v>0</v>
      </c>
      <c r="UYB15">
        <f ca="1"/>
        <v>0</v>
      </c>
      <c r="UYC15">
        <f ca="1"/>
        <v>0</v>
      </c>
      <c r="UYD15">
        <f ca="1"/>
        <v>0</v>
      </c>
      <c r="UYE15">
        <f ca="1"/>
        <v>0</v>
      </c>
      <c r="UYF15">
        <f ca="1"/>
        <v>0</v>
      </c>
      <c r="UYG15">
        <f ca="1"/>
        <v>0</v>
      </c>
      <c r="UYH15">
        <f ca="1"/>
        <v>0</v>
      </c>
      <c r="UYI15">
        <f ca="1"/>
        <v>0</v>
      </c>
      <c r="UYJ15">
        <f ca="1"/>
        <v>0</v>
      </c>
      <c r="UYK15">
        <f ca="1"/>
        <v>0</v>
      </c>
      <c r="UYL15">
        <f ca="1"/>
        <v>0</v>
      </c>
      <c r="UYM15">
        <f ca="1"/>
        <v>0</v>
      </c>
      <c r="UYN15">
        <f ca="1"/>
        <v>0</v>
      </c>
      <c r="UYO15">
        <f ca="1"/>
        <v>0</v>
      </c>
      <c r="UYP15">
        <f ca="1"/>
        <v>0</v>
      </c>
      <c r="UYQ15">
        <f ca="1"/>
        <v>0</v>
      </c>
      <c r="UYR15">
        <f ca="1"/>
        <v>0</v>
      </c>
      <c r="UYS15">
        <f ca="1"/>
        <v>0</v>
      </c>
      <c r="UYT15">
        <f ca="1"/>
        <v>0</v>
      </c>
      <c r="UYU15">
        <f ca="1"/>
        <v>0</v>
      </c>
      <c r="UYV15">
        <f ca="1"/>
        <v>0</v>
      </c>
      <c r="UYW15">
        <f ca="1"/>
        <v>0</v>
      </c>
      <c r="UYX15">
        <f ca="1"/>
        <v>0</v>
      </c>
      <c r="UYY15">
        <f ca="1"/>
        <v>0</v>
      </c>
      <c r="UYZ15">
        <f ca="1"/>
        <v>0</v>
      </c>
      <c r="UZA15">
        <f ca="1"/>
        <v>0</v>
      </c>
      <c r="UZB15">
        <f ca="1"/>
        <v>0</v>
      </c>
      <c r="UZC15">
        <f ca="1"/>
        <v>0</v>
      </c>
      <c r="UZD15">
        <f ca="1"/>
        <v>0</v>
      </c>
      <c r="UZE15">
        <f ca="1"/>
        <v>0</v>
      </c>
      <c r="UZF15">
        <f ca="1"/>
        <v>0</v>
      </c>
      <c r="UZG15">
        <f ca="1"/>
        <v>0</v>
      </c>
      <c r="UZH15">
        <f ca="1"/>
        <v>0</v>
      </c>
      <c r="UZI15">
        <f ca="1"/>
        <v>0</v>
      </c>
      <c r="UZJ15">
        <f ca="1"/>
        <v>0</v>
      </c>
      <c r="UZK15">
        <f ca="1"/>
        <v>0</v>
      </c>
      <c r="UZL15">
        <f ca="1"/>
        <v>0</v>
      </c>
      <c r="UZM15">
        <f ca="1"/>
        <v>0</v>
      </c>
      <c r="UZN15">
        <f ca="1"/>
        <v>0</v>
      </c>
      <c r="UZO15">
        <f ca="1"/>
        <v>0</v>
      </c>
      <c r="UZP15">
        <f ca="1"/>
        <v>0</v>
      </c>
      <c r="UZQ15">
        <f ca="1"/>
        <v>0</v>
      </c>
      <c r="UZR15">
        <f ca="1"/>
        <v>0</v>
      </c>
      <c r="UZS15">
        <f ca="1"/>
        <v>0</v>
      </c>
      <c r="UZT15">
        <f ca="1"/>
        <v>0</v>
      </c>
      <c r="UZU15">
        <f ca="1"/>
        <v>0</v>
      </c>
      <c r="UZV15">
        <f ca="1"/>
        <v>0</v>
      </c>
      <c r="UZW15">
        <f ca="1"/>
        <v>0</v>
      </c>
      <c r="UZX15">
        <f ca="1"/>
        <v>0</v>
      </c>
      <c r="UZY15">
        <f ca="1"/>
        <v>0</v>
      </c>
      <c r="UZZ15">
        <f ca="1"/>
        <v>0</v>
      </c>
      <c r="VAA15">
        <f ca="1"/>
        <v>0</v>
      </c>
      <c r="VAB15">
        <f ca="1"/>
        <v>0</v>
      </c>
      <c r="VAC15">
        <f ca="1"/>
        <v>0</v>
      </c>
      <c r="VAD15">
        <f ca="1"/>
        <v>0</v>
      </c>
      <c r="VAE15">
        <f ca="1"/>
        <v>0</v>
      </c>
      <c r="VAF15">
        <f ca="1"/>
        <v>0</v>
      </c>
      <c r="VAG15">
        <f ca="1"/>
        <v>0</v>
      </c>
      <c r="VAH15">
        <f ca="1"/>
        <v>0</v>
      </c>
      <c r="VAI15">
        <f ca="1"/>
        <v>0</v>
      </c>
      <c r="VAJ15">
        <f ca="1"/>
        <v>0</v>
      </c>
      <c r="VAK15">
        <f ca="1"/>
        <v>0</v>
      </c>
      <c r="VAL15">
        <f ca="1"/>
        <v>0</v>
      </c>
      <c r="VAM15">
        <f ca="1"/>
        <v>0</v>
      </c>
      <c r="VAN15">
        <f ca="1"/>
        <v>0</v>
      </c>
      <c r="VAO15">
        <f ca="1"/>
        <v>0</v>
      </c>
      <c r="VAP15">
        <f ca="1"/>
        <v>0</v>
      </c>
      <c r="VAQ15">
        <f ca="1"/>
        <v>0</v>
      </c>
      <c r="VAR15">
        <f ca="1"/>
        <v>0</v>
      </c>
      <c r="VAS15">
        <f ca="1"/>
        <v>0</v>
      </c>
      <c r="VAT15">
        <f ca="1"/>
        <v>0</v>
      </c>
      <c r="VAU15">
        <f ca="1"/>
        <v>0</v>
      </c>
      <c r="VAV15">
        <f ca="1"/>
        <v>0</v>
      </c>
      <c r="VAW15">
        <f ca="1"/>
        <v>0</v>
      </c>
      <c r="VAX15">
        <f ca="1"/>
        <v>0</v>
      </c>
      <c r="VAY15">
        <f ca="1"/>
        <v>0</v>
      </c>
      <c r="VAZ15">
        <f ca="1"/>
        <v>0</v>
      </c>
      <c r="VBA15">
        <f ca="1"/>
        <v>0</v>
      </c>
      <c r="VBB15">
        <f ca="1"/>
        <v>0</v>
      </c>
      <c r="VBC15">
        <f ca="1"/>
        <v>0</v>
      </c>
      <c r="VBD15">
        <f ca="1"/>
        <v>0</v>
      </c>
      <c r="VBE15">
        <f ca="1"/>
        <v>0</v>
      </c>
      <c r="VBF15">
        <f ca="1"/>
        <v>0</v>
      </c>
      <c r="VBG15">
        <f ca="1"/>
        <v>0</v>
      </c>
      <c r="VBH15">
        <f ca="1"/>
        <v>0</v>
      </c>
      <c r="VBI15">
        <f ca="1"/>
        <v>0</v>
      </c>
      <c r="VBJ15">
        <f ca="1"/>
        <v>0</v>
      </c>
      <c r="VBK15">
        <f ca="1"/>
        <v>0</v>
      </c>
      <c r="VBL15">
        <f ca="1"/>
        <v>0</v>
      </c>
      <c r="VBM15">
        <f ca="1"/>
        <v>0</v>
      </c>
      <c r="VBN15">
        <f ca="1"/>
        <v>0</v>
      </c>
      <c r="VBO15">
        <f ca="1"/>
        <v>0</v>
      </c>
      <c r="VBP15">
        <f ca="1"/>
        <v>0</v>
      </c>
      <c r="VBQ15">
        <f ca="1"/>
        <v>0</v>
      </c>
      <c r="VBR15">
        <f ca="1"/>
        <v>0</v>
      </c>
      <c r="VBS15">
        <f ca="1"/>
        <v>0</v>
      </c>
      <c r="VBT15">
        <f ca="1"/>
        <v>0</v>
      </c>
      <c r="VBU15">
        <f ca="1"/>
        <v>0</v>
      </c>
      <c r="VBV15">
        <f ca="1"/>
        <v>0</v>
      </c>
      <c r="VBW15">
        <f ca="1"/>
        <v>0</v>
      </c>
      <c r="VBX15">
        <f ca="1"/>
        <v>0</v>
      </c>
      <c r="VBY15">
        <f ca="1"/>
        <v>0</v>
      </c>
      <c r="VBZ15">
        <f ca="1"/>
        <v>0</v>
      </c>
      <c r="VCA15">
        <f ca="1"/>
        <v>0</v>
      </c>
      <c r="VCB15">
        <f ca="1"/>
        <v>0</v>
      </c>
      <c r="VCC15">
        <f ca="1"/>
        <v>0</v>
      </c>
      <c r="VCD15">
        <f ca="1"/>
        <v>0</v>
      </c>
      <c r="VCE15">
        <f ca="1"/>
        <v>0</v>
      </c>
      <c r="VCF15">
        <f ca="1"/>
        <v>0</v>
      </c>
      <c r="VCG15">
        <f ca="1"/>
        <v>0</v>
      </c>
      <c r="VCH15">
        <f ca="1"/>
        <v>0</v>
      </c>
      <c r="VCI15">
        <f ca="1"/>
        <v>0</v>
      </c>
      <c r="VCJ15">
        <f ca="1"/>
        <v>0</v>
      </c>
      <c r="VCK15">
        <f ca="1"/>
        <v>0</v>
      </c>
      <c r="VCL15">
        <f ca="1"/>
        <v>0</v>
      </c>
      <c r="VCM15">
        <f ca="1"/>
        <v>0</v>
      </c>
      <c r="VCN15">
        <f ca="1"/>
        <v>0</v>
      </c>
      <c r="VCO15">
        <f ca="1"/>
        <v>0</v>
      </c>
      <c r="VCP15">
        <f ca="1"/>
        <v>0</v>
      </c>
      <c r="VCQ15">
        <f ca="1"/>
        <v>0</v>
      </c>
      <c r="VCR15">
        <f ca="1"/>
        <v>0</v>
      </c>
      <c r="VCS15">
        <f ca="1"/>
        <v>0</v>
      </c>
      <c r="VCT15">
        <f ca="1"/>
        <v>0</v>
      </c>
      <c r="VCU15">
        <f ca="1"/>
        <v>0</v>
      </c>
      <c r="VCV15">
        <f ca="1"/>
        <v>0</v>
      </c>
      <c r="VCW15">
        <f ca="1"/>
        <v>0</v>
      </c>
      <c r="VCX15">
        <f ca="1"/>
        <v>0</v>
      </c>
      <c r="VCY15">
        <f ca="1"/>
        <v>0</v>
      </c>
      <c r="VCZ15">
        <f ca="1"/>
        <v>0</v>
      </c>
      <c r="VDA15">
        <f ca="1"/>
        <v>0</v>
      </c>
      <c r="VDB15">
        <f ca="1"/>
        <v>0</v>
      </c>
      <c r="VDC15">
        <f ca="1"/>
        <v>0</v>
      </c>
      <c r="VDD15">
        <f ca="1"/>
        <v>0</v>
      </c>
      <c r="VDE15">
        <f ca="1"/>
        <v>0</v>
      </c>
      <c r="VDF15">
        <f ca="1"/>
        <v>0</v>
      </c>
      <c r="VDG15">
        <f ca="1"/>
        <v>0</v>
      </c>
      <c r="VDH15">
        <f ca="1"/>
        <v>0</v>
      </c>
      <c r="VDI15">
        <f ca="1"/>
        <v>0</v>
      </c>
      <c r="VDJ15">
        <f ca="1"/>
        <v>0</v>
      </c>
      <c r="VDK15">
        <f ca="1"/>
        <v>0</v>
      </c>
      <c r="VDL15">
        <f ca="1"/>
        <v>0</v>
      </c>
      <c r="VDM15">
        <f ca="1"/>
        <v>0</v>
      </c>
      <c r="VDN15">
        <f ca="1"/>
        <v>0</v>
      </c>
      <c r="VDO15">
        <f ca="1"/>
        <v>0</v>
      </c>
      <c r="VDP15">
        <f ca="1"/>
        <v>0</v>
      </c>
      <c r="VDQ15">
        <f ca="1"/>
        <v>0</v>
      </c>
      <c r="VDR15">
        <f ca="1"/>
        <v>0</v>
      </c>
      <c r="VDS15">
        <f ca="1"/>
        <v>0</v>
      </c>
      <c r="VDT15">
        <f ca="1"/>
        <v>0</v>
      </c>
      <c r="VDU15">
        <f ca="1"/>
        <v>0</v>
      </c>
      <c r="VDV15">
        <f ca="1"/>
        <v>0</v>
      </c>
      <c r="VDW15">
        <f ca="1"/>
        <v>0</v>
      </c>
      <c r="VDX15">
        <f ca="1"/>
        <v>0</v>
      </c>
      <c r="VDY15">
        <f ca="1"/>
        <v>0</v>
      </c>
      <c r="VDZ15">
        <f ca="1"/>
        <v>0</v>
      </c>
      <c r="VEA15">
        <f ca="1"/>
        <v>0</v>
      </c>
      <c r="VEB15">
        <f ca="1"/>
        <v>0</v>
      </c>
      <c r="VEC15">
        <f ca="1"/>
        <v>0</v>
      </c>
      <c r="VED15">
        <f ca="1"/>
        <v>0</v>
      </c>
      <c r="VEE15">
        <f ca="1"/>
        <v>0</v>
      </c>
      <c r="VEF15">
        <f ca="1"/>
        <v>0</v>
      </c>
      <c r="VEG15">
        <f ca="1"/>
        <v>0</v>
      </c>
      <c r="VEH15">
        <f ca="1"/>
        <v>0</v>
      </c>
      <c r="VEI15">
        <f ca="1"/>
        <v>0</v>
      </c>
      <c r="VEJ15">
        <f ca="1"/>
        <v>0</v>
      </c>
      <c r="VEK15">
        <f ca="1"/>
        <v>0</v>
      </c>
      <c r="VEL15">
        <f ca="1"/>
        <v>0</v>
      </c>
      <c r="VEM15">
        <f ca="1"/>
        <v>0</v>
      </c>
      <c r="VEN15">
        <f ca="1"/>
        <v>0</v>
      </c>
      <c r="VEO15">
        <f ca="1"/>
        <v>0</v>
      </c>
      <c r="VEP15">
        <f ca="1"/>
        <v>0</v>
      </c>
      <c r="VEQ15">
        <f ca="1"/>
        <v>0</v>
      </c>
      <c r="VER15">
        <f ca="1"/>
        <v>0</v>
      </c>
      <c r="VES15">
        <f ca="1"/>
        <v>0</v>
      </c>
      <c r="VET15">
        <f ca="1"/>
        <v>0</v>
      </c>
      <c r="VEU15">
        <f ca="1"/>
        <v>0</v>
      </c>
      <c r="VEV15">
        <f ca="1"/>
        <v>0</v>
      </c>
      <c r="VEW15">
        <f ca="1"/>
        <v>0</v>
      </c>
      <c r="VEX15">
        <f ca="1"/>
        <v>0</v>
      </c>
      <c r="VEY15">
        <f ca="1"/>
        <v>0</v>
      </c>
      <c r="VEZ15">
        <f ca="1"/>
        <v>0</v>
      </c>
      <c r="VFA15">
        <f ca="1"/>
        <v>0</v>
      </c>
      <c r="VFB15">
        <f ca="1"/>
        <v>0</v>
      </c>
      <c r="VFC15">
        <f ca="1"/>
        <v>0</v>
      </c>
      <c r="VFD15">
        <f ca="1"/>
        <v>0</v>
      </c>
      <c r="VFE15">
        <f ca="1"/>
        <v>0</v>
      </c>
      <c r="VFF15">
        <f ca="1"/>
        <v>0</v>
      </c>
      <c r="VFG15">
        <f ca="1"/>
        <v>0</v>
      </c>
      <c r="VFH15">
        <f ca="1"/>
        <v>0</v>
      </c>
      <c r="VFI15">
        <f ca="1"/>
        <v>0</v>
      </c>
      <c r="VFJ15">
        <f ca="1"/>
        <v>0</v>
      </c>
      <c r="VFK15">
        <f ca="1"/>
        <v>0</v>
      </c>
      <c r="VFL15">
        <f ca="1"/>
        <v>0</v>
      </c>
      <c r="VFM15">
        <f ca="1"/>
        <v>0</v>
      </c>
      <c r="VFN15">
        <f ca="1"/>
        <v>0</v>
      </c>
      <c r="VFO15">
        <f ca="1"/>
        <v>0</v>
      </c>
      <c r="VFP15">
        <f ca="1"/>
        <v>0</v>
      </c>
      <c r="VFQ15">
        <f ca="1"/>
        <v>0</v>
      </c>
      <c r="VFR15">
        <f ca="1"/>
        <v>0</v>
      </c>
      <c r="VFS15">
        <f ca="1"/>
        <v>0</v>
      </c>
      <c r="VFT15">
        <f ca="1"/>
        <v>0</v>
      </c>
      <c r="VFU15">
        <f ca="1"/>
        <v>0</v>
      </c>
      <c r="VFV15">
        <f ca="1"/>
        <v>0</v>
      </c>
      <c r="VFW15">
        <f ca="1"/>
        <v>0</v>
      </c>
      <c r="VFX15">
        <f ca="1"/>
        <v>0</v>
      </c>
      <c r="VFY15">
        <f ca="1"/>
        <v>0</v>
      </c>
      <c r="VFZ15">
        <f ca="1"/>
        <v>0</v>
      </c>
      <c r="VGA15">
        <f ca="1"/>
        <v>0</v>
      </c>
      <c r="VGB15">
        <f ca="1"/>
        <v>0</v>
      </c>
      <c r="VGC15">
        <f ca="1"/>
        <v>0</v>
      </c>
      <c r="VGD15">
        <f ca="1"/>
        <v>0</v>
      </c>
      <c r="VGE15">
        <f ca="1"/>
        <v>0</v>
      </c>
      <c r="VGF15">
        <f ca="1"/>
        <v>0</v>
      </c>
      <c r="VGG15">
        <f ca="1"/>
        <v>0</v>
      </c>
      <c r="VGH15">
        <f ca="1"/>
        <v>0</v>
      </c>
      <c r="VGI15">
        <f ca="1"/>
        <v>0</v>
      </c>
      <c r="VGJ15">
        <f ca="1"/>
        <v>0</v>
      </c>
      <c r="VGK15">
        <f ca="1"/>
        <v>0</v>
      </c>
      <c r="VGL15">
        <f ca="1"/>
        <v>0</v>
      </c>
      <c r="VGM15">
        <f ca="1"/>
        <v>0</v>
      </c>
      <c r="VGN15">
        <f ca="1"/>
        <v>0</v>
      </c>
      <c r="VGO15">
        <f ca="1"/>
        <v>0</v>
      </c>
      <c r="VGP15">
        <f ca="1"/>
        <v>0</v>
      </c>
      <c r="VGQ15">
        <f ca="1"/>
        <v>0</v>
      </c>
      <c r="VGR15">
        <f ca="1"/>
        <v>0</v>
      </c>
      <c r="VGS15">
        <f ca="1"/>
        <v>0</v>
      </c>
      <c r="VGT15">
        <f ca="1"/>
        <v>0</v>
      </c>
      <c r="VGU15">
        <f ca="1"/>
        <v>0</v>
      </c>
      <c r="VGV15">
        <f ca="1"/>
        <v>0</v>
      </c>
      <c r="VGW15">
        <f ca="1"/>
        <v>0</v>
      </c>
      <c r="VGX15">
        <f ca="1"/>
        <v>0</v>
      </c>
      <c r="VGY15">
        <f ca="1"/>
        <v>0</v>
      </c>
      <c r="VGZ15">
        <f ca="1"/>
        <v>0</v>
      </c>
      <c r="VHA15">
        <f ca="1"/>
        <v>0</v>
      </c>
      <c r="VHB15">
        <f ca="1"/>
        <v>0</v>
      </c>
      <c r="VHC15">
        <f ca="1"/>
        <v>0</v>
      </c>
      <c r="VHD15">
        <f ca="1"/>
        <v>0</v>
      </c>
      <c r="VHE15">
        <f ca="1"/>
        <v>0</v>
      </c>
      <c r="VHF15">
        <f ca="1"/>
        <v>0</v>
      </c>
      <c r="VHG15">
        <f ca="1"/>
        <v>0</v>
      </c>
      <c r="VHH15">
        <f ca="1"/>
        <v>0</v>
      </c>
      <c r="VHI15">
        <f ca="1"/>
        <v>0</v>
      </c>
      <c r="VHJ15">
        <f ca="1"/>
        <v>0</v>
      </c>
      <c r="VHK15">
        <f ca="1"/>
        <v>0</v>
      </c>
      <c r="VHL15">
        <f ca="1"/>
        <v>0</v>
      </c>
      <c r="VHM15">
        <f ca="1"/>
        <v>0</v>
      </c>
      <c r="VHN15">
        <f ca="1"/>
        <v>0</v>
      </c>
      <c r="VHO15">
        <f ca="1"/>
        <v>0</v>
      </c>
      <c r="VHP15">
        <f ca="1"/>
        <v>0</v>
      </c>
      <c r="VHQ15">
        <f ca="1"/>
        <v>0</v>
      </c>
      <c r="VHR15">
        <f ca="1"/>
        <v>0</v>
      </c>
      <c r="VHS15">
        <f ca="1"/>
        <v>0</v>
      </c>
      <c r="VHT15">
        <f ca="1"/>
        <v>0</v>
      </c>
      <c r="VHU15">
        <f ca="1"/>
        <v>0</v>
      </c>
      <c r="VHV15">
        <f ca="1"/>
        <v>0</v>
      </c>
      <c r="VHW15">
        <f ca="1"/>
        <v>0</v>
      </c>
      <c r="VHX15">
        <f ca="1"/>
        <v>0</v>
      </c>
      <c r="VHY15">
        <f ca="1"/>
        <v>0</v>
      </c>
      <c r="VHZ15">
        <f ca="1"/>
        <v>0</v>
      </c>
      <c r="VIA15">
        <f ca="1"/>
        <v>0</v>
      </c>
      <c r="VIB15">
        <f ca="1"/>
        <v>0</v>
      </c>
      <c r="VIC15">
        <f ca="1"/>
        <v>0</v>
      </c>
      <c r="VID15">
        <f ca="1"/>
        <v>0</v>
      </c>
      <c r="VIE15">
        <f ca="1"/>
        <v>0</v>
      </c>
      <c r="VIF15">
        <f ca="1"/>
        <v>0</v>
      </c>
      <c r="VIG15">
        <f ca="1"/>
        <v>0</v>
      </c>
      <c r="VIH15">
        <f ca="1"/>
        <v>0</v>
      </c>
      <c r="VII15">
        <f ca="1"/>
        <v>0</v>
      </c>
      <c r="VIJ15">
        <f ca="1"/>
        <v>0</v>
      </c>
      <c r="VIK15">
        <f ca="1"/>
        <v>0</v>
      </c>
      <c r="VIL15">
        <f ca="1"/>
        <v>0</v>
      </c>
      <c r="VIM15">
        <f ca="1"/>
        <v>0</v>
      </c>
      <c r="VIN15">
        <f ca="1"/>
        <v>0</v>
      </c>
      <c r="VIO15">
        <f ca="1"/>
        <v>0</v>
      </c>
      <c r="VIP15">
        <f ca="1"/>
        <v>0</v>
      </c>
      <c r="VIQ15">
        <f ca="1"/>
        <v>0</v>
      </c>
      <c r="VIR15">
        <f ca="1"/>
        <v>0</v>
      </c>
      <c r="VIS15">
        <f ca="1"/>
        <v>0</v>
      </c>
      <c r="VIT15">
        <f ca="1"/>
        <v>0</v>
      </c>
      <c r="VIU15">
        <f ca="1"/>
        <v>0</v>
      </c>
      <c r="VIV15">
        <f ca="1"/>
        <v>0</v>
      </c>
      <c r="VIW15">
        <f ca="1"/>
        <v>0</v>
      </c>
      <c r="VIX15">
        <f ca="1"/>
        <v>0</v>
      </c>
      <c r="VIY15">
        <f ca="1"/>
        <v>0</v>
      </c>
      <c r="VIZ15">
        <f ca="1"/>
        <v>0</v>
      </c>
      <c r="VJA15">
        <f ca="1"/>
        <v>0</v>
      </c>
      <c r="VJB15">
        <f ca="1"/>
        <v>0</v>
      </c>
      <c r="VJC15">
        <f ca="1"/>
        <v>0</v>
      </c>
      <c r="VJD15">
        <f ca="1"/>
        <v>0</v>
      </c>
      <c r="VJE15">
        <f ca="1"/>
        <v>0</v>
      </c>
      <c r="VJF15">
        <f ca="1"/>
        <v>0</v>
      </c>
      <c r="VJG15">
        <f ca="1"/>
        <v>0</v>
      </c>
      <c r="VJH15">
        <f ca="1"/>
        <v>0</v>
      </c>
      <c r="VJI15">
        <f ca="1"/>
        <v>0</v>
      </c>
      <c r="VJJ15">
        <f ca="1"/>
        <v>0</v>
      </c>
      <c r="VJK15">
        <f ca="1"/>
        <v>0</v>
      </c>
      <c r="VJL15">
        <f ca="1"/>
        <v>0</v>
      </c>
      <c r="VJM15">
        <f ca="1"/>
        <v>0</v>
      </c>
      <c r="VJN15">
        <f ca="1"/>
        <v>0</v>
      </c>
      <c r="VJO15">
        <f ca="1"/>
        <v>0</v>
      </c>
      <c r="VJP15">
        <f ca="1"/>
        <v>0</v>
      </c>
      <c r="VJQ15">
        <f ca="1"/>
        <v>0</v>
      </c>
      <c r="VJR15">
        <f ca="1"/>
        <v>0</v>
      </c>
      <c r="VJS15">
        <f ca="1"/>
        <v>0</v>
      </c>
      <c r="VJT15">
        <f ca="1"/>
        <v>0</v>
      </c>
      <c r="VJU15">
        <f ca="1"/>
        <v>0</v>
      </c>
      <c r="VJV15">
        <f ca="1"/>
        <v>0</v>
      </c>
      <c r="VJW15">
        <f ca="1"/>
        <v>0</v>
      </c>
      <c r="VJX15">
        <f ca="1"/>
        <v>0</v>
      </c>
      <c r="VJY15">
        <f ca="1"/>
        <v>0</v>
      </c>
      <c r="VJZ15">
        <f ca="1"/>
        <v>0</v>
      </c>
      <c r="VKA15">
        <f ca="1"/>
        <v>0</v>
      </c>
      <c r="VKB15">
        <f ca="1"/>
        <v>0</v>
      </c>
      <c r="VKC15">
        <f ca="1"/>
        <v>0</v>
      </c>
      <c r="VKD15">
        <f ca="1"/>
        <v>0</v>
      </c>
      <c r="VKE15">
        <f ca="1"/>
        <v>0</v>
      </c>
      <c r="VKF15">
        <f ca="1"/>
        <v>0</v>
      </c>
      <c r="VKG15">
        <f ca="1"/>
        <v>0</v>
      </c>
      <c r="VKH15">
        <f ca="1"/>
        <v>0</v>
      </c>
      <c r="VKI15">
        <f ca="1"/>
        <v>0</v>
      </c>
      <c r="VKJ15">
        <f ca="1"/>
        <v>0</v>
      </c>
      <c r="VKK15">
        <f ca="1"/>
        <v>0</v>
      </c>
      <c r="VKL15">
        <f ca="1"/>
        <v>0</v>
      </c>
      <c r="VKM15">
        <f ca="1"/>
        <v>0</v>
      </c>
      <c r="VKN15">
        <f ca="1"/>
        <v>0</v>
      </c>
      <c r="VKO15">
        <f ca="1"/>
        <v>0</v>
      </c>
      <c r="VKP15">
        <f ca="1"/>
        <v>0</v>
      </c>
      <c r="VKQ15">
        <f ca="1"/>
        <v>0</v>
      </c>
      <c r="VKR15">
        <f ca="1"/>
        <v>0</v>
      </c>
      <c r="VKS15">
        <f ca="1"/>
        <v>0</v>
      </c>
      <c r="VKT15">
        <f ca="1"/>
        <v>0</v>
      </c>
      <c r="VKU15">
        <f ca="1"/>
        <v>0</v>
      </c>
      <c r="VKV15">
        <f ca="1"/>
        <v>0</v>
      </c>
      <c r="VKW15">
        <f ca="1"/>
        <v>0</v>
      </c>
      <c r="VKX15">
        <f ca="1"/>
        <v>0</v>
      </c>
      <c r="VKY15">
        <f ca="1"/>
        <v>0</v>
      </c>
      <c r="VKZ15">
        <f ca="1"/>
        <v>0</v>
      </c>
      <c r="VLA15">
        <f ca="1"/>
        <v>0</v>
      </c>
      <c r="VLB15">
        <f ca="1"/>
        <v>0</v>
      </c>
      <c r="VLC15">
        <f ca="1"/>
        <v>0</v>
      </c>
      <c r="VLD15">
        <f ca="1"/>
        <v>0</v>
      </c>
      <c r="VLE15">
        <f ca="1"/>
        <v>0</v>
      </c>
      <c r="VLF15">
        <f ca="1"/>
        <v>0</v>
      </c>
      <c r="VLG15">
        <f ca="1"/>
        <v>0</v>
      </c>
      <c r="VLH15">
        <f ca="1"/>
        <v>0</v>
      </c>
      <c r="VLI15">
        <f ca="1"/>
        <v>0</v>
      </c>
      <c r="VLJ15">
        <f ca="1"/>
        <v>0</v>
      </c>
      <c r="VLK15">
        <f ca="1"/>
        <v>0</v>
      </c>
      <c r="VLL15">
        <f ca="1"/>
        <v>0</v>
      </c>
      <c r="VLM15">
        <f ca="1"/>
        <v>0</v>
      </c>
      <c r="VLN15">
        <f ca="1"/>
        <v>0</v>
      </c>
      <c r="VLO15">
        <f ca="1"/>
        <v>0</v>
      </c>
      <c r="VLP15">
        <f ca="1"/>
        <v>0</v>
      </c>
      <c r="VLQ15">
        <f ca="1"/>
        <v>0</v>
      </c>
      <c r="VLR15">
        <f ca="1"/>
        <v>0</v>
      </c>
      <c r="VLS15">
        <f ca="1"/>
        <v>0</v>
      </c>
      <c r="VLT15">
        <f ca="1"/>
        <v>0</v>
      </c>
      <c r="VLU15">
        <f ca="1"/>
        <v>0</v>
      </c>
      <c r="VLV15">
        <f ca="1"/>
        <v>0</v>
      </c>
      <c r="VLW15">
        <f ca="1"/>
        <v>0</v>
      </c>
      <c r="VLX15">
        <f ca="1"/>
        <v>0</v>
      </c>
      <c r="VLY15">
        <f ca="1"/>
        <v>0</v>
      </c>
      <c r="VLZ15">
        <f ca="1"/>
        <v>0</v>
      </c>
      <c r="VMA15">
        <f ca="1"/>
        <v>0</v>
      </c>
      <c r="VMB15">
        <f ca="1"/>
        <v>0</v>
      </c>
      <c r="VMC15">
        <f ca="1"/>
        <v>0</v>
      </c>
      <c r="VMD15">
        <f ca="1"/>
        <v>0</v>
      </c>
      <c r="VME15">
        <f ca="1"/>
        <v>0</v>
      </c>
      <c r="VMF15">
        <f ca="1"/>
        <v>0</v>
      </c>
      <c r="VMG15">
        <f ca="1"/>
        <v>0</v>
      </c>
      <c r="VMH15">
        <f ca="1"/>
        <v>0</v>
      </c>
      <c r="VMI15">
        <f ca="1"/>
        <v>0</v>
      </c>
      <c r="VMJ15">
        <f ca="1"/>
        <v>0</v>
      </c>
      <c r="VMK15">
        <f ca="1"/>
        <v>0</v>
      </c>
      <c r="VML15">
        <f ca="1"/>
        <v>0</v>
      </c>
      <c r="VMM15">
        <f ca="1"/>
        <v>0</v>
      </c>
      <c r="VMN15">
        <f ca="1"/>
        <v>0</v>
      </c>
      <c r="VMO15">
        <f ca="1"/>
        <v>0</v>
      </c>
      <c r="VMP15">
        <f ca="1"/>
        <v>0</v>
      </c>
      <c r="VMQ15">
        <f ca="1"/>
        <v>0</v>
      </c>
      <c r="VMR15">
        <f ca="1"/>
        <v>0</v>
      </c>
      <c r="VMS15">
        <f ca="1"/>
        <v>0</v>
      </c>
      <c r="VMT15">
        <f ca="1"/>
        <v>0</v>
      </c>
      <c r="VMU15">
        <f ca="1"/>
        <v>0</v>
      </c>
      <c r="VMV15">
        <f ca="1"/>
        <v>0</v>
      </c>
      <c r="VMW15">
        <f ca="1"/>
        <v>0</v>
      </c>
      <c r="VMX15">
        <f ca="1"/>
        <v>0</v>
      </c>
      <c r="VMY15">
        <f ca="1"/>
        <v>0</v>
      </c>
      <c r="VMZ15">
        <f ca="1"/>
        <v>0</v>
      </c>
      <c r="VNA15">
        <f ca="1"/>
        <v>0</v>
      </c>
      <c r="VNB15">
        <f ca="1"/>
        <v>0</v>
      </c>
      <c r="VNC15">
        <f ca="1"/>
        <v>0</v>
      </c>
      <c r="VND15">
        <f ca="1"/>
        <v>0</v>
      </c>
      <c r="VNE15">
        <f ca="1"/>
        <v>0</v>
      </c>
      <c r="VNF15">
        <f ca="1"/>
        <v>0</v>
      </c>
      <c r="VNG15">
        <f ca="1"/>
        <v>0</v>
      </c>
      <c r="VNH15">
        <f ca="1"/>
        <v>0</v>
      </c>
      <c r="VNI15">
        <f ca="1"/>
        <v>0</v>
      </c>
      <c r="VNJ15">
        <f ca="1"/>
        <v>0</v>
      </c>
      <c r="VNK15">
        <f ca="1"/>
        <v>0</v>
      </c>
      <c r="VNL15">
        <f ca="1"/>
        <v>0</v>
      </c>
      <c r="VNM15">
        <f ca="1"/>
        <v>0</v>
      </c>
      <c r="VNN15">
        <f ca="1"/>
        <v>0</v>
      </c>
      <c r="VNO15">
        <f ca="1"/>
        <v>0</v>
      </c>
      <c r="VNP15">
        <f ca="1"/>
        <v>0</v>
      </c>
      <c r="VNQ15">
        <f ca="1"/>
        <v>0</v>
      </c>
      <c r="VNR15">
        <f ca="1"/>
        <v>0</v>
      </c>
      <c r="VNS15">
        <f ca="1"/>
        <v>0</v>
      </c>
      <c r="VNT15">
        <f ca="1"/>
        <v>0</v>
      </c>
      <c r="VNU15">
        <f ca="1"/>
        <v>0</v>
      </c>
      <c r="VNV15">
        <f ca="1"/>
        <v>0</v>
      </c>
      <c r="VNW15">
        <f ca="1"/>
        <v>0</v>
      </c>
      <c r="VNX15">
        <f ca="1"/>
        <v>0</v>
      </c>
      <c r="VNY15">
        <f ca="1"/>
        <v>0</v>
      </c>
      <c r="VNZ15">
        <f ca="1"/>
        <v>0</v>
      </c>
      <c r="VOA15">
        <f ca="1"/>
        <v>0</v>
      </c>
      <c r="VOB15">
        <f ca="1"/>
        <v>0</v>
      </c>
      <c r="VOC15">
        <f ca="1"/>
        <v>0</v>
      </c>
      <c r="VOD15">
        <f ca="1"/>
        <v>0</v>
      </c>
      <c r="VOE15">
        <f ca="1"/>
        <v>0</v>
      </c>
      <c r="VOF15">
        <f ca="1"/>
        <v>0</v>
      </c>
      <c r="VOG15">
        <f ca="1"/>
        <v>0</v>
      </c>
      <c r="VOH15">
        <f ca="1"/>
        <v>0</v>
      </c>
      <c r="VOI15">
        <f ca="1"/>
        <v>0</v>
      </c>
      <c r="VOJ15">
        <f ca="1"/>
        <v>0</v>
      </c>
      <c r="VOK15">
        <f ca="1"/>
        <v>0</v>
      </c>
      <c r="VOL15">
        <f ca="1"/>
        <v>0</v>
      </c>
      <c r="VOM15">
        <f ca="1"/>
        <v>0</v>
      </c>
      <c r="VON15">
        <f ca="1"/>
        <v>0</v>
      </c>
      <c r="VOO15">
        <f ca="1"/>
        <v>0</v>
      </c>
      <c r="VOP15">
        <f ca="1"/>
        <v>0</v>
      </c>
      <c r="VOQ15">
        <f ca="1"/>
        <v>0</v>
      </c>
      <c r="VOR15">
        <f ca="1"/>
        <v>0</v>
      </c>
      <c r="VOS15">
        <f ca="1"/>
        <v>0</v>
      </c>
      <c r="VOT15">
        <f ca="1"/>
        <v>0</v>
      </c>
      <c r="VOU15">
        <f ca="1"/>
        <v>0</v>
      </c>
      <c r="VOV15">
        <f ca="1"/>
        <v>0</v>
      </c>
      <c r="VOW15">
        <f ca="1"/>
        <v>0</v>
      </c>
      <c r="VOX15">
        <f ca="1"/>
        <v>0</v>
      </c>
      <c r="VOY15">
        <f ca="1"/>
        <v>0</v>
      </c>
      <c r="VOZ15">
        <f ca="1"/>
        <v>0</v>
      </c>
      <c r="VPA15">
        <f ca="1"/>
        <v>0</v>
      </c>
      <c r="VPB15">
        <f ca="1"/>
        <v>0</v>
      </c>
      <c r="VPC15">
        <f ca="1"/>
        <v>0</v>
      </c>
      <c r="VPD15">
        <f ca="1"/>
        <v>0</v>
      </c>
      <c r="VPE15">
        <f ca="1"/>
        <v>0</v>
      </c>
      <c r="VPF15">
        <f ca="1"/>
        <v>0</v>
      </c>
      <c r="VPG15">
        <f ca="1"/>
        <v>0</v>
      </c>
      <c r="VPH15">
        <f ca="1"/>
        <v>0</v>
      </c>
      <c r="VPI15">
        <f ca="1"/>
        <v>0</v>
      </c>
      <c r="VPJ15">
        <f ca="1"/>
        <v>0</v>
      </c>
      <c r="VPK15">
        <f ca="1"/>
        <v>0</v>
      </c>
      <c r="VPL15">
        <f ca="1"/>
        <v>0</v>
      </c>
      <c r="VPM15">
        <f ca="1"/>
        <v>0</v>
      </c>
      <c r="VPN15">
        <f ca="1"/>
        <v>0</v>
      </c>
      <c r="VPO15">
        <f ca="1"/>
        <v>0</v>
      </c>
      <c r="VPP15">
        <f ca="1"/>
        <v>0</v>
      </c>
      <c r="VPQ15">
        <f ca="1"/>
        <v>0</v>
      </c>
      <c r="VPR15">
        <f ca="1"/>
        <v>0</v>
      </c>
      <c r="VPS15">
        <f ca="1"/>
        <v>0</v>
      </c>
      <c r="VPT15">
        <f ca="1"/>
        <v>0</v>
      </c>
      <c r="VPU15">
        <f ca="1"/>
        <v>0</v>
      </c>
      <c r="VPV15">
        <f ca="1"/>
        <v>0</v>
      </c>
      <c r="VPW15">
        <f ca="1"/>
        <v>0</v>
      </c>
      <c r="VPX15">
        <f ca="1"/>
        <v>0</v>
      </c>
      <c r="VPY15">
        <f ca="1"/>
        <v>0</v>
      </c>
      <c r="VPZ15">
        <f ca="1"/>
        <v>0</v>
      </c>
      <c r="VQA15">
        <f ca="1"/>
        <v>0</v>
      </c>
      <c r="VQB15">
        <f ca="1"/>
        <v>0</v>
      </c>
      <c r="VQC15">
        <f ca="1"/>
        <v>0</v>
      </c>
      <c r="VQD15">
        <f ca="1"/>
        <v>0</v>
      </c>
      <c r="VQE15">
        <f ca="1"/>
        <v>0</v>
      </c>
      <c r="VQF15">
        <f ca="1"/>
        <v>0</v>
      </c>
      <c r="VQG15">
        <f ca="1"/>
        <v>0</v>
      </c>
      <c r="VQH15">
        <f ca="1"/>
        <v>0</v>
      </c>
      <c r="VQI15">
        <f ca="1"/>
        <v>0</v>
      </c>
      <c r="VQJ15">
        <f ca="1"/>
        <v>0</v>
      </c>
      <c r="VQK15">
        <f ca="1"/>
        <v>0</v>
      </c>
      <c r="VQL15">
        <f ca="1"/>
        <v>0</v>
      </c>
      <c r="VQM15">
        <f ca="1"/>
        <v>0</v>
      </c>
      <c r="VQN15">
        <f ca="1"/>
        <v>0</v>
      </c>
      <c r="VQO15">
        <f ca="1"/>
        <v>0</v>
      </c>
      <c r="VQP15">
        <f ca="1"/>
        <v>0</v>
      </c>
      <c r="VQQ15">
        <f ca="1"/>
        <v>0</v>
      </c>
      <c r="VQR15">
        <f ca="1"/>
        <v>0</v>
      </c>
      <c r="VQS15">
        <f ca="1"/>
        <v>0</v>
      </c>
      <c r="VQT15">
        <f ca="1"/>
        <v>0</v>
      </c>
      <c r="VQU15">
        <f ca="1"/>
        <v>0</v>
      </c>
      <c r="VQV15">
        <f ca="1"/>
        <v>0</v>
      </c>
      <c r="VQW15">
        <f ca="1"/>
        <v>0</v>
      </c>
      <c r="VQX15">
        <f ca="1"/>
        <v>0</v>
      </c>
      <c r="VQY15">
        <f ca="1"/>
        <v>0</v>
      </c>
      <c r="VQZ15">
        <f ca="1"/>
        <v>0</v>
      </c>
      <c r="VRA15">
        <f ca="1"/>
        <v>0</v>
      </c>
      <c r="VRB15">
        <f ca="1"/>
        <v>0</v>
      </c>
      <c r="VRC15">
        <f ca="1"/>
        <v>0</v>
      </c>
      <c r="VRD15">
        <f ca="1"/>
        <v>0</v>
      </c>
      <c r="VRE15">
        <f ca="1"/>
        <v>0</v>
      </c>
      <c r="VRF15">
        <f ca="1"/>
        <v>0</v>
      </c>
      <c r="VRG15">
        <f ca="1"/>
        <v>0</v>
      </c>
      <c r="VRH15">
        <f ca="1"/>
        <v>0</v>
      </c>
      <c r="VRI15">
        <f ca="1"/>
        <v>0</v>
      </c>
      <c r="VRJ15">
        <f ca="1"/>
        <v>0</v>
      </c>
      <c r="VRK15">
        <f ca="1"/>
        <v>0</v>
      </c>
      <c r="VRL15">
        <f ca="1"/>
        <v>0</v>
      </c>
      <c r="VRM15">
        <f ca="1"/>
        <v>0</v>
      </c>
      <c r="VRN15">
        <f ca="1"/>
        <v>0</v>
      </c>
      <c r="VRO15">
        <f ca="1"/>
        <v>0</v>
      </c>
      <c r="VRP15">
        <f ca="1"/>
        <v>0</v>
      </c>
      <c r="VRQ15">
        <f ca="1"/>
        <v>0</v>
      </c>
      <c r="VRR15">
        <f ca="1"/>
        <v>0</v>
      </c>
      <c r="VRS15">
        <f ca="1"/>
        <v>0</v>
      </c>
      <c r="VRT15">
        <f ca="1"/>
        <v>0</v>
      </c>
      <c r="VRU15">
        <f ca="1"/>
        <v>0</v>
      </c>
      <c r="VRV15">
        <f ca="1"/>
        <v>0</v>
      </c>
      <c r="VRW15">
        <f ca="1"/>
        <v>0</v>
      </c>
      <c r="VRX15">
        <f ca="1"/>
        <v>0</v>
      </c>
      <c r="VRY15">
        <f ca="1"/>
        <v>0</v>
      </c>
      <c r="VRZ15">
        <f ca="1"/>
        <v>0</v>
      </c>
      <c r="VSA15">
        <f ca="1"/>
        <v>0</v>
      </c>
      <c r="VSB15">
        <f ca="1"/>
        <v>0</v>
      </c>
      <c r="VSC15">
        <f ca="1"/>
        <v>0</v>
      </c>
      <c r="VSD15">
        <f ca="1"/>
        <v>0</v>
      </c>
      <c r="VSE15">
        <f ca="1"/>
        <v>0</v>
      </c>
      <c r="VSF15">
        <f ca="1"/>
        <v>0</v>
      </c>
      <c r="VSG15">
        <f ca="1"/>
        <v>0</v>
      </c>
      <c r="VSH15">
        <f ca="1"/>
        <v>0</v>
      </c>
      <c r="VSI15">
        <f ca="1"/>
        <v>0</v>
      </c>
      <c r="VSJ15">
        <f ca="1"/>
        <v>0</v>
      </c>
      <c r="VSK15">
        <f ca="1"/>
        <v>0</v>
      </c>
      <c r="VSL15">
        <f ca="1"/>
        <v>0</v>
      </c>
      <c r="VSM15">
        <f ca="1"/>
        <v>0</v>
      </c>
      <c r="VSN15">
        <f ca="1"/>
        <v>0</v>
      </c>
      <c r="VSO15">
        <f ca="1"/>
        <v>0</v>
      </c>
      <c r="VSP15">
        <f ca="1"/>
        <v>0</v>
      </c>
      <c r="VSQ15">
        <f ca="1"/>
        <v>0</v>
      </c>
      <c r="VSR15">
        <f ca="1"/>
        <v>0</v>
      </c>
      <c r="VSS15">
        <f ca="1"/>
        <v>0</v>
      </c>
      <c r="VST15">
        <f ca="1"/>
        <v>0</v>
      </c>
      <c r="VSU15">
        <f ca="1"/>
        <v>0</v>
      </c>
      <c r="VSV15">
        <f ca="1"/>
        <v>0</v>
      </c>
      <c r="VSW15">
        <f ca="1"/>
        <v>0</v>
      </c>
      <c r="VSX15">
        <f ca="1"/>
        <v>0</v>
      </c>
      <c r="VSY15">
        <f ca="1"/>
        <v>0</v>
      </c>
      <c r="VSZ15">
        <f ca="1"/>
        <v>0</v>
      </c>
      <c r="VTA15">
        <f ca="1"/>
        <v>0</v>
      </c>
      <c r="VTB15">
        <f ca="1"/>
        <v>0</v>
      </c>
      <c r="VTC15">
        <f ca="1"/>
        <v>0</v>
      </c>
      <c r="VTD15">
        <f ca="1"/>
        <v>0</v>
      </c>
      <c r="VTE15">
        <f ca="1"/>
        <v>0</v>
      </c>
      <c r="VTF15">
        <f ca="1"/>
        <v>0</v>
      </c>
      <c r="VTG15">
        <f ca="1"/>
        <v>0</v>
      </c>
      <c r="VTH15">
        <f ca="1"/>
        <v>0</v>
      </c>
      <c r="VTI15">
        <f ca="1"/>
        <v>0</v>
      </c>
      <c r="VTJ15">
        <f ca="1"/>
        <v>0</v>
      </c>
      <c r="VTK15">
        <f ca="1"/>
        <v>0</v>
      </c>
      <c r="VTL15">
        <f ca="1"/>
        <v>0</v>
      </c>
      <c r="VTM15">
        <f ca="1"/>
        <v>0</v>
      </c>
      <c r="VTN15">
        <f ca="1"/>
        <v>0</v>
      </c>
      <c r="VTO15">
        <f ca="1"/>
        <v>0</v>
      </c>
      <c r="VTP15">
        <f ca="1"/>
        <v>0</v>
      </c>
      <c r="VTQ15">
        <f ca="1"/>
        <v>0</v>
      </c>
      <c r="VTR15">
        <f ca="1"/>
        <v>0</v>
      </c>
      <c r="VTS15">
        <f ca="1"/>
        <v>0</v>
      </c>
      <c r="VTT15">
        <f ca="1"/>
        <v>0</v>
      </c>
      <c r="VTU15">
        <f ca="1"/>
        <v>0</v>
      </c>
      <c r="VTV15">
        <f ca="1"/>
        <v>0</v>
      </c>
      <c r="VTW15">
        <f ca="1"/>
        <v>0</v>
      </c>
      <c r="VTX15">
        <f ca="1"/>
        <v>0</v>
      </c>
      <c r="VTY15">
        <f ca="1"/>
        <v>0</v>
      </c>
      <c r="VTZ15">
        <f ca="1"/>
        <v>0</v>
      </c>
      <c r="VUA15">
        <f ca="1"/>
        <v>0</v>
      </c>
      <c r="VUB15">
        <f ca="1"/>
        <v>0</v>
      </c>
      <c r="VUC15">
        <f ca="1"/>
        <v>0</v>
      </c>
      <c r="VUD15">
        <f ca="1"/>
        <v>0</v>
      </c>
      <c r="VUE15">
        <f ca="1"/>
        <v>0</v>
      </c>
      <c r="VUF15">
        <f ca="1"/>
        <v>0</v>
      </c>
      <c r="VUG15">
        <f ca="1"/>
        <v>0</v>
      </c>
      <c r="VUH15">
        <f ca="1"/>
        <v>0</v>
      </c>
      <c r="VUI15">
        <f ca="1"/>
        <v>0</v>
      </c>
      <c r="VUJ15">
        <f ca="1"/>
        <v>0</v>
      </c>
      <c r="VUK15">
        <f ca="1"/>
        <v>0</v>
      </c>
      <c r="VUL15">
        <f ca="1"/>
        <v>0</v>
      </c>
      <c r="VUM15">
        <f ca="1"/>
        <v>0</v>
      </c>
      <c r="VUN15">
        <f ca="1"/>
        <v>0</v>
      </c>
      <c r="VUO15">
        <f ca="1"/>
        <v>0</v>
      </c>
      <c r="VUP15">
        <f ca="1"/>
        <v>0</v>
      </c>
      <c r="VUQ15">
        <f ca="1"/>
        <v>0</v>
      </c>
      <c r="VUR15">
        <f ca="1"/>
        <v>0</v>
      </c>
      <c r="VUS15">
        <f ca="1"/>
        <v>0</v>
      </c>
      <c r="VUT15">
        <f ca="1"/>
        <v>0</v>
      </c>
      <c r="VUU15">
        <f ca="1"/>
        <v>0</v>
      </c>
      <c r="VUV15">
        <f ca="1"/>
        <v>0</v>
      </c>
      <c r="VUW15">
        <f ca="1"/>
        <v>0</v>
      </c>
      <c r="VUX15">
        <f ca="1"/>
        <v>0</v>
      </c>
      <c r="VUY15">
        <f ca="1"/>
        <v>0</v>
      </c>
      <c r="VUZ15">
        <f ca="1"/>
        <v>0</v>
      </c>
      <c r="VVA15">
        <f ca="1"/>
        <v>0</v>
      </c>
      <c r="VVB15">
        <f ca="1"/>
        <v>0</v>
      </c>
      <c r="VVC15">
        <f ca="1"/>
        <v>0</v>
      </c>
      <c r="VVD15">
        <f ca="1"/>
        <v>0</v>
      </c>
      <c r="VVE15">
        <f ca="1"/>
        <v>0</v>
      </c>
      <c r="VVF15">
        <f ca="1"/>
        <v>0</v>
      </c>
      <c r="VVG15">
        <f ca="1"/>
        <v>0</v>
      </c>
      <c r="VVH15">
        <f ca="1"/>
        <v>0</v>
      </c>
      <c r="VVI15">
        <f ca="1"/>
        <v>0</v>
      </c>
      <c r="VVJ15">
        <f ca="1"/>
        <v>0</v>
      </c>
      <c r="VVK15">
        <f ca="1"/>
        <v>0</v>
      </c>
      <c r="VVL15">
        <f ca="1"/>
        <v>0</v>
      </c>
      <c r="VVM15">
        <f ca="1"/>
        <v>0</v>
      </c>
      <c r="VVN15">
        <f ca="1"/>
        <v>0</v>
      </c>
      <c r="VVO15">
        <f ca="1"/>
        <v>0</v>
      </c>
      <c r="VVP15">
        <f ca="1"/>
        <v>0</v>
      </c>
      <c r="VVQ15">
        <f ca="1"/>
        <v>0</v>
      </c>
      <c r="VVR15">
        <f ca="1"/>
        <v>0</v>
      </c>
      <c r="VVS15">
        <f ca="1"/>
        <v>0</v>
      </c>
      <c r="VVT15">
        <f ca="1"/>
        <v>0</v>
      </c>
      <c r="VVU15">
        <f ca="1"/>
        <v>0</v>
      </c>
      <c r="VVV15">
        <f ca="1"/>
        <v>0</v>
      </c>
      <c r="VVW15">
        <f ca="1"/>
        <v>0</v>
      </c>
      <c r="VVX15">
        <f ca="1"/>
        <v>0</v>
      </c>
      <c r="VVY15">
        <f ca="1"/>
        <v>0</v>
      </c>
      <c r="VVZ15">
        <f ca="1"/>
        <v>0</v>
      </c>
      <c r="VWA15">
        <f ca="1"/>
        <v>0</v>
      </c>
      <c r="VWB15">
        <f ca="1"/>
        <v>0</v>
      </c>
      <c r="VWC15">
        <f ca="1"/>
        <v>0</v>
      </c>
      <c r="VWD15">
        <f ca="1"/>
        <v>0</v>
      </c>
      <c r="VWE15">
        <f ca="1"/>
        <v>0</v>
      </c>
      <c r="VWF15">
        <f ca="1"/>
        <v>0</v>
      </c>
      <c r="VWG15">
        <f ca="1"/>
        <v>0</v>
      </c>
      <c r="VWH15">
        <f ca="1"/>
        <v>0</v>
      </c>
      <c r="VWI15">
        <f ca="1"/>
        <v>0</v>
      </c>
      <c r="VWJ15">
        <f ca="1"/>
        <v>0</v>
      </c>
      <c r="VWK15">
        <f ca="1"/>
        <v>0</v>
      </c>
      <c r="VWL15">
        <f ca="1"/>
        <v>0</v>
      </c>
      <c r="VWM15">
        <f ca="1"/>
        <v>0</v>
      </c>
      <c r="VWN15">
        <f ca="1"/>
        <v>0</v>
      </c>
      <c r="VWO15">
        <f ca="1"/>
        <v>0</v>
      </c>
      <c r="VWP15">
        <f ca="1"/>
        <v>0</v>
      </c>
      <c r="VWQ15">
        <f ca="1"/>
        <v>0</v>
      </c>
      <c r="VWR15">
        <f ca="1"/>
        <v>0</v>
      </c>
      <c r="VWS15">
        <f ca="1"/>
        <v>0</v>
      </c>
      <c r="VWT15">
        <f ca="1"/>
        <v>0</v>
      </c>
      <c r="VWU15">
        <f ca="1"/>
        <v>0</v>
      </c>
      <c r="VWV15">
        <f ca="1"/>
        <v>0</v>
      </c>
      <c r="VWW15">
        <f ca="1"/>
        <v>0</v>
      </c>
      <c r="VWX15">
        <f ca="1"/>
        <v>0</v>
      </c>
      <c r="VWY15">
        <f ca="1"/>
        <v>0</v>
      </c>
      <c r="VWZ15">
        <f ca="1"/>
        <v>0</v>
      </c>
      <c r="VXA15">
        <f ca="1"/>
        <v>0</v>
      </c>
      <c r="VXB15">
        <f ca="1"/>
        <v>0</v>
      </c>
      <c r="VXC15">
        <f ca="1"/>
        <v>0</v>
      </c>
      <c r="VXD15">
        <f ca="1"/>
        <v>0</v>
      </c>
      <c r="VXE15">
        <f ca="1"/>
        <v>0</v>
      </c>
      <c r="VXF15">
        <f ca="1"/>
        <v>0</v>
      </c>
      <c r="VXG15">
        <f ca="1"/>
        <v>0</v>
      </c>
      <c r="VXH15">
        <f ca="1"/>
        <v>0</v>
      </c>
      <c r="VXI15">
        <f ca="1"/>
        <v>0</v>
      </c>
      <c r="VXJ15">
        <f ca="1"/>
        <v>0</v>
      </c>
      <c r="VXK15">
        <f ca="1"/>
        <v>0</v>
      </c>
      <c r="VXL15">
        <f ca="1"/>
        <v>0</v>
      </c>
      <c r="VXM15">
        <f ca="1"/>
        <v>0</v>
      </c>
      <c r="VXN15">
        <f ca="1"/>
        <v>0</v>
      </c>
      <c r="VXO15">
        <f ca="1"/>
        <v>0</v>
      </c>
      <c r="VXP15">
        <f ca="1"/>
        <v>0</v>
      </c>
      <c r="VXQ15">
        <f ca="1"/>
        <v>0</v>
      </c>
      <c r="VXR15">
        <f ca="1"/>
        <v>0</v>
      </c>
      <c r="VXS15">
        <f ca="1"/>
        <v>0</v>
      </c>
      <c r="VXT15">
        <f ca="1"/>
        <v>0</v>
      </c>
      <c r="VXU15">
        <f ca="1"/>
        <v>0</v>
      </c>
      <c r="VXV15">
        <f ca="1"/>
        <v>0</v>
      </c>
      <c r="VXW15">
        <f ca="1"/>
        <v>0</v>
      </c>
      <c r="VXX15">
        <f ca="1"/>
        <v>0</v>
      </c>
      <c r="VXY15">
        <f ca="1"/>
        <v>0</v>
      </c>
      <c r="VXZ15">
        <f ca="1"/>
        <v>0</v>
      </c>
      <c r="VYA15">
        <f ca="1"/>
        <v>0</v>
      </c>
      <c r="VYB15">
        <f ca="1"/>
        <v>0</v>
      </c>
      <c r="VYC15">
        <f ca="1"/>
        <v>0</v>
      </c>
      <c r="VYD15">
        <f ca="1"/>
        <v>0</v>
      </c>
      <c r="VYE15">
        <f ca="1"/>
        <v>0</v>
      </c>
      <c r="VYF15">
        <f ca="1"/>
        <v>0</v>
      </c>
      <c r="VYG15">
        <f ca="1"/>
        <v>0</v>
      </c>
      <c r="VYH15">
        <f ca="1"/>
        <v>0</v>
      </c>
      <c r="VYI15">
        <f ca="1"/>
        <v>0</v>
      </c>
      <c r="VYJ15">
        <f ca="1"/>
        <v>0</v>
      </c>
      <c r="VYK15">
        <f ca="1"/>
        <v>0</v>
      </c>
      <c r="VYL15">
        <f ca="1"/>
        <v>0</v>
      </c>
      <c r="VYM15">
        <f ca="1"/>
        <v>0</v>
      </c>
      <c r="VYN15">
        <f ca="1"/>
        <v>0</v>
      </c>
      <c r="VYO15">
        <f ca="1"/>
        <v>0</v>
      </c>
      <c r="VYP15">
        <f ca="1"/>
        <v>0</v>
      </c>
      <c r="VYQ15">
        <f ca="1"/>
        <v>0</v>
      </c>
      <c r="VYR15">
        <f ca="1"/>
        <v>0</v>
      </c>
      <c r="VYS15">
        <f ca="1"/>
        <v>0</v>
      </c>
      <c r="VYT15">
        <f ca="1"/>
        <v>0</v>
      </c>
      <c r="VYU15">
        <f ca="1"/>
        <v>0</v>
      </c>
      <c r="VYV15">
        <f ca="1"/>
        <v>0</v>
      </c>
      <c r="VYW15">
        <f ca="1"/>
        <v>0</v>
      </c>
      <c r="VYX15">
        <f ca="1"/>
        <v>0</v>
      </c>
      <c r="VYY15">
        <f ca="1"/>
        <v>0</v>
      </c>
      <c r="VYZ15">
        <f ca="1"/>
        <v>0</v>
      </c>
      <c r="VZA15">
        <f ca="1"/>
        <v>0</v>
      </c>
      <c r="VZB15">
        <f ca="1"/>
        <v>0</v>
      </c>
      <c r="VZC15">
        <f ca="1"/>
        <v>0</v>
      </c>
      <c r="VZD15">
        <f ca="1"/>
        <v>0</v>
      </c>
      <c r="VZE15">
        <f ca="1"/>
        <v>0</v>
      </c>
      <c r="VZF15">
        <f ca="1"/>
        <v>0</v>
      </c>
      <c r="VZG15">
        <f ca="1"/>
        <v>0</v>
      </c>
      <c r="VZH15">
        <f ca="1"/>
        <v>0</v>
      </c>
      <c r="VZI15">
        <f ca="1"/>
        <v>0</v>
      </c>
      <c r="VZJ15">
        <f ca="1"/>
        <v>0</v>
      </c>
      <c r="VZK15">
        <f ca="1"/>
        <v>0</v>
      </c>
      <c r="VZL15">
        <f ca="1"/>
        <v>0</v>
      </c>
      <c r="VZM15">
        <f ca="1"/>
        <v>0</v>
      </c>
      <c r="VZN15">
        <f ca="1"/>
        <v>0</v>
      </c>
      <c r="VZO15">
        <f ca="1"/>
        <v>0</v>
      </c>
      <c r="VZP15">
        <f ca="1"/>
        <v>0</v>
      </c>
      <c r="VZQ15">
        <f ca="1"/>
        <v>0</v>
      </c>
      <c r="VZR15">
        <f ca="1"/>
        <v>0</v>
      </c>
      <c r="VZS15">
        <f ca="1"/>
        <v>0</v>
      </c>
      <c r="VZT15">
        <f ca="1"/>
        <v>0</v>
      </c>
      <c r="VZU15">
        <f ca="1"/>
        <v>0</v>
      </c>
      <c r="VZV15">
        <f ca="1"/>
        <v>0</v>
      </c>
      <c r="VZW15">
        <f ca="1"/>
        <v>0</v>
      </c>
      <c r="VZX15">
        <f ca="1"/>
        <v>0</v>
      </c>
      <c r="VZY15">
        <f ca="1"/>
        <v>0</v>
      </c>
      <c r="VZZ15">
        <f ca="1"/>
        <v>0</v>
      </c>
      <c r="WAA15">
        <f ca="1"/>
        <v>0</v>
      </c>
      <c r="WAB15">
        <f ca="1"/>
        <v>0</v>
      </c>
      <c r="WAC15">
        <f ca="1"/>
        <v>0</v>
      </c>
      <c r="WAD15">
        <f ca="1"/>
        <v>0</v>
      </c>
      <c r="WAE15">
        <f ca="1"/>
        <v>0</v>
      </c>
      <c r="WAF15">
        <f ca="1"/>
        <v>0</v>
      </c>
      <c r="WAG15">
        <f ca="1"/>
        <v>0</v>
      </c>
      <c r="WAH15">
        <f ca="1"/>
        <v>0</v>
      </c>
      <c r="WAI15">
        <f ca="1"/>
        <v>0</v>
      </c>
      <c r="WAJ15">
        <f ca="1"/>
        <v>0</v>
      </c>
      <c r="WAK15">
        <f ca="1"/>
        <v>0</v>
      </c>
      <c r="WAL15">
        <f ca="1"/>
        <v>0</v>
      </c>
      <c r="WAM15">
        <f ca="1"/>
        <v>0</v>
      </c>
      <c r="WAN15">
        <f ca="1"/>
        <v>0</v>
      </c>
      <c r="WAO15">
        <f ca="1"/>
        <v>0</v>
      </c>
      <c r="WAP15">
        <f ca="1"/>
        <v>0</v>
      </c>
      <c r="WAQ15">
        <f ca="1"/>
        <v>0</v>
      </c>
      <c r="WAR15">
        <f ca="1"/>
        <v>0</v>
      </c>
      <c r="WAS15">
        <f ca="1"/>
        <v>0</v>
      </c>
      <c r="WAT15">
        <f ca="1"/>
        <v>0</v>
      </c>
      <c r="WAU15">
        <f ca="1"/>
        <v>0</v>
      </c>
      <c r="WAV15">
        <f ca="1"/>
        <v>0</v>
      </c>
      <c r="WAW15">
        <f ca="1"/>
        <v>0</v>
      </c>
      <c r="WAX15">
        <f ca="1"/>
        <v>0</v>
      </c>
      <c r="WAY15">
        <f ca="1"/>
        <v>0</v>
      </c>
      <c r="WAZ15">
        <f ca="1"/>
        <v>0</v>
      </c>
      <c r="WBA15">
        <f ca="1"/>
        <v>0</v>
      </c>
      <c r="WBB15">
        <f ca="1"/>
        <v>0</v>
      </c>
      <c r="WBC15">
        <f ca="1"/>
        <v>0</v>
      </c>
      <c r="WBD15">
        <f ca="1"/>
        <v>0</v>
      </c>
      <c r="WBE15">
        <f ca="1"/>
        <v>0</v>
      </c>
      <c r="WBF15">
        <f ca="1"/>
        <v>0</v>
      </c>
      <c r="WBG15">
        <f ca="1"/>
        <v>0</v>
      </c>
      <c r="WBH15">
        <f ca="1"/>
        <v>0</v>
      </c>
      <c r="WBI15">
        <f ca="1"/>
        <v>0</v>
      </c>
      <c r="WBJ15">
        <f ca="1"/>
        <v>0</v>
      </c>
      <c r="WBK15">
        <f ca="1"/>
        <v>0</v>
      </c>
      <c r="WBL15">
        <f ca="1"/>
        <v>0</v>
      </c>
      <c r="WBM15">
        <f ca="1"/>
        <v>0</v>
      </c>
      <c r="WBN15">
        <f ca="1"/>
        <v>0</v>
      </c>
      <c r="WBO15">
        <f ca="1"/>
        <v>0</v>
      </c>
      <c r="WBP15">
        <f ca="1"/>
        <v>0</v>
      </c>
      <c r="WBQ15">
        <f ca="1"/>
        <v>0</v>
      </c>
      <c r="WBR15">
        <f ca="1"/>
        <v>0</v>
      </c>
      <c r="WBS15">
        <f ca="1"/>
        <v>0</v>
      </c>
      <c r="WBT15">
        <f ca="1"/>
        <v>0</v>
      </c>
      <c r="WBU15">
        <f ca="1"/>
        <v>0</v>
      </c>
      <c r="WBV15">
        <f ca="1"/>
        <v>0</v>
      </c>
      <c r="WBW15">
        <f ca="1"/>
        <v>0</v>
      </c>
      <c r="WBX15">
        <f ca="1"/>
        <v>0</v>
      </c>
      <c r="WBY15">
        <f ca="1"/>
        <v>0</v>
      </c>
      <c r="WBZ15">
        <f ca="1"/>
        <v>0</v>
      </c>
      <c r="WCA15">
        <f ca="1"/>
        <v>0</v>
      </c>
      <c r="WCB15">
        <f ca="1"/>
        <v>0</v>
      </c>
      <c r="WCC15">
        <f ca="1"/>
        <v>0</v>
      </c>
      <c r="WCD15">
        <f ca="1"/>
        <v>0</v>
      </c>
      <c r="WCE15">
        <f ca="1"/>
        <v>0</v>
      </c>
      <c r="WCF15">
        <f ca="1"/>
        <v>0</v>
      </c>
      <c r="WCG15">
        <f ca="1"/>
        <v>0</v>
      </c>
      <c r="WCH15">
        <f ca="1"/>
        <v>0</v>
      </c>
      <c r="WCI15">
        <f ca="1"/>
        <v>0</v>
      </c>
      <c r="WCJ15">
        <f ca="1"/>
        <v>0</v>
      </c>
      <c r="WCK15">
        <f ca="1"/>
        <v>0</v>
      </c>
      <c r="WCL15">
        <f ca="1"/>
        <v>0</v>
      </c>
      <c r="WCM15">
        <f ca="1"/>
        <v>0</v>
      </c>
      <c r="WCN15">
        <f ca="1"/>
        <v>0</v>
      </c>
      <c r="WCO15">
        <f ca="1"/>
        <v>0</v>
      </c>
      <c r="WCP15">
        <f ca="1"/>
        <v>0</v>
      </c>
      <c r="WCQ15">
        <f ca="1"/>
        <v>0</v>
      </c>
      <c r="WCR15">
        <f ca="1"/>
        <v>0</v>
      </c>
      <c r="WCS15">
        <f ca="1"/>
        <v>0</v>
      </c>
      <c r="WCT15">
        <f ca="1"/>
        <v>0</v>
      </c>
      <c r="WCU15">
        <f ca="1"/>
        <v>0</v>
      </c>
      <c r="WCV15">
        <f ca="1"/>
        <v>0</v>
      </c>
      <c r="WCW15">
        <f ca="1"/>
        <v>0</v>
      </c>
      <c r="WCX15">
        <f ca="1"/>
        <v>0</v>
      </c>
      <c r="WCY15">
        <f ca="1"/>
        <v>0</v>
      </c>
      <c r="WCZ15">
        <f ca="1"/>
        <v>0</v>
      </c>
      <c r="WDA15">
        <f ca="1"/>
        <v>0</v>
      </c>
      <c r="WDB15">
        <f ca="1"/>
        <v>0</v>
      </c>
      <c r="WDC15">
        <f ca="1"/>
        <v>0</v>
      </c>
      <c r="WDD15">
        <f ca="1"/>
        <v>0</v>
      </c>
      <c r="WDE15">
        <f ca="1"/>
        <v>0</v>
      </c>
      <c r="WDF15">
        <f ca="1"/>
        <v>0</v>
      </c>
      <c r="WDG15">
        <f ca="1"/>
        <v>0</v>
      </c>
      <c r="WDH15">
        <f ca="1"/>
        <v>0</v>
      </c>
      <c r="WDI15">
        <f ca="1"/>
        <v>0</v>
      </c>
      <c r="WDJ15">
        <f ca="1"/>
        <v>0</v>
      </c>
      <c r="WDK15">
        <f ca="1"/>
        <v>0</v>
      </c>
      <c r="WDL15">
        <f ca="1"/>
        <v>0</v>
      </c>
      <c r="WDM15">
        <f ca="1"/>
        <v>0</v>
      </c>
      <c r="WDN15">
        <f ca="1"/>
        <v>0</v>
      </c>
      <c r="WDO15">
        <f ca="1"/>
        <v>0</v>
      </c>
      <c r="WDP15">
        <f ca="1"/>
        <v>0</v>
      </c>
      <c r="WDQ15">
        <f ca="1"/>
        <v>0</v>
      </c>
      <c r="WDR15">
        <f ca="1"/>
        <v>0</v>
      </c>
      <c r="WDS15">
        <f ca="1"/>
        <v>0</v>
      </c>
      <c r="WDT15">
        <f ca="1"/>
        <v>0</v>
      </c>
      <c r="WDU15">
        <f ca="1"/>
        <v>0</v>
      </c>
      <c r="WDV15">
        <f ca="1"/>
        <v>0</v>
      </c>
      <c r="WDW15">
        <f ca="1"/>
        <v>0</v>
      </c>
      <c r="WDX15">
        <f ca="1"/>
        <v>0</v>
      </c>
      <c r="WDY15">
        <f ca="1"/>
        <v>0</v>
      </c>
      <c r="WDZ15">
        <f ca="1"/>
        <v>0</v>
      </c>
      <c r="WEA15">
        <f ca="1"/>
        <v>0</v>
      </c>
      <c r="WEB15">
        <f ca="1"/>
        <v>0</v>
      </c>
      <c r="WEC15">
        <f ca="1"/>
        <v>0</v>
      </c>
      <c r="WED15">
        <f ca="1"/>
        <v>0</v>
      </c>
      <c r="WEE15">
        <f ca="1"/>
        <v>0</v>
      </c>
      <c r="WEF15">
        <f ca="1"/>
        <v>0</v>
      </c>
      <c r="WEG15">
        <f ca="1"/>
        <v>0</v>
      </c>
      <c r="WEH15">
        <f ca="1"/>
        <v>0</v>
      </c>
      <c r="WEI15">
        <f ca="1"/>
        <v>0</v>
      </c>
      <c r="WEJ15">
        <f ca="1"/>
        <v>0</v>
      </c>
      <c r="WEK15">
        <f ca="1"/>
        <v>0</v>
      </c>
      <c r="WEL15">
        <f ca="1"/>
        <v>0</v>
      </c>
      <c r="WEM15">
        <f ca="1"/>
        <v>0</v>
      </c>
      <c r="WEN15">
        <f ca="1"/>
        <v>0</v>
      </c>
      <c r="WEO15">
        <f ca="1"/>
        <v>0</v>
      </c>
      <c r="WEP15">
        <f ca="1"/>
        <v>0</v>
      </c>
      <c r="WEQ15">
        <f ca="1"/>
        <v>0</v>
      </c>
      <c r="WER15">
        <f ca="1"/>
        <v>0</v>
      </c>
      <c r="WES15">
        <f ca="1"/>
        <v>0</v>
      </c>
      <c r="WET15">
        <f ca="1"/>
        <v>0</v>
      </c>
      <c r="WEU15">
        <f ca="1"/>
        <v>0</v>
      </c>
      <c r="WEV15">
        <f ca="1"/>
        <v>0</v>
      </c>
      <c r="WEW15">
        <f ca="1"/>
        <v>0</v>
      </c>
      <c r="WEX15">
        <f ca="1"/>
        <v>0</v>
      </c>
      <c r="WEY15">
        <f ca="1"/>
        <v>0</v>
      </c>
      <c r="WEZ15">
        <f ca="1"/>
        <v>0</v>
      </c>
      <c r="WFA15">
        <f ca="1"/>
        <v>0</v>
      </c>
      <c r="WFB15">
        <f ca="1"/>
        <v>0</v>
      </c>
      <c r="WFC15">
        <f ca="1"/>
        <v>0</v>
      </c>
      <c r="WFD15">
        <f ca="1"/>
        <v>0</v>
      </c>
      <c r="WFE15">
        <f ca="1"/>
        <v>0</v>
      </c>
      <c r="WFF15">
        <f ca="1"/>
        <v>0</v>
      </c>
      <c r="WFG15">
        <f ca="1"/>
        <v>0</v>
      </c>
      <c r="WFH15">
        <f ca="1"/>
        <v>0</v>
      </c>
      <c r="WFI15">
        <f ca="1"/>
        <v>0</v>
      </c>
      <c r="WFJ15">
        <f ca="1"/>
        <v>0</v>
      </c>
      <c r="WFK15">
        <f ca="1"/>
        <v>0</v>
      </c>
      <c r="WFL15">
        <f ca="1"/>
        <v>0</v>
      </c>
      <c r="WFM15">
        <f ca="1"/>
        <v>0</v>
      </c>
      <c r="WFN15">
        <f ca="1"/>
        <v>0</v>
      </c>
      <c r="WFO15">
        <f ca="1"/>
        <v>0</v>
      </c>
      <c r="WFP15">
        <f ca="1"/>
        <v>0</v>
      </c>
      <c r="WFQ15">
        <f ca="1"/>
        <v>0</v>
      </c>
      <c r="WFR15">
        <f ca="1"/>
        <v>0</v>
      </c>
      <c r="WFS15">
        <f ca="1"/>
        <v>0</v>
      </c>
      <c r="WFT15">
        <f ca="1"/>
        <v>0</v>
      </c>
      <c r="WFU15">
        <f ca="1"/>
        <v>0</v>
      </c>
      <c r="WFV15">
        <f ca="1"/>
        <v>0</v>
      </c>
      <c r="WFW15">
        <f ca="1"/>
        <v>0</v>
      </c>
      <c r="WFX15">
        <f ca="1"/>
        <v>0</v>
      </c>
      <c r="WFY15">
        <f ca="1"/>
        <v>0</v>
      </c>
      <c r="WFZ15">
        <f ca="1"/>
        <v>0</v>
      </c>
      <c r="WGA15">
        <f ca="1"/>
        <v>0</v>
      </c>
      <c r="WGB15">
        <f ca="1"/>
        <v>0</v>
      </c>
      <c r="WGC15">
        <f ca="1"/>
        <v>0</v>
      </c>
      <c r="WGD15">
        <f ca="1"/>
        <v>0</v>
      </c>
      <c r="WGE15">
        <f ca="1"/>
        <v>0</v>
      </c>
      <c r="WGF15">
        <f ca="1"/>
        <v>0</v>
      </c>
      <c r="WGG15">
        <f ca="1"/>
        <v>0</v>
      </c>
      <c r="WGH15">
        <f ca="1"/>
        <v>0</v>
      </c>
      <c r="WGI15">
        <f ca="1"/>
        <v>0</v>
      </c>
      <c r="WGJ15">
        <f ca="1"/>
        <v>0</v>
      </c>
      <c r="WGK15">
        <f ca="1"/>
        <v>0</v>
      </c>
      <c r="WGL15">
        <f ca="1"/>
        <v>0</v>
      </c>
      <c r="WGM15">
        <f ca="1"/>
        <v>0</v>
      </c>
      <c r="WGN15">
        <f ca="1"/>
        <v>0</v>
      </c>
      <c r="WGO15">
        <f ca="1"/>
        <v>0</v>
      </c>
      <c r="WGP15">
        <f ca="1"/>
        <v>0</v>
      </c>
      <c r="WGQ15">
        <f ca="1"/>
        <v>0</v>
      </c>
      <c r="WGR15">
        <f ca="1"/>
        <v>0</v>
      </c>
      <c r="WGS15">
        <f ca="1"/>
        <v>0</v>
      </c>
      <c r="WGT15">
        <f ca="1"/>
        <v>0</v>
      </c>
      <c r="WGU15">
        <f ca="1"/>
        <v>0</v>
      </c>
      <c r="WGV15">
        <f ca="1"/>
        <v>0</v>
      </c>
      <c r="WGW15">
        <f ca="1"/>
        <v>0</v>
      </c>
      <c r="WGX15">
        <f ca="1"/>
        <v>0</v>
      </c>
      <c r="WGY15">
        <f ca="1"/>
        <v>0</v>
      </c>
      <c r="WGZ15">
        <f ca="1"/>
        <v>0</v>
      </c>
      <c r="WHA15">
        <f ca="1"/>
        <v>0</v>
      </c>
      <c r="WHB15">
        <f ca="1"/>
        <v>0</v>
      </c>
      <c r="WHC15">
        <f ca="1"/>
        <v>0</v>
      </c>
      <c r="WHD15">
        <f ca="1"/>
        <v>0</v>
      </c>
      <c r="WHE15">
        <f ca="1"/>
        <v>0</v>
      </c>
      <c r="WHF15">
        <f ca="1"/>
        <v>0</v>
      </c>
      <c r="WHG15">
        <f ca="1"/>
        <v>0</v>
      </c>
      <c r="WHH15">
        <f ca="1"/>
        <v>0</v>
      </c>
      <c r="WHI15">
        <f ca="1"/>
        <v>0</v>
      </c>
      <c r="WHJ15">
        <f ca="1"/>
        <v>0</v>
      </c>
      <c r="WHK15">
        <f ca="1"/>
        <v>0</v>
      </c>
      <c r="WHL15">
        <f ca="1"/>
        <v>0</v>
      </c>
      <c r="WHM15">
        <f ca="1"/>
        <v>0</v>
      </c>
      <c r="WHN15">
        <f ca="1"/>
        <v>0</v>
      </c>
      <c r="WHO15">
        <f ca="1"/>
        <v>0</v>
      </c>
      <c r="WHP15">
        <f ca="1"/>
        <v>0</v>
      </c>
      <c r="WHQ15">
        <f ca="1"/>
        <v>0</v>
      </c>
      <c r="WHR15">
        <f ca="1"/>
        <v>0</v>
      </c>
      <c r="WHS15">
        <f ca="1"/>
        <v>0</v>
      </c>
      <c r="WHT15">
        <f ca="1"/>
        <v>0</v>
      </c>
      <c r="WHU15">
        <f ca="1"/>
        <v>0</v>
      </c>
      <c r="WHV15">
        <f ca="1"/>
        <v>0</v>
      </c>
      <c r="WHW15">
        <f ca="1"/>
        <v>0</v>
      </c>
      <c r="WHX15">
        <f ca="1"/>
        <v>0</v>
      </c>
      <c r="WHY15">
        <f ca="1"/>
        <v>0</v>
      </c>
      <c r="WHZ15">
        <f ca="1"/>
        <v>0</v>
      </c>
      <c r="WIA15">
        <f ca="1"/>
        <v>0</v>
      </c>
      <c r="WIB15">
        <f ca="1"/>
        <v>0</v>
      </c>
      <c r="WIC15">
        <f ca="1"/>
        <v>0</v>
      </c>
      <c r="WID15">
        <f ca="1"/>
        <v>0</v>
      </c>
      <c r="WIE15">
        <f ca="1"/>
        <v>0</v>
      </c>
      <c r="WIF15">
        <f ca="1"/>
        <v>0</v>
      </c>
      <c r="WIG15">
        <f ca="1"/>
        <v>0</v>
      </c>
      <c r="WIH15">
        <f ca="1"/>
        <v>0</v>
      </c>
      <c r="WII15">
        <f ca="1"/>
        <v>0</v>
      </c>
      <c r="WIJ15">
        <f ca="1"/>
        <v>0</v>
      </c>
      <c r="WIK15">
        <f ca="1"/>
        <v>0</v>
      </c>
      <c r="WIL15">
        <f ca="1"/>
        <v>0</v>
      </c>
      <c r="WIM15">
        <f ca="1"/>
        <v>0</v>
      </c>
      <c r="WIN15">
        <f ca="1"/>
        <v>0</v>
      </c>
      <c r="WIO15">
        <f ca="1"/>
        <v>0</v>
      </c>
      <c r="WIP15">
        <f ca="1"/>
        <v>0</v>
      </c>
      <c r="WIQ15">
        <f ca="1"/>
        <v>0</v>
      </c>
      <c r="WIR15">
        <f ca="1"/>
        <v>0</v>
      </c>
      <c r="WIS15">
        <f ca="1"/>
        <v>0</v>
      </c>
      <c r="WIT15">
        <f ca="1"/>
        <v>0</v>
      </c>
      <c r="WIU15">
        <f ca="1"/>
        <v>0</v>
      </c>
      <c r="WIV15">
        <f ca="1"/>
        <v>0</v>
      </c>
      <c r="WIW15">
        <f ca="1"/>
        <v>0</v>
      </c>
      <c r="WIX15">
        <f ca="1"/>
        <v>0</v>
      </c>
      <c r="WIY15">
        <f ca="1"/>
        <v>0</v>
      </c>
      <c r="WIZ15">
        <f ca="1"/>
        <v>0</v>
      </c>
      <c r="WJA15">
        <f ca="1"/>
        <v>0</v>
      </c>
      <c r="WJB15">
        <f ca="1"/>
        <v>0</v>
      </c>
      <c r="WJC15">
        <f ca="1"/>
        <v>0</v>
      </c>
      <c r="WJD15">
        <f ca="1"/>
        <v>0</v>
      </c>
      <c r="WJE15">
        <f ca="1"/>
        <v>0</v>
      </c>
      <c r="WJF15">
        <f ca="1"/>
        <v>0</v>
      </c>
      <c r="WJG15">
        <f ca="1"/>
        <v>0</v>
      </c>
      <c r="WJH15">
        <f ca="1"/>
        <v>0</v>
      </c>
      <c r="WJI15">
        <f ca="1"/>
        <v>0</v>
      </c>
      <c r="WJJ15">
        <f ca="1"/>
        <v>0</v>
      </c>
      <c r="WJK15">
        <f ca="1"/>
        <v>0</v>
      </c>
      <c r="WJL15">
        <f ca="1"/>
        <v>0</v>
      </c>
      <c r="WJM15">
        <f ca="1"/>
        <v>0</v>
      </c>
      <c r="WJN15">
        <f ca="1"/>
        <v>0</v>
      </c>
      <c r="WJO15">
        <f ca="1"/>
        <v>0</v>
      </c>
      <c r="WJP15">
        <f ca="1"/>
        <v>0</v>
      </c>
      <c r="WJQ15">
        <f ca="1"/>
        <v>0</v>
      </c>
      <c r="WJR15">
        <f ca="1"/>
        <v>0</v>
      </c>
      <c r="WJS15">
        <f ca="1"/>
        <v>0</v>
      </c>
      <c r="WJT15">
        <f ca="1"/>
        <v>0</v>
      </c>
      <c r="WJU15">
        <f ca="1"/>
        <v>0</v>
      </c>
      <c r="WJV15">
        <f ca="1"/>
        <v>0</v>
      </c>
      <c r="WJW15">
        <f ca="1"/>
        <v>0</v>
      </c>
      <c r="WJX15">
        <f ca="1"/>
        <v>0</v>
      </c>
      <c r="WJY15">
        <f ca="1"/>
        <v>0</v>
      </c>
      <c r="WJZ15">
        <f ca="1"/>
        <v>0</v>
      </c>
      <c r="WKA15">
        <f ca="1"/>
        <v>0</v>
      </c>
      <c r="WKB15">
        <f ca="1"/>
        <v>0</v>
      </c>
      <c r="WKC15">
        <f ca="1"/>
        <v>0</v>
      </c>
      <c r="WKD15">
        <f ca="1"/>
        <v>0</v>
      </c>
      <c r="WKE15">
        <f ca="1"/>
        <v>0</v>
      </c>
      <c r="WKF15">
        <f ca="1"/>
        <v>0</v>
      </c>
      <c r="WKG15">
        <f ca="1"/>
        <v>0</v>
      </c>
      <c r="WKH15">
        <f ca="1"/>
        <v>0</v>
      </c>
      <c r="WKI15">
        <f ca="1"/>
        <v>0</v>
      </c>
      <c r="WKJ15">
        <f ca="1"/>
        <v>0</v>
      </c>
      <c r="WKK15">
        <f ca="1"/>
        <v>0</v>
      </c>
      <c r="WKL15">
        <f ca="1"/>
        <v>0</v>
      </c>
      <c r="WKM15">
        <f ca="1"/>
        <v>0</v>
      </c>
      <c r="WKN15">
        <f ca="1"/>
        <v>0</v>
      </c>
      <c r="WKO15">
        <f ca="1"/>
        <v>0</v>
      </c>
      <c r="WKP15">
        <f ca="1"/>
        <v>0</v>
      </c>
      <c r="WKQ15">
        <f ca="1"/>
        <v>0</v>
      </c>
      <c r="WKR15">
        <f ca="1"/>
        <v>0</v>
      </c>
      <c r="WKS15">
        <f ca="1"/>
        <v>0</v>
      </c>
      <c r="WKT15">
        <f ca="1"/>
        <v>0</v>
      </c>
      <c r="WKU15">
        <f ca="1"/>
        <v>0</v>
      </c>
      <c r="WKV15">
        <f ca="1"/>
        <v>0</v>
      </c>
      <c r="WKW15">
        <f ca="1"/>
        <v>0</v>
      </c>
      <c r="WKX15">
        <f ca="1"/>
        <v>0</v>
      </c>
      <c r="WKY15">
        <f ca="1"/>
        <v>0</v>
      </c>
      <c r="WKZ15">
        <f ca="1"/>
        <v>0</v>
      </c>
      <c r="WLA15">
        <f ca="1"/>
        <v>0</v>
      </c>
      <c r="WLB15">
        <f ca="1"/>
        <v>0</v>
      </c>
      <c r="WLC15">
        <f ca="1"/>
        <v>0</v>
      </c>
      <c r="WLD15">
        <f ca="1"/>
        <v>0</v>
      </c>
      <c r="WLE15">
        <f ca="1"/>
        <v>0</v>
      </c>
      <c r="WLF15">
        <f ca="1"/>
        <v>0</v>
      </c>
      <c r="WLG15">
        <f ca="1"/>
        <v>0</v>
      </c>
      <c r="WLH15">
        <f ca="1"/>
        <v>0</v>
      </c>
      <c r="WLI15">
        <f ca="1"/>
        <v>0</v>
      </c>
      <c r="WLJ15">
        <f ca="1"/>
        <v>0</v>
      </c>
      <c r="WLK15">
        <f ca="1"/>
        <v>0</v>
      </c>
      <c r="WLL15">
        <f ca="1"/>
        <v>0</v>
      </c>
      <c r="WLM15">
        <f ca="1"/>
        <v>0</v>
      </c>
      <c r="WLN15">
        <f ca="1"/>
        <v>0</v>
      </c>
      <c r="WLO15">
        <f ca="1"/>
        <v>0</v>
      </c>
      <c r="WLP15">
        <f ca="1"/>
        <v>0</v>
      </c>
      <c r="WLQ15">
        <f ca="1"/>
        <v>0</v>
      </c>
      <c r="WLR15">
        <f ca="1"/>
        <v>0</v>
      </c>
      <c r="WLS15">
        <f ca="1"/>
        <v>0</v>
      </c>
      <c r="WLT15">
        <f ca="1"/>
        <v>0</v>
      </c>
      <c r="WLU15">
        <f ca="1"/>
        <v>0</v>
      </c>
      <c r="WLV15">
        <f ca="1"/>
        <v>0</v>
      </c>
      <c r="WLW15">
        <f ca="1"/>
        <v>0</v>
      </c>
      <c r="WLX15">
        <f ca="1"/>
        <v>0</v>
      </c>
      <c r="WLY15">
        <f ca="1"/>
        <v>0</v>
      </c>
      <c r="WLZ15">
        <f ca="1"/>
        <v>0</v>
      </c>
      <c r="WMA15">
        <f ca="1"/>
        <v>0</v>
      </c>
      <c r="WMB15">
        <f ca="1"/>
        <v>0</v>
      </c>
      <c r="WMC15">
        <f ca="1"/>
        <v>0</v>
      </c>
      <c r="WMD15">
        <f ca="1"/>
        <v>0</v>
      </c>
      <c r="WME15">
        <f ca="1"/>
        <v>0</v>
      </c>
      <c r="WMF15">
        <f ca="1"/>
        <v>0</v>
      </c>
      <c r="WMG15">
        <f ca="1"/>
        <v>0</v>
      </c>
      <c r="WMH15">
        <f ca="1"/>
        <v>0</v>
      </c>
      <c r="WMI15">
        <f ca="1"/>
        <v>0</v>
      </c>
      <c r="WMJ15">
        <f ca="1"/>
        <v>0</v>
      </c>
      <c r="WMK15">
        <f ca="1"/>
        <v>0</v>
      </c>
      <c r="WML15">
        <f ca="1"/>
        <v>0</v>
      </c>
      <c r="WMM15">
        <f ca="1"/>
        <v>0</v>
      </c>
      <c r="WMN15">
        <f ca="1"/>
        <v>0</v>
      </c>
      <c r="WMO15">
        <f ca="1"/>
        <v>0</v>
      </c>
      <c r="WMP15">
        <f ca="1"/>
        <v>0</v>
      </c>
      <c r="WMQ15">
        <f ca="1"/>
        <v>0</v>
      </c>
      <c r="WMR15">
        <f ca="1"/>
        <v>0</v>
      </c>
      <c r="WMS15">
        <f ca="1"/>
        <v>0</v>
      </c>
      <c r="WMT15">
        <f ca="1"/>
        <v>0</v>
      </c>
      <c r="WMU15">
        <f ca="1"/>
        <v>0</v>
      </c>
      <c r="WMV15">
        <f ca="1"/>
        <v>0</v>
      </c>
      <c r="WMW15">
        <f ca="1"/>
        <v>0</v>
      </c>
      <c r="WMX15">
        <f ca="1"/>
        <v>0</v>
      </c>
      <c r="WMY15">
        <f ca="1"/>
        <v>0</v>
      </c>
      <c r="WMZ15">
        <f ca="1"/>
        <v>0</v>
      </c>
      <c r="WNA15">
        <f ca="1"/>
        <v>0</v>
      </c>
      <c r="WNB15">
        <f ca="1"/>
        <v>0</v>
      </c>
      <c r="WNC15">
        <f ca="1"/>
        <v>0</v>
      </c>
      <c r="WND15">
        <f ca="1"/>
        <v>0</v>
      </c>
      <c r="WNE15">
        <f ca="1"/>
        <v>0</v>
      </c>
      <c r="WNF15">
        <f ca="1"/>
        <v>0</v>
      </c>
      <c r="WNG15">
        <f ca="1"/>
        <v>0</v>
      </c>
      <c r="WNH15">
        <f ca="1"/>
        <v>0</v>
      </c>
      <c r="WNI15">
        <f ca="1"/>
        <v>0</v>
      </c>
      <c r="WNJ15">
        <f ca="1"/>
        <v>0</v>
      </c>
      <c r="WNK15">
        <f ca="1"/>
        <v>0</v>
      </c>
      <c r="WNL15">
        <f ca="1"/>
        <v>0</v>
      </c>
      <c r="WNM15">
        <f ca="1"/>
        <v>0</v>
      </c>
      <c r="WNN15">
        <f ca="1"/>
        <v>0</v>
      </c>
      <c r="WNO15">
        <f ca="1"/>
        <v>0</v>
      </c>
      <c r="WNP15">
        <f ca="1"/>
        <v>0</v>
      </c>
      <c r="WNQ15">
        <f ca="1"/>
        <v>0</v>
      </c>
      <c r="WNR15">
        <f ca="1"/>
        <v>0</v>
      </c>
      <c r="WNS15">
        <f ca="1"/>
        <v>0</v>
      </c>
      <c r="WNT15">
        <f ca="1"/>
        <v>0</v>
      </c>
      <c r="WNU15">
        <f ca="1"/>
        <v>0</v>
      </c>
      <c r="WNV15">
        <f ca="1"/>
        <v>0</v>
      </c>
      <c r="WNW15">
        <f ca="1"/>
        <v>0</v>
      </c>
      <c r="WNX15">
        <f ca="1"/>
        <v>0</v>
      </c>
      <c r="WNY15">
        <f ca="1"/>
        <v>0</v>
      </c>
      <c r="WNZ15">
        <f ca="1"/>
        <v>0</v>
      </c>
      <c r="WOA15">
        <f ca="1"/>
        <v>0</v>
      </c>
      <c r="WOB15">
        <f ca="1"/>
        <v>0</v>
      </c>
      <c r="WOC15">
        <f ca="1"/>
        <v>0</v>
      </c>
      <c r="WOD15">
        <f ca="1"/>
        <v>0</v>
      </c>
      <c r="WOE15">
        <f ca="1"/>
        <v>0</v>
      </c>
      <c r="WOF15">
        <f ca="1"/>
        <v>0</v>
      </c>
      <c r="WOG15">
        <f ca="1"/>
        <v>0</v>
      </c>
      <c r="WOH15">
        <f ca="1"/>
        <v>0</v>
      </c>
      <c r="WOI15">
        <f ca="1"/>
        <v>0</v>
      </c>
      <c r="WOJ15">
        <f ca="1"/>
        <v>0</v>
      </c>
      <c r="WOK15">
        <f ca="1"/>
        <v>0</v>
      </c>
      <c r="WOL15">
        <f ca="1"/>
        <v>0</v>
      </c>
      <c r="WOM15">
        <f ca="1"/>
        <v>0</v>
      </c>
      <c r="WON15">
        <f ca="1"/>
        <v>0</v>
      </c>
      <c r="WOO15">
        <f ca="1"/>
        <v>0</v>
      </c>
      <c r="WOP15">
        <f ca="1"/>
        <v>0</v>
      </c>
      <c r="WOQ15">
        <f ca="1"/>
        <v>0</v>
      </c>
      <c r="WOR15">
        <f ca="1"/>
        <v>0</v>
      </c>
      <c r="WOS15">
        <f ca="1"/>
        <v>0</v>
      </c>
      <c r="WOT15">
        <f ca="1"/>
        <v>0</v>
      </c>
      <c r="WOU15">
        <f ca="1"/>
        <v>0</v>
      </c>
      <c r="WOV15">
        <f ca="1"/>
        <v>0</v>
      </c>
      <c r="WOW15">
        <f ca="1"/>
        <v>0</v>
      </c>
      <c r="WOX15">
        <f ca="1"/>
        <v>0</v>
      </c>
      <c r="WOY15">
        <f ca="1"/>
        <v>0</v>
      </c>
      <c r="WOZ15">
        <f ca="1"/>
        <v>0</v>
      </c>
      <c r="WPA15">
        <f ca="1"/>
        <v>0</v>
      </c>
      <c r="WPB15">
        <f ca="1"/>
        <v>0</v>
      </c>
      <c r="WPC15">
        <f ca="1"/>
        <v>0</v>
      </c>
      <c r="WPD15">
        <f ca="1"/>
        <v>0</v>
      </c>
      <c r="WPE15">
        <f ca="1"/>
        <v>0</v>
      </c>
      <c r="WPF15">
        <f ca="1"/>
        <v>0</v>
      </c>
      <c r="WPG15">
        <f ca="1"/>
        <v>0</v>
      </c>
      <c r="WPH15">
        <f ca="1"/>
        <v>0</v>
      </c>
      <c r="WPI15">
        <f ca="1"/>
        <v>0</v>
      </c>
      <c r="WPJ15">
        <f ca="1"/>
        <v>0</v>
      </c>
      <c r="WPK15">
        <f ca="1"/>
        <v>0</v>
      </c>
      <c r="WPL15">
        <f ca="1"/>
        <v>0</v>
      </c>
      <c r="WPM15">
        <f ca="1"/>
        <v>0</v>
      </c>
      <c r="WPN15">
        <f ca="1"/>
        <v>0</v>
      </c>
      <c r="WPO15">
        <f ca="1"/>
        <v>0</v>
      </c>
      <c r="WPP15">
        <f ca="1"/>
        <v>0</v>
      </c>
      <c r="WPQ15">
        <f ca="1"/>
        <v>0</v>
      </c>
      <c r="WPR15">
        <f ca="1"/>
        <v>0</v>
      </c>
      <c r="WPS15">
        <f ca="1"/>
        <v>0</v>
      </c>
      <c r="WPT15">
        <f ca="1"/>
        <v>0</v>
      </c>
      <c r="WPU15">
        <f ca="1"/>
        <v>0</v>
      </c>
      <c r="WPV15">
        <f ca="1"/>
        <v>0</v>
      </c>
      <c r="WPW15">
        <f ca="1"/>
        <v>0</v>
      </c>
      <c r="WPX15">
        <f ca="1"/>
        <v>0</v>
      </c>
      <c r="WPY15">
        <f ca="1"/>
        <v>0</v>
      </c>
      <c r="WPZ15">
        <f ca="1"/>
        <v>0</v>
      </c>
      <c r="WQA15">
        <f ca="1"/>
        <v>0</v>
      </c>
      <c r="WQB15">
        <f ca="1"/>
        <v>0</v>
      </c>
      <c r="WQC15">
        <f ca="1"/>
        <v>0</v>
      </c>
      <c r="WQD15">
        <f ca="1"/>
        <v>0</v>
      </c>
      <c r="WQE15">
        <f ca="1"/>
        <v>0</v>
      </c>
      <c r="WQF15">
        <f ca="1"/>
        <v>0</v>
      </c>
      <c r="WQG15">
        <f ca="1"/>
        <v>0</v>
      </c>
      <c r="WQH15">
        <f ca="1"/>
        <v>0</v>
      </c>
      <c r="WQI15">
        <f ca="1"/>
        <v>0</v>
      </c>
      <c r="WQJ15">
        <f ca="1"/>
        <v>0</v>
      </c>
      <c r="WQK15">
        <f ca="1"/>
        <v>0</v>
      </c>
      <c r="WQL15">
        <f ca="1"/>
        <v>0</v>
      </c>
      <c r="WQM15">
        <f ca="1"/>
        <v>0</v>
      </c>
      <c r="WQN15">
        <f ca="1"/>
        <v>0</v>
      </c>
      <c r="WQO15">
        <f ca="1"/>
        <v>0</v>
      </c>
      <c r="WQP15">
        <f ca="1"/>
        <v>0</v>
      </c>
      <c r="WQQ15">
        <f ca="1"/>
        <v>0</v>
      </c>
      <c r="WQR15">
        <f ca="1"/>
        <v>0</v>
      </c>
      <c r="WQS15">
        <f ca="1"/>
        <v>0</v>
      </c>
      <c r="WQT15">
        <f ca="1"/>
        <v>0</v>
      </c>
      <c r="WQU15">
        <f ca="1"/>
        <v>0</v>
      </c>
      <c r="WQV15">
        <f ca="1"/>
        <v>0</v>
      </c>
      <c r="WQW15">
        <f ca="1"/>
        <v>0</v>
      </c>
      <c r="WQX15">
        <f ca="1"/>
        <v>0</v>
      </c>
      <c r="WQY15">
        <f ca="1"/>
        <v>0</v>
      </c>
      <c r="WQZ15">
        <f ca="1"/>
        <v>0</v>
      </c>
      <c r="WRA15">
        <f ca="1"/>
        <v>0</v>
      </c>
      <c r="WRB15">
        <f ca="1"/>
        <v>0</v>
      </c>
      <c r="WRC15">
        <f ca="1"/>
        <v>0</v>
      </c>
      <c r="WRD15">
        <f ca="1"/>
        <v>0</v>
      </c>
      <c r="WRE15">
        <f ca="1"/>
        <v>0</v>
      </c>
      <c r="WRF15">
        <f ca="1"/>
        <v>0</v>
      </c>
      <c r="WRG15">
        <f ca="1"/>
        <v>0</v>
      </c>
      <c r="WRH15">
        <f ca="1"/>
        <v>0</v>
      </c>
      <c r="WRI15">
        <f ca="1"/>
        <v>0</v>
      </c>
      <c r="WRJ15">
        <f ca="1"/>
        <v>0</v>
      </c>
      <c r="WRK15">
        <f ca="1"/>
        <v>0</v>
      </c>
      <c r="WRL15">
        <f ca="1"/>
        <v>0</v>
      </c>
      <c r="WRM15">
        <f ca="1"/>
        <v>0</v>
      </c>
      <c r="WRN15">
        <f ca="1"/>
        <v>0</v>
      </c>
      <c r="WRO15">
        <f ca="1"/>
        <v>0</v>
      </c>
      <c r="WRP15">
        <f ca="1"/>
        <v>0</v>
      </c>
      <c r="WRQ15">
        <f ca="1"/>
        <v>0</v>
      </c>
      <c r="WRR15">
        <f ca="1"/>
        <v>0</v>
      </c>
      <c r="WRS15">
        <f ca="1"/>
        <v>0</v>
      </c>
      <c r="WRT15">
        <f ca="1"/>
        <v>0</v>
      </c>
      <c r="WRU15">
        <f ca="1"/>
        <v>0</v>
      </c>
      <c r="WRV15">
        <f ca="1"/>
        <v>0</v>
      </c>
      <c r="WRW15">
        <f ca="1"/>
        <v>0</v>
      </c>
      <c r="WRX15">
        <f ca="1"/>
        <v>0</v>
      </c>
      <c r="WRY15">
        <f ca="1"/>
        <v>0</v>
      </c>
      <c r="WRZ15">
        <f ca="1"/>
        <v>0</v>
      </c>
      <c r="WSA15">
        <f ca="1"/>
        <v>0</v>
      </c>
      <c r="WSB15">
        <f ca="1"/>
        <v>0</v>
      </c>
      <c r="WSC15">
        <f ca="1"/>
        <v>0</v>
      </c>
      <c r="WSD15">
        <f ca="1"/>
        <v>0</v>
      </c>
      <c r="WSE15">
        <f ca="1"/>
        <v>0</v>
      </c>
      <c r="WSF15">
        <f ca="1"/>
        <v>0</v>
      </c>
      <c r="WSG15">
        <f ca="1"/>
        <v>0</v>
      </c>
      <c r="WSH15">
        <f ca="1"/>
        <v>0</v>
      </c>
      <c r="WSI15">
        <f ca="1"/>
        <v>0</v>
      </c>
      <c r="WSJ15">
        <f ca="1"/>
        <v>0</v>
      </c>
      <c r="WSK15">
        <f ca="1"/>
        <v>0</v>
      </c>
      <c r="WSL15">
        <f ca="1"/>
        <v>0</v>
      </c>
      <c r="WSM15">
        <f ca="1"/>
        <v>0</v>
      </c>
      <c r="WSN15">
        <f ca="1"/>
        <v>0</v>
      </c>
      <c r="WSO15">
        <f ca="1"/>
        <v>0</v>
      </c>
      <c r="WSP15">
        <f ca="1"/>
        <v>0</v>
      </c>
      <c r="WSQ15">
        <f ca="1"/>
        <v>0</v>
      </c>
      <c r="WSR15">
        <f ca="1"/>
        <v>0</v>
      </c>
      <c r="WSS15">
        <f ca="1"/>
        <v>0</v>
      </c>
      <c r="WST15">
        <f ca="1"/>
        <v>0</v>
      </c>
      <c r="WSU15">
        <f ca="1"/>
        <v>0</v>
      </c>
      <c r="WSV15">
        <f ca="1"/>
        <v>0</v>
      </c>
      <c r="WSW15">
        <f ca="1"/>
        <v>0</v>
      </c>
      <c r="WSX15">
        <f ca="1"/>
        <v>0</v>
      </c>
      <c r="WSY15">
        <f ca="1"/>
        <v>0</v>
      </c>
      <c r="WSZ15">
        <f ca="1"/>
        <v>0</v>
      </c>
      <c r="WTA15">
        <f ca="1"/>
        <v>0</v>
      </c>
      <c r="WTB15">
        <f ca="1"/>
        <v>0</v>
      </c>
      <c r="WTC15">
        <f ca="1"/>
        <v>0</v>
      </c>
      <c r="WTD15">
        <f ca="1"/>
        <v>0</v>
      </c>
      <c r="WTE15">
        <f ca="1"/>
        <v>0</v>
      </c>
      <c r="WTF15">
        <f ca="1"/>
        <v>0</v>
      </c>
      <c r="WTG15">
        <f ca="1"/>
        <v>0</v>
      </c>
      <c r="WTH15">
        <f ca="1"/>
        <v>0</v>
      </c>
      <c r="WTI15">
        <f ca="1"/>
        <v>0</v>
      </c>
      <c r="WTJ15">
        <f ca="1"/>
        <v>0</v>
      </c>
      <c r="WTK15">
        <f ca="1"/>
        <v>0</v>
      </c>
      <c r="WTL15">
        <f ca="1"/>
        <v>0</v>
      </c>
      <c r="WTM15">
        <f ca="1"/>
        <v>0</v>
      </c>
      <c r="WTN15">
        <f ca="1"/>
        <v>0</v>
      </c>
      <c r="WTO15">
        <f ca="1"/>
        <v>0</v>
      </c>
      <c r="WTP15">
        <f ca="1"/>
        <v>0</v>
      </c>
      <c r="WTQ15">
        <f ca="1"/>
        <v>0</v>
      </c>
      <c r="WTR15">
        <f ca="1"/>
        <v>0</v>
      </c>
      <c r="WTS15">
        <f ca="1"/>
        <v>0</v>
      </c>
      <c r="WTT15">
        <f ca="1"/>
        <v>0</v>
      </c>
      <c r="WTU15">
        <f ca="1"/>
        <v>0</v>
      </c>
      <c r="WTV15">
        <f ca="1"/>
        <v>0</v>
      </c>
      <c r="WTW15">
        <f ca="1"/>
        <v>0</v>
      </c>
      <c r="WTX15">
        <f ca="1"/>
        <v>0</v>
      </c>
      <c r="WTY15">
        <f ca="1"/>
        <v>0</v>
      </c>
      <c r="WTZ15">
        <f ca="1"/>
        <v>0</v>
      </c>
      <c r="WUA15">
        <f ca="1"/>
        <v>0</v>
      </c>
      <c r="WUB15">
        <f ca="1"/>
        <v>0</v>
      </c>
      <c r="WUC15">
        <f ca="1"/>
        <v>0</v>
      </c>
      <c r="WUD15">
        <f ca="1"/>
        <v>0</v>
      </c>
      <c r="WUE15">
        <f ca="1"/>
        <v>0</v>
      </c>
      <c r="WUF15">
        <f ca="1"/>
        <v>0</v>
      </c>
      <c r="WUG15">
        <f ca="1"/>
        <v>0</v>
      </c>
      <c r="WUH15">
        <f ca="1"/>
        <v>0</v>
      </c>
      <c r="WUI15">
        <f ca="1"/>
        <v>0</v>
      </c>
      <c r="WUJ15">
        <f ca="1"/>
        <v>0</v>
      </c>
      <c r="WUK15">
        <f ca="1"/>
        <v>0</v>
      </c>
      <c r="WUL15">
        <f ca="1"/>
        <v>0</v>
      </c>
      <c r="WUM15">
        <f ca="1"/>
        <v>0</v>
      </c>
      <c r="WUN15">
        <f ca="1"/>
        <v>0</v>
      </c>
      <c r="WUO15">
        <f ca="1"/>
        <v>0</v>
      </c>
      <c r="WUP15">
        <f ca="1"/>
        <v>0</v>
      </c>
      <c r="WUQ15">
        <f ca="1"/>
        <v>0</v>
      </c>
      <c r="WUR15">
        <f ca="1"/>
        <v>0</v>
      </c>
      <c r="WUS15">
        <f ca="1"/>
        <v>0</v>
      </c>
      <c r="WUT15">
        <f ca="1"/>
        <v>0</v>
      </c>
      <c r="WUU15">
        <f ca="1"/>
        <v>0</v>
      </c>
      <c r="WUV15">
        <f ca="1"/>
        <v>0</v>
      </c>
      <c r="WUW15">
        <f ca="1"/>
        <v>0</v>
      </c>
      <c r="WUX15">
        <f ca="1"/>
        <v>0</v>
      </c>
      <c r="WUY15">
        <f ca="1"/>
        <v>0</v>
      </c>
      <c r="WUZ15">
        <f ca="1"/>
        <v>0</v>
      </c>
      <c r="WVA15">
        <f ca="1"/>
        <v>0</v>
      </c>
      <c r="WVB15">
        <f ca="1"/>
        <v>0</v>
      </c>
      <c r="WVC15">
        <f ca="1"/>
        <v>0</v>
      </c>
      <c r="WVD15">
        <f ca="1"/>
        <v>0</v>
      </c>
      <c r="WVE15">
        <f ca="1"/>
        <v>0</v>
      </c>
      <c r="WVF15">
        <f ca="1"/>
        <v>0</v>
      </c>
      <c r="WVG15">
        <f ca="1"/>
        <v>0</v>
      </c>
      <c r="WVH15">
        <f ca="1"/>
        <v>0</v>
      </c>
      <c r="WVI15">
        <f ca="1"/>
        <v>0</v>
      </c>
      <c r="WVJ15">
        <f ca="1"/>
        <v>0</v>
      </c>
      <c r="WVK15">
        <f ca="1"/>
        <v>0</v>
      </c>
      <c r="WVL15">
        <f ca="1"/>
        <v>0</v>
      </c>
      <c r="WVM15">
        <f ca="1"/>
        <v>0</v>
      </c>
      <c r="WVN15">
        <f ca="1"/>
        <v>0</v>
      </c>
      <c r="WVO15">
        <f ca="1"/>
        <v>0</v>
      </c>
      <c r="WVP15">
        <f ca="1"/>
        <v>0</v>
      </c>
      <c r="WVQ15">
        <f ca="1"/>
        <v>0</v>
      </c>
      <c r="WVR15">
        <f ca="1"/>
        <v>0</v>
      </c>
      <c r="WVS15">
        <f ca="1"/>
        <v>0</v>
      </c>
      <c r="WVT15">
        <f ca="1"/>
        <v>0</v>
      </c>
      <c r="WVU15">
        <f ca="1"/>
        <v>0</v>
      </c>
      <c r="WVV15">
        <f ca="1"/>
        <v>0</v>
      </c>
      <c r="WVW15">
        <f ca="1"/>
        <v>0</v>
      </c>
      <c r="WVX15">
        <f ca="1"/>
        <v>0</v>
      </c>
      <c r="WVY15">
        <f ca="1"/>
        <v>0</v>
      </c>
      <c r="WVZ15">
        <f ca="1"/>
        <v>0</v>
      </c>
      <c r="WWA15">
        <f ca="1"/>
        <v>0</v>
      </c>
      <c r="WWB15">
        <f ca="1"/>
        <v>0</v>
      </c>
      <c r="WWC15">
        <f ca="1"/>
        <v>0</v>
      </c>
      <c r="WWD15">
        <f ca="1"/>
        <v>0</v>
      </c>
      <c r="WWE15">
        <f ca="1"/>
        <v>0</v>
      </c>
      <c r="WWF15">
        <f ca="1"/>
        <v>0</v>
      </c>
      <c r="WWG15">
        <f ca="1"/>
        <v>0</v>
      </c>
      <c r="WWH15">
        <f ca="1"/>
        <v>0</v>
      </c>
      <c r="WWI15">
        <f ca="1"/>
        <v>0</v>
      </c>
      <c r="WWJ15">
        <f ca="1"/>
        <v>0</v>
      </c>
      <c r="WWK15">
        <f ca="1"/>
        <v>0</v>
      </c>
      <c r="WWL15">
        <f ca="1"/>
        <v>0</v>
      </c>
      <c r="WWM15">
        <f ca="1"/>
        <v>0</v>
      </c>
      <c r="WWN15">
        <f ca="1"/>
        <v>0</v>
      </c>
      <c r="WWO15">
        <f ca="1"/>
        <v>0</v>
      </c>
      <c r="WWP15">
        <f ca="1"/>
        <v>0</v>
      </c>
      <c r="WWQ15">
        <f ca="1"/>
        <v>0</v>
      </c>
      <c r="WWR15">
        <f ca="1"/>
        <v>0</v>
      </c>
      <c r="WWS15">
        <f ca="1"/>
        <v>0</v>
      </c>
      <c r="WWT15">
        <f ca="1"/>
        <v>0</v>
      </c>
      <c r="WWU15">
        <f ca="1"/>
        <v>0</v>
      </c>
      <c r="WWV15">
        <f ca="1"/>
        <v>0</v>
      </c>
      <c r="WWW15">
        <f ca="1"/>
        <v>0</v>
      </c>
      <c r="WWX15">
        <f ca="1"/>
        <v>0</v>
      </c>
      <c r="WWY15">
        <f ca="1"/>
        <v>0</v>
      </c>
      <c r="WWZ15">
        <f ca="1"/>
        <v>0</v>
      </c>
      <c r="WXA15">
        <f ca="1"/>
        <v>0</v>
      </c>
      <c r="WXB15">
        <f ca="1"/>
        <v>0</v>
      </c>
      <c r="WXC15">
        <f ca="1"/>
        <v>0</v>
      </c>
      <c r="WXD15">
        <f ca="1"/>
        <v>0</v>
      </c>
      <c r="WXE15">
        <f ca="1"/>
        <v>0</v>
      </c>
      <c r="WXF15">
        <f ca="1"/>
        <v>0</v>
      </c>
      <c r="WXG15">
        <f ca="1"/>
        <v>0</v>
      </c>
      <c r="WXH15">
        <f ca="1"/>
        <v>0</v>
      </c>
      <c r="WXI15">
        <f ca="1"/>
        <v>0</v>
      </c>
      <c r="WXJ15">
        <f ca="1"/>
        <v>0</v>
      </c>
      <c r="WXK15">
        <f ca="1"/>
        <v>0</v>
      </c>
      <c r="WXL15">
        <f ca="1"/>
        <v>0</v>
      </c>
      <c r="WXM15">
        <f ca="1"/>
        <v>0</v>
      </c>
      <c r="WXN15">
        <f ca="1"/>
        <v>0</v>
      </c>
      <c r="WXO15">
        <f ca="1"/>
        <v>0</v>
      </c>
      <c r="WXP15">
        <f ca="1"/>
        <v>0</v>
      </c>
      <c r="WXQ15">
        <f ca="1"/>
        <v>0</v>
      </c>
      <c r="WXR15">
        <f ca="1"/>
        <v>0</v>
      </c>
      <c r="WXS15">
        <f ca="1"/>
        <v>0</v>
      </c>
      <c r="WXT15">
        <f ca="1"/>
        <v>0</v>
      </c>
      <c r="WXU15">
        <f ca="1"/>
        <v>0</v>
      </c>
      <c r="WXV15">
        <f ca="1"/>
        <v>0</v>
      </c>
      <c r="WXW15">
        <f ca="1"/>
        <v>0</v>
      </c>
      <c r="WXX15">
        <f ca="1"/>
        <v>0</v>
      </c>
      <c r="WXY15">
        <f ca="1"/>
        <v>0</v>
      </c>
      <c r="WXZ15">
        <f ca="1"/>
        <v>0</v>
      </c>
      <c r="WYA15">
        <f ca="1"/>
        <v>0</v>
      </c>
      <c r="WYB15">
        <f ca="1"/>
        <v>0</v>
      </c>
      <c r="WYC15">
        <f ca="1"/>
        <v>0</v>
      </c>
      <c r="WYD15">
        <f ca="1"/>
        <v>0</v>
      </c>
      <c r="WYE15">
        <f ca="1"/>
        <v>0</v>
      </c>
      <c r="WYF15">
        <f ca="1"/>
        <v>0</v>
      </c>
      <c r="WYG15">
        <f ca="1"/>
        <v>0</v>
      </c>
      <c r="WYH15">
        <f ca="1"/>
        <v>0</v>
      </c>
      <c r="WYI15">
        <f ca="1"/>
        <v>0</v>
      </c>
      <c r="WYJ15">
        <f ca="1"/>
        <v>0</v>
      </c>
      <c r="WYK15">
        <f ca="1"/>
        <v>0</v>
      </c>
      <c r="WYL15">
        <f ca="1"/>
        <v>0</v>
      </c>
      <c r="WYM15">
        <f ca="1"/>
        <v>0</v>
      </c>
      <c r="WYN15">
        <f ca="1"/>
        <v>0</v>
      </c>
      <c r="WYO15">
        <f ca="1"/>
        <v>0</v>
      </c>
      <c r="WYP15">
        <f ca="1"/>
        <v>0</v>
      </c>
      <c r="WYQ15">
        <f ca="1"/>
        <v>0</v>
      </c>
      <c r="WYR15">
        <f ca="1"/>
        <v>0</v>
      </c>
      <c r="WYS15">
        <f ca="1"/>
        <v>0</v>
      </c>
      <c r="WYT15">
        <f ca="1"/>
        <v>0</v>
      </c>
      <c r="WYU15">
        <f ca="1"/>
        <v>0</v>
      </c>
      <c r="WYV15">
        <f ca="1"/>
        <v>0</v>
      </c>
      <c r="WYW15">
        <f ca="1"/>
        <v>0</v>
      </c>
      <c r="WYX15">
        <f ca="1"/>
        <v>0</v>
      </c>
      <c r="WYY15">
        <f ca="1"/>
        <v>0</v>
      </c>
      <c r="WYZ15">
        <f ca="1"/>
        <v>0</v>
      </c>
      <c r="WZA15">
        <f ca="1"/>
        <v>0</v>
      </c>
      <c r="WZB15">
        <f ca="1"/>
        <v>0</v>
      </c>
      <c r="WZC15">
        <f ca="1"/>
        <v>0</v>
      </c>
      <c r="WZD15">
        <f ca="1"/>
        <v>0</v>
      </c>
      <c r="WZE15">
        <f ca="1"/>
        <v>0</v>
      </c>
      <c r="WZF15">
        <f ca="1"/>
        <v>0</v>
      </c>
      <c r="WZG15">
        <f ca="1"/>
        <v>0</v>
      </c>
      <c r="WZH15">
        <f ca="1"/>
        <v>0</v>
      </c>
      <c r="WZI15">
        <f ca="1"/>
        <v>0</v>
      </c>
      <c r="WZJ15">
        <f ca="1"/>
        <v>0</v>
      </c>
      <c r="WZK15">
        <f ca="1"/>
        <v>0</v>
      </c>
      <c r="WZL15">
        <f ca="1"/>
        <v>0</v>
      </c>
      <c r="WZM15">
        <f ca="1"/>
        <v>0</v>
      </c>
      <c r="WZN15">
        <f ca="1"/>
        <v>0</v>
      </c>
      <c r="WZO15">
        <f ca="1"/>
        <v>0</v>
      </c>
      <c r="WZP15">
        <f ca="1"/>
        <v>0</v>
      </c>
      <c r="WZQ15">
        <f ca="1"/>
        <v>0</v>
      </c>
      <c r="WZR15">
        <f ca="1"/>
        <v>0</v>
      </c>
      <c r="WZS15">
        <f ca="1"/>
        <v>0</v>
      </c>
      <c r="WZT15">
        <f ca="1"/>
        <v>0</v>
      </c>
      <c r="WZU15">
        <f ca="1"/>
        <v>0</v>
      </c>
      <c r="WZV15">
        <f ca="1"/>
        <v>0</v>
      </c>
      <c r="WZW15">
        <f ca="1"/>
        <v>0</v>
      </c>
      <c r="WZX15">
        <f ca="1"/>
        <v>0</v>
      </c>
      <c r="WZY15">
        <f ca="1"/>
        <v>0</v>
      </c>
      <c r="WZZ15">
        <f ca="1"/>
        <v>0</v>
      </c>
      <c r="XAA15">
        <f ca="1"/>
        <v>0</v>
      </c>
      <c r="XAB15">
        <f ca="1"/>
        <v>0</v>
      </c>
      <c r="XAC15">
        <f ca="1"/>
        <v>0</v>
      </c>
      <c r="XAD15">
        <f ca="1"/>
        <v>0</v>
      </c>
      <c r="XAE15">
        <f ca="1"/>
        <v>0</v>
      </c>
      <c r="XAF15">
        <f ca="1"/>
        <v>0</v>
      </c>
      <c r="XAG15">
        <f ca="1"/>
        <v>0</v>
      </c>
      <c r="XAH15">
        <f ca="1"/>
        <v>0</v>
      </c>
      <c r="XAI15">
        <f ca="1"/>
        <v>0</v>
      </c>
      <c r="XAJ15">
        <f ca="1"/>
        <v>0</v>
      </c>
      <c r="XAK15">
        <f ca="1"/>
        <v>0</v>
      </c>
      <c r="XAL15">
        <f ca="1"/>
        <v>0</v>
      </c>
      <c r="XAM15">
        <f ca="1"/>
        <v>0</v>
      </c>
      <c r="XAN15">
        <f ca="1"/>
        <v>0</v>
      </c>
      <c r="XAO15">
        <f ca="1"/>
        <v>0</v>
      </c>
      <c r="XAP15">
        <f ca="1"/>
        <v>0</v>
      </c>
      <c r="XAQ15">
        <f ca="1"/>
        <v>0</v>
      </c>
      <c r="XAR15">
        <f ca="1"/>
        <v>0</v>
      </c>
      <c r="XAS15">
        <f ca="1"/>
        <v>0</v>
      </c>
      <c r="XAT15">
        <f ca="1"/>
        <v>0</v>
      </c>
      <c r="XAU15">
        <f ca="1"/>
        <v>0</v>
      </c>
      <c r="XAV15">
        <f ca="1"/>
        <v>0</v>
      </c>
      <c r="XAW15">
        <f ca="1"/>
        <v>0</v>
      </c>
      <c r="XAX15">
        <f ca="1"/>
        <v>0</v>
      </c>
      <c r="XAY15">
        <f ca="1"/>
        <v>0</v>
      </c>
      <c r="XAZ15">
        <f ca="1"/>
        <v>0</v>
      </c>
      <c r="XBA15">
        <f ca="1"/>
        <v>0</v>
      </c>
      <c r="XBB15">
        <f ca="1"/>
        <v>0</v>
      </c>
      <c r="XBC15">
        <f ca="1"/>
        <v>0</v>
      </c>
      <c r="XBD15">
        <f ca="1"/>
        <v>0</v>
      </c>
      <c r="XBE15">
        <f ca="1"/>
        <v>0</v>
      </c>
      <c r="XBF15">
        <f ca="1"/>
        <v>0</v>
      </c>
      <c r="XBG15">
        <f ca="1"/>
        <v>0</v>
      </c>
      <c r="XBH15">
        <f ca="1"/>
        <v>0</v>
      </c>
      <c r="XBI15">
        <f ca="1"/>
        <v>0</v>
      </c>
      <c r="XBJ15">
        <f ca="1"/>
        <v>0</v>
      </c>
      <c r="XBK15">
        <f ca="1"/>
        <v>0</v>
      </c>
      <c r="XBL15">
        <f ca="1"/>
        <v>0</v>
      </c>
      <c r="XBM15">
        <f ca="1"/>
        <v>0</v>
      </c>
      <c r="XBN15">
        <f ca="1"/>
        <v>0</v>
      </c>
      <c r="XBO15">
        <f ca="1"/>
        <v>0</v>
      </c>
      <c r="XBP15">
        <f ca="1"/>
        <v>0</v>
      </c>
      <c r="XBQ15">
        <f ca="1"/>
        <v>0</v>
      </c>
      <c r="XBR15">
        <f ca="1"/>
        <v>0</v>
      </c>
      <c r="XBS15">
        <f ca="1"/>
        <v>0</v>
      </c>
      <c r="XBT15">
        <f ca="1"/>
        <v>0</v>
      </c>
      <c r="XBU15">
        <f ca="1"/>
        <v>0</v>
      </c>
      <c r="XBV15">
        <f ca="1"/>
        <v>0</v>
      </c>
      <c r="XBW15">
        <f ca="1"/>
        <v>0</v>
      </c>
      <c r="XBX15">
        <f ca="1"/>
        <v>0</v>
      </c>
      <c r="XBY15">
        <f ca="1"/>
        <v>0</v>
      </c>
      <c r="XBZ15">
        <f ca="1"/>
        <v>0</v>
      </c>
      <c r="XCA15">
        <f ca="1"/>
        <v>0</v>
      </c>
      <c r="XCB15">
        <f ca="1"/>
        <v>0</v>
      </c>
      <c r="XCC15">
        <f ca="1"/>
        <v>0</v>
      </c>
      <c r="XCD15">
        <f ca="1"/>
        <v>0</v>
      </c>
      <c r="XCE15">
        <f ca="1"/>
        <v>0</v>
      </c>
      <c r="XCF15">
        <f ca="1"/>
        <v>0</v>
      </c>
      <c r="XCG15">
        <f ca="1"/>
        <v>0</v>
      </c>
      <c r="XCH15">
        <f ca="1"/>
        <v>0</v>
      </c>
      <c r="XCI15">
        <f ca="1"/>
        <v>0</v>
      </c>
      <c r="XCJ15">
        <f ca="1"/>
        <v>0</v>
      </c>
      <c r="XCK15">
        <f ca="1"/>
        <v>0</v>
      </c>
      <c r="XCL15">
        <f ca="1"/>
        <v>0</v>
      </c>
      <c r="XCM15">
        <f ca="1"/>
        <v>0</v>
      </c>
      <c r="XCN15">
        <f ca="1"/>
        <v>0</v>
      </c>
      <c r="XCO15">
        <f ca="1"/>
        <v>0</v>
      </c>
      <c r="XCP15">
        <f ca="1"/>
        <v>0</v>
      </c>
      <c r="XCQ15">
        <f ca="1"/>
        <v>0</v>
      </c>
      <c r="XCR15">
        <f ca="1"/>
        <v>0</v>
      </c>
      <c r="XCS15">
        <f ca="1"/>
        <v>0</v>
      </c>
      <c r="XCT15">
        <f ca="1"/>
        <v>0</v>
      </c>
      <c r="XCU15">
        <f ca="1"/>
        <v>0</v>
      </c>
      <c r="XCV15">
        <f ca="1"/>
        <v>0</v>
      </c>
      <c r="XCW15">
        <f ca="1"/>
        <v>0</v>
      </c>
      <c r="XCX15">
        <f ca="1"/>
        <v>0</v>
      </c>
      <c r="XCY15">
        <f ca="1"/>
        <v>0</v>
      </c>
      <c r="XCZ15">
        <f ca="1"/>
        <v>0</v>
      </c>
      <c r="XDA15">
        <f ca="1"/>
        <v>0</v>
      </c>
      <c r="XDB15">
        <f ca="1"/>
        <v>0</v>
      </c>
      <c r="XDC15">
        <f ca="1"/>
        <v>0</v>
      </c>
      <c r="XDD15">
        <f ca="1"/>
        <v>0</v>
      </c>
      <c r="XDE15">
        <f ca="1"/>
        <v>0</v>
      </c>
      <c r="XDF15">
        <f ca="1"/>
        <v>0</v>
      </c>
      <c r="XDG15">
        <f ca="1"/>
        <v>0</v>
      </c>
      <c r="XDH15">
        <f ca="1"/>
        <v>0</v>
      </c>
      <c r="XDI15">
        <f ca="1"/>
        <v>0</v>
      </c>
      <c r="XDJ15">
        <f ca="1"/>
        <v>0</v>
      </c>
      <c r="XDK15">
        <f ca="1"/>
        <v>0</v>
      </c>
      <c r="XDL15">
        <f ca="1"/>
        <v>0</v>
      </c>
      <c r="XDM15">
        <f ca="1"/>
        <v>0</v>
      </c>
      <c r="XDN15">
        <f ca="1"/>
        <v>0</v>
      </c>
      <c r="XDO15">
        <f ca="1"/>
        <v>0</v>
      </c>
      <c r="XDP15">
        <f ca="1"/>
        <v>0</v>
      </c>
      <c r="XDQ15">
        <f ca="1"/>
        <v>0</v>
      </c>
      <c r="XDR15">
        <f ca="1"/>
        <v>0</v>
      </c>
      <c r="XDS15">
        <f ca="1"/>
        <v>0</v>
      </c>
      <c r="XDT15">
        <f ca="1"/>
        <v>0</v>
      </c>
      <c r="XDU15">
        <f ca="1"/>
        <v>0</v>
      </c>
      <c r="XDV15">
        <f ca="1"/>
        <v>0</v>
      </c>
      <c r="XDW15">
        <f ca="1"/>
        <v>0</v>
      </c>
      <c r="XDX15">
        <f ca="1"/>
        <v>0</v>
      </c>
      <c r="XDY15">
        <f ca="1"/>
        <v>0</v>
      </c>
      <c r="XDZ15">
        <f ca="1"/>
        <v>0</v>
      </c>
      <c r="XEA15">
        <f ca="1"/>
        <v>0</v>
      </c>
      <c r="XEB15">
        <f ca="1"/>
        <v>0</v>
      </c>
      <c r="XEC15">
        <f ca="1"/>
        <v>0</v>
      </c>
      <c r="XED15">
        <f ca="1"/>
        <v>0</v>
      </c>
      <c r="XEE15">
        <f ca="1"/>
        <v>0</v>
      </c>
      <c r="XEF15">
        <f ca="1"/>
        <v>0</v>
      </c>
      <c r="XEG15">
        <f ca="1"/>
        <v>0</v>
      </c>
      <c r="XEH15">
        <f ca="1"/>
        <v>0</v>
      </c>
      <c r="XEI15">
        <f ca="1"/>
        <v>0</v>
      </c>
      <c r="XEJ15">
        <f ca="1"/>
        <v>0</v>
      </c>
      <c r="XEK15">
        <f ca="1"/>
        <v>0</v>
      </c>
      <c r="XEL15">
        <f ca="1"/>
        <v>0</v>
      </c>
      <c r="XEM15">
        <f ca="1"/>
        <v>0</v>
      </c>
      <c r="XEN15">
        <f ca="1"/>
        <v>0</v>
      </c>
      <c r="XEO15">
        <f ca="1"/>
        <v>0</v>
      </c>
      <c r="XEP15">
        <f ca="1"/>
        <v>0</v>
      </c>
      <c r="XEQ15">
        <f ca="1"/>
        <v>0</v>
      </c>
      <c r="XER15">
        <f ca="1"/>
        <v>0</v>
      </c>
      <c r="XES15">
        <f ca="1"/>
        <v>0</v>
      </c>
      <c r="XET15">
        <f ca="1"/>
        <v>0</v>
      </c>
      <c r="XEU15">
        <f ca="1"/>
        <v>0</v>
      </c>
      <c r="XEV15">
        <f ca="1"/>
        <v>0</v>
      </c>
      <c r="XEW15">
        <f ca="1"/>
        <v>0</v>
      </c>
      <c r="XEX15">
        <f ca="1"/>
        <v>0</v>
      </c>
      <c r="XEY15">
        <f ca="1"/>
        <v>0</v>
      </c>
      <c r="XEZ15">
        <f ca="1"/>
        <v>0</v>
      </c>
      <c r="XFA15">
        <f ca="1"/>
        <v>0</v>
      </c>
      <c r="XFB15">
        <f ca="1"/>
        <v>0</v>
      </c>
      <c r="XFC15">
        <f ca="1"/>
        <v>0</v>
      </c>
      <c r="XFD15">
        <f ca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4374B-6970-400B-A7B4-4077F552BC95}">
  <sheetPr codeName="Hoja4"/>
  <dimension ref="A1:A4"/>
  <sheetViews>
    <sheetView tabSelected="1" workbookViewId="0">
      <selection activeCell="E1" sqref="E1"/>
    </sheetView>
  </sheetViews>
  <sheetFormatPr baseColWidth="10" defaultRowHeight="15" x14ac:dyDescent="0.25"/>
  <sheetData>
    <row r="1" spans="1:1" x14ac:dyDescent="0.25">
      <c r="A1">
        <v>10</v>
      </c>
    </row>
    <row r="2" spans="1:1" x14ac:dyDescent="0.25">
      <c r="A2">
        <v>2.5</v>
      </c>
    </row>
    <row r="3" spans="1:1" x14ac:dyDescent="0.25">
      <c r="A3">
        <v>9</v>
      </c>
    </row>
    <row r="4" spans="1:1" x14ac:dyDescent="0.25">
      <c r="A4" cm="1">
        <f t="array" ref="A4">promx(A1,A2,A3)</f>
        <v>7.166666666666667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D837FA-0177-4B6B-9895-DC263542A5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Hoja2</vt:lpstr>
      <vt:lpstr>Hoja1</vt:lpstr>
      <vt:lpstr>Hoja3</vt:lpstr>
      <vt:lpstr>Hoja4</vt:lpstr>
      <vt:lpstr>Hoja2!Área_de_extracción</vt:lpstr>
      <vt:lpstr>colocar</vt:lpstr>
      <vt:lpstr>criterio</vt:lpstr>
      <vt:lpstr>Hoja2!Criterios</vt:lpstr>
      <vt:lpstr>datos</vt:lpstr>
      <vt:lpstr>frutas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romero</dc:creator>
  <cp:lastModifiedBy>Alejandro romero</cp:lastModifiedBy>
  <dcterms:created xsi:type="dcterms:W3CDTF">2024-06-01T01:06:39Z</dcterms:created>
  <dcterms:modified xsi:type="dcterms:W3CDTF">2024-06-21T01:20:39Z</dcterms:modified>
</cp:coreProperties>
</file>