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\Downloads\"/>
    </mc:Choice>
  </mc:AlternateContent>
  <xr:revisionPtr revIDLastSave="0" documentId="13_ncr:1_{9572F202-A284-4134-87A5-67170D5EA834}" xr6:coauthVersionLast="45" xr6:coauthVersionMax="45" xr10:uidLastSave="{00000000-0000-0000-0000-000000000000}"/>
  <bookViews>
    <workbookView xWindow="-120" yWindow="-120" windowWidth="20730" windowHeight="11760" xr2:uid="{E4C1EBA8-DCB3-4E5F-B9AE-170C5510F818}"/>
  </bookViews>
  <sheets>
    <sheet name="consulta" sheetId="10" r:id="rId1"/>
    <sheet name="empleados" sheetId="9" r:id="rId2"/>
    <sheet name="Hoja1" sheetId="1" r:id="rId3"/>
    <sheet name="Hoja2" sheetId="2" r:id="rId4"/>
    <sheet name="Hoja3" sheetId="3" r:id="rId5"/>
  </sheets>
  <definedNames>
    <definedName name="_xlcn.WorksheetConnection_tablasrela.xlsmempleados1" hidden="1">empleados[]</definedName>
    <definedName name="_xlcn.WorksheetConnection_tablasrela.xlsmprestamo1" hidden="1">prestamo[]</definedName>
    <definedName name="_xlcn.WorksheetConnection_tablasrela.xlsmseccion1" hidden="1">seccion[]</definedName>
    <definedName name="SegmentaciónDeDatos_empleado">#N/A</definedName>
    <definedName name="SegmentaciónDeDatos_Sección">#N/A</definedName>
  </definedNames>
  <calcPr calcId="191029"/>
  <pivotCaches>
    <pivotCache cacheId="2" r:id="rId6"/>
    <pivotCache cacheId="63" r:id="rId7"/>
  </pivotCaches>
  <extLst>
    <ext xmlns:x14="http://schemas.microsoft.com/office/spreadsheetml/2009/9/main" uri="{876F7934-8845-4945-9796-88D515C7AA90}">
      <x14:pivotCaches>
        <pivotCache cacheId="42" r:id="rId8"/>
      </x14:pivotCaches>
    </ex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eccion" name="seccion" connection="WorksheetConnection_tablasrela.xlsm!seccion"/>
          <x15:modelTable id="prestamo" name="prestamo" connection="WorksheetConnection_tablasrela.xlsm!prestamo"/>
          <x15:modelTable id="empleados" name="datosemple" connection="WorksheetConnection_tablasrela.xlsm!empleados"/>
        </x15:modelTables>
        <x15:modelRelationships>
          <x15:modelRelationship fromTable="prestamo" fromColumn="codigo" toTable="datosemple" toColumn="codigo"/>
          <x15:modelRelationship fromTable="seccion" fromColumn="Sección" toTable="datosemple" toColumn="Sección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C5BA9F-EB3C-427D-B036-FC862CBC17D9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CDA9D13-1480-4B65-9181-0824884FF9E9}" name="WorksheetConnection_tablasrela.xlsm!empleados" type="102" refreshedVersion="6" minRefreshableVersion="5">
    <extLst>
      <ext xmlns:x15="http://schemas.microsoft.com/office/spreadsheetml/2010/11/main" uri="{DE250136-89BD-433C-8126-D09CA5730AF9}">
        <x15:connection id="empleados">
          <x15:rangePr sourceName="_xlcn.WorksheetConnection_tablasrela.xlsmempleados1"/>
        </x15:connection>
      </ext>
    </extLst>
  </connection>
  <connection id="3" xr16:uid="{1FCC764A-3CE2-4992-9220-BF5083D9ED64}" name="WorksheetConnection_tablasrela.xlsm!prestamo" type="102" refreshedVersion="6" minRefreshableVersion="5">
    <extLst>
      <ext xmlns:x15="http://schemas.microsoft.com/office/spreadsheetml/2010/11/main" uri="{DE250136-89BD-433C-8126-D09CA5730AF9}">
        <x15:connection id="prestamo">
          <x15:rangePr sourceName="_xlcn.WorksheetConnection_tablasrela.xlsmprestamo1"/>
        </x15:connection>
      </ext>
    </extLst>
  </connection>
  <connection id="4" xr16:uid="{A312C3A7-C8C7-43EC-A97D-0EB159913F8F}" name="WorksheetConnection_tablasrela.xlsm!seccion" type="102" refreshedVersion="6" minRefreshableVersion="5">
    <extLst>
      <ext xmlns:x15="http://schemas.microsoft.com/office/spreadsheetml/2010/11/main" uri="{DE250136-89BD-433C-8126-D09CA5730AF9}">
        <x15:connection id="seccion">
          <x15:rangePr sourceName="_xlcn.WorksheetConnection_tablasrela.xlsmseccion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datosemple].[Sección].[All]}"/>
    <s v="{[datosemple].[localidad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<sst xmlns="http://schemas.openxmlformats.org/spreadsheetml/2006/main" count="100" uniqueCount="52">
  <si>
    <t>LISTADO DE NOMBRE DE EMPLEADOS</t>
  </si>
  <si>
    <t>empleado</t>
  </si>
  <si>
    <t>Sección</t>
  </si>
  <si>
    <t>Días</t>
  </si>
  <si>
    <t>Horarios</t>
  </si>
  <si>
    <t>Sueldos</t>
  </si>
  <si>
    <t>Cobranza</t>
  </si>
  <si>
    <t>Lunes</t>
  </si>
  <si>
    <t>08:00 - 14:00</t>
  </si>
  <si>
    <t>Cabral, Antonio Raúl</t>
  </si>
  <si>
    <t>Contabilidad</t>
  </si>
  <si>
    <t>Martes</t>
  </si>
  <si>
    <t>16:00 - 22:00</t>
  </si>
  <si>
    <t>Sosa, Juan Antonio</t>
  </si>
  <si>
    <t>Gerente</t>
  </si>
  <si>
    <t>Miércoles</t>
  </si>
  <si>
    <t>08:00 - 22:00</t>
  </si>
  <si>
    <t>Solis, Saúl Carlos</t>
  </si>
  <si>
    <t>Informática</t>
  </si>
  <si>
    <t>Jueves</t>
  </si>
  <si>
    <t>Romano, Ariel Juan</t>
  </si>
  <si>
    <t>Limpieza</t>
  </si>
  <si>
    <t>Viernes</t>
  </si>
  <si>
    <t>Pintos, Aron Luis</t>
  </si>
  <si>
    <t>Mantenimiento</t>
  </si>
  <si>
    <t>Sábado</t>
  </si>
  <si>
    <t>Cruz, Sonia Luisa</t>
  </si>
  <si>
    <t>Secretaria</t>
  </si>
  <si>
    <t>Domingo</t>
  </si>
  <si>
    <t>Navarro, Sofia Kiara</t>
  </si>
  <si>
    <t>Seguridad</t>
  </si>
  <si>
    <t>Gimenez, Sonia Ana</t>
  </si>
  <si>
    <t>Ventas</t>
  </si>
  <si>
    <t>codigo</t>
  </si>
  <si>
    <t>prestamo</t>
  </si>
  <si>
    <t>Etiquetas de fila</t>
  </si>
  <si>
    <t>Total general</t>
  </si>
  <si>
    <t>All</t>
  </si>
  <si>
    <t>Suma de prestamo</t>
  </si>
  <si>
    <t>Suma de Sueldos</t>
  </si>
  <si>
    <t>a cobrar</t>
  </si>
  <si>
    <t>Suma de a cobrar</t>
  </si>
  <si>
    <t>fecha</t>
  </si>
  <si>
    <t>localidad</t>
  </si>
  <si>
    <t>tucumán</t>
  </si>
  <si>
    <t>buenos aires</t>
  </si>
  <si>
    <t>jujuy</t>
  </si>
  <si>
    <t>santa fe</t>
  </si>
  <si>
    <t>cordoba</t>
  </si>
  <si>
    <t>(Todas)</t>
  </si>
  <si>
    <t>Uñate,  cambio</t>
  </si>
  <si>
    <t>Uñate,  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</si>
</sst>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Blue]###000_);[Red]#,##0.00;0.00;\ &quot;PATACON &quot;@"/>
    <numFmt numFmtId="165" formatCode="\$\ #,##0.00;\-\$\ #,##0.00;\$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1" fontId="0" fillId="0" borderId="0" xfId="0" applyNumberFormat="1"/>
    <xf numFmtId="0" fontId="0" fillId="3" borderId="1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164" fontId="0" fillId="3" borderId="2" xfId="0" applyNumberFormat="1" applyFont="1" applyFill="1" applyBorder="1"/>
    <xf numFmtId="164" fontId="0" fillId="3" borderId="3" xfId="0" applyNumberFormat="1" applyFont="1" applyFill="1" applyBorder="1"/>
    <xf numFmtId="0" fontId="1" fillId="2" borderId="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2" borderId="0" xfId="0" applyFont="1" applyFill="1"/>
    <xf numFmtId="14" fontId="0" fillId="0" borderId="3" xfId="0" applyNumberFormat="1" applyFont="1" applyBorder="1"/>
    <xf numFmtId="164" fontId="0" fillId="0" borderId="0" xfId="0" applyNumberFormat="1" applyAlignment="1">
      <alignment horizontal="left"/>
    </xf>
    <xf numFmtId="0" fontId="0" fillId="0" borderId="0" xfId="0" applyNumberFormat="1"/>
    <xf numFmtId="165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" formatCode="0"/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m/d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Blue]###000_);[Red]#,##0.00;0.00;\ &quot;PATACON &quot;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microsoft.com/office/2006/relationships/vbaProject" Target="vbaProject.bin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pivotCacheDefinition" Target="pivotCache/pivotCacheDefinition2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180975</xdr:rowOff>
    </xdr:from>
    <xdr:to>
      <xdr:col>8</xdr:col>
      <xdr:colOff>85725</xdr:colOff>
      <xdr:row>14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empleado">
              <a:extLst>
                <a:ext uri="{FF2B5EF4-FFF2-40B4-BE49-F238E27FC236}">
                  <a16:creationId xmlns:a16="http://schemas.microsoft.com/office/drawing/2014/main" id="{1A7207BB-D791-48AC-8B4A-DD30DE2B7A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lea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34075" y="1809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57150</xdr:colOff>
      <xdr:row>0</xdr:row>
      <xdr:rowOff>142875</xdr:rowOff>
    </xdr:from>
    <xdr:to>
      <xdr:col>11</xdr:col>
      <xdr:colOff>228600</xdr:colOff>
      <xdr:row>14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Sección">
              <a:extLst>
                <a:ext uri="{FF2B5EF4-FFF2-40B4-BE49-F238E27FC236}">
                  <a16:creationId xmlns:a16="http://schemas.microsoft.com/office/drawing/2014/main" id="{3272435C-3B93-4D97-992A-D0AC76136D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ció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96250" y="1428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Uñate" refreshedDate="44662.862473263885" createdVersion="6" refreshedVersion="6" minRefreshableVersion="3" recordCount="9" xr:uid="{3025D39A-3528-4541-B0F2-321282E50445}">
  <cacheSource type="worksheet">
    <worksheetSource name="empleados"/>
  </cacheSource>
  <cacheFields count="8">
    <cacheField name="codigo" numFmtId="164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</cacheField>
    <cacheField name="empleado" numFmtId="0">
      <sharedItems count="19">
        <s v="Uñate,  da"/>
        <s v="Cabral, Antonio Raúl"/>
        <s v="Sosa, Juan Antonio"/>
        <s v="Solis, Saúl Carlos"/>
        <s v="Romano, Ariel Juan"/>
        <s v="Pintos, Aron Luis"/>
        <s v="Cruz, Sonia Luisa"/>
        <s v="Navarro, Sofia Kiara"/>
        <s v="Gimenez, Sonia Ana"/>
        <s v="Uñate, Alejandro ale" u="1"/>
        <s v="Uñate, Alejandro cdd" u="1"/>
        <s v="Uñate, Alejandro del carmen" u="1"/>
        <s v="Uñate,  ale" u="1"/>
        <s v="Uñate,  air" u="1"/>
        <s v="Uñate, Alejandro ariel" u="1"/>
        <s v="Uñate,  alex" u="1"/>
        <s v="Uñate,  cambio" u="1"/>
        <s v="Uñate,  fenix" u="1"/>
        <s v="Uñate, Alejandro del valle" u="1"/>
      </sharedItems>
    </cacheField>
    <cacheField name="Sección" numFmtId="0">
      <sharedItems count="9">
        <s v="Cobranza"/>
        <s v="Contabilidad"/>
        <s v="Gerente"/>
        <s v="Informática"/>
        <s v="Limpieza"/>
        <s v="Mantenimiento"/>
        <s v="Secretaria"/>
        <s v="Seguridad"/>
        <s v="Ventas"/>
      </sharedItems>
    </cacheField>
    <cacheField name="Días" numFmtId="0">
      <sharedItems/>
    </cacheField>
    <cacheField name="Horarios" numFmtId="0">
      <sharedItems/>
    </cacheField>
    <cacheField name="a cobrar" numFmtId="0">
      <sharedItems containsSemiMixedTypes="0" containsString="0" containsNumber="1" containsInteger="1" minValue="23010" maxValue="150000"/>
    </cacheField>
    <cacheField name="fecha" numFmtId="14">
      <sharedItems containsSemiMixedTypes="0" containsNonDate="0" containsDate="1" containsString="0" minDate="2022-03-12T00:00:00" maxDate="2022-03-16T00:00:00"/>
    </cacheField>
    <cacheField name="localida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jandro Uñate" refreshedDate="44833.95911851852" backgroundQuery="1" createdVersion="6" refreshedVersion="6" minRefreshableVersion="3" recordCount="0" supportSubquery="1" supportAdvancedDrill="1" xr:uid="{7BDD7F4B-6C7C-492F-B715-9623DAC90761}">
  <cacheSource type="external" connectionId="1"/>
  <cacheFields count="7">
    <cacheField name="[Measures].[Suma de a cobrar]" caption="Suma de a cobrar" numFmtId="0" hierarchy="12" level="32767"/>
    <cacheField name="[datosemple].[codigo].[codigo]" caption="codigo" numFmtId="0" level="1">
      <sharedItems containsSemiMixedTypes="0" containsString="0" containsNumber="1" containsInteger="1" minValue="1" maxValue="9" count="9">
        <n v="1"/>
        <n v="2"/>
        <n v="3"/>
        <n v="4"/>
        <n v="5"/>
        <n v="6"/>
        <n v="7"/>
        <n v="8"/>
        <n v="9"/>
      </sharedItems>
      <extLst>
        <ext xmlns:x15="http://schemas.microsoft.com/office/spreadsheetml/2010/11/main" uri="{4F2E5C28-24EA-4eb8-9CBF-B6C8F9C3D259}">
          <x15:cachedUniqueNames>
            <x15:cachedUniqueName index="0" name="[datosemple].[codigo].&amp;[1]"/>
            <x15:cachedUniqueName index="1" name="[datosemple].[codigo].&amp;[2]"/>
            <x15:cachedUniqueName index="2" name="[datosemple].[codigo].&amp;[3]"/>
            <x15:cachedUniqueName index="3" name="[datosemple].[codigo].&amp;[4]"/>
            <x15:cachedUniqueName index="4" name="[datosemple].[codigo].&amp;[5]"/>
            <x15:cachedUniqueName index="5" name="[datosemple].[codigo].&amp;[6]"/>
            <x15:cachedUniqueName index="6" name="[datosemple].[codigo].&amp;[7]"/>
            <x15:cachedUniqueName index="7" name="[datosemple].[codigo].&amp;[8]"/>
            <x15:cachedUniqueName index="8" name="[datosemple].[codigo].&amp;[9]"/>
          </x15:cachedUniqueNames>
        </ext>
      </extLst>
    </cacheField>
    <cacheField name="[datosemple].[empleado].[empleado]" caption="empleado" numFmtId="0" hierarchy="1" level="1">
      <sharedItems count="9">
        <s v="Uñate,  cambio"/>
        <s v="Cabral, Antonio Raúl"/>
        <s v="Sosa, Juan Antonio"/>
        <s v="Solis, Saúl Carlos"/>
        <s v="Romano, Ariel Juan"/>
        <s v="Pintos, Aron Luis"/>
        <s v="Cruz, Sonia Luisa"/>
        <s v="Navarro, Sofia Kiara"/>
        <s v="Gimenez, Sonia Ana"/>
      </sharedItems>
    </cacheField>
    <cacheField name="[datosemple].[Sección].[Sección]" caption="Sección" numFmtId="0" hierarchy="2" level="1">
      <sharedItems containsSemiMixedTypes="0" containsNonDate="0" containsString="0"/>
    </cacheField>
    <cacheField name="[Measures].[Suma de prestamo]" caption="Suma de prestamo" numFmtId="0" hierarchy="13" level="32767"/>
    <cacheField name="[Measures].[Suma de Sueldos]" caption="Suma de Sueldos" numFmtId="0" hierarchy="14" level="32767"/>
    <cacheField name="[datosemple].[localidad].[localidad]" caption="localidad" numFmtId="0" hierarchy="7" level="1">
      <sharedItems containsSemiMixedTypes="0" containsNonDate="0" containsString="0"/>
    </cacheField>
  </cacheFields>
  <cacheHierarchies count="19">
    <cacheHierarchy uniqueName="[datosemple].[codigo]" caption="codigo" attribute="1" defaultMemberUniqueName="[datosemple].[codigo].[All]" allUniqueName="[datosemple].[codigo].[All]" dimensionUniqueName="[datosemple]" displayFolder="" count="2" memberValueDatatype="20" unbalanced="0">
      <fieldsUsage count="2">
        <fieldUsage x="-1"/>
        <fieldUsage x="1"/>
      </fieldsUsage>
    </cacheHierarchy>
    <cacheHierarchy uniqueName="[datosemple].[empleado]" caption="empleado" attribute="1" defaultMemberUniqueName="[datosemple].[empleado].[All]" allUniqueName="[datosemple].[empleado].[All]" dimensionUniqueName="[datosemple]" displayFolder="" count="2" memberValueDatatype="130" unbalanced="0">
      <fieldsUsage count="2">
        <fieldUsage x="-1"/>
        <fieldUsage x="2"/>
      </fieldsUsage>
    </cacheHierarchy>
    <cacheHierarchy uniqueName="[datosemple].[Sección]" caption="Sección" attribute="1" defaultMemberUniqueName="[datosemple].[Sección].[All]" allUniqueName="[datosemple].[Sección].[All]" dimensionUniqueName="[datosemple]" displayFolder="" count="2" memberValueDatatype="130" unbalanced="0">
      <fieldsUsage count="2">
        <fieldUsage x="-1"/>
        <fieldUsage x="3"/>
      </fieldsUsage>
    </cacheHierarchy>
    <cacheHierarchy uniqueName="[datosemple].[diaslab]" caption="diaslab" attribute="1" defaultMemberUniqueName="[datosemple].[diaslab].[All]" allUniqueName="[datosemple].[diaslab].[All]" dimensionUniqueName="[datosemple]" displayFolder="" count="2" memberValueDatatype="130" unbalanced="0"/>
    <cacheHierarchy uniqueName="[datosemple].[Horarios]" caption="Horarios" attribute="1" defaultMemberUniqueName="[datosemple].[Horarios].[All]" allUniqueName="[datosemple].[Horarios].[All]" dimensionUniqueName="[datosemple]" displayFolder="" count="2" memberValueDatatype="130" unbalanced="0"/>
    <cacheHierarchy uniqueName="[datosemple].[a cobrar]" caption="a cobrar" attribute="1" defaultMemberUniqueName="[datosemple].[a cobrar].[All]" allUniqueName="[datosemple].[a cobrar].[All]" dimensionUniqueName="[datosemple]" displayFolder="" count="2" memberValueDatatype="20" unbalanced="0"/>
    <cacheHierarchy uniqueName="[datosemple].[fecha]" caption="fecha" attribute="1" time="1" defaultMemberUniqueName="[datosemple].[fecha].[All]" allUniqueName="[datosemple].[fecha].[All]" dimensionUniqueName="[datosemple]" displayFolder="" count="2" memberValueDatatype="7" unbalanced="0"/>
    <cacheHierarchy uniqueName="[datosemple].[localidad]" caption="localidad" attribute="1" defaultMemberUniqueName="[datosemple].[localidad].[All]" allUniqueName="[datosemple].[localidad].[All]" dimensionUniqueName="[datosemple]" displayFolder="" count="2" memberValueDatatype="130" unbalanced="0">
      <fieldsUsage count="2">
        <fieldUsage x="-1"/>
        <fieldUsage x="6"/>
      </fieldsUsage>
    </cacheHierarchy>
    <cacheHierarchy uniqueName="[prestamo].[codigo]" caption="codigo" attribute="1" defaultMemberUniqueName="[prestamo].[codigo].[All]" allUniqueName="[prestamo].[codigo].[All]" dimensionUniqueName="[prestamo]" displayFolder="" count="2" memberValueDatatype="20" unbalanced="0"/>
    <cacheHierarchy uniqueName="[prestamo].[prestamo]" caption="prestamo" attribute="1" defaultMemberUniqueName="[prestamo].[prestamo].[All]" allUniqueName="[prestamo].[prestamo].[All]" dimensionUniqueName="[prestamo]" displayFolder="" count="2" memberValueDatatype="20" unbalanced="0"/>
    <cacheHierarchy uniqueName="[seccion].[Sección]" caption="Sección" attribute="1" defaultMemberUniqueName="[seccion].[Sección].[All]" allUniqueName="[seccion].[Sección].[All]" dimensionUniqueName="[seccion]" displayFolder="" count="2" memberValueDatatype="130" unbalanced="0"/>
    <cacheHierarchy uniqueName="[seccion].[Sueldos]" caption="Sueldos" attribute="1" defaultMemberUniqueName="[seccion].[Sueldos].[All]" allUniqueName="[seccion].[Sueldos].[All]" dimensionUniqueName="[seccion]" displayFolder="" count="2" memberValueDatatype="20" unbalanced="0"/>
    <cacheHierarchy uniqueName="[Measures].[Suma de a cobrar]" caption="Suma de a cobrar" measure="1" displayFolder="" measureGroup="datosemple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prestamo]" caption="Suma de prestamo" measure="1" displayFolder="" measureGroup="prestamo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Sueldos]" caption="Suma de Sueldos" measure="1" displayFolder="" measureGroup="seccion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__XL_Count prestamo]" caption="__XL_Count prestamo" measure="1" displayFolder="" measureGroup="prestamo" count="0" hidden="1"/>
    <cacheHierarchy uniqueName="[Measures].[__XL_Count empleados]" caption="__XL_Count empleados" measure="1" displayFolder="" measureGroup="datosemple" count="0" hidden="1"/>
    <cacheHierarchy uniqueName="[Measures].[__XL_Count seccion]" caption="__XL_Count seccion" measure="1" displayFolder="" measureGroup="seccion" count="0" hidden="1"/>
    <cacheHierarchy uniqueName="[Measures].[__No measures defined]" caption="__No measures defined" measure="1" displayFolder="" count="0" hidden="1"/>
  </cacheHierarchies>
  <kpis count="0"/>
  <dimensions count="4">
    <dimension name="datosemple" uniqueName="[datosemple]" caption="datosemple"/>
    <dimension measure="1" name="Measures" uniqueName="[Measures]" caption="Measures"/>
    <dimension name="prestamo" uniqueName="[prestamo]" caption="prestamo"/>
    <dimension name="seccion" uniqueName="[seccion]" caption="seccion"/>
  </dimensions>
  <measureGroups count="3">
    <measureGroup name="datosemple" caption="datosemple"/>
    <measureGroup name="prestamo" caption="prestamo"/>
    <measureGroup name="seccion" caption="seccion"/>
  </measureGroups>
  <maps count="5">
    <map measureGroup="0" dimension="0"/>
    <map measureGroup="1" dimension="0"/>
    <map measureGroup="1" dimension="2"/>
    <map measureGroup="2" dimension="0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jandro Uñate" refreshedDate="44833.958705439814" backgroundQuery="1" createdVersion="3" refreshedVersion="6" minRefreshableVersion="3" recordCount="0" supportSubquery="1" supportAdvancedDrill="1" xr:uid="{0BFDD6D5-4F6D-430D-89BF-0B15622E109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9">
    <cacheHierarchy uniqueName="[datosemple].[codigo]" caption="codigo" attribute="1" defaultMemberUniqueName="[datosemple].[codigo].[All]" allUniqueName="[datosemple].[codigo].[All]" dimensionUniqueName="[datosemple]" displayFolder="" count="0" memberValueDatatype="20" unbalanced="0"/>
    <cacheHierarchy uniqueName="[datosemple].[empleado]" caption="empleado" attribute="1" defaultMemberUniqueName="[datosemple].[empleado].[All]" allUniqueName="[datosemple].[empleado].[All]" dimensionUniqueName="[datosemple]" displayFolder="" count="2" memberValueDatatype="130" unbalanced="0"/>
    <cacheHierarchy uniqueName="[datosemple].[Sección]" caption="Sección" attribute="1" defaultMemberUniqueName="[datosemple].[Sección].[All]" allUniqueName="[datosemple].[Sección].[All]" dimensionUniqueName="[datosemple]" displayFolder="" count="2" memberValueDatatype="130" unbalanced="0"/>
    <cacheHierarchy uniqueName="[datosemple].[diaslab]" caption="diaslab" attribute="1" defaultMemberUniqueName="[datosemple].[diaslab].[All]" allUniqueName="[datosemple].[diaslab].[All]" dimensionUniqueName="[datosemple]" displayFolder="" count="0" memberValueDatatype="130" unbalanced="0"/>
    <cacheHierarchy uniqueName="[datosemple].[Horarios]" caption="Horarios" attribute="1" defaultMemberUniqueName="[datosemple].[Horarios].[All]" allUniqueName="[datosemple].[Horarios].[All]" dimensionUniqueName="[datosemple]" displayFolder="" count="0" memberValueDatatype="130" unbalanced="0"/>
    <cacheHierarchy uniqueName="[datosemple].[a cobrar]" caption="a cobrar" attribute="1" defaultMemberUniqueName="[datosemple].[a cobrar].[All]" allUniqueName="[datosemple].[a cobrar].[All]" dimensionUniqueName="[datosemple]" displayFolder="" count="0" memberValueDatatype="20" unbalanced="0"/>
    <cacheHierarchy uniqueName="[datosemple].[fecha]" caption="fecha" attribute="1" time="1" defaultMemberUniqueName="[datosemple].[fecha].[All]" allUniqueName="[datosemple].[fecha].[All]" dimensionUniqueName="[datosemple]" displayFolder="" count="0" memberValueDatatype="7" unbalanced="0"/>
    <cacheHierarchy uniqueName="[datosemple].[localidad]" caption="localidad" attribute="1" defaultMemberUniqueName="[datosemple].[localidad].[All]" allUniqueName="[datosemple].[localidad].[All]" dimensionUniqueName="[datosemple]" displayFolder="" count="0" memberValueDatatype="130" unbalanced="0"/>
    <cacheHierarchy uniqueName="[prestamo].[codigo]" caption="codigo" attribute="1" defaultMemberUniqueName="[prestamo].[codigo].[All]" allUniqueName="[prestamo].[codigo].[All]" dimensionUniqueName="[prestamo]" displayFolder="" count="0" memberValueDatatype="20" unbalanced="0"/>
    <cacheHierarchy uniqueName="[prestamo].[prestamo]" caption="prestamo" attribute="1" defaultMemberUniqueName="[prestamo].[prestamo].[All]" allUniqueName="[prestamo].[prestamo].[All]" dimensionUniqueName="[prestamo]" displayFolder="" count="0" memberValueDatatype="20" unbalanced="0"/>
    <cacheHierarchy uniqueName="[seccion].[Sección]" caption="Sección" attribute="1" defaultMemberUniqueName="[seccion].[Sección].[All]" allUniqueName="[seccion].[Sección].[All]" dimensionUniqueName="[seccion]" displayFolder="" count="0" memberValueDatatype="130" unbalanced="0"/>
    <cacheHierarchy uniqueName="[seccion].[Sueldos]" caption="Sueldos" attribute="1" defaultMemberUniqueName="[seccion].[Sueldos].[All]" allUniqueName="[seccion].[Sueldos].[All]" dimensionUniqueName="[seccion]" displayFolder="" count="0" memberValueDatatype="20" unbalanced="0"/>
    <cacheHierarchy uniqueName="[Measures].[Suma de a cobrar]" caption="Suma de a cobrar" measure="1" displayFolder="" measureGroup="datosempl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prestamo]" caption="Suma de prestamo" measure="1" displayFolder="" measureGroup="prestamo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a de Sueldos]" caption="Suma de Sueldos" measure="1" displayFolder="" measureGroup="seccion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__XL_Count prestamo]" caption="__XL_Count prestamo" measure="1" displayFolder="" measureGroup="prestamo" count="0" hidden="1"/>
    <cacheHierarchy uniqueName="[Measures].[__XL_Count empleados]" caption="__XL_Count empleados" measure="1" displayFolder="" measureGroup="datosemple" count="0" hidden="1"/>
    <cacheHierarchy uniqueName="[Measures].[__XL_Count seccion]" caption="__XL_Count seccion" measure="1" displayFolder="" measureGroup="seccion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377951414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s v="Lunes"/>
    <s v="08:00 - 14:00"/>
    <n v="23010"/>
    <d v="2022-03-12T00:00:00"/>
    <s v="tucumán"/>
  </r>
  <r>
    <x v="1"/>
    <x v="1"/>
    <x v="1"/>
    <s v="Martes"/>
    <s v="16:00 - 22:00"/>
    <n v="34110"/>
    <d v="2022-03-12T00:00:00"/>
    <s v="tucumán"/>
  </r>
  <r>
    <x v="2"/>
    <x v="2"/>
    <x v="2"/>
    <s v="Miércoles"/>
    <s v="08:00 - 22:00"/>
    <n v="43680"/>
    <d v="2022-03-12T00:00:00"/>
    <s v="tucumán"/>
  </r>
  <r>
    <x v="3"/>
    <x v="3"/>
    <x v="3"/>
    <s v="Jueves"/>
    <s v="08:00 - 14:00"/>
    <n v="49220"/>
    <d v="2022-03-13T00:00:00"/>
    <s v="buenos aires"/>
  </r>
  <r>
    <x v="4"/>
    <x v="4"/>
    <x v="4"/>
    <s v="Viernes"/>
    <s v="16:00 - 22:00"/>
    <n v="99150"/>
    <d v="2022-03-14T00:00:00"/>
    <s v="buenos aires"/>
  </r>
  <r>
    <x v="5"/>
    <x v="5"/>
    <x v="5"/>
    <s v="Sábado"/>
    <s v="08:00 - 22:00"/>
    <n v="100450"/>
    <d v="2022-03-15T00:00:00"/>
    <s v="cordoba"/>
  </r>
  <r>
    <x v="6"/>
    <x v="6"/>
    <x v="6"/>
    <s v="Domingo"/>
    <s v="08:00 - 14:00"/>
    <n v="116960"/>
    <d v="2022-03-15T00:00:00"/>
    <s v="jujuy"/>
  </r>
  <r>
    <x v="7"/>
    <x v="7"/>
    <x v="7"/>
    <s v="Lunes"/>
    <s v="16:00 - 22:00"/>
    <n v="133390"/>
    <d v="2022-03-15T00:00:00"/>
    <s v="jujuy"/>
  </r>
  <r>
    <x v="8"/>
    <x v="8"/>
    <x v="8"/>
    <s v="Martes"/>
    <s v="08:00 - 22:00"/>
    <n v="150000"/>
    <d v="2022-03-15T00:00:00"/>
    <s v="santa f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DD77EB-AB26-4311-84F4-DA7CAB6271F4}" name="consulta" cacheId="63" applyNumberFormats="0" applyBorderFormats="0" applyFontFormats="0" applyPatternFormats="0" applyAlignmentFormats="0" applyWidthHeightFormats="1" dataCaption="Valores" tag="302578ce-36d8-41d0-a4c1-c0e748d06087" updatedVersion="6" minRefreshableVersion="3" useAutoFormatting="1" itemPrintTitles="1" createdVersion="6" indent="0" outline="1" outlineData="1" multipleFieldFilters="0">
  <location ref="A4:D23" firstHeaderRow="0" firstDataRow="1" firstDataCol="1" rowPageCount="2" colPageCount="1"/>
  <pivotFields count="7">
    <pivotField dataField="1" subtotalTop="0" showAll="0" defaultSubtotal="0"/>
    <pivotField axis="axisRow" allDrilled="1" showAll="0" dataSourceSort="1" defaultAttributeDrillState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allDrilled="1" showAll="0" dataSourceSort="1" defaultAttributeDrillState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1"/>
    <field x="2"/>
  </rowFields>
  <rowItems count="19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>
      <x v="7"/>
    </i>
    <i r="1">
      <x v="7"/>
    </i>
    <i>
      <x v="8"/>
    </i>
    <i r="1"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3" hier="2" name="[datosemple].[Sección].[All]" cap="All"/>
    <pageField fld="6" hier="7" name="[datosemple].[localidad].[All]" cap="All"/>
  </pageFields>
  <dataFields count="3">
    <dataField name="Suma de Sueldos" fld="5" baseField="0" baseItem="0"/>
    <dataField name="Suma de prestamo" fld="4" baseField="0" baseItem="0"/>
    <dataField name="Suma de a cobrar" fld="0" baseField="0" baseItem="0"/>
  </dataFields>
  <pivotHierarchies count="1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atosemple]"/>
        <x15:activeTabTopLevelEntity name="[prestamo]"/>
        <x15:activeTabTopLevelEntity name="[secc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7C2DB-CC38-4022-9E05-64C5C19BA36A}" name="empleados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22" firstHeaderRow="1" firstDataRow="1" firstDataCol="1" rowPageCount="1" colPageCount="1"/>
  <pivotFields count="8"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showAll="0">
      <items count="20">
        <item x="1"/>
        <item x="6"/>
        <item x="8"/>
        <item x="7"/>
        <item x="5"/>
        <item x="4"/>
        <item x="3"/>
        <item x="2"/>
        <item m="1" x="10"/>
        <item m="1" x="14"/>
        <item m="1" x="18"/>
        <item m="1" x="11"/>
        <item m="1" x="9"/>
        <item m="1" x="12"/>
        <item m="1" x="13"/>
        <item m="1" x="15"/>
        <item m="1" x="17"/>
        <item m="1" x="16"/>
        <item x="0"/>
        <item t="default"/>
      </items>
    </pivotField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dataField="1" showAll="0"/>
    <pivotField numFmtId="14" showAll="0"/>
    <pivotField showAll="0"/>
  </pivotFields>
  <rowFields count="2">
    <field x="0"/>
    <field x="1"/>
  </rowFields>
  <rowItems count="19">
    <i>
      <x/>
    </i>
    <i r="1">
      <x v="18"/>
    </i>
    <i>
      <x v="1"/>
    </i>
    <i r="1">
      <x/>
    </i>
    <i>
      <x v="2"/>
    </i>
    <i r="1">
      <x v="7"/>
    </i>
    <i>
      <x v="3"/>
    </i>
    <i r="1">
      <x v="6"/>
    </i>
    <i>
      <x v="4"/>
    </i>
    <i r="1">
      <x v="5"/>
    </i>
    <i>
      <x v="5"/>
    </i>
    <i r="1">
      <x v="4"/>
    </i>
    <i>
      <x v="6"/>
    </i>
    <i r="1">
      <x v="1"/>
    </i>
    <i>
      <x v="7"/>
    </i>
    <i r="1">
      <x v="3"/>
    </i>
    <i>
      <x v="8"/>
    </i>
    <i r="1">
      <x v="2"/>
    </i>
    <i t="grand">
      <x/>
    </i>
  </rowItems>
  <colItems count="1">
    <i/>
  </colItems>
  <pageFields count="1">
    <pageField fld="2" hier="-1"/>
  </pageFields>
  <dataFields count="1">
    <dataField name="Suma de a cobrar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mpleado" xr10:uid="{0C89C70A-9035-4161-8EE5-5BAFBDB5B4B7}" sourceName="[datosemple].[empleado]">
  <pivotTables>
    <pivotTable tabId="10" name="consulta"/>
  </pivotTables>
  <data>
    <olap pivotCacheId="377951414">
      <levels count="2">
        <level uniqueName="[datosemple].[empleado].[(All)]" sourceCaption="(All)" count="0"/>
        <level uniqueName="[datosemple].[empleado].[empleado]" sourceCaption="empleado" count="9">
          <ranges>
            <range startItem="0">
              <i n="[datosemple].[empleado].&amp;[Cabral, Antonio Raúl]" c="Cabral, Antonio Raúl"/>
              <i n="[datosemple].[empleado].&amp;[Cruz, Sonia Luisa]" c="Cruz, Sonia Luisa"/>
              <i n="[datosemple].[empleado].&amp;[Gimenez, Sonia Ana]" c="Gimenez, Sonia Ana"/>
              <i n="[datosemple].[empleado].&amp;[Navarro, Sofia Kiara]" c="Navarro, Sofia Kiara"/>
              <i n="[datosemple].[empleado].&amp;[Pintos, Aron Luis]" c="Pintos, Aron Luis"/>
              <i n="[datosemple].[empleado].&amp;[Romano, Ariel Juan]" c="Romano, Ariel Juan"/>
              <i n="[datosemple].[empleado].&amp;[Solis, Saúl Carlos]" c="Solis, Saúl Carlos"/>
              <i n="[datosemple].[empleado].&amp;[Sosa, Juan Antonio]" c="Sosa, Juan Antonio"/>
              <i n="[datosemple].[empleado].&amp;[Uñate,  cambio]" c="Uñate,  cambio"/>
            </range>
          </ranges>
        </level>
      </levels>
      <selections count="1">
        <selection n="[datosemple].[emplead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ción" xr10:uid="{95F90E62-3CBE-4ABD-8383-485D334C26D4}" sourceName="[datosemple].[Sección]">
  <pivotTables>
    <pivotTable tabId="10" name="consulta"/>
  </pivotTables>
  <data>
    <olap pivotCacheId="377951414">
      <levels count="2">
        <level uniqueName="[datosemple].[Sección].[(All)]" sourceCaption="(All)" count="0"/>
        <level uniqueName="[datosemple].[Sección].[Sección]" sourceCaption="Sección" count="9">
          <ranges>
            <range startItem="0">
              <i n="[datosemple].[Sección].&amp;[Cobranza]" c="Cobranza"/>
              <i n="[datosemple].[Sección].&amp;[Contabilidad]" c="Contabilidad"/>
              <i n="[datosemple].[Sección].&amp;[Gerente]" c="Gerente"/>
              <i n="[datosemple].[Sección].&amp;[Informática]" c="Informática"/>
              <i n="[datosemple].[Sección].&amp;[Limpieza]" c="Limpieza"/>
              <i n="[datosemple].[Sección].&amp;[Mantenimiento]" c="Mantenimiento"/>
              <i n="[datosemple].[Sección].&amp;[Secretaria]" c="Secretaria"/>
              <i n="[datosemple].[Sección].&amp;[Seguridad]" c="Seguridad"/>
              <i n="[datosemple].[Sección].&amp;[Ventas]" c="Ventas"/>
            </range>
          </ranges>
        </level>
      </levels>
      <selections count="1">
        <selection n="[datosemple].[Sección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mpleado" xr10:uid="{3D2ABB52-3A50-4BD6-824B-CE73FCC5EA88}" cache="SegmentaciónDeDatos_empleado" caption="empleado" level="1" rowHeight="241300"/>
  <slicer name="Sección" xr10:uid="{A6C27131-6CD2-424B-B502-9749F17A909E}" cache="SegmentaciónDeDatos_Sección" caption="Sección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25C3BA-30C5-487C-8CFF-40D694EBE522}" name="empleados" displayName="empleados" ref="A3:H12" totalsRowShown="0" headerRowDxfId="18" dataDxfId="17" tableBorderDxfId="16">
  <autoFilter ref="A3:H12" xr:uid="{B3E41927-37A4-448A-A72E-47DA3DF964E8}"/>
  <tableColumns count="8">
    <tableColumn id="1" xr3:uid="{A8C4BBDC-C86E-4E51-ACB3-A3F20DA3827A}" name="codigo" dataDxfId="15"/>
    <tableColumn id="2" xr3:uid="{8B2A4118-B613-40F6-A723-97DD320F59E0}" name="empleado" dataDxfId="14"/>
    <tableColumn id="5" xr3:uid="{EE678B7B-F0F6-46EB-B90E-3A6E503EBB16}" name="Sección" dataDxfId="13"/>
    <tableColumn id="3" xr3:uid="{6652D3FA-9455-4DAA-A70D-A7A6FCA84234}" name="Días" dataDxfId="12"/>
    <tableColumn id="4" xr3:uid="{A15FB897-0018-4254-BD2E-0B0A5B6D521F}" name="Horarios" dataDxfId="11"/>
    <tableColumn id="6" xr3:uid="{A3D35B90-CC3C-43CD-BCE0-422748E77FE7}" name="a cobrar" dataDxfId="10">
      <calculatedColumnFormula>seccion[[#This Row],[Sueldos]]-SUMIF(Hoja3!$A$2:$A$15,empleados[[#This Row],[codigo]],Hoja3!$B$2:$B$15)</calculatedColumnFormula>
    </tableColumn>
    <tableColumn id="7" xr3:uid="{CF3129A8-BD83-4778-B62D-49E1E332EED6}" name="fecha" dataDxfId="9"/>
    <tableColumn id="8" xr3:uid="{D3116B86-DAB8-4795-9CBE-6D2B30EB3FA6}" name="localidad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DD897F-9C77-4F3C-AED1-04F2AF390785}" name="seccion" displayName="seccion" ref="A3:B12" totalsRowShown="0">
  <autoFilter ref="A3:B12" xr:uid="{D5D31C05-E1A4-4D4B-BEE5-B1E588A73950}"/>
  <tableColumns count="2">
    <tableColumn id="1" xr3:uid="{5BE45F3D-F236-4F13-A7A3-540DD3A43CFE}" name="Sección"/>
    <tableColumn id="2" xr3:uid="{EF48B002-BE06-4D17-82E4-93BD0922E831}" name="Sueldos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3CED10-3B20-4A2A-8979-A6CC4243A687}" name="prestamo" displayName="prestamo" ref="A1:B15" totalsRowShown="0" headerRowDxfId="4" dataDxfId="3" tableBorderDxfId="2">
  <autoFilter ref="A1:B15" xr:uid="{E935E4D3-1E10-450B-B0E2-3EC0664D6B21}"/>
  <tableColumns count="2">
    <tableColumn id="1" xr3:uid="{AE34CAAB-4FFA-4FA2-9819-4B3CE95E9F46}" name="codigo" dataDxfId="1"/>
    <tableColumn id="2" xr3:uid="{BEF39B4F-C9F5-4CB3-9E15-8678018DD395}" name="prestam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AC91-3147-4FC9-86BA-7150BF927AD6}">
  <sheetPr codeName="Hoja4"/>
  <dimension ref="A1:D23"/>
  <sheetViews>
    <sheetView tabSelected="1" workbookViewId="0">
      <selection activeCell="B6" sqref="B6"/>
    </sheetView>
  </sheetViews>
  <sheetFormatPr baseColWidth="10" defaultRowHeight="15" x14ac:dyDescent="0.25"/>
  <cols>
    <col min="1" max="1" width="22.85546875" bestFit="1" customWidth="1"/>
    <col min="2" max="2" width="16.140625" bestFit="1" customWidth="1"/>
    <col min="3" max="3" width="17.5703125" bestFit="1" customWidth="1"/>
    <col min="4" max="4" width="16.140625" bestFit="1" customWidth="1"/>
    <col min="5" max="5" width="8" bestFit="1" customWidth="1"/>
    <col min="6" max="6" width="8.7109375" bestFit="1" customWidth="1"/>
    <col min="7" max="7" width="17.5703125" bestFit="1" customWidth="1"/>
    <col min="8" max="8" width="8.140625" bestFit="1" customWidth="1"/>
    <col min="9" max="9" width="5.42578125" bestFit="1" customWidth="1"/>
    <col min="10" max="10" width="8.7109375" bestFit="1" customWidth="1"/>
    <col min="11" max="11" width="16.140625" bestFit="1" customWidth="1"/>
    <col min="12" max="12" width="8.140625" bestFit="1" customWidth="1"/>
    <col min="13" max="13" width="7" bestFit="1" customWidth="1"/>
    <col min="14" max="14" width="8" bestFit="1" customWidth="1"/>
    <col min="15" max="15" width="8.7109375" bestFit="1" customWidth="1"/>
    <col min="16" max="16" width="21" bestFit="1" customWidth="1"/>
    <col min="17" max="17" width="22.5703125" bestFit="1" customWidth="1"/>
    <col min="18" max="18" width="21" bestFit="1" customWidth="1"/>
  </cols>
  <sheetData>
    <row r="1" spans="1:4" x14ac:dyDescent="0.25">
      <c r="A1" s="8" t="s">
        <v>2</v>
      </c>
      <c r="B1" t="s" vm="1">
        <v>37</v>
      </c>
    </row>
    <row r="2" spans="1:4" x14ac:dyDescent="0.25">
      <c r="A2" s="8" t="s">
        <v>43</v>
      </c>
      <c r="B2" t="s" vm="2">
        <v>37</v>
      </c>
    </row>
    <row r="4" spans="1:4" x14ac:dyDescent="0.25">
      <c r="A4" s="8" t="s">
        <v>35</v>
      </c>
      <c r="B4" t="s">
        <v>39</v>
      </c>
      <c r="C4" t="s">
        <v>38</v>
      </c>
      <c r="D4" t="s">
        <v>41</v>
      </c>
    </row>
    <row r="5" spans="1:4" x14ac:dyDescent="0.25">
      <c r="A5" s="9">
        <v>1</v>
      </c>
      <c r="B5" s="14">
        <v>25000</v>
      </c>
      <c r="C5" s="14">
        <v>1990</v>
      </c>
      <c r="D5" s="15">
        <v>23010</v>
      </c>
    </row>
    <row r="6" spans="1:4" x14ac:dyDescent="0.25">
      <c r="A6" s="10" t="s">
        <v>50</v>
      </c>
      <c r="B6" s="14">
        <v>25000</v>
      </c>
      <c r="C6" s="14">
        <v>1990</v>
      </c>
      <c r="D6" s="15">
        <v>23010</v>
      </c>
    </row>
    <row r="7" spans="1:4" x14ac:dyDescent="0.25">
      <c r="A7" s="9">
        <v>2</v>
      </c>
      <c r="B7" s="14">
        <v>35000</v>
      </c>
      <c r="C7" s="14">
        <v>890</v>
      </c>
      <c r="D7" s="15">
        <v>34110</v>
      </c>
    </row>
    <row r="8" spans="1:4" x14ac:dyDescent="0.25">
      <c r="A8" s="10" t="s">
        <v>9</v>
      </c>
      <c r="B8" s="14">
        <v>35000</v>
      </c>
      <c r="C8" s="14">
        <v>890</v>
      </c>
      <c r="D8" s="15">
        <v>34110</v>
      </c>
    </row>
    <row r="9" spans="1:4" x14ac:dyDescent="0.25">
      <c r="A9" s="9">
        <v>3</v>
      </c>
      <c r="B9" s="14">
        <v>45000</v>
      </c>
      <c r="C9" s="14">
        <v>1320</v>
      </c>
      <c r="D9" s="15">
        <v>43680</v>
      </c>
    </row>
    <row r="10" spans="1:4" x14ac:dyDescent="0.25">
      <c r="A10" s="10" t="s">
        <v>13</v>
      </c>
      <c r="B10" s="14">
        <v>45000</v>
      </c>
      <c r="C10" s="14">
        <v>1320</v>
      </c>
      <c r="D10" s="15">
        <v>43680</v>
      </c>
    </row>
    <row r="11" spans="1:4" x14ac:dyDescent="0.25">
      <c r="A11" s="9">
        <v>4</v>
      </c>
      <c r="B11" s="14">
        <v>50000</v>
      </c>
      <c r="C11" s="14">
        <v>780</v>
      </c>
      <c r="D11" s="15">
        <v>49220</v>
      </c>
    </row>
    <row r="12" spans="1:4" x14ac:dyDescent="0.25">
      <c r="A12" s="10" t="s">
        <v>17</v>
      </c>
      <c r="B12" s="14">
        <v>50000</v>
      </c>
      <c r="C12" s="14">
        <v>780</v>
      </c>
      <c r="D12" s="15">
        <v>49220</v>
      </c>
    </row>
    <row r="13" spans="1:4" x14ac:dyDescent="0.25">
      <c r="A13" s="9">
        <v>5</v>
      </c>
      <c r="B13" s="14">
        <v>100000</v>
      </c>
      <c r="C13" s="14">
        <v>850</v>
      </c>
      <c r="D13" s="15">
        <v>99150</v>
      </c>
    </row>
    <row r="14" spans="1:4" x14ac:dyDescent="0.25">
      <c r="A14" s="10" t="s">
        <v>20</v>
      </c>
      <c r="B14" s="14">
        <v>100000</v>
      </c>
      <c r="C14" s="14">
        <v>850</v>
      </c>
      <c r="D14" s="15">
        <v>99150</v>
      </c>
    </row>
    <row r="15" spans="1:4" x14ac:dyDescent="0.25">
      <c r="A15" s="9">
        <v>6</v>
      </c>
      <c r="B15" s="14">
        <v>100500</v>
      </c>
      <c r="C15" s="14">
        <v>50</v>
      </c>
      <c r="D15" s="15">
        <v>100450</v>
      </c>
    </row>
    <row r="16" spans="1:4" x14ac:dyDescent="0.25">
      <c r="A16" s="10" t="s">
        <v>23</v>
      </c>
      <c r="B16" s="14">
        <v>100500</v>
      </c>
      <c r="C16" s="14">
        <v>50</v>
      </c>
      <c r="D16" s="15">
        <v>100450</v>
      </c>
    </row>
    <row r="17" spans="1:4" x14ac:dyDescent="0.25">
      <c r="A17" s="9">
        <v>7</v>
      </c>
      <c r="B17" s="14">
        <v>117000</v>
      </c>
      <c r="C17" s="14">
        <v>40</v>
      </c>
      <c r="D17" s="15">
        <v>116960</v>
      </c>
    </row>
    <row r="18" spans="1:4" x14ac:dyDescent="0.25">
      <c r="A18" s="10" t="s">
        <v>26</v>
      </c>
      <c r="B18" s="14">
        <v>117000</v>
      </c>
      <c r="C18" s="14">
        <v>40</v>
      </c>
      <c r="D18" s="15">
        <v>116960</v>
      </c>
    </row>
    <row r="19" spans="1:4" x14ac:dyDescent="0.25">
      <c r="A19" s="9">
        <v>8</v>
      </c>
      <c r="B19" s="14">
        <v>133500</v>
      </c>
      <c r="C19" s="14">
        <v>110</v>
      </c>
      <c r="D19" s="15">
        <v>133390</v>
      </c>
    </row>
    <row r="20" spans="1:4" x14ac:dyDescent="0.25">
      <c r="A20" s="10" t="s">
        <v>29</v>
      </c>
      <c r="B20" s="14">
        <v>133500</v>
      </c>
      <c r="C20" s="14">
        <v>110</v>
      </c>
      <c r="D20" s="15">
        <v>133390</v>
      </c>
    </row>
    <row r="21" spans="1:4" x14ac:dyDescent="0.25">
      <c r="A21" s="9">
        <v>9</v>
      </c>
      <c r="B21" s="14">
        <v>150000</v>
      </c>
      <c r="C21" s="14"/>
      <c r="D21" s="15">
        <v>150000</v>
      </c>
    </row>
    <row r="22" spans="1:4" x14ac:dyDescent="0.25">
      <c r="A22" s="10" t="s">
        <v>31</v>
      </c>
      <c r="B22" s="14">
        <v>150000</v>
      </c>
      <c r="C22" s="14"/>
      <c r="D22" s="15">
        <v>150000</v>
      </c>
    </row>
    <row r="23" spans="1:4" x14ac:dyDescent="0.25">
      <c r="A23" s="9" t="s">
        <v>36</v>
      </c>
      <c r="B23" s="14">
        <v>756000</v>
      </c>
      <c r="C23" s="14">
        <v>6030</v>
      </c>
      <c r="D23" s="15">
        <v>749970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1B4E9-2DD2-413A-9554-F299A7C98CF3}">
  <sheetPr codeName="Hoja5"/>
  <dimension ref="A1:B22"/>
  <sheetViews>
    <sheetView workbookViewId="0">
      <selection activeCell="B14" sqref="B14"/>
    </sheetView>
  </sheetViews>
  <sheetFormatPr baseColWidth="10" defaultRowHeight="15" x14ac:dyDescent="0.25"/>
  <cols>
    <col min="1" max="1" width="22.85546875" bestFit="1" customWidth="1"/>
    <col min="2" max="2" width="16.140625" bestFit="1" customWidth="1"/>
  </cols>
  <sheetData>
    <row r="1" spans="1:2" x14ac:dyDescent="0.25">
      <c r="A1" s="8" t="s">
        <v>2</v>
      </c>
      <c r="B1" t="s">
        <v>49</v>
      </c>
    </row>
    <row r="3" spans="1:2" x14ac:dyDescent="0.25">
      <c r="A3" s="8" t="s">
        <v>35</v>
      </c>
      <c r="B3" t="s">
        <v>41</v>
      </c>
    </row>
    <row r="4" spans="1:2" x14ac:dyDescent="0.25">
      <c r="A4" s="13">
        <v>1</v>
      </c>
      <c r="B4" s="14">
        <v>23010</v>
      </c>
    </row>
    <row r="5" spans="1:2" x14ac:dyDescent="0.25">
      <c r="A5" s="10" t="s">
        <v>51</v>
      </c>
      <c r="B5" s="14">
        <v>23010</v>
      </c>
    </row>
    <row r="6" spans="1:2" x14ac:dyDescent="0.25">
      <c r="A6" s="13">
        <v>2</v>
      </c>
      <c r="B6" s="14">
        <v>34110</v>
      </c>
    </row>
    <row r="7" spans="1:2" x14ac:dyDescent="0.25">
      <c r="A7" s="10" t="s">
        <v>9</v>
      </c>
      <c r="B7" s="14">
        <v>34110</v>
      </c>
    </row>
    <row r="8" spans="1:2" x14ac:dyDescent="0.25">
      <c r="A8" s="13">
        <v>3</v>
      </c>
      <c r="B8" s="14">
        <v>43680</v>
      </c>
    </row>
    <row r="9" spans="1:2" x14ac:dyDescent="0.25">
      <c r="A9" s="10" t="s">
        <v>13</v>
      </c>
      <c r="B9" s="14">
        <v>43680</v>
      </c>
    </row>
    <row r="10" spans="1:2" x14ac:dyDescent="0.25">
      <c r="A10" s="13">
        <v>4</v>
      </c>
      <c r="B10" s="14">
        <v>49220</v>
      </c>
    </row>
    <row r="11" spans="1:2" x14ac:dyDescent="0.25">
      <c r="A11" s="10" t="s">
        <v>17</v>
      </c>
      <c r="B11" s="14">
        <v>49220</v>
      </c>
    </row>
    <row r="12" spans="1:2" x14ac:dyDescent="0.25">
      <c r="A12" s="13">
        <v>5</v>
      </c>
      <c r="B12" s="14">
        <v>99150</v>
      </c>
    </row>
    <row r="13" spans="1:2" x14ac:dyDescent="0.25">
      <c r="A13" s="10" t="s">
        <v>20</v>
      </c>
      <c r="B13" s="14">
        <v>99150</v>
      </c>
    </row>
    <row r="14" spans="1:2" x14ac:dyDescent="0.25">
      <c r="A14" s="13">
        <v>6</v>
      </c>
      <c r="B14" s="14">
        <v>100450</v>
      </c>
    </row>
    <row r="15" spans="1:2" x14ac:dyDescent="0.25">
      <c r="A15" s="10" t="s">
        <v>23</v>
      </c>
      <c r="B15" s="14">
        <v>100450</v>
      </c>
    </row>
    <row r="16" spans="1:2" x14ac:dyDescent="0.25">
      <c r="A16" s="13">
        <v>7</v>
      </c>
      <c r="B16" s="14">
        <v>116960</v>
      </c>
    </row>
    <row r="17" spans="1:2" x14ac:dyDescent="0.25">
      <c r="A17" s="10" t="s">
        <v>26</v>
      </c>
      <c r="B17" s="14">
        <v>116960</v>
      </c>
    </row>
    <row r="18" spans="1:2" x14ac:dyDescent="0.25">
      <c r="A18" s="13">
        <v>8</v>
      </c>
      <c r="B18" s="14">
        <v>133390</v>
      </c>
    </row>
    <row r="19" spans="1:2" x14ac:dyDescent="0.25">
      <c r="A19" s="10" t="s">
        <v>29</v>
      </c>
      <c r="B19" s="14">
        <v>133390</v>
      </c>
    </row>
    <row r="20" spans="1:2" x14ac:dyDescent="0.25">
      <c r="A20" s="13">
        <v>9</v>
      </c>
      <c r="B20" s="14">
        <v>150000</v>
      </c>
    </row>
    <row r="21" spans="1:2" x14ac:dyDescent="0.25">
      <c r="A21" s="10" t="s">
        <v>31</v>
      </c>
      <c r="B21" s="14">
        <v>150000</v>
      </c>
    </row>
    <row r="22" spans="1:2" x14ac:dyDescent="0.25">
      <c r="A22" s="13" t="s">
        <v>36</v>
      </c>
      <c r="B22" s="14">
        <v>749970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D6C7A-F567-4BD7-89FF-FCECBF6E7609}">
  <sheetPr codeName="Hoja1"/>
  <dimension ref="A1:I12"/>
  <sheetViews>
    <sheetView workbookViewId="0">
      <selection activeCell="B4" sqref="B4"/>
    </sheetView>
  </sheetViews>
  <sheetFormatPr baseColWidth="10" defaultRowHeight="15" x14ac:dyDescent="0.25"/>
  <cols>
    <col min="2" max="2" width="21" bestFit="1" customWidth="1"/>
    <col min="3" max="3" width="15" bestFit="1" customWidth="1"/>
    <col min="10" max="10" width="11.85546875" bestFit="1" customWidth="1"/>
    <col min="12" max="12" width="11.85546875" bestFit="1" customWidth="1"/>
  </cols>
  <sheetData>
    <row r="1" spans="1:9" ht="15.75" x14ac:dyDescent="0.25">
      <c r="B1" s="16" t="s">
        <v>0</v>
      </c>
      <c r="C1" s="16"/>
      <c r="D1" s="16"/>
      <c r="E1" s="16"/>
      <c r="F1" s="16"/>
    </row>
    <row r="3" spans="1:9" x14ac:dyDescent="0.25">
      <c r="A3" s="7" t="s">
        <v>33</v>
      </c>
      <c r="B3" s="7" t="s">
        <v>1</v>
      </c>
      <c r="C3" t="s">
        <v>2</v>
      </c>
      <c r="D3" s="7" t="s">
        <v>3</v>
      </c>
      <c r="E3" s="7" t="s">
        <v>4</v>
      </c>
      <c r="F3" s="11" t="s">
        <v>40</v>
      </c>
      <c r="G3" s="11" t="s">
        <v>42</v>
      </c>
      <c r="H3" s="11" t="s">
        <v>43</v>
      </c>
      <c r="I3" s="5"/>
    </row>
    <row r="4" spans="1:9" x14ac:dyDescent="0.25">
      <c r="A4" s="6">
        <v>1</v>
      </c>
      <c r="B4" s="3" t="s">
        <v>51</v>
      </c>
      <c r="C4" t="s">
        <v>6</v>
      </c>
      <c r="D4" s="3" t="s">
        <v>7</v>
      </c>
      <c r="E4" s="3" t="s">
        <v>8</v>
      </c>
      <c r="F4">
        <f>seccion[[#This Row],[Sueldos]]-SUMIF(Hoja3!$A$2:$A$15,empleados[[#This Row],[codigo]],Hoja3!$B$2:$B$15)</f>
        <v>23010</v>
      </c>
      <c r="G4" s="12">
        <v>44632</v>
      </c>
      <c r="H4" t="s">
        <v>44</v>
      </c>
    </row>
    <row r="5" spans="1:9" x14ac:dyDescent="0.25">
      <c r="A5" s="6">
        <v>2</v>
      </c>
      <c r="B5" s="4" t="s">
        <v>9</v>
      </c>
      <c r="C5" t="s">
        <v>10</v>
      </c>
      <c r="D5" s="4" t="s">
        <v>11</v>
      </c>
      <c r="E5" s="4" t="s">
        <v>12</v>
      </c>
      <c r="F5">
        <f>seccion[[#This Row],[Sueldos]]-SUMIF(Hoja3!$A$2:$A$15,empleados[[#This Row],[codigo]],Hoja3!$B$2:$B$15)</f>
        <v>34110</v>
      </c>
      <c r="G5" s="12">
        <v>44632</v>
      </c>
      <c r="H5" t="s">
        <v>44</v>
      </c>
    </row>
    <row r="6" spans="1:9" x14ac:dyDescent="0.25">
      <c r="A6" s="6">
        <v>3</v>
      </c>
      <c r="B6" s="3" t="s">
        <v>13</v>
      </c>
      <c r="C6" t="s">
        <v>14</v>
      </c>
      <c r="D6" s="3" t="s">
        <v>15</v>
      </c>
      <c r="E6" s="3" t="s">
        <v>16</v>
      </c>
      <c r="F6">
        <f>seccion[[#This Row],[Sueldos]]-SUMIF(Hoja3!$A$2:$A$15,empleados[[#This Row],[codigo]],Hoja3!$B$2:$B$15)</f>
        <v>43680</v>
      </c>
      <c r="G6" s="12">
        <v>44632</v>
      </c>
      <c r="H6" t="s">
        <v>44</v>
      </c>
    </row>
    <row r="7" spans="1:9" x14ac:dyDescent="0.25">
      <c r="A7" s="6">
        <v>4</v>
      </c>
      <c r="B7" s="4" t="s">
        <v>17</v>
      </c>
      <c r="C7" t="s">
        <v>18</v>
      </c>
      <c r="D7" s="4" t="s">
        <v>19</v>
      </c>
      <c r="E7" s="4" t="s">
        <v>8</v>
      </c>
      <c r="F7">
        <f>seccion[[#This Row],[Sueldos]]-SUMIF(Hoja3!$A$2:$A$15,empleados[[#This Row],[codigo]],Hoja3!$B$2:$B$15)</f>
        <v>49220</v>
      </c>
      <c r="G7" s="12">
        <v>44633</v>
      </c>
      <c r="H7" t="s">
        <v>45</v>
      </c>
    </row>
    <row r="8" spans="1:9" x14ac:dyDescent="0.25">
      <c r="A8" s="6">
        <v>5</v>
      </c>
      <c r="B8" s="3" t="s">
        <v>20</v>
      </c>
      <c r="C8" t="s">
        <v>21</v>
      </c>
      <c r="D8" s="3" t="s">
        <v>22</v>
      </c>
      <c r="E8" s="3" t="s">
        <v>12</v>
      </c>
      <c r="F8">
        <f>seccion[[#This Row],[Sueldos]]-SUMIF(Hoja3!$A$2:$A$15,empleados[[#This Row],[codigo]],Hoja3!$B$2:$B$15)</f>
        <v>99150</v>
      </c>
      <c r="G8" s="12">
        <v>44634</v>
      </c>
      <c r="H8" t="s">
        <v>45</v>
      </c>
    </row>
    <row r="9" spans="1:9" x14ac:dyDescent="0.25">
      <c r="A9" s="6">
        <v>6</v>
      </c>
      <c r="B9" s="4" t="s">
        <v>23</v>
      </c>
      <c r="C9" t="s">
        <v>24</v>
      </c>
      <c r="D9" s="4" t="s">
        <v>25</v>
      </c>
      <c r="E9" s="4" t="s">
        <v>16</v>
      </c>
      <c r="F9">
        <f>seccion[[#This Row],[Sueldos]]-SUMIF(Hoja3!$A$2:$A$15,empleados[[#This Row],[codigo]],Hoja3!$B$2:$B$15)</f>
        <v>100450</v>
      </c>
      <c r="G9" s="12">
        <v>44635</v>
      </c>
      <c r="H9" t="s">
        <v>48</v>
      </c>
    </row>
    <row r="10" spans="1:9" x14ac:dyDescent="0.25">
      <c r="A10" s="6">
        <v>7</v>
      </c>
      <c r="B10" s="3" t="s">
        <v>26</v>
      </c>
      <c r="C10" t="s">
        <v>27</v>
      </c>
      <c r="D10" s="3" t="s">
        <v>28</v>
      </c>
      <c r="E10" s="3" t="s">
        <v>8</v>
      </c>
      <c r="F10">
        <f>seccion[[#This Row],[Sueldos]]-SUMIF(Hoja3!$A$2:$A$15,empleados[[#This Row],[codigo]],Hoja3!$B$2:$B$15)</f>
        <v>116960</v>
      </c>
      <c r="G10" s="12">
        <v>44635</v>
      </c>
      <c r="H10" t="s">
        <v>46</v>
      </c>
    </row>
    <row r="11" spans="1:9" x14ac:dyDescent="0.25">
      <c r="A11" s="6">
        <v>8</v>
      </c>
      <c r="B11" s="4" t="s">
        <v>29</v>
      </c>
      <c r="C11" t="s">
        <v>30</v>
      </c>
      <c r="D11" s="4" t="s">
        <v>7</v>
      </c>
      <c r="E11" s="4" t="s">
        <v>12</v>
      </c>
      <c r="F11">
        <f>seccion[[#This Row],[Sueldos]]-SUMIF(Hoja3!$A$2:$A$15,empleados[[#This Row],[codigo]],Hoja3!$B$2:$B$15)</f>
        <v>133390</v>
      </c>
      <c r="G11" s="12">
        <v>44635</v>
      </c>
      <c r="H11" t="s">
        <v>46</v>
      </c>
    </row>
    <row r="12" spans="1:9" x14ac:dyDescent="0.25">
      <c r="A12" s="6">
        <v>9</v>
      </c>
      <c r="B12" s="2" t="s">
        <v>31</v>
      </c>
      <c r="C12" t="s">
        <v>32</v>
      </c>
      <c r="D12" s="2" t="s">
        <v>11</v>
      </c>
      <c r="E12" s="2" t="s">
        <v>16</v>
      </c>
      <c r="F12">
        <f>seccion[[#This Row],[Sueldos]]-SUMIF(Hoja3!$A$2:$A$15,empleados[[#This Row],[codigo]],Hoja3!$B$2:$B$15)</f>
        <v>150000</v>
      </c>
      <c r="G12" s="12">
        <v>44635</v>
      </c>
      <c r="H12" t="s">
        <v>47</v>
      </c>
    </row>
  </sheetData>
  <mergeCells count="1">
    <mergeCell ref="B1:F1"/>
  </mergeCells>
  <conditionalFormatting sqref="B4:B12 D4:E12">
    <cfRule type="expression" dxfId="32" priority="15">
      <formula>ISEVEN(ROW())</formula>
    </cfRule>
    <cfRule type="expression" dxfId="31" priority="16">
      <formula>ISODD(ROW())</formula>
    </cfRule>
  </conditionalFormatting>
  <conditionalFormatting sqref="A4:A12">
    <cfRule type="expression" dxfId="30" priority="13">
      <formula>ISEVEN(ROW())</formula>
    </cfRule>
    <cfRule type="expression" dxfId="29" priority="14">
      <formula>ISODD(ROW())</formula>
    </cfRule>
  </conditionalFormatting>
  <conditionalFormatting sqref="I3">
    <cfRule type="expression" dxfId="28" priority="11">
      <formula>ISEVEN(ROW())</formula>
    </cfRule>
    <cfRule type="expression" dxfId="27" priority="12">
      <formula>ISODD(ROW())</formula>
    </cfRule>
  </conditionalFormatting>
  <conditionalFormatting sqref="C4:C12">
    <cfRule type="expression" dxfId="26" priority="9">
      <formula>ISEVEN(ROW())</formula>
    </cfRule>
    <cfRule type="expression" dxfId="25" priority="10">
      <formula>ISODD(ROW())</formula>
    </cfRule>
  </conditionalFormatting>
  <conditionalFormatting sqref="F4:F12">
    <cfRule type="expression" dxfId="24" priority="7">
      <formula>ISEVEN(ROW())</formula>
    </cfRule>
    <cfRule type="expression" dxfId="23" priority="8">
      <formula>ISODD(ROW())</formula>
    </cfRule>
  </conditionalFormatting>
  <conditionalFormatting sqref="G4:G12">
    <cfRule type="expression" dxfId="22" priority="5">
      <formula>ISEVEN(ROW())</formula>
    </cfRule>
    <cfRule type="expression" dxfId="21" priority="6">
      <formula>ISODD(ROW())</formula>
    </cfRule>
  </conditionalFormatting>
  <conditionalFormatting sqref="H4:H12">
    <cfRule type="expression" dxfId="20" priority="1">
      <formula>ISEVEN(ROW())</formula>
    </cfRule>
    <cfRule type="expression" dxfId="19" priority="2">
      <formula>ISODD(ROW())</formula>
    </cfRule>
  </conditionalFormatting>
  <dataValidations count="1">
    <dataValidation type="custom" allowBlank="1" showInputMessage="1" showErrorMessage="1" errorTitle="ERROR!!!" error="Clave no validad. Tiene que ser un numero de 3 cifras no repetido." promptTitle="ID de empleado" prompt="Clave única de empleado, número de 3 cifras, sin caracteres alfabeticos." sqref="A4:A12" xr:uid="{55E332D6-DB48-49D0-9ABE-1CC64D1D4AD1}">
      <formula1>AND(ISNUMBER(A4),LEN(A4)&lt;=3,COUNTIF($A$4:$A$12,A4)=1)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CAE06-929E-437B-9906-4737B37391D6}">
  <sheetPr codeName="Hoja2"/>
  <dimension ref="A1:E12"/>
  <sheetViews>
    <sheetView workbookViewId="0">
      <selection activeCell="C10" sqref="C10"/>
    </sheetView>
  </sheetViews>
  <sheetFormatPr baseColWidth="10" defaultRowHeight="15" x14ac:dyDescent="0.25"/>
  <cols>
    <col min="1" max="1" width="15" bestFit="1" customWidth="1"/>
  </cols>
  <sheetData>
    <row r="1" spans="1:5" ht="15.75" x14ac:dyDescent="0.25">
      <c r="A1" s="16" t="s">
        <v>0</v>
      </c>
      <c r="B1" s="16"/>
      <c r="C1" s="16"/>
      <c r="D1" s="16"/>
      <c r="E1" s="16"/>
    </row>
    <row r="3" spans="1:5" x14ac:dyDescent="0.25">
      <c r="A3" t="s">
        <v>2</v>
      </c>
      <c r="B3" t="s">
        <v>5</v>
      </c>
    </row>
    <row r="4" spans="1:5" x14ac:dyDescent="0.25">
      <c r="A4" t="s">
        <v>6</v>
      </c>
      <c r="B4" s="1">
        <v>25000</v>
      </c>
    </row>
    <row r="5" spans="1:5" x14ac:dyDescent="0.25">
      <c r="A5" t="s">
        <v>10</v>
      </c>
      <c r="B5" s="1">
        <v>35000</v>
      </c>
    </row>
    <row r="6" spans="1:5" x14ac:dyDescent="0.25">
      <c r="A6" t="s">
        <v>14</v>
      </c>
      <c r="B6" s="1">
        <v>45000</v>
      </c>
    </row>
    <row r="7" spans="1:5" x14ac:dyDescent="0.25">
      <c r="A7" t="s">
        <v>18</v>
      </c>
      <c r="B7" s="1">
        <v>50000</v>
      </c>
    </row>
    <row r="8" spans="1:5" x14ac:dyDescent="0.25">
      <c r="A8" t="s">
        <v>21</v>
      </c>
      <c r="B8" s="1">
        <v>100000</v>
      </c>
    </row>
    <row r="9" spans="1:5" x14ac:dyDescent="0.25">
      <c r="A9" t="s">
        <v>24</v>
      </c>
      <c r="B9" s="1">
        <v>100500</v>
      </c>
    </row>
    <row r="10" spans="1:5" x14ac:dyDescent="0.25">
      <c r="A10" t="s">
        <v>27</v>
      </c>
      <c r="B10" s="1">
        <v>117000</v>
      </c>
    </row>
    <row r="11" spans="1:5" x14ac:dyDescent="0.25">
      <c r="A11" t="s">
        <v>30</v>
      </c>
      <c r="B11" s="1">
        <v>133500</v>
      </c>
    </row>
    <row r="12" spans="1:5" x14ac:dyDescent="0.25">
      <c r="A12" t="s">
        <v>32</v>
      </c>
      <c r="B12" s="1">
        <v>150000</v>
      </c>
    </row>
  </sheetData>
  <mergeCells count="1">
    <mergeCell ref="A1:E1"/>
  </mergeCells>
  <conditionalFormatting sqref="A4:B12">
    <cfRule type="expression" dxfId="7" priority="1">
      <formula>ISEVEN(ROW())</formula>
    </cfRule>
    <cfRule type="expression" dxfId="6" priority="2">
      <formula>ISODD(ROW())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F354D-E7D9-46C5-98EB-6264E2FCF8A9}">
  <sheetPr codeName="Hoja3"/>
  <dimension ref="A1:B15"/>
  <sheetViews>
    <sheetView workbookViewId="0">
      <selection activeCell="B4" sqref="B4"/>
    </sheetView>
  </sheetViews>
  <sheetFormatPr baseColWidth="10" defaultRowHeight="15" x14ac:dyDescent="0.25"/>
  <cols>
    <col min="2" max="2" width="11.5703125" customWidth="1"/>
  </cols>
  <sheetData>
    <row r="1" spans="1:2" x14ac:dyDescent="0.25">
      <c r="A1" s="7" t="s">
        <v>33</v>
      </c>
      <c r="B1" s="7" t="s">
        <v>34</v>
      </c>
    </row>
    <row r="2" spans="1:2" x14ac:dyDescent="0.25">
      <c r="A2" s="3">
        <v>1</v>
      </c>
      <c r="B2" s="3">
        <v>1000</v>
      </c>
    </row>
    <row r="3" spans="1:2" x14ac:dyDescent="0.25">
      <c r="A3" s="4">
        <v>2</v>
      </c>
      <c r="B3" s="4">
        <v>500</v>
      </c>
    </row>
    <row r="4" spans="1:2" x14ac:dyDescent="0.25">
      <c r="A4" s="3">
        <v>3</v>
      </c>
      <c r="B4" s="3">
        <v>1000</v>
      </c>
    </row>
    <row r="5" spans="1:2" x14ac:dyDescent="0.25">
      <c r="A5" s="4">
        <v>4</v>
      </c>
      <c r="B5" s="4">
        <v>600</v>
      </c>
    </row>
    <row r="6" spans="1:2" x14ac:dyDescent="0.25">
      <c r="A6" s="3">
        <v>5</v>
      </c>
      <c r="B6" s="3">
        <v>600</v>
      </c>
    </row>
    <row r="7" spans="1:2" x14ac:dyDescent="0.25">
      <c r="A7" s="4">
        <v>1</v>
      </c>
      <c r="B7" s="4">
        <v>530</v>
      </c>
    </row>
    <row r="8" spans="1:2" x14ac:dyDescent="0.25">
      <c r="A8" s="3">
        <v>1</v>
      </c>
      <c r="B8" s="3">
        <v>460</v>
      </c>
    </row>
    <row r="9" spans="1:2" x14ac:dyDescent="0.25">
      <c r="A9" s="4">
        <v>2</v>
      </c>
      <c r="B9" s="4">
        <v>390</v>
      </c>
    </row>
    <row r="10" spans="1:2" x14ac:dyDescent="0.25">
      <c r="A10" s="3">
        <v>3</v>
      </c>
      <c r="B10" s="3">
        <v>320</v>
      </c>
    </row>
    <row r="11" spans="1:2" x14ac:dyDescent="0.25">
      <c r="A11" s="4">
        <v>5</v>
      </c>
      <c r="B11" s="4">
        <v>250</v>
      </c>
    </row>
    <row r="12" spans="1:2" x14ac:dyDescent="0.25">
      <c r="A12" s="3">
        <v>4</v>
      </c>
      <c r="B12" s="3">
        <v>180</v>
      </c>
    </row>
    <row r="13" spans="1:2" x14ac:dyDescent="0.25">
      <c r="A13" s="4">
        <v>8</v>
      </c>
      <c r="B13" s="4">
        <v>110</v>
      </c>
    </row>
    <row r="14" spans="1:2" x14ac:dyDescent="0.25">
      <c r="A14" s="3">
        <v>7</v>
      </c>
      <c r="B14" s="3">
        <v>40</v>
      </c>
    </row>
    <row r="15" spans="1:2" x14ac:dyDescent="0.25">
      <c r="A15" s="4">
        <v>6</v>
      </c>
      <c r="B15" s="4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2AD25F0E-807D-41A6-9E53-CAFF42EBE039}">
  <ds:schemaRefs/>
</ds:datastoreItem>
</file>

<file path=customXml/itemProps2.xml><?xml version="1.0" encoding="utf-8"?>
<ds:datastoreItem xmlns:ds="http://schemas.openxmlformats.org/officeDocument/2006/customXml" ds:itemID="{760DDE4E-8476-4C4C-9391-1365624335BE}">
  <ds:schemaRefs/>
</ds:datastoreItem>
</file>

<file path=customXml/itemProps3.xml><?xml version="1.0" encoding="utf-8"?>
<ds:datastoreItem xmlns:ds="http://schemas.openxmlformats.org/officeDocument/2006/customXml" ds:itemID="{ABBE20D7-845D-42D0-B8E1-9C430DE34D04}">
  <ds:schemaRefs/>
</ds:datastoreItem>
</file>

<file path=customXml/itemProps4.xml><?xml version="1.0" encoding="utf-8"?>
<ds:datastoreItem xmlns:ds="http://schemas.openxmlformats.org/officeDocument/2006/customXml" ds:itemID="{E10A8AB9-A6F7-4B7F-8A8D-BA6666B37D01}">
  <ds:schemaRefs/>
</ds:datastoreItem>
</file>

<file path=customXml/itemProps5.xml><?xml version="1.0" encoding="utf-8"?>
<ds:datastoreItem xmlns:ds="http://schemas.openxmlformats.org/officeDocument/2006/customXml" ds:itemID="{24C57267-9B4C-4CA2-B935-A4226E330A36}">
  <ds:schemaRefs/>
</ds:datastoreItem>
</file>

<file path=customXml/itemProps6.xml><?xml version="1.0" encoding="utf-8"?>
<ds:datastoreItem xmlns:ds="http://schemas.openxmlformats.org/officeDocument/2006/customXml" ds:itemID="{0F0A0474-33C6-4550-AA95-C0FDCCDD91D9}">
  <ds:schemaRefs/>
</ds:datastoreItem>
</file>

<file path=customXml/itemProps7.xml><?xml version="1.0" encoding="utf-8"?>
<ds:datastoreItem xmlns:ds="http://schemas.openxmlformats.org/officeDocument/2006/customXml" ds:itemID="{606AEC4E-DBBF-40F4-A35A-507B5DA7CAAA}">
  <ds:schemaRefs/>
</ds:datastoreItem>
</file>

<file path=customXml/itemProps8.xml><?xml version="1.0" encoding="utf-8"?>
<ds:datastoreItem xmlns:ds="http://schemas.openxmlformats.org/officeDocument/2006/customXml" ds:itemID="{74502907-0459-4830-ADE9-EDE6A8170773}">
  <ds:schemaRefs/>
</ds:datastoreItem>
</file>

<file path=customXml/itemProps9.xml><?xml version="1.0" encoding="utf-8"?>
<ds:datastoreItem xmlns:ds="http://schemas.openxmlformats.org/officeDocument/2006/customXml" ds:itemID="{3A868872-7B0D-470E-848A-C574A61B70BC}">
  <ds:schemaRefs/>
</ds:datastoreItem>
</file>

<file path=customXml/itemProps10.xml><?xml version="1.0" encoding="utf-8"?>
<ds:datastoreItem xmlns:ds="http://schemas.openxmlformats.org/officeDocument/2006/customXml" ds:itemID="{DB102B83-6D44-4485-A826-F2691635C887}">
  <ds:schemaRefs/>
</ds:datastoreItem>
</file>

<file path=customXml/itemProps11.xml><?xml version="1.0" encoding="utf-8"?>
<ds:datastoreItem xmlns:ds="http://schemas.openxmlformats.org/officeDocument/2006/customXml" ds:itemID="{4C5A8CD6-7F73-4443-AEDE-4D1E8143FE6E}">
  <ds:schemaRefs/>
</ds:datastoreItem>
</file>

<file path=customXml/itemProps12.xml><?xml version="1.0" encoding="utf-8"?>
<ds:datastoreItem xmlns:ds="http://schemas.openxmlformats.org/officeDocument/2006/customXml" ds:itemID="{6DC9A3B3-2F18-487A-A057-061769EDF46E}">
  <ds:schemaRefs/>
</ds:datastoreItem>
</file>

<file path=customXml/itemProps13.xml><?xml version="1.0" encoding="utf-8"?>
<ds:datastoreItem xmlns:ds="http://schemas.openxmlformats.org/officeDocument/2006/customXml" ds:itemID="{1A6C7F0C-8C59-47A2-B315-DC3D4BE11270}">
  <ds:schemaRefs/>
</ds:datastoreItem>
</file>

<file path=customXml/itemProps14.xml><?xml version="1.0" encoding="utf-8"?>
<ds:datastoreItem xmlns:ds="http://schemas.openxmlformats.org/officeDocument/2006/customXml" ds:itemID="{E93309BF-B0AA-4472-8C60-3BB51FE3B611}">
  <ds:schemaRefs/>
</ds:datastoreItem>
</file>

<file path=customXml/itemProps15.xml><?xml version="1.0" encoding="utf-8"?>
<ds:datastoreItem xmlns:ds="http://schemas.openxmlformats.org/officeDocument/2006/customXml" ds:itemID="{589EC661-426B-493F-9DB5-596D54BB7AED}">
  <ds:schemaRefs/>
</ds:datastoreItem>
</file>

<file path=customXml/itemProps16.xml><?xml version="1.0" encoding="utf-8"?>
<ds:datastoreItem xmlns:ds="http://schemas.openxmlformats.org/officeDocument/2006/customXml" ds:itemID="{D79BF4EE-9E98-4B99-94FB-3D6AFF8D3BAE}">
  <ds:schemaRefs/>
</ds:datastoreItem>
</file>

<file path=customXml/itemProps17.xml><?xml version="1.0" encoding="utf-8"?>
<ds:datastoreItem xmlns:ds="http://schemas.openxmlformats.org/officeDocument/2006/customXml" ds:itemID="{15690195-0A10-4D58-BAA2-45D59803D81C}">
  <ds:schemaRefs/>
</ds:datastoreItem>
</file>

<file path=customXml/itemProps18.xml><?xml version="1.0" encoding="utf-8"?>
<ds:datastoreItem xmlns:ds="http://schemas.openxmlformats.org/officeDocument/2006/customXml" ds:itemID="{D3117DC7-CEB0-48EC-BD2A-37E5E3A26F40}">
  <ds:schemaRefs/>
</ds:datastoreItem>
</file>

<file path=customXml/itemProps19.xml><?xml version="1.0" encoding="utf-8"?>
<ds:datastoreItem xmlns:ds="http://schemas.openxmlformats.org/officeDocument/2006/customXml" ds:itemID="{BC63B9D7-AE6B-4575-86AB-DBA600A72877}">
  <ds:schemaRefs/>
</ds:datastoreItem>
</file>

<file path=customXml/itemProps20.xml><?xml version="1.0" encoding="utf-8"?>
<ds:datastoreItem xmlns:ds="http://schemas.openxmlformats.org/officeDocument/2006/customXml" ds:itemID="{4EBB09A7-67E1-42A7-8267-D1CFE5113DED}">
  <ds:schemaRefs/>
</ds:datastoreItem>
</file>

<file path=customXml/itemProps21.xml><?xml version="1.0" encoding="utf-8"?>
<ds:datastoreItem xmlns:ds="http://schemas.openxmlformats.org/officeDocument/2006/customXml" ds:itemID="{5EF4825A-48C8-4847-8E18-80DEEE96077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consulta</vt:lpstr>
      <vt:lpstr>empleados</vt:lpstr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Uñate</dc:creator>
  <cp:lastModifiedBy>Alejandro Uñate</cp:lastModifiedBy>
  <dcterms:created xsi:type="dcterms:W3CDTF">2022-04-01T23:31:44Z</dcterms:created>
  <dcterms:modified xsi:type="dcterms:W3CDTF">2022-09-30T02:06:46Z</dcterms:modified>
</cp:coreProperties>
</file>