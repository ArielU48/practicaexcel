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iel\Downloads\"/>
    </mc:Choice>
  </mc:AlternateContent>
  <xr:revisionPtr revIDLastSave="0" documentId="13_ncr:1_{2EFF6B28-E7E0-4DBE-B177-31E97676C3D9}" xr6:coauthVersionLast="45" xr6:coauthVersionMax="45" xr10:uidLastSave="{00000000-0000-0000-0000-000000000000}"/>
  <bookViews>
    <workbookView xWindow="-120" yWindow="-120" windowWidth="20730" windowHeight="11760" xr2:uid="{89F1776E-E9A3-4656-9D09-92617C749D58}"/>
  </bookViews>
  <sheets>
    <sheet name="datos de entradas" sheetId="1" r:id="rId1"/>
    <sheet name="Hoja1" sheetId="2" r:id="rId2"/>
    <sheet name="Hoja5" sheetId="6" r:id="rId3"/>
    <sheet name="Hoja2" sheetId="3" r:id="rId4"/>
    <sheet name="Hoja3" sheetId="4" r:id="rId5"/>
    <sheet name="Hoja4" sheetId="5" r:id="rId6"/>
    <sheet name="Hoja6" sheetId="7" r:id="rId7"/>
  </sheets>
  <definedNames>
    <definedName name="_xlnm.Print_Area" localSheetId="0">'datos de entradas'!$B$1:$F$156</definedName>
    <definedName name="Dias">'datos de entradas'!$D$2:$D$8</definedName>
    <definedName name="empleados">'datos de entradas'!$B$2:$B$10</definedName>
    <definedName name="EMPLEIMP">'datos de entradas'!$B$1:$F$156</definedName>
    <definedName name="horarios">'datos de entradas'!$E$2:$E$4</definedName>
    <definedName name="Seccion">'datos de entradas'!$C$2:$C$10</definedName>
    <definedName name="Sueldos">'datos de entradas'!$F$2:$F$6</definedName>
    <definedName name="_xlnm.Print_Titles" localSheetId="0">'datos de entradas'!$1:$1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57" i="1" l="1"/>
  <c r="B139" i="1"/>
  <c r="B121" i="1"/>
  <c r="B103" i="1"/>
  <c r="B86" i="1"/>
  <c r="B69" i="1"/>
  <c r="B52" i="1"/>
  <c r="B35" i="1"/>
  <c r="B18" i="1"/>
  <c r="F158" i="1"/>
  <c r="F140" i="1"/>
  <c r="F122" i="1"/>
  <c r="F104" i="1"/>
  <c r="F87" i="1"/>
  <c r="F70" i="1"/>
  <c r="F53" i="1"/>
  <c r="F36" i="1"/>
  <c r="F19" i="1"/>
  <c r="F160" i="1" s="1"/>
  <c r="B159" i="1" l="1"/>
  <c r="J7" i="6"/>
  <c r="J8" i="6"/>
  <c r="J9" i="6"/>
  <c r="J5" i="6"/>
  <c r="J6" i="6"/>
  <c r="J4" i="6"/>
  <c r="J3" i="6"/>
  <c r="J2" i="6"/>
  <c r="I3" i="6"/>
  <c r="I4" i="6"/>
  <c r="I5" i="6"/>
  <c r="I6" i="6"/>
  <c r="I7" i="6"/>
  <c r="I8" i="6"/>
  <c r="I9" i="6"/>
  <c r="I2" i="6"/>
  <c r="H3" i="6"/>
  <c r="H4" i="6"/>
  <c r="H5" i="6"/>
  <c r="H6" i="6"/>
  <c r="H7" i="6"/>
  <c r="H8" i="6"/>
  <c r="H9" i="6"/>
  <c r="H2" i="6"/>
  <c r="G9" i="6"/>
  <c r="G8" i="6"/>
  <c r="G2" i="6"/>
  <c r="G3" i="6"/>
  <c r="G4" i="6"/>
  <c r="G5" i="6"/>
  <c r="G6" i="6"/>
  <c r="G7" i="6"/>
  <c r="L4" i="6"/>
  <c r="M4" i="6" s="1"/>
  <c r="L5" i="6"/>
  <c r="M5" i="6" s="1"/>
  <c r="L6" i="6"/>
  <c r="M6" i="6" s="1"/>
  <c r="L7" i="6"/>
  <c r="M7" i="6" s="1"/>
  <c r="L8" i="6"/>
  <c r="M8" i="6" s="1"/>
  <c r="L9" i="6"/>
  <c r="M9" i="6" s="1"/>
  <c r="L2" i="6"/>
  <c r="M2" i="6"/>
  <c r="M3" i="6"/>
  <c r="L3" i="6"/>
  <c r="E5" i="6"/>
  <c r="E6" i="6"/>
  <c r="E7" i="6"/>
  <c r="E8" i="6"/>
  <c r="E9" i="6"/>
  <c r="E4" i="6"/>
  <c r="E3" i="6"/>
  <c r="E2" i="6"/>
  <c r="A13" i="2"/>
  <c r="H13" i="2"/>
  <c r="H12" i="2"/>
  <c r="H11" i="2"/>
  <c r="H10" i="2"/>
  <c r="C20" i="5"/>
  <c r="D20" i="5"/>
  <c r="E20" i="5"/>
  <c r="F20" i="5"/>
  <c r="B20" i="5"/>
  <c r="C19" i="5"/>
  <c r="D19" i="5"/>
  <c r="E19" i="5"/>
  <c r="F19" i="5"/>
  <c r="B19" i="5"/>
  <c r="C18" i="5"/>
  <c r="D18" i="5"/>
  <c r="E18" i="5"/>
  <c r="F18" i="5"/>
  <c r="B18" i="5"/>
  <c r="C17" i="5"/>
  <c r="D17" i="5"/>
  <c r="E17" i="5"/>
  <c r="F17" i="5"/>
  <c r="B17" i="5"/>
  <c r="F16" i="5"/>
  <c r="B16" i="5"/>
  <c r="E13" i="5"/>
  <c r="E14" i="5" s="1"/>
  <c r="D13" i="5"/>
  <c r="D14" i="5" s="1"/>
  <c r="C13" i="5"/>
  <c r="B13" i="5"/>
  <c r="B15" i="5" s="1"/>
  <c r="C16" i="5" l="1"/>
  <c r="D15" i="5"/>
  <c r="F13" i="5"/>
  <c r="C15" i="5" s="1"/>
  <c r="B14" i="5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2" i="4"/>
  <c r="D4" i="4"/>
  <c r="J5" i="4"/>
  <c r="J3" i="4"/>
  <c r="J4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2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M2" i="4"/>
  <c r="L2" i="4"/>
  <c r="H40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G2" i="4"/>
  <c r="H2" i="4" s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H6" i="2"/>
  <c r="H5" i="2"/>
  <c r="H4" i="2"/>
  <c r="H3" i="2"/>
  <c r="D16" i="5" l="1"/>
  <c r="E15" i="5"/>
  <c r="F15" i="5"/>
  <c r="E16" i="5"/>
  <c r="C14" i="5"/>
  <c r="F14" i="5"/>
  <c r="G40" i="4"/>
</calcChain>
</file>

<file path=xl/sharedStrings.xml><?xml version="1.0" encoding="utf-8"?>
<sst xmlns="http://schemas.openxmlformats.org/spreadsheetml/2006/main" count="790" uniqueCount="245">
  <si>
    <t>Sección</t>
  </si>
  <si>
    <t>Limpieza</t>
  </si>
  <si>
    <t>Mantenimiento</t>
  </si>
  <si>
    <t>Informática</t>
  </si>
  <si>
    <t>Ventas</t>
  </si>
  <si>
    <t>Cobranza</t>
  </si>
  <si>
    <t>Contabilidad</t>
  </si>
  <si>
    <t>Seguridad</t>
  </si>
  <si>
    <t>empleado</t>
  </si>
  <si>
    <t>Uñate, Alejandro Ariel</t>
  </si>
  <si>
    <t>Cabral, Antonio Raúl</t>
  </si>
  <si>
    <t>Sosa, Juan Antonio</t>
  </si>
  <si>
    <t>Solis, Saúl Carlos</t>
  </si>
  <si>
    <t>Romano, Ariel Juan</t>
  </si>
  <si>
    <t>Pintos, Aron Luis</t>
  </si>
  <si>
    <t>Cruz, Sonia Luisa</t>
  </si>
  <si>
    <t>Navarro, Sofia Kiara</t>
  </si>
  <si>
    <t>Gimenez, Sonia Ana</t>
  </si>
  <si>
    <t>Horarios</t>
  </si>
  <si>
    <t>08:00 - 14:00</t>
  </si>
  <si>
    <t>16:00 - 22:00</t>
  </si>
  <si>
    <t>Gerente</t>
  </si>
  <si>
    <t>Secretaria</t>
  </si>
  <si>
    <t>08:00 - 22:00</t>
  </si>
  <si>
    <t>Días</t>
  </si>
  <si>
    <t>Lunes</t>
  </si>
  <si>
    <t>Martes</t>
  </si>
  <si>
    <t>Miércoles</t>
  </si>
  <si>
    <t>Jueves</t>
  </si>
  <si>
    <t>Viernes</t>
  </si>
  <si>
    <t>Sábado</t>
  </si>
  <si>
    <t>Domingo</t>
  </si>
  <si>
    <t>Sueldos</t>
  </si>
  <si>
    <t>08:00 - 14:01</t>
  </si>
  <si>
    <t>16:00 - 22:01</t>
  </si>
  <si>
    <t>08:00 - 22:01</t>
  </si>
  <si>
    <t>08:00 - 14:02</t>
  </si>
  <si>
    <t>16:00 - 22:02</t>
  </si>
  <si>
    <t>08:00 - 22:02</t>
  </si>
  <si>
    <t>08:00 - 14:03</t>
  </si>
  <si>
    <t>16:00 - 22:03</t>
  </si>
  <si>
    <t>08:00 - 22:03</t>
  </si>
  <si>
    <t>08:00 - 14:04</t>
  </si>
  <si>
    <t>16:00 - 22:04</t>
  </si>
  <si>
    <t>08:00 - 22:04</t>
  </si>
  <si>
    <t>08:00 - 14:05</t>
  </si>
  <si>
    <t>16:00 - 22:05</t>
  </si>
  <si>
    <t>08:00 - 22:05</t>
  </si>
  <si>
    <t>08:00 - 14:06</t>
  </si>
  <si>
    <t>16:00 - 22:06</t>
  </si>
  <si>
    <t>08:00 - 22:06</t>
  </si>
  <si>
    <t>08:00 - 14:07</t>
  </si>
  <si>
    <t>16:00 - 22:07</t>
  </si>
  <si>
    <t>08:00 - 22:07</t>
  </si>
  <si>
    <t>08:00 - 14:08</t>
  </si>
  <si>
    <t>16:00 - 22:08</t>
  </si>
  <si>
    <t>08:00 - 22:08</t>
  </si>
  <si>
    <t>08:00 - 14:09</t>
  </si>
  <si>
    <t>16:00 - 22:09</t>
  </si>
  <si>
    <t>08:00 - 22:09</t>
  </si>
  <si>
    <t>08:00 - 14:10</t>
  </si>
  <si>
    <t>16:00 - 22:10</t>
  </si>
  <si>
    <t>08:00 - 22:10</t>
  </si>
  <si>
    <t>08:00 - 14:11</t>
  </si>
  <si>
    <t>16:00 - 22:11</t>
  </si>
  <si>
    <t>08:00 - 22:11</t>
  </si>
  <si>
    <t>08:00 - 14:12</t>
  </si>
  <si>
    <t>16:00 - 22:12</t>
  </si>
  <si>
    <t>08:00 - 22:12</t>
  </si>
  <si>
    <t>08:00 - 14:13</t>
  </si>
  <si>
    <t>16:00 - 22:13</t>
  </si>
  <si>
    <t>08:00 - 22:13</t>
  </si>
  <si>
    <t>08:00 - 14:14</t>
  </si>
  <si>
    <t>16:00 - 22:14</t>
  </si>
  <si>
    <t>08:00 - 22:14</t>
  </si>
  <si>
    <t>08:00 - 14:15</t>
  </si>
  <si>
    <t>16:00 - 22:15</t>
  </si>
  <si>
    <t>08:00 - 22:15</t>
  </si>
  <si>
    <t>08:00 - 14:16</t>
  </si>
  <si>
    <t>16:00 - 22:16</t>
  </si>
  <si>
    <t>08:00 - 22:16</t>
  </si>
  <si>
    <t>Relacion de Gastos</t>
  </si>
  <si>
    <t>Enero</t>
  </si>
  <si>
    <t>Febrero</t>
  </si>
  <si>
    <t>Marzo</t>
  </si>
  <si>
    <t>Abril</t>
  </si>
  <si>
    <t>Mayo</t>
  </si>
  <si>
    <t>Junio</t>
  </si>
  <si>
    <t>Total</t>
  </si>
  <si>
    <t>Agua</t>
  </si>
  <si>
    <t>Luz</t>
  </si>
  <si>
    <t>Telefono</t>
  </si>
  <si>
    <t>Renta</t>
  </si>
  <si>
    <t>Tijuana</t>
  </si>
  <si>
    <t>1.37</t>
  </si>
  <si>
    <t>Juarez</t>
  </si>
  <si>
    <t>Chihuahua</t>
  </si>
  <si>
    <t>1.27</t>
  </si>
  <si>
    <t>Municipio o Delegacion</t>
  </si>
  <si>
    <t>Porcentaje</t>
  </si>
  <si>
    <t xml:space="preserve">Habitantes </t>
  </si>
  <si>
    <t xml:space="preserve">Entidad 
Federativa </t>
  </si>
  <si>
    <t>Baja California</t>
  </si>
  <si>
    <t>Izcatepec</t>
  </si>
  <si>
    <t>DF</t>
  </si>
  <si>
    <t>1.76</t>
  </si>
  <si>
    <t>Gustavo A Madero</t>
  </si>
  <si>
    <t>1.16</t>
  </si>
  <si>
    <t>Ecatepec de Morelos</t>
  </si>
  <si>
    <t>Edo Mex</t>
  </si>
  <si>
    <t>1.63</t>
  </si>
  <si>
    <t>Nezahualcoyotl</t>
  </si>
  <si>
    <t>1.1</t>
  </si>
  <si>
    <t>Leon</t>
  </si>
  <si>
    <t>Guanajuato</t>
  </si>
  <si>
    <t>1.24</t>
  </si>
  <si>
    <t>Guadalajara</t>
  </si>
  <si>
    <t>Jalisco</t>
  </si>
  <si>
    <t>1.66</t>
  </si>
  <si>
    <t>Zapopan</t>
  </si>
  <si>
    <t>1.12</t>
  </si>
  <si>
    <t>Puebla</t>
  </si>
  <si>
    <t>1.44</t>
  </si>
  <si>
    <t>Plantel</t>
  </si>
  <si>
    <t>Matricula</t>
  </si>
  <si>
    <t>Alumno</t>
  </si>
  <si>
    <t>CNCI Ajusto</t>
  </si>
  <si>
    <t>SOFIA LIZETH RENDON RENDON</t>
  </si>
  <si>
    <t>FERNANDO ULISES BARRON GONZALEZ</t>
  </si>
  <si>
    <t>CNCI Aragon</t>
  </si>
  <si>
    <t>MARIAN ANABEL RODRIGUEZ GOMEZ</t>
  </si>
  <si>
    <t>FERNANDO RICO MONTOYA</t>
  </si>
  <si>
    <t>JAVIER RAMIREZ NAJERA</t>
  </si>
  <si>
    <t>ARGENIS GONZALEZ HERNANDEZ</t>
  </si>
  <si>
    <t>RICARDO IVAN MATA GRANADOS</t>
  </si>
  <si>
    <t>CNCI Atlaticlo</t>
  </si>
  <si>
    <t>JUAN CARLOS VELAZQUEZ ROMERO</t>
  </si>
  <si>
    <t>JESUS FRANCO CASTAÑEDA</t>
  </si>
  <si>
    <t>CNCI Atzcaoitzalco</t>
  </si>
  <si>
    <t>FRANCISCO ALFONSO GRUZ GARCIA</t>
  </si>
  <si>
    <t>KARLA IRENE BERLIN RODRIGUEZ</t>
  </si>
  <si>
    <t>ANDREA GONZALEZ CONTRERAS</t>
  </si>
  <si>
    <t>REYNALDO LOPEZ HERNANDEZ</t>
  </si>
  <si>
    <t>CNCI Cuicuilco</t>
  </si>
  <si>
    <t>MAXIMILIANO VILLEGAS BATALLA</t>
  </si>
  <si>
    <t>MATILDE APARICIO CALVILLO</t>
  </si>
  <si>
    <t>ALEJANDRO GONZALEZ PEREZ</t>
  </si>
  <si>
    <t>ALDO ROSAS RANGEL</t>
  </si>
  <si>
    <t>JOSE FRANCISCO PALACIO ACEVEDO</t>
  </si>
  <si>
    <t>RENE OROPEZA SOTELO</t>
  </si>
  <si>
    <t>HUGO ALBERTO CABALLERO ORTEGA</t>
  </si>
  <si>
    <t>ODON JORGE ALEJANDRO DIAZ</t>
  </si>
  <si>
    <t>DAVID MORENTIEL JOSE</t>
  </si>
  <si>
    <t>NANCY MAR ALVAREZ</t>
  </si>
  <si>
    <t>ANGEL URIEL RIVERA NUÑEZ</t>
  </si>
  <si>
    <t>CLAUDIA MICHELLE LIRACHUNUÑEZ</t>
  </si>
  <si>
    <t>MIGUEL ALVARO MARTINEZ ARROYO</t>
  </si>
  <si>
    <t>DIEGO ALONSO AGUILA CASTAÑON</t>
  </si>
  <si>
    <t>JOSE LUIS CUELLAS NIÑO</t>
  </si>
  <si>
    <t>JESUS EDUARDO PALACIOS JUAREZ</t>
  </si>
  <si>
    <t>ADRIAN ARANDA DEITA</t>
  </si>
  <si>
    <t>ENRIQUE JESUS LEON MEDINA</t>
  </si>
  <si>
    <t>JAIME HECTOR TOVAR VIVAR</t>
  </si>
  <si>
    <t>GAMALIEL GUSTAVO GARCIA FLORES</t>
  </si>
  <si>
    <t>VIRIDIANA CASTILLO CHAVEZ</t>
  </si>
  <si>
    <t>LILIANA RAMON DAMIAN</t>
  </si>
  <si>
    <t>JOS HIRVING POMPA RODRIGUEZ</t>
  </si>
  <si>
    <t>ALEXANDRA OVALLE RODRIGUEZ</t>
  </si>
  <si>
    <t>SERGIO OMAR ESPINOZA GOMEZ</t>
  </si>
  <si>
    <t>Nombre</t>
  </si>
  <si>
    <t>Edad</t>
  </si>
  <si>
    <t>Sexo</t>
  </si>
  <si>
    <t>Grado</t>
  </si>
  <si>
    <t>Tipo de
 Evaluacion</t>
  </si>
  <si>
    <t>m</t>
  </si>
  <si>
    <t>ordinario</t>
  </si>
  <si>
    <t>f</t>
  </si>
  <si>
    <t>extraordinario</t>
  </si>
  <si>
    <t>Jonatan Vazquez</t>
  </si>
  <si>
    <t>Abraham Gaytan</t>
  </si>
  <si>
    <t>Paola Linderos</t>
  </si>
  <si>
    <t>Alejandra Bautista</t>
  </si>
  <si>
    <t>Adolfo Ferruzca</t>
  </si>
  <si>
    <t>Rolando Campos</t>
  </si>
  <si>
    <t>Daniela Peña</t>
  </si>
  <si>
    <t>BDCONTAR</t>
  </si>
  <si>
    <t>BDCONTARA</t>
  </si>
  <si>
    <t>BDMAX</t>
  </si>
  <si>
    <t>BDMIN</t>
  </si>
  <si>
    <t>BDSUMA</t>
  </si>
  <si>
    <t>BDPROMEDIO</t>
  </si>
  <si>
    <t>BDPRODUCTO</t>
  </si>
  <si>
    <t>Calificacion</t>
  </si>
  <si>
    <t>Clave</t>
  </si>
  <si>
    <t>Autor</t>
  </si>
  <si>
    <t>Titulo</t>
  </si>
  <si>
    <t>Precio</t>
  </si>
  <si>
    <t>Alejandro Dumas</t>
  </si>
  <si>
    <t>Los tres mosqueteros</t>
  </si>
  <si>
    <t>350.00</t>
  </si>
  <si>
    <t>Arthur Conan Doyle</t>
  </si>
  <si>
    <t>Las aventuras de Sherlock Holmes</t>
  </si>
  <si>
    <t>345.00</t>
  </si>
  <si>
    <t>Benito Perez Galdos</t>
  </si>
  <si>
    <t>Marianela</t>
  </si>
  <si>
    <t>234.00</t>
  </si>
  <si>
    <t>Charles Dickens</t>
  </si>
  <si>
    <t>Cuento de Navidad</t>
  </si>
  <si>
    <t>Historia de dos ciudades</t>
  </si>
  <si>
    <t>Oliver Twist</t>
  </si>
  <si>
    <t>432.00</t>
  </si>
  <si>
    <t>34.00</t>
  </si>
  <si>
    <t>123.00</t>
  </si>
  <si>
    <t>Edgar Allan Poe</t>
  </si>
  <si>
    <t>El gato negro</t>
  </si>
  <si>
    <t>Los crimenes de la Rue Morge</t>
  </si>
  <si>
    <t>Presupuesto para viajar</t>
  </si>
  <si>
    <t>Dias</t>
  </si>
  <si>
    <t>Traslado</t>
  </si>
  <si>
    <t>Hospedaje</t>
  </si>
  <si>
    <t>Alimentos</t>
  </si>
  <si>
    <t>Eventos</t>
  </si>
  <si>
    <t>Suovenirs</t>
  </si>
  <si>
    <t xml:space="preserve">Rivera Maya </t>
  </si>
  <si>
    <t>3 dias 2
 noches</t>
  </si>
  <si>
    <t>Total Uñate, Alejandro Ariel</t>
  </si>
  <si>
    <t>Total Cabral, Antonio Raúl</t>
  </si>
  <si>
    <t>Total Sosa, Juan Antonio</t>
  </si>
  <si>
    <t>Total Solis, Saúl Carlos</t>
  </si>
  <si>
    <t>Total Romano, Ariel Juan</t>
  </si>
  <si>
    <t>Total Pintos, Aron Luis</t>
  </si>
  <si>
    <t>Total Cruz, Sonia Luisa</t>
  </si>
  <si>
    <t>Total Navarro, Sofia Kiara</t>
  </si>
  <si>
    <t>Total Gimenez, Sonia Ana</t>
  </si>
  <si>
    <t>Total general</t>
  </si>
  <si>
    <t>Cuenta Cabral, Antonio Raúl</t>
  </si>
  <si>
    <t>Cuenta Cruz, Sonia Luisa</t>
  </si>
  <si>
    <t>Cuenta Gimenez, Sonia Ana</t>
  </si>
  <si>
    <t>Cuenta Navarro, Sofia Kiara</t>
  </si>
  <si>
    <t>Cuenta Pintos, Aron Luis</t>
  </si>
  <si>
    <t>Cuenta Romano, Ariel Juan</t>
  </si>
  <si>
    <t>Cuenta Solis, Saúl Carlos</t>
  </si>
  <si>
    <t>Cuenta Sosa, Juan Antonio</t>
  </si>
  <si>
    <t>Cuenta Uñate, Alejandro Ariel</t>
  </si>
  <si>
    <t>Cuenta general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</si>
</sst>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Blue]&quot;$&quot;#,##0.00_);[Red]\-&quot;$&quot;#,##0.00;&quot;$&quot;0.00;&quot;PESOS : &quot;@"/>
    <numFmt numFmtId="165" formatCode="[Blue]&quot;$&quot;###,000_);[Red]&quot;$&quot;#,##0.00;0.00;&quot;Patacom: &quot;@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  <bgColor theme="9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</cellStyleXfs>
  <cellXfs count="37">
    <xf numFmtId="0" fontId="0" fillId="0" borderId="0" xfId="0"/>
    <xf numFmtId="0" fontId="3" fillId="0" borderId="1" xfId="0" applyFont="1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1" xfId="0" applyBorder="1"/>
    <xf numFmtId="0" fontId="0" fillId="0" borderId="0" xfId="0" applyBorder="1"/>
    <xf numFmtId="0" fontId="2" fillId="0" borderId="1" xfId="1" applyBorder="1"/>
    <xf numFmtId="0" fontId="2" fillId="0" borderId="1" xfId="2" applyBorder="1"/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164" fontId="0" fillId="0" borderId="0" xfId="0" applyNumberFormat="1"/>
    <xf numFmtId="0" fontId="4" fillId="2" borderId="1" xfId="3" applyBorder="1" applyAlignment="1">
      <alignment horizontal="center" vertical="center"/>
    </xf>
    <xf numFmtId="0" fontId="4" fillId="2" borderId="1" xfId="3" applyBorder="1" applyAlignment="1">
      <alignment horizontal="center" vertical="center" wrapText="1"/>
    </xf>
    <xf numFmtId="0" fontId="4" fillId="3" borderId="1" xfId="4" applyBorder="1" applyAlignment="1">
      <alignment horizontal="center" vertical="center"/>
    </xf>
    <xf numFmtId="0" fontId="4" fillId="3" borderId="1" xfId="4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165" fontId="0" fillId="0" borderId="0" xfId="0" applyNumberFormat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wrapText="1"/>
    </xf>
    <xf numFmtId="0" fontId="5" fillId="4" borderId="5" xfId="0" applyFont="1" applyFill="1" applyBorder="1"/>
    <xf numFmtId="0" fontId="5" fillId="4" borderId="6" xfId="0" applyFont="1" applyFill="1" applyBorder="1"/>
    <xf numFmtId="0" fontId="5" fillId="4" borderId="7" xfId="0" applyFont="1" applyFill="1" applyBorder="1"/>
    <xf numFmtId="0" fontId="0" fillId="0" borderId="5" xfId="0" applyFont="1" applyBorder="1"/>
    <xf numFmtId="0" fontId="0" fillId="0" borderId="6" xfId="0" applyFont="1" applyBorder="1"/>
    <xf numFmtId="0" fontId="0" fillId="0" borderId="8" xfId="0" applyFont="1" applyBorder="1"/>
    <xf numFmtId="0" fontId="0" fillId="0" borderId="9" xfId="0" applyFont="1" applyBorder="1"/>
    <xf numFmtId="1" fontId="0" fillId="0" borderId="7" xfId="0" applyNumberFormat="1" applyFont="1" applyBorder="1"/>
    <xf numFmtId="1" fontId="0" fillId="0" borderId="10" xfId="0" applyNumberFormat="1" applyFont="1" applyBorder="1"/>
    <xf numFmtId="0" fontId="2" fillId="0" borderId="5" xfId="0" applyFont="1" applyBorder="1"/>
    <xf numFmtId="0" fontId="0" fillId="0" borderId="0" xfId="0" applyFont="1" applyBorder="1"/>
    <xf numFmtId="1" fontId="0" fillId="0" borderId="0" xfId="0" applyNumberFormat="1" applyFont="1" applyBorder="1"/>
    <xf numFmtId="0" fontId="2" fillId="0" borderId="0" xfId="0" applyFont="1" applyBorder="1"/>
    <xf numFmtId="0" fontId="2" fillId="0" borderId="0" xfId="0" applyFont="1"/>
  </cellXfs>
  <cellStyles count="5">
    <cellStyle name="60% - Énfasis4" xfId="3" builtinId="44"/>
    <cellStyle name="60% - Énfasis5" xfId="4" builtinId="48"/>
    <cellStyle name="NivelCol_1" xfId="2" builtinId="2" iLevel="0"/>
    <cellStyle name="NivelFila_1" xfId="1" builtinId="1" iLevel="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126E9-D520-4CBA-B5D8-D7732D2A8FF7}">
  <sheetPr codeName="Hoja1"/>
  <dimension ref="A1:F160"/>
  <sheetViews>
    <sheetView tabSelected="1" topLeftCell="A18" zoomScaleNormal="100" zoomScaleSheetLayoutView="124" zoomScalePageLayoutView="66" workbookViewId="0">
      <selection activeCell="B17" sqref="B17"/>
    </sheetView>
  </sheetViews>
  <sheetFormatPr baseColWidth="10" defaultColWidth="20.7109375" defaultRowHeight="15" outlineLevelRow="3" x14ac:dyDescent="0.25"/>
  <cols>
    <col min="2" max="2" width="32.85546875" customWidth="1"/>
    <col min="3" max="3" width="23.140625" customWidth="1"/>
    <col min="4" max="4" width="24" customWidth="1"/>
    <col min="5" max="5" width="21.85546875" customWidth="1"/>
    <col min="6" max="6" width="22.7109375" customWidth="1"/>
  </cols>
  <sheetData>
    <row r="1" spans="2:6" x14ac:dyDescent="0.25">
      <c r="B1" s="23" t="s">
        <v>8</v>
      </c>
      <c r="C1" s="24" t="s">
        <v>0</v>
      </c>
      <c r="D1" s="24" t="s">
        <v>24</v>
      </c>
      <c r="E1" s="24" t="s">
        <v>18</v>
      </c>
      <c r="F1" s="25" t="s">
        <v>32</v>
      </c>
    </row>
    <row r="2" spans="2:6" hidden="1" outlineLevel="3" x14ac:dyDescent="0.25">
      <c r="B2" s="26" t="s">
        <v>10</v>
      </c>
      <c r="C2" s="27" t="s">
        <v>6</v>
      </c>
      <c r="D2" s="27" t="s">
        <v>26</v>
      </c>
      <c r="E2" s="27" t="s">
        <v>20</v>
      </c>
      <c r="F2" s="30">
        <v>35000</v>
      </c>
    </row>
    <row r="3" spans="2:6" hidden="1" outlineLevel="3" x14ac:dyDescent="0.25">
      <c r="B3" s="26" t="s">
        <v>10</v>
      </c>
      <c r="C3" s="27" t="s">
        <v>6</v>
      </c>
      <c r="D3" s="27" t="s">
        <v>28</v>
      </c>
      <c r="E3" s="27" t="s">
        <v>34</v>
      </c>
      <c r="F3" s="30">
        <v>183000</v>
      </c>
    </row>
    <row r="4" spans="2:6" hidden="1" outlineLevel="3" x14ac:dyDescent="0.25">
      <c r="B4" s="26" t="s">
        <v>10</v>
      </c>
      <c r="C4" s="27" t="s">
        <v>6</v>
      </c>
      <c r="D4" s="27" t="s">
        <v>30</v>
      </c>
      <c r="E4" s="27" t="s">
        <v>37</v>
      </c>
      <c r="F4" s="30">
        <v>331500</v>
      </c>
    </row>
    <row r="5" spans="2:6" hidden="1" outlineLevel="3" x14ac:dyDescent="0.25">
      <c r="B5" s="26" t="s">
        <v>10</v>
      </c>
      <c r="C5" s="27" t="s">
        <v>6</v>
      </c>
      <c r="D5" s="27" t="s">
        <v>25</v>
      </c>
      <c r="E5" s="27" t="s">
        <v>40</v>
      </c>
      <c r="F5" s="30">
        <v>480000</v>
      </c>
    </row>
    <row r="6" spans="2:6" hidden="1" outlineLevel="3" x14ac:dyDescent="0.25">
      <c r="B6" s="26" t="s">
        <v>10</v>
      </c>
      <c r="C6" s="27" t="s">
        <v>6</v>
      </c>
      <c r="D6" s="27" t="s">
        <v>27</v>
      </c>
      <c r="E6" s="27" t="s">
        <v>43</v>
      </c>
      <c r="F6" s="30">
        <v>628500</v>
      </c>
    </row>
    <row r="7" spans="2:6" hidden="1" outlineLevel="3" x14ac:dyDescent="0.25">
      <c r="B7" s="26" t="s">
        <v>10</v>
      </c>
      <c r="C7" s="27" t="s">
        <v>6</v>
      </c>
      <c r="D7" s="27" t="s">
        <v>29</v>
      </c>
      <c r="E7" s="27" t="s">
        <v>46</v>
      </c>
      <c r="F7" s="30">
        <v>777000</v>
      </c>
    </row>
    <row r="8" spans="2:6" hidden="1" outlineLevel="3" x14ac:dyDescent="0.25">
      <c r="B8" s="26" t="s">
        <v>10</v>
      </c>
      <c r="C8" s="27" t="s">
        <v>6</v>
      </c>
      <c r="D8" s="27" t="s">
        <v>31</v>
      </c>
      <c r="E8" s="27" t="s">
        <v>49</v>
      </c>
      <c r="F8" s="30">
        <v>925500</v>
      </c>
    </row>
    <row r="9" spans="2:6" hidden="1" outlineLevel="3" x14ac:dyDescent="0.25">
      <c r="B9" s="26" t="s">
        <v>10</v>
      </c>
      <c r="C9" s="27" t="s">
        <v>6</v>
      </c>
      <c r="D9" s="27" t="s">
        <v>26</v>
      </c>
      <c r="E9" s="27" t="s">
        <v>52</v>
      </c>
      <c r="F9" s="30">
        <v>1074000</v>
      </c>
    </row>
    <row r="10" spans="2:6" hidden="1" outlineLevel="3" x14ac:dyDescent="0.25">
      <c r="B10" s="26" t="s">
        <v>10</v>
      </c>
      <c r="C10" s="27" t="s">
        <v>6</v>
      </c>
      <c r="D10" s="27" t="s">
        <v>28</v>
      </c>
      <c r="E10" s="27" t="s">
        <v>55</v>
      </c>
      <c r="F10" s="30">
        <v>1222500</v>
      </c>
    </row>
    <row r="11" spans="2:6" hidden="1" outlineLevel="3" x14ac:dyDescent="0.25">
      <c r="B11" s="26" t="s">
        <v>10</v>
      </c>
      <c r="C11" s="27" t="s">
        <v>6</v>
      </c>
      <c r="D11" s="27" t="s">
        <v>30</v>
      </c>
      <c r="E11" s="27" t="s">
        <v>58</v>
      </c>
      <c r="F11" s="30">
        <v>1371000</v>
      </c>
    </row>
    <row r="12" spans="2:6" hidden="1" outlineLevel="3" x14ac:dyDescent="0.25">
      <c r="B12" s="26" t="s">
        <v>10</v>
      </c>
      <c r="C12" s="27" t="s">
        <v>6</v>
      </c>
      <c r="D12" s="27" t="s">
        <v>25</v>
      </c>
      <c r="E12" s="27" t="s">
        <v>61</v>
      </c>
      <c r="F12" s="30">
        <v>1519500</v>
      </c>
    </row>
    <row r="13" spans="2:6" hidden="1" outlineLevel="3" x14ac:dyDescent="0.25">
      <c r="B13" s="26" t="s">
        <v>10</v>
      </c>
      <c r="C13" s="27" t="s">
        <v>6</v>
      </c>
      <c r="D13" s="27" t="s">
        <v>27</v>
      </c>
      <c r="E13" s="27" t="s">
        <v>64</v>
      </c>
      <c r="F13" s="30">
        <v>1668000</v>
      </c>
    </row>
    <row r="14" spans="2:6" hidden="1" outlineLevel="3" x14ac:dyDescent="0.25">
      <c r="B14" s="26" t="s">
        <v>10</v>
      </c>
      <c r="C14" s="27" t="s">
        <v>6</v>
      </c>
      <c r="D14" s="27" t="s">
        <v>29</v>
      </c>
      <c r="E14" s="27" t="s">
        <v>67</v>
      </c>
      <c r="F14" s="30">
        <v>1816500</v>
      </c>
    </row>
    <row r="15" spans="2:6" hidden="1" outlineLevel="3" x14ac:dyDescent="0.25">
      <c r="B15" s="26" t="s">
        <v>10</v>
      </c>
      <c r="C15" s="27" t="s">
        <v>6</v>
      </c>
      <c r="D15" s="27" t="s">
        <v>31</v>
      </c>
      <c r="E15" s="27" t="s">
        <v>70</v>
      </c>
      <c r="F15" s="30">
        <v>1965000</v>
      </c>
    </row>
    <row r="16" spans="2:6" hidden="1" outlineLevel="3" x14ac:dyDescent="0.25">
      <c r="B16" s="26" t="s">
        <v>10</v>
      </c>
      <c r="C16" s="27" t="s">
        <v>6</v>
      </c>
      <c r="D16" s="27" t="s">
        <v>26</v>
      </c>
      <c r="E16" s="27" t="s">
        <v>73</v>
      </c>
      <c r="F16" s="30">
        <v>2113500</v>
      </c>
    </row>
    <row r="17" spans="1:6" hidden="1" outlineLevel="3" x14ac:dyDescent="0.25">
      <c r="B17" s="26" t="s">
        <v>10</v>
      </c>
      <c r="C17" s="27" t="s">
        <v>6</v>
      </c>
      <c r="D17" s="27" t="s">
        <v>28</v>
      </c>
      <c r="E17" s="27" t="s">
        <v>76</v>
      </c>
      <c r="F17" s="30">
        <v>2262000</v>
      </c>
    </row>
    <row r="18" spans="1:6" outlineLevel="2" collapsed="1" x14ac:dyDescent="0.25">
      <c r="A18" s="36" t="s">
        <v>235</v>
      </c>
      <c r="B18" s="26">
        <f>SUBTOTAL(3,B2:B17)</f>
        <v>16</v>
      </c>
      <c r="C18" s="27"/>
      <c r="D18" s="27"/>
      <c r="E18" s="27"/>
      <c r="F18" s="30"/>
    </row>
    <row r="19" spans="1:6" outlineLevel="1" x14ac:dyDescent="0.25">
      <c r="B19" s="32" t="s">
        <v>226</v>
      </c>
      <c r="C19" s="27"/>
      <c r="D19" s="27"/>
      <c r="E19" s="27"/>
      <c r="F19" s="30">
        <f>SUBTOTAL(9,F2:F17)</f>
        <v>18372500</v>
      </c>
    </row>
    <row r="20" spans="1:6" hidden="1" outlineLevel="3" x14ac:dyDescent="0.25">
      <c r="B20" s="26" t="s">
        <v>15</v>
      </c>
      <c r="C20" s="27" t="s">
        <v>22</v>
      </c>
      <c r="D20" s="27" t="s">
        <v>31</v>
      </c>
      <c r="E20" s="27" t="s">
        <v>36</v>
      </c>
      <c r="F20" s="30">
        <v>117000</v>
      </c>
    </row>
    <row r="21" spans="1:6" hidden="1" outlineLevel="3" x14ac:dyDescent="0.25">
      <c r="B21" s="26" t="s">
        <v>15</v>
      </c>
      <c r="C21" s="27" t="s">
        <v>22</v>
      </c>
      <c r="D21" s="27" t="s">
        <v>26</v>
      </c>
      <c r="E21" s="27" t="s">
        <v>39</v>
      </c>
      <c r="F21" s="30">
        <v>265500</v>
      </c>
    </row>
    <row r="22" spans="1:6" hidden="1" outlineLevel="3" x14ac:dyDescent="0.25">
      <c r="B22" s="26" t="s">
        <v>15</v>
      </c>
      <c r="C22" s="27" t="s">
        <v>22</v>
      </c>
      <c r="D22" s="27" t="s">
        <v>28</v>
      </c>
      <c r="E22" s="27" t="s">
        <v>42</v>
      </c>
      <c r="F22" s="30">
        <v>414000</v>
      </c>
    </row>
    <row r="23" spans="1:6" hidden="1" outlineLevel="3" x14ac:dyDescent="0.25">
      <c r="B23" s="26" t="s">
        <v>15</v>
      </c>
      <c r="C23" s="27" t="s">
        <v>22</v>
      </c>
      <c r="D23" s="27" t="s">
        <v>30</v>
      </c>
      <c r="E23" s="27" t="s">
        <v>45</v>
      </c>
      <c r="F23" s="30">
        <v>562500</v>
      </c>
    </row>
    <row r="24" spans="1:6" hidden="1" outlineLevel="3" x14ac:dyDescent="0.25">
      <c r="B24" s="26" t="s">
        <v>15</v>
      </c>
      <c r="C24" s="27" t="s">
        <v>22</v>
      </c>
      <c r="D24" s="27" t="s">
        <v>25</v>
      </c>
      <c r="E24" s="27" t="s">
        <v>48</v>
      </c>
      <c r="F24" s="30">
        <v>711000</v>
      </c>
    </row>
    <row r="25" spans="1:6" hidden="1" outlineLevel="3" x14ac:dyDescent="0.25">
      <c r="B25" s="26" t="s">
        <v>15</v>
      </c>
      <c r="C25" s="27" t="s">
        <v>22</v>
      </c>
      <c r="D25" s="27" t="s">
        <v>27</v>
      </c>
      <c r="E25" s="27" t="s">
        <v>51</v>
      </c>
      <c r="F25" s="30">
        <v>859500</v>
      </c>
    </row>
    <row r="26" spans="1:6" hidden="1" outlineLevel="3" x14ac:dyDescent="0.25">
      <c r="B26" s="26" t="s">
        <v>15</v>
      </c>
      <c r="C26" s="27" t="s">
        <v>22</v>
      </c>
      <c r="D26" s="27" t="s">
        <v>29</v>
      </c>
      <c r="E26" s="27" t="s">
        <v>54</v>
      </c>
      <c r="F26" s="30">
        <v>1008000</v>
      </c>
    </row>
    <row r="27" spans="1:6" hidden="1" outlineLevel="3" x14ac:dyDescent="0.25">
      <c r="B27" s="26" t="s">
        <v>15</v>
      </c>
      <c r="C27" s="27" t="s">
        <v>22</v>
      </c>
      <c r="D27" s="27" t="s">
        <v>31</v>
      </c>
      <c r="E27" s="27" t="s">
        <v>57</v>
      </c>
      <c r="F27" s="30">
        <v>1156500</v>
      </c>
    </row>
    <row r="28" spans="1:6" hidden="1" outlineLevel="3" x14ac:dyDescent="0.25">
      <c r="B28" s="26" t="s">
        <v>15</v>
      </c>
      <c r="C28" s="27" t="s">
        <v>22</v>
      </c>
      <c r="D28" s="27" t="s">
        <v>26</v>
      </c>
      <c r="E28" s="27" t="s">
        <v>60</v>
      </c>
      <c r="F28" s="30">
        <v>1305000</v>
      </c>
    </row>
    <row r="29" spans="1:6" hidden="1" outlineLevel="3" x14ac:dyDescent="0.25">
      <c r="B29" s="26" t="s">
        <v>15</v>
      </c>
      <c r="C29" s="27" t="s">
        <v>22</v>
      </c>
      <c r="D29" s="27" t="s">
        <v>28</v>
      </c>
      <c r="E29" s="27" t="s">
        <v>63</v>
      </c>
      <c r="F29" s="30">
        <v>1453500</v>
      </c>
    </row>
    <row r="30" spans="1:6" hidden="1" outlineLevel="3" x14ac:dyDescent="0.25">
      <c r="B30" s="26" t="s">
        <v>15</v>
      </c>
      <c r="C30" s="27" t="s">
        <v>22</v>
      </c>
      <c r="D30" s="27" t="s">
        <v>30</v>
      </c>
      <c r="E30" s="27" t="s">
        <v>66</v>
      </c>
      <c r="F30" s="30">
        <v>1602000</v>
      </c>
    </row>
    <row r="31" spans="1:6" hidden="1" outlineLevel="3" x14ac:dyDescent="0.25">
      <c r="B31" s="26" t="s">
        <v>15</v>
      </c>
      <c r="C31" s="27" t="s">
        <v>22</v>
      </c>
      <c r="D31" s="27" t="s">
        <v>25</v>
      </c>
      <c r="E31" s="27" t="s">
        <v>69</v>
      </c>
      <c r="F31" s="30">
        <v>1750500</v>
      </c>
    </row>
    <row r="32" spans="1:6" hidden="1" outlineLevel="3" x14ac:dyDescent="0.25">
      <c r="B32" s="26" t="s">
        <v>15</v>
      </c>
      <c r="C32" s="27" t="s">
        <v>22</v>
      </c>
      <c r="D32" s="27" t="s">
        <v>27</v>
      </c>
      <c r="E32" s="27" t="s">
        <v>72</v>
      </c>
      <c r="F32" s="30">
        <v>1899000</v>
      </c>
    </row>
    <row r="33" spans="1:6" hidden="1" outlineLevel="3" x14ac:dyDescent="0.25">
      <c r="B33" s="26" t="s">
        <v>15</v>
      </c>
      <c r="C33" s="27" t="s">
        <v>22</v>
      </c>
      <c r="D33" s="27" t="s">
        <v>29</v>
      </c>
      <c r="E33" s="27" t="s">
        <v>75</v>
      </c>
      <c r="F33" s="30">
        <v>2047500</v>
      </c>
    </row>
    <row r="34" spans="1:6" hidden="1" outlineLevel="3" x14ac:dyDescent="0.25">
      <c r="B34" s="26" t="s">
        <v>15</v>
      </c>
      <c r="C34" s="27" t="s">
        <v>22</v>
      </c>
      <c r="D34" s="27" t="s">
        <v>31</v>
      </c>
      <c r="E34" s="27" t="s">
        <v>78</v>
      </c>
      <c r="F34" s="30">
        <v>2196000</v>
      </c>
    </row>
    <row r="35" spans="1:6" outlineLevel="2" collapsed="1" x14ac:dyDescent="0.25">
      <c r="A35" s="36" t="s">
        <v>236</v>
      </c>
      <c r="B35" s="26">
        <f>SUBTOTAL(3,B20:B34)</f>
        <v>15</v>
      </c>
      <c r="C35" s="27"/>
      <c r="D35" s="27"/>
      <c r="E35" s="27"/>
      <c r="F35" s="30"/>
    </row>
    <row r="36" spans="1:6" outlineLevel="1" x14ac:dyDescent="0.25">
      <c r="B36" s="32" t="s">
        <v>231</v>
      </c>
      <c r="C36" s="27"/>
      <c r="D36" s="27"/>
      <c r="E36" s="27"/>
      <c r="F36" s="30">
        <f>SUBTOTAL(9,F20:F34)</f>
        <v>17347500</v>
      </c>
    </row>
    <row r="37" spans="1:6" hidden="1" outlineLevel="3" x14ac:dyDescent="0.25">
      <c r="B37" s="26" t="s">
        <v>17</v>
      </c>
      <c r="C37" s="27" t="s">
        <v>4</v>
      </c>
      <c r="D37" s="27" t="s">
        <v>26</v>
      </c>
      <c r="E37" s="27" t="s">
        <v>38</v>
      </c>
      <c r="F37" s="30">
        <v>150000</v>
      </c>
    </row>
    <row r="38" spans="1:6" hidden="1" outlineLevel="3" x14ac:dyDescent="0.25">
      <c r="B38" s="26" t="s">
        <v>17</v>
      </c>
      <c r="C38" s="27" t="s">
        <v>4</v>
      </c>
      <c r="D38" s="27" t="s">
        <v>28</v>
      </c>
      <c r="E38" s="27" t="s">
        <v>41</v>
      </c>
      <c r="F38" s="30">
        <v>298500</v>
      </c>
    </row>
    <row r="39" spans="1:6" hidden="1" outlineLevel="3" x14ac:dyDescent="0.25">
      <c r="B39" s="26" t="s">
        <v>17</v>
      </c>
      <c r="C39" s="27" t="s">
        <v>4</v>
      </c>
      <c r="D39" s="27" t="s">
        <v>30</v>
      </c>
      <c r="E39" s="27" t="s">
        <v>44</v>
      </c>
      <c r="F39" s="30">
        <v>447000</v>
      </c>
    </row>
    <row r="40" spans="1:6" hidden="1" outlineLevel="3" x14ac:dyDescent="0.25">
      <c r="B40" s="26" t="s">
        <v>17</v>
      </c>
      <c r="C40" s="27" t="s">
        <v>4</v>
      </c>
      <c r="D40" s="27" t="s">
        <v>25</v>
      </c>
      <c r="E40" s="27" t="s">
        <v>47</v>
      </c>
      <c r="F40" s="30">
        <v>595500</v>
      </c>
    </row>
    <row r="41" spans="1:6" hidden="1" outlineLevel="3" x14ac:dyDescent="0.25">
      <c r="B41" s="26" t="s">
        <v>17</v>
      </c>
      <c r="C41" s="27" t="s">
        <v>4</v>
      </c>
      <c r="D41" s="27" t="s">
        <v>27</v>
      </c>
      <c r="E41" s="27" t="s">
        <v>50</v>
      </c>
      <c r="F41" s="30">
        <v>744000</v>
      </c>
    </row>
    <row r="42" spans="1:6" hidden="1" outlineLevel="3" x14ac:dyDescent="0.25">
      <c r="B42" s="26" t="s">
        <v>17</v>
      </c>
      <c r="C42" s="27" t="s">
        <v>4</v>
      </c>
      <c r="D42" s="27" t="s">
        <v>29</v>
      </c>
      <c r="E42" s="27" t="s">
        <v>53</v>
      </c>
      <c r="F42" s="30">
        <v>892500</v>
      </c>
    </row>
    <row r="43" spans="1:6" hidden="1" outlineLevel="3" x14ac:dyDescent="0.25">
      <c r="B43" s="26" t="s">
        <v>17</v>
      </c>
      <c r="C43" s="27" t="s">
        <v>4</v>
      </c>
      <c r="D43" s="27" t="s">
        <v>31</v>
      </c>
      <c r="E43" s="27" t="s">
        <v>56</v>
      </c>
      <c r="F43" s="30">
        <v>1041000</v>
      </c>
    </row>
    <row r="44" spans="1:6" hidden="1" outlineLevel="3" x14ac:dyDescent="0.25">
      <c r="B44" s="26" t="s">
        <v>17</v>
      </c>
      <c r="C44" s="27" t="s">
        <v>4</v>
      </c>
      <c r="D44" s="27" t="s">
        <v>26</v>
      </c>
      <c r="E44" s="27" t="s">
        <v>59</v>
      </c>
      <c r="F44" s="30">
        <v>1189500</v>
      </c>
    </row>
    <row r="45" spans="1:6" hidden="1" outlineLevel="3" x14ac:dyDescent="0.25">
      <c r="B45" s="26" t="s">
        <v>17</v>
      </c>
      <c r="C45" s="27" t="s">
        <v>4</v>
      </c>
      <c r="D45" s="27" t="s">
        <v>28</v>
      </c>
      <c r="E45" s="27" t="s">
        <v>62</v>
      </c>
      <c r="F45" s="30">
        <v>1338000</v>
      </c>
    </row>
    <row r="46" spans="1:6" hidden="1" outlineLevel="3" x14ac:dyDescent="0.25">
      <c r="B46" s="26" t="s">
        <v>17</v>
      </c>
      <c r="C46" s="27" t="s">
        <v>4</v>
      </c>
      <c r="D46" s="27" t="s">
        <v>30</v>
      </c>
      <c r="E46" s="27" t="s">
        <v>65</v>
      </c>
      <c r="F46" s="30">
        <v>1486500</v>
      </c>
    </row>
    <row r="47" spans="1:6" hidden="1" outlineLevel="3" x14ac:dyDescent="0.25">
      <c r="B47" s="26" t="s">
        <v>17</v>
      </c>
      <c r="C47" s="27" t="s">
        <v>4</v>
      </c>
      <c r="D47" s="27" t="s">
        <v>25</v>
      </c>
      <c r="E47" s="27" t="s">
        <v>68</v>
      </c>
      <c r="F47" s="30">
        <v>1635000</v>
      </c>
    </row>
    <row r="48" spans="1:6" hidden="1" outlineLevel="3" x14ac:dyDescent="0.25">
      <c r="B48" s="26" t="s">
        <v>17</v>
      </c>
      <c r="C48" s="27" t="s">
        <v>4</v>
      </c>
      <c r="D48" s="27" t="s">
        <v>27</v>
      </c>
      <c r="E48" s="27" t="s">
        <v>71</v>
      </c>
      <c r="F48" s="30">
        <v>1783500</v>
      </c>
    </row>
    <row r="49" spans="1:6" hidden="1" outlineLevel="3" x14ac:dyDescent="0.25">
      <c r="B49" s="26" t="s">
        <v>17</v>
      </c>
      <c r="C49" s="27" t="s">
        <v>4</v>
      </c>
      <c r="D49" s="27" t="s">
        <v>29</v>
      </c>
      <c r="E49" s="27" t="s">
        <v>74</v>
      </c>
      <c r="F49" s="30">
        <v>1932000</v>
      </c>
    </row>
    <row r="50" spans="1:6" hidden="1" outlineLevel="3" x14ac:dyDescent="0.25">
      <c r="B50" s="26" t="s">
        <v>17</v>
      </c>
      <c r="C50" s="27" t="s">
        <v>4</v>
      </c>
      <c r="D50" s="27" t="s">
        <v>31</v>
      </c>
      <c r="E50" s="27" t="s">
        <v>77</v>
      </c>
      <c r="F50" s="30">
        <v>2080500</v>
      </c>
    </row>
    <row r="51" spans="1:6" hidden="1" outlineLevel="3" x14ac:dyDescent="0.25">
      <c r="B51" s="26" t="s">
        <v>17</v>
      </c>
      <c r="C51" s="27" t="s">
        <v>4</v>
      </c>
      <c r="D51" s="27" t="s">
        <v>26</v>
      </c>
      <c r="E51" s="27" t="s">
        <v>80</v>
      </c>
      <c r="F51" s="30">
        <v>2229000</v>
      </c>
    </row>
    <row r="52" spans="1:6" outlineLevel="2" collapsed="1" x14ac:dyDescent="0.25">
      <c r="A52" s="36" t="s">
        <v>237</v>
      </c>
      <c r="B52" s="26">
        <f>SUBTOTAL(3,B37:B51)</f>
        <v>15</v>
      </c>
      <c r="C52" s="27"/>
      <c r="D52" s="27"/>
      <c r="E52" s="27"/>
      <c r="F52" s="30"/>
    </row>
    <row r="53" spans="1:6" outlineLevel="1" x14ac:dyDescent="0.25">
      <c r="B53" s="32" t="s">
        <v>233</v>
      </c>
      <c r="C53" s="27"/>
      <c r="D53" s="27"/>
      <c r="E53" s="27"/>
      <c r="F53" s="30">
        <f>SUBTOTAL(9,F37:F51)</f>
        <v>17842500</v>
      </c>
    </row>
    <row r="54" spans="1:6" hidden="1" outlineLevel="3" x14ac:dyDescent="0.25">
      <c r="B54" s="26" t="s">
        <v>16</v>
      </c>
      <c r="C54" s="27" t="s">
        <v>7</v>
      </c>
      <c r="D54" s="27" t="s">
        <v>25</v>
      </c>
      <c r="E54" s="27" t="s">
        <v>37</v>
      </c>
      <c r="F54" s="30">
        <v>133500</v>
      </c>
    </row>
    <row r="55" spans="1:6" hidden="1" outlineLevel="3" x14ac:dyDescent="0.25">
      <c r="B55" s="26" t="s">
        <v>16</v>
      </c>
      <c r="C55" s="27" t="s">
        <v>7</v>
      </c>
      <c r="D55" s="27" t="s">
        <v>27</v>
      </c>
      <c r="E55" s="27" t="s">
        <v>40</v>
      </c>
      <c r="F55" s="30">
        <v>282000</v>
      </c>
    </row>
    <row r="56" spans="1:6" hidden="1" outlineLevel="3" x14ac:dyDescent="0.25">
      <c r="B56" s="26" t="s">
        <v>16</v>
      </c>
      <c r="C56" s="27" t="s">
        <v>7</v>
      </c>
      <c r="D56" s="27" t="s">
        <v>29</v>
      </c>
      <c r="E56" s="27" t="s">
        <v>43</v>
      </c>
      <c r="F56" s="30">
        <v>430500</v>
      </c>
    </row>
    <row r="57" spans="1:6" hidden="1" outlineLevel="3" x14ac:dyDescent="0.25">
      <c r="B57" s="26" t="s">
        <v>16</v>
      </c>
      <c r="C57" s="27" t="s">
        <v>7</v>
      </c>
      <c r="D57" s="27" t="s">
        <v>31</v>
      </c>
      <c r="E57" s="27" t="s">
        <v>46</v>
      </c>
      <c r="F57" s="30">
        <v>579000</v>
      </c>
    </row>
    <row r="58" spans="1:6" hidden="1" outlineLevel="3" x14ac:dyDescent="0.25">
      <c r="B58" s="26" t="s">
        <v>16</v>
      </c>
      <c r="C58" s="27" t="s">
        <v>7</v>
      </c>
      <c r="D58" s="27" t="s">
        <v>26</v>
      </c>
      <c r="E58" s="27" t="s">
        <v>49</v>
      </c>
      <c r="F58" s="30">
        <v>727500</v>
      </c>
    </row>
    <row r="59" spans="1:6" hidden="1" outlineLevel="3" x14ac:dyDescent="0.25">
      <c r="B59" s="26" t="s">
        <v>16</v>
      </c>
      <c r="C59" s="27" t="s">
        <v>7</v>
      </c>
      <c r="D59" s="27" t="s">
        <v>28</v>
      </c>
      <c r="E59" s="27" t="s">
        <v>52</v>
      </c>
      <c r="F59" s="30">
        <v>876000</v>
      </c>
    </row>
    <row r="60" spans="1:6" hidden="1" outlineLevel="3" x14ac:dyDescent="0.25">
      <c r="B60" s="26" t="s">
        <v>16</v>
      </c>
      <c r="C60" s="27" t="s">
        <v>7</v>
      </c>
      <c r="D60" s="27" t="s">
        <v>30</v>
      </c>
      <c r="E60" s="27" t="s">
        <v>55</v>
      </c>
      <c r="F60" s="30">
        <v>1024500</v>
      </c>
    </row>
    <row r="61" spans="1:6" hidden="1" outlineLevel="3" x14ac:dyDescent="0.25">
      <c r="B61" s="26" t="s">
        <v>16</v>
      </c>
      <c r="C61" s="27" t="s">
        <v>7</v>
      </c>
      <c r="D61" s="27" t="s">
        <v>25</v>
      </c>
      <c r="E61" s="27" t="s">
        <v>58</v>
      </c>
      <c r="F61" s="30">
        <v>1173000</v>
      </c>
    </row>
    <row r="62" spans="1:6" hidden="1" outlineLevel="3" x14ac:dyDescent="0.25">
      <c r="B62" s="26" t="s">
        <v>16</v>
      </c>
      <c r="C62" s="27" t="s">
        <v>7</v>
      </c>
      <c r="D62" s="27" t="s">
        <v>27</v>
      </c>
      <c r="E62" s="27" t="s">
        <v>61</v>
      </c>
      <c r="F62" s="30">
        <v>1321500</v>
      </c>
    </row>
    <row r="63" spans="1:6" hidden="1" outlineLevel="3" x14ac:dyDescent="0.25">
      <c r="B63" s="26" t="s">
        <v>16</v>
      </c>
      <c r="C63" s="27" t="s">
        <v>7</v>
      </c>
      <c r="D63" s="27" t="s">
        <v>29</v>
      </c>
      <c r="E63" s="27" t="s">
        <v>64</v>
      </c>
      <c r="F63" s="30">
        <v>1470000</v>
      </c>
    </row>
    <row r="64" spans="1:6" hidden="1" outlineLevel="3" x14ac:dyDescent="0.25">
      <c r="B64" s="26" t="s">
        <v>16</v>
      </c>
      <c r="C64" s="27" t="s">
        <v>7</v>
      </c>
      <c r="D64" s="27" t="s">
        <v>31</v>
      </c>
      <c r="E64" s="27" t="s">
        <v>67</v>
      </c>
      <c r="F64" s="30">
        <v>1618500</v>
      </c>
    </row>
    <row r="65" spans="1:6" hidden="1" outlineLevel="3" x14ac:dyDescent="0.25">
      <c r="B65" s="26" t="s">
        <v>16</v>
      </c>
      <c r="C65" s="27" t="s">
        <v>7</v>
      </c>
      <c r="D65" s="27" t="s">
        <v>26</v>
      </c>
      <c r="E65" s="27" t="s">
        <v>70</v>
      </c>
      <c r="F65" s="30">
        <v>1767000</v>
      </c>
    </row>
    <row r="66" spans="1:6" hidden="1" outlineLevel="3" x14ac:dyDescent="0.25">
      <c r="B66" s="26" t="s">
        <v>16</v>
      </c>
      <c r="C66" s="27" t="s">
        <v>7</v>
      </c>
      <c r="D66" s="27" t="s">
        <v>28</v>
      </c>
      <c r="E66" s="27" t="s">
        <v>73</v>
      </c>
      <c r="F66" s="30">
        <v>1915500</v>
      </c>
    </row>
    <row r="67" spans="1:6" hidden="1" outlineLevel="3" x14ac:dyDescent="0.25">
      <c r="B67" s="26" t="s">
        <v>16</v>
      </c>
      <c r="C67" s="27" t="s">
        <v>7</v>
      </c>
      <c r="D67" s="27" t="s">
        <v>30</v>
      </c>
      <c r="E67" s="27" t="s">
        <v>76</v>
      </c>
      <c r="F67" s="30">
        <v>2064000</v>
      </c>
    </row>
    <row r="68" spans="1:6" hidden="1" outlineLevel="3" x14ac:dyDescent="0.25">
      <c r="B68" s="26" t="s">
        <v>16</v>
      </c>
      <c r="C68" s="27" t="s">
        <v>7</v>
      </c>
      <c r="D68" s="27" t="s">
        <v>25</v>
      </c>
      <c r="E68" s="27" t="s">
        <v>79</v>
      </c>
      <c r="F68" s="30">
        <v>2212500</v>
      </c>
    </row>
    <row r="69" spans="1:6" outlineLevel="2" collapsed="1" x14ac:dyDescent="0.25">
      <c r="A69" s="36" t="s">
        <v>238</v>
      </c>
      <c r="B69" s="26">
        <f>SUBTOTAL(3,B54:B68)</f>
        <v>15</v>
      </c>
      <c r="C69" s="27"/>
      <c r="D69" s="27"/>
      <c r="E69" s="27"/>
      <c r="F69" s="30"/>
    </row>
    <row r="70" spans="1:6" outlineLevel="1" x14ac:dyDescent="0.25">
      <c r="B70" s="32" t="s">
        <v>232</v>
      </c>
      <c r="C70" s="27"/>
      <c r="D70" s="27"/>
      <c r="E70" s="27"/>
      <c r="F70" s="30">
        <f>SUBTOTAL(9,F54:F68)</f>
        <v>17595000</v>
      </c>
    </row>
    <row r="71" spans="1:6" hidden="1" outlineLevel="3" x14ac:dyDescent="0.25">
      <c r="B71" s="26" t="s">
        <v>14</v>
      </c>
      <c r="C71" s="27" t="s">
        <v>2</v>
      </c>
      <c r="D71" s="27" t="s">
        <v>30</v>
      </c>
      <c r="E71" s="27" t="s">
        <v>35</v>
      </c>
      <c r="F71" s="30">
        <v>100500</v>
      </c>
    </row>
    <row r="72" spans="1:6" hidden="1" outlineLevel="3" x14ac:dyDescent="0.25">
      <c r="B72" s="26" t="s">
        <v>14</v>
      </c>
      <c r="C72" s="27" t="s">
        <v>2</v>
      </c>
      <c r="D72" s="27" t="s">
        <v>25</v>
      </c>
      <c r="E72" s="27" t="s">
        <v>38</v>
      </c>
      <c r="F72" s="30">
        <v>249000</v>
      </c>
    </row>
    <row r="73" spans="1:6" hidden="1" outlineLevel="3" x14ac:dyDescent="0.25">
      <c r="B73" s="26" t="s">
        <v>14</v>
      </c>
      <c r="C73" s="27" t="s">
        <v>2</v>
      </c>
      <c r="D73" s="27" t="s">
        <v>27</v>
      </c>
      <c r="E73" s="27" t="s">
        <v>41</v>
      </c>
      <c r="F73" s="30">
        <v>397500</v>
      </c>
    </row>
    <row r="74" spans="1:6" hidden="1" outlineLevel="3" x14ac:dyDescent="0.25">
      <c r="B74" s="26" t="s">
        <v>14</v>
      </c>
      <c r="C74" s="27" t="s">
        <v>2</v>
      </c>
      <c r="D74" s="27" t="s">
        <v>29</v>
      </c>
      <c r="E74" s="27" t="s">
        <v>44</v>
      </c>
      <c r="F74" s="30">
        <v>546000</v>
      </c>
    </row>
    <row r="75" spans="1:6" hidden="1" outlineLevel="3" x14ac:dyDescent="0.25">
      <c r="B75" s="26" t="s">
        <v>14</v>
      </c>
      <c r="C75" s="27" t="s">
        <v>2</v>
      </c>
      <c r="D75" s="27" t="s">
        <v>31</v>
      </c>
      <c r="E75" s="27" t="s">
        <v>47</v>
      </c>
      <c r="F75" s="30">
        <v>694500</v>
      </c>
    </row>
    <row r="76" spans="1:6" hidden="1" outlineLevel="3" x14ac:dyDescent="0.25">
      <c r="B76" s="26" t="s">
        <v>14</v>
      </c>
      <c r="C76" s="27" t="s">
        <v>2</v>
      </c>
      <c r="D76" s="27" t="s">
        <v>26</v>
      </c>
      <c r="E76" s="27" t="s">
        <v>50</v>
      </c>
      <c r="F76" s="30">
        <v>843000</v>
      </c>
    </row>
    <row r="77" spans="1:6" hidden="1" outlineLevel="3" x14ac:dyDescent="0.25">
      <c r="B77" s="26" t="s">
        <v>14</v>
      </c>
      <c r="C77" s="27" t="s">
        <v>2</v>
      </c>
      <c r="D77" s="27" t="s">
        <v>28</v>
      </c>
      <c r="E77" s="27" t="s">
        <v>53</v>
      </c>
      <c r="F77" s="30">
        <v>991500</v>
      </c>
    </row>
    <row r="78" spans="1:6" hidden="1" outlineLevel="3" x14ac:dyDescent="0.25">
      <c r="B78" s="26" t="s">
        <v>14</v>
      </c>
      <c r="C78" s="27" t="s">
        <v>2</v>
      </c>
      <c r="D78" s="27" t="s">
        <v>30</v>
      </c>
      <c r="E78" s="27" t="s">
        <v>56</v>
      </c>
      <c r="F78" s="30">
        <v>1140000</v>
      </c>
    </row>
    <row r="79" spans="1:6" hidden="1" outlineLevel="3" x14ac:dyDescent="0.25">
      <c r="B79" s="26" t="s">
        <v>14</v>
      </c>
      <c r="C79" s="27" t="s">
        <v>2</v>
      </c>
      <c r="D79" s="27" t="s">
        <v>25</v>
      </c>
      <c r="E79" s="27" t="s">
        <v>59</v>
      </c>
      <c r="F79" s="30">
        <v>1288500</v>
      </c>
    </row>
    <row r="80" spans="1:6" hidden="1" outlineLevel="3" x14ac:dyDescent="0.25">
      <c r="B80" s="26" t="s">
        <v>14</v>
      </c>
      <c r="C80" s="27" t="s">
        <v>2</v>
      </c>
      <c r="D80" s="27" t="s">
        <v>27</v>
      </c>
      <c r="E80" s="27" t="s">
        <v>62</v>
      </c>
      <c r="F80" s="30">
        <v>1437000</v>
      </c>
    </row>
    <row r="81" spans="1:6" hidden="1" outlineLevel="3" x14ac:dyDescent="0.25">
      <c r="B81" s="26" t="s">
        <v>14</v>
      </c>
      <c r="C81" s="27" t="s">
        <v>2</v>
      </c>
      <c r="D81" s="27" t="s">
        <v>29</v>
      </c>
      <c r="E81" s="27" t="s">
        <v>65</v>
      </c>
      <c r="F81" s="30">
        <v>1585500</v>
      </c>
    </row>
    <row r="82" spans="1:6" hidden="1" outlineLevel="3" x14ac:dyDescent="0.25">
      <c r="B82" s="26" t="s">
        <v>14</v>
      </c>
      <c r="C82" s="27" t="s">
        <v>2</v>
      </c>
      <c r="D82" s="27" t="s">
        <v>31</v>
      </c>
      <c r="E82" s="27" t="s">
        <v>68</v>
      </c>
      <c r="F82" s="30">
        <v>1734000</v>
      </c>
    </row>
    <row r="83" spans="1:6" hidden="1" outlineLevel="3" x14ac:dyDescent="0.25">
      <c r="B83" s="26" t="s">
        <v>14</v>
      </c>
      <c r="C83" s="27" t="s">
        <v>2</v>
      </c>
      <c r="D83" s="27" t="s">
        <v>26</v>
      </c>
      <c r="E83" s="27" t="s">
        <v>71</v>
      </c>
      <c r="F83" s="30">
        <v>1882500</v>
      </c>
    </row>
    <row r="84" spans="1:6" hidden="1" outlineLevel="3" x14ac:dyDescent="0.25">
      <c r="B84" s="26" t="s">
        <v>14</v>
      </c>
      <c r="C84" s="27" t="s">
        <v>2</v>
      </c>
      <c r="D84" s="27" t="s">
        <v>28</v>
      </c>
      <c r="E84" s="27" t="s">
        <v>74</v>
      </c>
      <c r="F84" s="30">
        <v>2031000</v>
      </c>
    </row>
    <row r="85" spans="1:6" hidden="1" outlineLevel="3" x14ac:dyDescent="0.25">
      <c r="B85" s="26" t="s">
        <v>14</v>
      </c>
      <c r="C85" s="27" t="s">
        <v>2</v>
      </c>
      <c r="D85" s="27" t="s">
        <v>30</v>
      </c>
      <c r="E85" s="27" t="s">
        <v>77</v>
      </c>
      <c r="F85" s="30">
        <v>2179500</v>
      </c>
    </row>
    <row r="86" spans="1:6" hidden="1" outlineLevel="2" collapsed="1" x14ac:dyDescent="0.25">
      <c r="A86" s="36" t="s">
        <v>239</v>
      </c>
      <c r="B86" s="26">
        <f>SUBTOTAL(3,B71:B85)</f>
        <v>15</v>
      </c>
      <c r="C86" s="27"/>
      <c r="D86" s="27"/>
      <c r="E86" s="27"/>
      <c r="F86" s="30"/>
    </row>
    <row r="87" spans="1:6" outlineLevel="1" collapsed="1" x14ac:dyDescent="0.25">
      <c r="B87" s="32" t="s">
        <v>230</v>
      </c>
      <c r="C87" s="27"/>
      <c r="D87" s="27"/>
      <c r="E87" s="27"/>
      <c r="F87" s="30">
        <f>SUBTOTAL(9,F71:F85)</f>
        <v>17100000</v>
      </c>
    </row>
    <row r="88" spans="1:6" hidden="1" outlineLevel="3" x14ac:dyDescent="0.25">
      <c r="B88" s="26" t="s">
        <v>13</v>
      </c>
      <c r="C88" s="27" t="s">
        <v>1</v>
      </c>
      <c r="D88" s="27" t="s">
        <v>29</v>
      </c>
      <c r="E88" s="27" t="s">
        <v>34</v>
      </c>
      <c r="F88" s="30">
        <v>100000</v>
      </c>
    </row>
    <row r="89" spans="1:6" hidden="1" outlineLevel="3" x14ac:dyDescent="0.25">
      <c r="B89" s="26" t="s">
        <v>13</v>
      </c>
      <c r="C89" s="27" t="s">
        <v>1</v>
      </c>
      <c r="D89" s="27" t="s">
        <v>31</v>
      </c>
      <c r="E89" s="27" t="s">
        <v>37</v>
      </c>
      <c r="F89" s="30">
        <v>232500</v>
      </c>
    </row>
    <row r="90" spans="1:6" hidden="1" outlineLevel="3" x14ac:dyDescent="0.25">
      <c r="B90" s="26" t="s">
        <v>13</v>
      </c>
      <c r="C90" s="27" t="s">
        <v>1</v>
      </c>
      <c r="D90" s="27" t="s">
        <v>26</v>
      </c>
      <c r="E90" s="27" t="s">
        <v>40</v>
      </c>
      <c r="F90" s="30">
        <v>381000</v>
      </c>
    </row>
    <row r="91" spans="1:6" hidden="1" outlineLevel="3" x14ac:dyDescent="0.25">
      <c r="B91" s="26" t="s">
        <v>13</v>
      </c>
      <c r="C91" s="27" t="s">
        <v>1</v>
      </c>
      <c r="D91" s="27" t="s">
        <v>28</v>
      </c>
      <c r="E91" s="27" t="s">
        <v>43</v>
      </c>
      <c r="F91" s="30">
        <v>529500</v>
      </c>
    </row>
    <row r="92" spans="1:6" hidden="1" outlineLevel="3" x14ac:dyDescent="0.25">
      <c r="B92" s="26" t="s">
        <v>13</v>
      </c>
      <c r="C92" s="27" t="s">
        <v>1</v>
      </c>
      <c r="D92" s="27" t="s">
        <v>30</v>
      </c>
      <c r="E92" s="27" t="s">
        <v>46</v>
      </c>
      <c r="F92" s="30">
        <v>678000</v>
      </c>
    </row>
    <row r="93" spans="1:6" hidden="1" outlineLevel="3" x14ac:dyDescent="0.25">
      <c r="B93" s="26" t="s">
        <v>13</v>
      </c>
      <c r="C93" s="27" t="s">
        <v>1</v>
      </c>
      <c r="D93" s="27" t="s">
        <v>25</v>
      </c>
      <c r="E93" s="27" t="s">
        <v>49</v>
      </c>
      <c r="F93" s="30">
        <v>826500</v>
      </c>
    </row>
    <row r="94" spans="1:6" hidden="1" outlineLevel="3" x14ac:dyDescent="0.25">
      <c r="B94" s="26" t="s">
        <v>13</v>
      </c>
      <c r="C94" s="27" t="s">
        <v>1</v>
      </c>
      <c r="D94" s="27" t="s">
        <v>27</v>
      </c>
      <c r="E94" s="27" t="s">
        <v>52</v>
      </c>
      <c r="F94" s="30">
        <v>975000</v>
      </c>
    </row>
    <row r="95" spans="1:6" hidden="1" outlineLevel="3" x14ac:dyDescent="0.25">
      <c r="B95" s="26" t="s">
        <v>13</v>
      </c>
      <c r="C95" s="27" t="s">
        <v>1</v>
      </c>
      <c r="D95" s="27" t="s">
        <v>29</v>
      </c>
      <c r="E95" s="27" t="s">
        <v>55</v>
      </c>
      <c r="F95" s="30">
        <v>1123500</v>
      </c>
    </row>
    <row r="96" spans="1:6" hidden="1" outlineLevel="3" x14ac:dyDescent="0.25">
      <c r="B96" s="26" t="s">
        <v>13</v>
      </c>
      <c r="C96" s="27" t="s">
        <v>1</v>
      </c>
      <c r="D96" s="27" t="s">
        <v>31</v>
      </c>
      <c r="E96" s="27" t="s">
        <v>58</v>
      </c>
      <c r="F96" s="30">
        <v>1272000</v>
      </c>
    </row>
    <row r="97" spans="1:6" hidden="1" outlineLevel="3" x14ac:dyDescent="0.25">
      <c r="B97" s="26" t="s">
        <v>13</v>
      </c>
      <c r="C97" s="27" t="s">
        <v>1</v>
      </c>
      <c r="D97" s="27" t="s">
        <v>26</v>
      </c>
      <c r="E97" s="27" t="s">
        <v>61</v>
      </c>
      <c r="F97" s="30">
        <v>1420500</v>
      </c>
    </row>
    <row r="98" spans="1:6" hidden="1" outlineLevel="3" x14ac:dyDescent="0.25">
      <c r="B98" s="26" t="s">
        <v>13</v>
      </c>
      <c r="C98" s="27" t="s">
        <v>1</v>
      </c>
      <c r="D98" s="27" t="s">
        <v>28</v>
      </c>
      <c r="E98" s="27" t="s">
        <v>64</v>
      </c>
      <c r="F98" s="30">
        <v>1569000</v>
      </c>
    </row>
    <row r="99" spans="1:6" hidden="1" outlineLevel="3" x14ac:dyDescent="0.25">
      <c r="B99" s="26" t="s">
        <v>13</v>
      </c>
      <c r="C99" s="27" t="s">
        <v>1</v>
      </c>
      <c r="D99" s="27" t="s">
        <v>30</v>
      </c>
      <c r="E99" s="27" t="s">
        <v>67</v>
      </c>
      <c r="F99" s="30">
        <v>1717500</v>
      </c>
    </row>
    <row r="100" spans="1:6" hidden="1" outlineLevel="3" x14ac:dyDescent="0.25">
      <c r="B100" s="26" t="s">
        <v>13</v>
      </c>
      <c r="C100" s="27" t="s">
        <v>1</v>
      </c>
      <c r="D100" s="27" t="s">
        <v>25</v>
      </c>
      <c r="E100" s="27" t="s">
        <v>70</v>
      </c>
      <c r="F100" s="30">
        <v>1866000</v>
      </c>
    </row>
    <row r="101" spans="1:6" hidden="1" outlineLevel="3" x14ac:dyDescent="0.25">
      <c r="B101" s="26" t="s">
        <v>13</v>
      </c>
      <c r="C101" s="27" t="s">
        <v>1</v>
      </c>
      <c r="D101" s="27" t="s">
        <v>27</v>
      </c>
      <c r="E101" s="27" t="s">
        <v>73</v>
      </c>
      <c r="F101" s="30">
        <v>2014500</v>
      </c>
    </row>
    <row r="102" spans="1:6" hidden="1" outlineLevel="3" x14ac:dyDescent="0.25">
      <c r="B102" s="26" t="s">
        <v>13</v>
      </c>
      <c r="C102" s="27" t="s">
        <v>1</v>
      </c>
      <c r="D102" s="27" t="s">
        <v>29</v>
      </c>
      <c r="E102" s="27" t="s">
        <v>76</v>
      </c>
      <c r="F102" s="30">
        <v>2163000</v>
      </c>
    </row>
    <row r="103" spans="1:6" hidden="1" outlineLevel="2" collapsed="1" x14ac:dyDescent="0.25">
      <c r="A103" s="36" t="s">
        <v>240</v>
      </c>
      <c r="B103" s="26">
        <f>SUBTOTAL(3,B88:B102)</f>
        <v>15</v>
      </c>
      <c r="C103" s="27"/>
      <c r="D103" s="27"/>
      <c r="E103" s="27"/>
      <c r="F103" s="30"/>
    </row>
    <row r="104" spans="1:6" outlineLevel="1" collapsed="1" x14ac:dyDescent="0.25">
      <c r="B104" s="32" t="s">
        <v>229</v>
      </c>
      <c r="C104" s="27"/>
      <c r="D104" s="27"/>
      <c r="E104" s="27"/>
      <c r="F104" s="30">
        <f>SUBTOTAL(9,F88:F102)</f>
        <v>16868500</v>
      </c>
    </row>
    <row r="105" spans="1:6" hidden="1" outlineLevel="3" x14ac:dyDescent="0.25">
      <c r="B105" s="26" t="s">
        <v>12</v>
      </c>
      <c r="C105" s="27" t="s">
        <v>3</v>
      </c>
      <c r="D105" s="27" t="s">
        <v>28</v>
      </c>
      <c r="E105" s="27" t="s">
        <v>33</v>
      </c>
      <c r="F105" s="30">
        <v>50000</v>
      </c>
    </row>
    <row r="106" spans="1:6" hidden="1" outlineLevel="3" x14ac:dyDescent="0.25">
      <c r="B106" s="26" t="s">
        <v>12</v>
      </c>
      <c r="C106" s="27" t="s">
        <v>3</v>
      </c>
      <c r="D106" s="27" t="s">
        <v>30</v>
      </c>
      <c r="E106" s="27" t="s">
        <v>36</v>
      </c>
      <c r="F106" s="30">
        <v>216000</v>
      </c>
    </row>
    <row r="107" spans="1:6" hidden="1" outlineLevel="3" x14ac:dyDescent="0.25">
      <c r="B107" s="26" t="s">
        <v>12</v>
      </c>
      <c r="C107" s="27" t="s">
        <v>3</v>
      </c>
      <c r="D107" s="27" t="s">
        <v>25</v>
      </c>
      <c r="E107" s="27" t="s">
        <v>39</v>
      </c>
      <c r="F107" s="30">
        <v>364500</v>
      </c>
    </row>
    <row r="108" spans="1:6" hidden="1" outlineLevel="3" x14ac:dyDescent="0.25">
      <c r="B108" s="26" t="s">
        <v>12</v>
      </c>
      <c r="C108" s="27" t="s">
        <v>3</v>
      </c>
      <c r="D108" s="27" t="s">
        <v>27</v>
      </c>
      <c r="E108" s="27" t="s">
        <v>42</v>
      </c>
      <c r="F108" s="30">
        <v>513000</v>
      </c>
    </row>
    <row r="109" spans="1:6" hidden="1" outlineLevel="3" x14ac:dyDescent="0.25">
      <c r="B109" s="26" t="s">
        <v>12</v>
      </c>
      <c r="C109" s="27" t="s">
        <v>3</v>
      </c>
      <c r="D109" s="27" t="s">
        <v>29</v>
      </c>
      <c r="E109" s="27" t="s">
        <v>45</v>
      </c>
      <c r="F109" s="30">
        <v>661500</v>
      </c>
    </row>
    <row r="110" spans="1:6" hidden="1" outlineLevel="3" x14ac:dyDescent="0.25">
      <c r="B110" s="26" t="s">
        <v>12</v>
      </c>
      <c r="C110" s="27" t="s">
        <v>3</v>
      </c>
      <c r="D110" s="27" t="s">
        <v>31</v>
      </c>
      <c r="E110" s="27" t="s">
        <v>48</v>
      </c>
      <c r="F110" s="30">
        <v>810000</v>
      </c>
    </row>
    <row r="111" spans="1:6" hidden="1" outlineLevel="3" x14ac:dyDescent="0.25">
      <c r="B111" s="26" t="s">
        <v>12</v>
      </c>
      <c r="C111" s="27" t="s">
        <v>3</v>
      </c>
      <c r="D111" s="27" t="s">
        <v>26</v>
      </c>
      <c r="E111" s="27" t="s">
        <v>51</v>
      </c>
      <c r="F111" s="30">
        <v>958500</v>
      </c>
    </row>
    <row r="112" spans="1:6" hidden="1" outlineLevel="3" x14ac:dyDescent="0.25">
      <c r="B112" s="26" t="s">
        <v>12</v>
      </c>
      <c r="C112" s="27" t="s">
        <v>3</v>
      </c>
      <c r="D112" s="27" t="s">
        <v>28</v>
      </c>
      <c r="E112" s="27" t="s">
        <v>54</v>
      </c>
      <c r="F112" s="30">
        <v>1107000</v>
      </c>
    </row>
    <row r="113" spans="1:6" hidden="1" outlineLevel="3" x14ac:dyDescent="0.25">
      <c r="B113" s="26" t="s">
        <v>12</v>
      </c>
      <c r="C113" s="27" t="s">
        <v>3</v>
      </c>
      <c r="D113" s="27" t="s">
        <v>30</v>
      </c>
      <c r="E113" s="27" t="s">
        <v>57</v>
      </c>
      <c r="F113" s="30">
        <v>1255500</v>
      </c>
    </row>
    <row r="114" spans="1:6" hidden="1" outlineLevel="3" x14ac:dyDescent="0.25">
      <c r="B114" s="26" t="s">
        <v>12</v>
      </c>
      <c r="C114" s="27" t="s">
        <v>3</v>
      </c>
      <c r="D114" s="27" t="s">
        <v>25</v>
      </c>
      <c r="E114" s="27" t="s">
        <v>60</v>
      </c>
      <c r="F114" s="30">
        <v>1404000</v>
      </c>
    </row>
    <row r="115" spans="1:6" hidden="1" outlineLevel="3" x14ac:dyDescent="0.25">
      <c r="B115" s="26" t="s">
        <v>12</v>
      </c>
      <c r="C115" s="27" t="s">
        <v>3</v>
      </c>
      <c r="D115" s="27" t="s">
        <v>27</v>
      </c>
      <c r="E115" s="27" t="s">
        <v>63</v>
      </c>
      <c r="F115" s="30">
        <v>1552500</v>
      </c>
    </row>
    <row r="116" spans="1:6" hidden="1" outlineLevel="3" x14ac:dyDescent="0.25">
      <c r="B116" s="26" t="s">
        <v>12</v>
      </c>
      <c r="C116" s="27" t="s">
        <v>3</v>
      </c>
      <c r="D116" s="27" t="s">
        <v>29</v>
      </c>
      <c r="E116" s="27" t="s">
        <v>66</v>
      </c>
      <c r="F116" s="30">
        <v>1701000</v>
      </c>
    </row>
    <row r="117" spans="1:6" hidden="1" outlineLevel="3" x14ac:dyDescent="0.25">
      <c r="B117" s="26" t="s">
        <v>12</v>
      </c>
      <c r="C117" s="27" t="s">
        <v>3</v>
      </c>
      <c r="D117" s="27" t="s">
        <v>31</v>
      </c>
      <c r="E117" s="27" t="s">
        <v>69</v>
      </c>
      <c r="F117" s="30">
        <v>1849500</v>
      </c>
    </row>
    <row r="118" spans="1:6" hidden="1" outlineLevel="3" x14ac:dyDescent="0.25">
      <c r="B118" s="26" t="s">
        <v>12</v>
      </c>
      <c r="C118" s="27" t="s">
        <v>3</v>
      </c>
      <c r="D118" s="27" t="s">
        <v>26</v>
      </c>
      <c r="E118" s="27" t="s">
        <v>72</v>
      </c>
      <c r="F118" s="30">
        <v>1998000</v>
      </c>
    </row>
    <row r="119" spans="1:6" hidden="1" outlineLevel="3" x14ac:dyDescent="0.25">
      <c r="B119" s="26" t="s">
        <v>12</v>
      </c>
      <c r="C119" s="27" t="s">
        <v>3</v>
      </c>
      <c r="D119" s="27" t="s">
        <v>28</v>
      </c>
      <c r="E119" s="27" t="s">
        <v>75</v>
      </c>
      <c r="F119" s="30">
        <v>2146500</v>
      </c>
    </row>
    <row r="120" spans="1:6" hidden="1" outlineLevel="3" x14ac:dyDescent="0.25">
      <c r="B120" s="26" t="s">
        <v>12</v>
      </c>
      <c r="C120" s="27" t="s">
        <v>3</v>
      </c>
      <c r="D120" s="27" t="s">
        <v>30</v>
      </c>
      <c r="E120" s="27" t="s">
        <v>78</v>
      </c>
      <c r="F120" s="30">
        <v>2295000</v>
      </c>
    </row>
    <row r="121" spans="1:6" hidden="1" outlineLevel="2" collapsed="1" x14ac:dyDescent="0.25">
      <c r="A121" s="36" t="s">
        <v>241</v>
      </c>
      <c r="B121" s="26">
        <f>SUBTOTAL(3,B105:B120)</f>
        <v>16</v>
      </c>
      <c r="C121" s="27"/>
      <c r="D121" s="27"/>
      <c r="E121" s="27"/>
      <c r="F121" s="30"/>
    </row>
    <row r="122" spans="1:6" outlineLevel="1" collapsed="1" x14ac:dyDescent="0.25">
      <c r="B122" s="32" t="s">
        <v>228</v>
      </c>
      <c r="C122" s="27"/>
      <c r="D122" s="27"/>
      <c r="E122" s="27"/>
      <c r="F122" s="30">
        <f>SUBTOTAL(9,F105:F120)</f>
        <v>18882500</v>
      </c>
    </row>
    <row r="123" spans="1:6" hidden="1" outlineLevel="3" x14ac:dyDescent="0.25">
      <c r="B123" s="26" t="s">
        <v>11</v>
      </c>
      <c r="C123" s="27" t="s">
        <v>21</v>
      </c>
      <c r="D123" s="27" t="s">
        <v>27</v>
      </c>
      <c r="E123" s="27" t="s">
        <v>23</v>
      </c>
      <c r="F123" s="30">
        <v>45000</v>
      </c>
    </row>
    <row r="124" spans="1:6" hidden="1" outlineLevel="3" x14ac:dyDescent="0.25">
      <c r="B124" s="26" t="s">
        <v>11</v>
      </c>
      <c r="C124" s="27" t="s">
        <v>21</v>
      </c>
      <c r="D124" s="27" t="s">
        <v>29</v>
      </c>
      <c r="E124" s="27" t="s">
        <v>35</v>
      </c>
      <c r="F124" s="30">
        <v>199500</v>
      </c>
    </row>
    <row r="125" spans="1:6" hidden="1" outlineLevel="3" x14ac:dyDescent="0.25">
      <c r="B125" s="26" t="s">
        <v>11</v>
      </c>
      <c r="C125" s="27" t="s">
        <v>21</v>
      </c>
      <c r="D125" s="27" t="s">
        <v>31</v>
      </c>
      <c r="E125" s="27" t="s">
        <v>38</v>
      </c>
      <c r="F125" s="30">
        <v>348000</v>
      </c>
    </row>
    <row r="126" spans="1:6" hidden="1" outlineLevel="3" x14ac:dyDescent="0.25">
      <c r="B126" s="26" t="s">
        <v>11</v>
      </c>
      <c r="C126" s="27" t="s">
        <v>21</v>
      </c>
      <c r="D126" s="27" t="s">
        <v>26</v>
      </c>
      <c r="E126" s="27" t="s">
        <v>41</v>
      </c>
      <c r="F126" s="30">
        <v>496500</v>
      </c>
    </row>
    <row r="127" spans="1:6" hidden="1" outlineLevel="3" x14ac:dyDescent="0.25">
      <c r="B127" s="26" t="s">
        <v>11</v>
      </c>
      <c r="C127" s="27" t="s">
        <v>21</v>
      </c>
      <c r="D127" s="27" t="s">
        <v>28</v>
      </c>
      <c r="E127" s="27" t="s">
        <v>44</v>
      </c>
      <c r="F127" s="30">
        <v>645000</v>
      </c>
    </row>
    <row r="128" spans="1:6" hidden="1" outlineLevel="3" x14ac:dyDescent="0.25">
      <c r="B128" s="26" t="s">
        <v>11</v>
      </c>
      <c r="C128" s="27" t="s">
        <v>21</v>
      </c>
      <c r="D128" s="27" t="s">
        <v>30</v>
      </c>
      <c r="E128" s="27" t="s">
        <v>47</v>
      </c>
      <c r="F128" s="30">
        <v>793500</v>
      </c>
    </row>
    <row r="129" spans="1:6" hidden="1" outlineLevel="3" x14ac:dyDescent="0.25">
      <c r="B129" s="26" t="s">
        <v>11</v>
      </c>
      <c r="C129" s="27" t="s">
        <v>21</v>
      </c>
      <c r="D129" s="27" t="s">
        <v>25</v>
      </c>
      <c r="E129" s="27" t="s">
        <v>50</v>
      </c>
      <c r="F129" s="30">
        <v>942000</v>
      </c>
    </row>
    <row r="130" spans="1:6" hidden="1" outlineLevel="3" x14ac:dyDescent="0.25">
      <c r="B130" s="26" t="s">
        <v>11</v>
      </c>
      <c r="C130" s="27" t="s">
        <v>21</v>
      </c>
      <c r="D130" s="27" t="s">
        <v>27</v>
      </c>
      <c r="E130" s="27" t="s">
        <v>53</v>
      </c>
      <c r="F130" s="30">
        <v>1090500</v>
      </c>
    </row>
    <row r="131" spans="1:6" hidden="1" outlineLevel="3" x14ac:dyDescent="0.25">
      <c r="B131" s="26" t="s">
        <v>11</v>
      </c>
      <c r="C131" s="27" t="s">
        <v>21</v>
      </c>
      <c r="D131" s="27" t="s">
        <v>29</v>
      </c>
      <c r="E131" s="27" t="s">
        <v>56</v>
      </c>
      <c r="F131" s="30">
        <v>1239000</v>
      </c>
    </row>
    <row r="132" spans="1:6" hidden="1" outlineLevel="3" x14ac:dyDescent="0.25">
      <c r="B132" s="26" t="s">
        <v>11</v>
      </c>
      <c r="C132" s="27" t="s">
        <v>21</v>
      </c>
      <c r="D132" s="27" t="s">
        <v>31</v>
      </c>
      <c r="E132" s="27" t="s">
        <v>59</v>
      </c>
      <c r="F132" s="30">
        <v>1387500</v>
      </c>
    </row>
    <row r="133" spans="1:6" hidden="1" outlineLevel="3" x14ac:dyDescent="0.25">
      <c r="B133" s="26" t="s">
        <v>11</v>
      </c>
      <c r="C133" s="27" t="s">
        <v>21</v>
      </c>
      <c r="D133" s="27" t="s">
        <v>26</v>
      </c>
      <c r="E133" s="27" t="s">
        <v>62</v>
      </c>
      <c r="F133" s="30">
        <v>1536000</v>
      </c>
    </row>
    <row r="134" spans="1:6" hidden="1" outlineLevel="3" x14ac:dyDescent="0.25">
      <c r="B134" s="26" t="s">
        <v>11</v>
      </c>
      <c r="C134" s="27" t="s">
        <v>21</v>
      </c>
      <c r="D134" s="27" t="s">
        <v>28</v>
      </c>
      <c r="E134" s="27" t="s">
        <v>65</v>
      </c>
      <c r="F134" s="30">
        <v>1684500</v>
      </c>
    </row>
    <row r="135" spans="1:6" hidden="1" outlineLevel="3" x14ac:dyDescent="0.25">
      <c r="B135" s="26" t="s">
        <v>11</v>
      </c>
      <c r="C135" s="27" t="s">
        <v>21</v>
      </c>
      <c r="D135" s="27" t="s">
        <v>30</v>
      </c>
      <c r="E135" s="27" t="s">
        <v>68</v>
      </c>
      <c r="F135" s="30">
        <v>1833000</v>
      </c>
    </row>
    <row r="136" spans="1:6" hidden="1" outlineLevel="3" x14ac:dyDescent="0.25">
      <c r="B136" s="26" t="s">
        <v>11</v>
      </c>
      <c r="C136" s="27" t="s">
        <v>21</v>
      </c>
      <c r="D136" s="27" t="s">
        <v>25</v>
      </c>
      <c r="E136" s="27" t="s">
        <v>71</v>
      </c>
      <c r="F136" s="30">
        <v>1981500</v>
      </c>
    </row>
    <row r="137" spans="1:6" hidden="1" outlineLevel="3" x14ac:dyDescent="0.25">
      <c r="B137" s="26" t="s">
        <v>11</v>
      </c>
      <c r="C137" s="27" t="s">
        <v>21</v>
      </c>
      <c r="D137" s="27" t="s">
        <v>27</v>
      </c>
      <c r="E137" s="27" t="s">
        <v>74</v>
      </c>
      <c r="F137" s="30">
        <v>2130000</v>
      </c>
    </row>
    <row r="138" spans="1:6" hidden="1" outlineLevel="3" x14ac:dyDescent="0.25">
      <c r="B138" s="26" t="s">
        <v>11</v>
      </c>
      <c r="C138" s="27" t="s">
        <v>21</v>
      </c>
      <c r="D138" s="27" t="s">
        <v>29</v>
      </c>
      <c r="E138" s="27" t="s">
        <v>77</v>
      </c>
      <c r="F138" s="30">
        <v>2278500</v>
      </c>
    </row>
    <row r="139" spans="1:6" hidden="1" outlineLevel="2" collapsed="1" x14ac:dyDescent="0.25">
      <c r="A139" s="36" t="s">
        <v>242</v>
      </c>
      <c r="B139" s="26">
        <f>SUBTOTAL(3,B123:B138)</f>
        <v>16</v>
      </c>
      <c r="C139" s="27"/>
      <c r="D139" s="27"/>
      <c r="E139" s="27"/>
      <c r="F139" s="30"/>
    </row>
    <row r="140" spans="1:6" outlineLevel="1" collapsed="1" x14ac:dyDescent="0.25">
      <c r="B140" s="32" t="s">
        <v>227</v>
      </c>
      <c r="C140" s="27"/>
      <c r="D140" s="27"/>
      <c r="E140" s="27"/>
      <c r="F140" s="30">
        <f>SUBTOTAL(9,F123:F138)</f>
        <v>18630000</v>
      </c>
    </row>
    <row r="141" spans="1:6" hidden="1" outlineLevel="3" x14ac:dyDescent="0.25">
      <c r="B141" s="26" t="s">
        <v>9</v>
      </c>
      <c r="C141" s="27" t="s">
        <v>5</v>
      </c>
      <c r="D141" s="27" t="s">
        <v>25</v>
      </c>
      <c r="E141" s="27" t="s">
        <v>19</v>
      </c>
      <c r="F141" s="30">
        <v>25000</v>
      </c>
    </row>
    <row r="142" spans="1:6" hidden="1" outlineLevel="3" x14ac:dyDescent="0.25">
      <c r="B142" s="26" t="s">
        <v>9</v>
      </c>
      <c r="C142" s="27" t="s">
        <v>5</v>
      </c>
      <c r="D142" s="27" t="s">
        <v>27</v>
      </c>
      <c r="E142" s="27" t="s">
        <v>33</v>
      </c>
      <c r="F142" s="30">
        <v>166500</v>
      </c>
    </row>
    <row r="143" spans="1:6" hidden="1" outlineLevel="3" x14ac:dyDescent="0.25">
      <c r="B143" s="26" t="s">
        <v>9</v>
      </c>
      <c r="C143" s="27" t="s">
        <v>5</v>
      </c>
      <c r="D143" s="27" t="s">
        <v>29</v>
      </c>
      <c r="E143" s="27" t="s">
        <v>36</v>
      </c>
      <c r="F143" s="30">
        <v>315000</v>
      </c>
    </row>
    <row r="144" spans="1:6" hidden="1" outlineLevel="3" x14ac:dyDescent="0.25">
      <c r="B144" s="26" t="s">
        <v>9</v>
      </c>
      <c r="C144" s="27" t="s">
        <v>5</v>
      </c>
      <c r="D144" s="27" t="s">
        <v>31</v>
      </c>
      <c r="E144" s="27" t="s">
        <v>39</v>
      </c>
      <c r="F144" s="30">
        <v>463500</v>
      </c>
    </row>
    <row r="145" spans="1:6" hidden="1" outlineLevel="3" x14ac:dyDescent="0.25">
      <c r="B145" s="26" t="s">
        <v>9</v>
      </c>
      <c r="C145" s="27" t="s">
        <v>5</v>
      </c>
      <c r="D145" s="27" t="s">
        <v>26</v>
      </c>
      <c r="E145" s="27" t="s">
        <v>42</v>
      </c>
      <c r="F145" s="30">
        <v>612000</v>
      </c>
    </row>
    <row r="146" spans="1:6" hidden="1" outlineLevel="3" x14ac:dyDescent="0.25">
      <c r="B146" s="26" t="s">
        <v>9</v>
      </c>
      <c r="C146" s="27" t="s">
        <v>5</v>
      </c>
      <c r="D146" s="27" t="s">
        <v>28</v>
      </c>
      <c r="E146" s="27" t="s">
        <v>45</v>
      </c>
      <c r="F146" s="30">
        <v>760500</v>
      </c>
    </row>
    <row r="147" spans="1:6" hidden="1" outlineLevel="3" x14ac:dyDescent="0.25">
      <c r="B147" s="26" t="s">
        <v>9</v>
      </c>
      <c r="C147" s="27" t="s">
        <v>5</v>
      </c>
      <c r="D147" s="27" t="s">
        <v>30</v>
      </c>
      <c r="E147" s="27" t="s">
        <v>48</v>
      </c>
      <c r="F147" s="30">
        <v>909000</v>
      </c>
    </row>
    <row r="148" spans="1:6" hidden="1" outlineLevel="3" x14ac:dyDescent="0.25">
      <c r="B148" s="26" t="s">
        <v>9</v>
      </c>
      <c r="C148" s="27" t="s">
        <v>5</v>
      </c>
      <c r="D148" s="27" t="s">
        <v>25</v>
      </c>
      <c r="E148" s="27" t="s">
        <v>51</v>
      </c>
      <c r="F148" s="30">
        <v>1057500</v>
      </c>
    </row>
    <row r="149" spans="1:6" hidden="1" outlineLevel="3" x14ac:dyDescent="0.25">
      <c r="B149" s="26" t="s">
        <v>9</v>
      </c>
      <c r="C149" s="27" t="s">
        <v>5</v>
      </c>
      <c r="D149" s="27" t="s">
        <v>27</v>
      </c>
      <c r="E149" s="27" t="s">
        <v>54</v>
      </c>
      <c r="F149" s="30">
        <v>1206000</v>
      </c>
    </row>
    <row r="150" spans="1:6" hidden="1" outlineLevel="3" x14ac:dyDescent="0.25">
      <c r="B150" s="26" t="s">
        <v>9</v>
      </c>
      <c r="C150" s="27" t="s">
        <v>5</v>
      </c>
      <c r="D150" s="27" t="s">
        <v>29</v>
      </c>
      <c r="E150" s="27" t="s">
        <v>57</v>
      </c>
      <c r="F150" s="30">
        <v>1354500</v>
      </c>
    </row>
    <row r="151" spans="1:6" hidden="1" outlineLevel="3" x14ac:dyDescent="0.25">
      <c r="B151" s="26" t="s">
        <v>9</v>
      </c>
      <c r="C151" s="27" t="s">
        <v>5</v>
      </c>
      <c r="D151" s="27" t="s">
        <v>31</v>
      </c>
      <c r="E151" s="27" t="s">
        <v>60</v>
      </c>
      <c r="F151" s="30">
        <v>1503000</v>
      </c>
    </row>
    <row r="152" spans="1:6" hidden="1" outlineLevel="3" x14ac:dyDescent="0.25">
      <c r="B152" s="26" t="s">
        <v>9</v>
      </c>
      <c r="C152" s="27" t="s">
        <v>5</v>
      </c>
      <c r="D152" s="27" t="s">
        <v>26</v>
      </c>
      <c r="E152" s="27" t="s">
        <v>63</v>
      </c>
      <c r="F152" s="30">
        <v>1651500</v>
      </c>
    </row>
    <row r="153" spans="1:6" hidden="1" outlineLevel="3" x14ac:dyDescent="0.25">
      <c r="B153" s="26" t="s">
        <v>9</v>
      </c>
      <c r="C153" s="27" t="s">
        <v>5</v>
      </c>
      <c r="D153" s="27" t="s">
        <v>28</v>
      </c>
      <c r="E153" s="27" t="s">
        <v>66</v>
      </c>
      <c r="F153" s="30">
        <v>1800000</v>
      </c>
    </row>
    <row r="154" spans="1:6" hidden="1" outlineLevel="3" x14ac:dyDescent="0.25">
      <c r="B154" s="26" t="s">
        <v>9</v>
      </c>
      <c r="C154" s="27" t="s">
        <v>5</v>
      </c>
      <c r="D154" s="27" t="s">
        <v>30</v>
      </c>
      <c r="E154" s="27" t="s">
        <v>69</v>
      </c>
      <c r="F154" s="30">
        <v>1948500</v>
      </c>
    </row>
    <row r="155" spans="1:6" hidden="1" outlineLevel="3" x14ac:dyDescent="0.25">
      <c r="B155" s="26" t="s">
        <v>9</v>
      </c>
      <c r="C155" s="27" t="s">
        <v>5</v>
      </c>
      <c r="D155" s="27" t="s">
        <v>25</v>
      </c>
      <c r="E155" s="27" t="s">
        <v>72</v>
      </c>
      <c r="F155" s="30">
        <v>2097000</v>
      </c>
    </row>
    <row r="156" spans="1:6" hidden="1" outlineLevel="3" x14ac:dyDescent="0.25">
      <c r="B156" s="28" t="s">
        <v>9</v>
      </c>
      <c r="C156" s="29" t="s">
        <v>5</v>
      </c>
      <c r="D156" s="29" t="s">
        <v>27</v>
      </c>
      <c r="E156" s="29" t="s">
        <v>75</v>
      </c>
      <c r="F156" s="31">
        <v>2245500</v>
      </c>
    </row>
    <row r="157" spans="1:6" hidden="1" outlineLevel="2" collapsed="1" x14ac:dyDescent="0.25">
      <c r="A157" s="36" t="s">
        <v>243</v>
      </c>
      <c r="B157" s="33">
        <f>SUBTOTAL(3,B141:B156)</f>
        <v>16</v>
      </c>
      <c r="C157" s="33"/>
      <c r="D157" s="33"/>
      <c r="E157" s="33"/>
      <c r="F157" s="34"/>
    </row>
    <row r="158" spans="1:6" outlineLevel="1" collapsed="1" x14ac:dyDescent="0.25">
      <c r="B158" s="35" t="s">
        <v>225</v>
      </c>
      <c r="C158" s="33"/>
      <c r="D158" s="33"/>
      <c r="E158" s="33"/>
      <c r="F158" s="34">
        <f>SUBTOTAL(9,F141:F156)</f>
        <v>18115000</v>
      </c>
    </row>
    <row r="159" spans="1:6" x14ac:dyDescent="0.25">
      <c r="A159" s="36" t="s">
        <v>244</v>
      </c>
      <c r="B159" s="35">
        <f>SUBTOTAL(3,B2:B156)</f>
        <v>147</v>
      </c>
      <c r="C159" s="33"/>
      <c r="D159" s="33"/>
      <c r="E159" s="33"/>
      <c r="F159" s="34"/>
    </row>
    <row r="160" spans="1:6" x14ac:dyDescent="0.25">
      <c r="B160" s="35" t="s">
        <v>234</v>
      </c>
      <c r="C160" s="33"/>
      <c r="D160" s="33"/>
      <c r="E160" s="33"/>
      <c r="F160" s="34">
        <f>SUBTOTAL(9,F2:F156)</f>
        <v>160753500</v>
      </c>
    </row>
  </sheetData>
  <sortState xmlns:xlrd2="http://schemas.microsoft.com/office/spreadsheetml/2017/richdata2" ref="B2:F156">
    <sortCondition ref="B2"/>
  </sortState>
  <phoneticPr fontId="1" type="noConversion"/>
  <printOptions horizontalCentered="1"/>
  <pageMargins left="0.70866141732283472" right="0.94488188976377963" top="0.74803149606299213" bottom="0.74803149606299213" header="0.31496062992125984" footer="0.31496062992125984"/>
  <pageSetup paperSize="9" scale="64" orientation="portrait" r:id="rId1"/>
  <headerFooter>
    <oddHeader xml:space="preserve">&amp;L&amp;K00+000J&amp;K01+000       &amp;G&amp;C&amp;"Algerian,Normal"&amp;18FENIX SRL&amp;"-,Normal"&amp;11
MARIANO MORENO 1525 - TEL. (3865) 482653
&amp;G&amp;R&amp;G       &amp;K00+000J  &amp;K01+000  </oddHeader>
    <oddFooter>&amp;L&amp;K00+000A&amp;K01+000     TOTAL PÁG.: &amp;N&amp;CRUTA: &amp;Z&amp;F
ARCHIVO: &amp;F
NOMBRE HOJA: &amp;A&amp;RPÁG. N°: &amp;P   &amp;K00+000  D</oddFooter>
  </headerFooter>
  <rowBreaks count="1" manualBreakCount="1">
    <brk id="78" max="16383" man="1"/>
  </rowBreaks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01996-A304-4643-A9BD-1399257A1B63}">
  <sheetPr>
    <outlinePr applyStyles="1"/>
  </sheetPr>
  <dimension ref="A1:K13"/>
  <sheetViews>
    <sheetView workbookViewId="0">
      <selection activeCell="A13" sqref="A13"/>
    </sheetView>
  </sheetViews>
  <sheetFormatPr baseColWidth="10" defaultRowHeight="15" outlineLevelRow="1" outlineLevelCol="1" x14ac:dyDescent="0.25"/>
  <cols>
    <col min="1" max="1" width="17.7109375" bestFit="1" customWidth="1"/>
    <col min="2" max="7" width="11.42578125" customWidth="1" outlineLevel="1"/>
  </cols>
  <sheetData>
    <row r="1" spans="1:11" ht="15.75" x14ac:dyDescent="0.25">
      <c r="A1" s="1" t="s">
        <v>81</v>
      </c>
      <c r="B1" s="1"/>
      <c r="C1" s="3"/>
      <c r="D1" s="3"/>
      <c r="E1" s="3"/>
      <c r="F1" s="3"/>
      <c r="G1" s="3"/>
      <c r="H1" s="6"/>
    </row>
    <row r="2" spans="1:11" x14ac:dyDescent="0.25">
      <c r="A2" s="3" t="s">
        <v>81</v>
      </c>
      <c r="B2" s="3" t="s">
        <v>82</v>
      </c>
      <c r="C2" s="3" t="s">
        <v>83</v>
      </c>
      <c r="D2" s="3" t="s">
        <v>84</v>
      </c>
      <c r="E2" s="3" t="s">
        <v>85</v>
      </c>
      <c r="F2" s="3" t="s">
        <v>86</v>
      </c>
      <c r="G2" s="3" t="s">
        <v>87</v>
      </c>
      <c r="H2" s="6" t="s">
        <v>88</v>
      </c>
    </row>
    <row r="3" spans="1:11" outlineLevel="1" x14ac:dyDescent="0.25">
      <c r="A3" s="3" t="s">
        <v>89</v>
      </c>
      <c r="B3" s="3">
        <v>200</v>
      </c>
      <c r="C3" s="3"/>
      <c r="D3" s="3">
        <v>180</v>
      </c>
      <c r="E3" s="3"/>
      <c r="F3" s="3">
        <v>210</v>
      </c>
      <c r="G3" s="3"/>
      <c r="H3" s="6">
        <f>SUM(B3:G3)</f>
        <v>590</v>
      </c>
      <c r="I3" s="4"/>
      <c r="J3" s="4"/>
      <c r="K3" s="4"/>
    </row>
    <row r="4" spans="1:11" outlineLevel="1" x14ac:dyDescent="0.25">
      <c r="A4" s="3" t="s">
        <v>90</v>
      </c>
      <c r="B4" s="3">
        <v>180</v>
      </c>
      <c r="C4" s="3">
        <v>180</v>
      </c>
      <c r="D4" s="3">
        <v>180</v>
      </c>
      <c r="E4" s="3">
        <v>180</v>
      </c>
      <c r="F4" s="3">
        <v>180</v>
      </c>
      <c r="G4" s="3">
        <v>180</v>
      </c>
      <c r="H4" s="6">
        <f>SUM(B4:G4)</f>
        <v>1080</v>
      </c>
    </row>
    <row r="5" spans="1:11" outlineLevel="1" x14ac:dyDescent="0.25">
      <c r="A5" s="3" t="s">
        <v>91</v>
      </c>
      <c r="B5" s="3">
        <v>250</v>
      </c>
      <c r="C5" s="3">
        <v>270</v>
      </c>
      <c r="D5" s="3">
        <v>272</v>
      </c>
      <c r="E5" s="3">
        <v>275</v>
      </c>
      <c r="F5" s="3">
        <v>275</v>
      </c>
      <c r="G5" s="3">
        <v>281</v>
      </c>
      <c r="H5" s="6">
        <f>SUM(B5:G5)</f>
        <v>1623</v>
      </c>
    </row>
    <row r="6" spans="1:11" outlineLevel="1" x14ac:dyDescent="0.25">
      <c r="A6" s="3" t="s">
        <v>92</v>
      </c>
      <c r="B6" s="3">
        <v>1500</v>
      </c>
      <c r="C6" s="3">
        <v>1500</v>
      </c>
      <c r="D6" s="3">
        <v>1500</v>
      </c>
      <c r="E6" s="3">
        <v>1500</v>
      </c>
      <c r="F6" s="3">
        <v>1500</v>
      </c>
      <c r="G6" s="3">
        <v>1500</v>
      </c>
      <c r="H6" s="6">
        <f>SUM(B6:G6)</f>
        <v>9000</v>
      </c>
    </row>
    <row r="7" spans="1:11" x14ac:dyDescent="0.25">
      <c r="A7" s="5"/>
      <c r="B7" s="5"/>
      <c r="C7" s="5"/>
      <c r="D7" s="5"/>
      <c r="E7" s="5"/>
      <c r="F7" s="5"/>
      <c r="G7" s="5"/>
      <c r="H7" s="5"/>
    </row>
    <row r="10" spans="1:11" x14ac:dyDescent="0.25">
      <c r="A10" s="3" t="s">
        <v>89</v>
      </c>
      <c r="B10" s="3">
        <v>200</v>
      </c>
      <c r="C10" s="3"/>
      <c r="D10" s="3">
        <v>180</v>
      </c>
      <c r="E10" s="3"/>
      <c r="F10" s="3">
        <v>210</v>
      </c>
      <c r="G10" s="3"/>
      <c r="H10" s="6">
        <f>SUM(B10:G10)</f>
        <v>590</v>
      </c>
    </row>
    <row r="11" spans="1:11" x14ac:dyDescent="0.25">
      <c r="A11" s="3" t="s">
        <v>90</v>
      </c>
      <c r="B11" s="3">
        <v>180</v>
      </c>
      <c r="C11" s="3">
        <v>180</v>
      </c>
      <c r="D11" s="3">
        <v>180</v>
      </c>
      <c r="E11" s="3">
        <v>180</v>
      </c>
      <c r="F11" s="3">
        <v>180</v>
      </c>
      <c r="G11" s="3">
        <v>180</v>
      </c>
      <c r="H11" s="6">
        <f>SUM(B11:G11)</f>
        <v>1080</v>
      </c>
    </row>
    <row r="12" spans="1:11" x14ac:dyDescent="0.25">
      <c r="B12" s="3">
        <v>200</v>
      </c>
      <c r="C12" s="3"/>
      <c r="D12" s="3">
        <v>180</v>
      </c>
      <c r="E12" s="3"/>
      <c r="F12" s="3">
        <v>210</v>
      </c>
      <c r="G12" s="3"/>
      <c r="H12" s="6">
        <f>SUM(B12:G12)</f>
        <v>590</v>
      </c>
    </row>
    <row r="13" spans="1:11" x14ac:dyDescent="0.25">
      <c r="A13">
        <f>A12</f>
        <v>0</v>
      </c>
      <c r="B13" s="3">
        <v>180</v>
      </c>
      <c r="C13" s="3">
        <v>180</v>
      </c>
      <c r="D13" s="3">
        <v>180</v>
      </c>
      <c r="E13" s="3">
        <v>180</v>
      </c>
      <c r="F13" s="3">
        <v>180</v>
      </c>
      <c r="G13" s="3">
        <v>180</v>
      </c>
      <c r="H13" s="6">
        <f>SUM(B13:G13)</f>
        <v>1080</v>
      </c>
    </row>
  </sheetData>
  <mergeCells count="1"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E67C8-2046-4C6B-8B50-F1EF3199CD19}">
  <dimension ref="A1:M9"/>
  <sheetViews>
    <sheetView zoomScale="115" zoomScaleNormal="115" workbookViewId="0">
      <selection activeCell="B11" sqref="B11"/>
    </sheetView>
  </sheetViews>
  <sheetFormatPr baseColWidth="10" defaultRowHeight="15" x14ac:dyDescent="0.25"/>
  <cols>
    <col min="2" max="2" width="18.85546875" bestFit="1" customWidth="1"/>
    <col min="3" max="3" width="31.140625" bestFit="1" customWidth="1"/>
    <col min="7" max="7" width="13.140625" bestFit="1" customWidth="1"/>
    <col min="8" max="10" width="13.140625" customWidth="1"/>
  </cols>
  <sheetData>
    <row r="1" spans="1:13" x14ac:dyDescent="0.25">
      <c r="A1" t="s">
        <v>193</v>
      </c>
      <c r="B1" t="s">
        <v>194</v>
      </c>
      <c r="C1" t="s">
        <v>195</v>
      </c>
      <c r="D1" t="s">
        <v>196</v>
      </c>
    </row>
    <row r="2" spans="1:13" x14ac:dyDescent="0.25">
      <c r="A2">
        <v>123321</v>
      </c>
      <c r="B2" t="s">
        <v>197</v>
      </c>
      <c r="C2" t="s">
        <v>198</v>
      </c>
      <c r="D2" t="s">
        <v>199</v>
      </c>
      <c r="E2" s="17">
        <f>VALUE(REPLACE(D2,FIND(".",D2,1),1,","))</f>
        <v>350</v>
      </c>
      <c r="G2" t="str">
        <f>MID(B2,1,L2)</f>
        <v xml:space="preserve">Alejandro </v>
      </c>
      <c r="H2" t="str">
        <f>LEFT(B2,L2)</f>
        <v xml:space="preserve">Alejandro </v>
      </c>
      <c r="I2" t="str">
        <f>IFERROR(MID(B2,IF(M2=0,0,L2+1),M2-(L2+1)),"")</f>
        <v/>
      </c>
      <c r="J2" t="str">
        <f t="shared" ref="J2:J9" si="0">RIGHT(B2,IF(M2=0,LEN(B2)-L2+1,LEN(B2)-M2))</f>
        <v xml:space="preserve"> Dumas</v>
      </c>
      <c r="L2">
        <f>IFERROR(FIND(" ",B2,1),0)</f>
        <v>10</v>
      </c>
      <c r="M2">
        <f>IFERROR(FIND(" ",B2,L2+1),0)</f>
        <v>0</v>
      </c>
    </row>
    <row r="3" spans="1:13" x14ac:dyDescent="0.25">
      <c r="A3">
        <v>135426</v>
      </c>
      <c r="B3" t="s">
        <v>200</v>
      </c>
      <c r="C3" t="s">
        <v>201</v>
      </c>
      <c r="D3" t="s">
        <v>202</v>
      </c>
      <c r="E3" s="17">
        <f>VALUE(REPLACE(D3,FIND(".",D3,1),1,","))</f>
        <v>345</v>
      </c>
      <c r="G3" t="str">
        <f>MID(B3,1,M3)</f>
        <v xml:space="preserve">Arthur Conan </v>
      </c>
      <c r="H3" t="str">
        <f t="shared" ref="H3:H9" si="1">LEFT(B3,L3)</f>
        <v xml:space="preserve">Arthur </v>
      </c>
      <c r="I3" t="str">
        <f t="shared" ref="I3:I9" si="2">IFERROR(MID(B3,IF(M3=0,0,L3+1),M3-(L3+1)),"")</f>
        <v>Conan</v>
      </c>
      <c r="J3" t="str">
        <f t="shared" si="0"/>
        <v>Doyle</v>
      </c>
      <c r="L3">
        <f>IFERROR(FIND(" ",B3,1),0)</f>
        <v>7</v>
      </c>
      <c r="M3">
        <f>IFERROR(FIND(" ",B3,L3+1),0)</f>
        <v>13</v>
      </c>
    </row>
    <row r="4" spans="1:13" x14ac:dyDescent="0.25">
      <c r="A4">
        <v>124578</v>
      </c>
      <c r="B4" t="s">
        <v>203</v>
      </c>
      <c r="C4" t="s">
        <v>204</v>
      </c>
      <c r="D4" t="s">
        <v>205</v>
      </c>
      <c r="E4" s="17">
        <f>VALUE(REPLACE(D4,FIND(".",D4,1),1,","))</f>
        <v>234</v>
      </c>
      <c r="G4" t="str">
        <f>MID(B4,1,L4)</f>
        <v xml:space="preserve">Benito </v>
      </c>
      <c r="H4" t="str">
        <f t="shared" si="1"/>
        <v xml:space="preserve">Benito </v>
      </c>
      <c r="I4" t="str">
        <f t="shared" si="2"/>
        <v>Perez</v>
      </c>
      <c r="J4" t="str">
        <f t="shared" si="0"/>
        <v>Galdos</v>
      </c>
      <c r="L4">
        <f t="shared" ref="L4:L9" si="3">IFERROR(FIND(" ",B4,1),0)</f>
        <v>7</v>
      </c>
      <c r="M4">
        <f t="shared" ref="M4:M9" si="4">IFERROR(FIND(" ",B4,L4+1),0)</f>
        <v>13</v>
      </c>
    </row>
    <row r="5" spans="1:13" x14ac:dyDescent="0.25">
      <c r="A5">
        <v>235678</v>
      </c>
      <c r="B5" t="s">
        <v>206</v>
      </c>
      <c r="C5" t="s">
        <v>207</v>
      </c>
      <c r="D5" t="s">
        <v>202</v>
      </c>
      <c r="E5" s="17">
        <f t="shared" ref="E5:E9" si="5">VALUE(REPLACE(D5,FIND(".",D5,1),1,","))</f>
        <v>345</v>
      </c>
      <c r="G5" t="str">
        <f>MID(B5,1,L5)</f>
        <v xml:space="preserve">Charles </v>
      </c>
      <c r="H5" t="str">
        <f t="shared" si="1"/>
        <v xml:space="preserve">Charles </v>
      </c>
      <c r="I5" t="str">
        <f t="shared" si="2"/>
        <v/>
      </c>
      <c r="J5" t="str">
        <f t="shared" si="0"/>
        <v xml:space="preserve"> Dickens</v>
      </c>
      <c r="L5">
        <f t="shared" si="3"/>
        <v>8</v>
      </c>
      <c r="M5">
        <f t="shared" si="4"/>
        <v>0</v>
      </c>
    </row>
    <row r="6" spans="1:13" x14ac:dyDescent="0.25">
      <c r="A6">
        <v>987654</v>
      </c>
      <c r="B6" t="s">
        <v>206</v>
      </c>
      <c r="C6" t="s">
        <v>208</v>
      </c>
      <c r="D6" t="s">
        <v>205</v>
      </c>
      <c r="E6" s="17">
        <f t="shared" si="5"/>
        <v>234</v>
      </c>
      <c r="G6" t="str">
        <f t="shared" ref="G6:G7" si="6">MID(B6,1,L6)</f>
        <v xml:space="preserve">Charles </v>
      </c>
      <c r="H6" t="str">
        <f t="shared" si="1"/>
        <v xml:space="preserve">Charles </v>
      </c>
      <c r="I6" t="str">
        <f t="shared" si="2"/>
        <v/>
      </c>
      <c r="J6" t="str">
        <f t="shared" si="0"/>
        <v xml:space="preserve"> Dickens</v>
      </c>
      <c r="L6">
        <f t="shared" si="3"/>
        <v>8</v>
      </c>
      <c r="M6">
        <f t="shared" si="4"/>
        <v>0</v>
      </c>
    </row>
    <row r="7" spans="1:13" x14ac:dyDescent="0.25">
      <c r="A7">
        <v>986532</v>
      </c>
      <c r="B7" t="s">
        <v>206</v>
      </c>
      <c r="C7" t="s">
        <v>209</v>
      </c>
      <c r="D7" t="s">
        <v>210</v>
      </c>
      <c r="E7" s="17">
        <f t="shared" si="5"/>
        <v>432</v>
      </c>
      <c r="G7" t="str">
        <f t="shared" si="6"/>
        <v xml:space="preserve">Charles </v>
      </c>
      <c r="H7" t="str">
        <f t="shared" si="1"/>
        <v xml:space="preserve">Charles </v>
      </c>
      <c r="I7" t="str">
        <f t="shared" si="2"/>
        <v/>
      </c>
      <c r="J7" t="str">
        <f t="shared" si="0"/>
        <v xml:space="preserve"> Dickens</v>
      </c>
      <c r="L7">
        <f t="shared" si="3"/>
        <v>8</v>
      </c>
      <c r="M7">
        <f t="shared" si="4"/>
        <v>0</v>
      </c>
    </row>
    <row r="8" spans="1:13" x14ac:dyDescent="0.25">
      <c r="A8">
        <v>876521</v>
      </c>
      <c r="B8" t="s">
        <v>213</v>
      </c>
      <c r="C8" t="s">
        <v>214</v>
      </c>
      <c r="D8" t="s">
        <v>211</v>
      </c>
      <c r="E8" s="17">
        <f t="shared" si="5"/>
        <v>34</v>
      </c>
      <c r="G8" t="str">
        <f>MID(B8,1,M8)</f>
        <v xml:space="preserve">Edgar Allan </v>
      </c>
      <c r="H8" t="str">
        <f t="shared" si="1"/>
        <v xml:space="preserve">Edgar </v>
      </c>
      <c r="I8" t="str">
        <f t="shared" si="2"/>
        <v>Allan</v>
      </c>
      <c r="J8" t="str">
        <f t="shared" si="0"/>
        <v>Poe</v>
      </c>
      <c r="L8">
        <f t="shared" si="3"/>
        <v>6</v>
      </c>
      <c r="M8">
        <f t="shared" si="4"/>
        <v>12</v>
      </c>
    </row>
    <row r="9" spans="1:13" x14ac:dyDescent="0.25">
      <c r="A9">
        <v>124567</v>
      </c>
      <c r="B9" t="s">
        <v>213</v>
      </c>
      <c r="C9" t="s">
        <v>215</v>
      </c>
      <c r="D9" t="s">
        <v>212</v>
      </c>
      <c r="E9" s="17">
        <f t="shared" si="5"/>
        <v>123</v>
      </c>
      <c r="G9" t="str">
        <f>MID(B9,1,M9)</f>
        <v xml:space="preserve">Edgar Allan </v>
      </c>
      <c r="H9" t="str">
        <f t="shared" si="1"/>
        <v xml:space="preserve">Edgar </v>
      </c>
      <c r="I9" t="str">
        <f t="shared" si="2"/>
        <v>Allan</v>
      </c>
      <c r="J9" t="str">
        <f t="shared" si="0"/>
        <v>Poe</v>
      </c>
      <c r="L9">
        <f t="shared" si="3"/>
        <v>6</v>
      </c>
      <c r="M9">
        <f t="shared" si="4"/>
        <v>12</v>
      </c>
    </row>
  </sheetData>
  <pageMargins left="0.7" right="0.7" top="0.75" bottom="0.75" header="0.3" footer="0.3"/>
  <pageSetup orientation="portrait" r:id="rId1"/>
  <ignoredErrors>
    <ignoredError sqref="G3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774A3-0A12-4E7D-9CEC-066CD3FE9C3D}">
  <dimension ref="G1:J11"/>
  <sheetViews>
    <sheetView workbookViewId="0">
      <selection activeCell="A6" sqref="A6:XFD7"/>
    </sheetView>
  </sheetViews>
  <sheetFormatPr baseColWidth="10" defaultRowHeight="15" outlineLevelRow="1" x14ac:dyDescent="0.25"/>
  <sheetData>
    <row r="1" spans="7:10" ht="30" x14ac:dyDescent="0.25">
      <c r="G1" s="7" t="s">
        <v>98</v>
      </c>
      <c r="H1" s="7" t="s">
        <v>101</v>
      </c>
      <c r="I1" t="s">
        <v>100</v>
      </c>
      <c r="J1" t="s">
        <v>99</v>
      </c>
    </row>
    <row r="2" spans="7:10" x14ac:dyDescent="0.25">
      <c r="G2" t="s">
        <v>93</v>
      </c>
      <c r="H2" t="s">
        <v>102</v>
      </c>
      <c r="I2">
        <v>1410700</v>
      </c>
      <c r="J2" t="s">
        <v>94</v>
      </c>
    </row>
    <row r="3" spans="7:10" x14ac:dyDescent="0.25">
      <c r="G3" t="s">
        <v>95</v>
      </c>
      <c r="H3" t="s">
        <v>96</v>
      </c>
      <c r="I3">
        <v>1313338</v>
      </c>
      <c r="J3" t="s">
        <v>97</v>
      </c>
    </row>
    <row r="4" spans="7:10" x14ac:dyDescent="0.25">
      <c r="G4" t="s">
        <v>103</v>
      </c>
      <c r="H4" t="s">
        <v>104</v>
      </c>
      <c r="I4">
        <v>1820888</v>
      </c>
      <c r="J4" t="s">
        <v>105</v>
      </c>
    </row>
    <row r="5" spans="7:10" x14ac:dyDescent="0.25">
      <c r="G5" t="s">
        <v>106</v>
      </c>
      <c r="H5" t="s">
        <v>104</v>
      </c>
      <c r="I5">
        <v>193161</v>
      </c>
      <c r="J5" t="s">
        <v>107</v>
      </c>
    </row>
    <row r="6" spans="7:10" outlineLevel="1" x14ac:dyDescent="0.25">
      <c r="G6" t="s">
        <v>108</v>
      </c>
      <c r="H6" t="s">
        <v>109</v>
      </c>
      <c r="I6">
        <v>1688258</v>
      </c>
      <c r="J6" t="s">
        <v>110</v>
      </c>
    </row>
    <row r="7" spans="7:10" outlineLevel="1" x14ac:dyDescent="0.25">
      <c r="G7" t="s">
        <v>111</v>
      </c>
      <c r="H7" t="s">
        <v>109</v>
      </c>
      <c r="I7">
        <v>1140528</v>
      </c>
      <c r="J7" t="s">
        <v>112</v>
      </c>
    </row>
    <row r="8" spans="7:10" x14ac:dyDescent="0.25">
      <c r="G8" t="s">
        <v>113</v>
      </c>
      <c r="H8" t="s">
        <v>114</v>
      </c>
      <c r="I8">
        <v>1278087</v>
      </c>
      <c r="J8" t="s">
        <v>115</v>
      </c>
    </row>
    <row r="9" spans="7:10" outlineLevel="1" x14ac:dyDescent="0.25">
      <c r="G9" t="s">
        <v>116</v>
      </c>
      <c r="H9" t="s">
        <v>117</v>
      </c>
      <c r="I9">
        <v>1600940</v>
      </c>
      <c r="J9" t="s">
        <v>118</v>
      </c>
    </row>
    <row r="10" spans="7:10" outlineLevel="1" x14ac:dyDescent="0.25">
      <c r="G10" t="s">
        <v>119</v>
      </c>
      <c r="H10" t="s">
        <v>117</v>
      </c>
      <c r="I10">
        <v>155790</v>
      </c>
      <c r="J10" t="s">
        <v>120</v>
      </c>
    </row>
    <row r="11" spans="7:10" x14ac:dyDescent="0.25">
      <c r="G11" t="s">
        <v>121</v>
      </c>
      <c r="H11" t="s">
        <v>121</v>
      </c>
      <c r="I11">
        <v>1485941</v>
      </c>
      <c r="J11" t="s">
        <v>122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12A72-5C80-4A8F-A34D-2180E82DFA50}">
  <dimension ref="A1:N40"/>
  <sheetViews>
    <sheetView topLeftCell="B23" workbookViewId="0">
      <selection activeCell="I2" sqref="I2:I39"/>
    </sheetView>
  </sheetViews>
  <sheetFormatPr baseColWidth="10" defaultRowHeight="15" x14ac:dyDescent="0.25"/>
  <cols>
    <col min="1" max="1" width="19.140625" customWidth="1"/>
    <col min="2" max="2" width="11.42578125" customWidth="1"/>
    <col min="3" max="3" width="35.42578125" bestFit="1" customWidth="1"/>
    <col min="6" max="6" width="12.5703125" bestFit="1" customWidth="1"/>
    <col min="7" max="7" width="13.7109375" bestFit="1" customWidth="1"/>
    <col min="8" max="8" width="15.42578125" bestFit="1" customWidth="1"/>
    <col min="9" max="9" width="22.140625" bestFit="1" customWidth="1"/>
    <col min="10" max="10" width="23.85546875" bestFit="1" customWidth="1"/>
    <col min="11" max="11" width="4.28515625" customWidth="1"/>
  </cols>
  <sheetData>
    <row r="1" spans="1:14" x14ac:dyDescent="0.25">
      <c r="A1" t="s">
        <v>123</v>
      </c>
      <c r="B1" t="s">
        <v>124</v>
      </c>
      <c r="C1" t="s">
        <v>125</v>
      </c>
    </row>
    <row r="2" spans="1:14" x14ac:dyDescent="0.25">
      <c r="A2" t="s">
        <v>126</v>
      </c>
      <c r="B2" s="8">
        <v>12301656</v>
      </c>
      <c r="C2" t="s">
        <v>127</v>
      </c>
      <c r="E2" t="str">
        <f t="shared" ref="E2:E39" si="0">MID(A2:A39,1,FIND(" ",A2:A39,1))</f>
        <v xml:space="preserve">CNCI </v>
      </c>
      <c r="F2" t="str">
        <f t="shared" ref="F2:F39" si="1">MID(A2:A39,FIND(" ",A2:A39,1)+1,LEN(A2:A39)-FIND(" ",A2:A39,1))</f>
        <v>Ajusto</v>
      </c>
      <c r="G2" t="str">
        <f t="shared" ref="G2:G39" si="2">TEXT(B2:B39,"$#.##0,00")</f>
        <v>$12.301.656,00</v>
      </c>
      <c r="H2" s="9">
        <f>IFERROR(VALUE(G2),"XXX")</f>
        <v>12301656</v>
      </c>
      <c r="I2" t="str">
        <f>LEFT(C2,IF(N2&lt;&gt;0,M2,L2))</f>
        <v xml:space="preserve">SOFIA LIZETH </v>
      </c>
      <c r="J2" t="str">
        <f>RIGHT(C2,IF(N2&lt;&gt;0,LEN(C2)-M2,LEN(C2)-L2))</f>
        <v>RENDON RENDON</v>
      </c>
      <c r="L2">
        <f>FIND(" ",C2,1)</f>
        <v>6</v>
      </c>
      <c r="M2">
        <f>FIND(" ",C2,L2+1)</f>
        <v>13</v>
      </c>
      <c r="N2">
        <f>IFERROR(FIND(" ",C2,M2+1),0)</f>
        <v>20</v>
      </c>
    </row>
    <row r="3" spans="1:14" x14ac:dyDescent="0.25">
      <c r="A3" t="s">
        <v>126</v>
      </c>
      <c r="B3">
        <v>12301936</v>
      </c>
      <c r="C3" t="s">
        <v>128</v>
      </c>
      <c r="E3" t="str">
        <f t="shared" si="0"/>
        <v xml:space="preserve">CNCI </v>
      </c>
      <c r="F3" t="str">
        <f t="shared" si="1"/>
        <v>Ajusto</v>
      </c>
      <c r="G3" t="str">
        <f t="shared" si="2"/>
        <v>$12.301.936,00</v>
      </c>
      <c r="H3" s="9">
        <f t="shared" ref="H3:H39" si="3">IFERROR(VALUE(G3),"XXX")</f>
        <v>12301936</v>
      </c>
      <c r="I3" t="str">
        <f t="shared" ref="I3:I39" si="4">LEFT(C3,IF(N3&lt;&gt;0,M3,L3))</f>
        <v xml:space="preserve">FERNANDO ULISES </v>
      </c>
      <c r="J3" t="str">
        <f t="shared" ref="J3:J39" si="5">RIGHT(C3,IF(N3&lt;&gt;0,LEN(C3)-M3,LEN(C3)-L3))</f>
        <v>BARRON GONZALEZ</v>
      </c>
      <c r="L3">
        <f t="shared" ref="L3:L39" si="6">FIND(" ",C3,1)</f>
        <v>9</v>
      </c>
      <c r="M3">
        <f t="shared" ref="M3:M39" si="7">FIND(" ",C3,L3+1)</f>
        <v>16</v>
      </c>
      <c r="N3">
        <f t="shared" ref="N3:N39" si="8">IFERROR(FIND(" ",C3,M3+1),0)</f>
        <v>23</v>
      </c>
    </row>
    <row r="4" spans="1:14" x14ac:dyDescent="0.25">
      <c r="A4" t="s">
        <v>129</v>
      </c>
      <c r="B4">
        <v>1800873</v>
      </c>
      <c r="C4" t="s">
        <v>130</v>
      </c>
      <c r="D4">
        <f>LEN(C4)</f>
        <v>29</v>
      </c>
      <c r="E4" t="str">
        <f t="shared" si="0"/>
        <v xml:space="preserve">CNCI </v>
      </c>
      <c r="F4" t="str">
        <f t="shared" si="1"/>
        <v>Aragon</v>
      </c>
      <c r="G4" t="str">
        <f t="shared" si="2"/>
        <v>$1.800.873,00</v>
      </c>
      <c r="H4" s="9">
        <f t="shared" si="3"/>
        <v>1800873</v>
      </c>
      <c r="I4" t="str">
        <f t="shared" si="4"/>
        <v xml:space="preserve">MARIAN ANABEL </v>
      </c>
      <c r="J4" t="str">
        <f t="shared" si="5"/>
        <v>RODRIGUEZ GOMEZ</v>
      </c>
      <c r="L4">
        <f t="shared" si="6"/>
        <v>7</v>
      </c>
      <c r="M4">
        <f t="shared" si="7"/>
        <v>14</v>
      </c>
      <c r="N4">
        <f t="shared" si="8"/>
        <v>24</v>
      </c>
    </row>
    <row r="5" spans="1:14" x14ac:dyDescent="0.25">
      <c r="A5" t="s">
        <v>129</v>
      </c>
      <c r="B5">
        <v>1801225</v>
      </c>
      <c r="C5" t="s">
        <v>131</v>
      </c>
      <c r="E5" t="str">
        <f t="shared" si="0"/>
        <v xml:space="preserve">CNCI </v>
      </c>
      <c r="F5" t="str">
        <f t="shared" si="1"/>
        <v>Aragon</v>
      </c>
      <c r="G5" t="str">
        <f t="shared" si="2"/>
        <v>$1.801.225,00</v>
      </c>
      <c r="H5" s="9">
        <f t="shared" si="3"/>
        <v>1801225</v>
      </c>
      <c r="I5" t="str">
        <f t="shared" si="4"/>
        <v xml:space="preserve">FERNANDO </v>
      </c>
      <c r="J5" t="str">
        <f>RIGHT(C5,IF(N5&lt;&gt;0,LEN(C5)-M5,LEN(C5)-L5))</f>
        <v>RICO MONTOYA</v>
      </c>
      <c r="L5">
        <f t="shared" si="6"/>
        <v>9</v>
      </c>
      <c r="M5">
        <f t="shared" si="7"/>
        <v>14</v>
      </c>
      <c r="N5">
        <f t="shared" si="8"/>
        <v>0</v>
      </c>
    </row>
    <row r="6" spans="1:14" x14ac:dyDescent="0.25">
      <c r="A6" t="s">
        <v>129</v>
      </c>
      <c r="B6">
        <v>1801305</v>
      </c>
      <c r="C6" t="s">
        <v>132</v>
      </c>
      <c r="E6" t="str">
        <f t="shared" si="0"/>
        <v xml:space="preserve">CNCI </v>
      </c>
      <c r="F6" t="str">
        <f t="shared" si="1"/>
        <v>Aragon</v>
      </c>
      <c r="G6" t="str">
        <f t="shared" si="2"/>
        <v>$1.801.305,00</v>
      </c>
      <c r="H6" s="9">
        <f t="shared" si="3"/>
        <v>1801305</v>
      </c>
      <c r="I6" t="str">
        <f t="shared" si="4"/>
        <v xml:space="preserve">JAVIER </v>
      </c>
      <c r="J6" t="str">
        <f t="shared" si="5"/>
        <v>RAMIREZ NAJERA</v>
      </c>
      <c r="L6">
        <f t="shared" si="6"/>
        <v>7</v>
      </c>
      <c r="M6">
        <f t="shared" si="7"/>
        <v>15</v>
      </c>
      <c r="N6">
        <f t="shared" si="8"/>
        <v>0</v>
      </c>
    </row>
    <row r="7" spans="1:14" x14ac:dyDescent="0.25">
      <c r="A7" t="s">
        <v>129</v>
      </c>
      <c r="B7">
        <v>1800728</v>
      </c>
      <c r="C7" t="s">
        <v>133</v>
      </c>
      <c r="E7" t="str">
        <f t="shared" si="0"/>
        <v xml:space="preserve">CNCI </v>
      </c>
      <c r="F7" t="str">
        <f t="shared" si="1"/>
        <v>Aragon</v>
      </c>
      <c r="G7" t="str">
        <f t="shared" si="2"/>
        <v>$1.800.728,00</v>
      </c>
      <c r="H7" s="9">
        <f t="shared" si="3"/>
        <v>1800728</v>
      </c>
      <c r="I7" t="str">
        <f t="shared" si="4"/>
        <v xml:space="preserve">ARGENIS </v>
      </c>
      <c r="J7" t="str">
        <f t="shared" si="5"/>
        <v>GONZALEZ HERNANDEZ</v>
      </c>
      <c r="L7">
        <f t="shared" si="6"/>
        <v>8</v>
      </c>
      <c r="M7">
        <f t="shared" si="7"/>
        <v>17</v>
      </c>
      <c r="N7">
        <f t="shared" si="8"/>
        <v>0</v>
      </c>
    </row>
    <row r="8" spans="1:14" x14ac:dyDescent="0.25">
      <c r="A8" t="s">
        <v>129</v>
      </c>
      <c r="B8">
        <v>1801758</v>
      </c>
      <c r="C8" t="s">
        <v>134</v>
      </c>
      <c r="E8" t="str">
        <f t="shared" si="0"/>
        <v xml:space="preserve">CNCI </v>
      </c>
      <c r="F8" t="str">
        <f t="shared" si="1"/>
        <v>Aragon</v>
      </c>
      <c r="G8" t="str">
        <f t="shared" si="2"/>
        <v>$1.801.758,00</v>
      </c>
      <c r="H8" s="9">
        <f t="shared" si="3"/>
        <v>1801758</v>
      </c>
      <c r="I8" t="str">
        <f t="shared" si="4"/>
        <v xml:space="preserve">RICARDO IVAN </v>
      </c>
      <c r="J8" t="str">
        <f t="shared" si="5"/>
        <v>MATA GRANADOS</v>
      </c>
      <c r="L8">
        <f t="shared" si="6"/>
        <v>8</v>
      </c>
      <c r="M8">
        <f t="shared" si="7"/>
        <v>13</v>
      </c>
      <c r="N8">
        <f t="shared" si="8"/>
        <v>18</v>
      </c>
    </row>
    <row r="9" spans="1:14" x14ac:dyDescent="0.25">
      <c r="A9" t="s">
        <v>135</v>
      </c>
      <c r="B9">
        <v>9201440</v>
      </c>
      <c r="C9" t="s">
        <v>136</v>
      </c>
      <c r="E9" t="str">
        <f t="shared" si="0"/>
        <v xml:space="preserve">CNCI </v>
      </c>
      <c r="F9" t="str">
        <f t="shared" si="1"/>
        <v>Atlaticlo</v>
      </c>
      <c r="G9" t="str">
        <f t="shared" si="2"/>
        <v>$9.201.440,00</v>
      </c>
      <c r="H9" s="9">
        <f t="shared" si="3"/>
        <v>9201440</v>
      </c>
      <c r="I9" t="str">
        <f t="shared" si="4"/>
        <v xml:space="preserve">JUAN CARLOS </v>
      </c>
      <c r="J9" t="str">
        <f t="shared" si="5"/>
        <v>VELAZQUEZ ROMERO</v>
      </c>
      <c r="L9">
        <f t="shared" si="6"/>
        <v>5</v>
      </c>
      <c r="M9">
        <f t="shared" si="7"/>
        <v>12</v>
      </c>
      <c r="N9">
        <f t="shared" si="8"/>
        <v>22</v>
      </c>
    </row>
    <row r="10" spans="1:14" x14ac:dyDescent="0.25">
      <c r="A10" t="s">
        <v>135</v>
      </c>
      <c r="B10">
        <v>9200442</v>
      </c>
      <c r="C10" t="s">
        <v>137</v>
      </c>
      <c r="E10" t="str">
        <f t="shared" si="0"/>
        <v xml:space="preserve">CNCI </v>
      </c>
      <c r="F10" t="str">
        <f t="shared" si="1"/>
        <v>Atlaticlo</v>
      </c>
      <c r="G10" t="str">
        <f t="shared" si="2"/>
        <v>$9.200.442,00</v>
      </c>
      <c r="H10" s="9">
        <f t="shared" si="3"/>
        <v>9200442</v>
      </c>
      <c r="I10" t="str">
        <f t="shared" si="4"/>
        <v xml:space="preserve">JESUS </v>
      </c>
      <c r="J10" t="str">
        <f t="shared" si="5"/>
        <v>FRANCO CASTAÑEDA</v>
      </c>
      <c r="L10">
        <f t="shared" si="6"/>
        <v>6</v>
      </c>
      <c r="M10">
        <f t="shared" si="7"/>
        <v>13</v>
      </c>
      <c r="N10">
        <f t="shared" si="8"/>
        <v>0</v>
      </c>
    </row>
    <row r="11" spans="1:14" x14ac:dyDescent="0.25">
      <c r="A11" t="s">
        <v>138</v>
      </c>
      <c r="B11">
        <v>4601638</v>
      </c>
      <c r="C11" t="s">
        <v>139</v>
      </c>
      <c r="E11" t="str">
        <f t="shared" si="0"/>
        <v xml:space="preserve">CNCI </v>
      </c>
      <c r="F11" t="str">
        <f t="shared" si="1"/>
        <v>Atzcaoitzalco</v>
      </c>
      <c r="G11" t="str">
        <f t="shared" si="2"/>
        <v>$4.601.638,00</v>
      </c>
      <c r="H11" s="9">
        <f t="shared" si="3"/>
        <v>4601638</v>
      </c>
      <c r="I11" t="str">
        <f t="shared" si="4"/>
        <v xml:space="preserve">FRANCISCO ALFONSO </v>
      </c>
      <c r="J11" t="str">
        <f t="shared" si="5"/>
        <v>GRUZ GARCIA</v>
      </c>
      <c r="L11">
        <f t="shared" si="6"/>
        <v>10</v>
      </c>
      <c r="M11">
        <f t="shared" si="7"/>
        <v>18</v>
      </c>
      <c r="N11">
        <f t="shared" si="8"/>
        <v>23</v>
      </c>
    </row>
    <row r="12" spans="1:14" x14ac:dyDescent="0.25">
      <c r="A12" t="s">
        <v>138</v>
      </c>
      <c r="B12">
        <v>4601632</v>
      </c>
      <c r="C12" t="s">
        <v>140</v>
      </c>
      <c r="E12" t="str">
        <f t="shared" si="0"/>
        <v xml:space="preserve">CNCI </v>
      </c>
      <c r="F12" t="str">
        <f t="shared" si="1"/>
        <v>Atzcaoitzalco</v>
      </c>
      <c r="G12" t="str">
        <f t="shared" si="2"/>
        <v>$4.601.632,00</v>
      </c>
      <c r="H12" s="9">
        <f t="shared" si="3"/>
        <v>4601632</v>
      </c>
      <c r="I12" t="str">
        <f t="shared" si="4"/>
        <v xml:space="preserve">KARLA IRENE </v>
      </c>
      <c r="J12" t="str">
        <f t="shared" si="5"/>
        <v>BERLIN RODRIGUEZ</v>
      </c>
      <c r="L12">
        <f t="shared" si="6"/>
        <v>6</v>
      </c>
      <c r="M12">
        <f t="shared" si="7"/>
        <v>12</v>
      </c>
      <c r="N12">
        <f t="shared" si="8"/>
        <v>19</v>
      </c>
    </row>
    <row r="13" spans="1:14" x14ac:dyDescent="0.25">
      <c r="A13" t="s">
        <v>138</v>
      </c>
      <c r="B13">
        <v>4600938</v>
      </c>
      <c r="C13" t="s">
        <v>141</v>
      </c>
      <c r="E13" t="str">
        <f t="shared" si="0"/>
        <v xml:space="preserve">CNCI </v>
      </c>
      <c r="F13" t="str">
        <f t="shared" si="1"/>
        <v>Atzcaoitzalco</v>
      </c>
      <c r="G13" t="str">
        <f t="shared" si="2"/>
        <v>$4.600.938,00</v>
      </c>
      <c r="H13" s="9">
        <f t="shared" si="3"/>
        <v>4600938</v>
      </c>
      <c r="I13" t="str">
        <f t="shared" si="4"/>
        <v xml:space="preserve">ANDREA </v>
      </c>
      <c r="J13" t="str">
        <f t="shared" si="5"/>
        <v>GONZALEZ CONTRERAS</v>
      </c>
      <c r="L13">
        <f t="shared" si="6"/>
        <v>7</v>
      </c>
      <c r="M13">
        <f t="shared" si="7"/>
        <v>16</v>
      </c>
      <c r="N13">
        <f t="shared" si="8"/>
        <v>0</v>
      </c>
    </row>
    <row r="14" spans="1:14" x14ac:dyDescent="0.25">
      <c r="A14" t="s">
        <v>138</v>
      </c>
      <c r="B14">
        <v>4601821</v>
      </c>
      <c r="C14" t="s">
        <v>142</v>
      </c>
      <c r="E14" t="str">
        <f t="shared" si="0"/>
        <v xml:space="preserve">CNCI </v>
      </c>
      <c r="F14" t="str">
        <f t="shared" si="1"/>
        <v>Atzcaoitzalco</v>
      </c>
      <c r="G14" t="str">
        <f t="shared" si="2"/>
        <v>$4.601.821,00</v>
      </c>
      <c r="H14" s="9">
        <f t="shared" si="3"/>
        <v>4601821</v>
      </c>
      <c r="I14" t="str">
        <f t="shared" si="4"/>
        <v xml:space="preserve">REYNALDO </v>
      </c>
      <c r="J14" t="str">
        <f t="shared" si="5"/>
        <v>LOPEZ HERNANDEZ</v>
      </c>
      <c r="L14">
        <f t="shared" si="6"/>
        <v>9</v>
      </c>
      <c r="M14">
        <f t="shared" si="7"/>
        <v>15</v>
      </c>
      <c r="N14">
        <f t="shared" si="8"/>
        <v>0</v>
      </c>
    </row>
    <row r="15" spans="1:14" x14ac:dyDescent="0.25">
      <c r="A15" t="s">
        <v>143</v>
      </c>
      <c r="B15">
        <v>6302167</v>
      </c>
      <c r="C15" t="s">
        <v>144</v>
      </c>
      <c r="E15" t="str">
        <f t="shared" si="0"/>
        <v xml:space="preserve">CNCI </v>
      </c>
      <c r="F15" t="str">
        <f t="shared" si="1"/>
        <v>Cuicuilco</v>
      </c>
      <c r="G15" t="str">
        <f t="shared" si="2"/>
        <v>$6.302.167,00</v>
      </c>
      <c r="H15" s="9">
        <f t="shared" si="3"/>
        <v>6302167</v>
      </c>
      <c r="I15" t="str">
        <f t="shared" si="4"/>
        <v xml:space="preserve">MAXIMILIANO </v>
      </c>
      <c r="J15" t="str">
        <f t="shared" si="5"/>
        <v>VILLEGAS BATALLA</v>
      </c>
      <c r="L15">
        <f t="shared" si="6"/>
        <v>12</v>
      </c>
      <c r="M15">
        <f t="shared" si="7"/>
        <v>21</v>
      </c>
      <c r="N15">
        <f t="shared" si="8"/>
        <v>0</v>
      </c>
    </row>
    <row r="16" spans="1:14" x14ac:dyDescent="0.25">
      <c r="A16" t="s">
        <v>143</v>
      </c>
      <c r="B16">
        <v>6301817</v>
      </c>
      <c r="C16" t="s">
        <v>145</v>
      </c>
      <c r="E16" t="str">
        <f t="shared" si="0"/>
        <v xml:space="preserve">CNCI </v>
      </c>
      <c r="F16" t="str">
        <f t="shared" si="1"/>
        <v>Cuicuilco</v>
      </c>
      <c r="G16" t="str">
        <f t="shared" si="2"/>
        <v>$6.301.817,00</v>
      </c>
      <c r="H16" s="9">
        <f t="shared" si="3"/>
        <v>6301817</v>
      </c>
      <c r="I16" t="str">
        <f t="shared" si="4"/>
        <v xml:space="preserve">MATILDE </v>
      </c>
      <c r="J16" t="str">
        <f t="shared" si="5"/>
        <v>APARICIO CALVILLO</v>
      </c>
      <c r="L16">
        <f t="shared" si="6"/>
        <v>8</v>
      </c>
      <c r="M16">
        <f t="shared" si="7"/>
        <v>17</v>
      </c>
      <c r="N16">
        <f t="shared" si="8"/>
        <v>0</v>
      </c>
    </row>
    <row r="17" spans="1:14" x14ac:dyDescent="0.25">
      <c r="A17" t="s">
        <v>143</v>
      </c>
      <c r="B17">
        <v>6301708</v>
      </c>
      <c r="C17" t="s">
        <v>146</v>
      </c>
      <c r="E17" t="str">
        <f t="shared" si="0"/>
        <v xml:space="preserve">CNCI </v>
      </c>
      <c r="F17" t="str">
        <f t="shared" si="1"/>
        <v>Cuicuilco</v>
      </c>
      <c r="G17" t="str">
        <f t="shared" si="2"/>
        <v>$6.301.708,00</v>
      </c>
      <c r="H17" s="9">
        <f t="shared" si="3"/>
        <v>6301708</v>
      </c>
      <c r="I17" t="str">
        <f t="shared" si="4"/>
        <v xml:space="preserve">ALEJANDRO </v>
      </c>
      <c r="J17" t="str">
        <f t="shared" si="5"/>
        <v>GONZALEZ PEREZ</v>
      </c>
      <c r="L17">
        <f t="shared" si="6"/>
        <v>10</v>
      </c>
      <c r="M17">
        <f t="shared" si="7"/>
        <v>19</v>
      </c>
      <c r="N17">
        <f t="shared" si="8"/>
        <v>0</v>
      </c>
    </row>
    <row r="18" spans="1:14" x14ac:dyDescent="0.25">
      <c r="A18" t="s">
        <v>143</v>
      </c>
      <c r="B18">
        <v>6301832</v>
      </c>
      <c r="C18" t="s">
        <v>147</v>
      </c>
      <c r="E18" t="str">
        <f t="shared" si="0"/>
        <v xml:space="preserve">CNCI </v>
      </c>
      <c r="F18" t="str">
        <f t="shared" si="1"/>
        <v>Cuicuilco</v>
      </c>
      <c r="G18" t="str">
        <f t="shared" si="2"/>
        <v>$6.301.832,00</v>
      </c>
      <c r="H18" s="9">
        <f t="shared" si="3"/>
        <v>6301832</v>
      </c>
      <c r="I18" t="str">
        <f t="shared" si="4"/>
        <v xml:space="preserve">ALDO </v>
      </c>
      <c r="J18" t="str">
        <f t="shared" si="5"/>
        <v>ROSAS RANGEL</v>
      </c>
      <c r="L18">
        <f t="shared" si="6"/>
        <v>5</v>
      </c>
      <c r="M18">
        <f t="shared" si="7"/>
        <v>11</v>
      </c>
      <c r="N18">
        <f t="shared" si="8"/>
        <v>0</v>
      </c>
    </row>
    <row r="19" spans="1:14" x14ac:dyDescent="0.25">
      <c r="A19" t="s">
        <v>143</v>
      </c>
      <c r="B19">
        <v>6302150</v>
      </c>
      <c r="C19" t="s">
        <v>148</v>
      </c>
      <c r="E19" t="str">
        <f t="shared" si="0"/>
        <v xml:space="preserve">CNCI </v>
      </c>
      <c r="F19" t="str">
        <f t="shared" si="1"/>
        <v>Cuicuilco</v>
      </c>
      <c r="G19" t="str">
        <f t="shared" si="2"/>
        <v>$6.302.150,00</v>
      </c>
      <c r="H19" s="9">
        <f t="shared" si="3"/>
        <v>6302150</v>
      </c>
      <c r="I19" t="str">
        <f t="shared" si="4"/>
        <v xml:space="preserve">JOSE FRANCISCO </v>
      </c>
      <c r="J19" t="str">
        <f t="shared" si="5"/>
        <v>PALACIO ACEVEDO</v>
      </c>
      <c r="L19">
        <f t="shared" si="6"/>
        <v>5</v>
      </c>
      <c r="M19">
        <f t="shared" si="7"/>
        <v>15</v>
      </c>
      <c r="N19">
        <f t="shared" si="8"/>
        <v>23</v>
      </c>
    </row>
    <row r="20" spans="1:14" x14ac:dyDescent="0.25">
      <c r="A20" t="s">
        <v>143</v>
      </c>
      <c r="B20">
        <v>6301031</v>
      </c>
      <c r="C20" t="s">
        <v>149</v>
      </c>
      <c r="E20" t="str">
        <f t="shared" si="0"/>
        <v xml:space="preserve">CNCI </v>
      </c>
      <c r="F20" t="str">
        <f t="shared" si="1"/>
        <v>Cuicuilco</v>
      </c>
      <c r="G20" t="str">
        <f t="shared" si="2"/>
        <v>$6.301.031,00</v>
      </c>
      <c r="H20" s="9">
        <f t="shared" si="3"/>
        <v>6301031</v>
      </c>
      <c r="I20" t="str">
        <f t="shared" si="4"/>
        <v xml:space="preserve">RENE </v>
      </c>
      <c r="J20" t="str">
        <f t="shared" si="5"/>
        <v>OROPEZA SOTELO</v>
      </c>
      <c r="L20">
        <f t="shared" si="6"/>
        <v>5</v>
      </c>
      <c r="M20">
        <f t="shared" si="7"/>
        <v>13</v>
      </c>
      <c r="N20">
        <f t="shared" si="8"/>
        <v>0</v>
      </c>
    </row>
    <row r="21" spans="1:14" x14ac:dyDescent="0.25">
      <c r="A21" t="s">
        <v>143</v>
      </c>
      <c r="B21">
        <v>6301059</v>
      </c>
      <c r="C21" t="s">
        <v>150</v>
      </c>
      <c r="E21" t="str">
        <f t="shared" si="0"/>
        <v xml:space="preserve">CNCI </v>
      </c>
      <c r="F21" t="str">
        <f t="shared" si="1"/>
        <v>Cuicuilco</v>
      </c>
      <c r="G21" t="str">
        <f t="shared" si="2"/>
        <v>$6.301.059,00</v>
      </c>
      <c r="H21" s="9">
        <f t="shared" si="3"/>
        <v>6301059</v>
      </c>
      <c r="I21" t="str">
        <f t="shared" si="4"/>
        <v xml:space="preserve">HUGO ALBERTO </v>
      </c>
      <c r="J21" t="str">
        <f t="shared" si="5"/>
        <v>CABALLERO ORTEGA</v>
      </c>
      <c r="L21">
        <f t="shared" si="6"/>
        <v>5</v>
      </c>
      <c r="M21">
        <f t="shared" si="7"/>
        <v>13</v>
      </c>
      <c r="N21">
        <f t="shared" si="8"/>
        <v>23</v>
      </c>
    </row>
    <row r="22" spans="1:14" x14ac:dyDescent="0.25">
      <c r="A22" t="s">
        <v>143</v>
      </c>
      <c r="B22">
        <v>6301174</v>
      </c>
      <c r="C22" t="s">
        <v>151</v>
      </c>
      <c r="E22" t="str">
        <f t="shared" si="0"/>
        <v xml:space="preserve">CNCI </v>
      </c>
      <c r="F22" t="str">
        <f t="shared" si="1"/>
        <v>Cuicuilco</v>
      </c>
      <c r="G22" t="str">
        <f t="shared" si="2"/>
        <v>$6.301.174,00</v>
      </c>
      <c r="H22" s="9">
        <f t="shared" si="3"/>
        <v>6301174</v>
      </c>
      <c r="I22" t="str">
        <f t="shared" si="4"/>
        <v xml:space="preserve">ODON JORGE </v>
      </c>
      <c r="J22" t="str">
        <f t="shared" si="5"/>
        <v>ALEJANDRO DIAZ</v>
      </c>
      <c r="L22">
        <f t="shared" si="6"/>
        <v>5</v>
      </c>
      <c r="M22">
        <f t="shared" si="7"/>
        <v>11</v>
      </c>
      <c r="N22">
        <f t="shared" si="8"/>
        <v>21</v>
      </c>
    </row>
    <row r="23" spans="1:14" x14ac:dyDescent="0.25">
      <c r="A23" t="s">
        <v>143</v>
      </c>
      <c r="B23">
        <v>6300903</v>
      </c>
      <c r="C23" t="s">
        <v>152</v>
      </c>
      <c r="E23" t="str">
        <f t="shared" si="0"/>
        <v xml:space="preserve">CNCI </v>
      </c>
      <c r="F23" t="str">
        <f t="shared" si="1"/>
        <v>Cuicuilco</v>
      </c>
      <c r="G23" t="str">
        <f t="shared" si="2"/>
        <v>$6.300.903,00</v>
      </c>
      <c r="H23" s="9">
        <f t="shared" si="3"/>
        <v>6300903</v>
      </c>
      <c r="I23" t="str">
        <f t="shared" si="4"/>
        <v xml:space="preserve">DAVID </v>
      </c>
      <c r="J23" t="str">
        <f t="shared" si="5"/>
        <v>MORENTIEL JOSE</v>
      </c>
      <c r="L23">
        <f t="shared" si="6"/>
        <v>6</v>
      </c>
      <c r="M23">
        <f t="shared" si="7"/>
        <v>16</v>
      </c>
      <c r="N23">
        <f t="shared" si="8"/>
        <v>0</v>
      </c>
    </row>
    <row r="24" spans="1:14" x14ac:dyDescent="0.25">
      <c r="A24" t="s">
        <v>143</v>
      </c>
      <c r="B24">
        <v>6301590</v>
      </c>
      <c r="C24" t="s">
        <v>153</v>
      </c>
      <c r="E24" t="str">
        <f t="shared" si="0"/>
        <v xml:space="preserve">CNCI </v>
      </c>
      <c r="F24" t="str">
        <f t="shared" si="1"/>
        <v>Cuicuilco</v>
      </c>
      <c r="G24" t="str">
        <f t="shared" si="2"/>
        <v>$6.301.590,00</v>
      </c>
      <c r="H24" s="9">
        <f t="shared" si="3"/>
        <v>6301590</v>
      </c>
      <c r="I24" t="str">
        <f t="shared" si="4"/>
        <v xml:space="preserve">NANCY </v>
      </c>
      <c r="J24" t="str">
        <f t="shared" si="5"/>
        <v>MAR ALVAREZ</v>
      </c>
      <c r="L24">
        <f t="shared" si="6"/>
        <v>6</v>
      </c>
      <c r="M24">
        <f t="shared" si="7"/>
        <v>10</v>
      </c>
      <c r="N24">
        <f t="shared" si="8"/>
        <v>0</v>
      </c>
    </row>
    <row r="25" spans="1:14" x14ac:dyDescent="0.25">
      <c r="A25" t="s">
        <v>143</v>
      </c>
      <c r="B25">
        <v>3602301</v>
      </c>
      <c r="C25" t="s">
        <v>154</v>
      </c>
      <c r="E25" t="str">
        <f t="shared" si="0"/>
        <v xml:space="preserve">CNCI </v>
      </c>
      <c r="F25" t="str">
        <f t="shared" si="1"/>
        <v>Cuicuilco</v>
      </c>
      <c r="G25" t="str">
        <f t="shared" si="2"/>
        <v>$3.602.301,00</v>
      </c>
      <c r="H25" s="9">
        <f t="shared" si="3"/>
        <v>3602301</v>
      </c>
      <c r="I25" t="str">
        <f t="shared" si="4"/>
        <v xml:space="preserve">ANGEL URIEL </v>
      </c>
      <c r="J25" t="str">
        <f t="shared" si="5"/>
        <v>RIVERA NUÑEZ</v>
      </c>
      <c r="L25">
        <f t="shared" si="6"/>
        <v>6</v>
      </c>
      <c r="M25">
        <f t="shared" si="7"/>
        <v>12</v>
      </c>
      <c r="N25">
        <f t="shared" si="8"/>
        <v>19</v>
      </c>
    </row>
    <row r="26" spans="1:14" x14ac:dyDescent="0.25">
      <c r="A26" t="s">
        <v>143</v>
      </c>
      <c r="B26">
        <v>6301720</v>
      </c>
      <c r="C26" t="s">
        <v>155</v>
      </c>
      <c r="E26" t="str">
        <f t="shared" si="0"/>
        <v xml:space="preserve">CNCI </v>
      </c>
      <c r="F26" t="str">
        <f t="shared" si="1"/>
        <v>Cuicuilco</v>
      </c>
      <c r="G26" t="str">
        <f t="shared" si="2"/>
        <v>$6.301.720,00</v>
      </c>
      <c r="H26" s="9">
        <f t="shared" si="3"/>
        <v>6301720</v>
      </c>
      <c r="I26" t="str">
        <f t="shared" si="4"/>
        <v xml:space="preserve">CLAUDIA </v>
      </c>
      <c r="J26" t="str">
        <f t="shared" si="5"/>
        <v>MICHELLE LIRACHUNUÑEZ</v>
      </c>
      <c r="L26">
        <f t="shared" si="6"/>
        <v>8</v>
      </c>
      <c r="M26">
        <f t="shared" si="7"/>
        <v>17</v>
      </c>
      <c r="N26">
        <f t="shared" si="8"/>
        <v>0</v>
      </c>
    </row>
    <row r="27" spans="1:14" x14ac:dyDescent="0.25">
      <c r="A27" t="s">
        <v>143</v>
      </c>
      <c r="B27">
        <v>6301865</v>
      </c>
      <c r="C27" t="s">
        <v>156</v>
      </c>
      <c r="E27" t="str">
        <f t="shared" si="0"/>
        <v xml:space="preserve">CNCI </v>
      </c>
      <c r="F27" t="str">
        <f t="shared" si="1"/>
        <v>Cuicuilco</v>
      </c>
      <c r="G27" t="str">
        <f t="shared" si="2"/>
        <v>$6.301.865,00</v>
      </c>
      <c r="H27" s="9">
        <f t="shared" si="3"/>
        <v>6301865</v>
      </c>
      <c r="I27" t="str">
        <f t="shared" si="4"/>
        <v xml:space="preserve">MIGUEL ALVARO </v>
      </c>
      <c r="J27" t="str">
        <f t="shared" si="5"/>
        <v>MARTINEZ ARROYO</v>
      </c>
      <c r="L27">
        <f t="shared" si="6"/>
        <v>7</v>
      </c>
      <c r="M27">
        <f t="shared" si="7"/>
        <v>14</v>
      </c>
      <c r="N27">
        <f t="shared" si="8"/>
        <v>23</v>
      </c>
    </row>
    <row r="28" spans="1:14" x14ac:dyDescent="0.25">
      <c r="A28" t="s">
        <v>143</v>
      </c>
      <c r="B28">
        <v>6301931</v>
      </c>
      <c r="C28" t="s">
        <v>157</v>
      </c>
      <c r="E28" t="str">
        <f t="shared" si="0"/>
        <v xml:space="preserve">CNCI </v>
      </c>
      <c r="F28" t="str">
        <f t="shared" si="1"/>
        <v>Cuicuilco</v>
      </c>
      <c r="G28" t="str">
        <f t="shared" si="2"/>
        <v>$6.301.931,00</v>
      </c>
      <c r="H28" s="9">
        <f t="shared" si="3"/>
        <v>6301931</v>
      </c>
      <c r="I28" t="str">
        <f t="shared" si="4"/>
        <v xml:space="preserve">DIEGO ALONSO </v>
      </c>
      <c r="J28" t="str">
        <f t="shared" si="5"/>
        <v>AGUILA CASTAÑON</v>
      </c>
      <c r="L28">
        <f t="shared" si="6"/>
        <v>6</v>
      </c>
      <c r="M28">
        <f t="shared" si="7"/>
        <v>13</v>
      </c>
      <c r="N28">
        <f t="shared" si="8"/>
        <v>20</v>
      </c>
    </row>
    <row r="29" spans="1:14" x14ac:dyDescent="0.25">
      <c r="A29" t="s">
        <v>143</v>
      </c>
      <c r="B29">
        <v>6302060</v>
      </c>
      <c r="C29" t="s">
        <v>158</v>
      </c>
      <c r="E29" t="str">
        <f t="shared" si="0"/>
        <v xml:space="preserve">CNCI </v>
      </c>
      <c r="F29" t="str">
        <f t="shared" si="1"/>
        <v>Cuicuilco</v>
      </c>
      <c r="G29" t="str">
        <f t="shared" si="2"/>
        <v>$6.302.060,00</v>
      </c>
      <c r="H29" s="9">
        <f t="shared" si="3"/>
        <v>6302060</v>
      </c>
      <c r="I29" t="str">
        <f t="shared" si="4"/>
        <v xml:space="preserve">JOSE LUIS </v>
      </c>
      <c r="J29" t="str">
        <f t="shared" si="5"/>
        <v>CUELLAS NIÑO</v>
      </c>
      <c r="L29">
        <f t="shared" si="6"/>
        <v>5</v>
      </c>
      <c r="M29">
        <f t="shared" si="7"/>
        <v>10</v>
      </c>
      <c r="N29">
        <f t="shared" si="8"/>
        <v>18</v>
      </c>
    </row>
    <row r="30" spans="1:14" x14ac:dyDescent="0.25">
      <c r="A30" t="s">
        <v>143</v>
      </c>
      <c r="B30">
        <v>6302072</v>
      </c>
      <c r="C30" t="s">
        <v>159</v>
      </c>
      <c r="E30" t="str">
        <f t="shared" si="0"/>
        <v xml:space="preserve">CNCI </v>
      </c>
      <c r="F30" t="str">
        <f t="shared" si="1"/>
        <v>Cuicuilco</v>
      </c>
      <c r="G30" t="str">
        <f t="shared" si="2"/>
        <v>$6.302.072,00</v>
      </c>
      <c r="H30" s="9">
        <f t="shared" si="3"/>
        <v>6302072</v>
      </c>
      <c r="I30" t="str">
        <f t="shared" si="4"/>
        <v xml:space="preserve">JESUS EDUARDO </v>
      </c>
      <c r="J30" t="str">
        <f t="shared" si="5"/>
        <v>PALACIOS JUAREZ</v>
      </c>
      <c r="L30">
        <f t="shared" si="6"/>
        <v>6</v>
      </c>
      <c r="M30">
        <f t="shared" si="7"/>
        <v>14</v>
      </c>
      <c r="N30">
        <f t="shared" si="8"/>
        <v>23</v>
      </c>
    </row>
    <row r="31" spans="1:14" x14ac:dyDescent="0.25">
      <c r="A31" t="s">
        <v>143</v>
      </c>
      <c r="B31">
        <v>6301965</v>
      </c>
      <c r="C31" t="s">
        <v>160</v>
      </c>
      <c r="E31" t="str">
        <f t="shared" si="0"/>
        <v xml:space="preserve">CNCI </v>
      </c>
      <c r="F31" t="str">
        <f t="shared" si="1"/>
        <v>Cuicuilco</v>
      </c>
      <c r="G31" t="str">
        <f t="shared" si="2"/>
        <v>$6.301.965,00</v>
      </c>
      <c r="H31" s="9">
        <f t="shared" si="3"/>
        <v>6301965</v>
      </c>
      <c r="I31" t="str">
        <f t="shared" si="4"/>
        <v xml:space="preserve">ADRIAN </v>
      </c>
      <c r="J31" t="str">
        <f t="shared" si="5"/>
        <v>ARANDA DEITA</v>
      </c>
      <c r="L31">
        <f t="shared" si="6"/>
        <v>7</v>
      </c>
      <c r="M31">
        <f t="shared" si="7"/>
        <v>14</v>
      </c>
      <c r="N31">
        <f t="shared" si="8"/>
        <v>0</v>
      </c>
    </row>
    <row r="32" spans="1:14" x14ac:dyDescent="0.25">
      <c r="A32" t="s">
        <v>143</v>
      </c>
      <c r="B32">
        <v>6301389</v>
      </c>
      <c r="C32" t="s">
        <v>161</v>
      </c>
      <c r="E32" t="str">
        <f t="shared" si="0"/>
        <v xml:space="preserve">CNCI </v>
      </c>
      <c r="F32" t="str">
        <f t="shared" si="1"/>
        <v>Cuicuilco</v>
      </c>
      <c r="G32" t="str">
        <f t="shared" si="2"/>
        <v>$6.301.389,00</v>
      </c>
      <c r="H32" s="9">
        <f t="shared" si="3"/>
        <v>6301389</v>
      </c>
      <c r="I32" t="str">
        <f t="shared" si="4"/>
        <v xml:space="preserve">ENRIQUE JESUS </v>
      </c>
      <c r="J32" t="str">
        <f t="shared" si="5"/>
        <v>LEON MEDINA</v>
      </c>
      <c r="L32">
        <f t="shared" si="6"/>
        <v>8</v>
      </c>
      <c r="M32">
        <f t="shared" si="7"/>
        <v>14</v>
      </c>
      <c r="N32">
        <f t="shared" si="8"/>
        <v>19</v>
      </c>
    </row>
    <row r="33" spans="1:14" x14ac:dyDescent="0.25">
      <c r="A33" t="s">
        <v>143</v>
      </c>
      <c r="B33">
        <v>6301874</v>
      </c>
      <c r="C33" t="s">
        <v>162</v>
      </c>
      <c r="E33" t="str">
        <f t="shared" si="0"/>
        <v xml:space="preserve">CNCI </v>
      </c>
      <c r="F33" t="str">
        <f t="shared" si="1"/>
        <v>Cuicuilco</v>
      </c>
      <c r="G33" t="str">
        <f t="shared" si="2"/>
        <v>$6.301.874,00</v>
      </c>
      <c r="H33" s="9">
        <f t="shared" si="3"/>
        <v>6301874</v>
      </c>
      <c r="I33" t="str">
        <f t="shared" si="4"/>
        <v xml:space="preserve">JAIME HECTOR </v>
      </c>
      <c r="J33" t="str">
        <f t="shared" si="5"/>
        <v>TOVAR VIVAR</v>
      </c>
      <c r="L33">
        <f t="shared" si="6"/>
        <v>6</v>
      </c>
      <c r="M33">
        <f t="shared" si="7"/>
        <v>13</v>
      </c>
      <c r="N33">
        <f t="shared" si="8"/>
        <v>19</v>
      </c>
    </row>
    <row r="34" spans="1:14" x14ac:dyDescent="0.25">
      <c r="A34" t="s">
        <v>143</v>
      </c>
      <c r="B34">
        <v>6301837</v>
      </c>
      <c r="C34" t="s">
        <v>163</v>
      </c>
      <c r="E34" t="str">
        <f t="shared" si="0"/>
        <v xml:space="preserve">CNCI </v>
      </c>
      <c r="F34" t="str">
        <f t="shared" si="1"/>
        <v>Cuicuilco</v>
      </c>
      <c r="G34" t="str">
        <f t="shared" si="2"/>
        <v>$6.301.837,00</v>
      </c>
      <c r="H34" s="9">
        <f t="shared" si="3"/>
        <v>6301837</v>
      </c>
      <c r="I34" t="str">
        <f t="shared" si="4"/>
        <v xml:space="preserve">GAMALIEL GUSTAVO </v>
      </c>
      <c r="J34" t="str">
        <f t="shared" si="5"/>
        <v>GARCIA FLORES</v>
      </c>
      <c r="L34">
        <f t="shared" si="6"/>
        <v>9</v>
      </c>
      <c r="M34">
        <f t="shared" si="7"/>
        <v>17</v>
      </c>
      <c r="N34">
        <f t="shared" si="8"/>
        <v>24</v>
      </c>
    </row>
    <row r="35" spans="1:14" x14ac:dyDescent="0.25">
      <c r="A35" t="s">
        <v>143</v>
      </c>
      <c r="B35">
        <v>3602740</v>
      </c>
      <c r="C35" t="s">
        <v>164</v>
      </c>
      <c r="E35" t="str">
        <f t="shared" si="0"/>
        <v xml:space="preserve">CNCI </v>
      </c>
      <c r="F35" t="str">
        <f t="shared" si="1"/>
        <v>Cuicuilco</v>
      </c>
      <c r="G35" t="str">
        <f t="shared" si="2"/>
        <v>$3.602.740,00</v>
      </c>
      <c r="H35" s="9">
        <f t="shared" si="3"/>
        <v>3602740</v>
      </c>
      <c r="I35" t="str">
        <f t="shared" si="4"/>
        <v xml:space="preserve">VIRIDIANA </v>
      </c>
      <c r="J35" t="str">
        <f t="shared" si="5"/>
        <v>CASTILLO CHAVEZ</v>
      </c>
      <c r="L35">
        <f t="shared" si="6"/>
        <v>10</v>
      </c>
      <c r="M35">
        <f t="shared" si="7"/>
        <v>19</v>
      </c>
      <c r="N35">
        <f t="shared" si="8"/>
        <v>0</v>
      </c>
    </row>
    <row r="36" spans="1:14" x14ac:dyDescent="0.25">
      <c r="A36" t="s">
        <v>143</v>
      </c>
      <c r="B36">
        <v>6302045</v>
      </c>
      <c r="C36" t="s">
        <v>165</v>
      </c>
      <c r="E36" t="str">
        <f t="shared" si="0"/>
        <v xml:space="preserve">CNCI </v>
      </c>
      <c r="F36" t="str">
        <f t="shared" si="1"/>
        <v>Cuicuilco</v>
      </c>
      <c r="G36" t="str">
        <f t="shared" si="2"/>
        <v>$6.302.045,00</v>
      </c>
      <c r="H36" s="9">
        <f t="shared" si="3"/>
        <v>6302045</v>
      </c>
      <c r="I36" t="str">
        <f t="shared" si="4"/>
        <v xml:space="preserve">LILIANA </v>
      </c>
      <c r="J36" t="str">
        <f t="shared" si="5"/>
        <v>RAMON DAMIAN</v>
      </c>
      <c r="L36">
        <f t="shared" si="6"/>
        <v>8</v>
      </c>
      <c r="M36">
        <f t="shared" si="7"/>
        <v>14</v>
      </c>
      <c r="N36">
        <f t="shared" si="8"/>
        <v>0</v>
      </c>
    </row>
    <row r="37" spans="1:14" x14ac:dyDescent="0.25">
      <c r="A37" t="s">
        <v>143</v>
      </c>
      <c r="B37">
        <v>6301842</v>
      </c>
      <c r="C37" t="s">
        <v>166</v>
      </c>
      <c r="E37" t="str">
        <f t="shared" si="0"/>
        <v xml:space="preserve">CNCI </v>
      </c>
      <c r="F37" t="str">
        <f t="shared" si="1"/>
        <v>Cuicuilco</v>
      </c>
      <c r="G37" t="str">
        <f t="shared" si="2"/>
        <v>$6.301.842,00</v>
      </c>
      <c r="H37" s="9">
        <f t="shared" si="3"/>
        <v>6301842</v>
      </c>
      <c r="I37" t="str">
        <f t="shared" si="4"/>
        <v xml:space="preserve">JOS HIRVING </v>
      </c>
      <c r="J37" t="str">
        <f t="shared" si="5"/>
        <v>POMPA RODRIGUEZ</v>
      </c>
      <c r="L37">
        <f t="shared" si="6"/>
        <v>4</v>
      </c>
      <c r="M37">
        <f t="shared" si="7"/>
        <v>12</v>
      </c>
      <c r="N37">
        <f t="shared" si="8"/>
        <v>18</v>
      </c>
    </row>
    <row r="38" spans="1:14" x14ac:dyDescent="0.25">
      <c r="A38" t="s">
        <v>143</v>
      </c>
      <c r="B38">
        <v>6302140</v>
      </c>
      <c r="C38" t="s">
        <v>167</v>
      </c>
      <c r="E38" t="str">
        <f t="shared" si="0"/>
        <v xml:space="preserve">CNCI </v>
      </c>
      <c r="F38" t="str">
        <f t="shared" si="1"/>
        <v>Cuicuilco</v>
      </c>
      <c r="G38" t="str">
        <f t="shared" si="2"/>
        <v>$6.302.140,00</v>
      </c>
      <c r="H38" s="9">
        <f t="shared" si="3"/>
        <v>6302140</v>
      </c>
      <c r="I38" t="str">
        <f t="shared" si="4"/>
        <v xml:space="preserve">ALEXANDRA </v>
      </c>
      <c r="J38" t="str">
        <f t="shared" si="5"/>
        <v>OVALLE RODRIGUEZ</v>
      </c>
      <c r="L38">
        <f t="shared" si="6"/>
        <v>10</v>
      </c>
      <c r="M38">
        <f t="shared" si="7"/>
        <v>17</v>
      </c>
      <c r="N38">
        <f t="shared" si="8"/>
        <v>0</v>
      </c>
    </row>
    <row r="39" spans="1:14" x14ac:dyDescent="0.25">
      <c r="A39" t="s">
        <v>143</v>
      </c>
      <c r="B39">
        <v>6302074</v>
      </c>
      <c r="C39" t="s">
        <v>168</v>
      </c>
      <c r="E39" t="str">
        <f t="shared" si="0"/>
        <v xml:space="preserve">CNCI </v>
      </c>
      <c r="F39" t="str">
        <f t="shared" si="1"/>
        <v>Cuicuilco</v>
      </c>
      <c r="G39" t="str">
        <f t="shared" si="2"/>
        <v>$6.302.074,00</v>
      </c>
      <c r="H39" s="9">
        <f t="shared" si="3"/>
        <v>6302074</v>
      </c>
      <c r="I39" t="str">
        <f t="shared" si="4"/>
        <v xml:space="preserve">SERGIO OMAR </v>
      </c>
      <c r="J39" t="str">
        <f t="shared" si="5"/>
        <v>ESPINOZA GOMEZ</v>
      </c>
      <c r="L39">
        <f t="shared" si="6"/>
        <v>7</v>
      </c>
      <c r="M39">
        <f t="shared" si="7"/>
        <v>12</v>
      </c>
      <c r="N39">
        <f t="shared" si="8"/>
        <v>21</v>
      </c>
    </row>
    <row r="40" spans="1:14" x14ac:dyDescent="0.25">
      <c r="G40">
        <f>SUM(G2:G39)</f>
        <v>0</v>
      </c>
      <c r="H40" s="9">
        <f>SUM(H2:H39)</f>
        <v>222562678</v>
      </c>
    </row>
  </sheetData>
  <pageMargins left="0.7" right="0.7" top="0.75" bottom="0.75" header="0.3" footer="0.3"/>
  <pageSetup orientation="portrait" r:id="rId1"/>
  <ignoredErrors>
    <ignoredError sqref="G3 G4:G39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1BBB2-2F3B-480D-9732-C683F3483E7D}">
  <dimension ref="A1:F20"/>
  <sheetViews>
    <sheetView workbookViewId="0">
      <selection activeCell="A13" sqref="A13"/>
    </sheetView>
  </sheetViews>
  <sheetFormatPr baseColWidth="10" defaultRowHeight="15" x14ac:dyDescent="0.25"/>
  <cols>
    <col min="1" max="1" width="17.28515625" bestFit="1" customWidth="1"/>
    <col min="2" max="4" width="13.7109375" bestFit="1" customWidth="1"/>
    <col min="5" max="5" width="13.42578125" bestFit="1" customWidth="1"/>
    <col min="6" max="6" width="13.7109375" bestFit="1" customWidth="1"/>
  </cols>
  <sheetData>
    <row r="1" spans="1:6" ht="30" x14ac:dyDescent="0.25">
      <c r="A1" s="10" t="s">
        <v>169</v>
      </c>
      <c r="B1" s="10" t="s">
        <v>170</v>
      </c>
      <c r="C1" s="10" t="s">
        <v>171</v>
      </c>
      <c r="D1" s="10" t="s">
        <v>172</v>
      </c>
      <c r="E1" s="10" t="s">
        <v>192</v>
      </c>
      <c r="F1" s="11" t="s">
        <v>173</v>
      </c>
    </row>
    <row r="2" spans="1:6" x14ac:dyDescent="0.25">
      <c r="A2" s="3" t="s">
        <v>178</v>
      </c>
      <c r="B2" s="3">
        <v>17</v>
      </c>
      <c r="C2" s="3" t="s">
        <v>174</v>
      </c>
      <c r="D2" s="3">
        <v>2</v>
      </c>
      <c r="E2" s="3">
        <v>7</v>
      </c>
      <c r="F2" s="3" t="s">
        <v>175</v>
      </c>
    </row>
    <row r="3" spans="1:6" x14ac:dyDescent="0.25">
      <c r="A3" s="3" t="s">
        <v>179</v>
      </c>
      <c r="B3" s="3">
        <v>20</v>
      </c>
      <c r="C3" s="3" t="s">
        <v>174</v>
      </c>
      <c r="D3" s="3">
        <v>3</v>
      </c>
      <c r="E3" s="3">
        <v>8</v>
      </c>
      <c r="F3" s="3" t="s">
        <v>175</v>
      </c>
    </row>
    <row r="4" spans="1:6" x14ac:dyDescent="0.25">
      <c r="A4" s="3" t="s">
        <v>180</v>
      </c>
      <c r="B4" s="3">
        <v>16</v>
      </c>
      <c r="C4" s="3" t="s">
        <v>176</v>
      </c>
      <c r="D4" s="3">
        <v>1</v>
      </c>
      <c r="E4" s="3">
        <v>8</v>
      </c>
      <c r="F4" s="3" t="s">
        <v>177</v>
      </c>
    </row>
    <row r="5" spans="1:6" x14ac:dyDescent="0.25">
      <c r="A5" s="3" t="s">
        <v>181</v>
      </c>
      <c r="B5" s="3">
        <v>20</v>
      </c>
      <c r="C5" s="3" t="s">
        <v>176</v>
      </c>
      <c r="D5" s="3">
        <v>3</v>
      </c>
      <c r="E5" s="3">
        <v>8</v>
      </c>
      <c r="F5" s="3" t="s">
        <v>177</v>
      </c>
    </row>
    <row r="6" spans="1:6" x14ac:dyDescent="0.25">
      <c r="A6" s="3" t="s">
        <v>182</v>
      </c>
      <c r="B6" s="3">
        <v>18</v>
      </c>
      <c r="C6" s="3" t="s">
        <v>174</v>
      </c>
      <c r="D6" s="3">
        <v>2</v>
      </c>
      <c r="E6" s="3">
        <v>7</v>
      </c>
      <c r="F6" s="3" t="s">
        <v>175</v>
      </c>
    </row>
    <row r="7" spans="1:6" x14ac:dyDescent="0.25">
      <c r="A7" s="3" t="s">
        <v>183</v>
      </c>
      <c r="B7" s="3">
        <v>18</v>
      </c>
      <c r="C7" s="3" t="s">
        <v>174</v>
      </c>
      <c r="D7" s="3">
        <v>3</v>
      </c>
      <c r="E7" s="3">
        <v>6</v>
      </c>
      <c r="F7" s="3" t="s">
        <v>175</v>
      </c>
    </row>
    <row r="8" spans="1:6" x14ac:dyDescent="0.25">
      <c r="A8" s="3" t="s">
        <v>184</v>
      </c>
      <c r="B8" s="3">
        <v>16</v>
      </c>
      <c r="C8" s="3" t="s">
        <v>176</v>
      </c>
      <c r="D8" s="3">
        <v>1</v>
      </c>
      <c r="E8" s="3">
        <v>7</v>
      </c>
      <c r="F8" s="3" t="s">
        <v>177</v>
      </c>
    </row>
    <row r="9" spans="1:6" x14ac:dyDescent="0.25">
      <c r="A9" s="3" t="s">
        <v>184</v>
      </c>
      <c r="B9" s="3">
        <v>21</v>
      </c>
      <c r="C9" s="3" t="s">
        <v>176</v>
      </c>
      <c r="D9" s="3">
        <v>1</v>
      </c>
      <c r="E9" s="3"/>
      <c r="F9" s="3" t="s">
        <v>177</v>
      </c>
    </row>
    <row r="10" spans="1:6" x14ac:dyDescent="0.25">
      <c r="A10" s="14"/>
      <c r="B10" s="15"/>
      <c r="C10" s="15"/>
      <c r="D10" s="15"/>
      <c r="E10" s="15"/>
      <c r="F10" s="16"/>
    </row>
    <row r="11" spans="1:6" x14ac:dyDescent="0.25">
      <c r="A11" s="2"/>
      <c r="B11" s="18"/>
      <c r="C11" s="18"/>
      <c r="D11" s="18"/>
      <c r="E11" s="18"/>
      <c r="F11" s="19"/>
    </row>
    <row r="12" spans="1:6" ht="30" x14ac:dyDescent="0.25">
      <c r="A12" s="12" t="s">
        <v>169</v>
      </c>
      <c r="B12" s="12" t="s">
        <v>170</v>
      </c>
      <c r="C12" s="12" t="s">
        <v>171</v>
      </c>
      <c r="D12" s="12" t="s">
        <v>172</v>
      </c>
      <c r="E12" s="12" t="s">
        <v>192</v>
      </c>
      <c r="F12" s="13" t="s">
        <v>173</v>
      </c>
    </row>
    <row r="13" spans="1:6" x14ac:dyDescent="0.25">
      <c r="A13" s="3" t="s">
        <v>178</v>
      </c>
      <c r="B13" s="3">
        <f>IFERROR(VLOOKUP(A13,A2:F8,2,FALSE),"Elegir Nombre")</f>
        <v>17</v>
      </c>
      <c r="C13" s="3" t="str">
        <f>IFERROR(VLOOKUP(A13,A2:F8,3,FALSE),"Elegir Nombre")</f>
        <v>m</v>
      </c>
      <c r="D13" s="3">
        <f>IFERROR(VLOOKUP(A13,A2:F8,4,FALSE),"Elegir Nombre")</f>
        <v>2</v>
      </c>
      <c r="E13" s="3">
        <f>IFERROR(VLOOKUP(A13,A2:F8,5,FALSE),"Elegir Nombre")</f>
        <v>7</v>
      </c>
      <c r="F13" s="3" t="str">
        <f>IFERROR(VLOOKUP(B13,B2:G8,5,FALSE),"Elegir Nombre")</f>
        <v>ordinario</v>
      </c>
    </row>
    <row r="14" spans="1:6" x14ac:dyDescent="0.25">
      <c r="A14" s="3" t="s">
        <v>185</v>
      </c>
      <c r="B14" s="3">
        <f>DCOUNT(A1:F8,B12,B12:B13)</f>
        <v>1</v>
      </c>
      <c r="C14" s="3">
        <f>DCOUNT(A1:F8,B12,A12:F13)</f>
        <v>1</v>
      </c>
      <c r="D14" s="3">
        <f>DCOUNT(A1:F8,D12,D12:D13)</f>
        <v>2</v>
      </c>
      <c r="E14" s="3">
        <f>DCOUNT(A1:F8,E1,E12:E13)</f>
        <v>3</v>
      </c>
      <c r="F14" s="3">
        <f>DCOUNT(A1:F8,B12,A12:F13)</f>
        <v>1</v>
      </c>
    </row>
    <row r="15" spans="1:6" x14ac:dyDescent="0.25">
      <c r="A15" s="3" t="s">
        <v>186</v>
      </c>
      <c r="B15" s="3">
        <f>DCOUNTA(A1:F8,B12,B12:B13)</f>
        <v>1</v>
      </c>
      <c r="C15" s="3">
        <f>DCOUNTA(A1:F8,B12,A12:F13)</f>
        <v>1</v>
      </c>
      <c r="D15" s="3">
        <f>DCOUNTA(A1:F8,D12,D12:D13)</f>
        <v>2</v>
      </c>
      <c r="E15" s="3">
        <f>DCOUNTA(A1:F9,E12,A12:F13)</f>
        <v>1</v>
      </c>
      <c r="F15" s="3">
        <f>DCOUNTA(A1:F9,F12,A12:F13)</f>
        <v>1</v>
      </c>
    </row>
    <row r="16" spans="1:6" x14ac:dyDescent="0.25">
      <c r="A16" s="3" t="s">
        <v>187</v>
      </c>
      <c r="B16" s="3">
        <f>DMAX(A1:F9,B1,A12:A13)</f>
        <v>17</v>
      </c>
      <c r="C16" s="3">
        <f>DMAX(A1:F9,B1,A12:F13)</f>
        <v>17</v>
      </c>
      <c r="D16" s="3">
        <f>DMAX(A1:F9,D12,A12:F13)</f>
        <v>2</v>
      </c>
      <c r="E16" s="3">
        <f>DMAX(A1:F9,E12,A12:F13)</f>
        <v>7</v>
      </c>
      <c r="F16" s="3">
        <f>DMAX(A1:F9,B12,A12:A13)</f>
        <v>17</v>
      </c>
    </row>
    <row r="17" spans="1:6" x14ac:dyDescent="0.25">
      <c r="A17" s="3" t="s">
        <v>188</v>
      </c>
      <c r="B17" s="3">
        <f>DMIN($A$1:$F$9,$B$12,$A$12:$A$13)</f>
        <v>17</v>
      </c>
      <c r="C17" s="3">
        <f t="shared" ref="C17:F17" si="0">DMIN($A$1:$F$9,$B$12,$A$12:$A$13)</f>
        <v>17</v>
      </c>
      <c r="D17" s="3">
        <f t="shared" si="0"/>
        <v>17</v>
      </c>
      <c r="E17" s="3">
        <f t="shared" si="0"/>
        <v>17</v>
      </c>
      <c r="F17" s="3">
        <f t="shared" si="0"/>
        <v>17</v>
      </c>
    </row>
    <row r="18" spans="1:6" x14ac:dyDescent="0.25">
      <c r="A18" s="3" t="s">
        <v>189</v>
      </c>
      <c r="B18" s="3">
        <f>DSUM($A$1:$F$9,$B$12,$A$12:$A$13)</f>
        <v>17</v>
      </c>
      <c r="C18" s="3">
        <f t="shared" ref="C18:F18" si="1">DSUM($A$1:$F$9,$B$12,$A$12:$A$13)</f>
        <v>17</v>
      </c>
      <c r="D18" s="3">
        <f t="shared" si="1"/>
        <v>17</v>
      </c>
      <c r="E18" s="3">
        <f t="shared" si="1"/>
        <v>17</v>
      </c>
      <c r="F18" s="3">
        <f t="shared" si="1"/>
        <v>17</v>
      </c>
    </row>
    <row r="19" spans="1:6" x14ac:dyDescent="0.25">
      <c r="A19" s="3" t="s">
        <v>190</v>
      </c>
      <c r="B19" s="3">
        <f>DAVERAGE($A$1:$F$9,$B$1,$A$12:$A$13)</f>
        <v>17</v>
      </c>
      <c r="C19" s="3">
        <f t="shared" ref="C19:F19" si="2">DAVERAGE($A$1:$F$9,$B$1,$A$12:$A$13)</f>
        <v>17</v>
      </c>
      <c r="D19" s="3">
        <f t="shared" si="2"/>
        <v>17</v>
      </c>
      <c r="E19" s="3">
        <f t="shared" si="2"/>
        <v>17</v>
      </c>
      <c r="F19" s="3">
        <f t="shared" si="2"/>
        <v>17</v>
      </c>
    </row>
    <row r="20" spans="1:6" x14ac:dyDescent="0.25">
      <c r="A20" s="3" t="s">
        <v>191</v>
      </c>
      <c r="B20" s="3">
        <f>DPRODUCT($A$1:$F$9,$B$12,$A$12:$A$13)</f>
        <v>17</v>
      </c>
      <c r="C20" s="3">
        <f t="shared" ref="C20:F20" si="3">DPRODUCT($A$1:$F$9,$B$12,$A$12:$A$13)</f>
        <v>17</v>
      </c>
      <c r="D20" s="3">
        <f t="shared" si="3"/>
        <v>17</v>
      </c>
      <c r="E20" s="3">
        <f t="shared" si="3"/>
        <v>17</v>
      </c>
      <c r="F20" s="3">
        <f t="shared" si="3"/>
        <v>17</v>
      </c>
    </row>
  </sheetData>
  <mergeCells count="1">
    <mergeCell ref="A11:F11"/>
  </mergeCells>
  <dataValidations count="1">
    <dataValidation type="list" allowBlank="1" showInputMessage="1" showErrorMessage="1" errorTitle="ERROR!!!" error="No seleccionó ningún nombre" promptTitle="NOMBRE" prompt="Seleccione un nombre de la lista" sqref="A13" xr:uid="{4C8A6945-EC63-44AA-A9DB-380B489B8260}">
      <formula1>$A$2:$A$8</formula1>
    </dataValidation>
  </dataValidations>
  <pageMargins left="0.7" right="0.7" top="0.75" bottom="0.75" header="0.3" footer="0.3"/>
  <ignoredErrors>
    <ignoredError sqref="D16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708C1-456B-43C6-8C85-E07747D2EAF5}">
  <dimension ref="A1:D8"/>
  <sheetViews>
    <sheetView workbookViewId="0">
      <selection activeCell="B1" sqref="A1:B8"/>
    </sheetView>
  </sheetViews>
  <sheetFormatPr baseColWidth="10" defaultRowHeight="15" x14ac:dyDescent="0.25"/>
  <sheetData>
    <row r="1" spans="1:4" x14ac:dyDescent="0.25">
      <c r="A1" s="3" t="s">
        <v>216</v>
      </c>
      <c r="B1" s="3"/>
      <c r="C1" s="3"/>
      <c r="D1" s="3" t="s">
        <v>223</v>
      </c>
    </row>
    <row r="2" spans="1:4" ht="30" x14ac:dyDescent="0.25">
      <c r="A2" s="21" t="s">
        <v>217</v>
      </c>
      <c r="B2" s="21"/>
      <c r="C2" s="3">
        <v>3</v>
      </c>
      <c r="D2" s="22" t="s">
        <v>224</v>
      </c>
    </row>
    <row r="3" spans="1:4" x14ac:dyDescent="0.25">
      <c r="A3" s="21" t="s">
        <v>218</v>
      </c>
      <c r="B3" s="21"/>
      <c r="C3" s="3">
        <v>3000</v>
      </c>
      <c r="D3" s="3">
        <v>11250</v>
      </c>
    </row>
    <row r="4" spans="1:4" x14ac:dyDescent="0.25">
      <c r="A4" s="21" t="s">
        <v>219</v>
      </c>
      <c r="B4" s="21"/>
      <c r="C4" s="3">
        <v>2000</v>
      </c>
      <c r="D4" s="3"/>
    </row>
    <row r="5" spans="1:4" x14ac:dyDescent="0.25">
      <c r="A5" s="21" t="s">
        <v>220</v>
      </c>
      <c r="B5" s="21"/>
      <c r="C5" s="3">
        <v>1000</v>
      </c>
      <c r="D5" s="3"/>
    </row>
    <row r="6" spans="1:4" x14ac:dyDescent="0.25">
      <c r="A6" s="21" t="s">
        <v>221</v>
      </c>
      <c r="B6" s="21"/>
      <c r="C6" s="3">
        <v>3000</v>
      </c>
      <c r="D6" s="3"/>
    </row>
    <row r="7" spans="1:4" x14ac:dyDescent="0.25">
      <c r="A7" s="21" t="s">
        <v>222</v>
      </c>
      <c r="B7" s="21"/>
      <c r="C7" s="3">
        <v>500</v>
      </c>
      <c r="D7" s="3">
        <v>500</v>
      </c>
    </row>
    <row r="8" spans="1:4" x14ac:dyDescent="0.25">
      <c r="A8" s="20"/>
      <c r="B8" s="20"/>
      <c r="C8" s="3">
        <v>9500</v>
      </c>
      <c r="D8" s="3">
        <v>11750</v>
      </c>
    </row>
  </sheetData>
  <scenarios current="2" show="2">
    <scenario name="caso 1" locked="1" count="8" user="Alejandro Uñate" comment="Creado por Alejandro Uñate el 9/5/2022">
      <inputCells r="D1" val="Huatulco"/>
      <inputCells r="D2" val="2"/>
      <inputCells r="D3" val="3280"/>
      <inputCells r="D4" val=""/>
      <inputCells r="D5" val=""/>
      <inputCells r="D6" val="3000"/>
      <inputCells r="D7" val="500"/>
      <inputCells r="D8" val="6780"/>
    </scenario>
    <scenario name="caso 2" locked="1" count="8" user="Alejandro Uñate" comment="Creado por Alejandro Uñate el 9/5/2022">
      <inputCells r="D1" val="Chiapas"/>
      <inputCells r="D2" val="3"/>
      <inputCells r="D3" val="5400"/>
      <inputCells r="D4" val=""/>
      <inputCells r="D5" val=""/>
      <inputCells r="D6" val="3000"/>
      <inputCells r="D7" val="500"/>
      <inputCells r="D8" val="8900"/>
    </scenario>
    <scenario name="caso 3" locked="1" count="8" user="Alejandro Uñate" comment="Creado por Alejandro Uñate el 9/5/2022">
      <inputCells r="D1" val="Rivera Maya "/>
      <inputCells r="D2" val="3 dias 2_x000a_ noches"/>
      <inputCells r="D3" val="11250"/>
      <inputCells r="D4" val=""/>
      <inputCells r="D5" val=""/>
      <inputCells r="D6" val=""/>
      <inputCells r="D7" val="500"/>
      <inputCells r="D8" val="11750"/>
    </scenario>
  </scenarios>
  <mergeCells count="7">
    <mergeCell ref="A8:B8"/>
    <mergeCell ref="A2:B2"/>
    <mergeCell ref="A3:B3"/>
    <mergeCell ref="A4:B4"/>
    <mergeCell ref="A5:B5"/>
    <mergeCell ref="A6:B6"/>
    <mergeCell ref="A7:B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8</vt:i4>
      </vt:variant>
    </vt:vector>
  </HeadingPairs>
  <TitlesOfParts>
    <vt:vector size="15" baseType="lpstr">
      <vt:lpstr>datos de entradas</vt:lpstr>
      <vt:lpstr>Hoja1</vt:lpstr>
      <vt:lpstr>Hoja5</vt:lpstr>
      <vt:lpstr>Hoja2</vt:lpstr>
      <vt:lpstr>Hoja3</vt:lpstr>
      <vt:lpstr>Hoja4</vt:lpstr>
      <vt:lpstr>Hoja6</vt:lpstr>
      <vt:lpstr>'datos de entradas'!Área_de_impresión</vt:lpstr>
      <vt:lpstr>Dias</vt:lpstr>
      <vt:lpstr>empleados</vt:lpstr>
      <vt:lpstr>EMPLEIMP</vt:lpstr>
      <vt:lpstr>horarios</vt:lpstr>
      <vt:lpstr>Seccion</vt:lpstr>
      <vt:lpstr>Sueldos</vt:lpstr>
      <vt:lpstr>'datos de entradas'!Títulos_a_imprimir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Uñate</dc:creator>
  <cp:lastModifiedBy>Alejandro Uñate</cp:lastModifiedBy>
  <cp:lastPrinted>2022-03-20T22:20:49Z</cp:lastPrinted>
  <dcterms:created xsi:type="dcterms:W3CDTF">2021-12-26T20:00:46Z</dcterms:created>
  <dcterms:modified xsi:type="dcterms:W3CDTF">2022-05-10T00:26:53Z</dcterms:modified>
</cp:coreProperties>
</file>