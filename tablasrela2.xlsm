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iel\Downloads\"/>
    </mc:Choice>
  </mc:AlternateContent>
  <xr:revisionPtr revIDLastSave="0" documentId="8_{00138714-2D8B-4311-B7FF-6604F43C9B6D}" xr6:coauthVersionLast="45" xr6:coauthVersionMax="45" xr10:uidLastSave="{00000000-0000-0000-0000-000000000000}"/>
  <bookViews>
    <workbookView xWindow="-120" yWindow="-120" windowWidth="20730" windowHeight="11760" xr2:uid="{E4C1EBA8-DCB3-4E5F-B9AE-170C5510F818}"/>
  </bookViews>
  <sheets>
    <sheet name="Hoja1" sheetId="11" r:id="rId1"/>
    <sheet name="nombres" sheetId="1" r:id="rId2"/>
    <sheet name="sección" sheetId="2" r:id="rId3"/>
    <sheet name="sueldo" sheetId="3" r:id="rId4"/>
  </sheets>
  <definedNames>
    <definedName name="_xlcn.WorksheetConnection_tablasrela.xlsmempleados1" hidden="1">empleados[]</definedName>
    <definedName name="_xlcn.WorksheetConnection_tablasrela.xlsmprestamo1" hidden="1">prestamo[]</definedName>
    <definedName name="_xlcn.WorksheetConnection_tablasrela.xlsmseccion1" hidden="1">seccion[]</definedName>
  </definedNames>
  <calcPr calcId="191029" refMode="R1C1"/>
  <pivotCaches>
    <pivotCache cacheId="65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mpleados" name="empleados" connection="WorksheetConnection_tablasrela.xlsm!empleados"/>
          <x15:modelTable id="seccion" name="seccion" connection="WorksheetConnection_tablasrela.xlsm!seccion"/>
          <x15:modelTable id="prestamo" name="prestamo" connection="WorksheetConnection_tablasrela.xlsm!prestamo"/>
        </x15:modelTables>
        <x15:modelRelationships>
          <x15:modelRelationship fromTable="empleados" fromColumn="Sección" toTable="seccion" toColumn="Sección"/>
          <x15:modelRelationship fromTable="prestamo" fromColumn="codigo" toTable="empleados" toColumn="codigo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1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C5BA9F-EB3C-427D-B036-FC862CBC17D9}" keepAlive="1" name="ThisWorkbookDataModel" description="Modelo de datos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FA818377-D297-4912-920A-A208F9755E45}" name="WorksheetConnection_tablasrela.xlsm!empleados" type="102" refreshedVersion="6" minRefreshableVersion="5">
    <extLst>
      <ext xmlns:x15="http://schemas.microsoft.com/office/spreadsheetml/2010/11/main" uri="{DE250136-89BD-433C-8126-D09CA5730AF9}">
        <x15:connection id="empleados">
          <x15:rangePr sourceName="_xlcn.WorksheetConnection_tablasrela.xlsmempleados1"/>
        </x15:connection>
      </ext>
    </extLst>
  </connection>
  <connection id="3" xr16:uid="{E365AB77-9A1A-4C41-A187-2C64416D6C14}" name="WorksheetConnection_tablasrela.xlsm!prestamo" type="102" refreshedVersion="6" minRefreshableVersion="5">
    <extLst>
      <ext xmlns:x15="http://schemas.microsoft.com/office/spreadsheetml/2010/11/main" uri="{DE250136-89BD-433C-8126-D09CA5730AF9}">
        <x15:connection id="prestamo">
          <x15:rangePr sourceName="_xlcn.WorksheetConnection_tablasrela.xlsmprestamo1"/>
        </x15:connection>
      </ext>
    </extLst>
  </connection>
  <connection id="4" xr16:uid="{C7F76725-3B95-4B84-ADDF-8F0C260F9231}" name="WorksheetConnection_tablasrela.xlsm!seccion" type="102" refreshedVersion="6" minRefreshableVersion="5">
    <extLst>
      <ext xmlns:x15="http://schemas.microsoft.com/office/spreadsheetml/2010/11/main" uri="{DE250136-89BD-433C-8126-D09CA5730AF9}">
        <x15:connection id="seccion">
          <x15:rangePr sourceName="_xlcn.WorksheetConnection_tablasrela.xlsmseccion1"/>
        </x15:connection>
      </ext>
    </extLst>
  </connection>
</connections>
</file>

<file path=xl/sharedStrings.xml><?xml version="1.0" encoding="utf-8"?>
<sst xmlns="http://schemas.openxmlformats.org/spreadsheetml/2006/main" count="87" uniqueCount="47">
  <si>
    <t>LISTADO DE NOMBRE DE EMPLEADOS</t>
  </si>
  <si>
    <t>empleado</t>
  </si>
  <si>
    <t>Sección</t>
  </si>
  <si>
    <t>Días</t>
  </si>
  <si>
    <t>Horarios</t>
  </si>
  <si>
    <t>Sueldos</t>
  </si>
  <si>
    <t>Cobranza</t>
  </si>
  <si>
    <t>Lunes</t>
  </si>
  <si>
    <t>08:00 - 14:00</t>
  </si>
  <si>
    <t>Cabral, Antonio Raúl</t>
  </si>
  <si>
    <t>Contabilidad</t>
  </si>
  <si>
    <t>Martes</t>
  </si>
  <si>
    <t>16:00 - 22:00</t>
  </si>
  <si>
    <t>Sosa, Juan Antonio</t>
  </si>
  <si>
    <t>Gerente</t>
  </si>
  <si>
    <t>Miércoles</t>
  </si>
  <si>
    <t>08:00 - 22:00</t>
  </si>
  <si>
    <t>Solis, Saúl Carlos</t>
  </si>
  <si>
    <t>Informática</t>
  </si>
  <si>
    <t>Jueves</t>
  </si>
  <si>
    <t>Romano, Ariel Juan</t>
  </si>
  <si>
    <t>Limpieza</t>
  </si>
  <si>
    <t>Viernes</t>
  </si>
  <si>
    <t>Pintos, Aron Luis</t>
  </si>
  <si>
    <t>Mantenimiento</t>
  </si>
  <si>
    <t>Sábado</t>
  </si>
  <si>
    <t>Cruz, Sonia Luisa</t>
  </si>
  <si>
    <t>Secretaria</t>
  </si>
  <si>
    <t>Domingo</t>
  </si>
  <si>
    <t>Navarro, Sofia Kiara</t>
  </si>
  <si>
    <t>Seguridad</t>
  </si>
  <si>
    <t>Gimenez, Sonia Ana</t>
  </si>
  <si>
    <t>Ventas</t>
  </si>
  <si>
    <t>codigo</t>
  </si>
  <si>
    <t>prestamo</t>
  </si>
  <si>
    <t>Etiquetas de fila</t>
  </si>
  <si>
    <t>Total general</t>
  </si>
  <si>
    <t>Suma de prestamo</t>
  </si>
  <si>
    <t>a cobrar</t>
  </si>
  <si>
    <t>fecha</t>
  </si>
  <si>
    <t>localidad</t>
  </si>
  <si>
    <t>tucumán</t>
  </si>
  <si>
    <t>buenos aires</t>
  </si>
  <si>
    <t>jujuy</t>
  </si>
  <si>
    <t>santa fe</t>
  </si>
  <si>
    <t>cordoba</t>
  </si>
  <si>
    <t>Uñate,  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</si>
</sst>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Blue]###000_);[Red]#,##0.00;0.00;\ &quot;PATACON &quot;@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1" fontId="0" fillId="0" borderId="0" xfId="0" applyNumberFormat="1"/>
    <xf numFmtId="0" fontId="0" fillId="3" borderId="1" xfId="0" applyFont="1" applyFill="1" applyBorder="1"/>
    <xf numFmtId="0" fontId="0" fillId="3" borderId="3" xfId="0" applyFont="1" applyFill="1" applyBorder="1"/>
    <xf numFmtId="0" fontId="0" fillId="0" borderId="3" xfId="0" applyFont="1" applyBorder="1"/>
    <xf numFmtId="164" fontId="0" fillId="3" borderId="2" xfId="0" applyNumberFormat="1" applyFont="1" applyFill="1" applyBorder="1"/>
    <xf numFmtId="164" fontId="0" fillId="3" borderId="3" xfId="0" applyNumberFormat="1" applyFont="1" applyFill="1" applyBorder="1"/>
    <xf numFmtId="0" fontId="1" fillId="2" borderId="0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" fillId="2" borderId="0" xfId="0" applyFont="1" applyFill="1"/>
    <xf numFmtId="14" fontId="0" fillId="0" borderId="3" xfId="0" applyNumberFormat="1" applyFont="1" applyBorder="1"/>
    <xf numFmtId="0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left" indent="2"/>
    </xf>
  </cellXfs>
  <cellStyles count="1">
    <cellStyle name="Normal" xfId="0" builtinId="0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" formatCode="0"/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m/d/yyyy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Blue]###000_);[Red]#,##0.00;0.00;\ &quot;PATACON &quot;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0.xml"/><Relationship Id="rId34" Type="http://schemas.microsoft.com/office/2006/relationships/vbaProject" Target="vbaProject.bin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33" Type="http://schemas.openxmlformats.org/officeDocument/2006/relationships/customXml" Target="../customXml/item2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32" Type="http://schemas.openxmlformats.org/officeDocument/2006/relationships/customXml" Target="../customXml/item21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8.xml"/><Relationship Id="rId31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Relationship Id="rId30" Type="http://schemas.openxmlformats.org/officeDocument/2006/relationships/customXml" Target="../customXml/item19.xml"/><Relationship Id="rId8" Type="http://schemas.openxmlformats.org/officeDocument/2006/relationships/styles" Target="style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jandro Uñate" refreshedDate="44763.052740393519" createdVersion="5" refreshedVersion="6" minRefreshableVersion="3" recordCount="0" supportSubquery="1" supportAdvancedDrill="1" xr:uid="{6A33F037-29FA-4781-A2BA-5B689774DD84}">
  <cacheSource type="external" connectionId="1"/>
  <cacheFields count="4">
    <cacheField name="[empleados].[codigo].[codigo]" caption="codigo" numFmtId="0" level="1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  <extLst>
        <ext xmlns:x15="http://schemas.microsoft.com/office/spreadsheetml/2010/11/main" uri="{4F2E5C28-24EA-4eb8-9CBF-B6C8F9C3D259}">
          <x15:cachedUniqueNames>
            <x15:cachedUniqueName index="0" name="[empleados].[codigo].&amp;[1]"/>
            <x15:cachedUniqueName index="1" name="[empleados].[codigo].&amp;[2]"/>
            <x15:cachedUniqueName index="2" name="[empleados].[codigo].&amp;[3]"/>
            <x15:cachedUniqueName index="3" name="[empleados].[codigo].&amp;[4]"/>
            <x15:cachedUniqueName index="4" name="[empleados].[codigo].&amp;[5]"/>
            <x15:cachedUniqueName index="5" name="[empleados].[codigo].&amp;[6]"/>
            <x15:cachedUniqueName index="6" name="[empleados].[codigo].&amp;[7]"/>
            <x15:cachedUniqueName index="7" name="[empleados].[codigo].&amp;[8]"/>
          </x15:cachedUniqueNames>
        </ext>
      </extLst>
    </cacheField>
    <cacheField name="[empleados].[empleado].[empleado]" caption="empleado" numFmtId="0" hierarchy="1" level="1">
      <sharedItems count="8">
        <s v="Uñate,  da"/>
        <s v="Cabral, Antonio Raúl"/>
        <s v="Sosa, Juan Antonio"/>
        <s v="Solis, Saúl Carlos"/>
        <s v="Romano, Ariel Juan"/>
        <s v="Pintos, Aron Luis"/>
        <s v="Cruz, Sonia Luisa"/>
        <s v="Navarro, Sofia Kiara"/>
      </sharedItems>
    </cacheField>
    <cacheField name="[Measures].[Suma de prestamo]" caption="Suma de prestamo" numFmtId="0" hierarchy="16" level="32767"/>
    <cacheField name="[empleados].[Sección].[Sección]" caption="Sección" numFmtId="0" hierarchy="2" level="1">
      <sharedItems count="8">
        <s v="Cobranza"/>
        <s v="Contabilidad"/>
        <s v="Gerente"/>
        <s v="Informática"/>
        <s v="Limpieza"/>
        <s v="Mantenimiento"/>
        <s v="Secretaria"/>
        <s v="Seguridad"/>
      </sharedItems>
    </cacheField>
  </cacheFields>
  <cacheHierarchies count="19">
    <cacheHierarchy uniqueName="[empleados].[codigo]" caption="codigo" attribute="1" defaultMemberUniqueName="[empleados].[codigo].[All]" allUniqueName="[empleados].[codigo].[All]" dimensionUniqueName="[empleados]" displayFolder="" count="2" memberValueDatatype="20" unbalanced="0">
      <fieldsUsage count="2">
        <fieldUsage x="-1"/>
        <fieldUsage x="0"/>
      </fieldsUsage>
    </cacheHierarchy>
    <cacheHierarchy uniqueName="[empleados].[empleado]" caption="empleado" attribute="1" defaultMemberUniqueName="[empleados].[empleado].[All]" allUniqueName="[empleados].[empleado].[All]" dimensionUniqueName="[empleados]" displayFolder="" count="2" memberValueDatatype="130" unbalanced="0">
      <fieldsUsage count="2">
        <fieldUsage x="-1"/>
        <fieldUsage x="1"/>
      </fieldsUsage>
    </cacheHierarchy>
    <cacheHierarchy uniqueName="[empleados].[Sección]" caption="Sección" attribute="1" defaultMemberUniqueName="[empleados].[Sección].[All]" allUniqueName="[empleados].[Sección].[All]" dimensionUniqueName="[empleados]" displayFolder="" count="2" memberValueDatatype="130" unbalanced="0">
      <fieldsUsage count="2">
        <fieldUsage x="-1"/>
        <fieldUsage x="3"/>
      </fieldsUsage>
    </cacheHierarchy>
    <cacheHierarchy uniqueName="[empleados].[Días]" caption="Días" attribute="1" defaultMemberUniqueName="[empleados].[Días].[All]" allUniqueName="[empleados].[Días].[All]" dimensionUniqueName="[empleados]" displayFolder="" count="0" memberValueDatatype="130" unbalanced="0"/>
    <cacheHierarchy uniqueName="[empleados].[Horarios]" caption="Horarios" attribute="1" defaultMemberUniqueName="[empleados].[Horarios].[All]" allUniqueName="[empleados].[Horarios].[All]" dimensionUniqueName="[empleados]" displayFolder="" count="0" memberValueDatatype="130" unbalanced="0"/>
    <cacheHierarchy uniqueName="[empleados].[a cobrar]" caption="a cobrar" attribute="1" defaultMemberUniqueName="[empleados].[a cobrar].[All]" allUniqueName="[empleados].[a cobrar].[All]" dimensionUniqueName="[empleados]" displayFolder="" count="0" memberValueDatatype="20" unbalanced="0"/>
    <cacheHierarchy uniqueName="[empleados].[fecha]" caption="fecha" attribute="1" time="1" defaultMemberUniqueName="[empleados].[fecha].[All]" allUniqueName="[empleados].[fecha].[All]" dimensionUniqueName="[empleados]" displayFolder="" count="0" memberValueDatatype="7" unbalanced="0"/>
    <cacheHierarchy uniqueName="[empleados].[localidad]" caption="localidad" attribute="1" defaultMemberUniqueName="[empleados].[localidad].[All]" allUniqueName="[empleados].[localidad].[All]" dimensionUniqueName="[empleados]" displayFolder="" count="0" memberValueDatatype="130" unbalanced="0"/>
    <cacheHierarchy uniqueName="[prestamo].[codigo]" caption="codigo" attribute="1" defaultMemberUniqueName="[prestamo].[codigo].[All]" allUniqueName="[prestamo].[codigo].[All]" dimensionUniqueName="[prestamo]" displayFolder="" count="0" memberValueDatatype="20" unbalanced="0"/>
    <cacheHierarchy uniqueName="[prestamo].[prestamo]" caption="prestamo" attribute="1" defaultMemberUniqueName="[prestamo].[prestamo].[All]" allUniqueName="[prestamo].[prestamo].[All]" dimensionUniqueName="[prestamo]" displayFolder="" count="0" memberValueDatatype="20" unbalanced="0"/>
    <cacheHierarchy uniqueName="[seccion].[Sección]" caption="Sección" attribute="1" defaultMemberUniqueName="[seccion].[Sección].[All]" allUniqueName="[seccion].[Sección].[All]" dimensionUniqueName="[seccion]" displayFolder="" count="0" memberValueDatatype="130" unbalanced="0"/>
    <cacheHierarchy uniqueName="[seccion].[Sueldos]" caption="Sueldos" attribute="1" defaultMemberUniqueName="[seccion].[Sueldos].[All]" allUniqueName="[seccion].[Sueldos].[All]" dimensionUniqueName="[seccion]" displayFolder="" count="2" memberValueDatatype="20" unbalanced="0"/>
    <cacheHierarchy uniqueName="[Measures].[__XL_Count empleados]" caption="__XL_Count empleados" measure="1" displayFolder="" measureGroup="empleados" count="0" hidden="1"/>
    <cacheHierarchy uniqueName="[Measures].[__XL_Count seccion]" caption="__XL_Count seccion" measure="1" displayFolder="" measureGroup="seccion" count="0" hidden="1"/>
    <cacheHierarchy uniqueName="[Measures].[__XL_Count prestamo]" caption="__XL_Count prestamo" measure="1" displayFolder="" measureGroup="prestamo" count="0" hidden="1"/>
    <cacheHierarchy uniqueName="[Measures].[__No measures defined]" caption="__No measures defined" measure="1" displayFolder="" count="0" hidden="1"/>
    <cacheHierarchy uniqueName="[Measures].[Suma de prestamo]" caption="Suma de prestamo" measure="1" displayFolder="" measureGroup="prestam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a de Sueldos]" caption="Suma de Sueldos" measure="1" displayFolder="" measureGroup="seccion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Recuento de Sueldos]" caption="Recuento de Sueldos" measure="1" displayFolder="" measureGroup="seccion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4">
    <dimension name="empleados" uniqueName="[empleados]" caption="empleados"/>
    <dimension measure="1" name="Measures" uniqueName="[Measures]" caption="Measures"/>
    <dimension name="prestamo" uniqueName="[prestamo]" caption="prestamo"/>
    <dimension name="seccion" uniqueName="[seccion]" caption="seccion"/>
  </dimensions>
  <measureGroups count="3">
    <measureGroup name="empleados" caption="empleados"/>
    <measureGroup name="prestamo" caption="prestamo"/>
    <measureGroup name="seccion" caption="seccion"/>
  </measureGroups>
  <maps count="6">
    <map measureGroup="0" dimension="0"/>
    <map measureGroup="0" dimension="3"/>
    <map measureGroup="1" dimension="0"/>
    <map measureGroup="1" dimension="2"/>
    <map measureGroup="1" dimension="3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85FFA3-A8F5-4585-916A-41ED21628779}" name="TablaDinámica1" cacheId="65" applyNumberFormats="0" applyBorderFormats="0" applyFontFormats="0" applyPatternFormats="0" applyAlignmentFormats="0" applyWidthHeightFormats="1" dataCaption="Valores" tag="db52b779-6b5c-4264-9d0f-d2054ad63bf3" updatedVersion="6" minRefreshableVersion="3" useAutoFormatting="1" itemPrintTitles="1" createdVersion="5" indent="0" outline="1" outlineData="1" multipleFieldFilters="0">
  <location ref="B3:C28" firstHeaderRow="1" firstDataRow="1" firstDataCol="1"/>
  <pivotFields count="4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</pivotFields>
  <rowFields count="3">
    <field x="3"/>
    <field x="0"/>
    <field x="1"/>
  </rowFields>
  <rowItems count="25">
    <i>
      <x/>
    </i>
    <i r="1">
      <x/>
    </i>
    <i r="2">
      <x/>
    </i>
    <i>
      <x v="1"/>
    </i>
    <i r="1">
      <x v="1"/>
    </i>
    <i r="2">
      <x v="1"/>
    </i>
    <i>
      <x v="2"/>
    </i>
    <i r="1">
      <x v="2"/>
    </i>
    <i r="2">
      <x v="2"/>
    </i>
    <i>
      <x v="3"/>
    </i>
    <i r="1">
      <x v="3"/>
    </i>
    <i r="2">
      <x v="3"/>
    </i>
    <i>
      <x v="4"/>
    </i>
    <i r="1">
      <x v="4"/>
    </i>
    <i r="2">
      <x v="4"/>
    </i>
    <i>
      <x v="5"/>
    </i>
    <i r="1">
      <x v="5"/>
    </i>
    <i r="2">
      <x v="5"/>
    </i>
    <i>
      <x v="6"/>
    </i>
    <i r="1">
      <x v="6"/>
    </i>
    <i r="2">
      <x v="6"/>
    </i>
    <i>
      <x v="7"/>
    </i>
    <i r="1">
      <x v="7"/>
    </i>
    <i r="2">
      <x v="7"/>
    </i>
    <i t="grand">
      <x/>
    </i>
  </rowItems>
  <colItems count="1">
    <i/>
  </colItems>
  <dataFields count="1">
    <dataField name="Suma de prestamo" fld="2" baseField="0" baseItem="0"/>
  </dataFields>
  <pivotHierarchies count="1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Recuento de Sueldos"/>
  </pivotHierarchies>
  <pivotTableStyleInfo name="PivotStyleLight16" showRowHeaders="1" showColHeaders="1" showRowStripes="0" showColStripes="0" showLastColumn="1"/>
  <rowHierarchiesUsage count="3">
    <rowHierarchyUsage hierarchyUsage="2"/>
    <rowHierarchyUsage hierarchyUsage="0"/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mpleados]"/>
        <x15:activeTabTopLevelEntity name="[seccion]"/>
        <x15:activeTabTopLevelEntity name="[prestam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25C3BA-30C5-487C-8CFF-40D694EBE522}" name="empleados" displayName="empleados" ref="A3:H12" totalsRowShown="0" headerRowDxfId="18" dataDxfId="17" tableBorderDxfId="16">
  <autoFilter ref="A3:H12" xr:uid="{B3E41927-37A4-448A-A72E-47DA3DF964E8}"/>
  <tableColumns count="8">
    <tableColumn id="1" xr3:uid="{A8C4BBDC-C86E-4E51-ACB3-A3F20DA3827A}" name="codigo" dataDxfId="15"/>
    <tableColumn id="2" xr3:uid="{8B2A4118-B613-40F6-A723-97DD320F59E0}" name="empleado" dataDxfId="14"/>
    <tableColumn id="5" xr3:uid="{EE678B7B-F0F6-46EB-B90E-3A6E503EBB16}" name="Sección" dataDxfId="13"/>
    <tableColumn id="3" xr3:uid="{6652D3FA-9455-4DAA-A70D-A7A6FCA84234}" name="Días" dataDxfId="12"/>
    <tableColumn id="4" xr3:uid="{A15FB897-0018-4254-BD2E-0B0A5B6D521F}" name="Horarios" dataDxfId="11"/>
    <tableColumn id="6" xr3:uid="{A3D35B90-CC3C-43CD-BCE0-422748E77FE7}" name="a cobrar" dataDxfId="10">
      <calculatedColumnFormula>seccion[[#This Row],[Sueldos]]-SUMIF(sueldo!$A$2:$A$15,empleados[[#This Row],[codigo]],sueldo!$B$2:$B$15)</calculatedColumnFormula>
    </tableColumn>
    <tableColumn id="7" xr3:uid="{CF3129A8-BD83-4778-B62D-49E1E332EED6}" name="fecha" dataDxfId="9"/>
    <tableColumn id="8" xr3:uid="{D3116B86-DAB8-4795-9CBE-6D2B30EB3FA6}" name="localidad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DD897F-9C77-4F3C-AED1-04F2AF390785}" name="seccion" displayName="seccion" ref="A3:B12" totalsRowShown="0">
  <autoFilter ref="A3:B12" xr:uid="{D5D31C05-E1A4-4D4B-BEE5-B1E588A73950}"/>
  <tableColumns count="2">
    <tableColumn id="1" xr3:uid="{5BE45F3D-F236-4F13-A7A3-540DD3A43CFE}" name="Sección"/>
    <tableColumn id="2" xr3:uid="{EF48B002-BE06-4D17-82E4-93BD0922E831}" name="Sueldos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E3CED10-3B20-4A2A-8979-A6CC4243A687}" name="prestamo" displayName="prestamo" ref="A1:B15" totalsRowShown="0" headerRowDxfId="4" dataDxfId="3" tableBorderDxfId="2">
  <autoFilter ref="A1:B15" xr:uid="{E935E4D3-1E10-450B-B0E2-3EC0664D6B21}"/>
  <tableColumns count="2">
    <tableColumn id="1" xr3:uid="{AE34CAAB-4FFA-4FA2-9819-4B3CE95E9F46}" name="codigo" dataDxfId="1"/>
    <tableColumn id="2" xr3:uid="{BEF39B4F-C9F5-4CB3-9E15-8678018DD395}" name="prestam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E5446-F333-4133-8CA4-9BEE4BD95579}">
  <dimension ref="B3:C28"/>
  <sheetViews>
    <sheetView tabSelected="1" workbookViewId="0">
      <selection activeCell="B3" sqref="B3"/>
    </sheetView>
  </sheetViews>
  <sheetFormatPr baseColWidth="10" defaultRowHeight="15" x14ac:dyDescent="0.25"/>
  <cols>
    <col min="2" max="2" width="24.85546875" bestFit="1" customWidth="1"/>
    <col min="3" max="3" width="17.5703125" bestFit="1" customWidth="1"/>
    <col min="4" max="6" width="6" bestFit="1" customWidth="1"/>
    <col min="7" max="10" width="7" bestFit="1" customWidth="1"/>
    <col min="11" max="11" width="12.5703125" bestFit="1" customWidth="1"/>
  </cols>
  <sheetData>
    <row r="3" spans="2:3" x14ac:dyDescent="0.25">
      <c r="B3" s="8" t="s">
        <v>35</v>
      </c>
      <c r="C3" t="s">
        <v>37</v>
      </c>
    </row>
    <row r="4" spans="2:3" x14ac:dyDescent="0.25">
      <c r="B4" s="9" t="s">
        <v>6</v>
      </c>
      <c r="C4" s="13"/>
    </row>
    <row r="5" spans="2:3" x14ac:dyDescent="0.25">
      <c r="B5" s="10">
        <v>1</v>
      </c>
      <c r="C5" s="13"/>
    </row>
    <row r="6" spans="2:3" x14ac:dyDescent="0.25">
      <c r="B6" s="15" t="s">
        <v>46</v>
      </c>
      <c r="C6" s="13">
        <v>1990</v>
      </c>
    </row>
    <row r="7" spans="2:3" x14ac:dyDescent="0.25">
      <c r="B7" s="9" t="s">
        <v>10</v>
      </c>
      <c r="C7" s="13"/>
    </row>
    <row r="8" spans="2:3" x14ac:dyDescent="0.25">
      <c r="B8" s="10">
        <v>2</v>
      </c>
      <c r="C8" s="13"/>
    </row>
    <row r="9" spans="2:3" x14ac:dyDescent="0.25">
      <c r="B9" s="15" t="s">
        <v>9</v>
      </c>
      <c r="C9" s="13">
        <v>890</v>
      </c>
    </row>
    <row r="10" spans="2:3" x14ac:dyDescent="0.25">
      <c r="B10" s="9" t="s">
        <v>14</v>
      </c>
      <c r="C10" s="13"/>
    </row>
    <row r="11" spans="2:3" x14ac:dyDescent="0.25">
      <c r="B11" s="10">
        <v>3</v>
      </c>
      <c r="C11" s="13"/>
    </row>
    <row r="12" spans="2:3" x14ac:dyDescent="0.25">
      <c r="B12" s="15" t="s">
        <v>13</v>
      </c>
      <c r="C12" s="13">
        <v>1320</v>
      </c>
    </row>
    <row r="13" spans="2:3" x14ac:dyDescent="0.25">
      <c r="B13" s="9" t="s">
        <v>18</v>
      </c>
      <c r="C13" s="13"/>
    </row>
    <row r="14" spans="2:3" x14ac:dyDescent="0.25">
      <c r="B14" s="10">
        <v>4</v>
      </c>
      <c r="C14" s="13"/>
    </row>
    <row r="15" spans="2:3" x14ac:dyDescent="0.25">
      <c r="B15" s="15" t="s">
        <v>17</v>
      </c>
      <c r="C15" s="13">
        <v>780</v>
      </c>
    </row>
    <row r="16" spans="2:3" x14ac:dyDescent="0.25">
      <c r="B16" s="9" t="s">
        <v>21</v>
      </c>
      <c r="C16" s="13"/>
    </row>
    <row r="17" spans="2:3" x14ac:dyDescent="0.25">
      <c r="B17" s="10">
        <v>5</v>
      </c>
      <c r="C17" s="13"/>
    </row>
    <row r="18" spans="2:3" x14ac:dyDescent="0.25">
      <c r="B18" s="15" t="s">
        <v>20</v>
      </c>
      <c r="C18" s="13">
        <v>850</v>
      </c>
    </row>
    <row r="19" spans="2:3" x14ac:dyDescent="0.25">
      <c r="B19" s="9" t="s">
        <v>24</v>
      </c>
      <c r="C19" s="13"/>
    </row>
    <row r="20" spans="2:3" x14ac:dyDescent="0.25">
      <c r="B20" s="10">
        <v>6</v>
      </c>
      <c r="C20" s="13"/>
    </row>
    <row r="21" spans="2:3" x14ac:dyDescent="0.25">
      <c r="B21" s="15" t="s">
        <v>23</v>
      </c>
      <c r="C21" s="13">
        <v>50</v>
      </c>
    </row>
    <row r="22" spans="2:3" x14ac:dyDescent="0.25">
      <c r="B22" s="9" t="s">
        <v>27</v>
      </c>
      <c r="C22" s="13"/>
    </row>
    <row r="23" spans="2:3" x14ac:dyDescent="0.25">
      <c r="B23" s="10">
        <v>7</v>
      </c>
      <c r="C23" s="13"/>
    </row>
    <row r="24" spans="2:3" x14ac:dyDescent="0.25">
      <c r="B24" s="15" t="s">
        <v>26</v>
      </c>
      <c r="C24" s="13">
        <v>40</v>
      </c>
    </row>
    <row r="25" spans="2:3" x14ac:dyDescent="0.25">
      <c r="B25" s="9" t="s">
        <v>30</v>
      </c>
      <c r="C25" s="13"/>
    </row>
    <row r="26" spans="2:3" x14ac:dyDescent="0.25">
      <c r="B26" s="10">
        <v>8</v>
      </c>
      <c r="C26" s="13"/>
    </row>
    <row r="27" spans="2:3" x14ac:dyDescent="0.25">
      <c r="B27" s="15" t="s">
        <v>29</v>
      </c>
      <c r="C27" s="13">
        <v>110</v>
      </c>
    </row>
    <row r="28" spans="2:3" x14ac:dyDescent="0.25">
      <c r="B28" s="9" t="s">
        <v>36</v>
      </c>
      <c r="C28" s="13">
        <v>6030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D6C7A-F567-4BD7-89FF-FCECBF6E7609}">
  <sheetPr codeName="Hoja1"/>
  <dimension ref="A1:I12"/>
  <sheetViews>
    <sheetView workbookViewId="0">
      <selection activeCell="A3" sqref="A3:H12"/>
    </sheetView>
  </sheetViews>
  <sheetFormatPr baseColWidth="10" defaultRowHeight="15" x14ac:dyDescent="0.25"/>
  <cols>
    <col min="2" max="2" width="21" bestFit="1" customWidth="1"/>
    <col min="3" max="3" width="15" bestFit="1" customWidth="1"/>
    <col min="10" max="10" width="11.85546875" bestFit="1" customWidth="1"/>
    <col min="12" max="12" width="11.85546875" bestFit="1" customWidth="1"/>
  </cols>
  <sheetData>
    <row r="1" spans="1:9" ht="15.75" x14ac:dyDescent="0.25">
      <c r="B1" s="14" t="s">
        <v>0</v>
      </c>
      <c r="C1" s="14"/>
      <c r="D1" s="14"/>
      <c r="E1" s="14"/>
      <c r="F1" s="14"/>
    </row>
    <row r="3" spans="1:9" x14ac:dyDescent="0.25">
      <c r="A3" s="7" t="s">
        <v>33</v>
      </c>
      <c r="B3" s="7" t="s">
        <v>1</v>
      </c>
      <c r="C3" t="s">
        <v>2</v>
      </c>
      <c r="D3" s="7" t="s">
        <v>3</v>
      </c>
      <c r="E3" s="7" t="s">
        <v>4</v>
      </c>
      <c r="F3" s="11" t="s">
        <v>38</v>
      </c>
      <c r="G3" s="11" t="s">
        <v>39</v>
      </c>
      <c r="H3" s="11" t="s">
        <v>40</v>
      </c>
      <c r="I3" s="5"/>
    </row>
    <row r="4" spans="1:9" x14ac:dyDescent="0.25">
      <c r="A4" s="6">
        <v>1</v>
      </c>
      <c r="B4" s="3" t="s">
        <v>46</v>
      </c>
      <c r="C4" t="s">
        <v>6</v>
      </c>
      <c r="D4" s="3" t="s">
        <v>7</v>
      </c>
      <c r="E4" s="3" t="s">
        <v>8</v>
      </c>
      <c r="F4">
        <f>seccion[[#This Row],[Sueldos]]-SUMIF(sueldo!$A$2:$A$15,empleados[[#This Row],[codigo]],sueldo!$B$2:$B$15)</f>
        <v>23010</v>
      </c>
      <c r="G4" s="12">
        <v>44632</v>
      </c>
      <c r="H4" t="s">
        <v>41</v>
      </c>
    </row>
    <row r="5" spans="1:9" x14ac:dyDescent="0.25">
      <c r="A5" s="6">
        <v>2</v>
      </c>
      <c r="B5" s="4" t="s">
        <v>9</v>
      </c>
      <c r="C5" t="s">
        <v>10</v>
      </c>
      <c r="D5" s="4" t="s">
        <v>11</v>
      </c>
      <c r="E5" s="4" t="s">
        <v>12</v>
      </c>
      <c r="F5">
        <f>seccion[[#This Row],[Sueldos]]-SUMIF(sueldo!$A$2:$A$15,empleados[[#This Row],[codigo]],sueldo!$B$2:$B$15)</f>
        <v>34110</v>
      </c>
      <c r="G5" s="12">
        <v>44632</v>
      </c>
      <c r="H5" t="s">
        <v>41</v>
      </c>
    </row>
    <row r="6" spans="1:9" x14ac:dyDescent="0.25">
      <c r="A6" s="6">
        <v>3</v>
      </c>
      <c r="B6" s="3" t="s">
        <v>13</v>
      </c>
      <c r="C6" t="s">
        <v>14</v>
      </c>
      <c r="D6" s="3" t="s">
        <v>15</v>
      </c>
      <c r="E6" s="3" t="s">
        <v>16</v>
      </c>
      <c r="F6">
        <f>seccion[[#This Row],[Sueldos]]-SUMIF(sueldo!$A$2:$A$15,empleados[[#This Row],[codigo]],sueldo!$B$2:$B$15)</f>
        <v>43680</v>
      </c>
      <c r="G6" s="12">
        <v>44632</v>
      </c>
      <c r="H6" t="s">
        <v>41</v>
      </c>
    </row>
    <row r="7" spans="1:9" x14ac:dyDescent="0.25">
      <c r="A7" s="6">
        <v>4</v>
      </c>
      <c r="B7" s="4" t="s">
        <v>17</v>
      </c>
      <c r="C7" t="s">
        <v>18</v>
      </c>
      <c r="D7" s="4" t="s">
        <v>19</v>
      </c>
      <c r="E7" s="4" t="s">
        <v>8</v>
      </c>
      <c r="F7">
        <f>seccion[[#This Row],[Sueldos]]-SUMIF(sueldo!$A$2:$A$15,empleados[[#This Row],[codigo]],sueldo!$B$2:$B$15)</f>
        <v>49220</v>
      </c>
      <c r="G7" s="12">
        <v>44633</v>
      </c>
      <c r="H7" t="s">
        <v>42</v>
      </c>
    </row>
    <row r="8" spans="1:9" x14ac:dyDescent="0.25">
      <c r="A8" s="6">
        <v>5</v>
      </c>
      <c r="B8" s="3" t="s">
        <v>20</v>
      </c>
      <c r="C8" t="s">
        <v>21</v>
      </c>
      <c r="D8" s="3" t="s">
        <v>22</v>
      </c>
      <c r="E8" s="3" t="s">
        <v>12</v>
      </c>
      <c r="F8">
        <f>seccion[[#This Row],[Sueldos]]-SUMIF(sueldo!$A$2:$A$15,empleados[[#This Row],[codigo]],sueldo!$B$2:$B$15)</f>
        <v>99150</v>
      </c>
      <c r="G8" s="12">
        <v>44634</v>
      </c>
      <c r="H8" t="s">
        <v>42</v>
      </c>
    </row>
    <row r="9" spans="1:9" x14ac:dyDescent="0.25">
      <c r="A9" s="6">
        <v>6</v>
      </c>
      <c r="B9" s="4" t="s">
        <v>23</v>
      </c>
      <c r="C9" t="s">
        <v>24</v>
      </c>
      <c r="D9" s="4" t="s">
        <v>25</v>
      </c>
      <c r="E9" s="4" t="s">
        <v>16</v>
      </c>
      <c r="F9">
        <f>seccion[[#This Row],[Sueldos]]-SUMIF(sueldo!$A$2:$A$15,empleados[[#This Row],[codigo]],sueldo!$B$2:$B$15)</f>
        <v>100450</v>
      </c>
      <c r="G9" s="12">
        <v>44635</v>
      </c>
      <c r="H9" t="s">
        <v>45</v>
      </c>
    </row>
    <row r="10" spans="1:9" x14ac:dyDescent="0.25">
      <c r="A10" s="6">
        <v>7</v>
      </c>
      <c r="B10" s="3" t="s">
        <v>26</v>
      </c>
      <c r="C10" t="s">
        <v>27</v>
      </c>
      <c r="D10" s="3" t="s">
        <v>28</v>
      </c>
      <c r="E10" s="3" t="s">
        <v>8</v>
      </c>
      <c r="F10">
        <f>seccion[[#This Row],[Sueldos]]-SUMIF(sueldo!$A$2:$A$15,empleados[[#This Row],[codigo]],sueldo!$B$2:$B$15)</f>
        <v>116960</v>
      </c>
      <c r="G10" s="12">
        <v>44635</v>
      </c>
      <c r="H10" t="s">
        <v>43</v>
      </c>
    </row>
    <row r="11" spans="1:9" x14ac:dyDescent="0.25">
      <c r="A11" s="6">
        <v>8</v>
      </c>
      <c r="B11" s="4" t="s">
        <v>29</v>
      </c>
      <c r="C11" t="s">
        <v>30</v>
      </c>
      <c r="D11" s="4" t="s">
        <v>7</v>
      </c>
      <c r="E11" s="4" t="s">
        <v>12</v>
      </c>
      <c r="F11">
        <f>seccion[[#This Row],[Sueldos]]-SUMIF(sueldo!$A$2:$A$15,empleados[[#This Row],[codigo]],sueldo!$B$2:$B$15)</f>
        <v>133390</v>
      </c>
      <c r="G11" s="12">
        <v>44635</v>
      </c>
      <c r="H11" t="s">
        <v>43</v>
      </c>
    </row>
    <row r="12" spans="1:9" x14ac:dyDescent="0.25">
      <c r="A12" s="6">
        <v>9</v>
      </c>
      <c r="B12" s="2" t="s">
        <v>31</v>
      </c>
      <c r="C12" t="s">
        <v>32</v>
      </c>
      <c r="D12" s="2" t="s">
        <v>11</v>
      </c>
      <c r="E12" s="2" t="s">
        <v>16</v>
      </c>
      <c r="F12">
        <f>seccion[[#This Row],[Sueldos]]-SUMIF(sueldo!$A$2:$A$15,empleados[[#This Row],[codigo]],sueldo!$B$2:$B$15)</f>
        <v>150000</v>
      </c>
      <c r="G12" s="12">
        <v>44635</v>
      </c>
      <c r="H12" t="s">
        <v>44</v>
      </c>
    </row>
  </sheetData>
  <mergeCells count="1">
    <mergeCell ref="B1:F1"/>
  </mergeCells>
  <conditionalFormatting sqref="B4:B12 D4:E12">
    <cfRule type="expression" dxfId="32" priority="15">
      <formula>ISEVEN(ROW())</formula>
    </cfRule>
    <cfRule type="expression" dxfId="31" priority="16">
      <formula>ISODD(ROW())</formula>
    </cfRule>
  </conditionalFormatting>
  <conditionalFormatting sqref="A4:A12">
    <cfRule type="expression" dxfId="30" priority="13">
      <formula>ISEVEN(ROW())</formula>
    </cfRule>
    <cfRule type="expression" dxfId="29" priority="14">
      <formula>ISODD(ROW())</formula>
    </cfRule>
  </conditionalFormatting>
  <conditionalFormatting sqref="I3">
    <cfRule type="expression" dxfId="28" priority="11">
      <formula>ISEVEN(ROW())</formula>
    </cfRule>
    <cfRule type="expression" dxfId="27" priority="12">
      <formula>ISODD(ROW())</formula>
    </cfRule>
  </conditionalFormatting>
  <conditionalFormatting sqref="C4:C12">
    <cfRule type="expression" dxfId="26" priority="9">
      <formula>ISEVEN(ROW())</formula>
    </cfRule>
    <cfRule type="expression" dxfId="25" priority="10">
      <formula>ISODD(ROW())</formula>
    </cfRule>
  </conditionalFormatting>
  <conditionalFormatting sqref="F4:F12">
    <cfRule type="expression" dxfId="24" priority="7">
      <formula>ISEVEN(ROW())</formula>
    </cfRule>
    <cfRule type="expression" dxfId="23" priority="8">
      <formula>ISODD(ROW())</formula>
    </cfRule>
  </conditionalFormatting>
  <conditionalFormatting sqref="G4:G12">
    <cfRule type="expression" dxfId="22" priority="5">
      <formula>ISEVEN(ROW())</formula>
    </cfRule>
    <cfRule type="expression" dxfId="21" priority="6">
      <formula>ISODD(ROW())</formula>
    </cfRule>
  </conditionalFormatting>
  <conditionalFormatting sqref="H4:H12">
    <cfRule type="expression" dxfId="20" priority="1">
      <formula>ISEVEN(ROW())</formula>
    </cfRule>
    <cfRule type="expression" dxfId="19" priority="2">
      <formula>ISODD(ROW())</formula>
    </cfRule>
  </conditionalFormatting>
  <dataValidations count="1">
    <dataValidation type="custom" allowBlank="1" showInputMessage="1" showErrorMessage="1" errorTitle="ERROR!!!" error="Clave no validad. Tiene que ser un numero de 3 cifras no repetido." promptTitle="ID de empleado" prompt="Clave única de empleado, número de 3 cifras, sin caracteres alfabeticos." sqref="A4:A12" xr:uid="{55E332D6-DB48-49D0-9ABE-1CC64D1D4AD1}">
      <formula1>AND(ISNUMBER(A4),LEN(A4)&lt;=3,COUNTIF($A$4:$A$12,A4)=1)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CAE06-929E-437B-9906-4737B37391D6}">
  <sheetPr codeName="Hoja2"/>
  <dimension ref="A1:E12"/>
  <sheetViews>
    <sheetView workbookViewId="0">
      <selection activeCell="C10" sqref="C10"/>
    </sheetView>
  </sheetViews>
  <sheetFormatPr baseColWidth="10" defaultRowHeight="15" x14ac:dyDescent="0.25"/>
  <cols>
    <col min="1" max="1" width="15" bestFit="1" customWidth="1"/>
  </cols>
  <sheetData>
    <row r="1" spans="1:5" ht="15.75" x14ac:dyDescent="0.25">
      <c r="A1" s="14" t="s">
        <v>0</v>
      </c>
      <c r="B1" s="14"/>
      <c r="C1" s="14"/>
      <c r="D1" s="14"/>
      <c r="E1" s="14"/>
    </row>
    <row r="3" spans="1:5" x14ac:dyDescent="0.25">
      <c r="A3" t="s">
        <v>2</v>
      </c>
      <c r="B3" t="s">
        <v>5</v>
      </c>
    </row>
    <row r="4" spans="1:5" x14ac:dyDescent="0.25">
      <c r="A4" t="s">
        <v>6</v>
      </c>
      <c r="B4" s="1">
        <v>25000</v>
      </c>
    </row>
    <row r="5" spans="1:5" x14ac:dyDescent="0.25">
      <c r="A5" t="s">
        <v>10</v>
      </c>
      <c r="B5" s="1">
        <v>35000</v>
      </c>
    </row>
    <row r="6" spans="1:5" x14ac:dyDescent="0.25">
      <c r="A6" t="s">
        <v>14</v>
      </c>
      <c r="B6" s="1">
        <v>45000</v>
      </c>
    </row>
    <row r="7" spans="1:5" x14ac:dyDescent="0.25">
      <c r="A7" t="s">
        <v>18</v>
      </c>
      <c r="B7" s="1">
        <v>50000</v>
      </c>
    </row>
    <row r="8" spans="1:5" x14ac:dyDescent="0.25">
      <c r="A8" t="s">
        <v>21</v>
      </c>
      <c r="B8" s="1">
        <v>100000</v>
      </c>
    </row>
    <row r="9" spans="1:5" x14ac:dyDescent="0.25">
      <c r="A9" t="s">
        <v>24</v>
      </c>
      <c r="B9" s="1">
        <v>100500</v>
      </c>
    </row>
    <row r="10" spans="1:5" x14ac:dyDescent="0.25">
      <c r="A10" t="s">
        <v>27</v>
      </c>
      <c r="B10" s="1">
        <v>117000</v>
      </c>
    </row>
    <row r="11" spans="1:5" x14ac:dyDescent="0.25">
      <c r="A11" t="s">
        <v>30</v>
      </c>
      <c r="B11" s="1">
        <v>133500</v>
      </c>
    </row>
    <row r="12" spans="1:5" x14ac:dyDescent="0.25">
      <c r="A12" t="s">
        <v>32</v>
      </c>
      <c r="B12" s="1">
        <v>150000</v>
      </c>
    </row>
  </sheetData>
  <mergeCells count="1">
    <mergeCell ref="A1:E1"/>
  </mergeCells>
  <conditionalFormatting sqref="A4:B12">
    <cfRule type="expression" dxfId="7" priority="1">
      <formula>ISEVEN(ROW())</formula>
    </cfRule>
    <cfRule type="expression" dxfId="6" priority="2">
      <formula>ISODD(ROW())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F354D-E7D9-46C5-98EB-6264E2FCF8A9}">
  <sheetPr codeName="Hoja3"/>
  <dimension ref="A1:B15"/>
  <sheetViews>
    <sheetView workbookViewId="0">
      <selection activeCell="E22" sqref="E22"/>
    </sheetView>
  </sheetViews>
  <sheetFormatPr baseColWidth="10" defaultRowHeight="15" x14ac:dyDescent="0.25"/>
  <cols>
    <col min="2" max="2" width="11.5703125" customWidth="1"/>
  </cols>
  <sheetData>
    <row r="1" spans="1:2" x14ac:dyDescent="0.25">
      <c r="A1" s="7" t="s">
        <v>33</v>
      </c>
      <c r="B1" s="7" t="s">
        <v>34</v>
      </c>
    </row>
    <row r="2" spans="1:2" x14ac:dyDescent="0.25">
      <c r="A2" s="3">
        <v>1</v>
      </c>
      <c r="B2" s="3">
        <v>1000</v>
      </c>
    </row>
    <row r="3" spans="1:2" x14ac:dyDescent="0.25">
      <c r="A3" s="4">
        <v>2</v>
      </c>
      <c r="B3" s="4">
        <v>500</v>
      </c>
    </row>
    <row r="4" spans="1:2" x14ac:dyDescent="0.25">
      <c r="A4" s="3">
        <v>3</v>
      </c>
      <c r="B4" s="3">
        <v>1000</v>
      </c>
    </row>
    <row r="5" spans="1:2" x14ac:dyDescent="0.25">
      <c r="A5" s="4">
        <v>4</v>
      </c>
      <c r="B5" s="4">
        <v>600</v>
      </c>
    </row>
    <row r="6" spans="1:2" x14ac:dyDescent="0.25">
      <c r="A6" s="3">
        <v>5</v>
      </c>
      <c r="B6" s="3">
        <v>600</v>
      </c>
    </row>
    <row r="7" spans="1:2" x14ac:dyDescent="0.25">
      <c r="A7" s="4">
        <v>1</v>
      </c>
      <c r="B7" s="4">
        <v>530</v>
      </c>
    </row>
    <row r="8" spans="1:2" x14ac:dyDescent="0.25">
      <c r="A8" s="3">
        <v>1</v>
      </c>
      <c r="B8" s="3">
        <v>460</v>
      </c>
    </row>
    <row r="9" spans="1:2" x14ac:dyDescent="0.25">
      <c r="A9" s="4">
        <v>2</v>
      </c>
      <c r="B9" s="4">
        <v>390</v>
      </c>
    </row>
    <row r="10" spans="1:2" x14ac:dyDescent="0.25">
      <c r="A10" s="3">
        <v>3</v>
      </c>
      <c r="B10" s="3">
        <v>320</v>
      </c>
    </row>
    <row r="11" spans="1:2" x14ac:dyDescent="0.25">
      <c r="A11" s="4">
        <v>5</v>
      </c>
      <c r="B11" s="4">
        <v>250</v>
      </c>
    </row>
    <row r="12" spans="1:2" x14ac:dyDescent="0.25">
      <c r="A12" s="3">
        <v>4</v>
      </c>
      <c r="B12" s="3">
        <v>180</v>
      </c>
    </row>
    <row r="13" spans="1:2" x14ac:dyDescent="0.25">
      <c r="A13" s="4">
        <v>8</v>
      </c>
      <c r="B13" s="4">
        <v>110</v>
      </c>
    </row>
    <row r="14" spans="1:2" x14ac:dyDescent="0.25">
      <c r="A14" s="3">
        <v>7</v>
      </c>
      <c r="B14" s="3">
        <v>40</v>
      </c>
    </row>
    <row r="15" spans="1:2" x14ac:dyDescent="0.25">
      <c r="A15" s="4">
        <v>6</v>
      </c>
      <c r="B15" s="4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ABBE20D7-845D-42D0-B8E1-9C430DE34D04}">
  <ds:schemaRefs/>
</ds:datastoreItem>
</file>

<file path=customXml/itemProps2.xml><?xml version="1.0" encoding="utf-8"?>
<ds:datastoreItem xmlns:ds="http://schemas.openxmlformats.org/officeDocument/2006/customXml" ds:itemID="{E10A8AB9-A6F7-4B7F-8A8D-BA6666B37D01}">
  <ds:schemaRefs/>
</ds:datastoreItem>
</file>

<file path=customXml/itemProps3.xml><?xml version="1.0" encoding="utf-8"?>
<ds:datastoreItem xmlns:ds="http://schemas.openxmlformats.org/officeDocument/2006/customXml" ds:itemID="{5EF59CC9-4B95-45ED-AFD9-3FB0D9FFF0DF}">
  <ds:schemaRefs/>
</ds:datastoreItem>
</file>

<file path=customXml/itemProps4.xml><?xml version="1.0" encoding="utf-8"?>
<ds:datastoreItem xmlns:ds="http://schemas.openxmlformats.org/officeDocument/2006/customXml" ds:itemID="{24C57267-9B4C-4CA2-B935-A4226E330A36}">
  <ds:schemaRefs/>
</ds:datastoreItem>
</file>

<file path=customXml/itemProps5.xml><?xml version="1.0" encoding="utf-8"?>
<ds:datastoreItem xmlns:ds="http://schemas.openxmlformats.org/officeDocument/2006/customXml" ds:itemID="{606AEC4E-DBBF-40F4-A35A-507B5DA7CAAA}">
  <ds:schemaRefs/>
</ds:datastoreItem>
</file>

<file path=customXml/itemProps6.xml><?xml version="1.0" encoding="utf-8"?>
<ds:datastoreItem xmlns:ds="http://schemas.openxmlformats.org/officeDocument/2006/customXml" ds:itemID="{74502907-0459-4830-ADE9-EDE6A8170773}">
  <ds:schemaRefs/>
</ds:datastoreItem>
</file>

<file path=customXml/itemProps7.xml><?xml version="1.0" encoding="utf-8"?>
<ds:datastoreItem xmlns:ds="http://schemas.openxmlformats.org/officeDocument/2006/customXml" ds:itemID="{3A868872-7B0D-470E-848A-C574A61B70BC}">
  <ds:schemaRefs/>
</ds:datastoreItem>
</file>

<file path=customXml/itemProps8.xml><?xml version="1.0" encoding="utf-8"?>
<ds:datastoreItem xmlns:ds="http://schemas.openxmlformats.org/officeDocument/2006/customXml" ds:itemID="{DB102B83-6D44-4485-A826-F2691635C887}">
  <ds:schemaRefs/>
</ds:datastoreItem>
</file>

<file path=customXml/itemProps9.xml><?xml version="1.0" encoding="utf-8"?>
<ds:datastoreItem xmlns:ds="http://schemas.openxmlformats.org/officeDocument/2006/customXml" ds:itemID="{4C5A8CD6-7F73-4443-AEDE-4D1E8143FE6E}">
  <ds:schemaRefs/>
</ds:datastoreItem>
</file>

<file path=customXml/itemProps10.xml><?xml version="1.0" encoding="utf-8"?>
<ds:datastoreItem xmlns:ds="http://schemas.openxmlformats.org/officeDocument/2006/customXml" ds:itemID="{6DC9A3B3-2F18-487A-A057-061769EDF46E}">
  <ds:schemaRefs/>
</ds:datastoreItem>
</file>

<file path=customXml/itemProps11.xml><?xml version="1.0" encoding="utf-8"?>
<ds:datastoreItem xmlns:ds="http://schemas.openxmlformats.org/officeDocument/2006/customXml" ds:itemID="{1A6C7F0C-8C59-47A2-B315-DC3D4BE11270}">
  <ds:schemaRefs/>
</ds:datastoreItem>
</file>

<file path=customXml/itemProps12.xml><?xml version="1.0" encoding="utf-8"?>
<ds:datastoreItem xmlns:ds="http://schemas.openxmlformats.org/officeDocument/2006/customXml" ds:itemID="{2AD25F0E-807D-41A6-9E53-CAFF42EBE039}">
  <ds:schemaRefs/>
</ds:datastoreItem>
</file>

<file path=customXml/itemProps13.xml><?xml version="1.0" encoding="utf-8"?>
<ds:datastoreItem xmlns:ds="http://schemas.openxmlformats.org/officeDocument/2006/customXml" ds:itemID="{760DDE4E-8476-4C4C-9391-1365624335BE}">
  <ds:schemaRefs/>
</ds:datastoreItem>
</file>

<file path=customXml/itemProps14.xml><?xml version="1.0" encoding="utf-8"?>
<ds:datastoreItem xmlns:ds="http://schemas.openxmlformats.org/officeDocument/2006/customXml" ds:itemID="{0B9049C7-64AE-4BBF-85D6-B6CA50F1A33C}">
  <ds:schemaRefs/>
</ds:datastoreItem>
</file>

<file path=customXml/itemProps15.xml><?xml version="1.0" encoding="utf-8"?>
<ds:datastoreItem xmlns:ds="http://schemas.openxmlformats.org/officeDocument/2006/customXml" ds:itemID="{72183CD1-8CFB-4585-8CBB-4B1503C30976}">
  <ds:schemaRefs/>
</ds:datastoreItem>
</file>

<file path=customXml/itemProps16.xml><?xml version="1.0" encoding="utf-8"?>
<ds:datastoreItem xmlns:ds="http://schemas.openxmlformats.org/officeDocument/2006/customXml" ds:itemID="{B628B61E-49FC-4548-93CE-F833ADFF2835}">
  <ds:schemaRefs/>
</ds:datastoreItem>
</file>

<file path=customXml/itemProps17.xml><?xml version="1.0" encoding="utf-8"?>
<ds:datastoreItem xmlns:ds="http://schemas.openxmlformats.org/officeDocument/2006/customXml" ds:itemID="{A1666B4F-870A-4515-8130-9629BD27F0B0}">
  <ds:schemaRefs/>
</ds:datastoreItem>
</file>

<file path=customXml/itemProps18.xml><?xml version="1.0" encoding="utf-8"?>
<ds:datastoreItem xmlns:ds="http://schemas.openxmlformats.org/officeDocument/2006/customXml" ds:itemID="{404E7618-777C-4BD6-8A69-89EFC8DB3203}">
  <ds:schemaRefs/>
</ds:datastoreItem>
</file>

<file path=customXml/itemProps19.xml><?xml version="1.0" encoding="utf-8"?>
<ds:datastoreItem xmlns:ds="http://schemas.openxmlformats.org/officeDocument/2006/customXml" ds:itemID="{17867D67-00C8-4E55-AAFA-45F945FEACF2}">
  <ds:schemaRefs/>
</ds:datastoreItem>
</file>

<file path=customXml/itemProps20.xml><?xml version="1.0" encoding="utf-8"?>
<ds:datastoreItem xmlns:ds="http://schemas.openxmlformats.org/officeDocument/2006/customXml" ds:itemID="{3C8B8638-6869-4C19-B415-D04713589B82}">
  <ds:schemaRefs/>
</ds:datastoreItem>
</file>

<file path=customXml/itemProps21.xml><?xml version="1.0" encoding="utf-8"?>
<ds:datastoreItem xmlns:ds="http://schemas.openxmlformats.org/officeDocument/2006/customXml" ds:itemID="{3AE03831-2FA6-4D53-AC8B-CEC502770D3C}">
  <ds:schemaRefs/>
</ds:datastoreItem>
</file>

<file path=customXml/itemProps22.xml><?xml version="1.0" encoding="utf-8"?>
<ds:datastoreItem xmlns:ds="http://schemas.openxmlformats.org/officeDocument/2006/customXml" ds:itemID="{F4D64B62-F106-49F1-950D-06CE9800054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nombres</vt:lpstr>
      <vt:lpstr>sección</vt:lpstr>
      <vt:lpstr>sueldo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Uñate</dc:creator>
  <cp:lastModifiedBy>Alejandro Uñate</cp:lastModifiedBy>
  <dcterms:created xsi:type="dcterms:W3CDTF">2022-04-01T23:31:44Z</dcterms:created>
  <dcterms:modified xsi:type="dcterms:W3CDTF">2022-07-21T04:17:47Z</dcterms:modified>
</cp:coreProperties>
</file>