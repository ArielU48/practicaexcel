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2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706A8BF9-5D40-4184-AEF6-2B797ADEEEA6}" xr6:coauthVersionLast="45" xr6:coauthVersionMax="47" xr10:uidLastSave="{00000000-0000-0000-0000-000000000000}"/>
  <bookViews>
    <workbookView xWindow="45" yWindow="0" windowWidth="20445" windowHeight="11520" activeTab="1" xr2:uid="{6D599713-1989-43D3-A173-9FAFCAE4DAE7}"/>
  </bookViews>
  <sheets>
    <sheet name="BaseDeDatos" sheetId="1" r:id="rId1"/>
    <sheet name="Hoja4" sheetId="15" r:id="rId2"/>
    <sheet name="Hoja5" sheetId="16" r:id="rId3"/>
    <sheet name="Hoja2" sheetId="14" r:id="rId4"/>
    <sheet name="GRAFICO" sheetId="9" r:id="rId5"/>
    <sheet name="Hoja1" sheetId="11" r:id="rId6"/>
    <sheet name="PANEL" sheetId="10" r:id="rId7"/>
    <sheet name="normalizar" sheetId="12" r:id="rId8"/>
    <sheet name="Hoja3" sheetId="13" r:id="rId9"/>
  </sheets>
  <definedNames>
    <definedName name="_xlnm._FilterDatabase" localSheetId="0" hidden="1">Hoja4!$O$1:$O$370</definedName>
    <definedName name="_xlnm._FilterDatabase" localSheetId="7" hidden="1">normalizar!$A$1:$N$372</definedName>
    <definedName name="_xlchart.v5.0" hidden="1">GRAFICO!$D$64</definedName>
    <definedName name="_xlchart.v5.1" hidden="1">GRAFICO!$D$65:$D$75</definedName>
    <definedName name="_xlchart.v5.2" hidden="1">GRAFICO!$E$64</definedName>
    <definedName name="_xlchart.v5.3" hidden="1">GRAFICO!$E$65:$E$75</definedName>
    <definedName name="_xlchart.v5.4" hidden="1">GRAFICO!$D$64</definedName>
    <definedName name="_xlchart.v5.5" hidden="1">GRAFICO!$D$65:$D$75</definedName>
    <definedName name="_xlchart.v5.6" hidden="1">GRAFICO!$E$64</definedName>
    <definedName name="_xlchart.v5.7" hidden="1">GRAFICO!$E$65:$E$75</definedName>
    <definedName name="_xlnm.Extract" localSheetId="0">BaseDeDatos!$AE$4</definedName>
    <definedName name="_xlnm.Extract" localSheetId="8">Hoja3!$P$1</definedName>
    <definedName name="cat">normalizar!$K:$K</definedName>
    <definedName name="ciudad">normalizar!$E:$E</definedName>
    <definedName name="cli">Hoja3!$A$1:$A$16</definedName>
    <definedName name="cliente">Tabla1[Cliente]</definedName>
    <definedName name="clientes2">normalizar!$D:$D</definedName>
    <definedName name="_xlnm.Criteria" localSheetId="0">BaseDeDatos!$AE$1:$AE$2</definedName>
    <definedName name="_xlnm.Criteria" localSheetId="8">Hoja3!$S$1:$S$2</definedName>
    <definedName name="date">Tabla2[[#All],[mes]]</definedName>
    <definedName name="datos">Hoja4!$A$1:$P$370</definedName>
    <definedName name="empresa">normalizar!$H:$H</definedName>
    <definedName name="fe">Hoja4!$AM$7:$AM$13</definedName>
    <definedName name="forma">Tabla2[[#All],[Forma de pago]]</definedName>
    <definedName name="mes">Hoja4!$AW$1:$AW$12</definedName>
    <definedName name="meses">Tabla2[mes]</definedName>
    <definedName name="NativeTimeline_Fecha">#N/A</definedName>
    <definedName name="normal">Tabla1[]</definedName>
    <definedName name="pago">normalizar!$I:$I</definedName>
    <definedName name="produc">normalizar!$J:$J</definedName>
    <definedName name="provincia">normalizar!$F:$F</definedName>
    <definedName name="SegmentaciónDeDatos_Categoría">#N/A</definedName>
    <definedName name="SegmentaciónDeDatos_Fecha">#N/A</definedName>
    <definedName name="SegmentaciónDeDatos_Provincia">#N/A</definedName>
    <definedName name="SegmentaciónDeDatos_Vendedor">#N/A</definedName>
    <definedName name="titulo">Hoja4!$S$9:$AH$9</definedName>
    <definedName name="vendedor">normalizar!$G:$G</definedName>
  </definedNames>
  <calcPr calcId="191029"/>
  <pivotCaches>
    <pivotCache cacheId="0" r:id="rId10"/>
    <pivotCache cacheId="1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13" i="15" l="1"/>
  <c r="AN14" i="15"/>
  <c r="AN15" i="15"/>
  <c r="AN12" i="15"/>
  <c r="AO1" i="15" a="1"/>
  <c r="AO1" i="15" s="1"/>
  <c r="U1" i="15" a="1"/>
  <c r="U1" i="15" s="1"/>
  <c r="S10" i="15" s="1" a="1"/>
  <c r="S10" i="15" s="1"/>
  <c r="S9" i="15" a="1"/>
  <c r="S9" i="15" s="1"/>
  <c r="AJ10" i="15" l="1"/>
  <c r="N2" i="15"/>
  <c r="O2" i="15"/>
  <c r="P2" i="15"/>
  <c r="N3" i="15"/>
  <c r="O3" i="15"/>
  <c r="P3" i="15"/>
  <c r="N4" i="15"/>
  <c r="O4" i="15"/>
  <c r="P4" i="15"/>
  <c r="N5" i="15"/>
  <c r="O5" i="15"/>
  <c r="P5" i="15"/>
  <c r="N6" i="15"/>
  <c r="O6" i="15"/>
  <c r="P6" i="15"/>
  <c r="N7" i="15"/>
  <c r="O7" i="15"/>
  <c r="P7" i="15"/>
  <c r="N8" i="15"/>
  <c r="O8" i="15"/>
  <c r="P8" i="15"/>
  <c r="N9" i="15"/>
  <c r="O9" i="15"/>
  <c r="P9" i="15"/>
  <c r="N10" i="15"/>
  <c r="O10" i="15"/>
  <c r="P10" i="15"/>
  <c r="N11" i="15"/>
  <c r="O11" i="15"/>
  <c r="P11" i="15"/>
  <c r="N12" i="15"/>
  <c r="O12" i="15"/>
  <c r="P12" i="15"/>
  <c r="N13" i="15"/>
  <c r="O13" i="15"/>
  <c r="P13" i="15"/>
  <c r="N14" i="15"/>
  <c r="O14" i="15"/>
  <c r="P14" i="15"/>
  <c r="N15" i="15"/>
  <c r="O15" i="15"/>
  <c r="P15" i="15"/>
  <c r="N16" i="15"/>
  <c r="O16" i="15"/>
  <c r="P16" i="15"/>
  <c r="N17" i="15"/>
  <c r="O17" i="15"/>
  <c r="P17" i="15"/>
  <c r="N18" i="15"/>
  <c r="O18" i="15"/>
  <c r="P18" i="15"/>
  <c r="N19" i="15"/>
  <c r="O19" i="15"/>
  <c r="P19" i="15"/>
  <c r="N20" i="15"/>
  <c r="O20" i="15"/>
  <c r="P20" i="15"/>
  <c r="N21" i="15"/>
  <c r="O21" i="15"/>
  <c r="P21" i="15"/>
  <c r="N22" i="15"/>
  <c r="O22" i="15"/>
  <c r="P22" i="15"/>
  <c r="N23" i="15"/>
  <c r="O23" i="15"/>
  <c r="P23" i="15"/>
  <c r="N24" i="15"/>
  <c r="O24" i="15"/>
  <c r="P24" i="15"/>
  <c r="N25" i="15"/>
  <c r="O25" i="15"/>
  <c r="P25" i="15"/>
  <c r="N26" i="15"/>
  <c r="O26" i="15"/>
  <c r="P26" i="15"/>
  <c r="N27" i="15"/>
  <c r="O27" i="15"/>
  <c r="P27" i="15"/>
  <c r="N28" i="15"/>
  <c r="O28" i="15"/>
  <c r="P28" i="15"/>
  <c r="N29" i="15"/>
  <c r="O29" i="15"/>
  <c r="P29" i="15"/>
  <c r="N30" i="15"/>
  <c r="O30" i="15"/>
  <c r="P30" i="15"/>
  <c r="N31" i="15"/>
  <c r="O31" i="15"/>
  <c r="P31" i="15"/>
  <c r="N32" i="15"/>
  <c r="O32" i="15"/>
  <c r="P32" i="15"/>
  <c r="N33" i="15"/>
  <c r="O33" i="15"/>
  <c r="P33" i="15"/>
  <c r="O34" i="15"/>
  <c r="P34" i="15"/>
  <c r="O35" i="15"/>
  <c r="P35" i="15"/>
  <c r="O36" i="15"/>
  <c r="P36" i="15"/>
  <c r="N37" i="15"/>
  <c r="O37" i="15"/>
  <c r="P37" i="15"/>
  <c r="N38" i="15"/>
  <c r="O38" i="15"/>
  <c r="P38" i="15"/>
  <c r="N39" i="15"/>
  <c r="O39" i="15"/>
  <c r="P39" i="15"/>
  <c r="N40" i="15"/>
  <c r="O40" i="15"/>
  <c r="P40" i="15"/>
  <c r="N41" i="15"/>
  <c r="O41" i="15"/>
  <c r="P41" i="15"/>
  <c r="N42" i="15"/>
  <c r="O42" i="15"/>
  <c r="P42" i="15"/>
  <c r="N43" i="15"/>
  <c r="O43" i="15"/>
  <c r="P43" i="15"/>
  <c r="N44" i="15"/>
  <c r="O44" i="15"/>
  <c r="P44" i="15"/>
  <c r="N45" i="15"/>
  <c r="O45" i="15"/>
  <c r="P45" i="15"/>
  <c r="N46" i="15"/>
  <c r="O46" i="15"/>
  <c r="P46" i="15"/>
  <c r="N47" i="15"/>
  <c r="O47" i="15"/>
  <c r="P47" i="15"/>
  <c r="N48" i="15"/>
  <c r="O48" i="15"/>
  <c r="P48" i="15"/>
  <c r="N49" i="15"/>
  <c r="O49" i="15"/>
  <c r="P49" i="15"/>
  <c r="N50" i="15"/>
  <c r="O50" i="15"/>
  <c r="P50" i="15"/>
  <c r="N51" i="15"/>
  <c r="O51" i="15"/>
  <c r="P51" i="15"/>
  <c r="N52" i="15"/>
  <c r="O52" i="15"/>
  <c r="P52" i="15"/>
  <c r="N53" i="15"/>
  <c r="O53" i="15"/>
  <c r="P53" i="15"/>
  <c r="N54" i="15"/>
  <c r="O54" i="15"/>
  <c r="P54" i="15"/>
  <c r="N55" i="15"/>
  <c r="O55" i="15"/>
  <c r="P55" i="15"/>
  <c r="N56" i="15"/>
  <c r="O56" i="15"/>
  <c r="P56" i="15"/>
  <c r="N57" i="15"/>
  <c r="O57" i="15"/>
  <c r="P57" i="15"/>
  <c r="N58" i="15"/>
  <c r="O58" i="15"/>
  <c r="P58" i="15"/>
  <c r="N59" i="15"/>
  <c r="O59" i="15"/>
  <c r="P59" i="15"/>
  <c r="N60" i="15"/>
  <c r="O60" i="15"/>
  <c r="P60" i="15"/>
  <c r="N61" i="15"/>
  <c r="O61" i="15"/>
  <c r="P61" i="15"/>
  <c r="N62" i="15"/>
  <c r="O62" i="15"/>
  <c r="P62" i="15"/>
  <c r="N63" i="15"/>
  <c r="O63" i="15"/>
  <c r="P63" i="15"/>
  <c r="N64" i="15"/>
  <c r="O64" i="15"/>
  <c r="P64" i="15"/>
  <c r="N65" i="15"/>
  <c r="O65" i="15"/>
  <c r="P65" i="15"/>
  <c r="N66" i="15"/>
  <c r="O66" i="15"/>
  <c r="P66" i="15"/>
  <c r="N67" i="15"/>
  <c r="O67" i="15"/>
  <c r="P67" i="15"/>
  <c r="N68" i="15"/>
  <c r="O68" i="15"/>
  <c r="P68" i="15"/>
  <c r="N69" i="15"/>
  <c r="O69" i="15"/>
  <c r="P69" i="15"/>
  <c r="N70" i="15"/>
  <c r="O70" i="15"/>
  <c r="P70" i="15"/>
  <c r="N71" i="15"/>
  <c r="O71" i="15"/>
  <c r="P71" i="15"/>
  <c r="N72" i="15"/>
  <c r="O72" i="15"/>
  <c r="P72" i="15"/>
  <c r="N73" i="15"/>
  <c r="O73" i="15"/>
  <c r="P73" i="15"/>
  <c r="N74" i="15"/>
  <c r="O74" i="15"/>
  <c r="P74" i="15"/>
  <c r="N75" i="15"/>
  <c r="O75" i="15"/>
  <c r="P75" i="15"/>
  <c r="N76" i="15"/>
  <c r="O76" i="15"/>
  <c r="P76" i="15"/>
  <c r="N77" i="15"/>
  <c r="O77" i="15"/>
  <c r="P77" i="15"/>
  <c r="N78" i="15"/>
  <c r="O78" i="15"/>
  <c r="P78" i="15"/>
  <c r="N79" i="15"/>
  <c r="O79" i="15"/>
  <c r="P79" i="15"/>
  <c r="N80" i="15"/>
  <c r="O80" i="15"/>
  <c r="P80" i="15"/>
  <c r="N81" i="15"/>
  <c r="O81" i="15"/>
  <c r="P81" i="15"/>
  <c r="N82" i="15"/>
  <c r="O82" i="15"/>
  <c r="P82" i="15"/>
  <c r="N83" i="15"/>
  <c r="O83" i="15"/>
  <c r="P83" i="15"/>
  <c r="N84" i="15"/>
  <c r="O84" i="15"/>
  <c r="P84" i="15"/>
  <c r="N85" i="15"/>
  <c r="O85" i="15"/>
  <c r="P85" i="15"/>
  <c r="N86" i="15"/>
  <c r="O86" i="15"/>
  <c r="P86" i="15"/>
  <c r="N87" i="15"/>
  <c r="O87" i="15"/>
  <c r="P87" i="15"/>
  <c r="N88" i="15"/>
  <c r="O88" i="15"/>
  <c r="P88" i="15"/>
  <c r="N89" i="15"/>
  <c r="O89" i="15"/>
  <c r="P89" i="15"/>
  <c r="N90" i="15"/>
  <c r="O90" i="15"/>
  <c r="P90" i="15"/>
  <c r="N91" i="15"/>
  <c r="O91" i="15"/>
  <c r="P91" i="15"/>
  <c r="N92" i="15"/>
  <c r="O92" i="15"/>
  <c r="P92" i="15"/>
  <c r="N93" i="15"/>
  <c r="O93" i="15"/>
  <c r="P93" i="15"/>
  <c r="N94" i="15"/>
  <c r="O94" i="15"/>
  <c r="P94" i="15"/>
  <c r="N95" i="15"/>
  <c r="O95" i="15"/>
  <c r="P95" i="15"/>
  <c r="N96" i="15"/>
  <c r="O96" i="15"/>
  <c r="P96" i="15"/>
  <c r="N97" i="15"/>
  <c r="O97" i="15"/>
  <c r="P97" i="15"/>
  <c r="N98" i="15"/>
  <c r="O98" i="15"/>
  <c r="P98" i="15"/>
  <c r="N99" i="15"/>
  <c r="O99" i="15"/>
  <c r="P99" i="15"/>
  <c r="N100" i="15"/>
  <c r="O100" i="15"/>
  <c r="P100" i="15"/>
  <c r="N101" i="15"/>
  <c r="O101" i="15"/>
  <c r="P101" i="15"/>
  <c r="N102" i="15"/>
  <c r="O102" i="15"/>
  <c r="P102" i="15"/>
  <c r="N103" i="15"/>
  <c r="O103" i="15"/>
  <c r="P103" i="15"/>
  <c r="N104" i="15"/>
  <c r="O104" i="15"/>
  <c r="P104" i="15"/>
  <c r="N105" i="15"/>
  <c r="O105" i="15"/>
  <c r="P105" i="15"/>
  <c r="N106" i="15"/>
  <c r="O106" i="15"/>
  <c r="P106" i="15"/>
  <c r="N107" i="15"/>
  <c r="O107" i="15"/>
  <c r="P107" i="15"/>
  <c r="N108" i="15"/>
  <c r="O108" i="15"/>
  <c r="P108" i="15"/>
  <c r="N109" i="15"/>
  <c r="O109" i="15"/>
  <c r="P109" i="15"/>
  <c r="N110" i="15"/>
  <c r="O110" i="15"/>
  <c r="P110" i="15"/>
  <c r="N111" i="15"/>
  <c r="O111" i="15"/>
  <c r="P111" i="15"/>
  <c r="N112" i="15"/>
  <c r="O112" i="15"/>
  <c r="P112" i="15"/>
  <c r="N113" i="15"/>
  <c r="O113" i="15"/>
  <c r="P113" i="15"/>
  <c r="N114" i="15"/>
  <c r="O114" i="15"/>
  <c r="P114" i="15"/>
  <c r="N115" i="15"/>
  <c r="O115" i="15"/>
  <c r="P115" i="15"/>
  <c r="N116" i="15"/>
  <c r="O116" i="15"/>
  <c r="P116" i="15"/>
  <c r="N117" i="15"/>
  <c r="O117" i="15"/>
  <c r="P117" i="15"/>
  <c r="N118" i="15"/>
  <c r="O118" i="15"/>
  <c r="P118" i="15"/>
  <c r="N119" i="15"/>
  <c r="O119" i="15"/>
  <c r="P119" i="15"/>
  <c r="N120" i="15"/>
  <c r="O120" i="15"/>
  <c r="P120" i="15"/>
  <c r="N121" i="15"/>
  <c r="O121" i="15"/>
  <c r="P121" i="15"/>
  <c r="N122" i="15"/>
  <c r="O122" i="15"/>
  <c r="P122" i="15"/>
  <c r="N123" i="15"/>
  <c r="O123" i="15"/>
  <c r="P123" i="15"/>
  <c r="N124" i="15"/>
  <c r="O124" i="15"/>
  <c r="P124" i="15"/>
  <c r="N125" i="15"/>
  <c r="O125" i="15"/>
  <c r="P125" i="15"/>
  <c r="N126" i="15"/>
  <c r="O126" i="15"/>
  <c r="P126" i="15"/>
  <c r="N127" i="15"/>
  <c r="O127" i="15"/>
  <c r="P127" i="15"/>
  <c r="N128" i="15"/>
  <c r="O128" i="15"/>
  <c r="P128" i="15"/>
  <c r="N129" i="15"/>
  <c r="O129" i="15"/>
  <c r="P129" i="15"/>
  <c r="N130" i="15"/>
  <c r="O130" i="15"/>
  <c r="P130" i="15"/>
  <c r="N131" i="15"/>
  <c r="O131" i="15"/>
  <c r="P131" i="15"/>
  <c r="N132" i="15"/>
  <c r="O132" i="15"/>
  <c r="P132" i="15"/>
  <c r="N133" i="15"/>
  <c r="O133" i="15"/>
  <c r="P133" i="15"/>
  <c r="N134" i="15"/>
  <c r="O134" i="15"/>
  <c r="P134" i="15"/>
  <c r="N135" i="15"/>
  <c r="O135" i="15"/>
  <c r="P135" i="15"/>
  <c r="N136" i="15"/>
  <c r="O136" i="15"/>
  <c r="P136" i="15"/>
  <c r="N137" i="15"/>
  <c r="O137" i="15"/>
  <c r="P137" i="15"/>
  <c r="N138" i="15"/>
  <c r="O138" i="15"/>
  <c r="P138" i="15"/>
  <c r="N139" i="15"/>
  <c r="O139" i="15"/>
  <c r="P139" i="15"/>
  <c r="N140" i="15"/>
  <c r="O140" i="15"/>
  <c r="P140" i="15"/>
  <c r="N141" i="15"/>
  <c r="O141" i="15"/>
  <c r="P141" i="15"/>
  <c r="N142" i="15"/>
  <c r="O142" i="15"/>
  <c r="P142" i="15"/>
  <c r="N143" i="15"/>
  <c r="O143" i="15"/>
  <c r="P143" i="15"/>
  <c r="N144" i="15"/>
  <c r="O144" i="15"/>
  <c r="P144" i="15"/>
  <c r="N145" i="15"/>
  <c r="O145" i="15"/>
  <c r="P145" i="15"/>
  <c r="N146" i="15"/>
  <c r="O146" i="15"/>
  <c r="P146" i="15"/>
  <c r="N147" i="15"/>
  <c r="O147" i="15"/>
  <c r="P147" i="15"/>
  <c r="N148" i="15"/>
  <c r="O148" i="15"/>
  <c r="P148" i="15"/>
  <c r="N149" i="15"/>
  <c r="O149" i="15"/>
  <c r="P149" i="15"/>
  <c r="N150" i="15"/>
  <c r="O150" i="15"/>
  <c r="P150" i="15"/>
  <c r="N151" i="15"/>
  <c r="O151" i="15"/>
  <c r="P151" i="15"/>
  <c r="N152" i="15"/>
  <c r="O152" i="15"/>
  <c r="P152" i="15"/>
  <c r="N153" i="15"/>
  <c r="O153" i="15"/>
  <c r="P153" i="15"/>
  <c r="N154" i="15"/>
  <c r="O154" i="15"/>
  <c r="P154" i="15"/>
  <c r="N155" i="15"/>
  <c r="O155" i="15"/>
  <c r="P155" i="15"/>
  <c r="N156" i="15"/>
  <c r="O156" i="15"/>
  <c r="P156" i="15"/>
  <c r="N157" i="15"/>
  <c r="O157" i="15"/>
  <c r="P157" i="15"/>
  <c r="N158" i="15"/>
  <c r="O158" i="15"/>
  <c r="P158" i="15"/>
  <c r="N159" i="15"/>
  <c r="O159" i="15"/>
  <c r="P159" i="15"/>
  <c r="N160" i="15"/>
  <c r="O160" i="15"/>
  <c r="P160" i="15"/>
  <c r="N161" i="15"/>
  <c r="O161" i="15"/>
  <c r="P161" i="15"/>
  <c r="N162" i="15"/>
  <c r="O162" i="15"/>
  <c r="P162" i="15"/>
  <c r="N163" i="15"/>
  <c r="O163" i="15"/>
  <c r="P163" i="15"/>
  <c r="N164" i="15"/>
  <c r="O164" i="15"/>
  <c r="P164" i="15"/>
  <c r="N165" i="15"/>
  <c r="O165" i="15"/>
  <c r="P165" i="15"/>
  <c r="N166" i="15"/>
  <c r="O166" i="15"/>
  <c r="P166" i="15"/>
  <c r="N167" i="15"/>
  <c r="O167" i="15"/>
  <c r="P167" i="15"/>
  <c r="N168" i="15"/>
  <c r="O168" i="15"/>
  <c r="P168" i="15"/>
  <c r="N169" i="15"/>
  <c r="O169" i="15"/>
  <c r="P169" i="15"/>
  <c r="N170" i="15"/>
  <c r="O170" i="15"/>
  <c r="P170" i="15"/>
  <c r="N171" i="15"/>
  <c r="O171" i="15"/>
  <c r="P171" i="15"/>
  <c r="N172" i="15"/>
  <c r="O172" i="15"/>
  <c r="P172" i="15"/>
  <c r="N173" i="15"/>
  <c r="O173" i="15"/>
  <c r="P173" i="15"/>
  <c r="N174" i="15"/>
  <c r="O174" i="15"/>
  <c r="P174" i="15"/>
  <c r="N175" i="15"/>
  <c r="O175" i="15"/>
  <c r="P175" i="15"/>
  <c r="N176" i="15"/>
  <c r="O176" i="15"/>
  <c r="P176" i="15"/>
  <c r="N177" i="15"/>
  <c r="O177" i="15"/>
  <c r="P177" i="15"/>
  <c r="N178" i="15"/>
  <c r="O178" i="15"/>
  <c r="P178" i="15"/>
  <c r="N179" i="15"/>
  <c r="O179" i="15"/>
  <c r="P179" i="15"/>
  <c r="N180" i="15"/>
  <c r="O180" i="15"/>
  <c r="P180" i="15"/>
  <c r="N181" i="15"/>
  <c r="O181" i="15"/>
  <c r="P181" i="15"/>
  <c r="N182" i="15"/>
  <c r="O182" i="15"/>
  <c r="P182" i="15"/>
  <c r="N183" i="15"/>
  <c r="O183" i="15"/>
  <c r="P183" i="15"/>
  <c r="N184" i="15"/>
  <c r="O184" i="15"/>
  <c r="P184" i="15"/>
  <c r="N185" i="15"/>
  <c r="O185" i="15"/>
  <c r="P185" i="15"/>
  <c r="N186" i="15"/>
  <c r="O186" i="15"/>
  <c r="P186" i="15"/>
  <c r="N187" i="15"/>
  <c r="O187" i="15"/>
  <c r="P187" i="15"/>
  <c r="N188" i="15"/>
  <c r="O188" i="15"/>
  <c r="P188" i="15"/>
  <c r="N189" i="15"/>
  <c r="O189" i="15"/>
  <c r="P189" i="15"/>
  <c r="N190" i="15"/>
  <c r="O190" i="15"/>
  <c r="P190" i="15"/>
  <c r="N191" i="15"/>
  <c r="O191" i="15"/>
  <c r="P191" i="15"/>
  <c r="N192" i="15"/>
  <c r="O192" i="15"/>
  <c r="P192" i="15"/>
  <c r="N193" i="15"/>
  <c r="O193" i="15"/>
  <c r="P193" i="15"/>
  <c r="N194" i="15"/>
  <c r="O194" i="15"/>
  <c r="P194" i="15"/>
  <c r="N195" i="15"/>
  <c r="O195" i="15"/>
  <c r="P195" i="15"/>
  <c r="N196" i="15"/>
  <c r="O196" i="15"/>
  <c r="P196" i="15"/>
  <c r="N197" i="15"/>
  <c r="O197" i="15"/>
  <c r="P197" i="15"/>
  <c r="N198" i="15"/>
  <c r="O198" i="15"/>
  <c r="P198" i="15"/>
  <c r="N199" i="15"/>
  <c r="O199" i="15"/>
  <c r="P199" i="15"/>
  <c r="N200" i="15"/>
  <c r="O200" i="15"/>
  <c r="P200" i="15"/>
  <c r="N201" i="15"/>
  <c r="O201" i="15"/>
  <c r="P201" i="15"/>
  <c r="N202" i="15"/>
  <c r="O202" i="15"/>
  <c r="P202" i="15"/>
  <c r="N203" i="15"/>
  <c r="O203" i="15"/>
  <c r="P203" i="15"/>
  <c r="N204" i="15"/>
  <c r="O204" i="15"/>
  <c r="P204" i="15"/>
  <c r="N205" i="15"/>
  <c r="O205" i="15"/>
  <c r="P205" i="15"/>
  <c r="N206" i="15"/>
  <c r="O206" i="15"/>
  <c r="P206" i="15"/>
  <c r="N207" i="15"/>
  <c r="O207" i="15"/>
  <c r="P207" i="15"/>
  <c r="N208" i="15"/>
  <c r="O208" i="15"/>
  <c r="P208" i="15"/>
  <c r="N209" i="15"/>
  <c r="O209" i="15"/>
  <c r="P209" i="15"/>
  <c r="N210" i="15"/>
  <c r="O210" i="15"/>
  <c r="P210" i="15"/>
  <c r="N211" i="15"/>
  <c r="O211" i="15"/>
  <c r="P211" i="15"/>
  <c r="N212" i="15"/>
  <c r="O212" i="15"/>
  <c r="P212" i="15"/>
  <c r="N213" i="15"/>
  <c r="O213" i="15"/>
  <c r="P213" i="15"/>
  <c r="N214" i="15"/>
  <c r="O214" i="15"/>
  <c r="P214" i="15"/>
  <c r="N215" i="15"/>
  <c r="O215" i="15"/>
  <c r="P215" i="15"/>
  <c r="N216" i="15"/>
  <c r="O216" i="15"/>
  <c r="P216" i="15"/>
  <c r="N217" i="15"/>
  <c r="O217" i="15"/>
  <c r="P217" i="15"/>
  <c r="N218" i="15"/>
  <c r="O218" i="15"/>
  <c r="P218" i="15"/>
  <c r="N219" i="15"/>
  <c r="O219" i="15"/>
  <c r="P219" i="15"/>
  <c r="N220" i="15"/>
  <c r="O220" i="15"/>
  <c r="P220" i="15"/>
  <c r="N221" i="15"/>
  <c r="O221" i="15"/>
  <c r="P221" i="15"/>
  <c r="N222" i="15"/>
  <c r="O222" i="15"/>
  <c r="P222" i="15"/>
  <c r="N223" i="15"/>
  <c r="O223" i="15"/>
  <c r="P223" i="15"/>
  <c r="N224" i="15"/>
  <c r="O224" i="15"/>
  <c r="P224" i="15"/>
  <c r="N225" i="15"/>
  <c r="O225" i="15"/>
  <c r="P225" i="15"/>
  <c r="N226" i="15"/>
  <c r="O226" i="15"/>
  <c r="P226" i="15"/>
  <c r="N227" i="15"/>
  <c r="O227" i="15"/>
  <c r="P227" i="15"/>
  <c r="N228" i="15"/>
  <c r="O228" i="15"/>
  <c r="P228" i="15"/>
  <c r="N229" i="15"/>
  <c r="O229" i="15"/>
  <c r="P229" i="15"/>
  <c r="N230" i="15"/>
  <c r="O230" i="15"/>
  <c r="P230" i="15"/>
  <c r="N231" i="15"/>
  <c r="O231" i="15"/>
  <c r="P231" i="15"/>
  <c r="N232" i="15"/>
  <c r="O232" i="15"/>
  <c r="P232" i="15"/>
  <c r="N233" i="15"/>
  <c r="O233" i="15"/>
  <c r="P233" i="15"/>
  <c r="N234" i="15"/>
  <c r="O234" i="15"/>
  <c r="P234" i="15"/>
  <c r="N235" i="15"/>
  <c r="O235" i="15"/>
  <c r="P235" i="15"/>
  <c r="N236" i="15"/>
  <c r="O236" i="15"/>
  <c r="P236" i="15"/>
  <c r="N237" i="15"/>
  <c r="O237" i="15"/>
  <c r="P237" i="15"/>
  <c r="N238" i="15"/>
  <c r="O238" i="15"/>
  <c r="P238" i="15"/>
  <c r="N239" i="15"/>
  <c r="O239" i="15"/>
  <c r="P239" i="15"/>
  <c r="N240" i="15"/>
  <c r="O240" i="15"/>
  <c r="P240" i="15"/>
  <c r="N241" i="15"/>
  <c r="O241" i="15"/>
  <c r="P241" i="15"/>
  <c r="N242" i="15"/>
  <c r="O242" i="15"/>
  <c r="P242" i="15"/>
  <c r="N243" i="15"/>
  <c r="O243" i="15"/>
  <c r="P243" i="15"/>
  <c r="N244" i="15"/>
  <c r="O244" i="15"/>
  <c r="P244" i="15"/>
  <c r="N245" i="15"/>
  <c r="O245" i="15"/>
  <c r="P245" i="15"/>
  <c r="N246" i="15"/>
  <c r="O246" i="15"/>
  <c r="P246" i="15"/>
  <c r="N247" i="15"/>
  <c r="O247" i="15"/>
  <c r="P247" i="15"/>
  <c r="N248" i="15"/>
  <c r="O248" i="15"/>
  <c r="P248" i="15"/>
  <c r="N249" i="15"/>
  <c r="O249" i="15"/>
  <c r="P249" i="15"/>
  <c r="N250" i="15"/>
  <c r="O250" i="15"/>
  <c r="P250" i="15"/>
  <c r="N251" i="15"/>
  <c r="O251" i="15"/>
  <c r="P251" i="15"/>
  <c r="N252" i="15"/>
  <c r="O252" i="15"/>
  <c r="P252" i="15"/>
  <c r="N253" i="15"/>
  <c r="O253" i="15"/>
  <c r="P253" i="15"/>
  <c r="N254" i="15"/>
  <c r="O254" i="15"/>
  <c r="P254" i="15"/>
  <c r="N255" i="15"/>
  <c r="O255" i="15"/>
  <c r="P255" i="15"/>
  <c r="N256" i="15"/>
  <c r="O256" i="15"/>
  <c r="P256" i="15"/>
  <c r="N257" i="15"/>
  <c r="O257" i="15"/>
  <c r="P257" i="15"/>
  <c r="N258" i="15"/>
  <c r="O258" i="15"/>
  <c r="P258" i="15"/>
  <c r="N259" i="15"/>
  <c r="O259" i="15"/>
  <c r="P259" i="15"/>
  <c r="N260" i="15"/>
  <c r="O260" i="15"/>
  <c r="P260" i="15"/>
  <c r="N261" i="15"/>
  <c r="O261" i="15"/>
  <c r="P261" i="15"/>
  <c r="N262" i="15"/>
  <c r="O262" i="15"/>
  <c r="P262" i="15"/>
  <c r="N263" i="15"/>
  <c r="O263" i="15"/>
  <c r="P263" i="15"/>
  <c r="N264" i="15"/>
  <c r="O264" i="15"/>
  <c r="P264" i="15"/>
  <c r="N265" i="15"/>
  <c r="O265" i="15"/>
  <c r="P265" i="15"/>
  <c r="N266" i="15"/>
  <c r="O266" i="15"/>
  <c r="P266" i="15"/>
  <c r="N267" i="15"/>
  <c r="O267" i="15"/>
  <c r="P267" i="15"/>
  <c r="N268" i="15"/>
  <c r="O268" i="15"/>
  <c r="P268" i="15"/>
  <c r="N269" i="15"/>
  <c r="O269" i="15"/>
  <c r="P269" i="15"/>
  <c r="N270" i="15"/>
  <c r="O270" i="15"/>
  <c r="P270" i="15"/>
  <c r="N271" i="15"/>
  <c r="O271" i="15"/>
  <c r="P271" i="15"/>
  <c r="N272" i="15"/>
  <c r="O272" i="15"/>
  <c r="P272" i="15"/>
  <c r="N273" i="15"/>
  <c r="O273" i="15"/>
  <c r="P273" i="15"/>
  <c r="N274" i="15"/>
  <c r="O274" i="15"/>
  <c r="P274" i="15"/>
  <c r="N275" i="15"/>
  <c r="O275" i="15"/>
  <c r="P275" i="15"/>
  <c r="N276" i="15"/>
  <c r="O276" i="15"/>
  <c r="P276" i="15"/>
  <c r="N277" i="15"/>
  <c r="O277" i="15"/>
  <c r="P277" i="15"/>
  <c r="N278" i="15"/>
  <c r="O278" i="15"/>
  <c r="P278" i="15"/>
  <c r="N279" i="15"/>
  <c r="O279" i="15"/>
  <c r="P279" i="15"/>
  <c r="N280" i="15"/>
  <c r="O280" i="15"/>
  <c r="P280" i="15"/>
  <c r="N281" i="15"/>
  <c r="O281" i="15"/>
  <c r="P281" i="15"/>
  <c r="N282" i="15"/>
  <c r="O282" i="15"/>
  <c r="P282" i="15"/>
  <c r="N283" i="15"/>
  <c r="O283" i="15"/>
  <c r="P283" i="15"/>
  <c r="N284" i="15"/>
  <c r="O284" i="15"/>
  <c r="P284" i="15"/>
  <c r="N285" i="15"/>
  <c r="O285" i="15"/>
  <c r="P285" i="15"/>
  <c r="N286" i="15"/>
  <c r="O286" i="15"/>
  <c r="P286" i="15"/>
  <c r="N287" i="15"/>
  <c r="O287" i="15"/>
  <c r="P287" i="15"/>
  <c r="N288" i="15"/>
  <c r="O288" i="15"/>
  <c r="P288" i="15"/>
  <c r="N289" i="15"/>
  <c r="O289" i="15"/>
  <c r="P289" i="15"/>
  <c r="N290" i="15"/>
  <c r="O290" i="15"/>
  <c r="P290" i="15"/>
  <c r="N291" i="15"/>
  <c r="O291" i="15"/>
  <c r="P291" i="15"/>
  <c r="N292" i="15"/>
  <c r="O292" i="15"/>
  <c r="P292" i="15"/>
  <c r="N293" i="15"/>
  <c r="O293" i="15"/>
  <c r="P293" i="15"/>
  <c r="N294" i="15"/>
  <c r="O294" i="15"/>
  <c r="P294" i="15"/>
  <c r="N295" i="15"/>
  <c r="O295" i="15"/>
  <c r="P295" i="15"/>
  <c r="N296" i="15"/>
  <c r="O296" i="15"/>
  <c r="P296" i="15"/>
  <c r="N297" i="15"/>
  <c r="O297" i="15"/>
  <c r="P297" i="15"/>
  <c r="N298" i="15"/>
  <c r="O298" i="15"/>
  <c r="P298" i="15"/>
  <c r="N299" i="15"/>
  <c r="O299" i="15"/>
  <c r="P299" i="15"/>
  <c r="N300" i="15"/>
  <c r="O300" i="15"/>
  <c r="P300" i="15"/>
  <c r="N301" i="15"/>
  <c r="O301" i="15"/>
  <c r="P301" i="15"/>
  <c r="N302" i="15"/>
  <c r="O302" i="15"/>
  <c r="P302" i="15"/>
  <c r="N303" i="15"/>
  <c r="O303" i="15"/>
  <c r="P303" i="15"/>
  <c r="N304" i="15"/>
  <c r="O304" i="15"/>
  <c r="P304" i="15"/>
  <c r="N305" i="15"/>
  <c r="O305" i="15"/>
  <c r="P305" i="15"/>
  <c r="N306" i="15"/>
  <c r="O306" i="15"/>
  <c r="P306" i="15"/>
  <c r="N307" i="15"/>
  <c r="O307" i="15"/>
  <c r="P307" i="15"/>
  <c r="N308" i="15"/>
  <c r="O308" i="15"/>
  <c r="P308" i="15"/>
  <c r="N309" i="15"/>
  <c r="O309" i="15"/>
  <c r="P309" i="15"/>
  <c r="N310" i="15"/>
  <c r="O310" i="15"/>
  <c r="P310" i="15"/>
  <c r="N311" i="15"/>
  <c r="O311" i="15"/>
  <c r="P311" i="15"/>
  <c r="N312" i="15"/>
  <c r="O312" i="15"/>
  <c r="P312" i="15"/>
  <c r="N313" i="15"/>
  <c r="O313" i="15"/>
  <c r="P313" i="15"/>
  <c r="N314" i="15"/>
  <c r="O314" i="15"/>
  <c r="P314" i="15"/>
  <c r="N315" i="15"/>
  <c r="O315" i="15"/>
  <c r="P315" i="15"/>
  <c r="N316" i="15"/>
  <c r="O316" i="15"/>
  <c r="P316" i="15"/>
  <c r="N317" i="15"/>
  <c r="O317" i="15"/>
  <c r="P317" i="15"/>
  <c r="N318" i="15"/>
  <c r="O318" i="15"/>
  <c r="P318" i="15"/>
  <c r="N319" i="15"/>
  <c r="O319" i="15"/>
  <c r="P319" i="15"/>
  <c r="N320" i="15"/>
  <c r="O320" i="15"/>
  <c r="P320" i="15"/>
  <c r="N321" i="15"/>
  <c r="O321" i="15"/>
  <c r="P321" i="15"/>
  <c r="N322" i="15"/>
  <c r="O322" i="15"/>
  <c r="P322" i="15"/>
  <c r="N323" i="15"/>
  <c r="O323" i="15"/>
  <c r="P323" i="15"/>
  <c r="N324" i="15"/>
  <c r="O324" i="15"/>
  <c r="P324" i="15"/>
  <c r="N325" i="15"/>
  <c r="O325" i="15"/>
  <c r="P325" i="15"/>
  <c r="N326" i="15"/>
  <c r="O326" i="15"/>
  <c r="P326" i="15"/>
  <c r="N327" i="15"/>
  <c r="O327" i="15"/>
  <c r="P327" i="15"/>
  <c r="N328" i="15"/>
  <c r="O328" i="15"/>
  <c r="P328" i="15"/>
  <c r="N329" i="15"/>
  <c r="O329" i="15"/>
  <c r="P329" i="15"/>
  <c r="N330" i="15"/>
  <c r="O330" i="15"/>
  <c r="P330" i="15"/>
  <c r="N331" i="15"/>
  <c r="O331" i="15"/>
  <c r="P331" i="15"/>
  <c r="N332" i="15"/>
  <c r="O332" i="15"/>
  <c r="P332" i="15"/>
  <c r="N333" i="15"/>
  <c r="O333" i="15"/>
  <c r="P333" i="15"/>
  <c r="N334" i="15"/>
  <c r="O334" i="15"/>
  <c r="P334" i="15"/>
  <c r="N335" i="15"/>
  <c r="O335" i="15"/>
  <c r="P335" i="15"/>
  <c r="N336" i="15"/>
  <c r="O336" i="15"/>
  <c r="P336" i="15"/>
  <c r="N337" i="15"/>
  <c r="O337" i="15"/>
  <c r="P337" i="15"/>
  <c r="N338" i="15"/>
  <c r="O338" i="15"/>
  <c r="P338" i="15"/>
  <c r="N339" i="15"/>
  <c r="O339" i="15"/>
  <c r="P339" i="15"/>
  <c r="N340" i="15"/>
  <c r="O340" i="15"/>
  <c r="P340" i="15"/>
  <c r="N341" i="15"/>
  <c r="O341" i="15"/>
  <c r="P341" i="15"/>
  <c r="N342" i="15"/>
  <c r="O342" i="15"/>
  <c r="P342" i="15"/>
  <c r="N343" i="15"/>
  <c r="O343" i="15"/>
  <c r="P343" i="15"/>
  <c r="N344" i="15"/>
  <c r="O344" i="15"/>
  <c r="P344" i="15"/>
  <c r="N345" i="15"/>
  <c r="O345" i="15"/>
  <c r="P345" i="15"/>
  <c r="N346" i="15"/>
  <c r="O346" i="15"/>
  <c r="P346" i="15"/>
  <c r="N347" i="15"/>
  <c r="O347" i="15"/>
  <c r="P347" i="15"/>
  <c r="N348" i="15"/>
  <c r="O348" i="15"/>
  <c r="P348" i="15"/>
  <c r="N349" i="15"/>
  <c r="O349" i="15"/>
  <c r="P349" i="15"/>
  <c r="N350" i="15"/>
  <c r="O350" i="15"/>
  <c r="P350" i="15"/>
  <c r="N351" i="15"/>
  <c r="O351" i="15"/>
  <c r="P351" i="15"/>
  <c r="N352" i="15"/>
  <c r="O352" i="15"/>
  <c r="P352" i="15"/>
  <c r="N353" i="15"/>
  <c r="O353" i="15"/>
  <c r="P353" i="15"/>
  <c r="N354" i="15"/>
  <c r="O354" i="15"/>
  <c r="P354" i="15"/>
  <c r="N355" i="15"/>
  <c r="O355" i="15"/>
  <c r="P355" i="15"/>
  <c r="N356" i="15"/>
  <c r="O356" i="15"/>
  <c r="P356" i="15"/>
  <c r="N357" i="15"/>
  <c r="O357" i="15"/>
  <c r="P357" i="15"/>
  <c r="N358" i="15"/>
  <c r="O358" i="15"/>
  <c r="P358" i="15"/>
  <c r="N359" i="15"/>
  <c r="O359" i="15"/>
  <c r="P359" i="15"/>
  <c r="N360" i="15"/>
  <c r="O360" i="15"/>
  <c r="P360" i="15"/>
  <c r="N361" i="15"/>
  <c r="O361" i="15"/>
  <c r="P361" i="15"/>
  <c r="N362" i="15"/>
  <c r="O362" i="15"/>
  <c r="P362" i="15"/>
  <c r="N363" i="15"/>
  <c r="O363" i="15"/>
  <c r="P363" i="15"/>
  <c r="N364" i="15"/>
  <c r="O364" i="15"/>
  <c r="P364" i="15"/>
  <c r="N365" i="15"/>
  <c r="O365" i="15"/>
  <c r="P365" i="15"/>
  <c r="N366" i="15"/>
  <c r="O366" i="15"/>
  <c r="P366" i="15"/>
  <c r="N367" i="15"/>
  <c r="O367" i="15"/>
  <c r="P367" i="15"/>
  <c r="N368" i="15"/>
  <c r="O368" i="15"/>
  <c r="P368" i="15"/>
  <c r="N369" i="15"/>
  <c r="O369" i="15"/>
  <c r="P369" i="15"/>
  <c r="N370" i="15"/>
  <c r="O370" i="15"/>
  <c r="P370" i="15"/>
  <c r="AX1" i="15" l="1" a="1"/>
  <c r="AX1" i="15" s="1"/>
  <c r="S288" i="1"/>
  <c r="S301" i="1"/>
  <c r="S109" i="1"/>
  <c r="S107" i="1"/>
  <c r="S103" i="1"/>
  <c r="S102" i="1"/>
  <c r="S76" i="1"/>
  <c r="S59" i="1"/>
  <c r="S55" i="1"/>
  <c r="S320" i="1"/>
  <c r="S51" i="1"/>
  <c r="S328" i="1"/>
  <c r="S43" i="1"/>
  <c r="S42" i="1"/>
  <c r="S41" i="1"/>
  <c r="S33" i="1"/>
  <c r="S342" i="1"/>
  <c r="S31" i="1"/>
  <c r="S348" i="1"/>
  <c r="S25" i="1"/>
  <c r="S20" i="1"/>
  <c r="S361" i="1"/>
  <c r="S9" i="1"/>
  <c r="S7" i="1"/>
  <c r="S5" i="1"/>
  <c r="S4" i="1"/>
  <c r="S171" i="1" l="1"/>
  <c r="S10" i="1"/>
  <c r="S313" i="1"/>
  <c r="S292" i="1"/>
  <c r="S62" i="1"/>
  <c r="S190" i="1"/>
  <c r="S289" i="1"/>
  <c r="S27" i="1"/>
  <c r="S146" i="1"/>
  <c r="S63" i="1"/>
  <c r="S212" i="1"/>
  <c r="S29" i="1"/>
  <c r="S30" i="1"/>
  <c r="S71" i="1"/>
  <c r="S73" i="1"/>
  <c r="S75" i="1"/>
  <c r="S294" i="1"/>
  <c r="S236" i="1"/>
  <c r="S163" i="1"/>
  <c r="S164" i="1"/>
  <c r="S165" i="1"/>
  <c r="S166" i="1"/>
  <c r="S329" i="1"/>
  <c r="S365" i="1"/>
  <c r="S35" i="1"/>
  <c r="S140" i="1"/>
  <c r="S160" i="1"/>
  <c r="S206" i="1"/>
  <c r="S208" i="1"/>
  <c r="S314" i="1"/>
  <c r="S139" i="1"/>
  <c r="S11" i="1"/>
  <c r="S167" i="1"/>
  <c r="S175" i="1"/>
  <c r="S176" i="1"/>
  <c r="S178" i="1"/>
  <c r="S237" i="1"/>
  <c r="S45" i="1"/>
  <c r="S47" i="1"/>
  <c r="S48" i="1"/>
  <c r="S61" i="1"/>
  <c r="S85" i="1"/>
  <c r="S91" i="1"/>
  <c r="S110" i="1"/>
  <c r="S112" i="1"/>
  <c r="S113" i="1"/>
  <c r="S115" i="1"/>
  <c r="S116" i="1"/>
  <c r="S119" i="1"/>
  <c r="S121" i="1"/>
  <c r="S122" i="1"/>
  <c r="S123" i="1"/>
  <c r="S124" i="1"/>
  <c r="S297" i="1"/>
  <c r="S198" i="1"/>
  <c r="S199" i="1"/>
  <c r="S200" i="1"/>
  <c r="S224" i="1"/>
  <c r="S230" i="1"/>
  <c r="S248" i="1"/>
  <c r="S312" i="1"/>
  <c r="S340" i="1"/>
  <c r="S362" i="1"/>
  <c r="S38" i="1"/>
  <c r="S39" i="1"/>
  <c r="S50" i="1"/>
  <c r="S68" i="1"/>
  <c r="S81" i="1"/>
  <c r="S82" i="1"/>
  <c r="S83" i="1"/>
  <c r="S84" i="1"/>
  <c r="S87" i="1"/>
  <c r="S88" i="1"/>
  <c r="S89" i="1"/>
  <c r="S134" i="1"/>
  <c r="S135" i="1"/>
  <c r="S137" i="1"/>
  <c r="S141" i="1"/>
  <c r="S142" i="1"/>
  <c r="S143" i="1"/>
  <c r="S150" i="1"/>
  <c r="S147" i="1"/>
  <c r="S138" i="1"/>
  <c r="S64" i="1"/>
  <c r="S66" i="1"/>
  <c r="S67" i="1"/>
  <c r="S69" i="1"/>
  <c r="S94" i="1"/>
  <c r="S95" i="1"/>
  <c r="S96" i="1"/>
  <c r="S98" i="1"/>
  <c r="S99" i="1"/>
  <c r="S100" i="1"/>
  <c r="S105" i="1"/>
  <c r="S125" i="1"/>
  <c r="S127" i="1"/>
  <c r="S129" i="1"/>
  <c r="S131" i="1"/>
  <c r="S149" i="1"/>
  <c r="S151" i="1"/>
  <c r="S152" i="1"/>
  <c r="S153" i="1"/>
  <c r="S154" i="1"/>
  <c r="S155" i="1"/>
  <c r="S217" i="1"/>
  <c r="S180" i="1"/>
  <c r="S181" i="1"/>
  <c r="S184" i="1"/>
  <c r="S185" i="1"/>
  <c r="S186" i="1"/>
  <c r="S216" i="1"/>
  <c r="S221" i="1"/>
  <c r="S225" i="1"/>
  <c r="S250" i="1"/>
  <c r="S254" i="1"/>
  <c r="S46" i="1"/>
  <c r="S54" i="1"/>
  <c r="S188" i="1"/>
  <c r="S189" i="1"/>
  <c r="S370" i="1"/>
  <c r="S264" i="1"/>
  <c r="S299" i="1"/>
  <c r="S308" i="1"/>
  <c r="S324" i="1"/>
  <c r="S265" i="1"/>
  <c r="S269" i="1"/>
  <c r="S191" i="1"/>
  <c r="S192" i="1"/>
  <c r="S193" i="1"/>
  <c r="S194" i="1"/>
  <c r="S196" i="1"/>
  <c r="S201" i="1"/>
  <c r="S203" i="1"/>
  <c r="S204" i="1"/>
  <c r="S205" i="1"/>
  <c r="S209" i="1"/>
  <c r="S210" i="1"/>
  <c r="S215" i="1"/>
  <c r="S219" i="1"/>
  <c r="S220" i="1"/>
  <c r="S222" i="1"/>
  <c r="S226" i="1"/>
  <c r="S228" i="1"/>
  <c r="S229" i="1"/>
  <c r="S232" i="1"/>
  <c r="S233" i="1"/>
  <c r="S234" i="1"/>
  <c r="S235" i="1"/>
  <c r="S240" i="1"/>
  <c r="S241" i="1"/>
  <c r="S243" i="1"/>
  <c r="S244" i="1"/>
  <c r="S245" i="1"/>
  <c r="S251" i="1"/>
  <c r="S252" i="1"/>
  <c r="S253" i="1"/>
  <c r="S255" i="1"/>
  <c r="S256" i="1"/>
  <c r="S258" i="1"/>
  <c r="S260" i="1"/>
  <c r="S263" i="1"/>
  <c r="S267" i="1"/>
  <c r="S268" i="1"/>
  <c r="S270" i="1"/>
  <c r="S272" i="1"/>
  <c r="S273" i="1"/>
  <c r="S274" i="1"/>
  <c r="S275" i="1"/>
  <c r="S276" i="1"/>
  <c r="S278" i="1"/>
  <c r="S279" i="1"/>
  <c r="S280" i="1"/>
  <c r="S282" i="1"/>
  <c r="S284" i="1"/>
  <c r="S286" i="1"/>
  <c r="S287" i="1"/>
  <c r="S290" i="1"/>
  <c r="S296" i="1"/>
  <c r="S300" i="1"/>
  <c r="S302" i="1"/>
  <c r="S304" i="1"/>
  <c r="S306" i="1"/>
  <c r="S309" i="1"/>
  <c r="S310" i="1"/>
  <c r="S315" i="1"/>
  <c r="S316" i="1"/>
  <c r="S319" i="1"/>
  <c r="S322" i="1"/>
  <c r="S326" i="1"/>
  <c r="S327" i="1"/>
  <c r="S330" i="1"/>
  <c r="S332" i="1"/>
  <c r="S333" i="1"/>
  <c r="S334" i="1"/>
  <c r="S335" i="1"/>
  <c r="S336" i="1"/>
  <c r="S341" i="1"/>
  <c r="S344" i="1"/>
  <c r="S345" i="1"/>
  <c r="S346" i="1"/>
  <c r="S350" i="1"/>
  <c r="S351" i="1"/>
  <c r="S352" i="1"/>
  <c r="S353" i="1"/>
  <c r="S354" i="1"/>
  <c r="S355" i="1"/>
  <c r="S356" i="1"/>
  <c r="S358" i="1"/>
  <c r="S360" i="1"/>
  <c r="S364" i="1"/>
  <c r="S368" i="1"/>
  <c r="S3" i="1"/>
  <c r="S15" i="1"/>
  <c r="S18" i="1"/>
  <c r="S19" i="1"/>
  <c r="S21" i="1"/>
  <c r="S22" i="1"/>
  <c r="S23" i="1"/>
  <c r="S318" i="1"/>
  <c r="S266" i="1"/>
  <c r="S246" i="1"/>
  <c r="S182" i="1"/>
  <c r="S111" i="1"/>
  <c r="S366" i="1"/>
  <c r="S218" i="1"/>
  <c r="S159" i="1"/>
  <c r="S242" i="1"/>
  <c r="S214" i="1"/>
  <c r="S338" i="1"/>
  <c r="S298" i="1"/>
  <c r="S202" i="1"/>
  <c r="S174" i="1"/>
  <c r="S79" i="1"/>
  <c r="S262" i="1"/>
  <c r="S238" i="1"/>
  <c r="S339" i="1"/>
  <c r="S305" i="1"/>
  <c r="S213" i="1"/>
  <c r="S133" i="1"/>
  <c r="S128" i="1"/>
  <c r="S120" i="1"/>
  <c r="S86" i="1"/>
  <c r="S56" i="1"/>
  <c r="S347" i="1"/>
  <c r="S277" i="1"/>
  <c r="S261" i="1"/>
  <c r="S223" i="1"/>
  <c r="S197" i="1"/>
  <c r="S170" i="1"/>
  <c r="S132" i="1"/>
  <c r="S117" i="1"/>
  <c r="S106" i="1"/>
  <c r="S90" i="1"/>
  <c r="S65" i="1"/>
  <c r="S17" i="1"/>
  <c r="S349" i="1"/>
  <c r="S337" i="1"/>
  <c r="S311" i="1"/>
  <c r="S259" i="1"/>
  <c r="S179" i="1"/>
  <c r="S173" i="1"/>
  <c r="S157" i="1"/>
  <c r="S74" i="1"/>
  <c r="S52" i="1"/>
  <c r="S16" i="1"/>
  <c r="S371" i="1"/>
  <c r="S363" i="1"/>
  <c r="S321" i="1"/>
  <c r="S257" i="1"/>
  <c r="S247" i="1"/>
  <c r="S227" i="1"/>
  <c r="S144" i="1"/>
  <c r="S93" i="1"/>
  <c r="S53" i="1"/>
  <c r="S44" i="1"/>
  <c r="S26" i="1"/>
  <c r="S13" i="1"/>
  <c r="S359" i="1"/>
  <c r="S323" i="1"/>
  <c r="S283" i="1"/>
  <c r="S168" i="1"/>
  <c r="S60" i="1"/>
  <c r="S357" i="1"/>
  <c r="S293" i="1"/>
  <c r="S249" i="1"/>
  <c r="S231" i="1"/>
  <c r="S183" i="1"/>
  <c r="S37" i="1"/>
  <c r="S325" i="1"/>
  <c r="S303" i="1"/>
  <c r="S291" i="1"/>
  <c r="S271" i="1"/>
  <c r="S207" i="1"/>
  <c r="S343" i="1"/>
  <c r="S169" i="1"/>
  <c r="S57" i="1"/>
  <c r="S331" i="1"/>
  <c r="S307" i="1"/>
  <c r="S195" i="1"/>
  <c r="S161" i="1"/>
  <c r="S77" i="1"/>
  <c r="S317" i="1"/>
  <c r="S211" i="1"/>
  <c r="S49" i="1"/>
  <c r="S367" i="1"/>
  <c r="S295" i="1"/>
  <c r="S285" i="1"/>
  <c r="S281" i="1"/>
  <c r="S187" i="1"/>
  <c r="S177" i="1"/>
  <c r="S369" i="1"/>
  <c r="S239" i="1"/>
  <c r="S145" i="1"/>
  <c r="S101" i="1"/>
  <c r="S97" i="1"/>
  <c r="S32" i="1"/>
  <c r="S118" i="1"/>
  <c r="S80" i="1"/>
  <c r="S12" i="1"/>
  <c r="S158" i="1"/>
  <c r="S130" i="1"/>
  <c r="S148" i="1"/>
  <c r="S114" i="1"/>
  <c r="S36" i="1"/>
  <c r="S8" i="1"/>
  <c r="S156" i="1"/>
  <c r="S92" i="1"/>
  <c r="S72" i="1"/>
  <c r="S58" i="1"/>
  <c r="S40" i="1"/>
  <c r="S34" i="1"/>
  <c r="S6" i="1"/>
  <c r="S172" i="1"/>
  <c r="S104" i="1"/>
  <c r="S24" i="1"/>
  <c r="S162" i="1"/>
  <c r="S108" i="1"/>
  <c r="S70" i="1"/>
  <c r="S28" i="1"/>
  <c r="S14" i="1"/>
  <c r="S136" i="1"/>
  <c r="S126" i="1"/>
  <c r="S78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X3" i="1"/>
  <c r="T3" i="1"/>
  <c r="N34" i="12" l="1"/>
  <c r="N35" i="12"/>
  <c r="N36" i="12"/>
  <c r="K372" i="12" l="1"/>
  <c r="N372" i="12"/>
  <c r="N371" i="12" l="1"/>
  <c r="K371" i="12"/>
  <c r="A371" i="12"/>
  <c r="A372" i="12" s="1"/>
  <c r="R1" i="12" s="1"/>
  <c r="N370" i="12"/>
  <c r="N369" i="12"/>
  <c r="N368" i="12"/>
  <c r="N367" i="12"/>
  <c r="N366" i="12"/>
  <c r="N365" i="12"/>
  <c r="N364" i="12"/>
  <c r="N363" i="12"/>
  <c r="N362" i="12"/>
  <c r="N361" i="12"/>
  <c r="N360" i="12"/>
  <c r="N359" i="12"/>
  <c r="N358" i="12"/>
  <c r="N357" i="12"/>
  <c r="N356" i="12"/>
  <c r="N355" i="12"/>
  <c r="N354" i="12"/>
  <c r="N353" i="12"/>
  <c r="N352" i="12"/>
  <c r="N351" i="12"/>
  <c r="N350" i="12"/>
  <c r="N349" i="12"/>
  <c r="N348" i="12"/>
  <c r="N347" i="12"/>
  <c r="N346" i="12"/>
  <c r="N345" i="12"/>
  <c r="N344" i="12"/>
  <c r="N343" i="12"/>
  <c r="N342" i="12"/>
  <c r="N341" i="12"/>
  <c r="N340" i="12"/>
  <c r="N339" i="12"/>
  <c r="N338" i="12"/>
  <c r="N337" i="12"/>
  <c r="N336" i="12"/>
  <c r="N335" i="12"/>
  <c r="N334" i="12"/>
  <c r="N333" i="12"/>
  <c r="N332" i="12"/>
  <c r="N331" i="12"/>
  <c r="N330" i="12"/>
  <c r="N329" i="12"/>
  <c r="N328" i="12"/>
  <c r="N327" i="12"/>
  <c r="N326" i="12"/>
  <c r="N325" i="12"/>
  <c r="N324" i="12"/>
  <c r="N323" i="12"/>
  <c r="N322" i="12"/>
  <c r="N321" i="12"/>
  <c r="N320" i="12"/>
  <c r="N319" i="12"/>
  <c r="N318" i="12"/>
  <c r="N317" i="12"/>
  <c r="N316" i="12"/>
  <c r="N315" i="12"/>
  <c r="N314" i="12"/>
  <c r="N313" i="12"/>
  <c r="N312" i="12"/>
  <c r="N311" i="12"/>
  <c r="N310" i="12"/>
  <c r="N309" i="12"/>
  <c r="N308" i="12"/>
  <c r="N307" i="12"/>
  <c r="N306" i="12"/>
  <c r="N305" i="12"/>
  <c r="N304" i="12"/>
  <c r="N303" i="12"/>
  <c r="N302" i="12"/>
  <c r="N301" i="12"/>
  <c r="N300" i="12"/>
  <c r="N299" i="12"/>
  <c r="N298" i="12"/>
  <c r="N297" i="12"/>
  <c r="N296" i="12"/>
  <c r="N295" i="12"/>
  <c r="N294" i="12"/>
  <c r="N293" i="12"/>
  <c r="N292" i="12"/>
  <c r="N291" i="12"/>
  <c r="N290" i="12"/>
  <c r="N289" i="12"/>
  <c r="N288" i="12"/>
  <c r="N287" i="12"/>
  <c r="N286" i="12"/>
  <c r="N285" i="12"/>
  <c r="N284" i="12"/>
  <c r="N283" i="12"/>
  <c r="N282" i="12"/>
  <c r="N281" i="12"/>
  <c r="N280" i="12"/>
  <c r="N279" i="12"/>
  <c r="N278" i="12"/>
  <c r="N277" i="12"/>
  <c r="N276" i="12"/>
  <c r="N275" i="12"/>
  <c r="N274" i="12"/>
  <c r="N273" i="12"/>
  <c r="N272" i="12"/>
  <c r="N271" i="12"/>
  <c r="N270" i="12"/>
  <c r="N269" i="12"/>
  <c r="N268" i="12"/>
  <c r="N267" i="12"/>
  <c r="N266" i="12"/>
  <c r="N265" i="12"/>
  <c r="N264" i="12"/>
  <c r="N263" i="12"/>
  <c r="N262" i="12"/>
  <c r="N261" i="12"/>
  <c r="N260" i="12"/>
  <c r="N259" i="12"/>
  <c r="N258" i="12"/>
  <c r="N257" i="12"/>
  <c r="N256" i="12"/>
  <c r="N255" i="12"/>
  <c r="N254" i="12"/>
  <c r="N253" i="12"/>
  <c r="N252" i="12"/>
  <c r="N251" i="12"/>
  <c r="N250" i="12"/>
  <c r="N249" i="12"/>
  <c r="N248" i="12"/>
  <c r="N247" i="12"/>
  <c r="N246" i="12"/>
  <c r="N245" i="12"/>
  <c r="N244" i="12"/>
  <c r="N243" i="12"/>
  <c r="N242" i="12"/>
  <c r="N241" i="12"/>
  <c r="N240" i="12"/>
  <c r="N239" i="12"/>
  <c r="N238" i="12"/>
  <c r="N237" i="12"/>
  <c r="N236" i="12"/>
  <c r="N235" i="12"/>
  <c r="N234" i="12"/>
  <c r="N233" i="12"/>
  <c r="N232" i="12"/>
  <c r="N231" i="12"/>
  <c r="N230" i="12"/>
  <c r="N229" i="12"/>
  <c r="N228" i="12"/>
  <c r="N227" i="12"/>
  <c r="N226" i="12"/>
  <c r="N225" i="12"/>
  <c r="N224" i="12"/>
  <c r="N223" i="12"/>
  <c r="N222" i="12"/>
  <c r="N221" i="12"/>
  <c r="N220" i="12"/>
  <c r="N219" i="12"/>
  <c r="N218" i="12"/>
  <c r="N217" i="12"/>
  <c r="N216" i="12"/>
  <c r="N215" i="12"/>
  <c r="N214" i="12"/>
  <c r="N213" i="12"/>
  <c r="N212" i="12"/>
  <c r="N211" i="12"/>
  <c r="N210" i="12"/>
  <c r="N209" i="12"/>
  <c r="N208" i="12"/>
  <c r="N207" i="12"/>
  <c r="N206" i="12"/>
  <c r="N205" i="12"/>
  <c r="N204" i="12"/>
  <c r="N203" i="12"/>
  <c r="N202" i="12"/>
  <c r="N201" i="12"/>
  <c r="N200" i="12"/>
  <c r="N199" i="12"/>
  <c r="N198" i="12"/>
  <c r="N197" i="12"/>
  <c r="N196" i="12"/>
  <c r="N195" i="12"/>
  <c r="N194" i="12"/>
  <c r="N193" i="12"/>
  <c r="N192" i="12"/>
  <c r="N191" i="12"/>
  <c r="N190" i="12"/>
  <c r="N189" i="12"/>
  <c r="N188" i="12"/>
  <c r="N187" i="12"/>
  <c r="N186" i="12"/>
  <c r="N185" i="12"/>
  <c r="N184" i="12"/>
  <c r="N183" i="12"/>
  <c r="N182" i="12"/>
  <c r="N181" i="12"/>
  <c r="N180" i="12"/>
  <c r="N179" i="12"/>
  <c r="N178" i="12"/>
  <c r="N177" i="12"/>
  <c r="N176" i="12"/>
  <c r="N175" i="12"/>
  <c r="N174" i="12"/>
  <c r="N173" i="12"/>
  <c r="N172" i="12"/>
  <c r="N171" i="12"/>
  <c r="N170" i="12"/>
  <c r="N169" i="12"/>
  <c r="N168" i="12"/>
  <c r="N167" i="12"/>
  <c r="N166" i="12"/>
  <c r="N165" i="12"/>
  <c r="N164" i="12"/>
  <c r="N163" i="12"/>
  <c r="N162" i="12"/>
  <c r="N161" i="12"/>
  <c r="N160" i="12"/>
  <c r="N159" i="12"/>
  <c r="N158" i="12"/>
  <c r="N157" i="12"/>
  <c r="N156" i="12"/>
  <c r="N155" i="12"/>
  <c r="N154" i="12"/>
  <c r="N153" i="12"/>
  <c r="N152" i="12"/>
  <c r="N151" i="12"/>
  <c r="N150" i="12"/>
  <c r="N149" i="12"/>
  <c r="N148" i="12"/>
  <c r="N147" i="12"/>
  <c r="N146" i="12"/>
  <c r="N145" i="12"/>
  <c r="N144" i="12"/>
  <c r="N143" i="12"/>
  <c r="N142" i="12"/>
  <c r="N141" i="12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N109" i="12"/>
  <c r="N108" i="12"/>
  <c r="N107" i="12"/>
  <c r="N106" i="12"/>
  <c r="N105" i="12"/>
  <c r="N104" i="12"/>
  <c r="N103" i="12"/>
  <c r="N102" i="12"/>
  <c r="N101" i="12"/>
  <c r="N100" i="12"/>
  <c r="N99" i="12"/>
  <c r="N98" i="12"/>
  <c r="N97" i="12"/>
  <c r="N96" i="12"/>
  <c r="N95" i="12"/>
  <c r="N94" i="12"/>
  <c r="N93" i="12"/>
  <c r="N92" i="12"/>
  <c r="N91" i="12"/>
  <c r="N90" i="12"/>
  <c r="N89" i="12"/>
  <c r="N88" i="12"/>
  <c r="N87" i="12"/>
  <c r="N86" i="12"/>
  <c r="N85" i="12"/>
  <c r="N84" i="12"/>
  <c r="N83" i="12"/>
  <c r="N82" i="12"/>
  <c r="N81" i="12"/>
  <c r="N80" i="12"/>
  <c r="N79" i="12"/>
  <c r="N78" i="12"/>
  <c r="N77" i="12"/>
  <c r="N76" i="12"/>
  <c r="N75" i="12"/>
  <c r="N74" i="12"/>
  <c r="N73" i="12"/>
  <c r="N72" i="12"/>
  <c r="N71" i="12"/>
  <c r="N70" i="12"/>
  <c r="N69" i="12"/>
  <c r="N68" i="12"/>
  <c r="N67" i="12"/>
  <c r="N66" i="12"/>
  <c r="N65" i="12"/>
  <c r="N64" i="12"/>
  <c r="N63" i="12"/>
  <c r="N62" i="12"/>
  <c r="N61" i="12"/>
  <c r="N60" i="12"/>
  <c r="N59" i="12"/>
  <c r="N58" i="12"/>
  <c r="N57" i="12"/>
  <c r="N56" i="12"/>
  <c r="N55" i="12"/>
  <c r="N54" i="12"/>
  <c r="N53" i="12"/>
  <c r="N52" i="12"/>
  <c r="N51" i="12"/>
  <c r="N50" i="12"/>
  <c r="N49" i="12"/>
  <c r="N48" i="12"/>
  <c r="N47" i="12"/>
  <c r="N46" i="12"/>
  <c r="N45" i="12"/>
  <c r="N44" i="12"/>
  <c r="N43" i="12"/>
  <c r="N42" i="12"/>
  <c r="N41" i="12"/>
  <c r="N40" i="12"/>
  <c r="N39" i="12"/>
  <c r="N38" i="12"/>
  <c r="N37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5" i="12"/>
  <c r="N4" i="12"/>
  <c r="N3" i="12"/>
  <c r="N2" i="12"/>
  <c r="E75" i="9"/>
  <c r="E73" i="9"/>
  <c r="E71" i="9"/>
  <c r="E69" i="9"/>
  <c r="E67" i="9"/>
  <c r="E65" i="9"/>
  <c r="E74" i="9"/>
  <c r="E72" i="9"/>
  <c r="E70" i="9"/>
  <c r="E68" i="9"/>
  <c r="E66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<sst xmlns="http://schemas.openxmlformats.org/spreadsheetml/2006/main" count="6031" uniqueCount="168">
  <si>
    <t>Ciudad</t>
  </si>
  <si>
    <t>Vendedor</t>
  </si>
  <si>
    <t>Forma de pago</t>
  </si>
  <si>
    <t>Categoría</t>
  </si>
  <si>
    <t>Cantidad</t>
  </si>
  <si>
    <t>Tarifa de envío</t>
  </si>
  <si>
    <t>Empresa AA</t>
  </si>
  <si>
    <t>Mayra Aguilar Sepúlveda</t>
  </si>
  <si>
    <t>Empresa de embarque B</t>
  </si>
  <si>
    <t>Cheque</t>
  </si>
  <si>
    <t>Cerveza</t>
  </si>
  <si>
    <t>Bebidas</t>
  </si>
  <si>
    <t>Ciruelas secas</t>
  </si>
  <si>
    <t>Frutas secas</t>
  </si>
  <si>
    <t>Empresa D</t>
  </si>
  <si>
    <t>Andrés González Rico</t>
  </si>
  <si>
    <t>Empresa de embarque A</t>
  </si>
  <si>
    <t>Tarjeta de crédito</t>
  </si>
  <si>
    <t>Peras secas</t>
  </si>
  <si>
    <t>Manzanas secas</t>
  </si>
  <si>
    <t>Empresa L</t>
  </si>
  <si>
    <t>Té chai</t>
  </si>
  <si>
    <t>Café</t>
  </si>
  <si>
    <t>Empresa H</t>
  </si>
  <si>
    <t>Nancy Gil de la Peña</t>
  </si>
  <si>
    <t>Empresa de embarque C</t>
  </si>
  <si>
    <t>Galletas de chocolate</t>
  </si>
  <si>
    <t>Productos horneados</t>
  </si>
  <si>
    <t>Empresa CC</t>
  </si>
  <si>
    <t>José de Jesús Morales</t>
  </si>
  <si>
    <t>Chocolate</t>
  </si>
  <si>
    <t>Dulces</t>
  </si>
  <si>
    <t>Empresa C</t>
  </si>
  <si>
    <t>Efectivo</t>
  </si>
  <si>
    <t>Almejas</t>
  </si>
  <si>
    <t>Sopas</t>
  </si>
  <si>
    <t>Empresa F</t>
  </si>
  <si>
    <t>Luis Miguel Valdés Garza</t>
  </si>
  <si>
    <t>Salsa curry</t>
  </si>
  <si>
    <t>Salsas</t>
  </si>
  <si>
    <t>Empresa BB</t>
  </si>
  <si>
    <t>Ana del Valle Hinojosa</t>
  </si>
  <si>
    <t>Empresa J</t>
  </si>
  <si>
    <t>Laura Gutiérrez Saenz</t>
  </si>
  <si>
    <t>Té verde</t>
  </si>
  <si>
    <t>Empresa G</t>
  </si>
  <si>
    <t>Jalea de fresa</t>
  </si>
  <si>
    <t>Mermeladas y jaleas</t>
  </si>
  <si>
    <t>Condimento cajún</t>
  </si>
  <si>
    <t>Condimentos</t>
  </si>
  <si>
    <t>Empresa K</t>
  </si>
  <si>
    <t>Empresa A</t>
  </si>
  <si>
    <t>Carne de cangrejo</t>
  </si>
  <si>
    <t>Carne enlatada</t>
  </si>
  <si>
    <t>Empresa I</t>
  </si>
  <si>
    <t>Robert Zárate Carrillo</t>
  </si>
  <si>
    <t>Ravioli</t>
  </si>
  <si>
    <t>Pasta</t>
  </si>
  <si>
    <t>Mozzarella</t>
  </si>
  <si>
    <t>Productos lácteos</t>
  </si>
  <si>
    <t>Jarabe</t>
  </si>
  <si>
    <t>Almendras</t>
  </si>
  <si>
    <t>Empresa Y</t>
  </si>
  <si>
    <t>Empresa Z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</si>
  <si>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</si>
  <si>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</si>
  <si>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</si>
  <si>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</si>
  <si>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</si>
  <si>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</si>
  <si>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</si>
  <si>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</si>
  <si>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</si>
  <si>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Documento</t>
  </si>
  <si>
    <t>Fecha</t>
  </si>
  <si>
    <t>Provincia</t>
  </si>
  <si>
    <t>Empresa</t>
  </si>
  <si>
    <t>Producto</t>
  </si>
  <si>
    <t>Precio</t>
  </si>
  <si>
    <t>Id Cliente</t>
  </si>
  <si>
    <t>Cuenca</t>
  </si>
  <si>
    <t>Azogues</t>
  </si>
  <si>
    <t>Chimborazo</t>
  </si>
  <si>
    <t>Pichincha</t>
  </si>
  <si>
    <t>Guayas</t>
  </si>
  <si>
    <t>Quito</t>
  </si>
  <si>
    <t>Riobamba</t>
  </si>
  <si>
    <t>Guaranda</t>
  </si>
  <si>
    <t>Manabi</t>
  </si>
  <si>
    <t>Guayaquil</t>
  </si>
  <si>
    <t>Ambato</t>
  </si>
  <si>
    <t>Esmeraldas</t>
  </si>
  <si>
    <t>Ibarra</t>
  </si>
  <si>
    <t>Machala</t>
  </si>
  <si>
    <t>Canar</t>
  </si>
  <si>
    <t>Azuay</t>
  </si>
  <si>
    <t>El Oro</t>
  </si>
  <si>
    <t>Manta</t>
  </si>
  <si>
    <t>Tungurahua</t>
  </si>
  <si>
    <t>Imbabura</t>
  </si>
  <si>
    <t>Cliente</t>
  </si>
  <si>
    <t>Etiquetas de fila</t>
  </si>
  <si>
    <t>Total general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</si>
  <si>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</si>
  <si>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</si>
  <si>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</si>
  <si>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</si>
  <si>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</si>
  <si>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</si>
  <si>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</si>
  <si>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</si>
  <si>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</si>
  <si>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</si>
  <si>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</si>
  <si>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</si>
  <si>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Ventas</t>
  </si>
  <si>
    <t>0-20000</t>
  </si>
  <si>
    <t>20000-40000</t>
  </si>
  <si>
    <t>40000-60000</t>
  </si>
  <si>
    <t>Suma de Ventas</t>
  </si>
  <si>
    <t>60000-80000</t>
  </si>
  <si>
    <t>Cuenta de Ventas</t>
  </si>
  <si>
    <t>CONTROL DE VENTAS</t>
  </si>
  <si>
    <t>PROVINCIAS</t>
  </si>
  <si>
    <t>VENTAS</t>
  </si>
  <si>
    <t>PANEL DEL CONTROL</t>
  </si>
  <si>
    <t>Etiquetas de columna</t>
  </si>
  <si>
    <t>Empresa de embarque D</t>
  </si>
  <si>
    <t>ciudad</t>
  </si>
  <si>
    <t>Trim.1</t>
  </si>
  <si>
    <t>Trim.2</t>
  </si>
  <si>
    <t>Trim.3</t>
  </si>
  <si>
    <t>Trim.4</t>
  </si>
  <si>
    <t>mes</t>
  </si>
  <si>
    <t>Abril</t>
  </si>
  <si>
    <t>Agosto</t>
  </si>
  <si>
    <t>Marzo</t>
  </si>
  <si>
    <t>Mayo</t>
  </si>
  <si>
    <t>Diciembre</t>
  </si>
  <si>
    <t>Octubre</t>
  </si>
  <si>
    <t>Febrero</t>
  </si>
  <si>
    <t>Noviembre</t>
  </si>
  <si>
    <t>Junio</t>
  </si>
  <si>
    <t>Enero</t>
  </si>
  <si>
    <t>Julio</t>
  </si>
  <si>
    <t>Septiembre</t>
  </si>
  <si>
    <t>dias</t>
  </si>
  <si>
    <t>Dom.</t>
  </si>
  <si>
    <t>Jue.</t>
  </si>
  <si>
    <t>Mié.</t>
  </si>
  <si>
    <t>Vie.</t>
  </si>
  <si>
    <t>Sáb.</t>
  </si>
  <si>
    <t>Lun.</t>
  </si>
  <si>
    <t>Mar.</t>
  </si>
  <si>
    <t>fecha</t>
  </si>
  <si>
    <t>abril</t>
  </si>
  <si>
    <t>enero</t>
  </si>
  <si>
    <t>febrero</t>
  </si>
  <si>
    <t>marzo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</si>
  <si>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</si>
  <si>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</si>
  <si>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</si>
  <si>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</si>
  <si>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</si>
  <si>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</si>
  <si>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</si>
  <si>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</si>
  <si>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salsas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</si>
</sst>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dd/mm/yyyy;@"/>
    <numFmt numFmtId="166" formatCode="[$-F800]dddd\,\ mmmm\ dd\,\ 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Arial Black"/>
      <family val="2"/>
    </font>
    <font>
      <sz val="18"/>
      <color theme="0"/>
      <name val="Arial Black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0">
    <xf numFmtId="0" fontId="0" fillId="0" borderId="0" xfId="0"/>
    <xf numFmtId="165" fontId="0" fillId="0" borderId="0" xfId="0" applyNumberFormat="1"/>
    <xf numFmtId="43" fontId="0" fillId="0" borderId="0" xfId="1" applyFont="1"/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43" fontId="0" fillId="0" borderId="0" xfId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2" borderId="0" xfId="0" applyFill="1" applyBorder="1"/>
    <xf numFmtId="0" fontId="0" fillId="0" borderId="0" xfId="0" applyAlignment="1">
      <alignment horizontal="left" indent="1"/>
    </xf>
    <xf numFmtId="0" fontId="0" fillId="3" borderId="0" xfId="0" applyFill="1"/>
    <xf numFmtId="166" fontId="0" fillId="0" borderId="2" xfId="0" applyNumberFormat="1" applyFont="1" applyBorder="1"/>
    <xf numFmtId="166" fontId="0" fillId="4" borderId="2" xfId="0" applyNumberFormat="1" applyFont="1" applyFill="1" applyBorder="1"/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4" fontId="0" fillId="0" borderId="0" xfId="0" applyNumberFormat="1"/>
  </cellXfs>
  <cellStyles count="3">
    <cellStyle name="Currency 2" xfId="2" xr:uid="{5EF3C318-5459-4240-BB8C-48CE0D3E99BE}"/>
    <cellStyle name="Millares" xfId="1" builtinId="3"/>
    <cellStyle name="Normal" xfId="0" builtinId="0"/>
  </cellStyles>
  <dxfs count="1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  <color theme="1"/>
      </font>
      <fill>
        <patternFill>
          <bgColor rgb="FF92D050"/>
        </patternFill>
      </fill>
      <border>
        <left style="thin">
          <color rgb="FF002060"/>
        </left>
        <right style="thin">
          <color rgb="FF002060"/>
        </right>
        <top style="thin">
          <color rgb="FF002060"/>
        </top>
        <bottom style="thin">
          <color rgb="FF002060"/>
        </bottom>
        <vertical/>
        <horizontal/>
      </border>
    </dxf>
    <dxf>
      <font>
        <b/>
        <i val="0"/>
        <u val="double"/>
        <color rgb="FFC00000"/>
      </font>
      <fill>
        <patternFill>
          <bgColor rgb="FFFFFF00"/>
        </patternFill>
      </fill>
      <border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u val="double"/>
        <color theme="1"/>
      </font>
      <fill>
        <patternFill>
          <bgColor rgb="FF92D050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b/>
        <i val="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5" formatCode="dd/mm/yy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  <fill>
        <patternFill>
          <bgColor theme="1"/>
        </patternFill>
      </fill>
    </dxf>
    <dxf>
      <fill>
        <patternFill patternType="solid">
          <fgColor theme="0"/>
          <bgColor theme="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3" defaultTableStyle="TableStyleMedium2" defaultPivotStyle="PivotStyleLight16">
    <tableStyle name="Estilo de escala de tiempo 1" pivot="0" table="0" count="8" xr9:uid="{337E04D6-1D63-4330-B4E9-A562A8FC72AC}">
      <tableStyleElement type="wholeTable" dxfId="18"/>
      <tableStyleElement type="headerRow" dxfId="17"/>
    </tableStyle>
    <tableStyle name="Estilo de escala de tiempo 2" pivot="0" table="0" count="8" xr9:uid="{544DDC3D-0CAD-43A5-B480-25C435EBBFB1}">
      <tableStyleElement type="wholeTable" dxfId="16"/>
      <tableStyleElement type="headerRow" dxfId="15"/>
    </tableStyle>
    <tableStyle name="MiEstilo" pivot="0" table="0" count="8" xr9:uid="{E2F0BFB5-8166-4901-9388-6C1EFBAE23A6}">
      <tableStyleElement type="wholeTable" dxfId="14"/>
      <tableStyleElement type="headerRow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18">
        <dxf>
          <fill>
            <patternFill patternType="none">
              <fgColor indexed="64"/>
              <bgColor auto="1"/>
            </patternFill>
          </fill>
        </dxf>
        <dxf>
          <fill>
            <patternFill patternType="none">
              <fgColor indexed="64"/>
              <bgColor auto="1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MiEstilo">
        <x15:timelineStyle name="Estilo de escala de tiempo 1">
          <x15:timelineStyleElements>
            <x15:timelineStyleElement type="selectionLabel" dxfId="17"/>
            <x15:timelineStyleElement type="timeLevel" dxfId="16"/>
            <x15:timelineStyleElement type="periodLabel1" dxfId="15"/>
            <x15:timelineStyleElement type="periodLabel2" dxfId="14"/>
            <x15:timelineStyleElement type="selectedTimeBlock" dxfId="13"/>
            <x15:timelineStyleElement type="unselectedTimeBlock" dxfId="12"/>
          </x15:timelineStyleElements>
        </x15:timelineStyle>
        <x15:timelineStyle name="Estilo de escala de tiempo 2">
          <x15:timelineStyleElements>
            <x15:timelineStyleElement type="selectionLabel" dxfId="11"/>
            <x15:timelineStyleElement type="timeLevel" dxfId="10"/>
            <x15:timelineStyleElement type="periodLabel1" dxfId="9"/>
            <x15:timelineStyleElement type="periodLabel2" dxfId="8"/>
            <x15:timelineStyleElement type="selectedTimeBlock" dxfId="7"/>
            <x15:timelineStyleElement type="unselectedTimeBlock" dxfId="6"/>
          </x15:timelineStyleElements>
        </x15:timelineStyle>
        <x15:timelineStyle name="MiEstilo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11/relationships/timelineCache" Target="timelineCaches/timeline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openxmlformats.org/officeDocument/2006/relationships/customXml" Target="../customXml/item2.xml"/><Relationship Id="rId10" Type="http://schemas.openxmlformats.org/officeDocument/2006/relationships/pivotCacheDefinition" Target="pivotCache/pivotCacheDefinition1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B-4BFA-92E4-EE2270FEF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8CC-BE8C-99B1C2A9D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8-4D22-9351-686579BE8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[DashBoard2021.xlsm]GRAFICO!TablaDinámica4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FFB-45C6-B1D8-CE0CA46261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FFB-45C6-B1D8-CE0CA46261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FFB-45C6-B1D8-CE0CA46261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FFB-45C6-B1D8-CE0CA46261CA}"/>
              </c:ext>
            </c:extLst>
          </c:dPt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02-4634-87EA-E2AC44939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GRAFICO!$B$1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GRAFICO!$A$2:$A$14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GRAFICO!$B$2:$B$14</c:f>
              <c:numCache>
                <c:formatCode>General</c:formatCode>
                <c:ptCount val="12"/>
                <c:pt idx="0">
                  <c:v>136478.99999999997</c:v>
                </c:pt>
                <c:pt idx="1">
                  <c:v>93438.8</c:v>
                </c:pt>
                <c:pt idx="2">
                  <c:v>35119</c:v>
                </c:pt>
                <c:pt idx="3">
                  <c:v>75152.98</c:v>
                </c:pt>
                <c:pt idx="4">
                  <c:v>127651.3</c:v>
                </c:pt>
                <c:pt idx="5">
                  <c:v>52267.459999999992</c:v>
                </c:pt>
                <c:pt idx="6">
                  <c:v>51023.280000000006</c:v>
                </c:pt>
                <c:pt idx="7">
                  <c:v>96993.4</c:v>
                </c:pt>
                <c:pt idx="8">
                  <c:v>200744.6</c:v>
                </c:pt>
                <c:pt idx="9">
                  <c:v>190532.16</c:v>
                </c:pt>
                <c:pt idx="10">
                  <c:v>130488.79999999999</c:v>
                </c:pt>
                <c:pt idx="11">
                  <c:v>61275.9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E7-4CFC-BE0B-6AA61D73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27"/>
        <c:axId val="1354453487"/>
        <c:axId val="1298745855"/>
      </c:barChart>
      <c:catAx>
        <c:axId val="1354453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8745855"/>
        <c:crosses val="autoZero"/>
        <c:auto val="1"/>
        <c:lblAlgn val="ctr"/>
        <c:lblOffset val="100"/>
        <c:noMultiLvlLbl val="0"/>
      </c:catAx>
      <c:valAx>
        <c:axId val="12987458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354453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GRAFICO!$B$18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GRAFICO!$A$19:$A$20</c:f>
              <c:strCache>
                <c:ptCount val="1"/>
                <c:pt idx="0">
                  <c:v>Ana del Valle Hinojosa</c:v>
                </c:pt>
              </c:strCache>
            </c:strRef>
          </c:cat>
          <c:val>
            <c:numRef>
              <c:f>GRAFICO!$B$19:$B$20</c:f>
              <c:numCache>
                <c:formatCode>General</c:formatCode>
                <c:ptCount val="1"/>
                <c:pt idx="0">
                  <c:v>1251166.6799999997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7-4363-82BC-C8D25AF9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9915487"/>
        <c:axId val="1295922847"/>
      </c:barChart>
      <c:catAx>
        <c:axId val="12999154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2847"/>
        <c:crosses val="autoZero"/>
        <c:auto val="1"/>
        <c:lblAlgn val="ctr"/>
        <c:lblOffset val="100"/>
        <c:noMultiLvlLbl val="0"/>
      </c:catAx>
      <c:valAx>
        <c:axId val="129592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991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 POR CATEGORIAS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GRAFICO!$B$31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GRAFICO!$A$32:$A$40</c:f>
              <c:strCache>
                <c:ptCount val="8"/>
                <c:pt idx="0">
                  <c:v>Aceite</c:v>
                </c:pt>
                <c:pt idx="1">
                  <c:v>Bebidas</c:v>
                </c:pt>
                <c:pt idx="2">
                  <c:v>Carne enlatada</c:v>
                </c:pt>
                <c:pt idx="3">
                  <c:v>Frutas secas</c:v>
                </c:pt>
                <c:pt idx="4">
                  <c:v>Mermeladas y jaleas</c:v>
                </c:pt>
                <c:pt idx="5">
                  <c:v>Salsas</c:v>
                </c:pt>
                <c:pt idx="6">
                  <c:v>Sopas</c:v>
                </c:pt>
                <c:pt idx="7">
                  <c:v>Tarifa de envío</c:v>
                </c:pt>
              </c:strCache>
            </c:strRef>
          </c:cat>
          <c:val>
            <c:numRef>
              <c:f>GRAFICO!$B$32:$B$40</c:f>
              <c:numCache>
                <c:formatCode>General</c:formatCode>
                <c:ptCount val="8"/>
                <c:pt idx="0">
                  <c:v>186513.6</c:v>
                </c:pt>
                <c:pt idx="1">
                  <c:v>375437.97999999992</c:v>
                </c:pt>
                <c:pt idx="2">
                  <c:v>252236.59999999998</c:v>
                </c:pt>
                <c:pt idx="3">
                  <c:v>23009</c:v>
                </c:pt>
                <c:pt idx="4">
                  <c:v>18200</c:v>
                </c:pt>
                <c:pt idx="5">
                  <c:v>258720</c:v>
                </c:pt>
                <c:pt idx="6">
                  <c:v>137049.5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B8-42A8-A345-F536F1C53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97408271"/>
        <c:axId val="1295921183"/>
      </c:barChart>
      <c:catAx>
        <c:axId val="12974082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5921183"/>
        <c:crosses val="autoZero"/>
        <c:auto val="1"/>
        <c:lblAlgn val="ctr"/>
        <c:lblOffset val="100"/>
        <c:noMultiLvlLbl val="0"/>
      </c:catAx>
      <c:valAx>
        <c:axId val="129592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2974082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[DashBoard2021.xlsm]GRAFICO!TablaDinámica4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3"/>
      </c:pivotFmt>
      <c:pivotFmt>
        <c:idx val="14"/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GRAFICO!$B$51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6D8-4A2F-A5E0-B0576FEFD9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6D8-4A2F-A5E0-B0576FEFD9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6D8-4A2F-A5E0-B0576FEFD9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6D8-4A2F-A5E0-B0576FEFD9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C6D8-4A2F-A5E0-B0576FEFD9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B-C6D8-4A2F-A5E0-B0576FEFD9D9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GRAFICO!$A$52:$A$56</c:f>
              <c:strCache>
                <c:ptCount val="4"/>
                <c:pt idx="0">
                  <c:v>0-20000</c:v>
                </c:pt>
                <c:pt idx="1">
                  <c:v>20000-40000</c:v>
                </c:pt>
                <c:pt idx="2">
                  <c:v>40000-60000</c:v>
                </c:pt>
                <c:pt idx="3">
                  <c:v>60000-80000</c:v>
                </c:pt>
              </c:strCache>
            </c:strRef>
          </c:cat>
          <c:val>
            <c:numRef>
              <c:f>GRAFICO!$B$52:$B$56</c:f>
              <c:numCache>
                <c:formatCode>General</c:formatCode>
                <c:ptCount val="4"/>
                <c:pt idx="0">
                  <c:v>467858.9800000001</c:v>
                </c:pt>
                <c:pt idx="1">
                  <c:v>480123.7</c:v>
                </c:pt>
                <c:pt idx="2">
                  <c:v>241360</c:v>
                </c:pt>
                <c:pt idx="3">
                  <c:v>61824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6D8-4A2F-A5E0-B0576FEFD9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1HvZct04tuWvZORz04kZZEXljWiQPLNGy/LwwpAlmQQnkATA6Z/uQ3/D/bHecpazLKXLroquiugM
O2SbPDwA9trD2mvTf72f/3JfP94NP81N3dq/3M+//lw41/3ll1/sffHY3NlXjb4fjDWf3Kt70/xi
Pn3S94+/PAx3k27zXwjC7Jf74m5wj/PP//VX+Lb80ZzM/Z3Tpr3yj8Ny/Wh97ex37n3z1k93D41u
E23doO8d/vXnS31f6BaW+vmnx9Zpt9ws3eOvPz/72M8//fLyy/6w8E817M35B3g2QK8QD1kYRlHI
BUGR5Cz6+afatPmXT8jwFSUhozJEHEsuQ/xl+fO7Br7in9rV5z3dPTwMj9bCuT7/+ezRZ4d4dufe
+NY9GTEHe/76c3rv7x7M8PNP2pr4t1uxeTpKGn8++y/PAfivv764ANZ4ceUrjF6a7ke3/gDR/179
3fLFPv8GeCjAQxhjEWUh/JRIvgAnekVoBLgQjCPMkCBfFv8NnB/u59vA/O2xF6D87eqfCpB98/Hu
ox/+jSGDXlHJKcQKCkOMEKOUvsAEAoZzERIqKWIilPw5Jv/Mlr4Ny9+ffIHM32/8qcCJ79o7iOR/
WzIjr7hkECgYRaEMOfsDLlH4LUDiu//5P9/fx7fh+PLcCzC+XP5zQVHo5qMZ7lbzb8QDv4qIgF+R
ZJJGCH7+AREJN0OCESQ3gsPwy+K/Za/4n9rUPwDnq2dfAvTVrT8VSGn908Xw7wSIvuIUQ7SgiAkM
tR9K+7PSH70KIb0RJLAU3yj9P97Pt7H58twLXL5c/nNhYpvH4a5+uLNffPcflf3/IO3YAuv48Qae
M6Pv0kKgEV87Qoi+HO63wPzxet8G/stzL4D/cvlPBTxserhrH37ILP6DsJ9B/fyov0Dzj/zuX4Ad
vZI8DBGOIgFUM8KQvF86witIBpCvBSWUMIKhWfitfP/mGJ939D///eXit7b0bc/4/cEXrvH79T+V
b9z4NgfSWfgfese/AA5+RaTgT51aJATBEv2R3zBo3wQNhcR/YJ3/3Ja+Dc7Xz77A5+tb/19D9I82
9zX5fPaZf7WTxq8ojaQQkQQmIzmJXrYF0Ssq4PYTz3nZEvze1P7j3Xwbmd8ffLb1/3iX/I9z2u9V
Jblzd+lnleKrJvr7dz8fEcSTF48+6w+enfNLmtk//PqzgEz1u/Tx9A3P8tLvdvrNwF8eeLyzDkQQ
yV/hiEB7TThlWEYCstr0+PlWhF+FhEcg8iD2uXuAW60ZXPHrz/gV44QiyJUChRIeBMCt8U+3Av4K
YXgKvimMGEMRDn+Xhi5NveSm/d0Uf/v3T61vLo1unf31Z2gYu98+9bRRDv4C2Rh+SGg6BUMIFuru
765BfYIP4/81miFb+tLKJJur8USXqdx0qFm301g36iuzfGMpApT7xVoRopQjIrEAZYGDWb9ei61k
MgWrcUJM74/L6PiB1NWgmtKsqlv601qITkVTcT3jxiov5KduDt+bPjOqFNNNVNdHFOStctkkVFn4
XAVRuRwiaj9oXd1ndl6UbvQcy2nIroqQ2qSISIUVIlmpggY9lrj2198/FjQaL08FNUuAzsUjUEoY
8JmvT6UzUQBWi0ymCfGdXqI5RT0PKlXirFFuDdwjt2Fx+v6qf8AtRLBgiBCnPGKYvFjV5FPPpWsB
N4erzWoaHk8DJakxIky/vxQGhvb1CbkEmSjkiEMJAFeV8gnXr3xkqXtUzIOHE2bVsBk18WlQLevO
jo04LUtUJrmc2W5m1r/V9VJvQHbsDpOJijtSavkjP3phcP4kkWABh4cOkHLBn7b71XYmUmk/kwAl
A5V4TyY7JoiL/n2vB3Pw2NcXc1tXm+8b4cWiERfQpmDgJyFwkxDTF4suE1pLXswyCcUkHtcBu5Nh
pk9EsVSLmsswVEP9Q5Rfmv63ZQXwJR6FTECueH5W6ZYp9LUhaSHaacNGa1MvcHgsLOl3fuF2W/Lx
01givG86nm+igARbG1VzTJCdVvUvG0FCzw3egAUL4ffz3SzQ/FaYVjKJKDFbW3c+tjZ8KLJh2mdr
ti0Kknx/RUiBX7ve0/khQRHCSQhJT75c0QVsnMKoxEnll+lSRjndrN7qJI+iPRuH4GPV9uNHb6NS
uWFFt99f/UWQ/bb6k8SABES4iF5Yv5Z0rqkrwyTzjaxV10/TXoY0I+nQhnPxg7N+w8VCDM4lJZw0
gqrw3LoIj13Jm04mQ9avF0NV0FNTQmJsrVqJaT4SSGU/8Opv+VcIS0KICy4QEdClfx1LS6UNXxtA
NEBYPzK+4EPD2/IQeDbet90a7sao6Y9+Gof9MJH6KAm4YD92w81Kc3H2fXtj9g2LP9vPizCr9Wqq
FQuU2KlRK25PxpQ2psEEBWlOCtNGarBWK0pe65YcvB/U1CzpFF10et8ut63f4upd16HzJmw3oi32
5WKsioLincu10sOctnZSE0RPFaBU2vUTm5nS3d1cv/bOqQKPSY3vGNrZDMcGmdTiMjZZcy90lvRt
dGaifKvpTYuKTe6zeJw6EzPZ7IJiTPJ83LCyT0OPD3qo9yMzcbDaa2FE2sPe+soeEbbHnJn7As2r
GorltuqyO6rdvmjrMe0GEig+FBfUrA/zXMyxRcSpkjkONsmG2KxhlWZoidt8UWUdHiu4kBTFp4ZK
tazltlz01rHsAgJrW5bmgBuzR25WU4+3rL4qiVFt4NNybtJVzvE8Nhst0aaPbOqKtz7IFMc3vlvi
eZiTdmwSP1ZqbccNz1ZlV5tkvbkA/40bU52Gukl0F6SdIddZHl6Ysj6NKIuXue6Tqi6PZqxjMiBF
wJ9Vv8q0NTYOhiYZK7MbKrnVq08RjIbUIrt4yIfbieJLkWUf8uG+nd/Q/NEunRqW/MpX9II79DaA
D8DB3odjXsWyblJT+fee4k3tF2VFXiRQfq9/4JnoBXl5ygUhBAmw76dfQM2eRworWjPpAMvE9mbb
k2jXFs3DYslx9a1IeDcqkgcPJUFH2XKFo2LrMpbogqlsadOafMiZi7Vulex1zMc2ZgDANF4HLj9m
ptjo8cb5t4ZmmwncX4/k4PJGCXdfRkcRJeXkYx6hxBSnbD5Vedr046aTMh36Y8jOhCxjMX4YlmZD
UX8MhkgRpmOqq1S0ydTdZvPOkDzJO7sfu2rLdbUZfbRBk/xUzgeykjd53qtWh+yoM262cqm6FIXN
4zLh+woXUONCfzPy4j43/blfosSY98WQ732wqEGUydC2cdkD6wn9RWV7hTt2GqZ6s/hADTIyqsbD
Ge3KQq1zdlrNomThtyUzKQT9oa5K1YC/hXY69boyqirFA7DqQkWd28zTWz9n6QQ+G3dFu2tzcybm
2agi7FWjs0vtyFWP6scg6nZzGWy/Dz59EotflqGIQFomIYiWhLwEv5Qo9OBuIdhPUNX02CYaz1aJ
bgLS2p65oNprh5JQB9uMdu+MtfdTJl9ntHwzVG2QFkF2YWjAleGTkhMQw67LrkjjwAd6hBWhkN0C
scUtuynGMK1RWKfeNlcrYLHW09bTcYJwJ9dk4sqidYdWdB3JGDJMuvQ3XS4UNZDg3BmemOqHZLVV
sswYsMHxELm4NFg14bETWmESxJL1e9kfCkq3GUeqz+rXHXbXZf9I5UU9alWWuw7yYQuVtaovB7mh
2aEcvOLuahVvWYVjV3Wv9SLemeZTJvO9hXqVhQN4sd4tvDlzODhrIr7JKx2HFQR+s0A6KeKI6ySK
pGpLyI1NoKSwSb34BCLvUrQuqdb8kBO+qJGLQ+XXGM3Zee3KRFJ3riMLDjidEea2KPNpveq3Qb68
I22+y6ppY2y7WZtiVxl3raFmLXnXqCLL7uGLYO94uqp9fc1cNm+KoEJqivDHyfGTrYsT5LnXkXOT
gonCdehFus79lJRar3HLpyzOWf46WKpbsR6DcueiKoizdv1UuOBDxR/wtC+at5EIlG2Wk/E0Wd3J
+eWIQziP44r2EChBF2sy7AQqL3nVfwAetVmjLF34ciCZPQ3Z3sy3rLjgYEv6JmzdeVtWPpl0h9US
3JIsLYPbsuHnE5EpzcTbLluNmv1QKDq7d2tr43LoFR+FGruwiPuVX3MpwXP4bijH7czKHYa4t5nd
6QYK3Jw0YivaYJMzfzv0NzmjpyWf06Wob3Rmofqkjl+sUXC+IB4XeNnbkKusE7u5ttALDCqr76o2
VLoe1JoBcbgqhrNVfiL1TYaLLWPFVkwNJEixE6FL8qpXufdqpW7PNDufdP+upT7uu0AJcQ4Mr1Rr
2dRqzT9xDSUJwaaDN9zPydCFitX1rouGOO9oUofRrliZGoNZyTJX9ZLFQ5bvzVDH2gYHvL6Fdmab
2YeyeQc2U30wbTD+0PZ8Q/pekY5c8x7es1jwWT2LpOiiDW8A59ADyb7huN/M5DYgWJl+iT0j2zy6
bjqbzHkf5zU6lpinc2AubW+TCGcnXlHFmiqesYjzotoXXFxacIg1OBsjqrx8H4gH7fWmCsd0Eqmd
IuUESbBHSUFovPoimXI+xXVtH836vql97PObYTmzkGtAFlIDHdXo1nji/H0j5yTS55wHm7UFmjgW
KmN+27lchSJ/HXGbTP2S1NF6Lqowph4ogLxrBFJFLWJWS5UjcJ35YcXV2xwVO51zSB4iIU11TnWm
wmJKswUcaaapH4Zdh/LrDHGApmrShZpcrZJvgRMfRNa8C/hynjUD5I0gHT1X4aKTeeEDWB26cFan
FI/Qr5PukZV2x8oJQBpNOi1FpepIK2/DDWH+vCzEY7uOpxnsUC5nfLQ77ooDp92bEqOka4ZtN0lw
XJEWVlxAQD7WfbYXc76tbQQRPeXgtR3/MHWlizMRnFrAtsQyZt7Fs/SvszzQquXzzaKLzTwMW2h8
b8c+VxgqSrg2R7v2RdJOAUsqMTSq7qMfddTfoLlRCA0F6CCUYh6+UEK86+epqkF1ceU4XuRkITvK
5uKip8IkqF/77ViuVTphvCpnQr7LQyo3NXdz2uQRJrFwWlxUtXSJ84zF3693n7vKr0ShJ64TRYxw
BK2I5KArPuc6M2gOWo4l9Hk58kdvLdtA/KwpyQcah23WHkrZzDE1jl57QmgiV6o3mRsfiwINZ8ta
i43kgdznumogxHNyWFfit9VUr1RlpZ9e28atP+gevtErfrVriV70T51cHIhr0D9lzZwd3MiHKg57
t9yNS8ag4GpW7su6sExFVS6ghxt08IOG8Y9bgAkHhXkzcAQYYURPLd5X0kTRh3lVT6FIotJ3F7Zi
Li14bhKaM3SQmNRXuKf1u6Cc7Zborjt8H7jnNEWATogJaPdPch68OwKz1+fLR3UXBmIensS8aE2c
Q+F1wUpz7Fu5qAB/QnmZxTgI+92/vC4LYTaAJQOhAsa9z9dtgoyx3AQiqTUJz/uQjx8kDBOUz1dI
EjZkh24tTDyufHr3/7TyS30k1JoFxkP/ui6h2QsStCleBT6MQdRvhQPlDIjoVNxTqau3P1j6yZp/
j5LP1uZEhowQzEBEJU9B/hXYTR4EkwgrlEYrhUyh06C7qSkYOnebWooDJ9mudeuemOWiHkpQaKvU
NtHlYj/qoldocRdzbzceeDfu+liL6ozKLBlQmLoMb7PCbLPhnPp2U7WHrMg2ojmsQsezzVPohbZr
Jk5hN28EcKO1WN/akW0ibTeUB8cosGmAl+00P5T6ygSgyWlyHjXLPiqFQjQ6XzIdN1C3V2xP2E6p
puVxGgNVtsOmoJ94oePMRUdn7HbyLC443gAlL02/J/0aKlppIGBOoXAzaL6tSnZC/UkMtap1c6gG
f5JafhAzAzEUv9UkOnCO1Yq62Hn5+vtIfFZGvoPES3GOetAkl7wBv++ptaphdN4t0UIOSKL+QdA8
2vI5GBM+QCq19WxT0K6qN9/fxfOc/tkdJAJJ8imnkwh9Vr+/codKNqItA1BkKxr0MTQMQxwUhIBK
1/H0+0t948CUw0uVoAgykNHh/YnnricCOtERS5l0zA6XZdvW0Osx7kjcj2Qod1PbMkCbfgKRw86H
sM4liSNRL/YHiuBToXpmeUbgLULKYHgIKiV+eofw6xgwNfhGDsJZArI7PSsX525tzVs1hqY5w2Xd
/iDTwHDjDwvCkEuACg0vlcCriU/3v7JyvTYkAwJHgD9NJK1dVynYYrWZuj57tOUgCyDlqDorypJs
s9yXQYyCamQpt415h1wq8rNB9lz5Zr0mHAMDGtKB+v5HhiHRH7dKEYWXxsAVOALF9IW25sKml6bx
eTrTet5z6hhSqHJVlA6zb1+vS70+AMkMt2Yuy8TIjl8MjBkQWybDSYz0VCNl6nW8QXqcddxPgxmg
y4va2wZlyxKPXWbf2oGUqQi6+iH0vfSq8GXUKShSwLaGuYkyFUW0LaEtoPSjcHl107I6u9d25Vvo
qMh12Mv1Tdnm+NiaTLfxTI2sVGTAsfSST2+rvNEH6qV9C7ok3kzwMm8Bzfxk7oNuygrlNWODYj2M
MGPnBshsbsqLEZqtckhl0LWvw6iDeQ2HyvfA5q7K1Zjj9ZgH2OyWcsrObdbhj8wGVbpYWt6FXcje
kJIv166j9Liw0IGs0A/R9UJZ9UagrE37nKJtB28e7Uet57emr9hpyUJzYTHrtj4r8lTQPvzUL3MU
ZxkYQKEW7BxHU5tdOHi/+l3RNe3ZAFn8NFWtSdoKl5sQh92VY5FhKrDF0KrGklKVq3RXTs8t20nf
VifcTnLarLA6iqHzCl/nZkbbpsuwU9mM0ENf0wEdGe9sOhNUb/KoqK8yYodzzwr/0XLenJiv2n3X
NvJMBlV/NAH0e76eIUI7aZfNRAuewPk1TUQXmuIqmIiNuYxw6/ay6Fcbe8JsV521fsBrgqrCthP0
yTib31d0HVet+DI7l51IRsUdjDdy+o7kHLMoBd4Iil+jo2zat7Toi7jBJngoDFpbFZTG44R2Or+P
sO8+oAAFo9KWTguIFoI/Or/2d8MoWBkPM8/OzTDrW1qzJzkzXPukrhwDP4zGaCfAbxIymHzjkMXH
rDYoHeqp2tWNR7vVUnIWNF1wWLm0+xrYQloQlh+KbiiSMBuqG8GIvcNFm6vOBgNQqEFvee+b3bjQ
PM04GQ+ZEP4qGjupxl4O7zJP8LGQkW5UHthsw1deXlEJItS43DMeiGU/Y44+8NDauJn7jsRynDmQ
wolC66YjOKbXlXzvicWbXI7hcZa5OYg+CGnSA6NNAhGMm5bUZFtWod15NrsNzP2mE61rAvBxAbPL
DphIDZRo1VHzgRaD2Won8gcbueW1LUlbKR24TqtwgpLa+KlL1nl1G6mXOoHSL/ZoaPxNOZvpUs9g
jrrS2W1TZeRY9obGQzcNp5aEoLgVg19v/BR1H+cgD50CclgXIKciWSV+pctx8Tk4OOrQuqjFgkQo
Yba86ydebqqFNNd1A36mfIelcoFkb9CI6bthseGpr8Luo61kBiMIFxRUId3J4zoM+Ga08AHlzWhu
fB7ibSOFf0OBi5zkQOShhuC4NiOy106DhqVoXi+XU2vwjq+9PC+KyOZxzcL5NQOgT83YV6fCrs0B
ogocmD3pNkiM7nW3OHtRE5ylsgChUBdtAM1uUYlR+ayzRpmhCD6MA6kvxqfVxRjWiZejSyaCoRjk
Fjp7PeMdawL2dqrK/D2o8ONZG6CFq9aBWk8mPx3WXjTvh1GCctpTPo2nrKDiiLK+ASoxjVvTuiLB
Oi82tWma2FdVAB2jb+vjJAM8K5xnoAFbZGwFpCgz11UVge4d8Rm95yulpwKF7aloAn5TZ2W+n0zQ
PgzQV1dxFNL1ZACYa2Ob8jarWp/kbVhXSZUVqFSy69uPNW8mwDozcjOsMG/r1xkol0b8ZKgGecAV
Of84slXfTHyBmjPb7gxm8fZyYA4fSpDbQRxH43jLKQr2qEXk2FdiaVSYrb6GsXnLD9WUdZezbOcL
2Rt/BV1SNMURGmDUuwpzK9ruIgu7BnpQ7hLmo+HaNiE1Cub2LRTWOt8EHNj/Ed6IWFpVEarvJvjf
Hx96kOZyBSOloVNjycQnyf24dTT3dSwY0Me1WyRIbZ2Y9b4es3VU+dQKKGB0ZecwzXG3FP66KBg0
4kNXDuutw7DLkq816OsgWEwgGi3ZeZvNZlZ9y8v7RZIVBobZOp9AuHVUYTbiPNbVGoAGmfEhwaKM
NjOg8hoFbX8ZzpO76ItuvbV0iSJlLAa5tsXTpQ+LpVQE+BRYq2ugschxAHmSweQn92O4jTSuzlCQ
Ncka5v2+JPkE9ZzJeNC+2FZ1N4AiEYUWpAQWnkRucFxFLT+NTodbbbG8Clc8HKoetzHUOJ5qnomH
tcjGaxlC8hzHLjpEaCljtJLqTSFM96aa2+oCV3OfZs4soAe6+S2EMcx4ygylnlYsXscw3BMvZLy0
K3vHh667JmgIEq/H9nxiOoP4wOxJDMrJbQjniYkTYJlh6NgHb8HhibTQOhed9iAFz6Bv1YBAOk/o
bLagrPD6TjThRS5KGC+1lwwFKR6h1BINYt71yFBsQcyeoh20zJuwbI8Fh6+AbO6gIlUfniY7ASYJ
4xhK2xz3+oD8WWcuVkbi1l3LcoO6W1L5eAxOtLxAdN+yU2QvQZdD9Q1BqZ0vQbFCy0PVv57RRuik
9cc2P3QwOcgaH+fBjrH3HX2T28e+i2unVb5cZP6S1YegvRYZUhKfOHYJ5UW8gpfm+ITXx4rfm/XY
y31ZfASmGE923vuexFagFIsuqXMYRwj7NmfAHi4m6mKQbrYuaOG1lE6Redc2IFZCiU/aSNq0hax0
Pll6FWgW675MC1pfIbnEBYzINDqv8g9VRhNw7EQ2Lq5poJi7WGsI66yJbRvn5cHmY2pakqD5UBKc
hkxDosIxIaDGDwOY8x2p39Qw3aufxqdsN0XnvuQAQBXzCjL77NXCwSpTcL8ChVYdfizorKCQPhJW
JuUMVWvJ0pxcTcXHrLqB1D0CfYOvC1MatBsZ8NsogKZ+Go/w0smlFkaROgfx+F1XiE1V+TPqhrO5
lbGHcMFlE09d6n0HZ2CQns7QVL1uQp0UYlUEsBlQ83bJlpjg+rQE6NgMwzm39XUEA2832asS1Lw1
my5oMB8rm0F9X2dlwdJA1pfenzojVdV8aLS9aZrhbRlGamTtliEHj90OpaVqmYdTvsIos/hUr/15
60bwTUioc7lF6JxkoM1W9HUd+W1UQudaFGpeTcLZkMJbLVuCSBKYftM1H8vhMm9uMXCD2upN6z8C
E01D8eCr/IzDjJgDgXfTHpS8R1ZdLuiiMDCwWCIlewGi9XDw2azKHLTXCeYLWOwzvjpQCs5zU2/r
HspHazdNXV0V1inXt+eiLG5wk8u4hDijur9cOhqXbXCO1mMDrewaNJtWm8RwnnRZsJ1rPp0xqEB1
TlNmq/uibzY+cJu8LPcDWKyvQ5WtkMYgFeroEkd2m0WglOIe9Op3sruybbRFIH9zkEtDw5WgbVoi
FJuqj9kgz1ePFJ1DJTg9OlDwu+4ugh6jopCVZqmgM479eGFQHld6vIQtq6B/q8sHiR5mXW/xWoAB
+s0UzjABrC/HGZTVedrCNDBdo+6CPgnYdskVKS4KNsyqCNhWz91ZMzgQHkfo4G3M8kpRtiS69opO
T6ziDYgQV24F1d7IBKFFiXDcTcHrYZmUrVAM9R5GZXlq2xvgSaCMm2Qyu8C5nUTbuprVsBY7k60x
HtYtnZzSKwObR4nMMBj5UBWPKz53kdlVIUxzP3l9K+WhAdHaA3Dk2JWnPM9jVr1rFmh939Ap21iR
Ri1kv/fasY0BPRxeZmoVg3kd1IUwbCrlkIegWU4yQJu6HUD1JzdONht4KVrl85H8X4rOoztWHArC
v4hzyEhbUufkdt5w/NxjkgIIkIBfP9WL2cw8e7pBurq36is938SWxiMu+oxLnYhwTtSzWtgMNtI7
NTcXS6tqWMK9JivVrdevfHyf6yhlAc1AYMemgO3rs2PlOtteuTFvh8TVZVIwPzfo7zFUZINWXuxa
EGw5uC5qj/AhZ5J34YDuXcT9cC2VSBk+SOP8V5aXMKpT2TGMzkG+YKJCF5ks7I93a0zsg7I/HHKj
XMbBJBKjsVofxD4W00/g5aE8mfJg9VPskE3U8DxUOu6arHBrfOkytfW2cuoYJxd1PwnPLAiHimHs
k04+R1e0qtuJf2ovc4p9Mb/DR8wccZvr717uRKux1OqU91k9fYrZilupY9Ncenpo6bZEPcD83QaH
phnObp+Spr5IcmnCV3dcjr39YrMvCVvUrg6luC845EtDUzO2mxKzahuZp+KWrpGbefC1rWLMTFXH
CvVXOjjrAnwRBc8Fjknk8qymI9agSivMN5OOw+ZLRE5CLfwDj8rlZRKWZ8bkARI+DNou4eOURJ3E
ru+TsIqSor5H1WvJXiLnhdlXySBr9KAO2jjA45lBEBSrSSQ9R9a7NS5Z6KhD5bwawWJL2OhgHsb7
j5duAjsklisqyPjq2G0syrde/yl+jODuKklju+/ijr5OQX2AHxpH3idT74U75Q092Z6198s+1T24
Qm5iWrk5X0kylt6uk+vWBxBA1W3xqyyMqrs/AUaog8y1SEbLX8EPMw12BXSEmb2y6b+pMZlT13de
H2ds27mDJTyIzVAOe20onu9vX5JkNktmKRucg0mG+VF1BlPWz6pQz6uj755teHhm+eX2tiymWHIR
z0UZCzhJk/2zYurqUCKkHSVRQZOgXjM/eGMqiKlPEk7bjQd8hrhVbJFrD2e3dJx8EO5GCG/DQwr4
wY2J9K982Hse2lcwbXBaJrzr0DQZif6bKVz/T9sQ4Ap9It3d7DPwOF5WkL9aWbGUb2P36ZP/TPFP
Gp5g5o6dNkjZeoIL0c/kTTvfyIcnxobU+nyP3rZuIoCpr4H88CoGnmBJAwi0WsqN09C0wwRRz1Na
YHwwjyn8e3qxUDjd4mfmWC7RS+/+dcUnJJlkieBScn6bJizEqLy4bMmirkWtC2LLeAm64H1Vvzfk
n/JoOkxu4kQkcUCjTLafOHrCixbPkpNbeGbw1FBdi6Oa/8o6yLX1WnHAteiffOvhy++ieeH61rZt
zK0wRjuzJa7K/NVKbWfNhXoACG0qZwMDOnW8rQU8E65bM7+N47oZMaCEw5o1Uwhc4qAZprgonwBd
SYpSFfza0bdfH9e5jAcF8oSWWeugLcLHqZJpPrnCzdArbVb7Kwp+icLwSmlaoIC4KEt1FWZyemHr
uzXAGp6aLg0VOs15CIFQYGp59iZOTqGglf1LY0PmUTy8PSetfl32fXjlVpP7oZXP5Zyu5SsbROoS
+9yvGjNKlBhPpmAo3rx2xoJgmSu/ouE/xfobYz2cbZ40ltqt6FA43YUED9UHK1YeK8xLYPogX7Hx
X+eWCffNtmleKCuTaF3y1ok+ZvZdBiQV6z2Y3IumY9prdE9QMxpNc8lhn4VAZtw1ozBNgf3sBfwk
vp5KgSPGvE/9BdNIDtg76+ys6h6i9z4qqT6Xbjfh0YtgTNaBJu7AT409pdI6ztV9BkrNK5ixr57c
l+gwJIvpOqMpF3CJGZ6aiUenOZS1PpX1fWILHnlEjwH9DYo5nf01nwoamw6i881ag20g113VXNWw
88sC4h3MS9d+p3Nz1qPMZeCceyavzuwmKozeTOPHzgCChRexPQ1o46fYVXPuLG5ccpXCcsxZVW6q
EBr+rG4YovPSRY2vxwNb/IyCDGjr/nsO5ry2/SDVdv0etsWv038s88V5tr3j7yz2RjwicKqGWKnv
1liPOvp2gO5I88PpuJdm3UA/jLs1PC3FuGtW5yBNgIa+LjaT4jmUgK0VhkfI67GxcWayKO1rDc98
XPeQoPZ9pXe0vAo15EFLjl4gE7eWZ6bks/FGg01eAcBtWNhsiePsPVmkzF92htsw6pfcGuTWdo7R
oPGfqyQiOgb7GAcAbVkFxspfU4ajclD/+rbA2223pXeCMp9p+6xWvKMWu9pSiQ16MkI1BTu67wfw
ghoNmrNug4qlQXBkC5QtNLvSR9fb0gPjLyVkMUn3zI+yyccRxmwbdIUz9YkzlXkjqjKWOIYMXdd4
nb7G7hFamEuo5NAZR7tNCiBho4tppVRhYkt/uzbYiu7Vcn6HcQNLPV8bkS26z8USoubOKD/rpoEt
CIAx8XGgu2DYWy/agN7bUChOSsocHidUbDeWoc7qqN5YzZotDk7kabrg8DvzoAMB7+UVxc+54W70
dYrZ9zhF5sMv12tPCg/UinO0l/l9cf4DP0KT1hc0pd10ikh/hmSZROG3x7ADOI4QTS56LB+TNBtm
7BdNQlQFvIZ5yrvmI2QkSErTAJDECViPww8fujH2Fuu/FWMixQsqVPSmeeBCEdIsDgTK8RKRj1JW
r9b6UNF7swC0Gy+102zMGGVu8cuV/eY6msSMSx+kSeFk6CN/EAAJLkSEeJd9NG+B3P81FsAUq4rH
4cvyYWGHvwzzIPgBlvRqCtCO2Uc+0A2T0a1jc0yHFgCWt2vtQ/Acqzp6rbBEixlfQ43BEIMpPSyi
foV+uaGDE9M6giDFgFOHMjeqSWC4fAXC+2eEg08G2WcYR9jb5ZVXwZ46rb21nG8viK4W+oh5rXdD
OOe2GuvMQIDpq/XagjxhZZjIksZL3cTa6faFbj7Drv7yRzRtAGtXirhJG8h0wUnoGEjJZT0kFIRW
X2+HyXvUI/CpuhyxvFZgvFNWreYUdBaAk/VRo20KRroXg4RDWQMI/Q6jGYso3PalnQpVnP25Pylg
AcZcB+HdGqvf9t5xRsFTh3k2EFExTy1+HhKetH14Hst/ZOKZ2z8A/hzDSCeuHGIfaFATkK1tfmbw
EAK94orCjUPlVqGPjqyLL/q9HHE8NySGXrnry+nBi267YERyZ3VoivpU9+G2Y9WeLORIZ6nQxY/d
XsgJ/Yee6kTJFUyMCXfM1DkalrzAzmx7W++4QD6GQaiLrCZZrDVXkXOhxClzAFLqKCuv2kTEHEUT
7VBnYjfQmfCXA4GvkFtl+FnZYjuOcLTjOaqh1IhqxKLm4h+u/3DuHqc8lp6/71tgzVBW+z4FT7Sg
x1IXL2rlw5lHL6kr+gN0sTmvi2SPqcBjbgjoVovDogjb8SEDC0dupW5DOO4WRV2wN+to3lwRejlQ
WWwz7vkQLlENbG+ZNm5ZW/jxqnprLfHWYrr/bw5qOWG+D+SxZMY7+0B+76Is6HVqLfLltp0EPeoG
Y+z0wU9fuO9T2OdRxy/FYufF5GCX0AKtq16sndWhcfGYBiFZPXV/uPnnxWcCX71R9zLU3mWIgubg
dKRIbNpf3Xpe4rLxaeIIea98iEPYLj1Al/qsyuKrpS42t2/Dhi9VM8bciX40pTSpvBqb0EeT2UKK
GZppzuBIoF9Ybf/ouVEBwVO8Lr3IjD/i1GvXQyVCkaN8ipcFxEhcg8cNPHNpQ3IY6snPWvg7/zr6
1JbKdl/r6D3UArul7ODcC6LvrKTemynRmbjVNCRFr2kyNDhqTQ9hF/JI57LhWDO2bCbgjDmMsGNI
prs3q2/B18ew6jBZm3HbRuWpbOSljsK0b8b+5pt6gcZWQQVe7TYNKr9MurDZLaziaQ/J9fOZWYjn
spKxaosWextgjQ4bTHy0C3Mwgm3WYtDIHeanxJtk4qGSFeGaN44KD2ZWmPUWpL5spl/6oDq1ODmV
Ke7cDz+MDM98qbK58Xeqcb8cj5GclzhL+yFChfLIjtHiLRSDve0wyluC/afttoF0CCdFrRj/7XB5
myw3yKrFHdN5woithoMOa5QuJ4um6NyR7mr7FsuWzqqThnQqJtaI82GenY0x05q2o3q0I3k+SqXT
ruGPsbffSFSoDCRgl3Z4+rwpoy3pQaVK6n/2Qh5phT9MaxblXVnfooqcGEpRbUOKGdvy4EcwEaya
eekkGgPGKoS4vzT2nahmPnACNM9W2t2tC+8uFjjjZMSUmQYkgsgsJMA58Vw6LZzf2FLDtsQkCIfC
icsOdDJkLVR+mHYLeKvGXWqZQXm289Z36pR0AgKe5PECVDy2tRh/vWkVWWB7ccQwCc6seczGFXJb
Lbb/HtCCQcoDenSTlaF90ktdfyvRdyWaDN9l6axWsuReyAcIXGEpltTRIaY07jf/KXsOIGpUrL9H
hvji6HSzt/WNQ2+OqnSH2bdErRGMGPJDO0wJ6LRoGWUMXD2E34Hoy6DWKRUljO7G0+LL1DR4AEcH
0r52MnchQ9t5pLSDqmljCkpXHIFQucYRYnFo8btvd11zIM3z1MNudJpvHXAfzjjcr+1MnjO1Mb4D
PiTCAFl4LNUTOiUYX4fWZxNasv5dsW6/uAEiIO3dCZTBeg/HQ9dSbISivS96+guFnzpLkPM23K39
nM0tDrVaiLOvxBGD7dlq52sbTke4JD+d6a5BaZ2tWR5gm7WxmaoMvvGmlnOO1/zXOO7rVGM0Gvvy
k7A5gApnl5i6IUZwqr9Ksm61xT60XT4Xax64Q+bbjwq2UhhUB58jSGKV1W6MSiuubJfndgtWGKWW
pmG75jKyMHDytkQ1FPtuYFdZckwwXhaUKl4KsLJaH8jy5wQcYRnn2jYeRjAfGkA4vjdTYI66d5et
R8lvMwY/NdIjbofMghwgAij3AJco9me0X/XwNbb+zzxO+3loz0ifTD9tU7NribCkE5NIuxgfuI4F
5qRWzZ/ArpTKhojgt1mBWrC6R7JtIA7vrUW7iO/IIAFcevCWJa9XwSDswxyrpXNfhs5Kuln8ygV4
uQMhSITRmjAw/Tkpp4uA4AleegQegzJ17nnvdjHx1+7eQH6APNxQaz9Qclp7hURj+0calfuI1eVW
UR/tZgjv0EFk7vRTmE4FWhcWhCjqEKlArUwZigW7WAZRBq9bNoq439HYp5YXZQTDRQQapLMJeqcK
n3Ky/9HIVHFb8C+0VdeGREuMuOoCMp+cR3/eqOW/RkFLeuLkRnVHoejZl/o8LtXOB12aRnanUz44
aVHA9W6LMzVY1+MS3XuruQwGgKvbfRPEfa/caQIwyYWCqWIPP1Zo9w3k9K5CTKq8d6PzXqpCIEJU
6lQWCmGcbpjigZXz84fWb69ZBhDgNVRLRG8/RNttq8nIHQtalRW8CJDj9WBM0/ZiaZ2XkuNBED7n
buinNoE0DasHZGThN192PUA/DyHd+wePVtwkbqsuVWHWd4+700N5ne3CdpoyDPQ7SbzTHDlDToE8
lzraFqMPZ5u9GTQ+fF4Pxr05062AkOZZ9ospZ6hyXhaBuYPiuO0jcrd7oNT6Ikp7KxBhitbpMAuc
V8wpoe9Y+tn9w73JA+MH98rG2dCCHsCpB5xlliG4bNjSGcF5ulb13QK+kIBnA6HRlqlZrB8ipuit
JeVNB+KlqwETU3/OJ6eAKTPl4exkQ+Vl2mVx1OKwM9NltOQ3RkrUX76rYAKL+RvxaOB4BiMx1M+p
2VmS33zxhtKYmEaeSw0spQpqurObYkt9Yce6bi+q6w+1r5EnCnd0Jht0nDcBmXFhOjV8Pta2tX+O
UIjwJVZY4BSDhtKoy1BQCFfyfZjrvEI8mqsDUzAqRvdlqrrDzFf0ml1xqGcW28OY28N6HGYfJXbe
hkh1WST4mgod8+4YIDAueivhjZ8GCNC5iAQ39YoghZsuXZkbubHCb5u0nxJbpwlhC9kIabdvph3O
Prxs8TbKA58kmmCSN2C6lmYBOrMVmJ+DkaSO+SH2V0Ozev1g6mt0X6m37VdkD/YUZ7VZdqVxwX9s
J/TFPqIEKmyTkTfJ4OvY4Qlp4MGpf1IsMYL3SY+rEfl8aeWbRqnj9D8/BMKIKY8i/UbMzgwAXjCh
Nk/pg37rzs1tdD4evZDoHPnHSW2q6cVxdxYcTRQNw44IqiMVe4BdRaHXVeqzJ19qvWlEBUYN/Ut3
iFR8DhRpCrXx0GQglBmT/uH2Gtv1Ju23GQOlbQaM2cHel2pv4VmrAVHr5U7XV1L3qWqeAZ9dO6JB
VD8+fQ2MSDxoJ2MbJE6FzcrRr7IhaxH84PfAe7M9THRFSiHPsHsQ7cPp1M878szJ9Vfg6Wlp6ph5
OQ5NzJ5zYvmIhIgIvnuFPhU76j7URSJHFdvwlNsP415GaXLm7TWHdYLQc9V8Fq2VsvHB0A54k4d1
curqrQU1nsN3kAovsxDbZf2h9hUGzcaaMUXvSghypNqHsPf8P0l3FBL6oP+iYQOEeysAxjh4Ki1y
iegnWYLERMxtGxl7kXWQcsi5KfXzl6ek3LUsIaZPfQuSFjQzdFh4udI85AzAjHxVzT8doqWH18va
I2dIX1oQCmEEIO6i7xCjY0YgdcNsQ7+bTKAhhHHSGoBRxCfoMkMWwQcb8U2gJiD9dZL9l0JWAKmY
tIPO69VQi6C+aUyDz0FBsCNiHbFuv11N9rVos3KZ0+GpY9MVBv9Whec6ePesLZrs1ILRS8vYtK9D
+O61ZwYsLHwny0asWGJoY2aBwRuPDtk3amJ/VfEw1X89JP0R232sdqb9FMu/FUXEkSIJ+o3X7Ce6
keFPbYX70HawDbaOmVLXe6v8wxRCP6js2JqurUVzaMOQT9u4rRqcqZfKa38ataEq60L+HvQnND25
w+1EtCyrtQ2duUGvnLeDhzLgxL0Fxn385/T4ZqsLbdFLeKhyxk7F0u4m8k6oB6YkL+w7EIGkCf09
Db668tXrnJvtJoEo0251z4PWmcMR7HB/bcmTKBLbxm42Y5R4bh97QNxc8I6pGOcTkswlmmUUVcEg
WUutT3aPvOSqEZN/yrHDzkOHDszxhIkmXSqzZQbe8YzS0a/yoP1x7xthdlz1dxc4SICK08vnJld4
Mt9onOji7SrcEkrgVrrtxl0w/0e/jem3kBqtBS3hgFxcgYwroJG6coaMNkSh8QB2h+4kf+bAKtj3
S6uuvJd7hiJqEADuEL2bqiXDVs6AfGStVukQgLAg/57StzN8EFRxNZxKhCeIvTXyB4Lk3id7F5Ws
RY/kBldWb0QVAan7ieZvx4i7Fy0pFKdcPTEvVW78OsqdYkkttPAO/6JYnKDJElZr3IcxbhyypIjj
bkAB4riOEs6wMtlbMHxQOl87lAU8nEsL5MqdmnTmwB7gLwwdfAikDXG3BtzFJSmgIhcW/B8WXKfl
n0LeUM5FXA3D1qm9vJhhEM7DueouMDOUuY7RLWBfxOeZQF6KEUxQd7lAjUORVdC3nZnGHPyhNCKH
XJGWXCSSOXHnHt0R88i7sW9tQWJMo7Hl79oBBKPv4WMA3/0ZGtAjCyBMg0PR/h2mrdV+hetxhnMm
7tiJfNQ7yRFAWj6m9n0Mu5wOVlLWpxFWUgG5uzdJRP9p6x997m940vLDEiQPrCldm5uB8T0Hb9Gc
+UCmPK9B6OvbcXlSIeEIO6f3NjOE8NGrMnte0yF68csJIFJeqV0/qVSwXMoSEua3cT56ps4NqmyB
SrBcVw5KzPpGEjcxzmtlPTz1p0C/DfUmWm8MgxXT4VbMECZclZa9TDs57Qcw1pLsAXKkdvQIyh2G
Q9j8mx52uoQFOgLu8/qNmmAb0nNV53b/0kPxDubfGlSL+hAsyqwZfrR6FCs5KMi3AeJEYG0wkMXS
ykUDIbyD977CfHmFAgz4r0oj1DunwiMoTpqRNIL32mEgd8J2pydxXWoPmpmfKKDL/vTVw2EIrWAv
7IODD1UEL2EF1x0m75+oAETwrTt8tO2tcM7VCBFr/EeQ74bIVqz0yjk0K14WWx6aPceQLe3h0zPt
FbeQYPIuEob2IF44gmTSxU6Lto4X3kNiHJi26BXh3cn2RVRNvsACIszamMXgDhMLhD6q/F2JM/He
q4HHSuVCX3W9504Zh/3XsL5F3gsL3kf2D/iCX52cZ9Udv2c2n8v2F+mnDZdfYY+raICtuYByvDAO
Md7ghDbtUY4bXUCddGIzvxkBUIdXG1ytg+d5oesdJ0mipnPXuzGyNK9eOcRASvftiFB4uQOtkOgo
qXBAq6zGuxhcYOC4sABhWhgW5xZJEv939ao44EngIXKIV7JWXlLaITQRnMwyCxqFvLabPnuKbgA0
juSlb1DUH8J+1+OVh2c9XbT1y9ttrf7z6ZJ06qIjktn6e/VPsnsh64uBzwsl2IcBBd09aX4x3SUh
WbYQNDFRoTLhTowApWdMV8eBz3wLo32BOT/Aljn4CjnfTl9x61A6EDtxljMaBac5smhDnFywPmn4
qWv3c3jTLhCrtcU4k0/tI+reenvvGqiERSI69c6Xb2ZNueveIHyEcPGG/iBUk04SCmbxsPpTa0fx
UO2Hwrp36iAnirXm4taCrezanDyHaBxVQ8AQs4NTOv0MLo/nevxY4R9w74h0auzTi/LmRLdFWvU0
nSFKDI1EyTsUNd8I/k1cKxu8J40BzRENM9KGmxXpfRnZWANNXqx15oavTyLI2QwOEFyEsDgaWYZ7
CoydLlDQeAWNUg/7iuMSgOBKmtMcPoaB4VS1kkoArZxcTIgKLcKDunM+A0XS3Q7ELbrbew/1fKqg
zzttEoLFF2jdSPPie+9+BIkqzJG+AsGPMlD3MIW9DSKbiSHVZrQxKn/UtNw1tUZI9hDBtBDdHjIs
Ys0XMS8pDh3MIWhB+71C02pXItEGG3nAHQvgsEtcjcGKeO3ObX0GJbnVodi65Zz4wcarGUJ9FXwR
HJbjeYDKGtLdZCHG/VGwvCfHGj+u7O9nJnVy33pMV+s3+nAl8eneUGEbDJnh/JiqXNNyW5V7pBqh
Jd6jCPfKJBqWuQu0R61fUYsMJ0BQS2YItuWcnFwY7KVGP+22sLjnuOy3YdMnEYhmbO2t380Qje5W
iBGzSKWNnFX3ObEg4UVxCZX72crTavNsdLx86pFSqsPcdrNRfVs9Kq4JDoHGb7FAOAZFYEBsAPEG
hAxrT6/JKMB0KCUOgP/zyh22lYX2gk0/DZ8P/bCKjbDllAgkv7iPJDU01gAkYQgtiXnezibm0Rcg
O5am2LAK4XRcmmCQXwNtXdBU1I0A7iS/jPBd9KRG4ohCwq2hgUEvOLwFRYU/QKtdr5aiSH3F0VXU
/S/BfbkJndcXzisgDdVf4zvnORTyBrzN2q6CHIuIvYQc8glHyHsGEDC7IrdDJp5Y3ssqrNOCay0E
ky8GV/7s6jXc0lAlgcO2NfZAJXk6rPTdLPQI1ZUMqG81KKtQIB86XqwKXKvGXQ+AtsBbrXk5870F
GhFGGcxBs5kNsq/IkYqRxDY/MIZbJHqnyCPhMLRg9L9IDZuB8rxg40n5eMhDf64l20KE2g3YJ7X0
P5BJegkY9s7Ar9RBa0bVCXYy0vQgbIYC0y9G+HL2cMCvHaYtb0mnIHrlNeqki6cO6gWMFf3PG+R+
tA1Kzfo9tubF0RaHIImQOvm3IiY3wlYm2IUevgDtcNcKjwO94QLH9GVsvwIOeLNLGryHYpqAd66g
ztx40h7cv91Y5cu8XwxL+VpuTBWmvvR/7IYDZaqzMTz4rsKwibYFlznABEGXpxqoBwkqDJJcjS9S
oosUAh9zc2YjxwPle4VbH89waJ55g+F1hRpuZnhlLe6HKRBQGP9wMsKgseardBFtUKj+cCnJN2h3
DSoPp9YyBrD3k667KmRq5GaGhYsEoBdbI4srJ3M1T3pUZFwgsx7L4Rs8o72cwaME5CcQSVX+Df2e
m/d6RD09D8EJV5rI6mTWHbDMvn3tIHEuG6qhCA/9hkFhAl6hpgsbP4shb8en0ZRDBRvFvmLoz18E
ylf5MumtW7xrgI38EhYn+8HBqS034+YACk24rclxGA4VABrcajA0COunqC9DcCO4kQYfjSwxWp4S
zgqg03U5gguBs7eGe4gLBc9LdsOVBaY/DO1u0S+2+df35xJ3p3Q5hkL6y6y0Btcf4paCen10Dgji
9kV7NyxZ2Kau+xrhbgC0Qi125ihT10m7b/wr3KgyIWyOybv5ns2b8PZ2tTHhpsUEHPYKpBsWNRr9
V0V3LqS0KfXQvaoPS9+96cfjv1N1XiV+AQadMVub1K+cdPkzwatD31a9WUM0qKj3kws1aheCeqL0
z/W3Um6Fd8eIzjmGqJxHQTbieCi/Bvfc4XLhASLal6CgfG0rcX1ANTtR/Ezgb5sH4h3Mvy+3ghWZ
XQMWNVcLqCKD2vnjiU2L2yPwkbS9xgEQzwBx/3r+I/UCHBlQwJxQL4hrsHWe9+JjtHV6F2ang+4x
cz0c1VljwLeAm1tEgr95wufYNOzkBHvkTYsmHd4BY9EZZMGPxJ1JI+5SGbdQTlx5Xprtau0Chp/F
fDXjBI4bAP56PNDJSZYyB66LmRTXrpXAPsQDI5Sxu9RRW2bllc7s/gN3CuFCkwq6gcFgJlPYDHb7
HUUJHc9Guqnm3433ZJRvpNw69qk3cds9qhpXL83bgTzwtdzmZjVpx3ah3NH+2xvOk322hzRg+F81
2dBdo+5U444AN/yGSkPGTwQuJDgxC0L1SeFAhWeA1F6FUoBbOXBGgDzQKwGSdwwa3IaA+fsSitv/
hJ3JcuNKkkW/CGYRmLElCc6kJIoaNzClUkJgnsev74PuTdcrs6pavXqDUhKBCPfr9x7nwmAeg1HX
cJ115V0CCvAfxhgng5Frl/uugqshPATne6UYnFJXuPPBzI5dzJGpf6JDgCyZnT02knm5pcsnS26k
zthgX8FHQA6G3JI5BazEl8b+MNANaus4hv7QYZa5xTAPaow69SqkKxnOevYecvRN7tFl8DycZvE5
W/e5fYhxcSDKJfs226VYMyNm7216Sb3n1MCkQTXH/0cjifVLEiPE1BuATgy5wm7vNah98JnsvWVu
GceK9CyTI1WOE5wzDHlFfA5QZtxVLjdq3OXBb8lstMTsjhXVs797Fyc4LXrwUUzZDkjUuk3XgDhI
Jm7i9r0oP2LsdHNwlv0fbTCx2ZwTHE1W/5FJPy23Dim55ajx1vb0O4dblV/ydjUYf2PalLE8FMLd
pLVvuFviM0HUrhA/13r1JKZnNfFoR6wLQfHVkx9e+7EmBPHXpDBX9X3EHdqmPa7/U4K8HH1EUMaQ
B5r0s3J8ZpL50qz61lnkCHavhVuSRyB2hK6TeISo95qer3Sc2VmFGlju7JEwwd4M9hg6ZO4DyELK
vNbRe9k/OJ+Ab+L21sH2SuxVXZ4ie4f3NuHyKOrnxPBjRrTOysku2NuKwV+MgvVWGrhhrmVzIdW1
SRKdZmTfDr8dT0116Wk+E7KEbuP45fQ9NRq3TbHJtGJThxNj+73eUplcmhLxLIW48Wmm1gb5xbIp
FSfOKd5LroQ3Lz4ya7H6c2byXtowNR7phU1CqvPOxToyYE2zDoXFb0RelNyPCKl00o71pqiPpnJv
xViN8TgP7WMy/QmwFTVgP5Ou2w6jt0sq+EhZv+Ybw4AIcsUdNlVmPdXu8DYjkJVxyj1AshYfUd8i
XPfMQHOLcLDmYGY2fDcwH+x2CbVbxt5Nq6MTp6TjOz8c041R50ciP0xgK/HtVMMptcqLl6mN1Z0I
pAzl35hZMuYFCEg+rhXMRHfya/sG9d9kFF/wzBnVPrW1Q+I5waqbM5L+3VaFwb3BOaVLbHtc5BJ8
3djV+4zQr0gNxtjUq4zJy0gg39frvgNXUNuvumH9BJm+iqezssjkRCAGBiYC8jmNlT+TuGZ2i5ob
D5s25X7siAZ4Rx1hv7QQIEJ721o5k5E3xw02Eedfwunt2snFcYYjg8dtnstdnnS3Kf4IxDuGr4cY
pSXBgT/EJSVLA91MXGxEa5kejGHAkID2XtxE0GwSl5lYsC6DYU0ti0/+XQS7cD5qgnNYH5kvXEMb
1JPh+mHD+ASMZLCejR/awKTJThHnZ8Z7blvpJhSfIvs7C9e3EBcnfLijdh+iYRV18y5z51PN29Q5
WELjZCc0Mi12/Edlyc4sT6H4nikewSZz38CFgQJmLzQpYWG3dPCwHgfJ0afDK3B++rh8cdNsGyfW
gcLH12F1GcOHXkt/RjbTBiyMzEETep4oW5uoTBAX96WJpUcwVUqN6NmKh2+yqvsZ3IonkB29Kt1A
2xzoOFp6GIxcnn4rTffmjuVb4zbHEfhN3olLE86b3iGgn5+HBm8ehKUKY49H9iEZdlYY7kkib6cy
W4+QiSqCo4IASGMkPyMzpLilOB3ErqA31eTNKtNtFJyr6ikqb5nETz8VjHbyB6U6gHsKQsSXcrv1
HH2ajX1O8mGdEDggS76r8okQw3zI6Ea8jm7J6/0gWYpWsTfKee0G3m7EU5EkxikdahqflMSuPCeA
hyIRLoFnMnyWX1RLQET5LcZAbyw3uTDIuOVLf3QzejqzVMZ/MtX5BgQLLWsfEuu1UXhCG3GO5uDQ
F+3dst6nngRnOP+4nfoYEw15jfgBkdI2CVaNhBo3MMFtx6eiKtYK+p2bdUhKMLes19EhEKGk/kdh
R68qshk17MOc2RUCZE5ggml1690DZx0695xPE8f8Dq76KVX5k5003Hh4moD8yFRtRgodffgYOn8S
h7ks/bTauS4zBMfbTm641gJqr5J7Pr5O4Lu0zAE0VO7DAXOf8WLWp8najxxlJt1eYqIUCAYTY4xw
xmwlYbox4NMKmQYR8W1isReC2SlSTem+m1XwqLJ0Tz4eYy5Sq2y3Zse8x+6vwWKCB6zgecw3iVr1
oXi1CnvtohYlwZdW3Yr01enqrR4Ux1iaG6PhmS5rX7cqv6IPU6bxkefOs+4xzRo4v0Lny47oogtq
+NBETUx2A4dugmle9QuHLtwlItqlmrqYBkOQmLY4qdRrKczj0oDa6cXQ78QweezbnakzKguIk04f
0dxuItRbE0mpj3Dfn/MhPnQ9gIGFSFAF7d7AX+8oe1xZ0eDbBdJfUm56ytO2k7tZf3Ej/pltWfek
pMxHTwA1fIB3s8cbjoSBSF2QaJgq43EojHdhIjFgu9mNbb9PFWcGkQYNN3tdfeqTOpYcdw61AQI9
tWm4d5TYjLl1DxcUDwhPFUdbNwJLJRs+0GFPeJpa17sA2l1bA/4hTB3xUE/8s4mJRXKwO+lP/FlZ
KtC6mcvZNgpDC3Jx2ppZi2qgPubEwZ/mPEvb2dsap7PjjfwLPYgtBL2xI1su13lRPg1WgAdHw93M
dxAkdFvqw0zFezgEL1Bm1lEdHTwZPs4uXfxchYQMm4fG6s4pgwmXsVdYZZe6tM+Sg6WJqCYsLJF8
qpMKL5qIDwOakB3MF2m0zwo1kZzOTgccIwK105V86Ipg13QMShv9EIcDkDh16ktmmopqoYk+Ujem
AvoOIIkNCq6xXV+ivL4GTr14de/C5QWLu9UQUgZ0Hx5RJMx+e0sy2HPDbclQbsyclWWaK6d7jEk8
Ftl0meL6aNvqJcqjc203a9kMOxQzxk7pgkvdhBqJlWQ+Z9yVWbevW67B6GZMFRAcGKQk2q1pNzPA
nWrer6H1XYJawTDtnF5tuLkerTzYmW17tsitjflHOCvk+IySJTsIHV+FpzY9A4+cSYwdT1f+9XNr
Jnfp6tcOdGrhWZzzYivV6DezRsGeIF+GRye/1l28UnawzUuornNDn2hi/DQHpgZtFB/MxPkD8+cy
DFSORd/eTdnt5kq7mRVKyWA177rFwTHlOZqfSUJXT/krFC7sB2VEpHHqv8u26jeaWVILG/lvl/Qw
vdMOyd3E4eC6JW4djMxObkY/RtGXR2RCeSRCrD2LZJJPjbNcYRbyPpyji2MghxV4THXnYmja7Gs9
c0wtmr5yA4cMLXlpfDdiCZoK6zVN0odI1JiDPdDqusYIceho7woCk6lWeesyN4gMd/WHa7sL+bNH
8KOc8Mpvr5hwtfYexqVZ/DqBJtakWAieTYyutJH+X1OJc2wZB6VFb67zHvXVnrG8gO92F/iZy9wq
+GON1Xfj2nsj1h5TaqNadUdso/YqbNy3OE6uiHVr1RIhdqKPMJU7xQi8sbW7S/Z7FTgy8dshvk1l
w4CHcKTTpOfB2DnBa9uWfpD/NSqm981GkIQ3wnDTazXAY4/nDuIDZgCronCY4svgzGQQ1Ofy+E4j
WKbCXnIIm4pc8Bhjnsk9P4t/+lHfZGO996a7XlaPMumemupLOfdEjvQRuBuIKTp29Dzz35c91n/3
aFXHKUZcsX+lvhf4Xj21N63PDFRQX3R3HeOutO6NnChbfTX+RjMHMHHcttzpcc+7Oqpq3TVUfvMM
BYbq8zGJ6n2T9/5IjJrKbvrF147Y8jW40XMmL6Z5zATuTWq0AnvmbLSnuWcUnMY+lNenzHv2PHK+
kR+SUJlcB/vkW1XjPq5fivop6MGKvmvKJMqBPTs9pTrBVHA5pVhHE6SAfD2bot8u0MUcbxrOay/7
Mspn3fqG24o5w2RqWN16CcrYMS+tTRqibd7G8ZTSclptujNlvo34+TXrIYg4HvmxpPiQjBjHpmY4
iaEBor8feNZxMd5Yi2xRJxfyUWSA3iYRoUlho8VT0xVqDRXjODgonB7jRAYzueSzC6z1PD7blE44
mAngMYRkTrdr7Hc8p5ux5zGfPp1wO4G/tb/c6mTp8TqptRVrBjCXvAJWZJRxkDMFFU1uEBQb1Tqv
Hvdf2UfnCbGycxA2lMnf51zrbSKmtYEv8Tkc5g36y37MmaIEwb3LsBFwWGepBlUip2jXcIaGEHjz
8xzZx4jMS91jiuL4mmbtIaMvkCSv+5NGEaz051R7D8y3fgn8PEWzjsiLwBGt04zYM3Dyjuz9clpL
KjIDsa+tvqYhf6/xO0isJqL+SAr1gUZ9CpvWXwg4i1UVT1NnP4/W4LfkpYAKfbXJ+Dt6LcEv40Bv
5PNFHgPM1NtsqlHDyuBt6u0/CRf9qjPa34GmzEkF12FuJL6oMZ3bxvCmdD7Ta9vpM4YbEsY4m4AY
XTzaN9VlDzo+57rWjqXblhuNECz+jZWmMNiTqCMlvFo8pHl2hjR5aQvzWUNrGL0FKpNth766tHlx
zfrmHAf9uqNin7QPDcRwlTChexzET8rR3Pc/CRn0bH41Ee8752Il1lNrhZtG19D70TdXyozolJJL
A5JWNgqp6FvHNDQMlHO2Shkp19ndQFLMXRLh/XgQZIF49TbUWFuHyqWnnu+Qb2JUyqkYjzAftl6o
c7vi+CmIdvJ1okfHGh/YQ/qcG8ZWDgGORzpbG0ZCB7mtkta5LlDHqZAmVATQVGbdHfEcHcPewzSV
b6sW9wEvaDTEJ8MU77CQ3kPG1D2BCl2VPpsLTpUb7Qbc/o4C2BKHu4DKtirsJw3XVhEr3pr9QOdS
ZGIXZuIg0A0KHV2vTAaARyFyrXYnrvw+2miV+sw4C4csZ4s1vxdO/FZ41VNQ8yNVdvdaOVwhDA8U
Qzb3jlX2WkZL52F0wTawqnjX0IIuHeQVZinJcy/5HufsvQt0KrP5PnrJGp7IsOmapFhPSWdcYHOI
65DVN7t1X2fNuA5OFe47yEJ+kwwfpBYWo83WzfOfMG9QlWekRI0aN4VJLtTAEAHU0INkacROVohG
xlj+STqvXfU1vbmck5vwxrdsMG+jveAHamOnQf7sssQ3NH28lmP2GLTkW5XhvXZSeI9Obr+YSfad
xKgdAEYahsVM8A0Ws6zl8FIgaHO8yZGcC7J69ydOxmvbkAlrU2ePJZIgsToGJlE8bPcApJnnR2Tq
XrCuniXDplag15s88dOp4IfBrZ3V/c3UxnXIbAwhVVjRWjK2aNo9KW9YMzOHm5YiIhRrrys+mja/
hunXgG7aTvFx9Gih5FMWsxAlG4Jd5JJBYBhSaXa9oozfR2OGl8na1SZaoJtk5BzgcMhmPWHpFlig
PWZunh4eyjLxKz3aydI7NbW45UhgpRreAy/fNt5X0oMXC1pSrcWhzpmkIzkZ+siXoGbhr+sRnNQQ
/M719B2J3TRnlwVV39OiGRULXR4mnjsShTlRtRaRKrtnPdhXDZdPDTq6b/5iQ65STuQs2QxOvY1y
k8kIHl5teJAZuX4VaGfX9M5zA29R4uZLKfzjbR8Hr0kT7WGurwfSEg4PSZsv1AuXXkacFCneHCvB
5LoEqtSaXTqIFQXtf3jqxcPCOB8gWiPANnwaC/3LZjaEy3Dk/shU7Xecx1moGFmQxkTiydjLYTHx
hzfHg80wHtBUY9yzAmVS/hQi3TAs35nZd2V1uyJoP2vvHYrCtmsvKdOecRm/BK+zDTEBnTJjvqPz
1y1Kp2U8lXF4hPG+rCwgJ60eEqfb9ijaIFkpJTH4WeLQcO91EfWGaimyvjMcGzjiN60CkBzxaZfi
gnxf9cG+XyjGBEJ1+JQgj9CCuTlKb60Z2wh/T8xDJqX1ODBmkho2b3715Rgc8kwckQVurnAf6gSD
PMGspJxw9lmHBONdCaNnpshuMbI2kJuJij8w0MQUyXem2gdLXHTmNHPg/XioornBm8nLGmvarm3j
x5jEclK8D1y8o34yuRhCwUTb0E9TNBK5hXNbIQBbrT9l97C8aWz+UGO7qti7ILAjuZ1zVLq7cadg
byHlMQlIw+k0ogfFsJPHCfKNa1LcIKulIPCsbOdR3lMNn/vOPTntrxx/FL1LMXCXQg7HSp+xi8hV
IXc2k4e8X7dafBYG02M2EoW1PBIDetMjCjzToV6hH1k2GOnerY6Yd4QOEeSKYY07j4JYoXYY6+oA
hLNRnwEMssLsnxseP9E2zyEbCyr+fVu/FjCUgpR5eNO/qeXLkd6LiY84mbWJZ/qNUD6MnngIc3ye
XblOArhhXuv3HpMGC6poIPcSbpiLUyTMg41BKNnR7BXrqLalluwDcgg2UrwnB7/v0CKZb8K13k54
HMxgeK5dD04DW1WqNyf8gvbDbOI1Ib3eivWcMHDGOFXzy9SX1osYGoxb6ttw7QLXawY+KaAXlqv7
Dkp4za+F/BNP1kzgINgy8eXXS12ubo1eUYWjPKhp3YJ5aKpt0MN/ET8jBgSpSV86JTUf+FT0CB27
xTzoHAFMGJl1zNHNYZhR1VdPY5FBNe3SeTgOBHCgRiHO1gwmzkQZ/4R1cw6LnsSLAUgpPVSueied
F651XMCzC3pejxjhDUjyFg0EGPXXlHLWEuW+ta1VOONra+TawKWjUDZGuAxzAmTbJLATur+aKX5a
Lbvaln5n4ddVDNEtdYMXjRCigb/a0UnVm/JFi/KPVHabtmYdxmQehPZdkqAlo0PvwXyxNsezhSUE
PC7szoglDR3O8HjaVgoVIkTwjWPraYa0QoK9pTGnYCGMALgHWmtojjcbgV4xdM/65DCIxWVuX9Jp
AZ951T0y+N1Y5HiZOwaJ7cdRe0wmcbGW1CsEKXjc+ATdt6wbCR1+tjnuLM3xVb8PyHYP5W/nPtfD
ndktzriGXBA2ZYg4kTyjCIaL6wEVtYw2QbEf9MfFP9vgWIw7csAfXlGsx6ymYUcsfxCehxyv0OUk
RRWXMY1EKtlREL3yX7X9HxOStxuBJ8V8Iz+kq+H7ob/EAqe6LakFbI9nFjswc/0EXbGpdFzFRbKN
s+gyQAgY49eir7AeUEu7rOpRyED4jU0eUQ9M+4tyn5yOwxA7IWaaCt+Uh87LapWViwmHtUp7zMEl
2mbkcoWcBDAEjhcKCbZ4+bbJSNR+S9Ovxr6afIK4osL2FvASVhAyKEumbzWw5GJZ/yFeCMze5uo7
x4VuVbDNNEK4yW4C3FVhUu7lvNN4S9xtkt0il3cT25FwFUtfokc9+0JIMdKDCKmoi/Sk0ZpNQJSV
O+G4O+rkVMVPxK4FfjnGwntIeD6Rl2aDcbGTnYZBW9OA+qa8W0Gw6tWttfcq+Mn7D9IrMy29NK8c
NPn8GjMIAt6ffUgH1YIlZe3drl8rUGLRzRpuRC/65sbqoVYjuVu/kLHyTK5sfA/cdD3daPbLEhSm
2JG7d3IcOWhQSNFTec/Ua0xAB10VpyWl/9cMj3jad84ZfanMYx/C1UI+kvNF6Cb09Rc4eOGqT/Fc
9wGdBCI3h47gJiMlUGLHq5sH17TWItf5cqTuw7udPmvhTQ+u0WLz+GMRgs9eLA6t3g43TvdiOBuD
z2eiAyUqvc7oGxKTtUAA76lDDOFXmEQ9+56REDUxsDJj2ozaI5mXfUJZJKd4V/PVphYvxQfH5T5L
3sOaCSEQhLJ/o5yzY0IKhHW7q12uDQYhTXdLxk9z+g6mQ29g4d5P0YuncBa32wxzcTbdlrSV0g5x
cEkJ8g+XhDNw3GczcfUVSwuASM3e3VS3JDoZwxeADGO6Gd5bwQtZnl0O30y7pYAzxYOL9uaBMo8O
AltGyFATjFW6GWakhJH2pvyMOu9sY/eL8bsZyBuuthP4ssn1Mxw6tVT4Uby17aeqwJnKVTYzeG8W
g5W2ynFRWjTY06GyduxRW6XMzieK3+IqJqBHYGxs3ICvrScxIxKnm6HalTcn/CHmVGNwprOTWNI4
tgRdM2FWnqKjthzhuCHbZ9nfAnKtZIrgpKG5A+85MLMBkDNsVPLGSg88M878bQ6XyjzNmLv0ErXF
YN3RNojFVnQIPmg6LDRavPEgnSZMqw7AWrHvaK/dwTxM097SXy15nsrnNL2aZAHjjHZgO2U/GO69
6DUbHsv6GrouoJCjMVHqUuKDW5xvnfs5gtZ2KFL0Q1Ydc6PYauOxwPDmvTvTgjgFidYz6PCn7m/X
/+L42hpIxC6Ouoy0KB8V/sjF7JCudD1+NhprY1TNS1+bvq2c8xiDehmM42IZ4Xkosvm9tq2HHMwF
k+e32rBYrKJ/Lmh/U0tOk7uQW9rHMQJYFPD63DI+MBujhE6eHTYZZn4GvsS+1pqm8dafKyPcTBHH
+PukSL50lIBPM9JgiDmubp9S1LcZ0l/Ga1ckpzlf6pQnwxuIjz6OyV2jcl4W8EgafJXFvKIrY34x
Ufx6BdtV+iFL0KLwrDEVyuf3tvzTS4JE8XNBhjGpP1T/1WiHiHmYVTH8sxbUzMPcv2suEQgJUqK8
6NRiQFPxNI++cJpNU5z74m+Owceb7U2t3ry0orV/6+fVpJfXIud5tMhdu48Efxwm0SKB5XDOuZzV
zB4SFmbweU32a5YfRkUAOjvE47013u1Oe4rZS5LhbujMz3zmdud1S/SQlVcIXgnsqKOBgGX+2MOH
wb4m1DG4VQnW7HPefoUhv1zyWlHfXHQb/Jl2IXQaDnujtpk4Qod9jEKJews12H1QGFgTz+Siew91
rpNIpw2gvWL/hSNQIKz2uTJL32TIq7Mpq8UaEU0nY9GUUy7072WxR46hS5WsZ2LvV/Dhup91vIuS
ZwOMc4HmLKxbhdM355NALtuECW4WlA7tRCCbRpP+DMeS470YU7IujGPHfDFbOnDKGhNYu1ll5Cu6
d6aTmyYkjMHvsii89WQ+GZhdMqJDwOqPeoI9kVCCk/7UWXlQVXCGmX5M9Kum/Qrj2jBQtOlOZLFF
2XCCkL/jkVM65jhPhwW1jL4hph5PIaf9tBPzW+VtgzL0a+dxbPHEtFt3PKQGbqZ4K+sEB/9L6L0P
TbXJSs5wflJWIa71sd/FtrdVCwIvxx+rtx+x4axlxGk4DGtbjOijFC3wFRpO0hojdGpnGzt6KN3u
1FO9A6jazTG1i8nC0bJgkgaNgxprLNRKls/grE5huzNcPvUa67hH9psEFmqVl07QuIwD+KfTCJ9P
U63PbIWzdrFx45YgJ4qKljyy/mk9RV9SArLwEIDctSLa5GlPIfFKS68uI/pR2T2VIPkQFw3NWheW
7UO7zFmKFONfKyPPT0hwaUxyK5zHw3xiSrDp3Hq3lD0Zs9GZI9vE+S8ZkthLdIZNNdYvRR+0qIqM
ZvocsOkuZVFQHB+nijNcV2fVpVtDakfXsH2THXHmApeq5IYw9Z6wK/O8GfQ2jrAEh3ynb5tau4CD
8itsBaoLNgE7TGt8mqwjkjLCw4uRqRNn0b7nKAUifonkQUtxNKQcM4gpjfVnIHpnNhXrQS+Fwy/M
IAcNwYppt5xjvyC2OfCVBifeMdU9dRX3+aT/rarhAaI2PkJK5Wh8yiYXSgyRNHD+pzDVfMco1w08
w3B4SHm0zFA7UBkdI/glHFf7QLpHMzgD1N1P4YEwLRMBCaixXZva9KQPYtvm3rrmg6syujQRJoUf
2M7ODqjnvD96Mv7MMToWjpy0YLoXGQ4Ypxl/UJQH2g3IKgMVw9ax9gYBpVzIrsEhZ+gQGp520rqI
sHo5aUcvCeuPlM7vVBducO0dI791SRGzMcEMXmG99X9EUTmwToWjGADwFpcilmsT1OFDNkcpFZfJ
B+OxHJKzsGCSkk6oAZOywH3m5bZOp7+Sk/Oe98T+WzFfIBn9dZ0ZzqprHvqEJ13rWY8Yq2VeH8dR
spKaxkqiSPPsK7ExfHFWZDLw1chvUVhTVGT1ZGG1xa3TzjjO46geMCf3wd3NRbZruwWrlccxp8RQ
FxdHGhFjNhWsO5ZjYuQPouPUVnD1Af3ubMEt6pFg2BpZBIAvXtDPet7U21LXwweB9LoKokoLlgS6
t1FOaO5MMogf7JvMMaCMFhrMGFe3SHO3RZVeS1mBA4czQkS1Kh8Blp8kq4o8hZcotAlkJL9OzLG2
bdzWXpeZ3v9xsxZQq2aE09Uty97CGJA2eyNiroW9moR1GU4h4BsaBrigM24DywgsjPpGuMeHkIGT
apvpNnrTuCPamN2qputOBbHZBy2Ty4yt5MqPm0pcqZ0ITgAO8bU2n7HDFOpYV2l0kfYEhIHccL7V
Fb+rPHbDDbyj8rnKDT4jq8YjnAfWEz8xLL8EXhSxMG8ZsPbm8BiM43IZFrgoSXGwcWnqC8aWcTfb
3yiqTr9yXNMmAQRI2kQlSHBLoMniiKzbMTrGmgAQW4RFeI8txFceC6aM/wdDKw26zcot30itqI2Z
dcFudAvmrZEnrqHJ+oR5MrOb0lqXUUZTehz9vXUxlKZBgwTNzJqtmKuwC1q4qq3XtOBrXHj/GGWV
81YiLHqrxs3iAx9DeBdB6bKt0knJVzguNbwnGqfdTsLTej/0MjRRQMn22VQ62aU+T3Y163UeExTf
/7IbR/+3dS0m6xg8iQ7h6IL//WMdgynJ8iUz+znMMXjPHR7MJm7+Tl13CFnZ7KX11jHwrBCpbNps
mzUKZg/RJ9wkQGsvDrWDaKij2XvcjuUz7MzXEbvbf17s8e/rNEyBuWtZb2HrpqH/43vM8mB2ih5m
ftCiRgSDR8CMU4rN1RgoYdj8l20a/7ayxBKkPw3PEKwSl4b8xxqqYM7C2eUE2uCkUk8p5/AhF8vw
GmPH9j//ZNL85+KO5c8ypJTCsQ1DWv9YWZKLyckIXrLdNuqWBA/56m0xEwfIgV3zIkLOYpdhss30
Zatw3pNoszT2z6go801n0ZyLzl3bsgj/yy/BXHaU/MsOk//9zhyPBwNhnz3e/7pSxJhdd3BSj76w
pkunjmwbbl02OdkUjl2dH6K0d89h6WIKmUnRzg2b+kozdR/Zo9WSG26tz0KzsrdeRtnJriL5VTpj
T0sTg9I2cIULt8n8uJyzj0I2kIgWugh+PsfSe2YA+sCSKLGQk9glZFTABaDhjHKRC9Q+n+rm2E58
/laHwQ6RTL+nAgm2w9CRmQlBWxsLpGszhhyYrD4K3YOTpFlBvAdbSRmRRuPeQZzaFnpa/7DNkKE3
gwfMG//5E/63Z5dbS9iuQ4lj6/wp/3h2JR4M0Tqs38oKiJiM2kH8tLckDUm84gX6LzvKpP7vn9q/
/HHLP/9/i2CM5adJIjRpsPguTKt8gHbHuU6MjPl29cRRT4R9uCUwIwzD5RoyTbzeOaOX//xzY+P7
128FUpAwdcdapku8SI7+jweogDLZVZ0INp2GiXCm80VZ7xbkr9YdpiLag6XHpfs0ygficrupZThM
PQdrhlVcpLW+Y5UCYyZll1OptpcEqdlguia1P2CocSYd3PpBIHImpNVK5fldMa9LZvmExIYUFeoa
B6w6Y9ew5Oc0MJZ6uO3ZPfRldfWrMbGvkvYQ/D0Xz6/lvMjpXJuXIf4BD+O7DdaKYGBsg5ykwWA6
zdY4rsqhZTsGaB/FtRw3WHQhKOSnCsqzUlt3gv38ZlCL1cQmNLKpkfFokLUg9uBQWBSEMeqeXcvJ
LdB7LsYOOAJ/m0Z93ZJHYncGhCq+T7Zm5TTUueu73m5JMCPhSKah4XRmqQ/LS0pNOznYM7ImOZvw
N4uZe7ZnP170k+C04ZKqlq27x8TdhqDlkyehXUb1FsEHny1q06WkRyhImbpO5UMKDqerTzX1nULn
cwxv53hMguT3qL0vsAl2XKD6a3cKl43ZfjsYDBDi/ZRgdUebu0RdI73fqRTDMpbHnognOh+bRv/O
jX4Dhvg4ebRtNYHMYR909polB2Ss1SlDe6WE3cAv+t/BRt68OPKzav+Wvb3tbZ4X/TlHlQZ5QN71
paH+mQuLpdHvBg+PZMPIROzCwhLv6k+2G/lZ80yidK2aa+G9uN42rR5j+Vd5M06Wi4t5Vx07Rmot
Vhed6X0fDJdmujbOrwaXzBBYsfcR1l9R+Y73OeW/mT4hw5qbkHZFcyUEHxtLofIzWO4BdzqkEK9C
yshDMj5fhmHuehJjxPE3/bIMgt4V4KZfoYsjfHjoR7qCYm4wIDKTp6nBD0bRjwk93vUUfsUT/hq2
831aEHGwW21YM3xZ0jD1Z720He5u7H3NhscCugXmGd00WWc8lNfJ+cakPrDYDbxgoO2FKVmjSkK3
LrcNjHEWOW6oABB3cU53uzp9cWYMxLjUnahiYkZd5oWsqmIrazdD05l+8xF/ZJk/dOb7VD9rs7Ee
RsuXIr7YZn9snA8rJEiS7/twcRSyWZfBM9a9onzrWN/bMmexS/k/hJ3HcuNYtkW/CBG48JiKFvSk
SInSBCHKwHuPr38L+SZV2RWZg+qO6KxOGQL3HrP32jNvIGONxFoi1VoUHyx/lbyeVWa8bwJlxeZu
yWh+6pP+cuxq4rf769fxoxKnYgOc0Sz79+Mn7BVf05BRIWvKcJ9ls1IgZD8XA7WvALiWMn/oeLn7
e9zYTChOaLyeelwIkClmRiktQ+gSCCoTv56lFdPMOgrPcibOWq5WCxR4W6sE09lYv7RK7kytyfxW
vhr8CUGSMVg5GArXc3hVgkdIJ+0C+u3NDanF864/6031FFYyKh/66wmK8VIMKbmtOWQVEoll0Fum
RnNLagqTZAb1as3/P+Bl9Ur5rGjVOhz4l+M8X9U0UPqUsq6SDqTe2qJbRthDPWVhMH6A48PSE6EL
+INH539XAnSe+qqREFFePenNYyAdc0pZq8Z7zlDvpubRrshK2gdsOzO8zCyzXdaFpAQACIKkwjBX
mp78SXFg905f/UA4XFc+/rZi3Jl6cU0svu2h/CyTcJ+kzHqB2mpdiSaVvZZqVm9M0oDEfGg6IsRM
3/aVv4tUDv+MvIPM5+kxnyMITPEQX+QoeWqJ5K16iCeeWAS9gnoTb1lNBx1lb9EkrbWbjZvVtOYN
REHMtyCplcxajaQGTDoppbZuZSPe0jZ2aoZLplqREkbr1tJTGJfcqODohnMleTVziywURr/Z+zCA
Q7FeDeXLtVyeZccGJBqmdBDdSso+9OolLqpt0+NgolIz0K0PYJiNiN0fa5yhCk6lTNpxWzCgIXwl
UAC5XJK6dzoNxXO9bEnHAY9bQpFWwTJA9k+5X7JhS6bhTHh34omeYJWuYgE6TUygYeKUmK7E0VWn
sfFzdnBoNqy23JK4yBCug6XVrFif9fKAtnfNNM3iX+i0ifMVzgPzKEOjqs1fTCMLkn1dG4BNncz4
7ogHHjnw61dzeAg+XLm8hUCbh25DcPnCFljBVj6bFwsSf5p85i24c1r+EbM8OPBFMXzZFBkZblFz
/DBhRUuEfsVM3gb9yPct6dsE0zQTROyC5A0N0c4ePkEbR8Mql3nHsEm7GuZCdjY2DqdnFZ6+6p+x
nc7ikLU9lpUuYaOPnyrDdmTiGwB6OF32lf8zkDCjdnziV1NOdhEL/1lH4glZ2sUGmuqTqGCqi6uq
fQfSYbQuIwQBe9Jpw1lhe8j4X6q2KYwOz6mZ0EXlXA/eGhIEMNhWCnDtIzWE3F8ClgYacMz8J9d+
Bl0cA3yhtWscayACnrToURINsTNKzLCpOHL5sws5tIvowZx4LkBQ2G16D4ALj1RDJeAdKll12ksU
88yucCPW1zEOCQIIyHM/tYV6H6Rd5JIhcM3FSnJhWtY733zrB9Qa5cwwPqCOzJIJC919ki6FBr8Y
tgVeTPuMp6bIzqURQ/NemvztI34A5CIDxwjwvqem1GdGWKDHQelMCIbhYt29m/2qicfloOF0HS9j
5hHMEOP8eBu0cl5jQ0DKT++FJqx2Z1KGOwoFfTVMK6GKyZReEFbQL9PqWfoeTBT56lwkqH+Dx4iO
uGfZJawtb930sNTBnQ2CT84v93pxHvJDSI2HNFirmQr3mPtfMcas3XA8S/a4C03s0POyTkmYsHmo
mbwPdrlKQJ74fyldf+v//v/msMTU9tgkx6m/pTcOpYTUrJh88UYqtrCqQEhJRI9rZSQ7f66STes/
vxhjW2HZwtYU7beCXRqsMItGH1ZUqDvEoRy7Vt0Z/TySXnKaawqXUD0rjRNSY0ka9rye6Z6aw0zi
pmBjFaNt5wLG6FaItZlZTkVlAnxfqgt+76+S8iIrDvlVtTLM7NKBOrhWsASmJXPbhyzISB0eNjw/
1DkiTVYgFXCjozOfUELuU+nZmP+Y/XDASxs1cQj6stVdj5YDPpqeHjIMemw1K/67bZ2WgXxKHVKn
8tLjb4JSiaj6IdUHrYpZapN/XKpMY7onvTpKwlyqwcNFLTrJiSIlnU0rEHPSJzTyJh6cmhJEwTeQ
GuJJl5eTqyifxk9MKyf/QzERQHQA/b625OdC29mfOPfa+FESwCj36bwt7XnWnIaMOy6eXAJna9ip
LdTMkYEv/1I8+fUQRYSGSeWyFYzHJ6J1729MtAgdIJ2uYss6SdpdvDBPPkJOC4dvAobAdcSwQl6r
6hemdDNtfDbpzv10nXhveW8vCsgU5rHCvxp0PwZmhIxCVnXfrSTfSiHJy752CzXzkqHD6Qx13ajW
pk/3aMh8dTxgZ6ORfUDQANWosj2xt3IYEitE6BHPRcNoMd4r3TLrz1JvrvPmxUKW6uk9xqM1fs6k
sRamYB9vOihDS6DkVq4D4yCS3qcMHDHCzD1jK+mMoNh1U+Bb43ywqW6ncnmyesFrx+eRNbdfOYOG
xts9gHJh24lmPVeCs1+8RxRusXnIpK2I1o3/rrGLNDMShqx3gNgzTRZOpZsXP73kw4AIIaUvdZ28
OuZ5eeMTmRLSY3qdc2fXW8r1kt+4BYC5Nk4uigeYS6m5s79jNHRZhJ7CX8DowxgGJUjmh2Xix7XV
9JcJ0Ja/Chaio4Z/B/S5FeGZ4tgmfZla276ECnrD4WgT7FD1EiFFtxpwGy25ug6RXOTFJjdQzXUk
h3mUFE3WQ/ORIv1JF7gvez5jw982spjVlecYULiNDjWRCjjAj3+YQYH3usQG/h+qvBKNESkamoRk
Jn5TTEejP6HboiEXgB5w0cYDmR0970t4ZGDB8/aUqM8UbbL3Y0VLnZJTbcHOVhd7fBsRMwgmchgj
LXkuy06KwV/Vv1TtC8KgY2Ao0TUHB9ETm6KnAK2Q8DJqAfduV9VcI4I8hE8AT9Br9H1Ws+IGjEs6
+WhsqxjxPrLirnQCcx1AfpQrlsUkcTEVBAy6slmJyS5nymtb+yhveGPo1tMvcH0zHHrlsPDclYyO
yQ9hy2U03acejJVOAZgSi6bZE+kVYUR+7YvnJG5nvfLWJFDlGm4i4R5LLB8pBjudp1VHNoKA2EM0
p0cfo3zSoDm4KjaUhnsQ4dWy6j4obdrqKIDCs8tIAHbh/ZrCd9LqaqLzpzHM8PIK9EASZAHAaeCi
TffYVZcJcClo4VWs4p7GKqtddg3GhcCYR7q8UvJHaUUgYQT7WBSfhMCBqrj5yVsUnRQbikNkUkfV
ax9wgV6CNcC3hG4UjJOc4AJXdxRfXWvBZXsz00/28tC4sDxG6Bo8sKEFJsmSITeT6bKDS771lGhC
f6Iu+NBysP79loErWpxg1spIpfybSplCPo6fYAlYefVhYG2Zmagn5Y9BPATFlN3so4DUhY3oz2OK
wUThwRWbWIrXZVK8GRorgVFz/L6/u8WvII1b0JeHWFwn7SbSwwXOVeQGzB0H9kYa+g3WooqH9Ugp
0UX8VAq/pLYAY7PMo4MeiSdZ8ODqHa+fNY+gC/HjePJBNVi3lVcfzTgaaDNepd1WAVMcjJjtl770
NngYsLOIijsm3uRrCLeo2gPeOR31x6z3tgV8Y1K5GDP76Qq0KJJ3A+aKk0hEZRyk8ZajzQi0C9gX
F25AVYy0LKrjNwgXAJtDli4Lp2TPPxj+PlZYywewaXNy2Ly3sI/XFF1V8wQ+jrERKxDAoUtd8TZF
riygGI8okwztltMs+aljEQ1T0TOl3X7E7e/Fa7ODvSDAYRzwMDOBxGkCYqZoYYo0kPWsAAnaZ4Lh
OgAqobnsJFx6s/CL7CTowZS3JocV2lFaZdHRqfXAKcOjS9MtschSvM+2rTdBeQ8nQ7LpU4xdtUlo
EH9avrLWEK3EsMpCQdU7wixD/xNRJzNz5J29eNUa0vQsMz7dJJ/pytnU4aF05bKvqPo0e5UOyiQt
4xqaeTZOsYxbDamjYC2mgNGVzWUBw5CEk+ZSIbOUaS7z+rsobj4mksL/Vjx7bY0lm9E3kZAfcZXk
HzDNnXGqozuSpa5p4IgwjKA+RfdCuGDW4TIjlpSSdda6xJo6Aq6K12244lz/q08WbfVsVleCsZEb
7AM+L01Wz42dE778CesYcrwy5/lIw00AM7JkZhBHry2bCB+sfsATYGDIGQgDSYvXtr2p/L5H1ca3
h/sQ3qn3o1nbwP3B+JbEHz763BEpdyO46MKbR2dVo3/nFjEZBkQmbJymo8k6EwuG0PKSZeq1j4F5
JVCcpiITVgGjbC7fDwEnhbpzEbsn0eLIBeQT54eKT0SxGFx6ULGmWmPnZ8xZAjQlAdQiNsmtGjjA
59ZYAp4kOXbKybROSAfNU4+0vkN8b5uLugcTmeBHphcKNWUjgyMno6Ki/qEr1nqx8cNhNhpXG+vr
ZG5TB8aESIEWekImj/SayA123HJq0nkgukWWbwzmd5Hms0/vn8jIZsiO0Q9N5nBpGnlhRbtG/7RD
OF30/Zj7RPRAdFxVRPlm23G4GpTxVX2Q43DZZPWWhZ4z+BaqClybInCKSHq4bcBZ3X10WfulkLJg
oUnQvkpUCyPQg4JH2juVYh9wIfSDw56dBiR9svwSkp5pPbooXzAxWIxff66tf+1p/rHB+FXHa7LO
zsgSrI6E+u9ZuNd7Ik5CvP54lk0krlq7LAdsCy4mpEcZB9LCthBDlg3ZnQratp2wzoyek68kDwUs
yhAohAQYEgw+mz3fdBd/+Qb/a0LOOWYTVy8Thf77iMoIgsRjbso3mAzpAqGpNvPqKOKX22uLWkQY
gnvZFkcRyjRohVWpC4EpD3auj0SlCMEb//k7+q+ZmWbIJkenbQiWYP/+jQVe25pVACMKX5p8EFSN
J1kujJe27RGYdLYGSC0a2uEvvwh1WgX89knpKptwNBemogjzt44rlgJRaQnxM31plc+KD9W3dXtp
lxmECNaubh/dwq5LiJR5twikSJqNdmgAWneVc0SuLdA2nBlmUZvUMxy2etYPSylksmjLFl6rqhxW
raYWqEgp7/0oRMIqWd0x9RUkW5ZWbauu5Yz3I+BptSmRJRCSu5RP+9vpiFC6ETd1qhXvOQopQomL
76owIOL100JuGIaFkifxX7aev+9ypudXxwRIIrXG74UZ5r8/jayhnWMqZs+F746gA+A8+b75MCS9
eg416tu8T+mZqlpbhT10pEgAmEb5xMpLasvbnx8N+78+I03oNstiRTFteWpk/7FZwtlh6aFX2fMR
WOvoqk8GVUlBNaq7REGD4DYKRze6hxSTD2zpTulyiPb1ZvTGI6/iXTTBMgoayNTNsiCTAbnkmih4
5jpnFIdXS06XmjtyIzdvev8sUszbIYpYfVkpUzYR0x76NCI8Z/TL8yYviLb05gX6mEAZliyOsfvh
XCJ5RIgRxKrESAX3D6mXHPQwp6rsGfr+0qyfa4BHEb6UQskXOq1PFp9Ne2512bGNrzULeIThvJE4
fMSlaE7oPjeyu64mtCgTV98+9lgEWraeVJ8hYRYhdqD41KRbkckLEt3a7hRgNemzfNFL1tzIG0d1
tzKb3AA4o2GG+yZzfGOLaYerosko3ZRZL1O2YzgXCiNnLvCLjYm5Vdtdxrb9z5/kbxvJX4/VPz/I
6c//8UFawCnYg6Kowo6vYTUwlRUYSAMjXZSSjQRWrvvLQOU/jhVdA2g5rQMNnRP5319R6wttaAO+
omLJ3T4FBXHTu7jbqlYAfqjKGa15kXb58485PY+/nymc+qZlGDpWzt8P1yGSssHqYns+iIao1sxs
LmFI5SGHdfOXKY715y+l/jbDUSwD4F8V2XMbhJqQiNMVo7wf1fijZmo793RMmGE4fvz5B/zP80Gz
LJnrw1RV5AP//rXKxFNb7HSJX0wVXD8yGB/A7eGiz9N4IWmE6WhdEW5bs6dmICF73lc9zBPVhn0Q
t/Xfjiv7fz9mBbGEIUzbZoPFf/z2/eBJtK16opn23LKipdaU2D5CvwHO/mmiowubBFArNpisrr+r
oSTlwNu1sbEwaNjcVltoHguuhh7ULBn7tNqBGIVJKoUusQnBjLUd+8nUA8VaE9nmYYFO4KHBEhqB
RSSfAu/YqDcwQD4NA3aHqwOk9abErPbTGMWMoEbIMtnK8Ku5nZTLTs7ARWBAZHElMNNK6hW4PSfK
oWQN23H8Vw0NDv53UJ0OJbXdKWySMQUaBZlY1wgTL/GJq1ZQ3NH4oDgLyzvGKij9iGQArMoJhn4f
czjLxgo0ZmqT8qbs23IC/b/KU52nuGuf9OQ+uZvcZFpfkbSFXXgC9elAOslGyNkRh59arrPepEIj
cVCCtGNAU1P7U2D7LDaHpZj6BhtdoU48ExY0jKygb0IIeAwEq9ZdWZq0DCxp0bjf6hSZCksq6fj6
FgaTHnQSGWuyy3UbSvOeJUFevmt+z4HpzwO3d6Rxq7O0VQgja+ujAoRkIUPS0VwTKxJa/pKxMZl+
gDORgOuZNbND312WUbEOXdoVVV144C36IPmSccYp5k5m4SqP5UsWytiukAlYeHknPhnOU8AwwUJ0
IL6GmuF2nZzToj8qYuAjiiY+ZoK+mICU68hmOfhIW3tN9gx2jGRXyf4yiwvy5jp+TPOUyNZzHdcf
MfriIg3mZRsuED37DS4hPmMFT2OdNAe5PtRd7dgGJ5M0b33ek/SOVHCuNFhZE5Ka+FWplrIMBzGP
MYDgZcX2DaOSONpyLfEIRhofUw7ta9IBg5P7y9s+vc3/Ps+mt4uyjCvY1NFV/vvt8sGry7HLh2OF
EhICZagRWprFwo9UnGEDRsw8qLS7KRXBT9z74TUMS9xGSpVXa9Ttk8ejFuX+z9/Vb/Il7hK+KVs1
DNPUNRRTv5/sg+5FuZZJcy+wOqwatQR5Nu/e//xVxFR3/s/P/o8vMx3A/7iyMNWNFIY5H4yB8h8i
bYqkpJSSJlr1mvAvpWxkZ3NQ3Z0hSxbEKjY1chJ7D9sMlL8Io/73XlFUlHK6apuyIhvmb6fu0Ol6
1rR8DgLOCD0lhiuStSrGanUpv/75B1f032VY02+Yi9NWFF3hK+rmpN/7x4+O/W1IUF25c3lSrQfj
cvRvcQlHkreZsaEUsf5qHI08QBzIxVODBkvR32hzNgaHZjJArnCdGlwM6RdKCG0QgamXOFNUqZf2
69wi2RLOmhGB/IPGk0HNdH1saCOrfhD48pMV4GrPdnVwigGhCIxiOex8jzmUyBa+BkAzULbGhLpk
mQ4iZ9CeM7wHlc9GE3J2wXaAN54BybeQ9l1lrwiiY7Jjg3qB3MTkJEJGKmtMZF34Epjs1EmZjyiH
1bOm3H2fLE5gE7bxEzF+rGNsPq18K1y2TWyr7Zj71b1kLOs7VZ3V8qooyk3FlLOQ/bmRoS3IJqoe
bOCdG98MVCtQG2am2LpsAAcM6BIXjJcy0QEfGwJ5DTEVMWvy0NAogHi0nnbwPrnqFX0HRXZXkFCr
4mqJJ8tzDqX1RgMnM+qNGVj7g0BTm9IqwyYJiDGco2IX8kbg3BSyWLYsfmEVwTCuZrFKsZXKi7Sy
HBUrUIgtIPc3sr4Lsm+LOXUCfM5j7l6CD+93ufch4puANFobH11U41x5hTZedPvYKPhoVWbP7FXU
m0EGQ2F0u15c+vonV29W2DGYjcCsi1VOxacPsxT9ixZ+TjjuiO22jb/CTDEyspaoEJqoBhamKUvz
aCXgekmNsciPa9BhqQHuQTwunicRy3JPWV/r0lIFFub2DJ1NloraMrX6NbgKEN0fA8gO/dESejqg
smiUQ5pwgciM5abJ8DLk91qIi+/dA3tfy8iWCgyeWCEZzYIn/RmTk8rHag0wG/vPIj1HpT8FukHu
eldMFRaEQoLsEu0E40qw7KidvmL/O/U+tI4nLOL+XOm6w7zRCCvuBNzQSBVlfmQLzW7dfwzWze3J
4yTsuMVhOXCEYwnU+Q6Ywcyl4cjYHyAlBUb6reBLciea56OWX2Njg9o6N85Be9Shj0TGDAMF0ZWo
N58St+AaeAQIRoZPgQI7fa7EW8+14ZugRT5U42azW0mQd3AHjVAtwxo6cr5gCyeF0BNZq5B9Aw9v
a+ZHmUEVdCDIHwJY76rJFmH7YjJ3t55jTLp4UC1m01qwT6r3Mr9hgiwN/jocLJMbqdJzcpKo7pmr
Wwm2fVJMsp+hWCv6gTgyGRZBMDg9b3pVPtyOVQgkph/fO2Q+awyUcAALQ6AE3ikpXyQd2VOowvvG
dT6Nzvi0NKaM8X0YZc5/AqxJ4otYnlt6z//Mg7ussg98eKG1VilBIdibBBYpscuGkxmGvcvQooX6
3oyfB67tGF9S1702WUb+6hGH79xo2lnWtYtW3VbJEjEos1eXvhAgIREr8UFpis1YXCwcdp29zykg
ij5Z5rimjTsenJT7oOBNS/UNE3yQw9cABI6LoRGZx6ClUAQfmvLuo7NXMkAFLA+m4FyEVGU9OJ2y
VYI9ytZZG9OKwUlj7x4nqObKdaE+MpQHrmTMlBxgawrZR8FANi0pnyt5IesPTT2Yk6c6XLCnjwFw
1DrqWLYsGVlMOQN76ZXkUZ27GReXXr3LGCdN/6VimIrbjbnFamh+IvZ1/hSOwsHoJuTUvIXVyAkC
Jdt9iuofl+emIZc8H188BISTmz/a195OJbUpxk6opuR9rciRka2Dyd+RYbSXPmTDUVkLlK+JiR/r
aGsBojjWO0PLvPhUWHeVbQDFpyeRVC41DEvbJxdfvyoJPksnENomqE4R9sEWrX5T2VsdO4EtlqZC
djOvKwKQjkRQ6a0Nf1QySwvEd3j88/657w+wTADssT0w50Z7giIBJ5BjF9IydNKZIKSgyjB2QLJE
NLrJW4xdAV42dlxaOS7rtnZaGa84SWh9oCEnIBWPFMnmomCOC+VtGD8QVy5wQ31rLN5a/zx23WGU
oW4TuNlMjk3swtrEDJdJ0LMfFY4iqkOm0IgnWRTb0k0Yyq1B2ORTgZoscFzzzhOv+MMMLc+s164l
KPCSxZAvYdhqeYh5Z0bxQ2zpvlRhxPXsvwveuVzfyzXcXgX9FKZu4UdbdcRWIuh0CkzPEVmfWG+C
Mr6KPll3erUhjDrjb6eqeeJjkFvG3RgCPeWlYixiompS6n0z6X0+wJrj1NNS6vYMhvYUBvKkGUQW
eZuBGWFGcqDNn/NB8q1BspuPtsk/TD/Y0kurMXmYLXtTIkorHmo8wZz1avej9jtP/wx6ksfOwqUn
cCyEHrpPOL2yUqHaadzwWFezUmAzRd2Kdt1LdjJtBjojLXG6KphpqI/6OlzY0mda30UNbgKIF31S
S9Edtj9yr5K0hYeIWwiBTIxgzXjYGWuykzQVBgPBUaycLO7KQfqSxKpRcMVfooq0sAB39Zm87nFc
G/lLJI46b6xqoEbcSlNZVFx7+dVEU9l6B31AvBePR9f7crnsVb0CCYX0zq1Oqkhp+ng7QGLJTNRE
Q0IDp4UC5ZyjPupkxxsvnsY9hn65ea2NamEw7MeJzmJYPQ3qcOuge8vvg3etyCnKjfpksgTJlXHj
he8izx3udDR/AB5tAVaSQExfcHJZJW7YXIu2ihvt24x+zk2b7xA+UZ2rc53MzMIGr9VeJeGemoQe
JkWQBPkfUy7g4galjQ6pJQTp2a1K+TQAwotZfwMJAVSZnLQK3eUm5NwoAtTUEnASfLBoZdwPbIkw
Ln5Iki/ZkRpvNaJqK2A5Rzg9qzRiS+xFh/81Yrf9SsQql/zKx7XKsat5b3Z+Bk607BS43BBFfHYx
fsyh4X505ApUGuzVKtjU3i3OIFVwrNAMOom4mmkJny+bhdBvypQFVwkKv5XWeYarljssqqj/otfA
POjsk2twObm5jhQHzaLr3nvtocb7MqMp7riQxCSOWPhU4dEkcATylYqr3mLGpgkDm77G2YXocx7E
dzFsNP8xMQ5Blm4Hda7prSOba1W6d4jgffpswbA3yigHNUgx6aLG3JJT6+JW2yABbpGWa0OBtZFo
I8RQKJFHbx7i1gIMZlL2EpuN/q6lRg3GhR5vbfrkYYAcwAopQVBo9KS4I9v2CHdAjzIU87DlTJFO
mvXZsfgO8CEpKD76BSNefFlQsHL0Wy0OxjcveAukH4lNa5i8DvYxLU56/e2Wt8A7NdMbxX0oKjZU
aBHIIIRA99naTmUf1BE1J25KM5unaJctGIpyvwuDH/YyhXCyYuf2BW+UM3Cw60TGAwkMKH/QO0tc
O6GPu9xxQ3fRYtqNGv0D79xTFHyr+MVx1asrV0nXhJhBi8Ye33trdfhG1b0d6/QceoDQRdi9iKxD
rs9qDYUTQjhUPlyCC69cg5Nk5zyCGvsa87URdc7g1TuFu3ISuVTYP6PJbaREO3KJygSNDLIN/6uJ
b0l8ZYPo5lNi4yno0evrL8zftmkRv0TUGfaEZWrhBBiv3vAcFre0fPbrcxS9D0pGova4iGWKXt1d
opMdcf+yd4MPzWCAVaiQ35NhXLHkopBWFlhRFrXC35V95An8xVhe5Bw4zJGJggCozEA+kLIcmeRk
tA/uaIuR1QNn6AB4wuMo8RvrDZBa7HGB3+1EXG3jypHbNbRP1T67HSE9oyPIky8H62BQnck+qIK4
OkZ+yo966UmWSxiSy/1nbB2U4KP2ecyaK4F6+A8+Wvmj8vNl0UBAgAGiGv5lpCurC0Rcwkbxe9Gt
947MXknmo0aefBE6Z8EyUk5hjqxvnqHTO3AK9OzjqqWAOmevsM+WOsPsU4USxQSdjkf0I8qvqjWT
yAdT54CwTAWhMkwskiQ4PHRw8kzbjFn88IuXyvzCvxTg3dRnkbK1uwN5voX7DBbEE8s+rOeJsQsm
cv4u5KnMx3WHbBRbqh6jernLxk5Brut+xPI2jXbY4niF/JaUweq1MTZ1fR/NC9FB+Dum7CjU9Wr2
FgCild+s9lYVJzBaufkY0uc4OurAjDnYOAulF9B+3Jx685QlJ0W7GgLd/IZXA/MFWgE3Wk2DslHB
672zirVmOTJWxqRfxNqbzzsiXzF2dzBec4K1LoH5KAenQmjj2StChIEyy+qmnrLTCKliBIXWhzrd
xykPKzl+JfYn1u8xsrrSPA8IyZSVy0RRIVB8YmsAWuUZygd93lUvajkvAieH1kgee+e+qs3KLQ6I
UdTuFCGmHU8Vw8QE+7886yCWG9+K+hbH6BZIgQME/c2TrTIMVpENcJTVTK6UdA6vhShq2pxnTFhT
6mFFk7+XSEZN56l2BP2aXfmSCBDz4UmAQygQ+RIRm/N86+yeSW5YaCmZh7AB9xakdw7Yfo9PFw8J
Gu2xPiDJc7nOJ5cBIr9xTZZepxEt9dooa6ZmKVKKDk3fjx8Q/v7B3PGpRH9o2W+Ml9CyvNXuxkso
I8GcrWqkDeFKbbiUnqroxaj35cnM97xIQ76ruM/LjaTwFeZ+RZmyjaoNXbgqEW7ncEBLryE460z6
cruFPh7c8l0e3ujxaIsalZzprdE/oxhw9UMbrU3U39GmQqYznisZCcEDZTuXev/ejc9CvarBZqII
p9s8fh8BvGFK+m54koh1gRcE7IxAU9G+UZsOloMIIG/PVbixxITq5j4kfoLubuniRfHv0WTwcQaq
DlWn8Qfgv0DaNa7d6NVrb1k8LSy3Cvz7Nn4hOSb2uYjXTTkb9GcyOvIaxdVubF7KSXa2tDKUY78U
1XxSANy6+QhEAJe+aqBCutskmbg7jWAgbVnA9p/r2PyJ5vWTuRaNTDNJTIVu+8oL3qHIJH3dM2ZG
A7R+cg6ciYXpAbzhA/Z3hribQARY4ESr0Lp6xbMVLFFCyGKdDyB2FhJan3QjK2cCJzC1QPWEUbEy
FVSRsAiemps2jdEXQ0DaU7RWCKUSERYH4uiNc9KRMMsoKQaRrcws4CycKjF4iX4WUa61+QEpKFi3
Ntm6jLnjBYI8KrqhdIid0K0DqtSBmzAZj+XU2UWvFrA7qBt9/yyPK5qnXJl13VOCI4XpfWDzu725
WbHQxcXO5pRmBnC4uD4r6SrQMRHtPOBR0ibtmAF420r7YrYo2g8JrUptP2r1JUxndrWlaM3stz77
RTRQYsQhpN/ycRHjQWvR7gQJikkAIhwu3YsZ3sqWgoQe84igotCIDYLDTnvQ9lvOctaaUykqS2f6
fMvY58UtS/eqd5Tig4sNzo6+MDTy8i5CILL51Cw8pfKhkE4U6H7wrbkrOz6EHsP2jSddoZfURjgX
HfNJbxdaixD3Ud294tnA5DTnqEcnQ1pX0y6NZmKEjwT8qJW0KPTXlo5uWBCYgFbH03j/WZDOAhYC
ERCibsuEjllfUjoJry8fbeh/y8Uz+5QqeSFWwxomHWlF5h3C7AiC7II3gNKiYx5t8A8PR1FvrGbu
NXT2a78DnZw/YV0BEU0kNR0kqq1VTiQKVR6G32RduK+6x6O00OjesdajO5d3nlipcEToljU0ik8K
EaefpXrI5IGB/IywvPKtAx39VFcnrILkrEJ56eJtb62xpJRMKdE5xZuuWvTlSxp/2dAFaAp6TO1L
395wj7PzmIHENYazpl1ZZKTDnYpSWPhy7yj5yMS2u7WsOoF96+EHKju9+4DDZGSCtFkkJphJ2Qfl
+yTad/SWqKsM5WrY1yEDjbHBGt9K70Lb6cFNy565OZJgHfIDcXeUe7t9qCOEK/hLzTqXjlVw1Itz
kaOZo65c9vinqNXKWUlRZDYzv3kOoJ9YxiZEplTNEnNvlpvc3Fs2439zmyZ3PVoKbjAAoowngQxa
awtAYyMfoShSlGnRRucaH5GVoqQmdo8yu7dPmvFZh5zcJ4swGgtNIro5DZnlop8QkcmjtF86fJFk
UiQrl8ZCu7f9M9ZNpT8PMfy1tQVZBA2SAGZC0F36bunzilFkveLD14qDFNE0d58Zky1q7/4RJ7t4
eBPpRx58BcM7lTi+uWx6eHE9bkoyF5PmGytUrq1d2REVOUGcTvpyKDda8doNc1l5JKxkQixn1QvW
OJRGmeGE1haF6YTOc9ejwCTB9HJYovVF0lKyaWvpdox31yNFb66Od108uxCFBO/LOiCNEam7Lx4u
ZjVjRl4C2yG932B76aV3UiEIMeA7svN7ZWxb42IidfQ/MWVOPAEVosuqFAdTWZI47xob7AMj1hNp
o/OnzWFU50q/ohUpH6UPPW6l6fyC5zBSx/9j70yW40ayLv0qabluVDsmB9D2Zy3ImBhBBmeK5AbG
SZjhGBzj2/Sz9Iv1B1X9VSkqTerad24y0yQSMQDufu895zuXoF3BXXd4KcBlieFWuzeFt4Hxha0N
HMcmUC89poDgbCrobT/HAUage+0dG/NRyQurPQoa+PCtk+iOW53QbotVpsRaVpY3hbsRI0TGJT8w
qbBd71T9YC/RjdwLZvTcLuz940DfJ1crXdi0LbYjWsKggNFnOmcB979sVyUqRtVsG4VqtdrO3Hu5
ROB5KkOUp5eD2A9cxJv3OeKQYHjCr1mM91mwcfqHyD2U3msn7u3x4KmXQWerKBgYyKFt2/bjpcPI
UCT3Sn5lPeDYbve0lYD0TLcdtbUnLqXkaPEo+nrvjsM6hA9ecmYmEH68t4xzK1iyGE6NL9HAieQs
Mu9b/VpEtzEnf2LU6uI2K4DwPmiCBMaNi/AjICnVJuCUOG3XBiTJjdkeWf3hU9DGCav7ltp8ujXk
DrFa5Ow06ROKBqQ+aYcbYHjBcHAIrZwfZ2A7ytl0FrU7zrpKAqvZaZfTxDIT4V7C73FiU4j0e/re
vfWkUvD9cP5TFP+bEHpxuarb05qi2OIbqd0zGneLtasFQQHJwvfI44L2e2iZkKY9otmPPL3BsYjE
gAFwpy/CGdvRrpJnltim+VmoD+N4P2dXAAFz4G1VeoyqN2feFWJG1PbajV9NJuOiPq3M86q+o/6Y
6WRqNPzY4Jbu3hmkk9w/t5NDIVcBNlJrW4wbiRe2vgjIk6xCqutLAmbYFwf3qPH+w6Oszof8GqOo
ZggN4xbHkeDwazU3PmatdDMoXH+rMQMecooVLRs2Bh2ISl3qZB/DEWGYyEjVQMzAfUWd0m4TfBlk
CMXYxi96uWZycpIIaLh7rztGNjvQNox2EhUY+NvxirfkAQqkw9e0j6n7nhRsIatOrMz+4JtPbXQ9
9C/zhKiSQj/vNqq+LoqNgkY3Vl9TBOWesY2wFg80l+GcpU/UDRTCM2av+NCqK7+7iqK9QiEvKJ8d
4qFWtGDt8kHRYV20Ph4QIhj3jkOiDIt59qXm5kdpKw+Nj9+FELNt2q9pccytcxJByqUC5QRU7EW1
xfcdk0U4TES/QdWDHPVcu5Cj90VzF3Avhv7J8mlp7BjojWk6V+ZF130ZovEWDD6WSngJd1CYCK/H
NPWwON5p7tl3Wu7ZMhfwssGoC8E9Zztu0Uta/nGyRdzElxGJM7s9uHJnuB8zLjpu9+gkyvcA5srp
IBFVY3ApD8zym5IV9BXJtUG3l8R5jqkw99HVc+BZBwRlkKQwuNc2MdpqYCxyqqOrCtCyif91B4PN
9YmB3jnqoO2zkpGj4oYkhAnBAbB4DEOAAhiDZP4F5lkH0n2Z3yNHz3rU6vJrohTHU6qGnWGcO059
Wlp7y79ozJ1Lz2/YiPKSBk3FRtmxMpX2AX1W09pPKWoPgRgtxM9RsZnfA70t1C6y3Y01UzBfJtF1
TEeaKDgVHzJIbgaLNFgCWpb+cIbFAXEDSugVwZt+S/bIZsTah5UTNGpPLVVdhZxB+1Xa7XMPpBte
BuesBpI52ieRe9sR1OpVOAbWC/SUPsyQ3uaMwga6opV/IQoq9Y++4+89+dSxpb4vyc5UGBFrcShC
lg02GyBZEQOxMqppG3SrIP4qzPtwPjriMSPl2evxvPjxKkJ8ppJ4bUYdINTbLrk1O4+dk4Il/ehq
+JSROuZdf4xpUTSlv+WWmDPSBeAFezUhjhc2EdT1Vw8w43Q/2ZdNdKPQioX7tH7gthb+S9Tt3aWE
h59LVRy9aordSLLCdRUnbzzTBttW+CVqr4R1M7qPtnXd6Yhx2AwZM10ZLYvlfAnGldC9MnmO6MGF
xmGuedp1BHbTvhiSR11fpAiI9W1mYhP4qr0bTVCdz9RleBnlB42TbxsdY3gw4ew04TqWxJKR+SPU
XdRc5O17HbywRExo6M0wgmfoMIS9p39kz1yw3FRACOw7EhbIZ06mjyp9NczztIHoVFHueMBCXDZ9
2kKXCZV6hf/N/OCgAQVn5Vlf03BXksoI2/kEKDE5GRCq1plzaaKRhOq/G90P1YcvRRtce7a8VdOZ
kPExU8620vvBAtSbs4+IqMXgw2kmCYr+vnAG9rSKr/GtCE14k1UPhBkxzOskQ1yVjRUU52YckZtl
DRwa5TKWBafCqEyp2jh1zUiQjlJLMsHzIeuvfKPHQzyZgdo3fS8PHXUGKgZmzCjcr0TNcx3mNrej
QxR3yWDGpa9unyJApbtFge/V9QehON0eChibmEbcCWXeIWsXZDhpFnde0jPGT6bVmNoOe5fyrvpa
b0Y5HZ2KLml52VpbEd8bDOjKckFvn/pBvnap6L1E7kTOaML9mudvsb9yMAoVKcZCMNA5FUvCoE3c
DkFH60nj2c1plMGXWsmWcBNjERdhZX0dvcPEWmk2wcHufEF9BLMMeqjRuWsiGTqaZJFJs5EZNINh
d0LgS2hNzrv0/S8hAB03DfCCvSVGu+MuXRezsQ14s2AUKL5RdKmNst1XnXB8io4e0nzf1jsdPjBo
K0//BxxKPOweAlnTJW8StrC77q/n9iUwdsGvpOM/Kg7RUtpCmg7UM8f2P0ntir6fa0/UmBZlxq9P
Tf+qjfIWw0CZnifNTBRkZKqdqgz7F8CoH0V+jo0AGCmSEOi17U9SnHpomtidSr6koULcl+rU36RI
jb7UEXkrloqbm6qFZ/RzIczyfr4XAHFVWq5IYDwL9cEnFUyH6BxWYQXTXLiMd8A5IAVpc0JNDDtZ
qC8cKX5+RUv8qG3imtJGkiMDUkbdT0If1n8E9uhiVz4J36Wc9xXpuCIG2OD5B1p20BDcXZaEbzqP
dzKdHmR0HeT9UyQ5FLmGebRFvXIiexOOPTqb6N22XOCikL5LHo6h09e9699USY+TmYfbcSb66WBk
7caDF1u/tsyAslZdjGRYR11OZqmHq8lZtzgVgqhal8ZCiy5OS1e/JTH7etRtY0KhfI+ErnJmrerB
fjBeMyjXTGDBRmHcLSLyZuDfzTCSaczRI1qOSDdaMcjqH3XHZl6E8rXMOPtgqZplsgMgL4FWEm47
j8lbTC3HJ4G7PKYgzXft6DzYCcIRSZxofgV7eWvNC1HcuyorfVnoI6tlE4WwaNIzjAe7th/OOqaN
ynGIcpiyjQdcYU5hoWUWe2V37K3xFi71l7aF8jkH2DYnAjyoSfXcHTyZrkWbvfs1gqa+59CRB/O2
FvmxwMJYE1OfuQqbORZhlwM1hMO2+QitfJWz0ljg4nqG62FwlcKItkj78gSknvbBRfVjiRwk4iar
H+Laew1nisQ8W0mqqIkBaRHuKtN4dsx0R47dXYxCKsyY6AxowofgvGkew+7VY0CGKHwrogtlIMyB
qAg2Y0YcEmIUkwTXEne2AWl121GxYamJv+aFPGADOTVzbzvEb8Ln+BfsiKg7T3BTV+SEGerLnGZv
Sd4wrNkpoz4M5luIDipsxc4qk2uDE3rl9esmONN81137MZG8PSwmR/rbDWgjc9zNiCRb22IwL5EJ
PxZg1e2yO3Wr+0h/GTKP8z5NCgm+khZP0HlPnYcspAKDnTO8Ka3qEX3OoeYmC9DeZgUcSuPx58/c
r5645c//pHXD1zFHbcHaUuKIRFMmJKeNkgHfzy9jLlLJz6uJZZrowm0U6T9YGXqM9XaF92flmW7X
YKTx21XaTBTRdpLUeKIY0xv4O0gQMJz9JJeOno6j+JGU14izjqbL8/OX9KO5wrEZNLnuIih08X18
/867dNRYMNHSsq9H6Sbv0vzJcTFt9zlm5T7yOCGUEDIOaeo0l/Fy2//8BVh/9dljRQIjyPJqI9L/
/hWUUWE1XdF7iDt8Cvt+pCEUO2lzPg3hcGcCg9lR3wcXWbkYGKyF3JtZ3aaTpsGA0RpOncIbkZgF
w6bNzPpCTTJ98aeIr3AK00tnEh33ns4m4MSTi0tvqvr2xO0df1+BUlz//O381btxLc+TArQCDrBP
RqbZULOFJBasnju2azX3mAsjpug/v8pf6FId27V9gXDFsYQvP31onl+lVjABT5RwlRBFe/b9SKG/
CxIFfqOwfajrOl/X2oEPFCDFG9Omu6rtxr3++Sv5q/0RtoTj+tDW8AJ8er+p7tuO28UjNSotroc6
70iULfC2SRFi4Vfdr3bHZfP7/Aj9+YKfHtURd6IfZLO3ylih+Npdd5s75APm4CsuRKhZ0wpqXVEz
U/DQzKI3EdQOBTTUbtFtlmRh0icAoFRVPoClqqWv3xiEobRL4mEr9CpNTL0I7tQ5oFnjoXZm8xfv
4q8+NR91re0sal7L+WSw6sOuBn3LYWVqBgYbAmO6Cx8Oe3eQ71Rqy19c7y9Obbbv+9wxpmc7zmd7
nZHN0tUFJ4o0d6dNbjJ5S3SYrR07nbZ2Sd8tT4RauXaT7v7T+0MC8uTIyClK8jh8OrX14EwC0/F8
SHSZ3IYj5eOgzddU2O5ZEvdvP7/actt/f3MsV5Oo1U1buCyk368lMRDupK64GsrigMTDeSbuoxCn
OZ/Jr9byH590sIqOw4k0sDzMkMuN+qc9g2K195Oq81dNFfo0MlP8plBLmIstSHo9m5qWBlGjtTuJ
m6yEUt5ryVfswFjAHZNtggkDdeU52cN//CFYrD7LDiMFS8SntQG0DPv4yAvrW5hMvR200DfKaot8
0v2F9ebH+9i3+QS4saCWYsD5dDoWBMpELV22lROTH1u5dsLMqlqcIg19zlrav9Lj/3BB3IiW5RCU
47B9Cv+TF6HvCU8abEB8rZEPSFbj2r2wqlRcDVOcPdlN6Pg05ql4mcEaEXpge8R8PyXWPsmznk1O
0FXOg8F/IuObNpTp5jWuQUycv3BmOT88ct63DW15vj2SkdxPj3jZK2BsQ2KvXaWja5EDeIoS1Z7B
jEiha9O261PFWWlEwhMGdOdtp4FZrPLO2nZl56WnU2z0kCYrktUz29kFo68e56RzD8rS6YNnxeUX
N8nlR6lUDvXGEXDgpgF8yKnmQbyp2ANPhSPGw2gP+sYoGFeqrkSUqzqNFsfomMfmHoTVLnP6Q1V1
88FXdXUfx6q7yDuNw7JymysN8vmDY/4crizp0Yb1y5o5nF2InW9oiNZUSNV121UBCoq8fA+npviF
2eOH0g+YJwpFiQkF3B632/ePml0Gdu+ksIXaMCxuqHCsmzCaphtXVmgwGz+7MEbDeP/5Y/Tt5v1u
MfmGEOW784W3WE0+XTVwRZ1oVtS1LuLwSPyQ8aZKOMTrgscPyRXpvBZnYmTRCHFTZYVvduSax5+/
ih9veBfPh4MNl88WJ+6nVcYoXI0gldvIkqFxgePXoltm3FCUxpdTrcz/9IGGcbuU12I5i1EWfrpc
VdUePbLZXDtabeswT/aDTMY1JTnx0Kax/vmbs//ii7WE6UMhdnmwbflp/cgXVDYFrMUYY+yfa90s
tAzTax5dHx12P7QSq5gawwHKp0FT2xv1gNpsmvuO1nNpnZVp0Ly5QckTBlUEqoXskdWVdZWcRmjX
Njipg5tGToWBwjLWl5MNp6lpCsg4PXNcyb6IBDMUm8wskte5IXs0Toec+TbODwA75IKSc7q2Ip/f
4GEBIdFVFTYQwLm/HwcdPKBS09npzz8Xa/mYP916lmRddTiaC4w4n5a5lmBm8C2RXCdzgedK1+BA
eOQm+30gb/zaHAK0evWEVaMpXIataM9oCbZoQoN2YrKo3CGEqRSNBF5jEEesl9evTr+MglSqlra2
QdYjRZrO95Eyi2uzsitSIHXsWCSn4OQ+/PwdfX8b+w5uUcdxXRyx0nFs/FrfP8GGqLvIbzgmRi4T
Y2OuN8Wk9DZrQhqJRjL+YnP+fm/+8XKfDolV3IwdWQEEsBuFd2MWAvlWESZPP39Tf3UVN2A/lZx/
Hd/9dPYFlh94tYH+21A+Wj94NeA8tPeLh+QTqfsfb8bDUIy1kQPHD76vMff9vs8AOVd+3u8ML3nl
2wf3UwAhGVRY74qKp5OrH2neUtm4eAjryCi2TeJ5eCzgD+fcTP/Rwe7bq3KdBRAAxB3CxWeXsxmZ
ZCfUPeoqwoLvZY6J5CRVqLJyj2hFJP2B94td4Psd9Z9XdF14DQJAuuN/+rhHb2jDpnK5IlsfjJb0
mWpwIHiYo0di++E69zp3pQGF/+LmNd1lqf/38+jz7XoLpx5eBrEJktru+9s31d5gslHI9dg3CVMM
gstE3frHynbLNf4lfVqnQbJWU0as3ZST4xOIxjpr6S2B46Ef8pLFIzFYVQWlc44R5JmZbzPJICng
fq7a6mGScnwPXS3OO882Nt44IKGp2JWOQMHQ0TV4cKDl0F3RgdSXevLsg6l7i2ky7Shf0BCKkRNt
iJoajqCxuycmdAE+W9Xu/YjxlZOl5q42ECoVmZUxTKIJRCKnufFNN91YhHBUSC/gl5JKh8Cpp0BK
Pc0IeNYpWs/a4VCHE4aCBSpaDjmUKIHgi2pmgmdkGT34hlU90MtM76EE1Vu3HGZ+TdNU7TExEUQb
tWmc2cXYHWazacZdEPhL7IrbjIKlPPQR6E+hR/DJNF3JutY7DGhpvEtZvEFziaDc9mU1PmaR3e6i
lElUjs0A+J0VOoexbFJ/mwtilpLEYyU0PUAU22wEh5s6ZWgTaSSM8MyZ5ugiD2MkenSqM+DEqfvY
jG92bDVnCOAT4i6shrEqcu3GYvowlF6Bss5qrNMwtdQDaevQfIRnkVxam6iICmvxPasRcNvYFS6j
xnCq0TIrwnZVHwh6YEW+HvwQyQO+jJ6xvRhJe4psGDGM0aOZkM60zg51anNuy5NpowFyE2uaDTug
ot1ZbcX+TZMDuVYRaDLXH91960+wZHVAZG8eLYJAtj06sJge4QEV71XeiefQSklxMTxCd3KVDvAC
Y3frjQT/nsa2SbMyW/Ipqll3l8R4kvMwROA3p7JBHEo6KYPz0ZD4JOvwPspzJhoDZw/NoMlUGmCD
43+xiFfxTtM5Nuut0QbhlyJNrNtkVN4vlppP3Y5vj5+k1AIQEwSASYJPy3nSTX2JhhDjNwLrHsSU
N/FhGalbIfcfNN2xEMOKnFzr6+CEzkMlHY9R0kjOiPLI0/z5sr887J8WA+nLAPqBhxXHtD4dWooM
U07WQPDLIsivfVr01YkLj8WBkTXNexbw+rIBWXI5DB16jjYPEV/+/CV8Azt8/xp84bjSck2Ked8W
nwrdITXcJKqNYF2GPl6HYG8kLLrEciMrLKBCius5G7fZ1KEa9ggWJzYdZnDokQH1jRqg1kGCFi0H
zohArUrhyxJMQiAHEjTI3lIeKozkJOeytJB8wgy5VyRsFkS7z6cezAROpWff3tP/fBv/V/Shrv7x
6tu//xf//6aqqUmiWH/6379fJG+NatVX/V/Lj/3rr33/Q3+/rD7KW918fOiLl+rz3/zuB/n9/7z+
6kW/fPc/mDUTPV13H81089F2uf52EV7p8jf/X//wt49vv+Vuqj7++P3lvUjYd1rdJG/693/+0dn7
H7+bgpANmgR/+o6Xi/zzbxxfCn74rHh9ee2al7/+uY+XVv/xu+F5f/NNwdBNup5nOmyJv/82fPzj
j4K/Ue9T8QMBXWz6v/9WqkbHf/wu/uZ7y44V8JMc0ylm2FdbSrxvf8bRMjAF/zD/oIoPzN//+2P4
7gv79xf4W9kVVyrBV/7H7+63B/Hft6XrgrtaWi+8QGnS85GfHtRhZguNfPxms9OitvGxws2dZRFt
zcZiGPHLaIrptIvsitHPfAR+Spa3JtlXWAuqOkTISK6yxfhbsE+B7j0mQwqVe56enbBt93Ma2mdN
i13QBdjvQNdZ8GalShn2Iz2ViRmtmlo/i8rOuXNTZC+pOBqoT09Z+m7tib8AJq8i2KBEeRoZ7Kx+
0GGqIegAtGByFGOFsjBGAUrKa7dWtlWwBFdYvGbK62IJ2/a0+JopejyFF6EujNWRhn9zngWC3YYk
0EMwh9PF3MXyTA6+e2kTp8x5LD1zyf441S5a47CDojejbcqsRK89ewSQUREIPNvWLbb+azJYzoug
P0zQckisn+54Omne4deGgQJPD5UvTRLzRPQSe4/khOcWqFCtDtFirLznNLQunAa4UCLaZtcLOW9J
1borHfd1moqnockf7ch4iytHgkMGuGwUeESnrBanPtbVRM8SA518HzMkhK2D/yXxrIckQmTb2pVk
DGdNoDRVsbUL/LB1T4s10MVNJYC+kmdOL9+D9xcn73VUnifQ6XghV3Zl7pSG+On7zNcNk0l3AkfK
1R7nRTN7D0nlGozgJhsx5TlpePQlFsiMbvsqGSXNWQNRgD+RgmFlwYQcbKLX3YhnPc/XkoM+kgT/
mmlWhnymo5B0jd1QEa4+qIQQR7P9yoBhB5E8Z8qJRjqQ4K4ZPNSE8kZqE2ICRUDUbO3BebKoP0+z
yNi2edKjUfPuiYY+46GCIGl/ga23NnrvwzfHFQA/1lm67soxrY3bo7lteuvZHyecmwPfR9NDxp6Z
s4XWCPoXhNOc3c/jiBA7sQi2yHdxxa+wohSJXL6dydmoKsIgMeJv+wo3o11XmLrt8FovZ5Mynr7W
Y3mmGeyCgk1WYtQfk0R3KwhqLMvnrPDPQOXsw5QEh4Qs4AwGc03gr2GEF02P8hu31a3p0/S1hvZg
OeUWIjVeT3TVhTdf1iaGYttpaUspgFJOvJlHvFNFk/Rbia3GGHCXRX2xAwq9r0d/7w3Ve2dMB4xc
S/rGcF4k6qqy/N2QAHAL4vM+bVHQ+VcCOTXpIuNJ6tlb0Zp7c8IqMHUqWs8GwQNZodBHxji3TH/l
In3TwaTWkLVQveaHQjB4HKPh0et5UhIxPpJ7w5m7RU+RRtlD5XpHI0VlP7UBoNUQtyYTYvTRCjh/
4+BWCkETc/5CUuEC1dtpyS9jSXsoJzg3g4b+S9D4wVrUwUL272Ummks++/LOaYCOEp0BUbHjBC6H
DEmLPUGAdcau2xq+m69JskCqoRQyLy5GfNi80BDE3N5TrSO09myky0D1zizHnciuxQachTFYTm7c
h5no4xVg+9e+KLu1jkEkoz8JEAtl42bIOfNEM2ilvuVIX2roB9OQ303IBE65Ud2FyR6epvV01+fi
vDEx21p8COtUte1ZThd25Vck0DrK/+Ax4nfZeCUVs+MTFbrzfS4bezsVXra1E5jAZQkZ1O5wtXbj
GKGbVcxLrDq6mXWG+NxE0F9MnX3UeSdRqIXqiylGSA5UbseW8e3RDsY8Op1rBJ2T1brrvAFz54Wq
u2tr6BSJiLZ+z4IeDTGzu2ltF/nDgDZXG/51RDinbzRvFYtD7OmdjZWnbts3QHqAfdP4wY2qgzfp
Y2Amt02KeaB0iXDFdO4bhM5a0wj2DAyfNp4HWhlF2p5NyKwrhYM2C/aAuc7NqdgEbUySrL0pI3Pl
Svsoiva9l9VFaEQ78H/TyRL64Ndyp2uTszgllEX3uMsH1jDKgrZ3bkQ/RSvbmjn+M72hRjjPOudm
Dq091SKuKkkV4mJr7Av8kbKk2KgE9UqhTPukYoixNhJo2mHEq67couPYb3w1k47pZqDOvK55rX1M
6Mw40lVl1uJJl22G9YOo5FJ022EaFaMEIiiLCBg1+N8YtX5vY2VTV7Qr3lurffUMvScnz+Xb9G8M
F98V3LOzzs9gozZTgtQNvUgvBWacpIQXkDQbJ54vwDsVgEkwAA4V5p1gTs7biUrKoQFqhOjL06i5
RcyO1cl+CCbOkfSBGWY30WtSUhwYqbMjQyQ540zqnHSD6QOfIATSKR+pMrd2DestXJglvdeXOzF1
L2pGc8aSiMtZ3nXQQ+NKXbgzdKOkwcGRI1wNugGnOvv3Jh1JFC+xzK0mqk2q3v5JV6OzSoBrnjgq
IVgzKr46TGHJUhYImNFKzQO+3dLObirC5edyepc2se+6knw2cUCoDJCXqLawEGXmrZrVA8AaRKz2
kHGDsc6mhXgytPDXfT0553WYvneD+CKpBlHxZe+DOTyPM+0YVARXbjfcEcm3GFT8fBXZ5BuRGUAa
rbziynu/DAgRnBu4fyzrquk2vk0Mr4MaptIOuOyOOz4usZGaDHAM3EstknPVXiULuoWKa8K0YsEp
Iz5gE6rswdcosFElEqv7jS0Q5S+zo5ZtAFX2WN8ROkm2We9WZ+xNJKe0ZrLKoSM4Nfq9OnaISu51
vkUUQzywTaRDYfJfftUg0UEHeKA4hxQR82RQTjvMKjIMS9lr7hIDPPoNmcB1yNDd3FgxxHxjTDyi
5ye9L8OQQJpGY3ewKw6Ebkl9W0d4kbrnyKy9Q2tj2x4tH9GpEzkxiSDD01SI10SO1FMdiSFyafZm
8t6OUNNYVcuNLmdUTKgRU6s5iCD/0jThhq0QXeIIIiLy03VD0kk4DzQfIo1MPRX9hVc7C+8kw703
Rhsl7X90pv5/6fK7yUmBkcDPa5fbl1Kr31akaZWR+u3947dctb/dtf/nf7/FSf7SflfS/Pv3/XdN
4/+N0Q4SBgppKVzqhz/XNIxyLUuagWSoLxby2L+qGmFJJCP8Q3FFIUzO27/KGkP8TQa+RLNGZzLg
pxnk/Ed1jVza0/+ua7iQI3gKrUDSAOQ/nOXP/zTrddo6UWmsxaowgvfU18+JwOIZEbvju3ixUr9+
wwH2hKa02LoLgGacQVAUnXi0CudLmrgELeHV3w8g9GAhIy0rgwjGPE4Jo8BCiIf6xbKiG5/M6K2V
Em5keuk6LokU8EnJ5gZuClAnUp/02ozXnkr8cyJ6sFyVXrTOnfiW5yV/HnK8IH08jzuhY7ygGmdf
WQb3uWOTJJJFD41VSfhkENtpbCFPUSy3EPngOczXjBemk07CTYDv+xbbRN5PDTLy2MSSn6UgTCjq
H/J0QVKPrrtqDBOmJafB80nhYJ+mGXZhdtuz8m7smSwbXSeM31NCbEqJdB6P/sZkOkzTn7CNsARS
kuOxyTRmA7QsSJCr65Gho10xjbGsi5YGCCmwzkxKXnhfJ7hoe9FctA49ZtdBi2nkHN1Fh3II4uRt
Y2cXEbpKYquycyNLr7Se8AOr7FqyGGB4pEjqrNnAWgUkxhztR+hxd5qp664RkzwbSWbdWGWDfaOL
jnnENuozcYxS8jeXxFosw5g4S6scnhOPM3/Rgp6we7yIloOKmD4N4BX47Q58pat0NF8Kl/U6SPJ8
A0jjuhqarZwRRQ6D+aiTaJvFHBKTZnJOeQKohPU6H+cHSw1rp7H2wQxHuBP9OVa6axmOhJiV9kgM
KcW0m0XwVVp1p2pgXHwhx6kpjVWhnfXgpldR4VPKud6VazExSwRyaIDoalJ830V7Lip1dAbvoGUP
grHvMBj3yCENz721RH2kLYQr0utvPE5f3Gzragp3ZkYzundnuh99eJUjqEHt7r61+fAA660irwAd
YF1Ya1HoLyUqIxgMLRnsxXA+ZM3exGsL0ex6SquHIDWerdjGMlLfimG4ixVOabaZPUN7KGRj+gRT
lI7wFD92LRZQ6dVvUeOPa27arZ+O79lAfBx5Hkjm2vCu8HDMkLoxECwCIarwyH9ARk7mcQI5y6y+
BBwu3RBfc8rTcMKO8NHETbNRjv+kG9gwgXdeOHhMYRXkp6ON8C0qC33oW2sxnZJ1bU7VCkHH+1Aa
106aPzY20kox4JXH5oriu406sLrJRxAmt33mrkJreDfpt5n1sOsA2gPqgeAWjGhXbWKeDBd0EWuD
HMqnykjeogSeQ+GptTfKS6fX+Id4HZh+g/52qJf7KeTt1sGub7znSE+QC5QFLCBF8ES+DImsTZJe
MgMfTsZWrmuVXwRTcaBtcZmb811qYESp5GLvyDAtuEFxUeSYWAzvjK4IiGKoEgp6MK2dTWD43My0
9wyHFGXDxrnZ4nqNdnlKWnw6CZz73i4yvKs4wdIz1fsoL18CpS8mSVQ6LIzFkpXT3y8OC46un7AZ
8Tqgtp/nDSkCtYAdpJ+9ZAFL4xsYecCFQ4CBOcqtcMLrOOf47VtbFLO4G03xYMYORv9+N3vWTWWh
5O1KqAPjIQevnCQGs1rsTfSq47R45k70qeQ1MA7TPBnLAM6Eg1IWh5JPWsBQPlcxAE+iHbq+3rlF
v8/AFlkdCeXpdC31yCDYP6vFg5I39BHs5oV79iK0wZ3N7iZKo6OEmw2bRR88OiuyzS904xIyP32Z
0uxcmVgAWouvNtdVCKC6fM1o0AE06A+4jHdjaxx6Z1w6R5feBFossNM9AmnvTQfe0cR2OXh4jXDo
Y6Id8F4vbqQAjJgTH8e53FsJkXlmgiuih7aXwRpoCb1saKjt24S8Em4DGEqTj9hJCJB5PJt1wTiQ
R9y6SJxhZzkOEFNDktu1uBytILlJfdeDPJXcTbVDgCIgFIa4xwjQJTafrUrllZpBwDnMSjalAU8x
HqbXuSTROsjK1djXJEMMnONFeC/SloInKd+YGHzxY/zDVqGCtY7EdTzEQGd6dajIvsiFu6+kJuEt
UfVprav3qOguZTEeyQbABMHT0A4NEl9d4KgmM8pPgkOXU27WLSgv7pQV6vYzf5CAuNRBFOZzYpBH
ZNU736xvDCIVl2n43Uw5dzqwt54WI765zrkX2fycTfaNzIggcTvzochhAE3Mc+rEIBjPcaIzopum
M51XzjVbXDFyXJyr4WR20qcq0O95rve2C7UgNWJif1Cnii7ccVewA03/l70zS27dWrP0VHICcG30
G49FsBMlkZKo/gWhFn2PjW5WNYaaWH04aV8f25np8mNlVMS9ETd8raNDEgT+vf61vmXeFhms9Aq7
PEeVdcG/grt+3DuWcaPRFd+O2W5y8q82gW4XNfBSiuJqRIDpuvF+qCnZCl3rpqQChS6u26QAQhmX
y+eqUwc4T9M+drjaWjTHXcPaCA5cecXe9+h2SbmaZXWV8RXOreSekuqblDwMCBE2UfTdlEwJzqas
hxmCfXyZxNUa1s2ZU+dtTRdtFMi7MFQ8SWzidUE0ftBJlG5Y10U7jT1bWTXpup3luZ7zC5NAnln0
zj4cwZFYNDSD3tRvBStMcvTRtHObDBe1iUIzCbAgLM2JjksHnrEDmtCaQ6Qse6LZg661OVygYln1
SADjXC2AHD0+poUDqqHXHjVPAgVR4W2dhwRwk7dJuadMK97rlsKvstdO6Ww8x15f7WS+XJsNJUUh
OH3Ori0FFWNIQivh7Pmv8ux/NO//v7aE8MQCyv0vdxD/c1Zv08/T+r9+5vdZ3TLYL3AqMMmm4Pr7
eVZ3HdjbZFZMFlI/VgO/zuqa8Ytts71j+aCzr6IRFXfIrxsIzfyF2Z2VnmSl6OJNJdbzDzYQxJD+
PKnbBvsPINCuzs6DVcQfJ/U20WqcUr1cJ8Z3PniI+tKlpa4iUE6LROEHHUVDrUfmo4gcJEcPyzlL
C+qLXO8iLymLcRUpmLC+zSr1kMziqdNychs2IV2QxMml7lbetuZowvZs2lrAOdh1u91T2NEJbqSK
O76WFmfCcE8RLs9VooGGsINpCQw1zjnWLHmNYZnm3nYijG4QNleQowzleReul+brfs7CrZ0W022R
9reNqmGr8lhfqQYCzhC14abSmGdau93VWnbVpHaxSzkz7xojbFaNhMoXDdySbANdqhsFtYzji1Oj
8Um3IcfsjS/zXJHOVKADSxSzjcexZa3Inl/Klhh8WpKkbgT2tqGul7VqjuBvzy9S4Qmoc8DaoQwK
4B5tT3C3xfY62cRnvQC8++AGz0Nufwn0RvzprV/SnFMsLTAF7Yo7zQS9qYa2frBjDVR23D9oaOcf
gxbgG/dUhRGsrfZdBsvbs0Lybsr5SjOJAtwET5ENttSpl3ixam5nLB+UEZIsZzkidpWgIKbv889x
8BZpS2a7xuJRvfxsC2nLXTR1QkUPqdMNp9qERz5QNgMtXHfWLcm1Wy0had5k2VeS0DAWJjUMjDFk
T2BD423ZgmCK09zrSXJWKqpyW4eWDoY8ZXhswqcwCkdsx/NX7mThoxFaPYTmaEQHTklXeyI7NF1u
P9D5B589bKHw6lP9HA18ZjMR01qHc8vq5Dl2qumjHKxwkzIfg/HpMXZJwkpFGcK7FXSNATsswf8U
1LhlXJHc2LU1Rgq51VtAytUQNFu9Jh1polatKwY3WGbwWHEa3wqMUUcghuS71ZXr0d5lG6+d1LlT
W0QFasKdmTCqT55HsOaL6mVM0/AJBhkF1wFHJS11IFpE1kjTLzKeclJ6wlpJK24a7L3JKz/KBGBz
BwPlXJetc8pqD1SSNL6VrQfbmJUCiBKgkdNok4dNO/q0ndRC2c7Cncbpay3m5BnLWgVoNz1FTc0Y
2fA66/TglbABySNtZzu29nNYlZjZKNKFw655ZMOor1XnqOynJ4nmChYovUpHm3eqAqJVi3Eixkqx
d983nP9s6GkWAxdBYf1kRsUz3S9nORUPVDadoxFIWV6CsbSUl+9kMzh+MQxcUbXydqls73A3DX7f
SR5KrXmITPEezeqQzhrU+ZjakCZd+E14P0iUGyShloN0EzowClgh5411qyIUYSN2x00QSJagAeJU
DuiqrqfmXi+8CN4lLKPYta/0CjpP1+f1oQlJs5UUz8Zp/sQ2kQhevnxOIUudFh/UA2IsFBQHoLCe
A5WdGFY2mhFe5Bmdr1rkVggY4F2lvWzxdQ1CB79bF/ORaTajS1wQZTZREsukZeuv2ykd88jk6Vh8
6i0HeVzgPOFnfYV7tLtSbCA4M/Ei2eG+SoBYbdMyEJQ4m/gNFI1Y4sko6UeWLvWrKnDuiRnYJ0VH
ZZfgN4o88cz4QqZWh3gwy8WYGE/W2kwRpjPPeTa7BJhH9xWGYX+QUfrceXTLu2YBprWZH3qtfh17
/as24m8xQL8JU7fcxhQjUDoFTSbJdFa4Xe5d9nPwnrlI4X3EIK/G8AY7z1Wrc7ACQnE3Z+VFNgjt
aHBOfixrUFsKriVoFH0/xkW1hiBY+ZEmFbYjAphDWZiI6Wj8XRT0DNvljOs0qsetrkSLsZITAlUI
/bZLjIqzN9ArwyugACE99IF37kbW3YHrvBArBmcwXg1BdVCpmleBNUOaWn7ZuFQBDK53pYOwslmJ
rlxzINvbPA+lttMGFjRNWN+UjSlWSdWwKgG5npiUG3Dwulbc0rgbN5+jG50GqwXNwmIPWo4GagYs
RGOoN2fkK2xFl1nzJDgcO0I7Bc30OkxAkRCpHq05pnTChJEr0J+uRnall47Z0+mWTJddb7K5IM+n
OqX7lVlC+SPR7kQa9CxJZ53NShmwVjNw9bF6sNnP+WlufHYBjqOG9SLrPnFR97Z9wL8D5znuDhwf
01Xaz8CDk4RXzDKwPFDb8jFYw6OoJ3ARHnpEMSNO4xb2FjEH8V6n8JcsAkUTMGo6sLArMaGW2Hpm
+/kc1awXp/q6wwA6uvpEq0JLr0ZdcyzQWtTj4K7x2sd6Is0d56CH7NF8awoF0z6vOB1Mc3Pp4Qdb
YU5vfdKZ3cYSqt26emi8hj3M0nm2bpHiqSKiiAS/X9tt6qT/1PrwNhnyxu/t7DrwYCPSJdhCsaXn
th48uptcVs2VtzBjde3RtMb7WGRn/Gke+zK6pnqnYFM+d94Jf+JnT+A6dACFmPn0lhrE3wYJ2CtR
2p51+9qT9bmyFDyg6p4F3V1MjVVQxs9WWD8VQn7OpqchgOg1ZKdUrD1t4rUl4sMk6rvKRX0Xjo21
9ryK4DpGYyLO9hZDCeByXh7J4WLcWvOCEWRjSesJmUWdBQm8EJqss6o+hxnV017oAs2KL+c04kE/
xc+9R9Fmm3I2diMt2OQjGmZFnhDNj3/DitiGOXKwgAjDuCz4DIAvVDexHK+sGpeIodRtK4czQEuQ
Byn+kHDC6ITi+Kja6E2XFgADVX2wX2eLVdbPrtMfZldzKGTCF5mZ3i075Ldh+Sp6+X7O+YqRjN67
WXvTqeku9MTAGjzliKVRxmrbp1Lmu7CLL/Uq3cZ1+shK/MlqZLBNM7bBUjxbyQhEaR7vm7Y8JFl5
qgV9xaqzv1LyhCuzWrBB1KEALu+elVAvkbC7TWfBzVVSf4ttFuBh1Z88o7/TW5iFdg5lI5haWsYc
a29PQHJlZb20CTHaNO0/WihDaDEuUmxbvbfcE2F9Y1fRpxImOvsvHqYSmE1rleuwFh+B250bUX4R
+klgNNv0gvcnOxSbqbPyVVIHNXWi7Fs003iykoqlXByt/7+XC+j64uX6dYHBEeZ//HZQ+YuZa1mI
vP3bJvsq/ujn+v1nfz1QSfGLjjOLHQYBD52o/7/OU1L/ReisRPAds96gwopf+Nt5Sv/FwYC4RPJJ
oOkugajfz1OctfgZkz8ULxhbC9Ypv/01/y8cXWRK/3yesowfBeGmg2kfv+GfjIahrEs08sFb0ywA
uTeCGDuAWNFoNLN4ubQs5s8TMiiRU8p0opwTlsNZx3AWGTkx53XWNuZ1xSul/0mQPaqDheYKCsiJ
EC5MuMCJNx+UNQY+y8QQzCtSxIivYst6n86B1i0fcsNm1M+pRSzYZPhpzw4+0+37cEq+6Lc2Tr1Z
v6SzfOlb0FVDW4QwATwKbLG02PFg+p7DPXLhKiZIb1strzSIekvfa54cwR+Wfjd7D1GiX7p9x5IR
8i7zwwzjPgQO4tgfg3Du4plbBVGkhyHO0bPYUG5NvYV3Mcb3XmJvy8IAOifgty48JiNe15HcWcV4
p1n6ex16n0rFJ6OovBPOEPzjJgihtsKDG0p828JzUsYuojCxgwzoVIHaNIY4zSO74K53lpa5iioP
Rg68ZMaFUziYP5mr47T5NMeCe6JWJau+jaMrsjJia/G4JOhPj4LWSQOzVkN3th7yQMSuq1prA/wf
srYzsHcexTW9dGA9u3vV0zwRwxGZDFJemH0fixysj5WUV6mO88oeOk5lLaBUlYqj0I0XS0Y3SFfa
Rlhld2ys4CMroPjUvLUahlTY1nx2NQBUOlrCLau03RRGxy6pTyMjxNbqh6fBaR/LxlJ+4mncQSMF
TtwM7qLMvKss88kqsAHZjX7PaeOO4szbtipb+HQ4z/QK45l0vrUQFhlbKcD3NBFkUNx5bIGg0ecx
/xaj/sDJbX6dsFsg+c0j10c0V69dmtM1oCJj27v2IWDPBI0XtI2KOZ+haXu+50Vir9NVXGoEvxKH
9XhhqgC4pxVe1wPsVsep2AY2F8LFfO46QMhNc+1U6iyZ0ibBPFPZ0WEocyq43eteUFKiaJbRxmHe
OrH5wMHvLrGBayR6TrV9/cRhg1Wbcl4LCj6SaH4KRuvZhP3DKZbxqoZcVPHIjRvggwN92pjrnK7a
E3jfk7/YNwjr0wITbuRtk1Q8QjH6T0zINNEZ7zRm35ST/aIn5okTQuJLKoJZlCR3UUA7ma5Tcetd
zdI8YtO4dICQl05/zNz+uSVsupYRNYpGifuh2cDsp0mnhudLd7belMrvI7YrOM12tGRBQe3UYWzT
YzVN6T25RPMxnLzxR3sW73db93C3wi2Vu8+24TbNpnUlPCrNbqZ92AGKTOw2QyBn3BwMOm1H1BI2
lNsYI5SfdUCL41I/Ty1fZdooP5jbfa5W/HGOS8u54S3mKXUqGPERETvr6PVOcqxzvJwcdefqnIwD
mBLBFccAKa9Zze1HK/2WCSYYjyIwLYivshJicyw9aJIJGFoVxAE0DycArO7eSMdS0EGM7GRwnyHb
Me0aabzyuawx6HKtiB2bxE0l5E3hZRqtuOM7p0bw2UH+YrXdTVxbQMvwuF24tTx2FgrO9EViYk3+
0lwPDSC73j3OtjjGGc3vqHJsU/GymSWmEE2/jNLg6OF3XxEGOddacmqBPY5G9SrZ09/kemKnF1HQ
UOMg2jfNETX7ia6KtqQg7lChn4phAYzMlAKRda98khosibNwvCA7Pb1ObosYFsXTlZtE6qlIq32E
sH1BL16zCfKArVXCwNx4kPT6fhuWOcq3hM9nONZaSOrIiGmC7QsQz0XcWijKY9x125+eq78+sH62
HP/Ij/9xM2/wgHKJIbGV/ytRI+ikzHs6GNfA/9bCN3yimGsaWu69XbnWLvzC/zsi0F8lRlJ5wsUO
gMZo2H8J049dw/ZR8iuBh68o2NvXfulTF7B1thSA7P7mBS4P2J9eIDVc7hLIJB3pCoJzOLT/YD0I
cjcQwex4a3HIbrhN7PJdv5p346G+yLfJdXz+9fX9txa3/91hbzI+/edDmf/2v//XW/OzvP37T/2u
bwMpoGiWqctc3vU/6NvchmwSfQggNlE8hOff5jHjF9A1YgFieYs2TpL153mMWKtDSpCsOuYRNO5/
NI9Zf0yi4UQhu+UIx5b8WYZhO3+6HOY5NdVkgUgdhrTYBW5LK5FdwMBDtioNk6d1vOWSWZcdTxIt
PFHUl/l1jdwAdnO5KaOAVYsWFlpBT8YHfQyGFwG6ioY2Q05PQY50FwboaUaavZXxeCMWpU0smptA
fIukoGvSnNLDgDCHJXmPRHhSA08aEdIk6dE1mTTRtCoHfsxYxL1kkflwDoRr1oYAEToO/8rgSEVU
4HvEoYj1Falw1I3+bMVWfFOJtvroRrwai7SIx10nNIf/gyGl2DVzFOwCnHb7hhz8LpSdDYsdtLzj
pglW7FntzIQllGzrcx+S743qLL1vRvPbKPNhXeoZYOyqbzjdl/06sgL47lg4YcQit06h8RKkzIAl
5Xe3s7uEwWYgl+HARqsvOaMxHAWULLTTwaAliwdIrJODp5xnxOWqlRG4HEXOYfBmMgYUTkaxJa8i
BzijY7Y8I4OpxL4+0nDVaRzrwrbgNr9ILBWSEedMHIlQfk4aFBPf1NH0kWpMakEQYDKrYywpY3Gf
94CAJkdqFzlYFkosu2cjjK6nAvlPtN1wiN3qtU0FhBzCCOwg0KehkA4UOB+UQF1hk1+vZhu2axH2
70XHmZrtDgsMQnuWMd/okdn6KLYvoWesRcUHndmXzeLpbiFOjfmNUOpblu5nakb1yhzxw2TlQ5Sp
eleSSrwQXdF/2DpHVQ2TyoH3Z9i59XDW+4XG4ZS4/nvDuC8jHUwzzspdV8FYJXW4oF+j9CEvk+8R
i+0Rgfsz0ms0VkenfrzWKcYAo3DgSQ6W0jEve5U0qHp2DaM0LMjM6fbetfJzVHXexZi38c4oXRxF
VCdyiBYmC6H5k+GW0LQoKT2pQ7bIA9yTcqJeOuesw6alK9dNwXjgwL4WEw4nJzxEkUa3SbhX04hh
AYB7UNpQGOLj5Gk7x9WuzADEspKPCYAupJR7cpTvU1w9WUZ6zigoESPmHfyypzIZ76owObcVjnIN
3dQ320bH4WP1nNfp+rK4pmzKR/LOmW9cM2btYgGwH7BbAl2zH/JJX5w9s3eDj5z+MCcJWhxCDD2+
onL6Iu/6bWJNp6yBKGjE8q2bEu1SQ7m9D4X+YWJkG+eOCqfwqXbQyGxBDZ+FIrpy6LYm2zUzPsA3
jIzoYS56ahE4WqQe3654drZBVlPpVeE6lRTaaPZwKeLxrIR26GSxw1yAvR24fV1kksIK+DaDIBRh
VOFXJ+m18wzPJv0ReY91zYSSaul7aeuHFLk3YcAmZ2ha62nRgstFFQbB42zNgNkkyiv7FCX9uejH
+EpfdGXwFk/WojSHi+YMOuNK7+J3FyVaDkxarMA+6RhKfELF3ZWzCNfmImHbg3ZM0LRVNEVbYQYY
pwhGrOoWBl0ocPVhUOCo0+vHZBHIyTA8uItkni3iebDI6ECtkV/T+AKXu8T2hNiuL7L7uAjwzSLF
R/TIUPiBPO8sQn2CYl+h3JteGUBhX/jRgabdRuj78SL0i0XyrxbxP3CrDZHBwfeWxYC+rAhUFsHe
ZmsQNd7i5LGO9bJQAMlEXnVZMtTLuoGQLK4gTZLltKLXkJ2EUOG1EUKl4wz7FiwrC5Z2d/WyxKCh
LEPKZ7Hx45n6j6aH/54pvh8zn0Rq+c9HjE32b6em/HnE+NcP/TZheL8wPliCcDOZQLSV392uaEFs
v0F5kZ0jVkq89PcJw/xFEOcyOMkyQ+B39f6wQf+hH5HvkzorGbbp/2TC+Ot8IVzBap9VPGnCv/Dg
AqNUUlOwXjTHPaE43GUddk7v7yL15hKS/Wms5U//4+/hBf3sqI3DvnfbuIVSoU+XqqMGpJyLvQ5f
lNUV6xKRhvdWMT9wK3wNjTDd11Jj0oa9yHc11fdFjZeIelr2MXAUI7e46KvuWhJIJsh/2YnoS5rR
SRkVuZj01Wnjd6L9aNltPvt9jU7jtxptgp0Q/3Bg//HK5I/TCMwLFwjQH18Ztc0eaeUxWLcbeWCf
r28JBq/h5HhHttCQntnfrsCh+9o6+Pcv3x8StD+fhv7Dd/Xn3724I37yKTtxDNDRoJCmC4bLLm1e
ZKzB9USRCDTX8sOOZgyRQTZnxK3hIjO8jbW+1Rrx1BbByyjgXhNRSzd6Rv2qnghJjYc9rJtZpnvl
Rh1+Yr3L/CigBMjVg2bdkMaCk7lsdL3hdsgdat+U9d5YLgVDVv83L9Dw+L795brhSncAxqBymosD
5edXWLbaiOZAabeiiFnMwN0rHnqQnCxNXUxlDKR9XKXF7aifKnvaTd05ROGy3NbXJG109UdCqUlA
MYBGp2zXXafce02Ig7r2PnH7BGIumxMlBX5qA7SigG0JPFe97jfO55DRZntMqNiQVomAiHyJqdjL
EeYX0rlqHk38VGzmfKvnwW5/2+6DPl01Fl1hX1pIo2mLNwOYTTPSWKzd1SRNbVji1dDhUsvWI8+U
NGn9YmrZu17WhrMUOsnpzeufzABUtgUxFJ00Nm84KEJU27kttbEercY9xdzpXUC4y24Bc5v845R6
KVAC3waCWJvw93RiBMOKqMhG8ggkAusAEC/zQzjRcrHtgqtK0y7dGpI0NRLWjCwwz4xpdBTGX2lH
PSX+O+2T/WsqabslmHErtOsxeiLQcTXb3mqUkEUN/g96mabqlEUXHdmXhkEzEpbvLqtjj5WM/jFq
z4WNXBNxWRYaEUh7bXUfblJsEnpmsqJcK53MFpY4ruVdhM3RzvAfE8LlLBP3zefcGnekEW4m70Uy
Es3RsA+U4+MwR4+ILvMJrHZN/phKA6gdPlFhV4cu9Fn1zrbnAKSMc0HjW5nSqOc8tJrcziDFarwI
XDz62G0nBg+7MNbSuHUW60N7noYEo8Ox9B4kfUr1TaJ/Rh7utelaUi8aHZRBJp74vaFFWxBl1+10
bN1vjZHKFBelvY8Fu6B643qvaGo5XXeRRMUBkqoBmPLA3JoLWIoesCDnXSwfvRqHUBFeD/Mbbqdd
bxT0I47r3u54r2Zas4Olo8QhjOep6QIgypH5nWxzeju17spOdmV73Sc7eigjfABj7cv61UaOavGK
wNW+1vqz2bw2VC43cjeC+XC29nAW9SHusV0egoKOsuPkfrRsGdk0cyQItL2w9Feg1Nd6g58RNmtf
U8rABgsGpW8oauoeXMzZOZQLN64vSERS3RGa14kMD2r2jtb0XbAhG6ripCy2BmdtNqFi2BtdJNcO
lQ2t+2KHmZ8WtGli2uL2MlPTPGFNrZ5URw6cm5lT6UDoKVqxnUPB0DvvLTM6GBXdNG52rWLqUqJs
C5OMdUKz+ulp/h+oTctD6c8PLSlh8JhcNqAo/rQMoZ4xqTzCjuvK+eTrzgDIOGi+e/HfAmf+5hf9
ycVmD402BVq9qFruaru+7i7aXX+Jq2Knb4rbcK3+5oX99amPiUBIqZu2CxDgB//mp+dGkFWu08RT
sB54RTby9KhSXPnu39y+9b++gaBIXYQUgHiGgKr957u3dLu0N5dno7sCC/BYGGhnTevrr86z98hz
f1olD8OeHs7/+pMDc7m8Zz99eAhpLNT4D6wmYAz2D1nvp9eodAevTgtevZktPG9FcxGBnVkhVb5Q
aoj1LUBGmG4UhV+ezuFIUDUVmzbVybGK/FTQeZRU9kVbqYd8SeObin16YtFrYWh5gvYb7G1T25dG
u8Hzxb0369V6CBDILVz2vq7zlHFaL2dRI19CTMjcMOuHxMtmal4MaPmF+nYgeZO1jIGVlfezDr6k
RrQZXPcqiDuMIDT2gP5OVPXdIqhv3JZTCk0xVRy9uwrfTou8jY8mxnYUio/aCO5mbXxH4+UfZCo9
8CGrFd0U944dKWwriLr1FD21TXEV9PaTICXjz0H9OMZCbccpZiPRJ88wgY9REx8UQDF6fVDQJzXL
dS3L8ZgGAe1vzQxwHEAbaeZwOy+x1NKBrKO7ewOechsMZOwHGt1ShbVbtclH5JYgW7E/k/TLrXUx
EUoM8ShyKJ8p56yNndNpx27kG44HM9z0dXsxZ+DYAOF/NDl8ftPLlU+5KMXkBZVhEDPonDaPIE4O
tsFfPB0k/SfyBOJhPUKzW41T8mqV7nVGqsEdY/5bvfZT3qwMHftUmYT6RWeyy4G+o/HcmsbQXMPf
LddRKi+jAtHEGSlBNAMZgFE1qDXLWxDNw6Yd53ueexdZMF5S/vBhWeMpz+xqkyx0H9FFz8ZYAJmU
Bvl10EnrykASmlKb+HNreTutAtUyJovTvmxS76h7hHzNTKfguegfagcTqzdr7bExeZA1tdOsYXra
R89QtJDheaCMMLsPBPGXMrGvDKLt3GJ1YtFB+WICxMVb4FEwXoBRKFPcmqNLBcKQVCTF+wwLBkhH
cKHo88N0KsyK7WuVFthxisSvZ0HJLi0DtBNh4SAGy4O8ddQm7SnpYWZx9vSRPuUhhlszZa0RMSfq
bUqF2mD2GxjrE4PaLJf+9+TWTL2QkrX8OlVpvs2I3mR4bi5ViSrj4Az12/E2aPN838+6dsUx+yXQ
3RtL09JdSjoL2z2WoEGZL/biQykXR0q0eFMQ0NUmX/wqpisf9Xk+Rh1+37Doms0QLZcX7pZEo9mo
we+CGxDL3KTN62gxw5imrbGJkp+oDU/sDZ8TfDMF/plUFPc1fpoAX02Kv0YLg70ltGrVRlRxEVx/
ixYzTmN6e2bVz77RTrjoeEfxUWXPtVWcuRDuJ4w9XdM293kQWC/1lGDCr0MeYSEhcXsiEaEtxiAj
9k6aCeyhCa1DGLTlFaldb6UtpiKBuyhabEZyMRzZi/VIW0xI7g870mJMahaLUh5T5dz+sC0tBqYE
J1OzWJravG5Xys1J7niNH46VQ88L+A5vqNYqDI7cQCD6zAi2c7mVnbPPaCx2Gj5Zld0UZn1lsMtp
ClrOp8IvqFWs5bgOOUAtNuEwfDN1+rkpipr5duYVfUhTCr8l3cdoK44q7yCbX7tGcB2mHt+9CEkj
JIMyc/jzh2y+nYpXG2efH1XsDCuEIqW4K5hj9e5m1rvtDFeeErclSQp9Tu9Yxq1jh7FtsO6qOn8P
eZYYWJu1ptmpPAUQWo/rBNNu6aV3JQYoHTNChV7paRQcKMNOj4XWJ3vhNo9al1+4hfNAvcN+KO0d
GUccZ+nQHmdiNnGrcW/sN1bsLj3P2XbMuGUHTrrTh4cyPFdcU/oYw/Z6TYgjp+Oxa0Wz7TJ3z4bs
jIfuEFhgNZbSI1es2jhe3cnunlXmla6bWw6eK0I3K2u6JLLFV4Zmw/6OHhlID682FwiCO9tt0jDd
PjcT3rW5vB21bL24FTxVvrRdcSTqPTg0gUwJfUyIT/ptniTTIR8oQyf9zRF+UxP4WaV1tI9HaK8e
LUjgWVYypeOd+0qHoW3y0IxJwXiKtjS8ojDqNqyLd3pFuK0Rd8XSaxwNz4FXbFvvbSHgcFdZZxyV
ELh5iJDEIywn4pSSWrlCKvX5C3zPzfQRi90059dFiEzFkccAb4ZdjWe+3nHbzJGx1THRmJwbFe/7
ligQUqNBtVZKGKrZxlRY9toiuw0nPZ8GesC1K2mxn6Zpixo9FEa/qZNtnwSPacv6PbL8QaO8diaa
VShs6Tw9hLiMBnBtzgAmQ65cfNHZBIojLrfsRy57cdJZVgzVOQ6U3/I5RA2SnfdlUkk3khTKo2aj
dAkFIvK7Av/UnG9yuldtegwL2gGrkkIp7m30+IDLWof6VymytSOnnZV/1LbaQUN8bbznWYktJWlZ
71IgT/EzHALeqTSHL0GXk8H/7njU2+ZtlUDUYzseU5HYhtEJINKWkdb3QgGeJvJrBpS2jDApVBuQ
pocu/sgx25R0iXYRX3C8/Bm9QnRawUqm7UYHb0xRpDmt8FysNKIOGUdm4n1xbvgJlxcj080wYl3V
KHLnra/G4KLIxUEGHoFkeUJuwX+KG6aaoMDYF2l4kVacNWa2G9C1Vy3ogiHHUx/U5P74m8FZtcU1
2J7VHHhfcFn3hclXeuDT0OiA7JKbpJ78tHweICONxqWl8lMoTEAIdMjH448zm8NNy8M3N+X3YXUH
oW4dEaGsVeCLSlH55R4igx0PZlAbVYfiqCycAB0LHs0Kr4BL6Mii8o6ecsLGiZ3vvGjc9HRu9UqC
zvvWxy9CWPtyOAN53TJirHN8yPBf9hY4qgBqHny5K2EO/qLOho1+aDr7yYi5SVku+dZi4gDM7ODd
NTHO7ZCbhIGWTgx1pMDeoaWRDpNh/Gyj18DlAWP155bLT3TtOTQhOfLv0wdUmiUoDIMJuH+Klj+u
dG85A6/d3F4ndDp5oX4aPXEKC9vXedynrJ6k1216z75ucGdjDdxzh+OcKkg90UNMSS3mRxItzhaX
5z5AJXbYXHmsWXrF7gPrpmaAIKI7xAqwVUrvKlDL6PXkhm9RRSOrekxdoFA47VPO41BqGt7MBTxU
iv4izYaVy6UqR9pNBj6pIdiit23cjEcEbwtJdK6seQsXfGtODMMM8lp01xrssqifEazJOuOZzdw2
6CffEF8jm0hd0zekaigV6bbZ0pZpaJuZgurB7fwpAQwS37m4HOrm6Gkhf9Vpl81E6Wv6q9BpCqfZ
d/nVVMTvYdNehWW/qS1zE9vZRS2j50iDyGkkSy2Mx5Ej5tg/iOLNloGxgQWSDWyiBIkTSCDh7PkB
bWqQnv2IvuWxxpOeasyzua+F8luzxBdhIDB4xj0YrqMY4rtMBg/46n3TCaifpqnU0h+0uHjBeL7u
gPJMk3UhtI+lc62DOKKJlJsdVHZbkKmT+EiteD1Uit1pMm3ryCB14L7NdrZOEvt2VooMCSVleovh
B2dKzew+0AI53jnhhDcDgFafUrGmts7oXGccegk51fexyduDhSvronWQ0geFszpFE7HVtSsfIrqj
zXAHwDFXI+Wdr12hcWG4m6jfk6XgVvit5Lkhmk0GAIsTCT2UsmRnxPpVpmOJ55KwNwa1gUG5H+BL
yRrgx0WYKD+YXjy4WSNDtT1hoTsR0aKWjxKXkiVVZK10CJKZvrQHPfJTXY8oixAS488b/V5/0YHC
VFxyEmRxpLZYWDCJX2kMBWny6tIzX9ORUJbpFkba9YCLa0weS6i7rRNuOd2uA8gwTbFnP843wA+z
h0jeurSk0unjg2ytF187o+0IPADgku8Uw96pbxYIWix5ilwC4sbkg4K8E7W9cfC0Oc5TBuKCGj0+
xPluCLu7gO9hraEErgnqRAPEUvp8QvHADvFu/j/snceS3FqWZf+l5yiDuFBTB1yrcA/NCSwUobXG
19cC06o6GI/NsDfvQVqmZb4k6O7AxRF7r12+ZRLrJuZUhnQpkng9jlTROIA6BdEkD4q1ilOqGB5P
MGqyxc6nCm/U9AWUmZZsZUhPZp7spZgISYMUN2t0FKYb1X6QP8L0p8eXo8mBM9JfBozKJwA4wkz3
fS85yPOWQrnTPY916JU6LvA+su4ZKdPUDtyYJ84aRP2RRrbTqkufUaP1PSE7zZ1RsYpDd33V+yvW
/q6+RhPDrIGV0z0+J1tQ+QcpI/ldNwe3/SwROLduaG3MjCw/nZEw71pE58FDhFpLwYsJQUnoL1PN
IcDY+FBU6yKDzDK5VO5UMkdZFauhusfIwHaNGVbWeY6Z4Ljn3JF5mRnFEq3ioqrPwEEdGbsHiN5F
T9+a3Er+VfVOIYyG+lUnWS291zm3OoaZZkvqCX15gQBOUJMGOGrgx4m1QsiQTxGiyTQ5CCaMuxSE
oJCCZdySdSzdIIDaxNREykgjz5+GqSz3njkxN2n85FcWvK4es8PjLFtFMVgw8mpPGIw1kgZrWoXh
hxjfvHHbaaeE+y+8twnP1ZtVWlDXjVeTPiGQtpF3TIg07I8xx+CwSSd3PpL9LRqMyb4TwTUO91r/
AnhDG68acF0eyOJgcf6m0jWJN4l8tjB529E2Crdy/SP3bW4zOIJuP5VORx5kTf+K8w7Epx0RZ65l
jAckUGsaHrlmKfv7hkVuGK0M41LmFXwk1u1D69ZYFCtpkZkbQjwc5omlvh7I/ks6vsr6ZOUnmXYP
mwc1tBQ9NKT5Rp2OFaJG+X81WeyWbtVC1eMJj66CY4vJvBNGSPKlnTSf4qB0G5b/V8/a18M2oJnu
Z19gt1VYBqvNxpZ6+uxHRK96tjWnN9EfS4GLQHfVQnVTDZkCCAIZP2C68AqyrYYFk+aw4sZrXCbd
zA02LfYerARbvNK6+qArh7G4TZITGxoa19e4XY3pR9S4dviQ9jdFhc/dWubtThspdan7Y+IZr631
Y9DWk0mpAj2sBBJGg0YMa7Hp7CdznJiWAnTurjS3Y/vedj8DKV/hYAOaTiZCO1GRmJvUI3yTu1pV
o1utZo5b1vddxdIlMGGV5Y9ar+2KeN1yS+Tp9FQZ+jlLK9yQzWOlQSqM1R+JyZxXivejxU+HWx5n
HEakM1F/PEXXWV5pILxUj9VQrgojWJjpESmgg+CWh/9QaqDXQk7zp5G4U6ulGLxgmuMZAFfSXBJW
4xMQ4pSnD1T1BDnTNC6a3S+z5maI7yRq6BA8vNKFLN0jnlTol2zieFaD0k0Umvt+G/qH2VSYEVRa
vHbM673oNseaydIp6F5qaRu2cNjKcoE4yq3b89Q9STSONawrpSCfFESBGDbZMCxlkwz3/NDl7xl2
Fnsy3AqSYVIeIu+xw+iuFqcc1lSrh6fKumnUOxNjnhw/jMoh4zUdTJuZa5/wm43GQ5ptBwQVXrqN
BuguT0YrXaIENhbSnVb8AKaz8HnqYtVfQUdfSPE2i3dYZjPxYfSMS4RbzwVjFjPYPaDy932+XKxq
YVcfVYS5mnRsh43fb5AlMHdb+eZNiIojpDMQFpAv7iKWS1n+5Ku8VUKS1ecWC6qdOQdX6Rg9RbEU
LRN164wzjXJ93GvKLpwS3utvHaP9DC1GUKz1cHBqj/3Gj4owuvhWI5Mt1ziF9WsJQh+zmUvajevH
px5zcCftxwQtA7VsrbT4Te9RaGG+xVSGNAfLc0mBI1D5iFk/rOISInms9jNGmiAtEDqP4qJJKCeT
eokHbqfGxQ4eAO/+jyottkHpHcANQcxA0/1T1k41uXRoYlIlX+nD2YQZWqf2Uhp3zB/WfcbYi32V
TJr9oHLojyA0HksgIgXTV/NmaEJ6hJU1bBNN5R2OejheVtq9bz9hDXbTgqOcT0rAlqMO3ToybLLh
0ddkkhOozXNEfDqyCLrM3jFk0hEA/gVesWG1y+GaIi9KXSM8F1a776jjRxGsp4gSRrT7sUDKS6lG
WbkiZnGhFLeNr+39Zq2hN4mqW1wX0OyQe/d4mZLRMQJt2wbhfigHCtlmKYHWMKRZM18j8bWlJWHH
N1PAkiJ8UZQSGsgOeaATjMXCli4+klsWrceBPU/RXor4LQDcokm6k8/s88HJYv4U3+JGspdxTFAi
HJWSsX8/wYxT3Naq1nP1k87+JE7uebCqkFJl+HcaLnRd/0nt5+q0ddg38Y1taX7cPop2Y8lRrgYH
RjiYFKQdGsWlsCDjFaOrlwr73HaDAJqQ0+lUexB0YzTiLajXSjoqZYh7jeO49dgasx/qwVsEZ0UJ
D8x+UbfJB+RmGdMCOSKzbysxABhQuLBuWdf6a49uCJH/UoqPuckXpm2nEu9HH66UKcKMKdyeP6k3
2VCV+b4tZ7C4+l6W/blHnzK2FM3hcElHq1xhBwN9w88DhsfUCrT96crvzwm3lvClLQXSLmQ+z3G1
8RRrJ7xDzn8cAbpAGzSBwCQ15nBpvKi9TL4i8jp+OHK3egcOIRQfw1wbHmWd/arGw8cU3XUt6E+E
zLsMSVesTTtbGY8ZLbGU1A5L4QNkxH2sIVIyzB9JonD79ZxU0T4wR7cv5caJp/5RMfxtG46vo0x0
NuWmPIX4EPCzZM2D38nAsaS7zNLpdcxrrlXnNLKXCf6CxWAYW5unnU7vppwEqzv2CpDrr+T/7MuG
LSAx4gnG8lwNb5Igfy4DlJfxeDuEycrEMi3pTKuRrSmgSLW8h8GJ/5ttMVYJ2BrlegCOMtCfIhdb
FoN9QDqNJUZWV2ltrVS72ZAvg5WT9F02B2aX8NxbN5LE4lWl12lTqDdG7Ghmdk/YL6/fBGO8nkJB
KJPdWIuTLIlrAm6xi33YJNp77CE8D5MnLxkPIIVZdgYzwZb5HOOjX2SC8DoVNmMIO2vdIhtyh/nB
LbOZ2FEI1k31MXSliIhPLbOaTRFJRGynw3OErIq2DdEIWYnleiK49WhELfh7C6c0yk23ZMiARjuB
lWg8h8ZIG0/yAI8Y6fY2g/bRFGuLUCy+juBolQmJ1wkHfFU9tqb0pI5duBJVG2N8RdBZiRzo1YCh
tFIe9UpNloj1e75tDJLM5hamRV+axfQjhjT+SML82KlkwzYCirJNJrNLYA0xSfwIce4fiew6dd14
1c1ha8Yh9v+MfjGj+vn7yuvLTm/ed6GI14FuWDIBZcr8v3/adylKZhawfSS3oCJ+QO8sOWEjWEYX
xuvfr/RPifrvV/qi5WnHTE5k8MmuPOpwkaW3RE4uMBQOcVjuJ0N8EwImlD9ekKS3GXQua6b48tEi
vKNCpLrndlIOT5INosLO6MK4Vl8oucOexDV7OqThCRwQL+QbVWL/I3Re0zGjbQlx5I2cEy0UEADI
doqSK7rIuXIRhVZTfJd7C6y3gxKKsjonQRH0d6i+twpAS0CorTgZLMGU6E4NXyNeHB7BpYO5m1A9
9sNFb6Eu1TJkAV4ntFMx1uJsg99oEVE4p4COoaNylnN30T/RnmoN//8QyYRfyRcVZlg08g8nRYEq
tnvVg871tcC1tHuES3AXJsdXl7i/JPJJmfYt5ApR0WsffNSKWMbYpYabvrrzwUXRhiVoRax169/m
c/ahebbr51g7Eqrp5hCGmN96zMkyomJNph8KLYw06w8yOKFACIf6p5Sqm5qNEgb4g6mXdymANXms
2MFFxzSjw4E3K/pqkwQMdDSzfqZw3ErZi9DTrZzr+6EODrHGuZtL8j4PmBiatzEmlGRMrnKcLrpU
Ye2jLjviMMJBvQWjQLgSL4w4f45J1TDtdueh9PQwvmDmcgQgeTW31hOxF56t79TGuq9a5TnjtGqo
pUx0yx3zzREwxGBcC6NeJUHkqumjWSBHjWl48h/jKFF/PRrqO8s8ms2t3erUfMoy79dS/qLXDwlp
Ce2Q7RMds4/dr8dZFIqlkK8YvnR4U8maO3WwDmZsPS75ukOsO2x7AUiqWXUKnc+0q/RVp4HMGBZB
hsonH6ErediCn0aiyME3rvEwMuToGcM3pK9LS3TqeouarWD4BEjM6qq9RDycxnbF6ts1c6NBHjck
WFE8WvwD4NuwOkVuaJ5lhOONCQGv2lt2RlfP0RNuc+Oj97f5xMy7eTTHV4UfV67uo4RFe7+LENfb
Cja2dcC8AXXhIkvfim4LiJrN37mTtp6yLMd326cgknG7TC9madxI0EJYxa5G/czfW9L3qWDqwuAc
MbB4HGPAL281mcrjupB5xqLAwe9N1+nCzCmyWw1inxZcmpiaPWJerbPgThllg5LKUTqbJgNqa1Ug
uUIuO3o8Hj2/+B1hKIeYSbcD8jwzF1m5M2jUlTpb18qdJj5C6TRZ18lAg616C45Eh5kZTa9U7zNv
EYDeoyCFSqmHz21Ere0vQDZXMC3wNgzXkFZZZI9G8bMQP0eQILhGF41nnBvRr31pOQhMA8l2YhXZ
ovsqIBJElEZl/Epb5CqDt0T09xQSXzahSaugbUzBRpu78dLNbaAPMkiyJFqbIOeL4KYrtadROsTe
vpLvCmUted1t0rDyfB7GmebtGMaLCbUyZV2v9m+quUvNdQlHvl229gX2YZlfKiNx/HJl8qdP+YYE
Y9qMcCESZoaVTix9yQ6qd8rEWhjeOs2ezGHdJkS8CGWpTtcpJ8jPShzhPY8CVif68Zg5Z2AES7vx
SH42QbqwkR3nQUhNIabjX/eGVVbfSh94wxax5iop0TOkptm48xjxgPjgqZtvliZ8omkOurOPuqq8
jMUpQmmHiwEGEEzi7VQ9xnW68SKgO/Z0iMw99JEKceG8TOrnRnO0K5Tk2zhY/f1Vpcz6wC8qEFS2
qj5bdbBT/fI7f3orjpXEex1hBFNXGixG3YxxGWp3ftnCIwM0zfYzXdp5f1D84d5MiVys8/u//yVM
648vMFsljRUdii1/FRJJgMnyeILFkUT6Ft7bmfDagzG4sfRQ0KEiLIu0i9qSn5QvJBAH/UCZCw5h
snmHMMFJjpKMQKq6jUtlY+bWtkY5Bq1UYlSQh4+S+iCrWw/uvzo6NkIXOHrq5B2yigbmVVYidxpf
bcyOLKyULF1PVeUwqavYqhPCNKeYriby3m2OfmlHbKQfYMs+DKw3hnClZ6ccPjRTvpp/B8XW0ZkS
nus2GSmU/Em11S0K7VVqTgJ9SoPmzkTYUVGt6fVZUgjlC189hUOADVtM1sA8C8B1tQxbLG7g95CI
qZCkM0NZ6PJK5QAsxmHtUbYnOe4hVh253jp9IFZ8rkVTDjeciF3yWnlwP4bMNb1dDYoqb2/GnBdg
IiGGuVjjQUOPk000P/xzCcUoKCZcmogiir1Cq4ifuxiCncmEvhfo0moGj3TWjffc4z3I6wXUswUl
cOZtlZE4JVCABO2QQDXdmv4WT+Am9Z+pqpdleVua59oynbD/iT19kbN00ADkpMWekGSWqeI+EtT+
bKd6Q9u0mrUbsiM71UCbTpNgfypeI5WSlAlwltt7aH1rAzApQslF2ywNcIf9Kh8u0oCbuX2wBmYH
+oDKYWOMP8k4WJoKI2qSOMpjBdDUKnQCYK1FGDC2nJwA3aGxl3RjIRj/osG0JqICESDOikYEUZN/
k/U89u19gI++MASP/rgbOO7aDmVrmy9hDbtB+SNGX5eYp1zaK4iDgx+C+ZxJWzBaP2rirjBObmvd
vAbZFQsws3nAR723LepzUVT3/Cpe+iQlSFIvvd3w0lpVfOsWIQyNceOxCLAJejMPhI0BfMpj1gzB
EqvPpqB6B1k8U+9N3mvtcBWwGItHhSHhBC8ZGOzKii1gII5ssBVcCPsaqSzhcZ6Ql1iTam4Z9038
SICTp0FregB3CJKSfXI/lKwSQcGRocpLN9YXujLy3/I7G8G+lRWnqTHiIlwwevZsWrlkL/uzYJqR
GtfEWAuVMrBi+6ag+ZZYJiXPKkGTyEgRxVr4vyVHRn6ejDoPNI9NdCZugXuOZMdbqjrZ/2nFK52a
VOu0hVlf7el5YsavvBO3sAA94spEstYMEPR3Tbzr6bQlbJEUgC2MA6gHvGPZoil+TrHgPdl17QoN
6moFZqXf+q1+zBsmvxVHAbWLsa9p77Jy4UNKD81N6FHX1QxQy2hJTArmaXz1tSt7HC2PHSzSKOKp
QVSdvTc6b22fXnHpw0ZlwxdEwznP2YjcDGXNxJmkhljje8ekjoYoLe6G8jZNOljvzy1MOpCUzqh4
5woyTOYhReaO1dmmYCP3WSfr8Qs5ZwL0paedWq3lRclKclX3L9Q+XX1WEBnQ26ejWxHAQZwuh8+d
CRYN/W6OfFFhTSYFLqRMx2DV6537+ppNHHQorTWFZBCwKna36lub+BnDjXV5rRavFbaZRlaYT6KC
8LivOu0+SJ/j+AZwk4OYmkKr2QTYxvSqcbyQWbi+lvSdnJ6jRjtQnSF+cDT12czemFVLYjsUj2R4
un7Fs5hCatUAUwoGVCu93ftqPNujGbq/iAK09LAnOJoVVeh0MkvE4B4I1xKGUpCuhQKO5jQyxstN
dAXyy6i8KlRbdnuMw0OW7RQgbgC9exz+rbJLpGRTpeWzIYKNPYltMAxPXjmuYsW8D4fqlCh3s6qB
pfxSBmvQs9eoR+YogrUGY0IV/qilVqwLftaEBhIqufCiVRGf9FhZ0GMueh2AG2koscxKhZNEPmkG
46fqLoiPdSczMFxn/V41GP9Pm9JYBdIzjNuFSUc/dskyat9HxiWAzXjmdJYizuDvCbppm5U/WOsZ
yYEpTwjDgdObSlvhn6TpHmzSKhRXkT97IAXrcqKn0bZByzB/lAHjHapyWzH3Ho3gmOCY7EL8+4W/
NvznaEg2c6gsKdDmFsmKP556RFe66u/KQl0q5cPEws4Q9wXdVJBtcZOi1UkXWX+crGDlJxuz3xB6
5xjFqSU7r1MwDmJFLTumQm2yVAE0QTBOh8wJbWhaXrKIPJq36J0gqNxPqX9NDitUFSiaYQG7/iDY
pp49tNESUwHVf+u6ZhdWTxHOO8tEI+rdiXnwnrxZgboR7HKSgMdYoSyewpXMWiymkDZNwTN7xQU7
VKRGG29eWji6eqFhJh+vWg01ZSHiwmwE16UQGdU7PpD1MefNhghAYSDKtMMlIrdMlmG+89srQd4L
me6zaD7K8h6wwaIMALXaG9IqmBQ+K+mj8O8k+Wdf3PTGTQNUeTr2bbtrc9QqFLCsg/x55x+4DcRx
alrcrqcg2CqABPx+x2vOC96HdNnVt2Z9NzbwReJjyO8lZO3S2sXa1N7gQRBAAUuM3Uu0Cw2eEaTd
SfzYAZIMPAM+BcdvVd2PxG1k5WPX3Wt838Ct5rwHxyg3rf9TWPvQ+9k0hzR5geeHgoDSErxGEN37
tF5NL0BuL0ymBbFpssjp6cIuAUoZr74y2LobSDhKUh2ME1XozLuXdF7ALwrDGgpT3Hk3SueREVOj
tDkRuUgzib/E33vom5LkEICrUEN2LCGBQUxWOzLKGj3aFOhyJTnZVsptEhWuR3c12A8tsSXEAC+b
QXPSdNzENEuRUHdyjohV3teUQbTNYlB2QTQ6k3Fnk3Vosi/TRnZRrMeWkIoRyj+mcnsapWru4rkh
8NUWOwObxQzfpNaF6PbQQScFs0ytd21beWnFh1Z/s6No5TEYyIhtj1+R40DF5JnaT+OdQZ1fNyc5
iVZt3uwbCJtjYLFlUJxMwfsYS69eF3JW9y993r2r/SGzmNGLd+LFUxSFPmpTy7+plGPIC2EYt8yd
6VCyhRVUxaIwrdc+LpaMFJbT+99L7K9K81/TL6BJGOSFIiM2x2f3efoF41/toRnNSnOfraOTsO5w
2qPOzbawbidEgSwg9oVjb/PN3y89Uwf+0WJ8urT2JR/SH3zcUxEqYdrNAWlP8DYoVCtoPRlCRcOm
5gTIzO5GDrve0Q1eBUPS5o4fMywycNq6SehdMmG5jULhWNnNQ5qXd0ALAv6M9JxDX4cLNqgr399q
9rgPDaJZvMm7VeLxtc850asIVBJe5Q/FQKYgpEReDB4LIxG0+5QR2N8/8Hef94slK4zVZGA+65GP
NPAu3tc6A69vfs9/Nkyqpqj8SwZ7pcnqF0MEFv6AYSB5Tyr5PngUnbH36WxePemVud2//kC/X+zL
vWPFWU8ydky4lJ06tf+RMDUu2R/+26/tt6t8vU28Lg1HKeMqclWekaxcQwrZSsp3f7/MF8sFD8J8
GVuxVJARRFV/+XV0fH+yRYq4K2nVpq7BTOYemXKBtReZ/M2vNNsLf2+uuRaIDHyqc/jKHOXy+aGT
wz5XJ4ssCnzzEK0Q09TfZED/8dP83yuYX56tEjGl6kFWctPUe1cQ+MoGogYvBcQ3fvPF/fO2/u3D
mF++ODuA9gNin/k5lhC3Ebq6aTOK9Uiri2+mEt98b6b6+/cW9l1ukhotuUQSEnGn8xJpvrnb/vjF
GWTl4C5W8N5+cd4g4G0yL+UBQvQOeXQWSKXLIvDo6L+7lDL/df9xGxjcbPASufGULz8S0bdNqXcJ
zjGHVKiX+hivoXMslAfj0Vt+Z136iuP5zw3+6WpffieR+tpYNL+uhiARWBrxVqtmQyAz0rK9umiO
xHt+c0IQA/LNZ/zyk8k18vxfZ4QyoBpXOmorySdFUB22MV5G9qhRm57iCEEkOvmPeqz2mu0fusRY
GjQoXieWwsd319JzmRXTjk6cQCuxnsrYS5NaVbtdjxwt8wV9GzYfX99Zqe8STcpo8RltMQ5ZZ9Lb
a568GUa67D19neY+kTNx92ZMCsuecK37QL2C2rVTYN5yzkwrxPpALwSXTdLuIhk/pUpsD3/xAER/
S0Fvgkb1my0lpN3zEuFlbRvlyrDuYr10IOuuO3wyOoX+RKFZPSGxXbLjX8YJ49WUd1YAEQkPZA0G
JrONdaYeO96CZvwoz3WN6m2COlwNgGKwxIihdmKEvgY5cZO+jLRkYRZYV6M3Uei4LqlIlGgv4Wsw
qhGi/01os62TwabMdTKMTZrfmbNrsBFtyShKkeQBueq8tSVIVAXx3XofGtOCAUtVigkpstAZwl4Z
c8SoHpJrHoiBqXlR/RDBsDIRTIbesJWmvY6XVGWd2jVnYECMTEV8JMPSTUyUDzLFQ6bEqxRM+ajn
lmNHgbeqIKNHJGvEGrFBsG+HMH2X0Uir5kHGBypP1UMeyQhwcS9blokZCjEf8jwfh6nSG6dqbJj2
NuklK4ezqoz8RLFHYkmKvsQyu7sJw2v4knX4TegibZEeajlY5UT0AdnlY5o3qWzdNknzkqAvKbPQ
rbpoieglaBGL8hurqNubtD3Jzanpm61t3APCcGfmSpg9TRFbkhY/Q1qsFL4qhqiraFRcFp+05HT8
RbUIlWsCA5xbMBb8TPhC9FkHQlL0399ZfzwPPz3SXw6rqR/hWyC9dXudac200tn7/v0KvxyN/zij
TAyrQtdgh4Fl+u1VFUhjKyceP78VSb8kSO9ZxVZBb37aabarWBIRykgyTHgcNY8swm7ZxGy7FXb8
JNSgEJTz2zofr2yvL5k8fLQlv+jkycWRgFOG2Yr5EMfm+ygykLW5vSL/xJEMdadaHTJkbQJmFBXo
Dj2WymSVx2mCAFpEh9oc9zZ6lH7O7xz0fVG1zxbut4VutKBuBecMgQa6U4LDU4rkvh1nmmPN/dLv
bAsh4WD8mPz4WUaOuvb7AhiOAhdWa5Tqm1exMv8K//gKLZOoByGrKt/h719hruvaIPlUFo3L7Avw
GiCk7Vu8NVaVwxx1+/df7NvLfSkBNc8nhDiiuMgTF43gSn8k84gMKqdboqZl5uR8e8p/9wm/1DNR
oqt6Y/EJTSz0Szzbjgw4wEHCWq2mJSQWt/7G+fvHO58v1ID0NSNcv9z5ulbbIQUwB0Qb3MD6P0ZF
8M3vJv746vp0jfnv8GkFgn5/qqyKwkZizIsXTVqlqu25ZK8h5dOuVtKo6AlxpJaGj3gxqbj5Amio
NexS2hH1OhOajbTETZm86L3KT9+hS5asqXEacyC+Ss0v/WQTeBtrJhRRO6Y/DcMIfjEWY7ND3e2n
01od6kPg1yxUw2YvBz5iRMIpliYP3KExMvSHLNudfgrWWse338arjggbW5U+DNZwmZeTXadcCjvq
UF0O6c42Q/WbXu6PVdOnr2quET99VWLU/bgQFGZ+aPVLrUFL4xEEMlnedGNg1P3m3PtVGX19pHiS
NA5XGHTC/nK9sdd1OFWcSl1oXqjqg2UyKNFjXHWEEIDpJpadcUIqD6vOFE8hThTn70/Zn+4NFfYL
zZSwZsLh7x84akyKt4h7Ywymd90fdpM270NUfKUCtahVVOe/X/BP37BKlgyfFxgO2Yi/X7BTIXs3
eO1cSzcO2Orx77oRIxuB2e7vV/pjoQgdBz4KrxYs/F9KNpvUNkD8v84rHIv02sHO30XY8Nxhmd/g
BwldPV99h4v84wf8dNUvTzT2MShLCsdWl3lE5ybpo9Hrd908lo+CNv/mQ/7x9/t0tS/PtpbiMAnn
GzYdy40Sdg+VPG5rpdlHdv1mGtM3UpzvPtyXX68wTMMKfjUu062QPvDngNtZ2WDf/v7bfXed+X//
9ByS9UGS98hPV8o/PBZkXWATvI4QDnrs36/0pwP4803y5QEQcRBVfsUXOFN0DKG98LR986XNX8rX
hxy6JMAmHd6T8rUjJ3GlqEXa0Pj3LnBAp7R2NevQf/85Pl/ky81e2pghWSVxyAM9k8OXUdz//QJ/
+kk+X+DLfd2ajKs8eV77WjVO1hPZ3stSIa2cbc7fr/Snn+Tzlb7c0x5JR3Y+cqWYKdmEQwlZifvv
LwFZaz7p5+P31yvz0/1VlJNSqnPHCpcBVIo5Xa1Muft1jf9PRvs/QM6IBaPv/n+T0TCjpa959TJ9
paP95//4P3Q06780XgFASAyDWQWzz//l4Zv2f6mEiMkMl2TQ6J+zgCUFcJoMj4W4X433iDJD1f4n
XwwevjH/txbbed6oKD7+DR2Nd+DvD69GjhkBYxAFVE01+DO/nHjgV0HTh4oG3Yp468lSsHCXWnnx
RTU9yowhHjsfvDYkTnacrOErw/qQSu9uTIh96FuENGBVUNtpuIMgPuA8B6+/6IZpYidbXKQAecOg
JsUyFy3khoT8c79r+m1i+ODyJZ/NXwx56sHwRmsV5vRHQ2ZijiS0eyEbAWhRHJOp2txlM/g87jFr
D5jbTJ8xD5mCSPVxEKEkeCevajOBM8orxBSFGdu7JPFR4o59z3mhDisJgaCT6OCja+sWxSLqyRbz
E3mk0TIS7VH1tLWZ2B7aayXbVpZ01uFQ7lSjOGsq0iwrVuxTW/rRimC+DIYhQYSqSgmZM55a5AH7
gY4KBx86+2RUmD6cqRa19fBukRDMR2+JSDS8TZXrg+PNIneSlV6ruH8LhXZoA/W+SPsPzy8PwFxZ
Tg1P+SAoEb1NkpVvbcSbPSDUw1F0QIyNJOdsU+HXgjF/JkD8xqryloV5Xy2G3sMIUhgw6xUcKhbJ
8ghXse6lPiVrkpfLzAvviyn8kfRhCLneKxCBmK/BMAP558TZNmNPCv8id4wR+JWC4G6vCs1HaCVP
UFyH90KdSEmpItk1iD9l9+tBp7YaBBQa+j/EjtG6nUKiWMeVX9APCr05gsSQsDjJULkr6nNykBBr
d6Cc4Di0jCF9VretDokJhkHvDd5xzDO4viUGATmWfxSDwb2ZsWwIQbJSeTTZMuuzi+is2TgpIJ1g
KUhr2XCs0FgTF4+vCi4hfgLtkqcK3jLBzroqtNCRtREOSJv3qwmR5VnRgY2YrRVsmQ5gqInwBZDa
2W6wlKsMeUiNk9h7L7SUbV4pY1Sssml2+TP9aMr+pc4JO5BSCXGsDX4O3OptJ9JTo0So8gMpcfoW
4wE8iptQHl+yXAPqPTZbX683XiljhR7NbSkiFsVa92BIuQ00tnknDOO5C4eTR579gjQamSq6oUuM
qwkflFx/5BLrp0wxX0PEOvVoWizMvUs4tTNCva3PfYxO18wssWyS6VnxWxQOiEPcZiRWDcor6/FO
FVhqhIqhpSfWSkJLIEv05Glslg6flhhribAM4uXEZgQL7IymR7pEjTha8239ICqtwlIHDKv1RsZd
PooVoETlsjAC+WjOpg/NQlZVhlZyk9sBxE4ZZQAt2yE1sdU2CnghAi0Tt9SNEhcQh4QoWtZZAfYw
a1RgeQgz+9EC1V1HVdgcdSV7g5mF+6wxxlWj9pwgGRHLrjdBXeG0MbKNIaFsEpY4RJF9KlIvXMUZ
1qUobcMjin2TCR80inAgaia1JNybxD2HiH1R8ds0X42k7BojLp14xNNvV7uxSF9lv8e9wbBxGZcS
hh2Ja5iiAU5RjPAap9c4Z3EqB8lBSejoDIx9luo/g5s0WVfqLjk5aw4/e5yw+QuaAxtTjAdfl29Y
3OulvfbKOcXQLn+2oZGti7zo2dWzTB3V8IdhRvaeBNN2FRb12oirGB2294JrSkEeOWuZyu5uHISB
3q/3FsrYpY6RNuXaF7idZa/ZF0PDWliVLnZk4eJjgFdVJo/iZMIcluhOMScwrgurawQnpStEvM9I
H16X6BgdNEFkIVo6RCbPu6k7idALz/zQgmnHaZzQXXnrxJ4uQh6AKQV+5BSjuOU5eJhqy+27Cpmk
jRDItobu6JnqjZf4mL87gpljBWhFGyKqVf0WO6u1JaatuWkq015reWIeJibBKGrbjV2IjREiJdKI
eD3w8yNiEFXAeLcgb0hDTZJRiV78PBJzeNC2GRn6xlmb3caJfgiIZVmmZrzHZtCRhFIy0PTV/IyO
PDqnilnuUwmh8YiO/ew3QuNH634iu5W3YsY+TzMAGl25uvVnKHQCHVqFEh3NuOja994n+NElXJYO
nnRXmJvAMPYTnOncU1w7sf6bvfNYjhzJsvar/DZ7lDk0sPg3oSMYikEyKDYwSsChtXr6+ZA1ZZPJ
6smy3veirdvaMjOUw93vved851lMAGod7JwKkdqc0NS2b2Ox9Nu3YcJWq5UNcG9CWbcT1Bot3UJC
uU4m3HU5ga/BB704odYhrQPJq/rBYUzLJwgo6GHheUBO1kf8PMYqjgbAChNa2/WzfTHBth0jB2qJ
22bVOnDRtQnITVKnhQkLX3k74bqJ2Ez3qPnGFSUXZJkJ6z3E7BP+D9S3ofEgRnlIzwDBQzfRwBOw
4N7EByeN7cbpEmb5EztcnSjiIThx3yIPfNZMjHG/kEQYjLl6GCYCeYqj5TYZu5bZkPasBVU3V3rO
QxDu5bmeKOam2SobdcKbF3DOoUTEoIawFdsw0NmOHU4FpNAd3JZtgtTBSfNn8Ir8epF6W/l1zF4b
G39e2/9z3/2v/8kNoCL6vy+8h4zv7/X/TUlQ8tX/5db7v3/9r2uv9QcNENsyoApqmvXLtdf5A42y
ZgEbBGxj/QIF5tpLKgT5UVx4ueSSofi/1179D9Oh9qaFaJmmpbvWv3Xt1X70HX+qWXVTheOoGbyY
xdtguPtrAW7peZlnpAktHGJ1xAxMPpxQT1Xg0ZSB0aFz4TKzxOzBM2K2mnXpYa3gtO9S7zSkdgyo
J/GVPZkFRGNHariC8Zrf1oab0VCtJuROUqF4DUe7vq1lnxobuyG/U00xBQLggIk8b8rAufOzXqyT
3MOC4PVCfBSxXoobw8wrziggTb4bxLeeVpXHBrHDW2Wayd5oonSbp4l9sJWouMkUT39AqjBUKFCq
YdXpgbmg8Smn2B4nC26VToN9b7tqWm/toBjRjWDKyaNDGiX1MhB1+xAGNRyBjJvpXhpm+5DkQftO
qBvRhBKLqRsBYc29vr8TI/0EEk+14GhJoyPyiHge0Zv5wXKhrVYqLLtFVDTqKY/Rvmtm1Ny7ZZHe
mwkBgrqllt08UJUG1pAE7WdWhe1DJq1gGgx9vA7DnOGaZw4E+6ZlW6MGLQsZ4wYwo+vIlVWZ1eYY
DgvNk37KplV0+TJ1a8640TBJmpR58ZibFlSQ0jHg6pAugHlatvZLUboZQAIpvppgNDb1mFhbrcvj
N9upwvvKaLxd5DkYe2gSw9vSW+h3HQOVO7K66s1Ya+IpdW30U5GmH9MgHS9mFstdmffOTVII7FW5
R2I5gl/lQ0nx5YOFxDNUKexna9McXD5ynfUvStAX2kz2mbCWbjyBkeB1FXekbIp9WCfhLrALcT90
IxfsrLeSU6+IbuNHQMx6oxFTni4BUxHEva5IxCJRiZvoPYSfpdM3gqsZATmeZ8kP2BPBVqP2x0cJ
lRF7YBUe3HJMgnWkDQ5CNiX8NDJkhQFSUgCHabAnpYqXTf1q3Ee5591F0w0/GUeMjNpoNI8UQ8Fj
2HSMW4VDBIQbjt3GFEn4YTj04PnlkvQUKAJ7GHnub2kGz4iis99nUz2kJLVziYJoPCP+TZdOMbm9
rLar77M2E9w8ex1JfjuYhJ7Vnu3s0qmWU4ymvCqdibFHEp+q+DWgrmLUr+FUNzJnRqXj1RH8KWwq
6ImRXrZTDVqgBn6x2hy/EPbKdOu1ISzYvFS14+BkDjPrggBbP0iiS6lb2RtnMovaacKzZZI97Ae2
+drXrf3IuQkHICvc8CMkB5ILWx9STXRtA7TGj2Alz3MiimZJWjhvYxpVX+roNI+lHTeHAiu5vRX4
JTHHZP6RATbzsEIZtvoQd3yYnKjIUpkWnNdrj70zESx7M3ovK9N5z1Errotcb78KK5IAArpqVQA/
/OKg7F8IrCKi2RO1+zaQVY3SwvLLswhFt6+TyLsNqJS3fq23N61KC5x02pYKKmjDHiycXhS7wsqN
h8I1vEdyTLUTnvT6M0Ejt69tIpnagkjRmdBS+xZLiUOUZty957FqXctaF8WfHdH/nK5/na6IRv7v
0/X4mv+rI5W/89eRav+B6VUlbd6iw4oa76dOkvOHwWFmwbrlnPulkyT+mCKWJukSnUCaRvwhpox/
tZLUP+ByWrSfBCcuNP5/70zl1J8OzV8OVWamP05uZDKYgYxvh6pWGqPf19WwaKn0qKIDGJolEmeR
bIvChl3teyeAkgQzh802Hbi164gnNo6JOqjF1w0Pz4YzUdwrE8I6KPRqM3GpDB2lRappR01W912n
POYtuC6806tCDXrqIEwRkPiOXTJe4wwym4+KWA+UK4HdR69V7BXpK885CeozImvKhR0HrzIkEEiX
+PlajXJBIrlcm7XZgK8JKc5xl7hpCjGq3Cl89XS2m2ETCKNbiXAsNh3jbewnQGdKDxCDBPGqJBUw
21I/GRVc0o7DFj9IfjXJ6ZvRjv0i/XhvBuhPx9Y/pl7XryR+sqKptlnUPmojMsC2SWmDYTARuEiy
amMGwwZqa3CgTsMLEQwu55nyAIrLvRtDNVjqMf8M3b18nYY4Iurh2bcQ23iAerEnoR4GwoVXUwLg
sKDVzjMyW1fBVOcSEt7MEyGztcxlfixaA1+Tz7CjTKuTa0PH8iplTQN5g212pxXGo6zCfJWP5OcZ
OSEHDcxRJthvbhBu1bSEsuJfRlf94FLozovOtunskAkZoZ5kWJqm3oMXodocrXhfjfq6rN2jmQQf
qu7sU6hElTF+9Kp65ZwE6O6FGwmEj19FLmSX74y+3VmK3Ntqu/CG+LnKtK/RAfRBS4gwdq04qr6z
lklxKlV/7Ug060hN39TEP+d96y0Ji3l38KjOzR57ZebHHwNyBKy4AnF7Fr5UTQSPou9fKzdCbmPJ
xyLMWXImaSOFsWpMfmSO+Tephy/wRi9SXY5GuVdq9Y62n7mWE++89tKnvq0+29iFmjiijS0KdT2E
XrxKw6qEzAByyHd8Bv1W1c5cx9sJxUQoWYcL+kg3blesmsSMH3JDP9W6uiVKc1imQnst2I6Rt2Fl
iofw1kS0H4/msUIs2OTwZCJTf8jyDKx9SAXEbOw5ssNTqyHty31/1/rZV1JiKMe0RG4TwWsEUYVz
V4AfzMEGR4U8QjnUccrAdgwL+hLRCgYE7tb8Iio0In+uB8U807nc4BE4TeMrspyTK0Kv3WCoWH+G
c20rZy9tTj12EOhzPAIjku4MmtaIb3fsjr1RnmVpPpYhZuXUvTHtYA7j4FapyZoL6osfIPHHAazA
O7buyFq6jCMcemKMLXqkfjN8JmRlLqo8NwCgiejojAEJ1aVpzSa0PbeoFTPZZZVF9dIHcgnjdJF2
1tJkNyhpT+Z4uBCIYZDtnjLXWdd9vIsrjBRjrJyhYXqPYZmoO2Wsmk3kwmi2rWn/MCf11dgBy87c
HLJ7gOnMC9NFSFBs2OXP5Rh/eon+0QA+Q8lGEy3KPiNseX1lf0orOoV2fVagTmEYJ7oR27E3vbjm
PhgRnGBfcfQXElLTpRAF6HcBwEcoS71zH/w8DrdNysWnV1ydNqZ7lLKH/OBN+J1BqDOEOu0yaEy4
S1nXE/kM2EenhYpXqbwTdJsSwzrWxXhtzPK2T4dtE2lbY5iytnLYTjV54YCT0Y3lEVNxLwysDwtO
SZOxRxd+i3kXk1RkxJuKCmcc+mVX4T1KkrMqyhdNKQnHjcuj1qokoUOgIa7jlVC2A93yB9PwiQUg
vsTw5bp24eUNfXsx4uGupE8BgXuraXLbpqBL3dK7NdNJ0d9HB/LssW1L+Z6Db+qkBcoFrZtoOALG
aHxL6YmqSnwG83NbGuHn2BVgxWpiHrp9MKg3iqNd6d6yquM7zo47+MHwd+J03jTZPlXqk1S44HaK
dY3S8jbjzeb1sKmERlM8qJ78qvqsAxvGqf+pZcSeWfUlrfULFuaJngr5z7H0S+FEN41Fl6EUzqNn
ONvObe5I/jJmobAeoEx9unH+jkLtKnzrWqvmy5CJHfOFF4gK2Jm9lmCysOI8KB99Z/KuW8Sqjm3z
XvflSklpuUcOCG0tey6dod61xtgv1BguRK0iOFE0nwYJWRsOtZOsYR5oGvNW7pfDMUMRgI1beehs
79kMiqvh2Vs9ai7MGm59xYjmSovuigzVDaiaZqZQ266qBvQlHadnKyMV1LXDvRPLI4wJuDvi2OV9
vlUdEFyBDoRCi0x8kn02UYgqnNvClfXSlTjv0GCDRvPScRG2KoEGEvEejxTdeECBht5l80qMn0aC
Qce01a1AMblkqvxOMhkewyrr2CqSKziRaI5aQju5PlsdFRnrgGzoKcCnpSvfLb1K1G9sWynkPbqI
fS7FAleBtwyduDtHtYPQMA0ZZSROyMAmCRZmCt5UUQoixzKdo1RrxBFUULoJx5Fk4CG46aGhrjQB
Ni8x1JhWF4W0o6jdwlIM8HU1PhyvUR5slQxYWvu3ZVB8UOAuAyVZJb26zpTyrNuJP+8dWLqKa9gH
UQI/DhiYL4ZRhbKaUB8lNT8Z5bu4iZ2wJtZCLjWGb8SmAARzeQpXikQOFozpNfKn5ttIeSZEeBoa
75AnWjDv04B7UjoY0w+2gVJyUhvT4kBVzr03kIQe06bmzo83nfy3G3UwHwOPOJlEij3m2WuWuiSu
1kzXCJR/EC43HVS6u5KKCAhsCjvObQlM7jaBH50iI3yDSCABdBCtCv5In3rw7SHvYn1pJR1fopas
yAHhkaJ+i5PxWCIpUsIAB3DEbFAZxbNU0o8xie8sl38jGEN9iVdnT84Ytzajfy0CeW97WK6HjEEJ
I23I5ACUYqdEuZUdmlbhV5fguru0esuSngRpCj7dN4/CwyuXZ/jzMEBXJpM4NktSZNFReIbYEFhG
L7DcxTLCFZuVq1YUH43LkDNJD2ro0TEtV02T37QQN1PBU4Eo4ywjfym5Y2RWdUBew17UFA8EUm56
Uc7twKTbUY/hOkmsVU8UArLp/ShsZk+AtJilguVrmQKNIuWExb/Zc2PEOWvijp+3jqg3zO3CredH
VN1t/NAmxRGvFfyeKoznlQPlssQxgy/dmuIk6xpEe4dOSqjcB5tMJEfX0wsuRd69UgePgaF/pVn0
QVDmxtNTY+fxtW1GVRJjmF2KuHI2sVTXnVUedYceiQlLftZWPciXkX4Ev5kKQyi+EawAbsAXLRVH
VY7e3B3VdKXENNeJzxpBVBSviMPPuAdeeqE+eQkoIQ56AOehvms9ZkW9D5QTMyGqz6RV6fhOEFar
pQkN9m/ShFLIN/795Jk03bbZKCpNAjdiPDcYk1lSr66IU9/QPH/WmXhF7nmKK3ynac5j7ol1ntcP
vAVKhr4HyEVBT+5EszJzCH8hcH1TT+ZlbsfUx6DUyEx+6CrvrfbiR6Own52+egvrlAkqxOYlXEOY
AwnrU+v0Uyc5D/GaOKiRi3pjJdOnSSRxfXGbrv1U59P0XDy0tlNA5fgwlhyGB6FiTZdBDVIa1jMp
sLZm05200sRzUtdwNCP3IcrH91pnPFPHZb8swwzJK+RTwg+1hafDhNP8tLnRGmPT4nRZmHb3Cd6f
r/gQkn04+KmNITzXF9Q45GDoDZLcsfhq7eEDCcle8Wpa7YXjgvodzyNx34BKh1NJtPIq9tkfR6e6
zWLwF1nOD2+PDckG0DmGEM+hDidowTWgexn47PM+TtXj6KnEaaT20ki8nQ+pxgqhH8oG6lvUB5AS
G9DdvXoJp8ujzLVsEffB0zgQjaGVOjC0YLrioyMwuuDU4Yzv6hZ7Ws3+o+s9BVCdnBqVhOuB9IZZ
PtF5A3MIuGuwacWp8uLLsAaA1BKqoQG9jVwY5l4XuVsycW6bfLg1OliloQnHSPXTYpnoDcQQO7hY
vdjVAqJEmwv6tomZrLTYNo5aqpwSCYUgMkm/xuuv9SpJzlyZZl2E/V+407QstS/QzzJyNtXbUmmD
ZearpLXpVI4ah07hl9py8InXSBt1DaIrmIjY5VrCjSMLaDI6cw4pEnqzNGUJzZo/Frkl0ac9HBLb
Ge5rl6kjQz5nYTU8FFKEzanLIn2pJwagNEdse96yS4L4WmmMeFnECng8K2a7GQbsxODC0EmDdNAC
OKYiAZxiBK2/6TwrPAP+FG9lA67ZLNJmOaRjj0vCgnYQNCE883Q8O3SWpgk1rIfe5cpF5MMyGl3u
ermSEfNa32sOjUHusAbJTY0z19hssJUX7jPXJ/ItzcA/ARAzbvR2jOZ9F58ljyDN2iBw52ObX/MS
usOgmO8w3m3AyNA7cMyTMU/o+DzI6re8pp2EViSlM8DGadtcWbJmmqnq0YvooiejIyY8mayDdRbe
yZpDs9SD92psz5kJxkCRyYtThgu7+LDc+yQhxdIpdO0QJNhtK4/AALIN2CCaxAPXm8hrk1jmnGS+
KUUL+AgLLN41pm0sIlulwA/p1TNZYjyqF69ZFvRz00+YxOW0H5PIt2ZBBEgnUNUXIwn7dWFrL0KP
H10lfM5IMVnZkuZ/mGcpM/7kFXOstRM6QjuodZtag/XcozPfgDY2ubrCyNG0eJ75OcFXxP5t7Nr8
cqe6qyK8hSe1HZbYhmt4QXx9VqrC9ejc7KAKeCFGS3u58MJ9mphyMVDeeYH6guRVMP7vVU7CWNso
Wle/Vib36FHpb/CuIyu0wIKyDr7sAnjQmOmSiqzeGoHaruyi4Kkv4XxSD35VIMiQZWCJSRLgvpZL
wZiqYbdC7xLd4Yp6truG0jyInppGAzokT0j97ro+NiehNYuEeYGuo5XGjC5MBBMWESquMP40sf2n
TTiJzjTQOb/rEq6b1+G1+hbH+edf+qtN6P7BjXnq5yEuc7BIMkLrPqv6//+XQhwngzOsIcJhMGf+
yAL/K/Bb/AEwk86MaxrM32gIamgS/2oTktXJX7D4f00XzJBm/1uJ3/zpX5uENCJB3KFdcwwcAcwJ
f5286Q0wg8FP7EUZVI96Bdy/qgbqNf25kuHOybM739QOtH/uAMDOPc9cjAi0UsPf5cl4wfl50YF9
erE6s4U2N0s44y04gqIN7n3sVzbefzKPt7kvkPn7tLmGMDrUnnYj8Vh5RXggc4YLKu4KTmxZe8rM
JgpPMeJVNt5YZfaUaxogfggCabOvwmoTZfDCh5Hzw/Xxow/XwNfg7w7pWhHqWfcTENrDIrP9fQ1u
KSrdW4Oy1+07bEzodqR7Vl00y6W9bpty7/mEvZCwGEr9mocftOQWnaLQTYBdUI7rdii3nWlBrcya
DXrUQ6KmfDn43FVYXzZP608L6Pxnc/b3CZvffo5vslcKVUex+tJe9K25KBpzlyNmAuwr1oXMgXGh
yQrcjYwxclp6+t6UkN2kzyAtXlDl3I32sK7CDgFFtDVCVP3hcA69wJzHhjbTFLF2vGpeJzRJBYBT
qmCz0Vdkuyxrhw1SJcPyHxwOUCH/1QJzNItlNnkOvlurjSDNOgmWaYGCd11o7iYNko+h0m7GJrUW
JiYvzZ9iH8UNBehMdYN1DSUZeTG5Uuky1l58gzsItycbvI7ZQtqfFA/tRakBImTBSrb3dfOY6d6q
swgRarVdDRbDqt9R6NBdC7tmbrpikQV7r99TTTDiW+VgGUoojMYBIQ/2khfAqyuGKDcK61cz8C/L
aGkBPcmvXk/kGrEQeUUCbAQ2GZtI465EZ3+FtGJH4mS4bEyMZMUCSiY94pDtAeyAcJJPkhDfoyn/
pXea+9YM3v2sODY0jrPsOSjBuEJQLC2Y7SnrH2AjxLxTVBVwg4192REz2CgzhDeUcmp5SInGNCpv
PfbefoQ8ZQfNOjSypej6nc+vhzyMUPpuXyD3w/1lfeBzDmYuXsK+e2xAyHVhn0CHSzepnx2snrIj
YOyWSO8sa+22EPEnMOAN1/f17xf1NNT4ZRDxY4/5aQl8G0Q4UhpK1pBpNzLp21qaki510dVzzQWg
2xJQte6U4M6VWBLVWvtMZfpiOfRwyTroqbD1+yoDhNVVfr7VFPtilmAsiIP9J6uv9i+Xqqu50F3Y
dv8GdTBUyETRmMIj7r2nlEjuGRvOx9A0W/A5TIfLlQ0lRAckU9X0GaqAeQDW1GySrcmDDT4Lwfqa
6eKm7vO7qi2vvdnuf/9lftPFIxDWXcNFmMHRgZPG+qZWt72ykqqS24s6cy6ak18MSW+7cwCxFyZi
yd+/miamf+/nIdL0ehxFhklLiXHWdBL9bI3os4CYXRWMmROjAbBGNqRoKwLYo7ZDO8MG7GluIum9
13GwYee9Wv6tG7eMPnTgvYp65LFaGL6+8vp2kzv+h64BychIa0kz+9w19W1rOhfEXUD5SMkxjGHD
AI1QYTboPCreqpT7YZUdeqyMPs1uxbDh7xjLKpd710dtoExxHwm59fW7DOCq+M06KJOFYw9zJR1P
El5xC1ZJV2ht4tacc+u+DzoK+47/LmnTKsgafMa1ZXWps+Gha5/qRqlmiWe9pYgOu7LYjpbc+C0r
stfUfj728j3gLOGbmBVZAG6IjmxvXHXJ7d5CxxGfg7Zda+OUCmOf07w+JfWxVz9LH1GDE25Zf5uq
7bZNpZLcw3ZDkN3KhhM6hjFgS83YFs2RicEdwSKPVQWffXQBjA1LO+COXI/NjW2FSzziHw6B1QjG
mnKO3G/NI3xMgG0VkQd3KoOYCNPONFYebOqq/PS0eBGD6dd6pvowdTz3HKKd1Rr4eILo3+pqDjap
Odjb01VUXIPCfvNG4rnjaGHRLBow4ybeJleVF0MNN1kf3iNfWXo82DVC8KBz92X55DVvtuE/l5w+
wj9kyiG2UN1CgB0ja+6BNLKadNlLdWVF0R3AaAf4S/AVJ9YN2dJzNbbXXfAunHXqcFSk9l7Si8ol
2QPZ4xhG7zIut2QgZEpxw+Y6qc3pP260VN4qqEYJ31uWLlJDnxjIz8HL592E43LYZslKVvvNiL25
0jkLVWve+k8Jl2g95YTIH/waGQedH3ovlgV4HLGc29jPjT2A2uJWHhNIi6DxqRbNTcEiQ+WyiBLq
JeUfLEI/HqnfPXLfPABDJ8bQDHpOzLCCIKMoYPoKB2FpBYnIoa+wHMp2C82aCIgB0OgQwFkYNPtc
N9XBd9XXoQCoVjnWG1XuC5wfxmWed+nGWj0krbjQlXpRJeJvSydCA83rv+e5+7FFMaxDVmZbkKHF
t+1ejVpETDZbVEKGKHoIdRUyPWIsrND2J9fj91vUd+Pu/7ycrSJGU7nKGtPp85O5JrZ1ovPq0CHT
iE2ks0x/OY7SPsROAlQxo98MflzMkwKMADtBlfGsWNa8m/B+umiYolh5ff39m/r7Lm1wa6fgc1wK
WFCEv76nsc+Z47h8BalN004P6OZCzVo7uX/MM5Ikfv9q+r98OQP1K/8RqNW+XeKHCKfGiEZ8IRJ9
H7dZyoi90tcy0x+rFmmx1hre3KNIpoWgbgpdPTspee1VEhwdqANzA3jymKgrj8xnxRNHUttJtqTo
L6BnBdOxkuajs2lihGJo7kjcrr0XrAurKmjXdAeCpWl6Kxn6b4JZ1crWqmppVmW/rQFxznH4wmVu
yAH8/cf+8bF+fVD4ln/62N8uy5nfFaZdc15rZc1AVxL7DGNuzBITwXG9SAONaGeXXKJKrSCXOZ8M
ie4cpk+/fx9/L6FoHOgsdB3BHDL2b+u9G7TUiwzpLJqag4ZjYlIHa3P0O+ESySXrzTf/weP391u1
KSyesMnIbYGf/+Ej+mnRR3ZipaHCR490mm/C4QTIRfY+KvbatjPOj3bOz32xbCLRmgHaxe8/sjbt
Qb989d9e/9uK62PHaduIBY466mQ15UtcNcx5bPnmpgAr9AR8Go6GC1uBsxBM+2eyQiLXFseEDvrM
NKFCBIbazmNpvpZEpawHSdi9zqCgmLToWdwzTJ4IojRVX8zRe/KV/PYfPsTffrgfHwJOL/c9FtJ3
N/IQoxPsywZ9iKPe1GF/ACTOtIB51BIh9/1oGtU8FsnZC+lByzzwidty4WdNU0M9wDwR9ziW3Noi
3Stx33rbOrgNiXO9UyH8r1zgcnZEpFFfGjfRNJXpw/BiBRAP0x8hJAkJYL//SP/yZ0FBi89QxyXz
/bamNE0vCp1qPs7sm7HloJNK+aEX/f3vX0f7245jqsg2ySdmh0Md+72qsxRChpgz0zawpwwqjTl5
Qc+OSUlUJkvegnqoywBaySgUPVyOiuUdwIYxCPHBOLQkQHYDiknj4Cb6F/U0g2XXJ4Wm9/x8QaKH
vGiW8hSI7mxXKi2EQhdMEcjaQwiabzxHdP9QpPz9m1MtTiw8Ry5sQ039tmNLZNNGGPFAhX7yrMfG
fWzUay1K/mHNud83LXpBwtS5TnOXRuRli+mN/PTkxopUseem7sLG1ubaUTNrjVepymWr26cuvaPz
gk8JPgoxViTF3kTWEyBjGR8He8L+kZCiL9vuMy6ei+hxmo0bdw4csUjsWJGzElVV0g7EdFgzXzsV
NhDZ+uCYd1A65lHU7qR2F0b1og6f+kqbRZWzjskhbMN0adZnlwGGRahH2w/cHzggqq2WM2k0v5Tx
Rbl6GkFvRECWhK3aOl1kIDjFQ6mScGTHgFgbsAxMctp+mXCVR3zpw3a5mh7FA1lm/Syis5ra6bwl
Vi6TIYhbc1Z4NCBgi6jarMA70RMDIIAyzIeinzNcWNjJjF6M/Zb6a5/0mhExNX80cvdC3nnw3e2U
LCPvJuSz+9LmCUvn3DPJzJ5L5AEwinI+WjOQT1m0S4/ULHV8g/QT4pPCoy/qc5q8TFos+5BCkGYG
cROrb40x5eT1i8ImWnNk5rMtO3TKW7+7jaJ3SOUV0lHgeUo9zLp6mdSrhjGG3azRmRiAPLt7cQUl
D4ypybKlOSyS9FlJb2qFHMl21o2POigei/G8eVu8dHDhwV9AnGcE7etXhdgynRQHO3kfrK/OXGvm
zuqvSn70moUfHvUnTz/12kKRKwt5FvPCRN919AEApVr9En1R25CKtlTSbdY96CTrGeENmREmcloU
cDSDQPcweJ2XIQXrFHRC1p5Cd+CGW3bRgV58LMEcTazcwb2iiyjMBdA/LyL7dBXKhUF2kWNixlo0
yqo2TmZyA/pNJXs2WdHpg0erh6vYOA3Fvq4J+itJ3Fyl8W1mb92I9DK+gSSaJ8YaUFKn7c18NxJp
WO2bbifaO0GiNIFjmnBxHy6DfEX5FYzHofjKXc4Ic+Y5R1+iZnhJh3fi5D3Wpz6cRnFLi8mJLnpP
0salLDhG5pVdAwbl/LuzahykmNCUaSj9GKZbAiricTuh5ICpRsEa5AcnzVaGzwmSM4orxuGkxTX0
K61Lw+I2P+x44+pr33vI9bVJbprVnAP1q793HVKZ9xZpGuOxqzZ+uRUl2Vf7xl8n1V1AjLyMeDDE
QpdiriarDFp1S2dmJAZSXxcmaNlHR67KBN0WmZmcGYtA7myV6MF7P9qUh8g7Nco9RKU2PHb1jV+C
jeXdYx71tsCM5QEf3ozZQ2ivWIyAM5N26RhHkKwRyQT4gJSrM14kcVs60BdvWf+ofZasWDkuInVH
DDKeTt3dCiR8+s55TDwK16uJR1efq2xKu4CYIopZ7+rj53viH2apYadw7HfHve+VT6fbuzuNJ7Da
euZrV97znNX2e+5PSPhRf9D7FkMz4yzyd/cendZs3Rq3OjlVvIAza4giiDPUEztEYSCuVzBQZLPG
NxnWL36x1ox6kaOYlgCATWIJiH7wS7KCIFtL+PVc7UFXDujwnNuMd1HrO5IEtOFBSQ4j5KqB6VY0
cyqotv5zAvyITD/yMIdqk8YLYXYHJATo2ICvZvncMg98+/l48dQPNj0VmZ8ZLnPzs6kvOidCddTy
aF5ghJQEHohyVgb3Rr5TKlwr2bauqA3Jbt7qxktvk/uyQdDWlOto3ydYekBcJ1tUrDDEDg0+aV+s
XUZPFs/Ta+Q+u4R51lmBQWIZgZdW+33CcE/jgUHuZKoPtd2dNdDgRdsx2mMclzLWLtAhZtZCbca9
7427oTuLW6nvOHF3qrykfsdxqi0Dld4asyAt3PnEDKbuJehP6fS/ks9eTdES3aaeuTWga3BpcCVU
wlOP7xBtuh8t04HRFF9hdquy/8bWzkeE4xpnjURGUq/3CFEcn6jhaeSYZQiL3a+ejmqHAzW0tBWi
VZRNDSOG6L4alBv0EiuDWAAs2R9IINajrt4WLgns+Vx+4rXOfAIbEF0FGyfYTGmCsfUkVFqqbbAQ
abPNXPzb+p3YMbXNERiP/H+DchY2OXqFvxrSG2JRZzlBlQU4LdXDQkFqb9Vu0VFRHmCa5B9XNlq1
l8Nzjv+1ZHvUAzrLMwvYM0dO4u+afD961sJCVXgakvVUWLnA1ex7I3kzOrwQ675+85Mnrb2llPL1
Z8dEYtFtrCDZ+Y95re5U9s2WsNH4XsMq126C+OhZ2jxiE4vzPV1gJV4J6EdyXJfRfXp2gmdbW3md
Pi8Qi2a9N0OTN5fVhUD6Uqy8QC6N8Bph9pjkXVp3BRg8d1ICTJwDDJhZ4+wHuifGQjVJ9bwt1FMI
x5zpfnHS+//m7Lx23Ma2rvtCPwHmcCuSonIoSZVuiCpXFXPOfPpvyH1x3NWGDfwNHKCB07bS5t57
rTXnmFD+eBjsAllE/YTDYSXLmy5dk4F+8uv8hc2Ui2vNAdWGbnQ/jKWTRsevmJ6QCs3HnPC0uWNX
Yu5bYDGOAKcFbCjVydhz9PrUH1NLZBez3fj+aC3q4RwijfLzbXlXxJnQyY7Z7JalA02YaQWb9NRB
iGfj2lg91x2kiVgjSW2ZJzcl6lY75ZNvJyTEINAhfVNcT8OeDO1Jud27NiqvEfJYyOdOuAyKl5Yr
RuoZwoB5mwvkfwIcN1FzXf38hyB/0CKxTfPJUm5xzjGfwtRH8pBpJ8l3pNpj2K8fBP0gV5cEVbM+
fJo8viiEw/SqVgcVKKxHkGlXQevj5RFr7TjDSAlTsoumLPUwoMFGdAIp8AoJqsUiggRIOBu7jkP0
JtkCJCmD8X80i+4s95igAZocRfVLKR+l9Kswb2OyiiR0OJm8mKRDEpkPWabhdSe9/NNHPssNCsc4
85HRQcMfneLpORkSV+QPFk6HyK8OoQa8k1QcC9esowiZabMSXFmNyOq2uLL7bAMkDqiUhBIiQeGg
PsbpA+yeQl6a5qOq7ufnpn7z+QBEa4/MxWX4+zVUehrbhp4f83LgXEacFX+wjGUCh3PSiMAszks6
m5jLWmDxqxIbOW4w756hfBd3WKzXcL6qvidIe6U89a3pZOaPnGNm+uSpmI3HvoDjLji0EEpzzZxy
Ucl7oiBHiZkOlLz7V5f2NVFZ02MdXTKrKdxs0C6jiTUAlxkjmoqsXWaTBMiSZACrX5HfMbZTeX1p
MGNUTluMVkDNmdSgCeqrt9xEw23uJB1MYWub+rMWkU8e2OlZZfLUlyFajYchz2wRGFZBOo5QfRRh
5+jiocThpRSdK4zI4WPZ4wPaeGP/1tP51nj/p04wdPE+ONNMrBz/rhOKjtwV6lGLhE/5pgwRMxMV
gkxeVEsCqqal3A2sauO9RGazGjriPym4NrWBBB0z5Zekaz8kJUDUXgGyw5KRGOG6101P9rm0SqF/
gOS6IybmBA4rdvySrVKgo1pazITU1npRa871yfgg0XMAqNle1VZyrVCV/9I9+VZ4/fM5TZ3+Ca0y
UMLfCq9qUKYokSKLAIUnATB9S4tA+wuTTrr/Jb+0K36+CPW9jFxRlkxV+dYpmjIdYHZSEcbSY0Ak
VG9tKEC6YwPZ3X22ozWkBWjzsEOuJNh4ptdRGv6lJ/h9DPafN/FtlGJaY4kmjPhNOJjbrC1PWhTu
ZXEmZrAgZ9SH7I2NryfS2B/UJcg5RJ0VOZzIask+4O3i+2NHAQXgGMTfsctGzDi09C8Tpp9m2z99
Wd8q1HjOQOwGjcWkX7BnH4wDGREVXj7NZ+xGW0av1po+vAsIkQqT+6sP0n5sN3MwH/kMz1IH4CHq
NlbbLaucVrQQr3DQAg04I4264jVcqtxUqrJ70caLlFPdUvmQVdbI0FZVwrlIzlGbBIl/4mDGtAPC
pCoOIJQKqMv0RY/vs0sUT5JmKh6IjdZmtPrVAHZ/0L2muFi1DGz10hoI4QsGY3LpagP+zfSMcNAc
imOfXluBejDRIT2LD7n0UHUnOh4b0V81TY5ilHmGdRylJeQGBz0B4wzHirdNnZ66fCsVoitUL/1w
isLaHovSHQWkZGW3VvytqM5OhC6K0fK+K9ahvpWyCT1dVxCkIdujSIgKABdJJiGQOIUHSxMuvdLv
CmaJf+7SaL97tlSdsR2zO/6xvj1b6lipRE2y4uYiCiG8qG95br3UtX+LpmlfMHHSfeEGf8SNBN0x
0OA7fTq/Eijl9BCDDI08Z4wYJHSuBX6LEhZsJcZLgxDEOn/qfIXOo+KISs44DlhEkhLNyRRLygns
Ii1TL0CYTGcRzasyls6k+04O2pJQUm4a7XICrFs2yjIzeuqxYNn200pWg4/SKkoCMGLuVcKrnwFY
lrPMjduZQFJirCkGEn06tinJ5kb2/4HxEzUV97Uqy8hr/pOdJUp9GWsZnc0IxJ2v9boXk68I9CFU
dhnB9WVO3FoS7RV0lFiIDZTd9fgUNMA4coiVtjQrwl/OAum3v+Mv7+nbiEMLO9AeOnvkYJPwsYqf
idNzqEI3ga1uCa11/jYK/z5U+Wev+uUVv/W0Q2saKkPjFTu7c5MHAv6c4lM7UL1szadu+zcA318+
oH6fzP/SFCNQKNZqJeHhxBpRPpHppUR/2X6/iRC+f6LvWDzZ1IfJQgTs4OwC3dISYzuL+1lJ39pW
ap1A49YWx/Pbnx/Bn43Q/2ym//si70bRXz/ZlAjFxPkLs6ch/3OUb0U3p7YVov4WCE6u1KuYiYvM
ENYCLa4JLbsqqEtpIGPRKG7zgH9kjCpcdeM5G8Mb7qCN1AXASPuDGKsvePKY+5MwOVdL/NauiGpK
lZOXP3+Kv313347PoGrbMYz47u6yRAverwUZWixv9KTC9lWs+vOfX0/93eVHNVEdcO8BC/H9xxJB
hZmRycYl+NHZKpJjFgzPesTQSY3AAbb6azW3VzGhaBrrS9jKr2EsHoQutEMlPgQz3AArpRsNWGc9
ZCh9tOBcSMpK1BrXEkTqJNOduRn2ZbYXFOUpaSI6e5qLkbuArhTfEi4FMpGQsZ6t9Vp8HBHDiQbC
MEKjxmaEktbVn3C5vD4gMJ6UvT4HvuzX0fLP38T9OfvP8sG8azJZ0uX/SFKMAI9Aa7Xcjoy3OTFo
/hCzLIUbM7b2qUZ4+Kzu5HuF++eX/f3z/7/XVb49kLmCejVNSLcdG1y4kBJWqRg9KjP+WO4mVvWo
IxY3/PK1K5s3MBB9TwxxTwbOn9/HtwnNPw/tT5iqJIuMGr5dgq20m5Q+qhFMyTX2wWhiIxqg0PTm
ShxmpxTwZvz5FX+7E0H648pt0aLHhP2v53UkmT6fQtrzI08UMzg3JO1nDkvnzy/z+y39l9e5D1h+
2fFgzFkYncj7ax0hcIl+pzGwklbj6geT/sjyog99VXrS6c8ve/9b/7uc/vfpvn2f9SiJieDzqjGi
JTggtPeiZYur8M5B+fNL/fYR/uUDfjuzxKgqJb3gi8zA8fn1us6Vv/xUv/swTPAokJjdIYj9drvR
Rn3ocqWgQprKTS3fKRVF+UkE/D6U5b9cin/3aX59LfnfP9c0QyiUWjakursQSdz/td7774eRVVET
WXbgdcm0uL+BX9aDJoRtnJSA6PU0WoEW4Po5uNlIzkOZen/+ZQBJ3t/uv9fBv1/t2yofyg7mkxnc
M4QGD0PGcg5vKa6KmFwDek9CQjJuRzcwWiU91uuu2ZWy9oJAa3N3tGdTZNf+GpyZj/xIjrG3zPwK
2TplUwhyegCm4XZ0u3VYPiO+uSJCfkBdjVoI0k6G89yM6CQXu5agecAxkoI5Onux6GvrUsEjJ9wn
Xch/KQvI2TYR/KqXezOjATAQsneT14NNAKRb/CkJ+6GB1jaJdi1adts9alyszaTbFqJKFqMPQQ9v
lQL0TpfoFqcLVX4OORuSOab4/0pY/W2KjqgXbxVOBY0gayvlQuA/QC47DcTVt6hvq3rTkG/IxNjR
CzoGxWo0DpY27Pz0pte9KwHjM6StTzjwZIh8gwXfBFluTEBirKkxyipS5gITphsebnX8yMpn+EY2
6OvCT+CCMdosCT4OQrstNyFeNH4crGqpCSlkklZKlGMEjm0V2RsNNIsvciP1uCpFadmTCW0GPfsj
82rmbHUuunljrhUBi7XMNhluRG0XFZ8mEtqMzmqgq4wZ6JLvyuBNSm8ShWSrvw0JA6jgKcXjPiDb
qvhpFU+lo46lXW9ivsBhh91obL9K5WbGA5GMWM5wMJVozLTJzoXaUeMfDSmICcHXFqADI489+W56
oV2tYP/wmxdBPZqZQiM/sc0ktjlEIT9YeBrxTQXCQhye4cwsNWGpmAjOR+ImGXzq6jI36WQFzDPL
twkXkfbex6wLjqhOPuQZURoigXz3TEg6YDkd+ocweI6sPXqtRVUNtNJAo/Ff9+XXnJ0UflaTFqI8
/qjyc1KH7r1QHZJXNJebAM+gj9diQmxsrZCiB8pHGn7mwZs6sMISkkRACK1JGtTjBll55wZDh8qB
XGifgdf4Npk3fzxBvFnUvYDTnzAL7Hga74D0NfyURwI/FwruuTn/lHGL+5AX6/dWfKK1HmrrUj9H
/VGLNzmjTIzck7krwJlmfkUgxntElvz0gxlOmV8a6WUU7o+Ea3Zvin6zholpCEJiZTFjb8G9RQyE
SwyvEKOtrGtytm8A4bZGeRSJqJvJ0ssx2fuZhxcr7h8NOn7mJfUfU3w4JqmUarTPmte6vImQuOiU
JYXFsIjZnIa0Ljbgh/IQZpixaw8ODhWTrB1qeSuKzOoQzvGkN6RoDYSgenL6FQaHAoSXEZIB6gax
TEvzlEETAvfpx4ozjQ9Ccw/N49dSaeunz9MsurMVuLqRgWcmOpSKdE7v452meJtTJzZXiozbQNwA
ZHTlFN2jAHHd2hW48GJtb6TYFioUG/ViQARdFNspP8bkn2P7souhZ+i+bbJlwj5FIBM9CLh4MLjS
g9xVm7l6MBlwDNa+JEoFmuCylFxJf/YhhghwtXnScm1Ddie2yyt2I6yWtkQCPKEcm3Z4V7mU5tKC
sAJuoQiblSWCl0XdTutB3srRvkGK36eU/cRn4EVOMzz5NeKs98LPyKPXbbncZeQX44a3s58pxZeG
C772rioHg+HzELv3uRkMoVY78TQtxAK1eIlqXXjCzKkFiB7Nk9a8inqJVfaxQfLZJvJCbbyp+4KT
tAjDya3ZGP0M//xL3MzsIG7Ljpm0Xz7rpquQXs6PQYqxI2NStW+DnSL4ixQsopKfoE72PTr3g8Hf
gcJNFN5Efa0QCFo/IUEJpKOl0s8TmN9MvZdPp8p8ZjR8j+EJBMb4QkfdgwwVM7giSPyW60hSN1Fz
ShJ8jRqD2wYsBewY/JOG7JC5h2yTh9h/SYSXPv6iCbuoxL1umotyvIzjQVAOyQhvBs+y3p9A49Oa
ZtvFYpprCaBeKLIFA+WWt1pam7KHzB+ZxEPg6Kpn2g9MWGFC1LQyxkgladxtDGbj3YNMTzUWt3H6
rjGTzobhE332og/P8zAcZqamYao6HdOCjpwKFbhmK5qr2HpvLPoYObu9eFXZxk1LuEm6fOsyeRUi
ADAYlUPYYcXLTGmriN6Qeq0hhdYM50PotWPPIuaZmaWvXM/3NYkXw0gANkois9QYW6qLUgb2rOqu
FCZbZQ6Z7ZL5VJms6MzlDHKjOr1KY7YagFhqHDX87SL5jvwMIr5H4FJOID/iSMTwD4ag3XcD6b5v
zPoV31ZzEoyKtTzfCsw7qh7jKoa9CpguXGIFZV5DS1L6CmnKzBbiflQoFbx2wZuzd6MnMZmZAwpn
uFioom1l+FLGXaD9iMZNziDRt9t4bZIBr4WzSxtdCVeaygnPzKqoJTyBoWfojJSznQjyIzKOarYe
mshWdXabNqaMg//5LLXwkHM31OjqI8eO+y+oZQ6hwwuFUygKnFRmKvNuFQTknoT7xYAByEzYrMlZ
OYGGk7xOflf1h6RxWyC0o3aepOU8r5BKxOOSU0LjoVX0VR9shfvNqLqO4pPRc44gAZkGG13w0Q8+
fM57heJyIJ9K8JuTAnBIUHhAGEqICV7+zlp3bBjy/FGy2yeDuA7mh0DlKOvAaTy1euPqAGsNRL1o
h06TghJdsg3xdQquyBefSr09GSSgQnreBPGrVJZrjvUUxP/gQjdykr77wiv2jjgN1WtNRXhHxso+
CI+CgCtQMJ9xSnIq7mUNSX1lddhEr4CiT112aeGdBGq29KVy0RlAGpDuI6GOpVM7eLV4muj0peRf
y9sp3KvZSW2WjbaJ2T6AktkdFu6aEjAJl/5bk1nLafiqxyUDqUZ/aScgHRHpvPM6hA/QskzcQYTo
QLj1U4napNa8ECcquy+qcas8Tzz8g2ywvYpOiDE6TNk7/LdBIJkXQobURBh8boRCAP3hbRJOn0lX
I683GU7VOBK9Oifhtq7eSpilJd4IiaMsabgGJk+RcdAGAlrHECT5CvjKEH76/vOovivpvkZbPw+c
S8z2M9XFmu4kIfdZ8C/A+jX6LZOqMBppVhH3MnoyUfosTRs1fO+BAQp+up0UR9V6SBorRXgejNEJ
fZWpO5L+gluhWpLU7rYUXiVX3gLg0JR/9aHlqlPlxtarxIGN/DGbyZMTfMhKE77d5Byz9Ss9V9Vo
drV0S+yNPU31Y4UDPStNWx9DV06WbYAInzJ5qqB9sLUIJ9X8cc9KQI3FojvMpNUNBJMBFgYDnzNx
bdKXIIIG8SVQn8XZ02Qd8+qktZ9+fYuCU3d/sDgWpYaIWpRai1TcwP3prXVjHZT5AuDGzg1om2jr
TcZl4riLoy+CWStpXVR4rciNklHq0+eaDlkTLCJuQfLkCpw+kMgyhfAr3wV3QidFewsJuUuiT6Vb
TqnDNNeXc2wgijeMwiIfg5UyfbZKsIX6e44D4CxYYR8lCCWSAEQ5QZlfV4jkOAvdACkSRUKDtCFU
P+ZyBa1oPQXtTubIvCfdNwHp0nf7jpzsfMGps4fCJLc9/OjSW5ZeiRD2S38RRado3A+x9kjfcJtX
6WPCdcOacH30aB/0p2C6xNUtvzef6By9TnLhycHspiJ3XwaZFVhRnx3VMuwSj3BNFrIkvmbT7JFy
y31adjtDc1uZv6t4KzPTq1PRhQqwYnSxCCVtUWJRiQQa4dNAGLcYPVcYWSBYM1iPsIggLZ0SWyPg
pcfREYUDmOtmmzZrsYcRulOssz98CNW8lurYrsFL6lzSCEFymrQ5JmHOR30Ye2ox5jLi+CM1obm9
tdDDrA7dK58hfuvFtwb9VdUlq7Rn5KmHDzPFGRpnkPOWp0YPmvk6hBgPRX5qJ5IfJI29YJnI4IBs
1XcK4XM6sAuM9zH4UiodwfJEVCAkixWnBlS+AWHBroe3pLwqCAQARoF5TlxDLhdxsC6nncXmoUlu
iuFPt9N3+DkNmWeCHanc/+1EhtJ1CIRD5V/IoQ2k5QjnM9N3UUto+o5oK24vq2GwOdtsLUU6+izq
O9m81f5bKjIS3xktE2c77O/qoKdO37Tt82w8BABv8sNEDzHx+Xle4ItNIilpt6Y6KehKjPcpv6TJ
UQtJNIa2vmyER9BtHKC0yorsJKtXXXqphw2PhpEwtVr6iXdPDpxlVy52eCxhFIkiRcvopupLyDMi
XqViOfR8B5zJbgGe3HivcakGhQtyEqjLVNiismkFG5EjHv9lYa5abuxhiKbJFtKnTtik2nPasj6M
M2rrUPaQsw2yI84HWX7EqLUoWEjlBAmseWQAU0XrskJkKB8G/0npoJ0feoRad2DPUphPDRGLmW5D
MB0kL9c/ZeUlTUkvX7B1+tony1sJsUkSHs5+1g7IUXIEWU+KnlHyXMYexL4j06md94LpVbmTowc8
aMWVlxxBUTCBRtZT9evSvIgli5zW6+hYlavmSyRyrbY3Edaxy477WELCQ4DdYm4PRQB+ouZNL7h/
1fMK4d6grhT1qcPYLyH4XwbDuh2/UMr43RtpjItaih3TetF1AzfPSwtGI+NKea5SryXgPPYUBH5E
jyWPeruvT0a552mayh0I7LbeCDKv4IQNV5Zt0gBWcRThRZ/X7NLCU5w0i0L48AdXmw9+/SpOL9R7
lEidshO0rT5efJZx4/XAFNF4NYDAN809A9Hxg2UjEif+njceZ/z4OswXSbkq0aZARIZgJn2dW2oW
z//sWFRFuNdTF4xRPZ+l/oXb6oRKorHL/tzg0JZAZ0wcjesZXmC79K1lGj4nBMrF64lLiKLRCsCy
7Eof+BJ9zkDkGc0ODAlEnK3cAGxMH3HVpiHH8uou49EuVnso21U97ebusabgDpcmOF3KzH4t8JMN
iMwIXLNDhKBEJyjys2XuUn+nKuvmProgKdq/N1FyCtxmrL6afHoPtQEhlbSdg/AhN6aTVGEqa60n
NoDhrrsNtoGOotILeEZ0Nq9sOY525iNa3enSMxgsJihy4sXmNaguqCX5FKK0KqctACoBhWUOMOcM
ywJ2T4ftZ5I9HBjq7LZcaG7qPXfUnSKRkMWVLFMKoMwZ2mWtn7MBhQodJxhTvmybKSfNDhM2QGDU
0myu5SGd1pq47rOtTy5o6koT2dA2tvA4X2jmQcnWEydlNsM6pABMUHKuIvC0P9nMHjUWRJphQIV1
17rS1+XbvvlEfmjSgwWuBaDVXDppe5ZzL9LOurlDWZcJm3ygVRBsG/VD56rcvwnoIuHKtlB2IRk1
W+62hfUyFuegihdySnq8F3b8gGsmJ+ApdpJPbRXdlZ1T/mjEt7rnwkIpeoR4WamxI/pcsDJyYbbs
9Uza79dVUTjTDjD1fVndinyvBEcBwVqYUvh9pNzEaXLFeAvLe02xgExUCSfu8YR9qNy3fM9KDzGj
SZ4w4ZoDPsbWfJ9idcEOHVZ8F4QOTyazU651nAbQMMN81/VLHUuRYMyEYYPS9mf+pdKeeuq/ydVA
apqbQGWHYHRvk86IghyRypZ+Hp3BrF4z/a35hePwU6wu5NA22aNcL83JMRF0tmddXYPwmoAQqmyl
FMzXWOd/rJGq3ZiIqdHzdCvka+bkYZJBfM3X2q8q7m/WUii9Ul9p3AcNx89Wlf+kBSwqV6Xch97s
24yRAgbbMt5wQjE8y8Rm5YY/auVQiNMikgCLfdQvQ9U7i7Y5WVRPxhJB/JBuR3OVxfuatmZCQstm
AC5eP+bphzUsLEqI8aFqlqG14cQnLtYefU+HtKNeyYDNp2funpKJhPs5K1dCToruSlTWkXUbRXTW
O21401Q6qxKSJBTMKFWJ0i33WbIfKEaBMejyFVrLVJyAOSJs7YVXSd1p0U0tkF5vsmgV84E4Yuq9
1b8rZHggehq7VSkcm+ioVeeqxO/KDXQ5tmSX0/+xa65P4KTC7hKFNNX0TazScbLvPPR6Uxp706oX
srHNs2ctWSIIE5XDQD9T8FpzZcZEEojHGpwLmXzJBvrQAjW4oi4x1dpcyEfrpOo/2pjt/WQyfDRN
zLKHQb0aqjtSohALVVuPA/S9GQiY51OCqM/9eDFpXo7nKUV3tzKL+y5RSEuJVVPnr6bmNPQuW4/f
H3GfkFBlDz+Ku34OKuJ7mu3S6UXK38roI5peubPjiivua3gnJps6xWnffXZkAasrANdSc9T5c5q2
nOqNWj0NkyPK71lZL1DLN81jFG1mbgX6OjaJF/Ho2JJRPEubzKDdibdWshXuQASw9tRF+qsfvBgU
3/OzJl183wX70g7gHiobEncovfuy1+v2PGCYd7Rx0wvrUXjFKiLMS96RVT43+rbXHwzhZYLUk+wU
1aaEDVuvlg5oSwe+Hn2D9m+uqZ83Gv9vd5gVRx49ipb6vQ53AQNojS/YqS/TfBRRBo9f3bjMQ5KU
hkurPWTGUk8v90Ew/j+reOu7dWytJ1Bo2muInbdHpnyopedC38vNQaTjj3U4Cq4s9RzOIvtNbgGz
yR8ybSliCJHhgMoRpKhuVVSPClOchrUgBa8Nnzg8DDSK0sJpM4U+hzc2zcLKJEeQ1DWsAkFvnHsC
UVF7dQH3qfRm1l6q2xOB4P6Lrh4HcTPwIsa8SVEuWcOLPy6ykfHuUu0fA22bG++diD59axRvQ5s4
gQUQn3gR3evHo4p/SYxuhf7FfsAFXwHTI2d2MV06KnFDPOo6949nsa822ggIUZoW8HoT0x7Gmyzs
ZMbXMqq6pwDIKEBg6da071lwCakRZP+xyi5JdtDkx1bFUr7UUCVZiD+VFwhLKFMV1PsszObAOWAG
Dn0fv7w1VPHTRdBXACaCOzV/C8ZR5XBohgfMZNawVeP9OD/PA28TVK5MlQ9jotQ9wVq1GpeN+xCF
tTSx+SiULP2GRnkvvxAQNefS3V4y08uv9oxzq8bG0sU7pfHPfLt3BXpDRKPMCRWf8RFGn0G+bQiX
xundtZ9odvPERkSB2LJr9/78Y4hXJVB/0YMuSuLNON7mBDrcYzq1dsmUvvyhzqtMnBdd+N6NUNol
W6zsUtqV1ZVKZab1iaSYttp8bweusXen5k5BOqc7VuDIspeNSx1NYrW3YA2UPnX4UUQzm9uDdmgh
/pNbVu4GJJ39piW/uzYQYWH5CRYyMMMM7PVyKLZj44zJUQC0SUzyAPAxAfZybKNNWCxhXd4D0fFx
jqwrKprGi7ol5WEXrnJ/3+suo5ZFJN6CbGN0h0DhEPL8gFgcz2iu6XjiIxkRdu07XeA51j6ijCME
vrAj9VsAn01wHvq3ecpclZZA2i2L6oz3AfIiGM0vJn8U8iDvgBDQjR43YLOpMCiZZ/3YhtumOJnd
CaZwEXiWSKGtOiY+C5/e7OOdq3kXohmdo/XFQoU02rOZJ08Vi99YVvoWOI6CMByGSO/SDJkbKAjJ
pqRW5S6UbUQo1iZz6cEZptXYAdWJF+JrpYFv2WT11WIt+iaQtcRuJ9R3I2R6fjpcDU9DMF7muViL
hatU15bLUJqh53+U5TeNbqBybfEPAGqYPMjDcetCo2NTKPUjM4Iw8u75CJkdiGul2Wr6StA+58jJ
We44EeCFoeWftngKhHyV5Vti0KHeKsZ7H+5gNjAKuDthx2bC6MzVx7WyHwjIWA9nBah5MTBHsVsw
1BobInq4FdQMQiLCeqUW21ZZ58woCxbkAGqHcZBZH1TEgPe5SWLuTYZvFTef9Cb3y6SHxKN/wd7g
okppsRKEnaqSmIUKBDW+tNLoEAKbzI+0ckoOSoQabq5sEQ/WjfISB0B0UUr6DyrN+TxCU77LilWg
QD2dKa2PUXAOaWFrGwAc22R+JmlTHkHQ0eM0h3UBChY6iZ4C1TmYzS6Vl2PgwDdYNBJcSzIKTj63
UaJuu01q7OU0Y3GsK/2gjiCOtUuXADYrN2LmlvHPjs0QX1JmZwNt1NLcixk1/Wff8d+9mFS8eXvL
cUIVsAYqcZv5bBscNsZoB0zQ8qCiwdA5VvglSjd/PqgiynRwUL3upGboQFTG7Be6qNfXg3jpoovU
GZyc1DPxZ4fqeAyKQ9r1B/LfOJ1NjyUx44r0e2x/lSMjGk/OfvVlgMmZbpNyrIOHQgYStImrR5a1
aL4F3Ua7F/uY/HCQBO93qmugs8N15eyFPnFGHFs+Gr2TKD+M2rOCaaCFskwnBqiaIzRslvMRUM7Q
LfPoNaBb5wvbueJpbwPXj5T9ED231T4OTnWLQWBbRV+t8dDme/jHtjy8jfonLZafB11Gh5qJHBxD
N9RFOy/BrhfXoN6nzUdlvbFFTGG0lPzASdhpzeBGp0khVMrPl6W4b5QrRJ8ZK970WcbvAgrtOvI4
12LTcDrgbtpIAwmoCZdQhVnsJxcNADSOIX/FhMOkgTMxn5+FRRa+FjR1E/UoIeANu2w1ap9F779l
jXU2FP1STGtRDw/QtLyy3QxyifCAc0QMGhT03GYCv3+eRlF0AqW6e69pp2pXSZLe9fCildzXmm6y
o1l6LjPhGE8JTk3GpVnHhExrlgOw6xxIpEN7d93qYc7ywKhS0R7QW3kjtR3GSrXBjTPIF1PINubI
TCmxtLUiB9e6+NIg+gfNaxfQQB1Np656MBfl1sjiVarNHQm9dKx6eWfIsP6DpQ9cvAcQkr0GvX7Q
u3fZoCerWLQbJN2rdGi8PYd531GDlSLZkzj9MGIK+SGon1vrTPD0VobTCfJ4H8cpf0oQmPOVq9A8
cZG2+4ieoxTbAUTiqjsHnLpiRYMuOun9vO6nwL5n1lH5j8Y1i3MSCQwv0c+gbRcwCRbsTuU0egJ7
bjpRQErBRmPlq8kQUh1m1TIMK+5iKkdTEMmUkyHLMkus5zkM11ImVefSpxUIry5dNITcTUFqt1V1
LFXMUIG+yqQOtjqtqZrxV6OAXiwt60OcCO6D1I05GA5PgYDD4ucJoZZ2QYU0t0NvMJXVUgj9PQ+h
Q/YKzs7B8BQmmHYzw22xMu7YgTKvIgjOjjQxH4TFGS8bX75Y8iRtiOQr7arTZ0doqS4ILUjcSbIg
GPe9vu0oKLs+RnPgKdZJrNi2/VRZD7F6tGbAk6rGnEWxMTrQ5qTJAwTxM2aWviH9jztKi7A8TH31
hmoezI0UXo2oR9YR4W6JiZSRfRBCfQXgSp8Oakm7PD82ZCeGN9i2XDH9VU9Nb4G4patjRPpKTBlV
aV9p+iM0HZL4bMyed0+YnlKXRgxexQvscHqQrcxolo5paWiO3jxMmA8TLtJ6/D4a24mjUKqtrdKZ
AB9FAjBn6wrD1FXar45uaSDRdUaTgFBAw4YNVG+R8imxHxE5s4IbD//4RyQ0KzYhN5sFz+LDWgoE
rJaUqQJ9tPbeRtyOg4OBzshU2lXrPzJ4ze3/F+t+ogwG4nxJa1Hiu7Hm9ue5eeusa5P/RcL1O00S
pEHJACQgm5r6TSVUYwPXRBXNBBFajkzLRdO4VYk9xMr48GdN0n9ld7zELy91fyu/yJ9a2dBS6643
lNkUxIDN3Azsyiy3f36Z34W08zqKDpFRIlzhp+7xl9dpVL3/P8rOYzliJFuyXwQzABFQW6bWikm1
gVFCy4D++jnZm5nuetbPZlOLMqsimQlxw6/7cWto2JToK4KAw96e0XcKk/BpPNOkOmsu9a/9v/xp
/4OX8vG3/d+f+R/WrmEIQ93guTsPXrh/eyLMq3LZvXpE0VYowPTCh/9L3uWfrtF//4n/8cU1Zk5O
Xj3+yi0Orm2ztlb20lyr9X//NP/pzvz3H/MfX1rgUY3aWPyYqPmUOJIU+TC5HXprYZRf//1H/dN/
9+8/6j+MiybEVdVUfIaxe03Tv5xX93//Af/zleHgJeCicM1/5K3aTnpDGGA1lY9gqnzJSfuRnH/a
YzGNFMjnR2r9//8TlAbUGPrzTDp/rH/llv6fy5FRIEsMAbiH1C0bhLRsYS64P6Ff9xt/8ldhaM7/
+98p/2n940eytMZb/bC4/udNnQfUQLRZB+gC2h1RtwHJJZRxvR97v3/2XVKz9EaCShs+4ctsaKr6
JizSLaYu0NmGJBl1dYTN2sRsl45PraetNiSbxFNveCdhjQse/C28X2fAGub1y472oU1XuVfKj1kO
+ei8Tln8uWNgr5rRj09665ebRFnZ3WyScS6b0vmAvCxmndTahSMxMdFfgDej1v5aj75Kq5PutgSQ
ufhfPhq4p//wRUqwKbZrO5ZwxD/CH1R5RgYTBB2pFf6AKOWVX008qUVu7oEekz51jJFTUfrekZM7
wARjZWGkj8pgMcy1xP2ZXB/rPintlSosIqrpw9Eyeax1a9Bt2BHX5EZK4u/9S5br3yki+jaKI+D7
HS5jcBhsNxlwtoET8b6pIuSaHl2XXB8HDr89KU/+pDHyLQlI9WRQ/bop4Nw9fIKcNUM6DigOX1ai
MOdd0xqzqgve2k5w9cbjzhE420a+/J1R1dneGgS/q48jy82nl77DlAZZ5cMew7OKgGzUr2m/UMHB
9/SnljcqFNs9DTt4/DqCdNjCjRq6tbdiY74YgmijhQ/7h3qKfYxVvOJMcTThece4/EQqLqaBnieV
faDuaCUUeXtCmGX/p8CK5MAUH5qHQ/XdkEK0dpuj5WFHJKsvAJjRWLBoOdZFfAcJqoIRtgjqLjgR
toFlS4Ue3sI6WkOFXKhh7/anmKPWY5KzmcRLw2MOBKrqGE8VohTeUhftpiZdr5sMvRAJdfDWbepu
9SDZjO5bKihirS+Wp1Y1QwINvwtLWPO60Wcev44Lp1ZLzU2VeU8TxHSqyReZnyLLtSc4uKBL+72q
MDI07rawbhr7Bl1SA4s7a2C1ECXfBRnEOsRKT4dH1l0lBsbU6J9CjTsgQAKhUQI2LeBu0vgciRG+
WIGws3Hs98SxlpI1UF18eKrClOUgDbJ38yNO9H9szmHpFcgAWfSb6u61IK9NyhCnis4OAQdMYUAo
7TccmZYGJaPJVL7KUXDoirZ62y9j1o950mMnU5R0aOzwPjVRzCZWB/RbLjPL2XUppXoPH2sRp2+P
AH3vcoCwpmBv2/QIp3fVJXdY3mcpy2uZefBzZbsWjbkYcvNGouEtlYbaUlSwGPqIyHcA9YcdA2W+
6SwIYWojCrhcFt1IUIY04o1TJDXy1YRu4AcHWF/QExx/YdB5YFIsDtL+HJRYSyrRQS5RzJvFWLxk
va4d9fThYTKuiT562HjyvasyTnEOMfx28r/yJvN23Onk1yI056Cj14WWBsFCg8uegoS/vjN+4775
aOrpLhr2860HirXLoxeCJ3gAOoPdXanuogx+Bx2Z3c4hxdZ56nLE7JhoAMC0bo447YNkGG5x1u08
fCIGQbcnWfbzLE5vZiivkW7MywIahx0eaCmlSdN4dE1EK1q+/zWYu2LibmgukrHSC4NFAlszATTT
Felz57SLSFS4evK5hUxQPIrBRx/PVPcUl/E3nRdPto4llx6XF9fytjY+Ad/yXgqWvDkqSgd2Qjb6
XJbyO6Bg59mTaPk1+w4vemzixmQX9pDe6Gub9dSyPHW4sOhv2Jhjv4yMauEFD5CiIuvnrxoWyGEk
wDqwP8pQ0owQ1wV+0oE+D896qq2fKtYfTjz5+GU16qm+MjU+WEPWfRjwQ0YOIUtbRMWMjjH9LDFq
iMgAwoxfss3l43NFHQf2hgRUBujkSXrL4+HKNp9OEkogQU3tAie7DVH5WhXtV1/L5w4Hpdu6LzWr
Zj/x92VWXovSxwOtWYAHtD9zQr1L2hOUqe00pnuaEXZVjvWi4AU1gzLdzHKKXJDg63g9VEGxc/XC
Zp+E1ztxzU+ixWwOXb3jpDNUcz2w4y3tYR6x9uwmBs9a++VkPztkzp4m+uvxXgLxr4kotVGBRY9q
nUVkG9WsQa7bDg2oZL0bj2mB3TFpEy42DKZtiQTZF4a+kqHTI7DH4rkM6QUfolrH5oA1pbT6VRgz
tBS5r82qhPaY/NGnTRK12tEXE594AxQnFfLxlbHb0QSQ7FLyPUtstqv40dIdJoJdGquzwmePqNsN
mpVyx3hhNY+q75Galqxs5IWCoGYr+rJZlLmrSBRYxsFW5XSYJq4dQVWPGchfO21JqbGDdzOEITyb
YFzt/iAF3E+Jrwpwd7SoparmnSz1RSCI3phhpaHMsCE1cvywk9GQDR7YZTa0w60svRTLSQDt0Br/
rCuT/mqjh4ETsR/jUZFCTRZ/WqB9hUZZrSIF/CeJ7IbTV/Xn8ZJbGQ/vjLS8fGX2sCgG/T4moEWo
YLlYZf0K+BsjhaGeY6MjdOwDmlKYXqg+t0IDNIq/iFSPbTS5yaw+c0o+RNS8UCb4Zdi0QpjZwL4d
aq2pro7V3DzqbKDDLZ1aLpFGXvTa2tK+dMusYKOl0aVNx3lky13pTls3D1hjGtuOUl4blKGO6KSq
hD72ZF0ESNBec/JyGn0nXJlFRYWsO52JTGwnFwY1/aoQTEA7AUzduwYysp83J+4D3iNwaAySJTx+
mQEYMNn4BUm5tbAOOS6bsLoFGBU2yX5sUb5tFdarLuebF9WAGdjX672bjK91ksz1Ul5IZK905VBh
3BXXVJgzx8X7GBE2Fu64LVoardKHf6Rn76QWAhJOo8iOVQQNqn7aG22PQcnb6Zp5cHK5z5MUBUIb
WR23pKdlZH2UdfydDbWNfS/Avp6kb7YXD/N86m/UFLvL3HFoQtEe82xh498cqm0YoBbZqfs1YKe3
8EFwXr5mdXwh0HYuzfZU0nk1dzw2ZwOxBM3wXmVpwGExnZvzaLfXxuic5Na1r/vvcLRYdGbhpbLM
L0MAs5A8gUkrOCjRkoNqV5NsjrubpwNDTg19F2ZiAGxkGXNFYdOStMvZtUOclAxomcVikrz1HgAY
VHAukb2nyXVhULhihrQQUaGug2RVL1lWvEymDJYwIOl1svJbU8c+k7BpEzFWVCx1k6LLPovBa4QW
DSEC3lRp3L0i5DqigGf26JUn8MLv7/h0bWWiuRshMr3o64vfsoSCL8Eqo3VuaWx8WDbYftyayOlD
d8p6+Ss08+pAN3wS2bQyhP2Zm166AQRKosBnqee1/m7S22syahpPReekp9pR1vqxzupP04WINFUZ
xI3YrJjZJCOrZuyysliUo0/RiT0PauM+sACT/DS0m+I9RkX1JFWa1KPwZ3ks693urAjEVLL4YmG+
Bx691VMBjic8tC6GVpqnsXf64NzcQWxoZXxpY3g8YjBwaOvwc2x67iCebrE9fzkun1tgNC+uwghZ
Q2tx3PQ7aMaRnff4mmTTLeM/9lIC370V/eRDvxOyeEsBFhpVtjFBbbSCZUdldPsoLS9pONVYlK1v
hgifrXj1OtgAnHq7PNIm99632GXYTHMrLcfKPWcJpmU6wqno/Iptqq8kW4nMHp9rzViDkLpOMl/Z
pXkoTDoJjWqT1eHdmFrKCs3XslafsYOIVWo7IfDkCG8fJ+FpcgBy1zH4fH0laEL0o2iaJZW7VZ6x
iOt23bMFG0y6Q9n3xj6Kh58cC4fKV5IRTuXhF3f+jKK+0LBMFtE6DpOGYdi6dK3N/pF0DvSgLKDY
i4VvZYS0MSJDF/sJe0Rmt3CAop0p3JumppXqsXzYw/hM4xaBF935EWV1ouV8lYckdDRIVH6i70RG
ZRu9RJw2FqHrQ9b3jhVWqForsEligY7J1oR1txJp/BDyDFC23TwZsD/6Xcor1Mb8nK9HLTwarrYu
KHEWo7XSyg4Qp7FzWn1b9PXOg/2gl/Yy9Luf2PPndDXP+9D/HWy2OqoQBzOulvGYrctG3VsLu2nT
LC09Pjt8DaEP/M4Vh7DB/5t0XzhtVl4Pfi/rNlY+bTBXYsriAfQvr02A+trH6cHzmWFCh0Snba0r
gFsPOBN0hlUtcI+PUf7jePLeExtSQ03/IOsPn1828WauEbBALV6RPrdSFIfBFTpqMfs7Rx5GTSw7
QIFa5380XYF7oDzQ0/XtJ9ohmmoGcKXhHiuIEbFciL09lYq7vJcvAtW3cmI66LJwTWp73cOiSsuu
hV2qXULLPEq/ODBnPrsd17UwkSLLMF4EI6VqdrR/CBDNiF8lKLePZCKtNpsqZSeLpPHcTfLQu/3B
ZRWUlXKVxMab8Kib4qiZBPFt6mDuhT6VgkitvJbPXdvdZYlBJW70ZTJFa2n5RyNlKx+MbNfbtQzH
Ja2H6zxxzqauEXWLn0UcnEzP2NGytKdgb1H09iGJ4k2F5RD64zzpbcxSDHPBODw3obkszZxP0TgN
MeVLpTWrh0ciKmtOjhS7se++i8r9a/J87ZNgSYYJGxbfTdtOs6mpD2MwLV1wlv7QfnLQnnee8ZW4
9ht3Ew6hkb1qWJs/WkzYKhhe0yxh9i0Ww6TuU0tdkSiNrdLd3VgZdLhPUPka/6+Py9dkwl3gW3w7
ZCLiOJ75pn5zGzgTj4SM5AHthgoUlrxaPgvHgICVFondYyMmBDFhvzsNg//ob7jHTrTxx/K1NxVs
p+LESPQTDjGFn9rVr8aZy2KvaeHilY/ROnmkCYpLard334nfnWpYGjzqPchJTTluR6P6Q9BYppa9
GIWxG1AO7Ab0RekfMx6VVVFuPV9bdk7Ph4VT0FPyqlK5AoYezRtRwRHLQKjnMuEfk88bJTdfwh56
X+rVP2PBLqlPtFmsTcEC7Z4IqcKw3Zgt9EmbRYaXgxk0K+/H5RS49EqbjVaLEaBg11ibQJY8raMF
i8K2yoyPtqleh55OysCkJbPNKf+qAuIzrts/6zkWV3tE4Iff5xbUM1TWsZgYgCNrwronjGymWE2d
A1Aoq1QiRQVkWWh+d9f4as35kBHmycKOMmQMeyhcVAWK6Op0JiSy4bEWVMN3WD2w0hpIQ0If6Lk9
cYo0CtgsTczbcczGRLMwMZV+RaF0fSIbkQiOcQbHW4m+aDXGZRhdEGuKqEaRyS06Hek+ZeZ8yCyo
A+EdUYtiQhojQlw8sPQpWVh0kfaZlV6wTDv5XerhtPQMFBRvzN9p2uqfO7fGDqPGjW0zwxNtF6Q0
+BN6d8SY3bXT6TE3rOTQ7Bo9erQ5GG9ZHv2h7m9Lm8e1fNAaJ3flxCztgyZ5zqryWBfRWln5vBtb
MFAtrWm0WUXdIXCnpfmw2DptsiAoyh6/fYW0fmoDc28Y4SvPrJMRdldVuG99Vv51gr7B0D4VbnpK
bMN/NcrpNwm6r6inumDEchs17KZyFVWLYBDuvisQlJukf/PoecGkUTL5kB/t9f5TcpuMLZ02o0EJ
Z9+SupGjtmBgl4skjHs2+OLPaEg6mEwGthrXLPE5oBofqc6pUTbRo258TFa+S7df0L+ZOV+Bqrpz
YjTakxXhSRW6XKspoGyvirejAzAkydpLV3BL6NQxDg1SQ54yjuUj1hAmKzQd9P3OK88U91Scb0Q6
7UsV+afoYeUZp/AWDJa+GKz61rXYa4Rms0d8BHLDvNyVTlov0sHDTajMZz1K3uKB+WwM02keEpFk
l+zn+wEbjdR7FEfLYXec2wsWWDzeO7efaznVeikp4HXj1UM+03MwNkHVb3uPq7UkYbgbG1b3GNYM
5B8sEHU1jD9p2vwwJgc7ObY8SUGIXKrUjeb+ZF/KTjy7rkbAeyAtYS8nCTfIDdgr0oSOujkqPOtC
zIu+sYl74swe9GYRZY16aiPQvMwW344BUswDXsbtX5P59PDm8Jo4tUI/UXWHcOdUxTO1TsNcuZW1
qFoOdhYRoEYjZhkmw5+buv176hcrKES3dMIVxJ6MUnR2elhxCuBKUh/nFMh8efinvCzI5pEORq+O
uuiYF4FGHQj23g7BYaZrw2unpy7nsgf1sYgObPoiTGaYr2ITibELyIdOpcp3mckNrThyP+k1FcyR
nx9Ss9Nm9cQLEH8CZqIyfc/74StOornSnLc06WFExuGHnsB9jzWrhHQkR0Yi/hxKhShrajapGS/N
jJNdkADQDkyyJZ116UfUs4KpSZOAoTMKfBBYWn8rdPCLoN3erCp5JpHOG8UVv3ppriZWn1sz6K5W
QVVgOdzdEW5E6T8nwkNfxQNnJARVUnHtnACBqRWziGfpU15LFui2emE8p2rLw75oBNoFItkqaP7V
SKgtxgone0R42dc48lRBeoSNjVVE+t+TLBpYidjNpK+dkkx/b8vxOCk89W5XJecipCeZ33ruaNXL
YFaPO41dJQzmk0OxYVxgcBr0Q2AzMslghC6Akp8aFZYOZu+2rbHDaZR+6Q0HAaFTCxrSXLVsVRTu
qeDE7zzktC9WpHzGyEYgCOkMiynFLAPN3HCan8cR6UdLxyjV6PLL5jz8qAEFSCwhCtt4eAIN1oHh
2fAd3alcJvwaIJ1NXDwdwlBW+e6paaNTGXg/Di3XfWtfOj3DOh7Nex8trMMqH0z6DmrRUg3RM9cv
TxmLPsgugg4JN/Q+cvNSVMpjChBf3MCrNTrolb0JQ4aWXIiZJj43586XXcwMFdI7G+Yrp+JNKXKF
D4XQCkBVbZ02Nd9bhtV5JKsih0dqXDkPSLH9Tq39u2NN5qmwg1++3+fEZrgoJKkGjeMmhgTDpy/G
TtcFALlbL/kNXcFN7tQTpglX+VwRE0Fn7Tf3yj2c/E2Ss+8KHLHTtOTTyl3EFvecKHIMibWdSADA
x+SA9MizhX9+wF8U+jul6ruV9EcZoZ60w8GF4xjExQ6LANbX/KBqe80FuYmalEc72TOLucQe+UFR
Rhf4BJrYceW6HbJfyzacJycly4N3x/S5QM0mrPaaYT3ou0l9ws8zvYjMbH9qUSK1h8R1qand2K1z
8P28XtomppUOi1FDKHdKiVEGdELjlDQvRnvxm5bnrn7FpUaOxFyITjtpFd98oN0mPM340HI64Zq2
pdmo3Q1UO6AjoUlDsMVbnzV4rq1eWrg4DWORBMQSPbZANHDbENZsY1i4XGBTGN20FPSzZUGBpScX
F532yanZuyvXPZtjeK08XGGeHJat4b+ZeP/swVioELi7ie0vKQEhtKdGKz5aIvZ6B3mrTmb58GGS
upiMflbbAD7bGDBbdpH5/aE293FxDDpc0yHkro2OI8iT+BMxr5zqsgLvDatsgHhJgVUVtJecfuwx
7eY9KkSka9t6MJ96OJuw+sm/hbM2rk/0eC6aMD80CDNc6RylHkVju7Sut21jXls8OUPGfsIr/V3E
oKKDotDVtKcPicTgsLa7dKa51jsl609ZubdQEnJEvSyWcwvQqkmdQhyRTJMm5bcBfswVPb66m7wV
brFkt1NEDHn6MHOSe5+oI3zxKr83xY6wJylidxnTPjDGI76JdW4VMwu4qNF/uvp77C2i6TWt3xvz
2RNrLMV+CpGQA+AIxp2Wh2rdajj6cHbUpJMbLjQlYYJRcR6rBefzgli6tMwZ4aWImuukuHcIUJn3
K21rlWDR9UjC48V76OsRj+2Ydz8pzq40l7oE5uGdXOfoyD2aV9heDRO+1y5ESO7TfTnQxSl2fn/y
gMqG9VvlvhPu6XDSNZ3gIVQuxpADB2uNeiWwkkvOUW71Y6JrNeOlAPoajlwfTI8xGmJBUomPuyab
ro03b3p2CafWOOt51yTNsLVqtvPPVo+yE7ODTJgd2J6pjCBBqhiXSILcIHzownjikOxhJU9vlrO1
20M1bFx0KnJvWClIVePAFUuHJ3Ka/es9BQHXeaohJ9uSG+vGqDMrGpI5+qJNOJ2cmqJfpmLbPXIa
pPTD+I0DK3GXn7QMKIYVXCqHkkNlxkOXvUoBY5rC+vU4fXr6WdfHFe9qO93A93lyw63dn4T8Y5vs
4S5T3Z+jVk1YrvMyejL4VBJ9ibzA9ZYgZzPIz5nMF2XzPbgEUxDwa8yhwSZJ6bCnkQw2eGyeGMOw
g5+K/gcMw3p038P4q7OrM1WPYOH3WboLpEa2rZq71XNAsI2flbpo1EQkZB/xtsIQ2hvzSAQLJ2vn
KfkNimIIj+HTxHiXVYeieq8HbllPm5e4skV04E8ko0OgzYKpkaf7xuZyhDzSudsoTzh6MweRVJg8
WhDEuraPkYX7BzUBVFRzmjySLHC07ReRMOwBC3khvpJPXGLwl5n6WslHR9EfaRKJOqXa6K/Sqbzm
rm/CDcW+xLEmniXs/mZWhWS0bb1VYUPxsrc4dLgN1sYjvSfuoYQLwVEthGfTnhONUEwv2H5BP8Mj
P4ynUCSfMeSPelHa2YtVHUaTA27GPinB1kK8lG5cjuDLRAmeBOxeqSUImy+j4i+bzNmkxCyz62Wa
Hvwx2bCXIfN7Jibz8GEBp4ptufWs9zJ45lR9Qbm08mBeTuZR4UY3IKQX5jf1VjPHydexHq8elj+0
RmFMtIOXwCab4WDZRIvDkWdrTpsa8Z7uoHNkbSayOsTqzEJtRKXfZeofEgf7ZNhDHJ+Gp4FHRzUV
uw67nezzHimuuplAfiyeOBXIZF0CbQk/TI0DmADqXnAEJWqdrEwGL9P5jvsKDhJacrvWYeckPqu6
vjlRYKwWXsyCqxxYoCLHLD0bxA8OtDGpz1lVbFOeo33erkr2TC0Ze25lYHWcinHEsoViZvkqGFaB
Arg8zGt1CJxN4Orrvvg0ZLnFHGHyJEtYU5vWOY2Q3pxlo386wweBrJtwxnlmmcuatmS9xukSOdhR
Rw4PxdqAwcTFqdfk7aJuHnrNyiBNBfty9fBT1qSZMxRLXqqWei3ZiSv0qZJHAx/QKTH8BV1yHKIJ
H4KLAQkKrBPyOYnN3h9B/3gzH04zYva5Hb9qlcwfjPNQqbURIW9ximzO9qCOYXkqilXdnxvnYqXv
bM4WeaUwE99dB98qjFgetTTzadaLMXhk7/haew5kIzALxomC81SZzzTF/+9n6F/0HvFknVgXksID
YS+NVJjSl5kUM++zg1QuPhVLO1neRyrdWBmjG38rJoKErOeeJZ7Kb9yeJT7vLLn0iowYmA/D5U00
b5OXxi6XLuPB0J5BV9Scvcje+QgDVGk43lenfRFQYB2/mIpXLXeXltbOp/jSD5SdWHdnIP5PEI8W
vEE/Os6vqgABwJHJ6AMnvdSsItRmsYoSeoTabSPChY5ipZyrhAZe5XjXKXuq53m67EyiHeaaMiJQ
Gr3xWqX1Meb57PMMwd2WgbjRPvSewKXxHGo/JBw681BTbadIK0yXFKZ02tnrHJFJNyG0dnOCImQh
2u0DiFu4W5/HIIou66o6mNdttWIlRKXKojZB0K9ShEIrXsK8oJf8yfKO2Jz16lpFQBqG7wgnUf36
sCMX1FV8d7Q1aECL6p9B/FqEY2uk2SQ9Gx1r1BaDEOxybek7i8G4lmwWh1uJi9XAZXkn6KCzX3J4
lg50hYx3QRAj+tWw0DgJTXc1ImiEodt2sfvm5zESCxNzLfn6J9m+VwTQbc3a5vrOgC3gW/QxrdJk
4Zl/OQeKmCFfvSYYzg3IlsHSar5c/XWM9x78dX/yzgX8+vbX7iCBZIGP/t1vM6DyAFLeRJ+cfe6J
IfBnKcMIRhtCiwUaBa0nrE9uFjnFtFSgTZYe6dS2SK55GC/HuKRcU1v1pGp7iASJmAl3kWfrOj+6
4iVUWDvqZd6du2ibgQixKxJCd0dcU+ultkjhor+eeWvL8GA8nvfNx5AOxyD5jh1qC4p3GxM0MY74
caQS9pPdbgdmgz7ZFw14koNVGlBl7j2cmorK+dCYOz6fOQZdNk4J1QjHsjJBQHvPIsBwZBJnIXKZ
sG2WwSbqLqN17sgLMiLUi4jvjZPWU2FW64wtf9wdk/hcyO+JZCX7c0sA0Hi8BK2Tin8DnQOa2OYD
74t0ZcU1NblocIw2JeYg+LpUzayo6UUSyPWXroEZsKicWcd2XvvOEkzWxM7W8uEuqU8TJnYS2XoM
AeEDXbooKaem8xB8F8fMTnIqn2bxdxkQ9OGdRg5+0HoSxhhKTB6bzG4cCABlZJz9DYMk9cUGkFbd
2Ilgx3dQwnVobmV3tqWOTEGTy3hkljHiPY2VrrFkmTKLs0OZbAcOi+ZEhxGYbo6tyU+enOGV6o+C
lJKqISIBL9n4kWrt0jQv9APZNtauapfDjIbw9pT7gBsOCVQOdDnlaze86UXrca2a8MLWRZksXabx
qPzlQK4sIssynI3tpzIZKaS6evFuQnegsMIqbTzjJ1YPs45FdAi+cKCoU8UFD+adTxiJ8iPX1BaK
5oUcFd14pO88rLF0Kxewj2KUCn+KFqb9nAQHXFsPtNvoTThWKGmAk9Dr81FP5llYLZ1Obdkmc+I5
u2TQ7B+Fm0agLWCMC3M6wYBw1x/w1ZlofjxzWA6yJq9BFJHOvOpWRXgKQwJkIBXsis/zAaW0cqbx
qxQv0vnxCDf48mS6x4gZh31+5b+5YlXqAQJnuGrYKo2vkRds4gi0pQ/irHnKS+LDh9ZGuJenfEAi
qhXnKGbnalszbVv5YfA2CfgrB3Mzz0mi0E7yHMRnt4bB5z9N5VHgLspWFYNmRSWnIS7u9Gq7V8m6
SftGaPLjkJIhrp3mqOAL2XB+NET1ua5Ofrqs3H0UNDxX5sGE6UfNW/NecW6cPjha1AUeR6Q1EuzU
jg0be/hpw2XnBeswILGGOdO4OQ5G0Fn3CEmSKp4Cynnwf7At526ZxieN3ifGHdC1mXswE4uTLzV8
xGNI/3Zc0UFFKW81cwjI8SBZp+7KIgoXCzKE/cxkRAKSBT8pKt9Il3A7+Ce7Nt+S4jA9dgiGWJbT
Nh5gvVlwiSJ7SWynqT+0incEoVuPkResjtSoI7d8q4fghsEoItktMEvOmpztXV0jpJX+kjLGdagx
UKWQGbJhV6kpX+V6wdKAsu1MEs6PMSorPoa03KZCbHS3/6l8djdj7K8wSl5SarH7CYrj1PgerDIi
+Gxn3xHgaUXryWSw089B6YAOKz1FagAgg/DCTVWPtAfjIGKOiqpvV3/seIeJhg124EX4F0vjONiE
2Yep0NZT7u59J73aeGWWGZC2gfXLgDiv21RH1np2nXLtMFJezkL02uPf3USTvfZsGsWMdB1xL4VF
Nsf0+QJxep+nv6QmweGBE7O5nnFiaKG7ijoucIvwYV9MxMKzrRZbMwHbRC/61dBD8/Hzbf4wSD3C
c2Q4K9ownNwgRx96v06tVsoD2JQ2h5pYVk0OLCrSdRLDYOBmiwr5arn21cJPN6rs7BkMo159qKGL
jFZw9Km4CqtSzRDamVYm2g9cgUvNIr6CpoqtjQMDGzByJL9CFdtGh9RUTh+o8Vc8p1gfSFJO7tfk
R7OGoqgO+sDQsKqjgqOch1hIrG6V5X91eWqSdyv7SHjQxnwVPjmyiPE/oWgRW+qTlW8aNjADSAlm
L4zXfWjPZSE/9Ri2Jdu+xt5Js+aEzVjGs1+bIWAm5Ck9OeNhhQkrBv1CoeB8GJbE4FJ9Fj8AbBNr
HDKUcANAMKjnCcGsHyADJvUM3CbnqD9e0E181IZzYRIMBlzZI1S6HzG8i+oV/X8+okyDpyjLc53c
7WJF6Z0f7zgAafA8Q2NBCA5j1dwptgbVS+qjAKsA74aKKhfhbBYGf6raZv1L1PB0PiqLTC1a5aGf
NgUAguS5BFE1rrwOfJyqVmlwKwna1u0pbd58bFgNfQUgAzXuIh5FHEquOR7+4Np2eOBeumJeZCdK
FfWfDNL+eOnNJYSH3l5H7l6pXajveoc3CJEld85DSFkX14O15n4CpWE+CzBcAKeaoF148zpbTvYW
RQXsRpBeCHqASKfme+yuev9VVccgnjHlchL2vqkgiTSGkKRi3/VTGi0q9rUTF65axEETGDataaCW
Em7OhiooHI0f/CsMkS1dTMgN8cfQ33Ox1WG32KuEY79d1RAUua55mz3XHmbND9HOBSN6zcL7JiBb
Zt8tZYhYAVHsDfKB8VwyqIy04z0b3n3qVmic3CHLvGUBQcU8WS/P+zNx1hTrXNzQJTIC+xNVA0CX
eMkE78qkhOe3hswYvudsvjsd5qz8kNEG2FhLr1D8o6CayNt48VN/oUfZsu3PoATtdCm9T5FjuSIL
zROcvOj/oexMlhtHki36RTDDFBHAVpwpkiI1SxuYUqnEPM/4+j6ozatUySR71ruqapEAgQgP93vP
FRYJdqy4IaOKEBgLjl1ywl3iDUOdp8q6tTnPG6W5K31E2sXKtNj6VxH1h43PGd9cmL3bKS9NcjTE
3qgPXrSsH72KVWodZW95twY7hnMOI+7SzE9jtJ20nWBDnDhUDmyLaKx7xgXXLorv0V+77YaDOD5t
37mKs9+cG3sdEV21TbR1ALKxfJpaKvc7sCcx+DjqAYyTevyq1AL2Sz9rx9PXCOenEQH42Br6EYBq
XOD5ZjY2bHEocFlmdNEipko7me/c8tWqT61+0uulSPioiESIMyKFULOXpnylNeU0z3VxzGF4alvI
nBWbcflYDWBkWArgvLFNJGiuJ4fExQNkCrpRiKlldmHPKLJr8iLmjKjSPXqcDxA2K1IHsS9njM2r
q0l310Z5XyJlLyhRHBg96b5F9lCarzRfmOZNamuPMHIwTRUXtFmGSdLMtpQEylOieCgq8iuN7qx8
sWiWIM1DqIodNNRvCeN0qnNFSepzoOoPZvrss/qNzt4Bp9AjgXqdCIudmVObmk5kvKVeSJDxh0xO
muSYuHcJUo6K+nDGvDIiJt0oovuEvxWGG17nduvWtDjBKAMcIflFA+NyIFWTWkl5MEA5cUYHIMEp
endjGQzw8P6gvOSUy6geIIJ87xzEVvQlvJd8TDeVX6H2XnDUQFS5jJrnvHiJgONM3sHofmm9zTDm
EM+C/u4lBa+F25nU+nmpcdF1/mE0QMeXGUtv/Y44Ng3FLifFl+mk5awnErUYntL0ZWYPiPYugIlm
oNLN6Xab8Qev/QDUpPptcxYIqvtBzYxEJMjYmLubDOIcYkJ6InXyWqpVDEJ1PpGvxEHP6FI+5k6x
tW2CNWhmoUa0YhQn2RVCfw8lmVMWGwk+ytra3hZaHoVLFdOAlAz6novuRr3m/TFqblvvRnFerorr
UG4KDANsHnl1F1urKEZOc6XSI2HXOd4GLOPV2rAOQA+L+tgZ1jKOGcyn24a8T54aQAicm+OpXji1
Qrf2PtbMEll8U5RKlT8ukLWbDcXJsYaLmSSroH61senScxKSMhMxP0I9wGBEj0X7fPauHFLmgXhf
hH3mMG+PPPIbJzPwgT62YpcDuM2MYwAJnu4xnQElngJKpLHYCrRdiRrhJZ3j8ZdH9GHt5ZyWcRkM
7iYuKbNTHI0amnINvhrz4DIVl8rpnya6gkWUsA+4q6oLSISlYU/nYwKLyn+MfcC1Vg7FtWyAenkU
wk5SQtTFzzDANh4S1BfZfnRp/AWl/q7K/joRBdG9GB/aa7099sXvCJJnJi0E46sifNGR4jDf2NZM
PuyMnYxnziq3idR2sYuYvZ3SVZ2268D37mt0piZqPY+N3MhcGinVNi0Jx0xwIsOn8lFwFcDEbRAY
XYsgopKPpiU+PKLSovFAnqnZhCuXGKU2MpAyBsjqfFCH6KhkRO8nYX9k9Bm5e5OhRgFVCFU2iDFC
0ocnFIGEeOXLmNXbkfFRqX5fYP+fNWdZ3N6O0YunP+PhvYloK5Fsj8qroGQhOzLQj5JOvZHsrL7f
C4uBQ36re5zvnT8OUs0C4znlLMfpZ90DbLXXyAXtzYHZysmX4zLjlO/XjI6kDU1osj44WMZ1iheB
wxvvuRTJ0tdf9fT3pDsrQUd1zKzNQBIo3o+whXfjTNcVb1PL1D2N4o2OkrSX0a8gjbGMX/v6+0T9
iGOE/UZfFqF3limjUhAZiDHXWrXvmQ7SMN2Z6qOLioeKdtI4SYBWgtYZeaX9i1kZq4leodYvB4Ya
BG5ghYaRDPphMvNtYVdHpTNRS6yQ9kb/rgElmmyqa51eq4vKVjPBV5IfgiNXrUzXvC1s59YZiqfa
qfcIIa6yVj/W/kQiKji57NDX1UK3rQOQaqwxmwk8vfD9bZHy1WgBDaVYl0XGDpadaiv+GJifRQ31
aa9vco65mnErimQdeoeyvITFLcZoZgM5Y63sJoBkFCfBfpJvAWaSKXy1a3mIydCMIdWGOLYQ+m8R
Uu9SDiRuCzHDnSOi5qJV31rFtHAA+CBM2cWxdZ2gLxRdcu0lxiEGiB3qPuII5Ai2WOWlXHKuQIPF
VkzwUUbOa4wViSPSLfNGBHhG9CulZLYC5l1pcxOLxzoQHH70Qzghh2RMLsTz2HU4tacPpw1ehlij
XQhNunaY4HhwHnDQ9yMWj+GS41hBb7VwGD3brcYL/EgU+bAIDPNX4Fu7ssy3M/xkzJjZ0XHNQPZp
xrlx77GR+eo+49f0YAq1GbmbQXaR9FEcDslZCeAQie1AoWP2iFnBIO6molgl5cZB0gHCCDQ5+EGP
2qtgn49OIwBDjbS8pC62fs+R0Xqwq+tRbIkDZRpB0UTuZ0YLLwfVuDIZKMWMdHrwRT4jsL5Y1pG+
1fWnLKY3VDjPdumdg5Tg3aLfZILestGs7ZYhl+xOHqgemhVL12W2C9MYf+KjyOFEtjQUujetvM2T
R9VWa2zi+8hAQlbzTMNLMEW5KjmKBbb1kmXqznQZ4fWsX756k2hpKjB8wsfyQDO/Z9GFKQ0jEgZl
6W9iPdwkGhBci8lPxBk5LoPHQrdBrVHIJkfLvLcmmulsCjZRAI7XPYrxJYTnF9KqtmldddCyvANu
/R26Bwb+ijau12wxiULOkQOn7H4lc1qRcbHsKE8x8W0m88EJ+XdSiPu4oMxnzt57MSmzxrZL4BP0
dOZz3yTq0zr3ufWs27QiCgCqQ9Ntk4A1g2Q9TTmLqnxl+LwvWO4UtQFTCWpTf6sCHUynuPfBAFiZ
ewyicO3gemVYwQ/ab1u491NO5EzOEKZHiuSSitZXxM/1I2OamOk7kEw+a1a7tyPDSInN02oWshuJ
em32RN29kF9zl/nqDifeVmqszgrnmOQhHwYIC0O7GICmZXlx6YVHYri2NujoB148c6Be7ER/9nvv
QWH0C6tw54KOnxwO8lPpP/l2fYPUDQ4KlG1mfX6Z0tmWB4OFpcbnlQky5ma4YuAfNVqEPV0l6U1H
w2ruAriJ0iUXEfeAjjzODIybNvc2dct0mPgg1GF4QIPrrmCQG1At1OFLAltkAC0Dr6EPHC62OoZZ
dfJUtYgn515HNaFFGBRh1oiWWF/3SlbgrUk4lI6/LphEDtD3hW0jnjtHxG7n6Xgco2ovZfAQ4suq
ANtgp97QfGPWluBZYvyqmYskng4peyUelKphGwxvrZEUjioFDkI7YQTiNEKR5/0iCdqZOCP340YR
m8vOdRaZt7Gb5iDIaxuyF38CB22llCzpTkeoYboBllGFxiC5khG0zsw7NHZ8bzjmqbXgh7qCdV5f
g9dd1RMqqAwRaeHvVXaqUN8EEjwd4tdwgnfgYpKg08sUpEGpa8fql+Y3x76ncsw7oiQNotJL7dbG
rkdrqX42BQvHmGW0D23S4kxEbCR52EgvCuYfSJneiwaQnmaDecmt7E8bd/F6SlqQvlgkUscp1rny
sI9mNhThvCv2aWsaezcjW0+PR+NSq3kLw+4jVMgubzFTzwnYMdXR0jQacB2dLC0c3zLLuBs5khfW
e63j80h08ZjEyU2oE9TbuFCaTI25aU+cg5tP5SnRSheXn6UtES69ONI5taOLbp1phOMW724OqcXs
3GCVTPof5WnYs4IERP/IvE4bOP9rQaz2DfMvQKr2Iuvo5UpiGfgYSu4m6ghLFd4vMZTvtYOIJtLO
CbVRFbT7sXIljBTnKYriE507MG8myuXwxcdyEzD3r6V273h0hT1lxKumj+BYoDnRNJDxdXIAs6y8
x6YpVl722yqRLGDeIrbY8n2U+hUIIJfnDisucy5RUjiM0bFXE26Q4HV+fMehvDLwvpnVsCyhag9R
vCM4aZVGHx3x9Jh2tu54bxbl2YjbS12+Beo+NgbOESQL+PGVkuHdxP+/gE/lOQBR9mNEc0XiLN3q
HUHUAfLw11QrsTe296aFX0vc1zDWJnjvw58Qg1c0kmZOskQEY8QeAlDkNZUf8Cla9bV/jsNqi3xv
BQ+Kjqka/8REwwb1W++Ed6lxtO19qo8cAoYlmjXseM311DH/TqJV6NiX1L1z3V9eHK58J+O4p660
7KmsiL6pHnBL4HEey2ctsLcC+eeUXCc4iRsMm4W+CEdc29ivbHyAyUjLfxCLOv/tpm9WcWeKd9sF
pMnbWTMgA2tyYyHxb4B/Wg3i5uE64cgpmmSDNmwdcv2auMHwSs4kvVr9xWCmOtQVE1lUHAiSV54r
9rPoSMxtiyo+ighw7/A06iE9qWzVoydq82ARMVruFU1OLG6Uehwz+O08bI/DnaR0ynraDREz1w32
zVo+j7JYDh2P+fiqcK+YD758c8prYUaLGNq7ThPISx4nkofJ0cGjQgWLc8nLl0GjHl32v6ILDyP9
yhanlAhs/jnr2swGcCprm093PgFe9F9IGmZI43n3cFtXsyk3TfC3uCloNfKAfX+t99lhwgcf4vmt
mBJLlq9xIgGGc4HhIOC61iiCA/MuAdljP3XEptDDmkz6vDQ4QoI1APBga2gBuc+rtUFFZtHsa8q3
sc+eK0QeBvoavXqJ8+CFNvW1XzerBpzNJkefxTsg7wbRryD9PwJlf2sQpA5uc6jwG3E2WvFHzh7x
P+t0rOiGFd7T2MlfMRs9+rvmT8+hTCU622Fmkddc4aqWVv8UmPymp6aFX2SLcjGg6tJRVYPUuILW
dDMnq1eVti+cBm428kdEK1daQAyDTayLXxIuxAkiPUxxemxy+25WaQ4ELQQ0hfuuPDZZfkq7+oAV
f9FSsY/ai4bbuIwZDp57/SNhae66D4Rzi3R6JNuBn+koGJI3Aka4qdH8p795RdweJ6X4WMMwN+qA
VtG7iVKq7ynnZJAMi7JKYXdTKzqgALphpwuOljV0PsFEiMqlo55vad9EdCnHfNgrTh6ub7K7InPK
FyldThmeCRq9yZrqLrMsRqO0bB2JjcjkBjao4A1xqHIa5FRII12EksTpqt0jtCKox0UsBu6gQXLB
Cxr2EX4t/Tkqq2efsXvnu//Yw5VU16UTbnrRrVRQ/ELsvPGobMtcXrAtHfIo4K3Z9pxc8lTf+Ckg
XfoGuUlfr4j7S2P7tGu1+7CxnwdJr9KcmIyJ1GZtEdNzrqKn3C0vXsUllbJ9LBVbCPODgKGdc9/R
uyzIE95PVusRlISRqOYIOp8gwT+6BFO58fswpc+tZ1KZTfeDC2lkkv2yrWMSu+PWOhp2p5/6tLqV
jfM4EXTSq9LftjmuiDruXwJAnaiL1k6WQWWs6SpPtBKJQaKARsKW2hNFSnSEF38bmvykkcYJx7MR
ZrLV6F61Tq3y0NTZ2UxJSnCjuTFomcFO6wv58T1l47/QGNsUAO5d17WJh1OfSC565OqVrsN+Ly20
d1bDktw3WCswTzyYU6eAMNo/xFcaXzBPyG0yXM62hEoCePmbLhR6MnCliz+z73WxDUfCHZUDnskj
5nihlWGxiYUqGVdTmJPgRSooaJ7ELs1NNNW331+/5fw3TROakmkr23DwcDn2TO/5F/QlUjoW9I6+
PJ2NWSJm1MvQANwli/4wzVpLLUYpCyY51DaeVTzndf3ee+rOswA5x5m2CjTvJrc00pdFf4VjlayP
wruYvEycUXQOifPIVZMbIwMa3DmEEjgzPSO9TCLfTAknPQuaSJSYtyY0olqftvqk33KE6NhaxvK+
YBNFGI9+8GjQuCmBZiHWQUPFQ4RJDwxFhLM0da4LifQOlZKyy53CeGuR3ABCEIjJXWE0t1H5Yakb
wgNwxeCxYx7rIoRKzpVa03HFmsgud5nkkx0bpGoVd+Eon/P0j6f8HULYg+dU98iwt6NgjSPmDUXB
2o9DUsMU8giWvy5YuCxMPGVXWZRz8KRIgQg7m+ZAWp0laSPx5O99U6DqF5BUsHjpg3dKWFU4nJxC
t373aRmasIB1r6VGC580f8QM4uPc7tc5RK0J31ycN7dhVxEjgVom8Lx3/hDf3WAi2Sa3NoMy5jSx
TlKU8atvxKFOAtDWMTwvWoi6bd+yhaymoUSEMXszM9F7C9/277QR7vx0TTx248ac27MJJ5b2Govf
eIWC9GkWhtXpeMhbazk1ByzD7FRcTyNopnFOpWYOzWorcSyKuHyFIbSeXI8B30gUaX0goi8fHu3g
RnAvrQcmj6csittlHyL5GLVH0wPf8Bil4H5NtbI8+VR4MxSrrQgnG4hCoCsfVWSOze73giZAOYlb
wVQpSsS2gvo62NHWaF1ocGSipMYiH5aphEWurX17Jsff+3RyRn9AzZrch0xSoS80AgWjdhp1lCvG
uKvZebFzboekRjsPDiF5izPnKiSwa/L2WnsJquOk/pgEcxhYl+xgI/t0ibABnRMZfUyhfEzmlG47
O7RPfVg+Z4jfS1YWKU/Kxb0zRaAEJ/+PCOtVo/OltQfRDssKbZ6dJPNUlD3bQl3mboOJkbuGLpyx
9Vy2VZ6/y8Ghgg5gxvdEaOPGq39H6TP3DC1jvzaM14yOlFnCVi/MW1Fml3Y0jskglwHB7QK1B4l/
q1beC6NcD+ajBtwvx6GHdWnju7cY9JYDOgSfOIrIEKSI07hF6uYa3kFgGrNBTg0GLrWA0lrIMxU9
cMdj56LCVC+a/B3OUetOBzl6VffuFUpSnPPk5piE9bTo0X1G4UlSf+TTS5oQ5ezfV+OxZq1h30H4
1tGbRqkixAu4JvwzJ0HsHiUdNTlbl40EkROuI/27WbnQlyP61ukkARxbLSBz9ZbKOftKLuxEkZPD
ozP8noz4ycdnGvqCxUMuzTQ+WZjNnABA8siDNFirtqq26DZuPR1VARUMvkP6EZMSm5JOqvTSZ02M
Jy+FoR1pqw6joDOGy2GkXVhqtATshOlQx0nGLD7sqN7aUc+P1OWrfgw4MsK4aWsH43x7igL5kU3d
gfqNIL2j6OqtaACfW8VDZNATTatN0dM6GSTHYGZBY/yRlB5CDJ8WFviXvmeDqAvx2hdgqLBjHDJ+
28hA/cs4c1DtnedDo8/EcD+GwXqoKvr66rErEQgyd3Km9LqeaKNlPXOwWFbpVYLh+vsN5QtmFbWN
6dh4CaSj65821KE3rRFhu6RaR6jLy8TEB8FbYWD3/v6Tvtq4XGHwYa4hdHTuf29cQ1+leTVV0LFg
QukhjZ1iyYytxpcSJeO6qbwfoGz/pb7ZJhuzjtnLsWlSf/pAGQVEqE0J4Ka4OjR+eci0fP/9NX11
9/79EZ8YdgFtokJlmbNsA+UAwx7Lg7SKF5th+/cfNP+hvyNXbUt3XYRyytV10/2UqJzY6F71CbQY
8hSCnlIcwA0Jaqs6rJ+UP/4AOjTnP/f541B8S2VIHZrK598q1Tzb9nNNEuTWym3ZZe9dRJtIL5lE
j8gPWQH8V2VTgARRiQ7Db18H1/4VhKin4BId0GJsx6g9+pl/rmvzzCmM7KMs5wgzwLX9/t58Ad+z
rX9/20+/QtlXVSBGfoVK09FL4wpaGQZutsCbRe0R+Cwc06QK2pTUtUp+92YZLpXRh2QK2QKNWnpO
de0nJuAXj99f3+rTm9XLNCtbm29V2B710shEz4Dg9f21f/VcGKYy9DlyWpnWp9p08nBD50UOOwRM
AuM7tY9qvOP4oJdDbt19/2FfvMFc0f992HzF/yo9DYJ/sYtgftQ0ZJq+az7EvXOjHOsdhtv70MtT
NKQ//LhfXqBNyatsCn5dfbrAum4JIpQ5xpwCEJZU2n5SoNTiaZCkACXihzXjixfaYmkTrrCUYRuf
zxeOn7fSqbmfiAHgxTUFKU+AUmLeydX3N/OrY8VfHzXf7X/dzTYeu8ZuC9ZD4Q6nOplFFb59zuzm
rjDJSe2JbGumNN5VNFKu3Bi0i5XFs6c2Wn//VX666E9HCiFNKeFNMaRPaBDF4Rbtw6oawGJ9/zlf
Pj8SzjDnN/7nfIrc1mJM/HXKG5HZRX1dB+20loW2SQgiUAOq+DLVOUfCXf7hc/9Zrj4vZwyBdV26
XIr9+S3piok92wWC7ahuvqnhnzD9UwzYqtMgxbFJHYGCvHbaDz8gnRk5xRxtlGacXjoExQkYAQOp
gLJ6TLGlJP0On3Xd4mBL+oOvumNAV6nG4FcOxtqqnxPgmxMOdybem26NPe9GhgWuEezlXdFyiCkJ
bNA2tNtouxuEixl9TEsb7BPuk4tejLiGXPIxR08eqwbyD9Mrpmx2kZxGTHlLNeqMwp2SyW3Y12vM
ueluaMwcJ7OxzeNXo/AZ/aAxnCLCHRxmjGWLfQmn7FCQVYlowoEd8v2P++WeYbrowKTJGEV+vslt
NDT1aHlqaYdVeQjdvDsrlfp0oI1kmVF0L1UznlvhxSuYP9YKdFsGsdF+DwJSDro2Dvbwn70Tzr5T
ieeXenPmMFvBfQyeYh90sPl/+MpfPfi85zquUNNCRP/pgSzU2FSYwICj+6qhDKY347o4NWih9g9Y
joZ1LsyNIG6ymRgyu365z8xxTrv2mKA08D8MiDdFaJN819cnXL7PTCaLZ0JhyETNRmMhopSuUOB6
N6WukreGuJutm9Aj/v5KvmiLwGLVdcc1eM4d69OFTFo+MZiruJBxQIdTYBzvDOaQA0lvFjinq4Yf
/IdQe+Oru2fDrTSF7grTcD8tG1HT1S2/oVrWPgyZiUGM7kgmgLnx1nQmfTaFNjKkgbqQVWFzlDXO
kWyfKEavKhyufa0/YAT/+P5OWF9tGLZUxNazXQj5eQXPAGmlnQ0ZxesJrknKo8lT58x+5s5Oz0E3
hdhhMrLFY/sW0NprOGDgTOLxxvI7QM4u/1QbLiZsMVMfsOgSrgPK8FL6dNbjARsT8EB6BQxNx1Wa
AHRhRuDvAH8TupaTMWboz2MxPKGFSVdK5jfA2OFGFpeBmf5CgoPffn/BP13vp21E08sW3iK/gi8I
UNImGJsj3oy4QgCoa8y/vv84ZX5RGs5NMFOflc40ov7ettKum0qll0CHcQzpTgEanSa0kWwqdCpl
/yICsqIDcjYeiXoDZYmU9aFvUgJY2mXlrelUXqvql2+WV934YKPegcbzWOvnDLcGHCsIZts6tC+x
HqOr8nYFtNixxBQZ9tW+CueMp7taYXPNu4uT0t8PsP9FKCjMe1day0pVS3bSZTBdVP/LgdMVSY7T
0bj1meKqDr+RmGg7IPjCKk8E7JCxxmAGDJ3b0Ih3iQ5s0fvt6sauygBtasl11NY7E2dYbVfrGJGB
4rgMDOBF9+ztDPApneHy/T2eX5zP25Xt2oqn14HIpn96sdLMm1TetTzCjV5svd5NURv4b46a1lqK
ndlwPC5WoOfDGfn9R9tzPfXfz3YM11SC99r5VG8FpePHEG3ksqqY1BcFXHw7RSaRF+cxdSDni/vC
APdQIEpwyuzaK7GPVmqvBXqKtkRlu5F3XRbWRc+jY+yIrakbJCN0aKgnqSEK9Um1jDwf2p6hHtwp
vklbqAYdMUCx3IJopkeDDS6d3kMW3quIcILWVWS3k+oVDzdaRi4xL2dMllCO8KwnicQii6h0IZT+
cC/+Ofx+dzM+FbxtUw59nNQkjcZIHh1xo6a7LroXwXXk0nEtrR2rwS5w5E1gjgc/PtvTYu5tjlsF
WiIlr06XyI4Iu0ouPSGlXTrRb4SVYx6BZEMBRude9nTD9hbD6J6Yuw4teefT0q3wiMA98UkgRqoj
5m38ElAudLiv9FOtniXd0waXXTeg4rwebQa1zYMjo4POtL2hiYnzyyk/iuEsTEKQht+o+5GFILqj
YzGtVM3U577QYOsisIM2Yq18mlezWyhYRelas86p014B7bII2yClWqyivJ1N4ZnCQongmnwEb+fI
TdrsGoST07iSnOvJOtyboApRqrpEu/jHluyN4Y/nNssyogWMBsInhseop52LsBKGMlC5TcZUfOL7
+QI1AcKGmciItynDg5LZ0Fzwg6F+NR4KH0HZnZa9FR7nPEyB/kJhVCWInIlRVF3qhC/XMCA/9e7v
xKGXfaU5MCEDfNqbcLwuEHHCh24JSSvJsT8aPjbOijvxbHbHCkSje18OpCbuQnETcmOSftfmOF1T
3D7IMIrrylpZGHKsHcIBlZIsQ7AqxOorEq2SpaffOvoyMxi70q55pL1lB4yQ+D3AXCPQhq2g6Wwp
+MN2gJjomHFkNm4YoozO2gu3XvdWJiFR9Yds/LDsnVVcMW7JuhuwMHg6aqY0AREtm4zAM+G8TnRW
Ewub8F1g74oORsaKl9LEAZFyr4nXWTBhMh97/dbnvyeC5DFCMOF+5CTMpZDKiCtZIyvSu4T7vQ7x
ZvA3i1VvMQ2/qstFmVw891LC8ibTOlKPnljTuEM8FII5AX6mjccBs5KzonNjFAdsQbHznBUvEutT
zSYZX0jmw29nIeQObgZcd+Rw4PbO+7eivdNHew8SZTeBk8myajm3yNDmOSG0wfvUundGYudJy8Ib
VGxrjSOfcWjbl348l9peN86Wuc+qhY1abFwXRrYwyeCZzlH/B4m9LpGvbwbj2hc0J8Iz1jVExE5a
rRkUXIXx4wRw+60c25UUTIz4QRHXKtwG4gCPCAzFjRE9+e2xKK51VJ7EDxsbX6ClXsDWFZFN0vZp
IizLfUhJOmXiONaEFh4RSIKSeClIuqrvrGnVhrdjjV6SAggc6IuNSgRfehpuGLc6Ec3Pfj5Kr+xf
ITcmgzNTRYAfo6scprJZr/CgOu7exocyRE+CKEcKz2TACfyBPR0fN4afaDeNhPrqN6392zZPDcUm
kOs+eO+bPbtZYe4c7ZiN8aotyPBklmzMFmZsJIG2HsdfPXZbejkhyo0rJIL+S55jR8xYd9QZLk6d
EOS1zJ/T8DYW7dpCR8n55zUqkJuzZucdcZsWnADAiiHqPJvQ2zoTs/Tmp96hMRewn1diCk06lBzO
FZvT31VHl1feWEasxLaW3LYlfHK6U+OVNfbRLPS6ln38ro/hJk5NsPm+/jAN9Q9bozlXUv/5DpZL
zWPbhmG5n7ZG5RSRCS5NLdOCzAXd0IdlUXoMNLqYsDwh7+2OfMBQEkA2nzevyjJZT0Sq29b0An4J
uJyboVHVjO7KliMRkwZqeEGDrCsBCY8MT8K4u4SOexQlLFy9v9MNSHMDo65zl3nDMYzkD/3Lr4pH
QXNFUnwjG5GfbqvVODVw8xRnYhXhrghPHZ7FuEBiOcFH/WE/FT992qdSdeAsEaouArab8FyFU+Ej
uSH0l4EIp3LhnfHtgUfCWWuyrcPLxns4RP5dZ5VHK2iegGCuREp0k0u8Wq15l9geHvxev5ihjxtb
r4ksNEl6nKxw7TXdR4t+AG0qo5aRnkIujUs/Gteck9kDCXZuWQKV0BQZSRaiq5n53EY6sR14Wjs/
Aiuo53vEAU+Eh7x5TfAiBZoZxuu0/QMGdrgo1Xqs2dYz9eJUqtj1QzctvTwvl9EwnTo3JCxe6bsy
zne1+WN9YvxTa39+IhWyMIPuvbIcdz6h/auFNET8tG48KSoAxB6dC4C1JYeArRJ4K/qwnpksCDON
knsK2EbTj6hLHy0UXx1dUuYijFhdZ5vUDHib6bdmlC+R4TwUbfhSV+VNgMYvbIKNH/kH0FaEIaNc
bBTktqAE2hoy/UDO471S+BQtWUlQP10PJXit7gpIUox6X9sUMIOK4Z6Ut5PHBnFs8enj3sioJ/yJ
7dkHNQsOXjVYJFOwP/jYu4iUqwQDECSW9FdPBIMYMNCSsudGbPe5qq6bZoBJAvCrxjSg3Y0x1uOi
+Qj5WFChL11TH3XGO9iCx/G9K7vFUON/F3MpU6yQC14pJ6CygifE6SUp6E4baOEqRPRuq18CDZC9
AUofl2pnMw+W16U2AbyIuVznMPngOxWUYzSfEIYw7mJDQmqh7qTPnSSqoUso2mKCSFFill6N5ebE
CsDfDsmbuLRtTgA0szIkSP2r5rV/auWs/a7ZF3G6HVE0td60S3DWSMNZTGZ523DZJVYxO9DneeWN
bf0ue/J3C7GC4b2xYrls9Pxs4MKxmKlk7e3UaADOarjAccw0rzhlow7WwFo1TnBt+pCMcAxZCNi+
r5m/7Go6NE45IeGoovf79yPZeSzOaTiDSY0ih/TffphFcqE7fXFK+zzqLqkcIr3tmnFaMXr2mfwl
+7i0jR8a4/+oMj6/G45DP8pS9BnoN/79RbR4kqJJ5bzYCNgUxkxiaug9lW0IYaQpQTRmhMSOWnKc
gvGu9NM/YeuctHE4d71v/7D2fbV3OK5UUijOO/LzQIXwoaYU/Hs6kBSjWVhd+6N/9oKGoD4cZQ0E
82C4+eG3+G9XiOdD6nAZ3HlxkJ9ugdK8qKx1ss+7dbWzF82dM+41A/ggmYYLYgd2/qLaaBzZi7f+
Sf3/f4C/Pl19Gll5DoYTo+HT7Utx0BfaVYsC+irexLv03N8Fq58+8L+7C5/n2DrwfyFYEud//6/F
sGtLBo+2cpZ6EMuNB9AFaZDxK9ItsQuD7v37m/vf5tffn/Zp5zTspKXj6tIz90+jXbPyxhCD3B96
bF/+glwPbRZGmeKfnuu/rilAtBmWBdfkREzBwSoidWfahfISHERTwUpKbFv/4Vm1//uwQrmbtxTa
etKg2Pn7TsKm7BxicfhUrblt0rRbAS+Awh5nAAtK/7YIm3XX+det1zz6WT4tJSQgTYTvBIQs3RhO
eEB9ZpKPHViXMWXwXmCt7BoXMU775olqV9X5xjO8Fzealk0Bjzfxq5tYB3MGsyqbqpMk2LTXbUBC
6RWA4CtzTgbkxFv3LasrSgX077TqCSOCEQ09SWi4TiUC6dJsr3mx3Y0tjLUtce2o3KjX3//45hfP
mkn8laTTKlziTj6tcmiGMgf6mrP0DPdXGjM0MRDWFOuBLLMe6jDbWHYWtvM4AhKqZ9W8bvyPvTPZ
biO7suiv1Mp5qCJe9LXKHqAnAPYgQXISi6TIF3286Jt/qq+oH6sdcqYtyWlneW5PvJQSCQIEXnPv
uXvfC7eE9mwdXK+9Jln0UQXtBdeA7QgHfCRmCncPvKm2Vj6goGIiPp51T9C/Lv75D/877yl+dteY
VWWsDD8XvSVn/zrJ6MObqTMtBqe+rxzSNWw9BzKY5NhE8fztEf/zffgv+VHc/GXVrf/83/z5vVBj
FdEl+emPf76M3gmnFp/Nf89f9td/9uMX/flafcwqgo+P5vJV/fwvf/hCvv+vj796bV5/+MM6B8A7
3rYf1Xj3Ubdp8+1B+Ennf/n//cv/+Pj2XU6j+vjTL69fs4jtoYZ//t788utfXXz90y80OxjN4/Pz
n98/xq//4Oo142tPDD611WvYvv7uF3681s2ffmF45oth6AbbFV1z3lku603/8dtf8Wff46FIEtvW
vIznBX0Jvkz/4nseaQr+x8Yyf2j5y7pov/2l8cWeuxo+vUyHei2lxF9++yl/+J397Xf4H3mb3RRR
3tR/+gXGKh/773ZU02YjcUkc0mjg8ON86wd8txjp2dSKAFjyyvJC/xhkpraBFf2h9NJejkwTQ1Gz
q7UWMwUiXDo2hR8fCZ00iMAHbkINd8sYeiSXZ5aMpKO6pBj6c4cetl+Uv5oxRqChtEw4gp6+rZr8
bEcoejUfAcCsgXjUJkjaZVXVnIkoH8l0dhdRpITW6JScADkdNsvCbpormRbB2pmZ9J5R2IznE5oA
lewuR0SmWyb0il3gcHwsDc1fjT3Hej10iZKOVsSgl2NsLc9qN9IJxArgTnDj+nCf8wyzdlORt7Yl
igde81ejSOYqW8mTalp2WadCXG1GVEaJP7u5/KxSCj1NB2YGcvChsanHS7NvXsFrGjsEr8YVSU9y
N/34AmXiusi4jFdBfJSFT0lDZ/yxMuLm0isTHKkygMiTszBojmLygNMkVQCCXl5jfxZlidyl6/JN
7AHeMqP4ZmSABdCqLnahQEVI5LPY6aAGu8B3qNdmrzmWM7KQdUHFKKQ032bPhpmeK1e82Fk8QLYq
IC/lCYHOstDTrS6yV0MMnB6ieSbbtNTOGzQAhVwdJEWBpK6hWWY9RVDJoFpRjU+GYb2Sq33JVZns
cfjNdFEy6aoN3tKx+IDCnSzZthFBe9E7oD8FGNF/GCYD+iMBfAYv5RS028bPdFhNw1Y3kN6mTsbw
Wv3UUFkSjXFk8TwXAg8zARlCwXl0o8/Wi4YuLFNmkMXMCfNG7KE+iZhQ5jpdGd7R1cBhRTPOMVFu
tc0lbJ0BOIeJiWpFSx4CmKOYvsgDfU6R35X6sA2Ef8wc+wx95uvYMqftzcyxjlztNkpjaPRted3a
WAdE73OHdMkMuyT0GFLx7iE1BBjY2gvEDoAAE//RsEN7xfWcqZhymg62YZ5lMVDqTWL3unUqoG01
c/miUkDKIPJtG0VokyID3IgidA/+yIgYHpvhIHJq7EFFETfRw1cHwSXpdHPXpwO14EpS5JpnGbwk
8pnk7e+hTjjQUCyB7Sd79jSarUowIG2bVCKAD7xVpQLe11v1onT612LydCZRxKlv7FMBSRZj1Vwo
VOnRcunRRgmDGhNY7KWSxPtkYbtI1hgxNXTvObXGU59416Ky8ysMgxTPssiD/ty/1V2NsqtPdzIg
hSxK/RxEPsAWs1q3g0GTWrk3npudMubmnz1O5dAfsuLD8YbHySX/4cSMtySS9jJamRpqKCgQW05H
LQGj0ddZT5NOlPfZUJ4cBsNWQHb1S58I/0Un5olLbcB4b1ZmxbBh5gA+oW7LOqKWAxVjBqkSe6dw
izFzNDDg1vJg3hACBMg8JuddowHNSxJTlJq1H2eTDl130Mmums1dLR/QdHo2UfGuu2TMd7ay6+tx
GClwGMGtXkt/GYb5zpX2W64RCB5Cvf5wk2p6aqPGPmOD1CklTKiO7JDR9bT/aiNMhXk8Pmr0rQ9J
2D2YcX2RFaazDHWGz6biZqqtYvnvzbsZ582b/VanlMiO+Y9378vX/PXtf//n+637b1/2297tf7HY
uikI+jRFfTbIv+7dnvGFDZP7pyUI0bARc5T+de/WvzCXZTPHQLCaKg35Nbb8v23dJCVJ0ZL2Y3X0
DLKL/8LWzTP6YePmCmAI+9vxgkcxvvX8vtu4XUnpr9Qgsqk4U4u+NWFrDJB9x55WlKynpaMDrYKM
vTXc7va7l+vXY8T3x4a/f2xBANM0eR6MLHAR//EuocJqaKN5CY2I8K+1Ady+XivCNT3w3HxiOcj8
ImX6UNX7avLrP7iFfisMf39o4ZU3LOoA385HhH9+uoXKrvXp0gsXipza4ZKHHjiTmceVK/KD4w7n
PjP2zF7RJ45Qq+cXlWL+yOuXLW2ZxrEYlYJ8rOeMV3MDqu4bos5af2qhrw0Vo5hk9Ifys20fbdL9
//yl+zlgYfKzk1oVDJ94hsev8KefvUj7FhYFQ+pIbeIFp0Z7qU/qTL0W8oiD7kR2/FA1eq8FzMAz
psQbPXTuG6d4lw56grCS1nqq/+gCQa37d26/ROSI13KDoEn98w0xbKoq6AaadKNXX3H2OikrfnLb
VL/uZ+tAFmQOFTY/p49GNGRATqA35m2IrCDnKTE/DwAyHKNNTD/RQmzQhe5tblK6nwp7WxihWjCr
Cgho9iA4qnjPQmLZehM89ZS1PKv4REv3HHiE9+vZppAIuvkhggUdj8CqmZ0L+Wxf0L95GPz8rXTq
NzPvYUN6cu6CVpyyZHIJub9mkp270AQrumpHD1ELhd8JoibD/nZ05US+cUXOIFsNkfMcROPbEEPf
CEYIB4HBs0TpEAP0biCQYJdIsEy4s25CMuZns8fDYGJsflZSNB4kSoYnSMrPwgrwL3RKcFgIXBZU
xRhHUD011Fl0YaIWgt0QvLdoD7e4h4ig0GEaZ0GG6lFlxLZnrqJZn8GI2zfbOex03Boi8xAjDccE
5G4j7JM2ObfkNbFLxP4IazP8mvNx2M1n+2VdzvIOE/w0o9oG8THUHqAMjAOn5m5lWYBbbSIIIfon
fle+qneyQBDSdqBhEjPFSlE0ztqOggdbRygyYhZBfFUco1k2UjYlR/xZQKJ32RNNhpPtkE8tZ0lJ
44AH41IOKUErlhVv1GXlMQEE1m8ZT9njgOkkiih3pHW8KxryHf2sQhnzDgpFix+lt4nG6RhT4qwN
VtksUUk9p1totnwOczTBVka3s7eKOwfPM236eJ+MMWN3OoGNsWeoRgfeyiJ0Q/eFs1czPvmzyCW2
k21hQyhOdE774Wi+2GhfHDnsGOWDuNxWtwNiGCQd1F6kYa0B7q2LkCJMabKwTC1HimJy7gYUM3bT
PY+zc4YQobV1TSamCsWtqagjVKc5NFMtKj5tphdjlt0Uj43AZ+NVsXbOMdxEsG4Z5ryH5E0moIwu
ai06yqjdYT+91tHjZKZ5TNHlGFN/Njj2dSRbjNmnIyNjo7zqSjnjjkTOWgexkI7jWoXEtzVvxnRc
cf8/dQm2I33ytobR4LahjRgADG1l+pkh9gG4gSM07Q5dBQK6VfZ0Lamj0fiffDqtEsyUY+D4wsoQ
x2AIrTEfTsGYPyuPEVTQ/wU/BPmFTI/DTYt5SHcJj4gYOMDQfFtYh3UWMlbBz733ZdNjO6ygk/Uc
0vPM2qu6rynL81lNocOFs/iIuBfN+Grm+lR4kXynZhSICcsu4BgeM/83c9TEQkrEDSKrIKvPkqVC
cIAeXfBVbeuMkGDhE1tImbyeJxLnRrlqOtLijvltWsPEHt1jc6pRFfRMpvSEkrdJJ+QNF+0MwxCe
ZX0CT8byc18PvNxZQagtbMJlqFUnOQ23VZvfJXEZM1mHNaCW0VUUydtRc1xmidx7DTMrNTuSnh6a
D82I+M6kl6RQPN8cATb+2URMb9LMvzZJdJM57QnT97S0SyAlLRbUiDGqtOHWUxrjncpCJreFQ0aq
SxDBZDe6F30WhrtLIj4DrNzRyjYmIgbtHSW2jVNVr1Qtq2VcZ2+VrR3F2J6l6Zp0Kho0nao7elTf
qPs9xiq/NiP3vmuMd1XoBlx/rp+DzYUtDfBbB5XBQbke3iagK0ZWnXQHWETU7euU8R8JMCmzm2vO
KTNMcboVrr4dsuCz1InJwjYu4RFxGGfwi2u7dQXc4FI5dDhIFd5aob0lS3lTELGL9YIJtH7bW83J
70BzOe6r5MgB56c9TVkD6pCUQYu3OtCbm64ayaxUJY0GddaVddYRyZVYydFrnxLb23RjdcwnWu2F
rq5K1CB1xxKgJ1G4jZ3KZumddpou8FYnwCI6xeQ3963bur/g1sJZIZ2niocTLtADwIkjs4B3rMAM
PE752UzkXWnR5JDTzp0APk2jUdDxz64r23grdPvWwTfKiFWwk+l0MkeG3uIJig5W0b1bqnSZeQRN
oGSM6GgGm/WwBVp6qzvdeNEwkHEB4B+LDh7ABb3LmZryyGTwVzPQSXEwTVabzgONjlUjSPj6NRSJ
qMdmEIzNaSpKfwHH866t1C6m56Eb4wt+yEsnFhdTpi4qg9EktFIt0DnzyuceNjbNTmuykXcqWJAk
MuARmvbOzYarQtXXVaO+TlEBNUEnz2Nr+t4AAAndjCnDhC6k1G/NrPDXfji0u0avzwJMYZLjX+71
4CExeq6HJXB/P8EOZsr9KJvHaaB0aqMXABwLI0LFzk3vNNvQMzeF7l4VZXWcSortth6diGPhB/aj
u9wKZk6sVpHng6ofD931IGJ6hqJ+zUJ+i+QCO3ZLddkaznvc6fMpg5JVI1xif4BaKPuEvJXA7EOC
IOziZ1vHCHRABR0kRjOXa5qiPU/eBUY1GoK9x7syYvvREt0BQR9CXYHZoRHlRdXaYER6YDumyVvH
EfAxst6adv0IjEfzbdRJdVVui6FiaZU0J7qzC3QMpw0nOTOGhRQU7jq2qYgwT7wLm5KrosEjRfB8
UnP2FXm3usx2XsiKYXfI76qpB2Khoaou67M5Clq0jFYybeN8zdyck5C0TjqaClSte9ZAWCu43+x6
Otd9dMHN9JWENHSK2N51Ofy91HCurfkt5hUGKE9fO/lkHMomewCECxgFd2U43QUaF9kA432LIKxN
wS3Cy4VM55ID6fDUgm/p7gdj4rphiquSHZX4mAkbQLEzBLDbkiH9tEIvB/jRIIhonMsoc89VZV4m
au7tCueWxRdlSsDIUeJikCg66h72yBPw6uQGsS29F7d67OpY3EW97NeVPqTQG/RoJzhLrELH0daZ
w85bCi/fFx4aVUNTTEbzac69kKlYG4dfn/mfplVi40BzvExj56r1o3tfcze8wt7Rj9VZpSnJ2jQ7
+X7xKB37iLUouOxzhosibdcO6QUVcahXqqJc16sTKj+AJiXHDX1KN0aiuQs9BnxAnJ+ZyaQ/Wq2z
L7V5/HRwb03CTBan4sUk+G1RkXwLq+bGjJ2zPWK9MB354ISkgvB0PQz45SH0EEHzo/hrn5i7sLYg
QzX1Kaw1Aw1D+pEH5NE69DzbagJLxbL80GrCXoejaFbU+Daiqg+dE+19FETuzC701I1OrgbXhhYt
Y54GiTlcNyThjW3ft5zkmuprQoSc51uhgouzrw3WC6xoM6++pJznmw9ZLN0dPd5m5l48lZwEfRys
jIWmLiCO6NYNvctUcg/UufjhNDpYLvRKKokmHsa4P7S1w7jEGOv3nIKGQ+YxEapXHavTmKlrKp6Q
IBXqAFFbJAQ6u36jzUcjX6s4mTZs7U1I7z8JTSQ1g1u9R/VIvCAWY1SsS4sCVmIZFGahSQRNQVQ1
YOx2CAP1PhTSWDUGN8KU+M6Qgm7VfCZlY8jYLZSexaRG3sIt0yJtBEmw1zmWNGmN6qNJ5Y7D76Wo
oRkFw5y4DvybAJs2k4dUgC2l1yzNkQvUiIDFZwNzr0VxDtWV4WIQdbzjlLT9Y5WXCvi97oS73NGM
bSsNcYjoZS1TVYhbckPqjsWhfC1hbm2qCZiEG4Bvyjl8QksEOjlA3K2FEz57CXHPRsGq6PogvBxr
CvCeUT3YIXRGt655jwPKfxIxPhjO6/hsApPH8xt7VbBraXBqvFtabxGpUFtCgIfGbw4FeYY6xCIS
C7nMZsFNlWKAF5oXXkyD+oYhxOOn+gtNOGWxzjSG6nobw1k0UbD22kEdzMF296X10RAv6itRLXMJ
iWAgAa6Hq4qYYd95S5sENrWCyrs2/fvBVaSKA59X1/axaLgx60gCOG1hoGzdMbYOmIZBgLWJB/vU
QL3ZuMNXyaw2GJnLbhR7fYDi3UH/setyr/usaL4C5BK4mxRnqj77tDVx8CN1aGCZGsAGDBRInP32
4C4fx+xIzGxZsNZ5VNnMwsyWTk7XnF2lsuGOafOKObY07wqAoKUWcqJ108vaA0ozPHM6WguNk6Ui
qGglB0ekF4mLYjZJV5xpLluXzUSxFhhZvaV+shaTeWsSJ+yTxNprqnlwtJYAY2tscLURL61XjZOu
HFbVArig1ZgrzSWKNkQ31ETbC0PU+9azV9Xop0sRVhd2pJ/rgpRMEiy71qLyDDTTEusiSTa9zpT7
BNx9mmD6ESJGKKUF0AVHtS9E/IKMHOAFnFyJrIoIo4FDmfVWrmSY9ivlcVLvJ4+3GvIt38F7nrlv
zeCTh7U2hfZSTOxBY827QGrK4YwKL8AofH9pjemb3ScP8PxakJ52BRcbFugiBKFuwI2xWSNbtxu5
mFSgDWzLehmkn1zJ0OzrlSkVc/4d8BTuh3jVllYUcStEQXPl2Q400W4Tt8Dg+p5EiV25NcBuM10B
UUm5YriHhL79Lp6F6x5qX1DxvUHSOOnuDHtevBOnOagEPB2Wa0he7aeDntUY7U2WOBdTOcDnTTMy
I9olRL2DVulXWjLcJE57TMLgJVHmjY0nhirXwXSwoJptBAAI20AxbITTfDqlfypaQmmcDB+8FK4T
wnNg0xXMm8zvnrGi7jotPdMvmldfElv12oLRHfVvHV0gK+NgStthx/TEMopRw7XdJ072bKMnpAeF
pLzvJBMwMxpVTkbQWHdz7lLpTSGzWzaxtS0rhspAD3TdwRs/DTvbJcAciYZzqCchIh0O/q3dH7tS
jDs6n+9Grr8CSni0Ihtue2/t/VpdJMxSoLgn655fq7HWtyB4PvzKOw6Io0c32gigMIE+npC/MTbV
HOYcdEVRvnSzzTBvJhP3hIx11y7Gpxwco0lUNXflzirTg2baV6DAjqPSd/GIBZQFLeiLa+D5m4lO
Du6FXYrBkzuRtTRcWJGR9zz18kYyglw21PECmW7yslbQXr3bUpDZ5o0XFfFuAJwzCrnyiJ9lUAl5
5aE51WDP673pE4LWSVfrsAHDcOdM4sCV/rLy3U1fIbTDjuQP1lPeGOcs6q4NzXux7ZEjZDdnPXvM
8vXlmLVHMVG5t6y1wP8dqP65SMRtanrQSrUSvxVHqxh5mS8UUwPVrrDD/aADfHaZCCwV0OkUKIfj
7Dw405PybinK7Aw32qEQuSii6uSG6Ln6Osb9acnLDCrQNnKgW4G4AF/e6y/si9POHgsfqzLf0wb9
72t2sGldex+1KK5p/8MfCif1UowT6+8QsHXXmju9TIPxoE9D9gnLgJVWK6J1VaZimQ22/Ze+wg+Z
gO8Lw8bv5BBoZ3suxSZay1QDf6wM2+XIYEk8t8iWqL628D6LO7bwO0Qb4qJZ00q8W48J9dqlefEH
hdU5wPJdUZiDjfP9Q/88TS+lxnTcrE/NT12/YchgAdR6pa+KZqnvgJD984f7nWKp51KC5hjtUYz+
uVjam05dIIJmYqo8WXPgHBEzk/P//EGMn7rz357T948ifnw5S7/qM9shXNttmMR41cTCWnfX2Tpe
RZfVul/RRCqCDSXXP/g9fqtC//xifv/AP2VhRkuNg+PywGLrbeFx5isIntkaEC0ZMzjDD2rtLcyl
8VA84zHZEL3/g2f+R68v7Zfvg1+xC0VmnCPZsHa3yU5dezd4FEC08bjkf89aswr+6EnP3/PHJ+0S
n6GrYupwGfj/Hx9TpqlfymSyV+UaUtJG7vptvc22UJyX2FcXC2fBvO4Ca8DyQM5/j6DoD95U1t8j
GjzTojfgWSY/hGv/9LLrehJIimbuapLIKAKDhvwgtqEZrP0EIhWEtjas9xy8Zijm0uQGNGjsHoLL
VQb5PSGN5RJA1fuOWcFsEzOF7FneheMS1dCbR6udbgcxQl1mLLd9QjhLMYvfKL3xMjEevSrdDKZ8
04b0GNfhKuspmRZK7tiWDmlEGMuyDs40/MHv+sdfNZ01An5A3hwbtARoLPHTkx4xHDGVibyBiCVe
8zC9NTpiphMnzn/+pvrdBwKdPU/VkoSxf4r3xabkKiMTNigBBaioagbi0oaSROs6f/nk/jsd9WuD
1eS1+8cNVuh4PwSj/tJdnb/mb91V/hu5J8/VHaY/5vjTr8koT/9CDoeZEMO150lJfom/BaPML6bw
bbJ5/PZ0gAMmy+FvzVXri8v7yGU8eG6ymh7zlf9Cc9X7Fpj7bi3gLYJB1dJ9BrngU/jip/UncaLY
NFpPrqnKnssgkm+5QTVqZCKoIXJ+D8woWCY5hsTULCCfUoqaM0cJJ2bjVhOVsylauIGi77ib5Wl0
Nc0tJjfxP+xhIGQQG86KAKZajA5zrwKAQBd12sZofO9msiNi+POxbooRedSjDDY8gxgSahriAUSN
NplcQ0anZBa78N39oJpi18dJ82bq1lMaTLCahEdVLp52oqXkHKYppbRsYLy5cAUDGEW+T0vca/7A
d8uyyV7rXTdsxyR17mjaaWtNs0j5Bvo245K5thVlvRgSMwyN/kkr0mdh1W+FYpCgmW2nk0dWnhHe
Z54cY28AphZJIe7GshWX80+9IY0PFRd9AV64BoAYQ8VtG7xoo8NdsIscSIsRk3Q9Np6OyYrA915r
K+cnDSxerdo29ukYVcvaIN1Bld1cNYNwtnEXBievRT+Gq8DgYuHYRKgE4fksrPZDP9JJzZr+Yuhk
fkkd9Gsd1lylahoL5MC6ZR27DrB/Yvt6a71rJLKwSjDLWSWIketsOsWqwYdeA2+KrIppx6Ixl21O
Q9A28NYXKb/AKXfh4hk6HEmBsWuQmkYdqPAussGiiJ3n7bKZoN9NQke1QDKJthv9h7C+bWWPdUAO
T6gcn2KTGFDpgKy0k+o1i9Q73VKUPhp5N3ya4VyrsjeTQbU0lPzLEXtFnHG7C24m4juLqQfOO1YI
TFXgp2tnMD8D7piUr77NvLzTEQI9hiEKuKO0VmWbMzbpuV9ROgHEl/gT5QAi0xLnTGCoSNBsLfk0
fkZSrCZ3PDdW+8gRzFikNpxXIUl7I34IyKaggJc5WGleTzFiqwscX2Lx44XjE/MmOmCvTWAQ10+6
9ya2Cm6e1jOj9bhjHWunjVydmsjle9a0QkO9uQsRd8Q2eYLOM15byngMY1LwCVL/VU3lkwtSZBml
uCQ8ySCfEX31kvojaWMuGvZz7cRk87pzksE2H9vxiXf+tcVlcpO703mU0aNAl4cd/aC8bFt75jUD
9Y+YGjGu+jqN/4GBz7S+KRoqfVRG6U5mO8mJMhiL19DWbjsasdzBgCnm9YAiqXwyiWQtjFa9K3uY
S6zJ5zg2jxRqWsZlKa0kmi9Xjdffm217awO5XNDUO7ZJfgP4zVy3Raqvy6y2lnYIyDuNg3l6ZSgB
DlIT9EA7rumvUNH2QWB3Y/SUD5AoHBkdOOKfLYSqi0yV9xHN3oWg+bvWQ25mQ9cTi2LCFtEiGAwX
aa1vuDfSVc/tZGhHzCkR843hg437nLtAj11lNM0DMo5j3CaIxFR2SYidaXw3j28Dug6ouTTAyAxE
4Z7AxGl1erKLRfxMq5NGYDveJCUotbije282erv2rTZYuqP2ITUcsmXe13PlctwqKCCgA/trChwJ
ygNenm5ibqOL1bHpsfoWGlRq15agrqVSt7FNMEyMw+1E/9ttrPqxrYOS7riW4A13m8shz4bLKWlC
sqZMSRO2rC6MIrSOVGeZRsm7hyqAvmwrytJk5L2rtPIB1AUqGbYmxVZMXpiX06ClNuyh3lOegNWu
sXxElU9ZaDJPhdCiVVR044Lu1XsWDAc950ozTKeRiVxIxfskBauMByNYlZpfb0LWaXxF2iX3loJF
xhWzie+QWuG6NdWL5AB4IUZMKJUiZoYA46XwnXXiC+jR7mUThS+j1RQLd1KracqvNQiV8G/nSF27
z0LzilsHFf4sB8Grwr3lI9tB0nwje4nslkkoOpvT6zyat1Y0kRcgTq8MCQY86qeFnKhzTw5OuiZW
48pLqJP4QYzvypTv4HNHirY06xPBUp0JfJs0H/tB3XcMptBxlpvCKzFEZW2Jl4QWcyiaN03UF2XU
z4NJk7dyrJHRsgbjtO/IfRwxPzmO/PRp1zB0qhePRokLVevsc1Plx2qk+w1MY+cyjbcsa3lyK26/
ftom+2mSJAO04W0cvTsfhUnualSoSoGGIDERC3XBq2GFdABShrlwuyat+jQzPr2Wuwvq6ji47rFX
c2fcqNkNi5OnM28PHekmy9tPTYkKuXuIm1AvHoppGuApes/0/uAG1j0fu4zuLsTsWWuMv7jtkFy2
lbiypLuk3bPOpCQsYrEmu+08i+bS/GtK9ZUTPuQJj/h/agtsHLSP2y4oLwKjeW3L6ULWfF6oyOuQ
BwxPkalkNjjIqwtB82HJIQjDuTux0unRHtA/6EciStDJ241OSFuQxqUd3YKuiNuT33ufY8aBQSC9
XqX1AHloZE9Hc7Q3M9YTThgbWapDHoudIeeGPFjcBWNdK1KT92pEiuJG6SaT2nvuMRItquKls4j5
EPx+bCKL0tSA7yyutWQbBRPem4p2SCv658ABiM3AqbmCF0IphHzCIuTTCGjkUPv4jOb6V6T3F11M
KC2Oqn5PouW6i/KWlx1AWxVb7/okGantmuua4bJj2OHkwidAGksw99iGHQLsydsNjbrJag+TVUb6
VSuIm1hNCJQTCeKi1Iy5p6Rb64wi0GJsymYNNcrdOnqC5l0BmlTeMFFlYYvFcH2OwB4z15+jXYlO
wsxob5kyPNoT84W62ZPJ5Wqd2fJUGVnH+y14ADg/EHSjXhdEpRbMZTnGsAqFLMDns1jRkAA6BAmH
RtcEOT3wnpuJecJxCHBQKgYznFzcaqH/JquqOUSatynKlLB4cehL8hlc25ZBAV61dXwFVbZUN6K2
D9k4rA34mX5oX1hTgNAzIOg3JJ/VFLVXLXYjlByKRAnR2IY8XCGdtdt38UZl5obO/7ipvcZhxN2O
936rTq03fGhpsnfCYKt1QbpKBSNHMrEO6A3Cfdf1xxHyxj5waBVoVnStj/q4HHI3JO/f7ccu7XaJ
iF6TMRxpXIfkhasrO0ayJqcWCZw5NkubbMtGtxqCAMVwDQRu70f1TT2SFs7lXVjH1J+DaIu95KqI
nRdRQmfze8vb1nV40E0++0SeyFRMjwXlbR3AF8WWD0eTW1GwR9bKvesr2yOTPpxEkeYbB9ZrHnpw
Orjm7TrH7Yi+p9TU9dHZhAWxlQp3+4JbKD+zSykxnmmosk/OjjFNSyPgNQt4o+RGcXSt7JHtjs1K
iz5yztvwEcYIQY7pLjNTPyZBZK3dOj4L0X7YXjErCrBtk2/iqNbGXNIL51qbOvjr0jknrnXv+UzJ
aaaIiA4p3hDdeJdZze2QaPtoRGrc2U+VIY8+ncUm4YOlNfmEtY9IFKDfr2VRXoaz0NazPnOhXjgr
yLXyuCS0zFgurNg7U1AAPD4QgZM1+fmQT0Uee3JlsH3c95F14vpxRoh6a9qkaGxZvjDggKtYxQ91
W+6s3LiPBf3ItNZPQ5C+cZBE5ZdwguCbTDFdws5Lpl3pFXPrzLwfJ7pfEzMPbg2E3EsfWjI9uO4o
tWp1dccFgNldjUnWGGr0lo2RIg5kGt4NAl0sqDWAYra5Dh0JQNGgK8ghOjhpYUN01HOGjTRVtFdS
bw7eZBHbi1p3WUcTnZ5GHzY03/qVPodbcq8j1hFY3RZgJxO57SEKqguzDmN6JZAbmBrfksXfRhbn
hUH548IPKdn3PX69cVMO5V1CweXYeYofi+Tews/jB3PwoK21B1fKr4r9f+8iNAmbkZwCUghowxhx
y4/Aqe6DGJsqE6YRlG3/vqmBn2XdgJugemP1BLTbkRipbT1dRS7MYQbQ0WxH/ucg+a23bAlb1efv
Qox3VE6vc5eYEl3pJIYN6LU9w8jTKR0wUTtGB/stpZnqaKV36Fp5TuX0OkXjhVmMWJllfTKUDw8b
rWiRPAQKnWXmvDgip1znBRXokvZKNN5aZYB/cs94nPr8PCBz7Nvh2gDcmyomJ8rKvCuc4VnhHyXU
0N+2VX4d9DEOItKqp5yJve1gJxs/9m9KxrY36dDZjPFr2g33mPJ+EA3npsIP5hTkR8sdlaHtC9w6
11kMNaq1Sw71U3gCzoQu0TIPZhx/jMYoAMYgm2/SvD/5SaD/pfDz72rMb9UYqhP/uBqD0fZ//6d7
rf4+727ydb9VZLwvVOJ0Eha2J/S5CPrXiozrfyEGb8+QDA+uHmPHfyvJGF/mQTXKMRxifZ/RDwo5
v5VkxJf5G4GQIww/Q6f4u3+hJGP9DEYg6MOEmutTlGH+23SduVj+XeI99pqRabLSWqFMLy8UWUFC
lDgdZecebTKr29DvmptIBhfCyNr11GUc6Q158KX/f+ydV47lRrqtp3InQCEiGHSv29v0/oWozKyi
955zuqO4E7sf1VC3pHNOA/1+ugGhUFLazU3+sf61vjWtFR/JClLfsbzo2eBQ5DP21AKTKt00LeOo
aQMcSNg/CdgsmTffzzweXYsGdioozji6frL3rPeNH0B9I/3aMoQw0tKjaLaNt8vD3D731CWYUf3Q
Zb8fHwCVJS6P1abmanemRdGN3cdMhw9kkoYdHUZnwNWMcVlb7UNrpnijxV2Lf55gbdU/8f0t1aA8
RGdU2YphGOpSu2cL1O3srPXoOHNO09wODyqhNq6kWsTHPb71Fmhb4TxjDII2M8znuHS8y1zX9qb4
pGFkqA9JS/UBtTbvlr0YvfzwV2JmFxHjWEl79ZkO7KxsjozCoFNAxASAlKNJvU4zAFWv+ARpdWqM
6q2j9Xct8kKdstnDkOUH7WaGgbIsrm7cQiU7mwDhMcm66EqDk6KA0o92fe7c1MR4L3adren/ETVd
joAVCwxLm5IKPO5zMYamqXf01pb5l1E27bUvjHaPlJx/TER4CRsICKpLgChfokQemSJRenf9EjIi
vEBoEb+bSf4IXw91CCSSyOluIjU9gWX55NlSbcnJ5mSFyDAVkX8LIOKJJ/J75YPq1E3sXj2rcNdi
yUDRl5ES8mOvFhjZJSqtcqtDXg8tqMdeQlRwsHY1sSpg+A2cJZJWo84+7SV71bIRXLOsQwi0XPfO
abTNBMvV46ZIXqq1zNXIeB7ZxaM35zwZ4zz89kqyTRxwF2Msq+/cruP17BfhRjjxTTD570NRfVdN
9a7sBslMuC8zlZDNTNtvVfMYmmLIEXm0k15An0L16lkl/bHzc+/nkPrzqT0UdBtuJjOFZCJ+VcXw
3U0RBMQGH01DyaRnjvshA6OISEU1U4/3va+6i8zHj2mw37VgQrbYMW8CPD9rhaPYzgWFuMHY7+0S
ZlqJ8kMBIW8CO2b0FTF1mByghqNTwmTMOqD0tuKaH0Yr/Zg9ICe15f1oWYfvmzxDrRT9W2aB7m9j
GuemYhSbLImWpiYLn0dz5C+e8DNMbPrpBu4duwWm2jP55/yjHkl8Ee18me2GHwG1x9A1H6cEU6o1
UHk939oj8cu0Nvdtqx6KPkvpI0ofMlQA0NL51YUClzeAVBKgVSJ61KGuVkUU3w61yVN8WEZYQVlV
kdhL/EtDryvvWFltm2JU2z5GxrC5BnYcvhfhR/Hi+AGQeJeCDx9ehO3n3g2ziSCl6Cc78KJUPOnK
OXayN7EvpsXWsJp0N4Sz3FYySNfIBtlJK6F3EeZTSmepgnGzAqEo9Z6YcU+yd7ap5i7E90kNeymK
ix3KsxWOVz/RJFJZPa08jljr3E0IoTnTKW/EbUsVk9IJLrjotodUsi5JQhqGwOFGZYUj6+5CQ7Ck
OSj8cryE8dS332WBaTuIwdGEw0g5ec6l0PZpBvnYqhFKpb3rRy4cnAn5IXVmGF1Fw9nIkcW5Tk3Y
YGJ4JFfSHdlUb9SMsC1w1MzEWBuyeFveBT/LDHeAl7OKF5V7pAbofsx4y9RZfsli/ZEAvDmYFMee
w8Lr6F2ssR/6FCRoRRex1ywNdrnJZp7D3aVngFtHAb2w2A/Mk+nU7Yl7H9W3NEAvjvqzm8lLGbr0
AhrIeIFffmYm3vZyMWmXgM1kmOAAycWWmM4XYsVxBtONpq03Tlf3xzJF/acDgIPCwslUmBDq9LXp
PYSSuHwSxJN7lRw6Ce6/UeFLEDIMZQp0hxOIbo+UceoD0hDI2T2DsXetE/pRzLl4Cf3eAR6sZfU5
deQPbfSaQzWQDs1qfy8GSjk0zQaFgzmd5i/zWyGQ46G3L0yvBGT7gTZQDgd0brWvBvRLUSKA45+T
q2Aw7i2wlVwjqjhmwUIec8RTN8MBLbMyxElk5GQsmxMFBpyvU4w8mDG2UCLuPY3AOpXhjhYrMDSj
CeBHov6LHHuVJki88T26R5Fa5cLPEVtCKNWGZGbERUoinOv0pSz8EicbHGHX6971MGOPJbNAPXd9
MNiQ4ouESNdEvby2AW10MyPAVlRte4p8SqCcdP7KB3H4fTz633FxQRtAAWXB+j9Pi3fRF8H8r/Av
C7x/ftwf06Lzm0v6j6gYe7jf58W/TIsABbjM8GqT01u6jv6VjlQwmRkIhTKRXhgx/5gVxW+Q+ATJ
SYe6CpfcAHSO/2BYdOXf3CAMi4ImJc/imwQPg1r212GxjVFolOUCcsJMh6JnfXmRzzVn1S95QZkj
kHmI4DZVU16X3+keZmVutvo8NU1wmy7/2pq19541tFbO2cy7aHGNmW4GOatsnww+/3o2Ik6lSVLv
QkQhWhCE8yEyeRd1MR1mlOth/yUNuZdl2237gn1EoGv5OfhpcjeMKjjIrFoaf9GJPWfsGItcesFF
nlLQJ+lcaCwEs8KnQhwX1Z7OI9Q1dXRGJoyircwtPncg5DZV5BJvP0RVbv9mLJ/iDq2+Ub3FyoDC
NVsW9TaIxwhvH0NwwtZkPbHFc22j3tOBxt/n/Gd+4dF02tDXlBj9ysxNZ1fk5lMvZYiQJu9LlI6D
yJ2H2WNI7RO6KZ0OT60csSkkRVcA0TQv0mZXhhdpvMe5grUrs+ttI1h5TLE6GV7McrGrdiLIK75V
ln3WUCoiGdO9ZYb3mdF4x6aOe3z8eljZzjQBNoyRk3T4I1pmT2By4abwp4iROKdHc+QGk1Z4Vs0x
ubgTrYx92+sVzfO3THC3uUx4ktClg118oXwG7lvox282UTXw/6Tyh1E+jIVknk5GuGi8cit7at8N
tzsVFnu83NkatUX8RIzyxp4Md81MPXw4pJ42VQ+0Ai+Y3JvG8Fq4RP4tnwLcqCzeq4KOWhHSkWkL
94eqGZF6R1woCM3XtczrJ0PHFwBSzL528WsmG27adFfjqN1Qe1JsRuGeE6v5xQrwxnLKlyJo3rFq
lM/R2G3inCJg3/dfBpuzP9p9siFP+Rom7MW6YNob/hxvmjB5nqZqmym89hANAcyjg/sZVEhT9c3a
U1yZoUGHYJPPBrCIWO1EWpasbuhL7PwGDZ8lKhevCXnCqj6mdAg2uZ+LdZyFD4MZHYPcYuhrnpuG
ccaAWnIcyqQ5jdGA8MAOMp89CxOgwDcz5Gpf+5aGUY/A3kXWiCLBzq9pQOoh9qzShExb3RkfTcWJ
THQKWCIrja2p4BNRinYtZbhLzGRY4+FgHCVkcTWttN8rS9fHph2Bt7oxD1ZS/WHJmQ4stfTS17zI
4HJ4d6NNuaYVQMqEn+WusX5yPGLnFY4GSwmnJS8jPjvNFqnmu/R7Vb7KcegeW9PAbmrMztm2hw/p
Q2GPZfoYN8NtXLeSnjOusJbs/imYcIOZIU3GyOm7aOT4QHPfKrNyujdF+Km8CG4SuFg7NHjrh2Z+
wLIM8KGs9YqEY0UVAbpnqfkToS/Y26FOjlTckyUCuRB2VJs4OmqwY1m4NaNkoDmpekozoHf8lB/Q
OX50M/A1qeBwx2pg/2KELy6q5Q6uubVKSU6Ss5XEVQr2m5G1x2Btkn0zNnVIKWge7KuWKbG1llxu
LQ5l3WErJAUTzJ5afqNbkU9L48GdFQW3ek5rgAUu2laNXJ3SyCqC5g6La7jWSfcB1Pm7EuCd+kG8
spH7HjAHXoKOY4qpxneySizgRuLW3LJIdpbZS5vIR6Jl+SqJ9S+nEv3J6pXFrwVvEF/5uzL9l8JM
HgwGy7VntgfHaIetZgewsSC9adg0m6pteBtatcaY1wJ3nGL8lqzOeHvz3rUdsQsFxqKipFIsADW8
apmfecdeu2WLZ9tPYhxfy5lO2SZofsRFkR+MFACJMKuMvqgaLdjJ3ql7ZwwVTbO8XMVpHqwDsy0l
pBzgiWaxQVgW5I3ZfCZB/SiQRnZxzG2S1ANejbTacPoUa6eeshWMlWuf4d1USt74pskRoTBBSfua
AluXN5lNgjqubQBdkYX8155q1XxG2N9XTtN/5q1Pa9C0fEql3+aKIh6DYXQSYbQpapNYVI1i0DY8
8mh6Y5FXiXcEm3hTu62L6lp8dn1+dD02QQZg7L0ByRuFl2cH87O7xb5trnJNAJ2GV8DqUfdejfpU
YOwGH9MeVa02Nhd2X007aTccbr1HHosHtRCX02IXsOOY+MPKTtptUIU/vJBGNc8vbohDYZGxjioI
njrLpUqgEVesCeSdx7PMu5+eG96kJaHQwf7IQny/dmQeE+bVNnTh/Zac3uxEvmNTpzEtwVaObx/C
UGW/SIsmXt8uv4IuxtPcMjwTWKNMvZsBjhm0gFgNFNCCV3PjG8N4LgS/WnyW6tiMBI+II5lPDDAc
WvPoOQv0jMpaNZiCPWM9pmz+hyIO1hJjSVSJK8fZ3Ry6FzlRDJBFWzzTxzSDSTrmZ8em0H4KaPFw
i/bKje5HM1Un3XFRTM6D2TgHL17u4TGVeWV0KPN6Xxjkynvyt1K01SGb9D4uyoPdecAj7V/0ymQc
5uC32CLb4LImaSHxqczFrTsB+xpoZG7srVsTbuv95JZSkXPCWlhQ0stlTgwhFpeudj68yjvYwXs2
33pi01cUCJaKkknwyYL8GV6QO3u0bzM73xohKcGmKr6SvvpsTLwHkJtpcI6ORAwQ1FmCJSpEfA8+
XW/echo8jmzCcswU9J2+9VSChXH62BbRT87UV1F7lCrT0SiGl16XjAHp21Ciibnltzb5XrzQ2Xbc
yNfkTZtzOyzl2u5y/NWkD4CgXdiMvQ2F/W70jF4awkrelXLVdtze/MC+Nwfnu3DKL9YecEXjhFyo
Z1PWlOfhapbBM/3R3oqE9tIpO39nPSsLcP+cKuL3nh3rKjXitzBnJ0ZRwLvOmnkDj+sUFP6wbczp
qQ+qR+7eiOdAeazsxZ+Te8G6ZJANu9bhopYrfCxIP5BkfY2gk6uW4A1JrxItaXpJbKhWPYiOpXHm
lYKY91rkL7Vj17yhnW0wVIc4SrZlOl04Tgdr3vYn37EeR7CvVNp1NIBEc7XipzzPZXED6ulSjMYa
d1S2iYU4hcK5k+5E9Z7l3PFvKAg207tsoCemJow8Bv2dAYkP5bN44qZG2aJTQMbIaQi1/JEDulff
k+a5WKWedoEtTsyKP40xOhD3oKSRDU0chqDlHH8XlPKFnQ0x+KFe0H/3vGDlDuwFLZQjhSFmrW8x
AUbrWfJcqRCfDw4DMVumfh863bDPCLV+VHIg6+QRtjMiWuAtdzZZqhd3bhfcUOMl15Gs4l0/uBRI
dwagfmrEzYI/xPItskl++j599RUaA/gCxDCnoFDJxNvqZOGdNTlXpBqyrqK/0fF85wIg4imBKYmT
+7ft+vvY5T5O/e5dldEqlqQjBEMLAH2CW05n41PVcXE30YNHYm/tOHN0AIC568iRpjW0MmUXJRKS
GezsyoVYEdAwk1fkPBc1plngYPak3x1vAVgZG6tnhdSZeIymgeaHoYt3vhpvqlbCHi5ohtRS3Ogs
/a6wFWzNKmfN3Oord501O9drFvvfYI/evMC5ayPvG7AJ/hL/GTMP9kO43xmghsijQTSJ7/La48fQ
Ma7xwTlWefdI/Q2HeA3fNg5kfGkM8U3LjD7Qlgg+pkXjLNu5381V8+40HdkldpBbv/YfWk50+0Ca
1akq6SDgOt6HdnrsPPERt+z+BfamFTfCX1bbHVsaQjYqn36ZQ/yczDgd8ZFQjxmSW5YBHRB27934
lpJruzceU9TjXVJ15jpOEmufKGs8DUIwzWOKrDVRGoIGKfRtIhIJsVcZNeHR8vipwgR5lmMZz1Ub
cScmMAghlKyBsl966b4NHA/Woxcdcd25+wr7l9E1z7j5rmMjWIl1xvA2dEFDL0Ken6LGTg91Y6Yo
TgMyVtax1x1bemAHm77uxPFXVRSQqq/ElO5Kq5ugrRcRIetiuCVJXT3/rwrxZ0aT+W9lCKAZ/+fh
//3fovlvtlZ84B86hAeKCR+xi3DJgkrYOIL/ICx6vxHQ4O/hFLkupYdspv4wEovfUCfABwmhJRV7
Sog/OYnVb9LEJUsvI6VmaAfWf0RYZAX2t0wMUoQUDkhO2LJ4ukyBIPKXvVWunaTw2Vsxu4q17fXh
zkc665HQGqQ0nuqsgAACYrWvT+Zg5yxJUN7aRYMLIvNJLcpamvnFUfZCwxgOH+w2INO+qHjxDPEI
WU/aiO9qUfqqRfObYeFBGiThvOiBeUB7g+sgA3TS2E+pJVfOoiHOi5roMzx9Rr9LjLNXvWASgJtN
pazbxcN2WBRJyo5P7qJR5otaCSecY4QRv2SU2KBUJAcO2Yex7m8ZquQmNvPXCvGznsSLtaihbQol
H5RRf1RDzjPvTakTecqC2oXq2PXx18xOf2t10Znzwala1NZMdin+l/IzXpRY7hvzykOcFe5wHha1
1ll0WzdeBHqSqUQwJxbwi77bmaq7ekkIQ3HRDjTdpGtrUYTdwUl+YZVmLdhW2TldlONO2Fgp8kvr
p5xLEZcb2zuGPb41LrRsp53yJ1N0uQ1oRzqNvBiNCRt8JvxWoZfO4pfjEW7sa7cmwYkKbBnQvfHZ
aQ52i/JdLxq4aSXfRTbaa9VMv9JFJPe8CnPgIpyPBtaRwLDf4b0zxqGu11mkLgR72bOgvM+OJqSP
Fj8sonzgB7dZH710qPU80G45zZF/R8b3F0HfWKR9HRWfVIyfRZtc8JKegTdcijSCpslvB97ush6w
wUSyLoArVR2I30I4V/XVSRC8Ckyiu3bZMVR2krIeBaAoNU+hoq2LrWpIXqfZ7BzrOkDLX3YWA+eK
vbPsMfwAm6S17DYaEXH+W/YdisUHVXCIQF2v1shkahuV8Va0+V3HumRIFRflskGZLTraQkQodJvw
1lr2LLTsPmYJtBvDPnjL61yn13zZzEB2eWDaIGs76AdnmMy9w0EgGeQt5JkfIWZXNq1kO3UTnQ0f
N2LOEii3cyaSdMbxpviHk/sAy10fMmmAKb/Q6mnU7bFQJb2hMvkxLrumMA4ddjsYhdIKD1lpPfLE
rNZmh/8sgMJ5mopU32V1Ma65Wh8GOZvrqnN+Ea2/yRL/W2cFBr4gxCRkfahsGNYkuV6aMM/WnmxI
GUfiXEX+saNKyyQu6EiM2nFBINP1J759NeHRA7eYVEOxyYsU+kYZf/kdQs6ckrr06hp3F8WB7LPk
q5C0hPZeKfec+fpd0BI74LFlQCxgpjRR7mCt5ic3D34AcnjPCICDaOm43fjnpgzfrJwEqiOoNasN
Ee4kbo8taJjt2PbPBsbPtLeSW8z36Y6RPWDLYL8JJ/jotPhlc5gbmoVIlENyjU2Bq46TDw/Eh7HK
fxUzmzgzan5GJRlVOgC/2lSbuxiT+JYV4dqJ5/uedsfVhKfo7PZmegMnOTjJlJGRrERB7Dud9t7c
Ejtg2JuaON+RBKlPvsFsK0QuD8EgbcbT8edo8S5ZQeVyNjUFlFM8zWv0TuuQo6BufYPiFlixNLa7
EEhqk115FuCxNoFgc4GW1lX2vP5TN8QnqYKH0TM+2BZhYlOcLEM+NcoCFbTS/qDoYjibtVSY9eQr
qtsb+wluU7XCCq6ddB+kwztgy6+ma8wjJA9C7cL47uv6o0yRKS1aQLagPl0Ydd53mDfDRhMKxW/M
0Qm6XbiKvb7cp7N6A5d1R2ShP2YG0LPGu82n+Efk4T7ogvs4pk1qjvp3I0cCTmR0IyM2VJb5aPb1
CzorKyGDfStKyM/BQf4dPK7iWFKuUxDyXYuioKLGQ9zIfcpCafmeGHj6kveHvNeCIReFDIBr3tsH
ysNOU5oee6OzVjIe7Tt3TKihMecvHs5s4QLsf61tP9TTfPY0xyIjeEyAnFSY+oKimrd5js1OmcW6
yCpzZfppewtKAk4r43w05qTsjCnY1EVwjxVx5zfTYyyRz8q4++xE+a7D5JoE5daLuofAGbcdPKGh
tveWnq9TpKD5pv410S0sjnJAexfXqTLK7Zx633PNdk7CK+oieU+cAos9JKMQohGs0XeU5ovtqo/e
nA4T+CMVjSVfFZwUQwQw28pmz7vwkhxz+qo9/WgDzNXKXu7VLw5wJXgIF7EY0gaDS9nPmlcj9C+m
jj/DmjS8A6IJe+5O+/WD1OMtibhoQ91Fw758qElRj/tmYQ10xUW2EsLVgoCqpuEh1LG8hLP10AXF
0V6ejT5mSGhdzVNDrMdQ+XcSjZ/lHN0mHO4MWS4UQeqxfChU8PSfkwVLNYA32nreNK5DuFUiC27s
BWQF+51MUZ0+BFN/LzWMkwV6BZ/0boi1v2mn8XUC88zqfqZBK+XxigaFDXIYN6kEGWWp5rUa0htV
j0Bce415Ekvt4MvzODT0GgU8PPHQcSKsuMR9KpaEwYPF6hEjLTqOVxrYx9EkDbANhEEXUmHtxqz8
liNVQG2uXmrBat2pCAu0WLV5/lb4TMDyULig9mOpHuAC5evOGfaW6e/Kojxldf1SOuqmc5LjVGA3
icU5hJMSQJGI3PxXV04n1t74DY32GU/cc2Rm91GCDa4wcSx2ep2IdKuSeY079yFQ7Rbj5K8yFDe9
ag6EebBzRsfWQlsHOjaG3W2sXUq83L0fmefFBM5LjO+zUQ8OSc2ildy+UMcnfPNJFz4aNREO1xIU
VIH7aaw1QJkLnouEd8RAcxo1z4K4vS7lqScCsOae+BwJgDp0EoYSrBe6tTfP34DsUIkVswqUvLe6
nD85GW6UUf9gS44yNe1EW1/V4tvF50rZ7bxRJqn7PD+UlftrHvqvPlHnJGtvjQGn+1haa5yRVGeh
B1Xpa4lQaozjkwstx42XGEpOvs1CYYjiY2Dqq/ShIAzFpSvFWcXBbdiET6YwLvB17yIKAs1wQnVu
z36BL1W174Hv3ogixHgkdmakWAlUORpb9zPy3S/Br2TFffqRnpOz9qjdlRAESr1vIkCT7nCtbXW1
CGEgiixzVX/EwntIA8TU1DlEodqkdnQZqmhfhDHIIM6xrm+hBsniSWf5NbLUDU0691nZQ5GQ+dbH
Tm1QtJVrVPQ4N99x+3xks3GSRXkd0fNyLKlQOk+mD8y0UNMVJ8CDNsqPkkswGPwPjJ+vM0qdjMzr
5KZbbzD3cra9VWg6pyIpyCUFVLQx5tsuaa9+IyP5BmJ/A4jseYzyb9PmdXFMi8cQmKSi3LUEjgKe
UqHVFytNdRNeKsJUrAgBAGAuYkj29HhEMz0byn3swmjfgtDjPnzblv42AkyQzs6Lq/O9VOFd33ID
7RWSfvOc5+nBjKtdwxo9VSVLstD/GU3+JvJ83OT9Nwv4XUnqIB/qc+5N9I3neLPEVk8W9+YJm1pz
DGN1q+NpP/I800YNGYHNnQujDYEn5rnV08UXn8OZwsOG4Fo9sBxpnZs48Y+sZ7cNHniVZfc0B59r
J1GgAqmVtYp9nTW3rae/+yQe18QDnlwo8Ss60PfZZD86xJyarL6a0j3hX2MLdJiDfJcGxT42+utk
0F2vU2JR17bjsVon0zHzsq3ZR5hCyvtI1qxgUMd10x5LP7lJfHtN8JOp1zj0VXnpDXopKVYCBXPK
RoyC+E42pg+ppI7PZG7QOI0bAqIXbWJ/L40zJJ1DSrkKJ4/X0GpuiI48l3l5nIxwT0LlRvD7d8oJ
etV0rELjsdbeUy64I6mGrUydnpux+U6r4c4N1I64yX7s+qM3Fe+jXd4MNuy1uWn3IHj2vuEvfmkA
G17zU/YTP2mS35eyv0R5vWT2uPw12n3SUmJbPhPhOiNLf7vUVHDlW6zp5keCa69GM01ApOKvyh5O
o9uxc7CKN0zBMFbz7LM05cka+4eqp8hIjej9qlF67frui+cWZ7el3s4fDGj6dcTYrcvLnJp7VRrH
yo0vdgJzsC1PidvT9BU+DZwrESiHcBvxyxhV9Y4mqlfSVT/zJrjr6Kw2R70zKAMIjPmQAyCE7AGm
DfsMuIuiRCfM6h+atsecRdcqhsuynkT3ENruOfcRzwCXl9t6lumRaoMfOH32uV7iYYZ6SAf9U4GK
a6YwX2vbSjalMD/aznl0GHRRo0fGqqG8txoOJH5XP9s+wCBfY82TLWmSCB/smkrfaYMb+lmawT4I
CRmEQ0YKZW64N8+NH0KmgU5aDr63ruI2f5TavjEoSd4rG6iaot91hVUo2OcSNq1rwCeNPWThtmOn
NI0XTIDVuqExbu26xi3t7HekTeNdkIL6CnAcQRCfzy7rAXpZ+0eodqxqCFQaEsmS5hhoFiZVg6Wl
PidRP/uej78tnL/i3Hpg83SH49Behcp51EKDL+udhzyYSBezHTQT9a2K9oVD9TVO9T1lT9feaR5k
yjJEgl5K3c+0awE5jdXJIPTM7AdJB6JatIkLNjnZPDxyqxq5b6Q/+oZgRDrW4HKD7MuMrA/ROfEV
0SHGqLesfHJ9wQ7xu+AfBhikhvlCYdayjTa+S+g5JEa3UTRfA+S2qImPKiKFajrd3Tia1JnOT6Lh
fBq1436GmGgGKfnp6bXwRX2pS+mvyoLEUzsYxc6Utbcya0h7eKM8tvXt0YjLkxwWOoy3h7Bytoxx
O4zZFSY1B/y8vXXgfeJKSC4q18Bws4LoZjye/EGcYmBf9KPtjRHlIE/5hHZ/G1AZSYrsQGPgdk7k
ueobjF/VuqiDd1gF95xSNn4a3fu1cTCz6lFYJnuy5MWuNXS2cTcyL+eyfjRk84DHHQWWSE+f8Tyr
us/QLB4K2gCHtL0jnfw4Zf2uG/1tGpp3VEweOM4+1KrYR7K3iZpWTz3GXVBk9asbx+RIPEosiulZ
Dt3RtLx8L3orYr0xhXvTwUUQ2e0hqkDISU09pB8Yn4k0fzGRk0mIJNAnEgC7GcsIPN3qpR0a5p5k
qu/+V9H8h6LpCbxQzr8VNLdN9rP+kX7/+Iui+c8P/EPQdH/j2ICX/nenu6cW1fJfYAQpFG57D8FT
OciK/xQ05W96we14nrKpd1r+/2dnlTA97Bb8D6SB9PgvzP/IWoVa+S8wgmUtOitWLdfRkBswa/0N
jJCipeb2QKeecWBZpI+Q0G7Dbbr+k+fs7h+f788goeWz/JevwgZA4CGz8STwa/izZoqEr6Qq2Abm
osWBXK5a+Q+T3/+IKvqvX4HPSqABDxtBWX6pf/0KCp8Q90SF0FO+e6SNxyBc/fuf4b9BveNoY7mv
LdID/Nr/xhuRTcO90LLExlpxQ/P39V26gXf3UH2Na/2FiJbtpk+8L//+yyrxdz4+2CALngpf2GQs
ovHrb6/RaM0UIlveRCXmgEG0JAA6LMiTmbtdNA6vHVDcRmXPmqpfh/jVivKfm6TVuywKDkD+nqYl
8uq73Eugzhghw6YBnWt+trP+lCXloajF0RuLE97Tj9ZN3nxPXQNjm47wwOMZY2pp9i9sPIlCzsVH
DYo0ipNXUsC7sIS8bY/nhJtZpfyTPfjwmRXnhfqeQ/Gbb6iXXFN4P4IPD0AxSu3fk+Ddz9qNv1pL
b+ZogQ0vW3i7iIKNXjbz5J3Ekfvms1OzBRwrI7/RqWOyOedmr0b8XzJt1LFc9vx+ypcP5JBv2oCU
YzQMS9gKZ4C/eATSxS2QO/Jnqkg/RlGJBQZLQVAsnV6Ly8Bf/AaVMN/5SRAeDRxjQVq/2TkVeAW6
SWbo76TWl2gK78Jg/KnsifQIWzrsDdlEblVieNCeDUVfskWqbtxlXxxijXCwSERBWazCxTQBb0OF
4nvCTNFPxuNodXcDJovIT+5xAWKd745F5uUwhfVpwJaRLv6MKEma58QgrGhFVgo2Actjw4u7T736
toyJZI72g9Ooi86qjVOZmH26yl271Lk4S6q3TYc7YZRAAYPmFLZq61T2IREmJpsJFlFvHTq7vJrD
9DM0qhuvMfGieVuXBLiast1Q+pcm8U6pGF7H3uOUVR17rY4cgH9YJTLkhOsrJLw9xG1wifAnV7EB
0jV5xHN3Y4voDPDhxWwYTO2o+rSjeh847aHFgFiFCGQFd53xpz2UrypLXwJytybFZ2s3kB+hgIxa
gY9Djeye+P3THuxO1nZBpm4477NHbzoLLGqV2DfYe3gSjn7xOqqZ5WRomTejCVxpapN8h/WyQiC0
2lcSOe5dkJacekmyrOaUiWjMnGQfprOJ38Gan/OQrDFNOKTebMRMHRo/nbLzLkkFosTpyLo0Zp4e
DTurN7Er8dGLp0gPPmHGzju5NVHr2XfTJ8ee3oaG6w/KSLrVc9Ljiq5GMqWzt7OGTC+kom4rnfQz
Jxq/sTLhvAg3i7h9ocdmvOYb3IneUXg1GR4xeI8lw+qzmtD+jDhr1i2saUaCzGm3sYILay0n+oA0
yM4ZADdj8sHRqvFqr6xauJu65HxeJKK+lXb/bZJOwEMTnAEdQk7CQM+gJV86OxjeOMc6sKA9ikCy
jn6lgrNs2eNaE5LG0iL/CtLOpDKpovwaZuwqDiFrgvHBGZi9QD/8/+ydx3Ll1tpk36XnUGDDbWB6
vCcPPTlBsGgAbHhvnr4XSvd2S3V1pfjn/0ARipDhqUNgm/wyVyIFDAQolT68KGTBxVAxgMp0RSfq
mB272Dy0XI/WjZm8FoLenhQPX5Lm97pGgYejEI8oBH0OgLs4PQ/YUNmPgUzusduRnZFdfQ5/Ajto
sCDf266jwat2lRvAtiW6NNoqXaJIcpNlQr9obe5cwBXMbRhrz91sH0IpvYS+c8VLXPKMFjeRzOg2
ks956XyrfLwURkurkcU1xfTbK2xtAMs4PxZNWr+IMeZS03rnodBudD287yscmaF2Z0eEg6bmNhu6
B2dGvNi18PHQ83JYrbkPcVkGdnsEdUCWo/rWScA0gFQrmxlKaNylhnkhAUEbiGSG5se3ZdU8J1N1
2xYOrAOw8xL6aqpvKprKWJoeAOY+4g++bzzqgkkvIzasZu546iGLDlPeMHOLmApOIMLFeMTHySW4
ZVzRM1xvWfoc/Vsk7rnJ4mHOhK9cN/kspFgrnHBLB1lA9O6yyeDrN713gT1w75GvJnq3Vk586FVy
Nex2xpnx82pVQYeey5U6jCtFSrUZaEjkWSt48hKLC5k39xjPLY9Abhz7rFXV1UQ69pknNF77VNZY
ebLWvAsmPUIBS9dWUpx9uBPkg51P5Stq250dRp8nDtFnZONrntmOvhji9lqJljfAZ4OY3+lIAtVR
lDyYffWtuQIaQIlZpMKNgvnsNiuyl5w+ABwjPU4FEuRYVpiqjANgiCQncBvCCEaftAsMovFGr5Be
HfdGE8m61vnEmfstgvhe05u7CmJtYlPDYVJJ0TYPWdSs47DYAPTGMFTFr0OVbo1YPTAWvBnS5twI
4nOeSwB3OExJRqsJgLZe9TtHsbUNPWgKuuHL1v1AUFviFtvKHFO0D16hzFy+gng9VeWNZEGn9o3v
lLK5WYkkURVcskKDnmzsZANqsmxmkUnHF6GdMjt5d/hfBA5/xBJvvK6tBauIbszQjLvO0pd15657
bwdGeOOq7Mj6Sc8Bcxfn3YnfakRJTRgrTkVLWw7LMjro7bnIbybLWGbNnVQbvXgyYmyo2slUN7qJ
DHfy6tvBeNKTByhJ9XDbOyt9/IzL+0En2r/KeBWCQ0FLNZjxZaDtLOu1MB+D+qsslgmyezDe+O2t
lRy07M4BZCwFLYUN+hIVHj2hPXES01dsf+TTkYSVCn+0JIRYcPdtSXGwo6+FU7Dp+eveqZ8DJNn4
pjcpOTSdbcMrqCivMYZdNkMi4PZglWTuRq3Alo62o6l1fN/aA7jWl8qwPto5V6oC3V30tXnVImvJ
1WsdmslVl+MyTNQx0i9x8Bb7bJ/VtCL+ST8AkcPmZoKb1fjpkgBfoA4Yvtc5WD99OCgDiQoXWWmK
pWE4zxYDBSd+MZJHoKlcT/VVbe148VpFCUyHNE/ooRnIWNt8Zb32MflZuSjEV2gSwB7NL1xB1Jk7
i3b014Fx7cMffsx1+46gEZKyg0VXyzZSs588Eoht38HXJtfA+MFIAjzfL3S/blhNzyYqM2SIZQvB
XbCU9sW6bTmtgy1rwrPex/cpTTUh+T+DXxyw1+fRJ4wrktOo6UfU+gsRtzuPZ5tLJ/YxJHCQxSa1
inGNmNJhFgNuXUIXByV2KiCtxelbGtUPaVo9K9dbdMhtFp72yX+qVM0UcahOc4ppCL+TqbxkqBlY
HxdyUFtdvxg+1ILYvE+8dusBakjAMrD6oWpV69FTW87aKy0vIWf8UNVtkD7NEk5Cc0jW/jCteO06
n20cnO0cY5eCLNrvA2P8suLbUb8Jc8VJg+lySaFjUmGhH+angME25TTC2XNcaHgDL0GebBMsFCKr
N2kSX8OavaLMLiReH0QKVEbxEppRSZaQgXCmXfTpmGodbUbpJosggtlkZH1tOyR2f7aKDvmF81kd
f4Rlumm1ZhMoRWdBCXOWtWjCikyPUeTdCq/e+l4NQq1cDuJFFtc687Z66i+hK61cGjUdE0wJy0PO
xmhV8jK1+gIWwsKxzWMDJawo3r3Zb0pBi04HIbfRZdvd5PRgxlFH8LlcaOUzCHupfw5RghyO2haU
m55KlWlISObitMdiPKFrTF5xQzEJHQkj4K/whjaYgXOvtWXwdk6rZm0E3dYeCLZhpDCtkaqHliU6
X5jBo45xhhpIKgnlStfJKbvdrkdoHXuCJzQ8qABEf7Cus4cQmRRhbtXnlF5gF9dZBgdoTuEu92F+
VNPW5KwRkQxQhA6kD8dOO8Th1yQujZfvYncVhd9t9CQlxKV40fKLM44FRZ4BLu34JR2f6uQRZXGD
49bLWBpfIy5RudLW1MZlhIPhFfVslYg84LB4aUYKKmldzKpVHxgPmBA5bVIUMxznuIvW8RX7nA/y
jrwvELp5tdDpriyfvP5q8GhhowVAotZBdSUenjZPA5GDxCZX68hF79NcZiWn0BC7cnYCxvXS6IIl
7pZN3woiIuSDuwp5V6tAGmOd9XSi5cbgbgqHkwR3ibK+DfBEJ3wQJb6C4MaRuMiRyVrQcyPDQnaj
5UibUDHh3DhW+rMAZUzxit3i0e14Wj9d/eS377a5cfJzT+qW6YVwt/RAbZyqo/xj7RuQpEWw0rtd
OOfEmWoYL+zg2kThB8RklYvNIG/BzO/a9KUz14KD2/CUMasX2XWI3sp8n8UUQ5XRKi3XUQsODZdE
jmqpbkoPftkuYD1IBoDWR6Xqi1HORds3uXujnAcDikep3+nJa04yQWcsnd2PRLwCGiH7Jt4GsxFH
Ys0B3j1JY20i2ms+/DQsRRXrbw6FUcccWpAccCFkSSNdR17DM1itQh1DFdVU6pX7I+Zh/iKNYXD1
cIJLkuRH5sOrkcFy2rRLyT2vKculE8qlH93L8CFI7qS4Qw7Ok69alau6pP2Ir4dhEa9xv8y9i9Se
NEyOjqiOoXjoZ75Ypt+U4WdvfqWBsUwoJsgnVpDmARQyJSGPZfddpScJAr+iZ1Ivi0XhYbePjg2r
kzRfkurJN9qN8s6oygcLClNHi8pchuXBlJ5zb9ga9uRYdlaI1bu6juDLHBneW0DZC2owKQtYe8FH
lh4Hz977hAeG5CFpv2bzmIii+zQ6Dby2A9Qbt862hCoOHYzuof4oA3cJoZF8lb60PdxVw2dY9JvM
eCeysJjAChkXHXtyP37QExvg/ckRnAkLQyzHDK6/TzZIJ5YIWmSWEjEeW/Tash+TiuwC/rrUi7cm
7Q2uQTjJvQXmvQqE2NQkkbLM3KbM6gAS4MvHxYNzm5xw3APnMpZM1oC8qLUrvwZqC8SL3ruHhDUx
N/bAWFCm8cS631EF7Ct/bIoXy/3q/R95T4+ARJ2N7VUynZvxvRzcx467aYMXRz/29FX5kwlMV3L4
fbDzZ5MhvwN+zVbwHvJ8KxRNrhyN54yXb55CIvnOd2PfTPiTDf99oEfIQT0yvgv/xdUZDstyXDJS
A6S5kDK4MZJxLYuYtQ46Fm6iLnAPYfSk3B+VSSKqNQCrE2Sca1FoYRfzLJRvlCVnQ8ZtkTB0NwP/
VA3fARH7TnsI6QmKOFxZ2qeVv/nqLu2uMWa+VGPCYCY7F3KahadZF9Mmqz4HfMSh2JYAlAVM0/K1
RJFQw2PTTNtmDNZOPa1V62x989gxHsjlBvvQLvdm0/IH0UkrOs3g8poWvgFzkM6hnANQwieC0z6c
jcxYc1zaTvqrtD/citua59HVHhHyZv4YOuucPqzpSas1EmaqWDkVJ9Ghnq3/LRxEjidi440EnMs7
KieYFabONdQVDjs8Ac5tqqmN5WibIRjALz8koCEMV7+UU7dShVz2Zr4ShvZoxow/ON1TqC7rryop
YfDDRKJEQmnVfuKQknp7h1FkYYWbIDiF1V1tnlKmn0nzo5iLNqyesoI7LwkIV4+bWMjnIQEH6K6y
6d5ujRvY+mQLOUCBy1Odt8lTHCUOJQ7GhImDZ1MqGnFetJTJScYu0z9RUOxREadz4SBmHRafWWk+
h3n1MhZ7Kkq2GQOuqabkrU7PSm+Bip6G8H6g5RcfZT8+mPkh4JCBAuJB3bIpzQ7Yd4iRIruqYxB1
5yC6b2FgQVDxTrb3QVBgNVjTZu5P6YuLl161yYZbODElxqtEFs9fqJI+DkN/8gZ16Zp8k9viUiZQ
KQZjWTnyEY/JQtS0bNFKp7c1x/x2Mc9JoAEtAuQSN/M3SRhsU7dd9WNDONTeBEwo+oh552jBknAp
sCrfBhuZhBL1FZ7OJyf2P0T5nLoXavgWfvMxZIc++5Rza7RLypERE9+pfBNEXfL+PfWaQz5XpFos
jJNzHv1mj355zHubAz9ImRaK9uj1OxITp4xrWq+zbSYECKJudrVPh66QhzJkghtgt683duyeGGov
jSiHMYlbp6ckZnQfsrzeJo7auUIczNxfUaC87yExJd640WpyteIkqQRw4bxKXPIEShd2QVFMSFDL
mlYJu2Vd/aAoht9uvAvMs8udpdMv1cTvKObFhk2s99STs6AWWX0oa/TMjjOaoDWAmgzbPiWkEgPO
u7nFwTf2jkmK72c/5Oh1FoEbi10smlx2z4ptSbQBuN8wID9TrnocJ4upfaUczNG4mnh5Sp6lwRjl
j96qMbiwBBUX0NzaTVQyRsatJj4YYtfIuJMiFdeVm2yEl5rhlZTTVoFNiNlaLPZ0I6WAEEpfaWtb
z6/ZpvKNzjWgGuhddJgPymirqWk9CjZl4s7sf5fUJv7amJvQ478znH1jdavWjE8YgZ6tYLotXd9c
hgLD8Dg8jeLLAuy+xAjlgd5tz9ItL5U7LaXzZqIkp/R9Fh1Awib4bPN+m/T6XedSjj7xayCUXahn
J6FXJOjVQ8sJjhWRCrK6wDUI2JRo+NLjF+RX8rFLbYOHZsT/ULCWjtKl+Tukr/Ozkk8KlihDx4iC
xb4hWOF/pJX+iNbIGb3DGYWKzmmj99+BH9k3bgYWWZZy2MXjRAjYebAxETX1K/Xe68r5II6M4mrA
paGcjBOZfkprb5vk8lqAovXqeBPEhOX0oz3frKDihDyihHuoR2lswi64PscseoAJuvVq7I2RjJce
yDZaZqnFgDSTGq92Zv7oM0HsCkBdTZcpp5lb+h3ByMb6ThNvpi1vNY4Sw0SVJcw2vQKu0Rt8/+F0
G7fEfGjiygOILPhDOlEc+IO+OEX0ajWc2yJ/NXn0rsR2jrEof8ZVBpc0IpgcYwGIdjXgu6hBi4HZ
weMFlaNq1+HUn+2C8beaPiNOTnbjQTDJPxWdFnn85siBh8jZlVRSZRUSz1Ceq8E/9P1tnZlXpZW7
0jwNLHjVcUA/CXm7s9HaOC72z9K5NCTY2nRtlJ90hJxgCC6NnPgUqRzKWXc0gDJZWWczEYCFm03l
GnKUltqNlZVYvdih4ayG0bTHsfaZ+sVu5JZk0AoHvvgcoaQnVY/xhAjzCGd2yCsO81gnspyskju7
L6qcYsukd/ZJH204t2zI5BOnrjscZwytE/tAaRqVY9q0qaS4EQFOpRDo3CkP0Zaki8tgArYkOS5Q
FZVZME2GkXhL4LyEerZrGqZqi4E+R7hXYcODnWY/yFSIexPPzCI3sd/HHcM2GJTlqmhg82EIujGJ
L+DJg3wdhR6Gi0ZdJszPn63PV61ciyYoh2OYkN0nmXm2XUY5tdPsx8rjSNoX7XebU+83iEGxiTvm
xi4YYgOntE65ydKgm2O7peeGhJPbhI+ZmTzG3PYx80Y5HMjUzk+YaU3SWyq/h5Xj3drB4L5mWY8H
yDIo3hKl/V76Bnp0uZFFeuOP+gb4Na+M53OUZX6yp3iJKsyky4kGkPcC4EyYzUoyvgNV3QdOZ97U
0lZHUbj+UvfKWyygVN8pi5KkLL8PLZQk3h2mJlN0qQL/FVBvB+5Xj8lFVYQ3UiHfO4awy5CUwAjl
d6Ex40LrbIe13xLpFxNWP9OQ/kydeBhLEtdWwxYYT0fYYRl8aa6QYx2DdMeGYJuEirC8MCew1nEl
IFZ5sxAVxIeok08Og40FVtj6FDR5D4ewNx/7gGOKEVK965edB9ucfbcv5363+qEwkvoUJRipWxUh
Z+QDftf23hyqtyydPuupc5aTanaxDM6ByhG5wdOrprxafUTp/UAHljfpNHaFVrAsHLUfkzBdlZMa
X7pCMd8McOZUsU/SQzjQj1AokS5xlQ0JO1HMxWODoXvlmm2+NFnWfGfaKFE5xx7Rc62NDoifpLsr
7fAcs41WvQ8nzXkm5XkhQ7oelLWvlPEqzAQXSsDGiq2d5cokaev5j30cTQe/SYhUe2yktiItwWm0
sJNPx4QL1c8NexZVe2NA9hJ8z6MzdnQVm+azV3S3FfV8msF1KyceigNC3Fqjd61+dvmF7qGP+1PZ
+JSgVA5UxIiXXADq9FIXyQ3r9CJ09LOcewLLMmYHs72vHtfYWWPTtTMuWJQM5hQ1zcC55yQ0SArr
7lnDu5LOghZErmapJK//kHrf3YCELsuMSJ0c9kXd6SuSBMGmmOsOjeLndj93HirKENO5FrGcCxLD
nqpE2ZnirhiKJwxJ7krSp0iWjzd9rlhUc9liMtcuOhYFjLXhXFVBa0gX2+dw7mhEL247zFfmXN/o
mtF3UgXtxk1VvonoeCQ8WK0707g0LetDUDf34D0Y9kTGQTBUXRWW564GE8Wnrr3HNuz8hR9Od6mn
7wsaJkuRP7q+pBLXe6AlumLv5FYb00o5AXMCyWDvDJp2cCSX71Uf7T1LPGNq2vg29238W4eJrkvZ
UA+o5ks4LZgsJ/wmR6Q9zy+esfvewxMvtl4SgyWZazQFfZoAYa8qIpRpGrjQMXA9BTzSEdnMrKUk
3KOVs0pDCNxzUacWEtmN9I7pOGUPrNp0epVbVfsI1XPRJ7BjAKgyw3wmMJhqGk5/lDO5otcTjkTs
9BBnUYmAwF/TGsUzU9SdtpLbyEBd8JoWrHbp5Al2LYijQsEf733ryaq1+3AuLK3n6lJ+/fayiMgu
FVj5ogYM2Vx0KrLk1hPMu4w5QKzrlHGnIaS3iCmZDhVuUQ5CZxpf7orC3OJWhx3QmN9ZAy9tyg5q
VBfpBRccviHn7fGiJfRUQYeAdp+vQpv8zhhIGoGTgzO26DiIJU7OvTkc0ssIpH+Ih6Oq+I+1Ivvx
93aFn1aO/2/1ADrp4iIha0d8zzRs6fxixCBAFrWDoekr06NxggqwZBmAVg3Qha2JEgHddsrXsAOy
MzWvegOFPU2TOYxv8pAHsMOFRukgjPDYNw55l5/trrvPBsjz//BByQT+wZPyrw/q2a5jSGqfdBeT
zR89KUYMSCcrcIzQ33YwnuSxObYf8YNYJ+vknD7//U8z/lwF9J8/7RfapZmDvgbyITCXQ1l3Au1L
wdJZdez90mEmnLinMTHPVdZc2gw6OwaGyC2vhSXZX/q7WA4rgpEI9sx9d5ZT3Whpl3Lxd3+Pqf5X
H439Vx9UCMeSrmPpwnB/cblYxBQh7SeYIwHntAC9Bx1+ZeBGBbmSGpxlEcONkeSho+zKejItirGk
xIIl3+tDdjz5muG7bx35XbCtO11MV0L9pBxQsAmsMi3IFqxjm9KOztWUfauQeyskofEQt87FNspN
Ofoc4UK0KX1TBw2TWQARjtdso769h3mHgbN79kZvx8R0Q1FovU67kAOvXV8HtkRQb4aEtpaEe93w
GZen+lduIKX5Zmn/g+tI4An7j4fIoFaGfKlpSsOY//kfIKbVxKRSkEPBE8RrzRVDX4kjQLjVgG+d
mM0i2sjV3z9Kfy4R+/1J+uOP/MUNFHj0rOIRowmtNh7J1mxlB2CzCZNHrtzbv/9ZvzSW/f7DMDsR
oOUvQ9i/vM1TF/YudAeUdCd/Ac21GSCw1Bkc/aCGhGC1D6JHjGHuecP2vxV2vvGCYq+7OONbDEgD
Nb4lpvy//1jzq/nrGmNKSwCNldSa/fqMOqCMo3F2YkXJcxTfTsHZj17//kf8xbdsEURnFmLoJonk
X1YHV/gueyfvKx2F21EHu+WRzAomY6sbuJH//of92bz281u2LV0ScDZ/Lp+/fMsMQqqc5j99ZYBa
0HB0j6Cd//5H/OJe+8+fMS+Hf3hS6YrQ87LsqOXy6mo7ViqYg1QW1mUT47hWLkuGtDbenzMuCCzi
6bCrCIdoldq2Y1xAZU3VU6N58vwPH+wvXiHbIr/N40VS2/zVGwgSIpiocBAcjJC3FHslIobaBhkl
QiPgc9VSiuqn77xnb8FAiiHHGl7bFFbqBAH+4cP8xabwxw/zcxn/w7eU9VJ2PrryKnXwb5cJ9wXT
LnFjJXeYA/ec1+9rT/irmt7JtmVsRJaNg6Bz+YfPYf3FI25bNuVYwnMNW9i/LCxJNOUzaoHdCRlo
EtwJc1UvEZK2fUdvdp4BRa1r7kDGfZQZh7bFppKOjPFvCkAu41PWbkX8UhT6JXXB6WfhXlF2tfC0
kGQjzjIyXoQU8RGWu1jTwd9P39bAXaV4H5L7FlJlSG4tEe9IurUPyldnRioU9YTph8Ndv8y8c+4F
W/LsGQHTgO2Zm2a+tGS608JuFQTdxlIlzariEFVkDK18qU31nZM7aw6fW07WR13Ux8DKP0IdqaAK
OQkV/rsZNdhlkm5dVBQz2FV4Y+bTJxCqYVnrRrNQFiXICB40JdJsiyeNXC0XW5W4RzSoeBWG36kJ
Z3JSWzUSqbH8G0BpW+6aB5Hme51DMuUMWyu5Kq5zmYYWMKTrCWPD0KWbiJwU8Yx1Ez63WIdsgUbE
8LkaVlmXrloC+lPWbWwMmPVUr3xIddKjbSePTxWo1KjQ1gU1WX7g3nDuOXW6T1kED2mMSSDv6Ptl
GmBUMee7ScJiqmE7pStC27sqlttogtVDhxpKU7GsguqpN8Wt4/tvQfWRDY9m8DVbMaoxuLaxeYNe
96zxL/AHe3XnDhOZpGgm7Wtrik0yZxOcIFwhw939w5P5Fwvjnx7MX7afQfa1XxXwaqU9XFxI+wvs
EG/MLpjnDS/eBISN1lxABXJLvYy7GvW4QMulpoAW+BInU0tjV5hh0VeUAPz9h5uZE79uDOBNYU+a
ztweKn9ZtRvN6nrXYy2J27G/rZrehTYSfDSxRWq9pk3B8/Yi7cH5lj8ijTpTMxQcGGqB/YMAcOSi
Hbv2IyzVnaqH7yimjClkrGsmVrrV5PgFPOcVaOTOGJsAV2N7NipxKoP0h2S+R9NzcfDc5FaZ7sEr
+kvTjYe//xOKv1yg/vAn/OUcqVyjkFPtChpZmRCcJ33RLQAk7sVy+sq20+8W//96GpxZFr9stJ6F
KZwiPkty0//Ft00bQwIkhY0p64E87g9usatROJf/+jn/i2j9P793JRr8mv47o3X5XgFp/U8yyvxf
/TtIIH+zDU40tu7Y9Hp5f2hYlO5vM9IXEMn8K/r9H/2LjALO35NcH+awgG5BceVl/ReiVf/NtHlH
YKawpLD5muJ/kiKAw/qnJ4UDksAehu/eMjxX6s5PgOsfNs66czJvMuMO2wWkbPa1kaagAHRE2v4Q
qeiOnUNAjr8JT4PDBAzcIIP/yn0Dbf2R9CS5hh5Zf8jKi9RtABSULJWxcR6D8rlSXronn2WgD2Yv
MXZMyImgKihrm/CSobplQUn7VAWFuNVkjKCYh6ynnndM25l0FVnwvur6KSocKCLKNp5G20UdGEe5
SOt8ODZFGx0A7XXgUCwaxCsvvC1roAoo5cbWrmmKsQcAACqJNlUAONMFV7puXOcIfwAbpJ/tq6b+
9EP2EwN3xZrGknyhjQBEAqeoV13lvORWNDe/CfrSdAZ4gL4gtaa5togoKgKIHt2PhmT0oIfVppVw
i4o8ojzLz054qkCoZtZT54HNGLC0ciNLxb0fof+qwkbpUjkT0Q61D55bSUNd827WkK3qXJGpnPZN
NiYUINoHQ2Y/ZGZ+AUIq0VvMkbmb4a313h53Q++Fm3AwXsK4AlkKq7+WjHZ8o8Z7YOv3pQr25MKX
miZeOivdW1F3rRCeF/gRNpre3YQiXzscUZZta7+FfrSIAQhMQ7Soy+w4GQDRW1hvABHxnDkJcXpn
j4/8zSq723BkypgLZFVX9vsWD8gxISVrBd5bSKkfAwIi/pS/fTGLQTEaW2eZSML9tvdGHHTrKHtv
NjrTBiXWwhnPVOWSlkC+VSJiYkHzFfjdLzf01q1kED1axS6Zgj1EdndN+PrSl1n63rcxZpxWfBAS
Q5fVHcxYRsjMoWi/Cje5hu6QL/SYAr/G6ZoT3pp+r03xs9aX9lqD/wWfxljoZnDbIM+jm3NUAEpJ
Mxu6VgITbKkpeWeaDBvCEepWOh2bIMM7mzVQayhcssdS4S0YTGZlHD+IbtxGmfXCiIvgREnEP8EJ
v6KGjwbpjtlKMmI7UY57K8qJCVWdMdYdOQn6an6G8DPCWISCKefHlVw1Th1SvF6XkXIlPhJrTJ/7
yu4XbYyf1yJ7m1Lg4MVNtnSoK4czUtxrAOIG3Ttmw8AVt2fqQNcUg0Jnjcq1daReb5LC2viafTKq
nilKvvMJEXPoJDEYCA3nQvZmdziAvOSerN2W2Hy2EHb3DNbsitA9rMVwh0nvqenAuhFPBVBZyR9+
MWGv06McbETG36XOyefcVrfeLuf/X1bFSQ+0Y6sQuDWsB511L21nWJAVOY+deQVYd4KQeU9b6nZs
1LjwY4V30jeey7aRy9Dn5W5j5PQYXzADsvBgiglxkyCfMxtGBvvoF9lnooZg3SV89QUfBd4YdIes
RmxrsHwWxzhuthI7LwOTa99U+0Lmj55e3nVdfkhr/WrFWIew6oBnLwksu8gpbo/l3oXpmQ8M1NUM
OZy0UywdYwXUfc86hTen34BIxA7AeupE9SFpwusk5IMfadgiMZ7W2DQnyI1xClIIUNHJjvX3otW2
rpsx2IbXRPnDTR22B81qD36EUBzboQkmCu1ZjE2/tEcIDJ4+ArwzMBVWDqL2FLyZFSnbvk1vqNii
3zavn+gZA1sSPmqhxmPmPuZ19DkO9h1vzoPJfAekBNiWqn/sGsR42fQGiCjtZCfxky+tr7r9OQXZ
qQCPt0dEhUKQSGwbUXL1zItHj/ZBZpjHoqJ3Mg2fqxTKVV/DLaYkbx5iYUROWKbYAnGpTNi48KJz
cb8MHeNIGk7OXTOS6ce7Xk/5p4+XvZ5N7UXtnAdc7gNudyK08Zp38M3BD28EGhm3nxZ5KhJ5LPqv
rrCoSgQtuOqCaeOa0yb2Kvy1mPDTQN0CQQTbKu1dbPp7hXDPchvcB3lHo9lA9sNpee5SnP+k02+b
Tv1oPfeuIxmABPVsOenZIzGAGt0uajIERI9ow5tjBdKrcYvieC5HuINZ018yMggcnJ8jaBI22YRm
ZDtsXAspLL20c3yBEQkzBwINzRxtAGC7avAB8k7dtFGawojEtBuWRbBKB+PokUhmxJu76NwEJ6CK
Y6g1p5NFBJhkFG4pvBCHhMrZVjGkyYMTzb1PTSF3SZTfFkl/opVVLNpqODp98RlpzoH63kPgZDu/
TyjxwAaVVFG3pVy+XocYZLy8v1U5DtlCGJA8LHFDbQ/EESk2Amdv6pVHnWJH6ijNexLwdAVr+Pkb
5S2ijMoUO7r4LmgIIQ86b1cj6xa7XrgbnOogxkqSd9K2TQ0wOi3VAAjTv8oRS19bsJfWo9rmBWW2
mpVshOT+ZwQEiFx9n0wO1ulhoHGzih5LX3AOGVfFFADvACji9bm7lsPIL6Iz3iywS6RnhLHhwuwt
HJjUMa0kuC++ssRgdGU+N034GSbpgdT3tUoiBPZA496Q4xPpLWxSzC0i8iNxE+SbpJMlplUVYcPF
8xYbKmGyO+xqUX8zvbSXOE4YtdnaLha0U+iJjNkq3WuUAaMXnXaZLK4pqd16jBaJAEoulKsmy+HV
UtwI5ciQK7pScNMq/1LrEG07zbvzLP+pFvGn1Ui8kxG3LVsTsChcl4411qmgH3FqybMzRLQJ+Xch
w0NLc7l7xnm0wgZE+VJ2oSWDm05qE6npunSL3jiu4nmeXzUDPJlIgnSxcCvG0tj0BDXCZnIW0g8u
o9nqKEjYUOvImOBmcF7hvfvoquTFt7PX1LJ/iHh4kPFU7u1EZTu3LNAF4E2EwbWmawgz8Jto+b1Y
aWVeQDlSZ+tR85e2mliEVnciqR4sfh66//cS8u9LCLe7/34JuW8/2vTHXyMaDf7Lf19E7N9QuWc9
2AJ/iDDFHeXfiEb5Gw3EMxORMLM0nPkf/b+qCMdBs+a2Yc4URov/37/uIZr+G/8iCrlOOBg5Vwjr
f5RnFoizf7qKOCSnEay5I7mG6fJJvfkK/YeriJtW1ICO+MSnMPHBqDpqxR/j3Rk5KBui3tewtbAl
ttSi1C/VpK2Nu6FqDwSyXztNuw46Ez6zWc0H2FBApaYU3ayCBOhgfudn/XchxxtwLxdgA0cziLYc
G+9SzgtZbT2pACdRGRqvulWyEsq3fKL6KOhO7Ecc6K2zgXq2yGjYqckEVm56jMr2pu6LVzeBTZ41
6TFFVB/HGviXf4mriPOPfVvTthl540PopntdeAdJViDVgU9p/o+k4UfGMGtIJ6wmI7i3qHFf2OCB
hjTYJkCnG6IJhkxf0rC4gMmiKV6s4WGfp8beFml3pCIV5Tn9v+yd147kSpZlf2V+gBekkUYBDObB
na49tI4XIjIzgloZaVRfP4vVUygxPQ3Mez8V6oq8meF02rGz9157uqaG9xhICheR3tGryUgEz6m7
3CS1d2vXCh+ecZ/1yTcAlGvZ1ret6z8luWBD2O9rAo2AMjium8HYpXn6gcP8ILDkcHwfl4IjB7rM
2U+TC/FQiNDOxVpP+MzLrW1FfEGOYh8Ey1crxbUGxJxE5YE+ujtTgJDzIMBlyR6Ozq/Bs1+4BLw0
BeZOjQe5K06ZW77wNvXBgeMvGyljwxxDaVZ5NzUjmyrzknWs3Qa3/lXTSeMMXb0ZDYoJKnrd8/ik
Y2ou4pIfuGnT71ZcgEnu8iWiKme6xEP+TTr1u1W865oIzLn4qjvnnUUy8BPrPsAkOBTFs9GQe8aQ
5K8dm3FziHwHuaw09ixXufX4vIC7zDi2joGtN36ylv42mOgYIKFsGni/eN7UvOu5+OLl5Tq8vGY9
rSCNe4z1uPc793WQ47ewnGVHq9Vvq2eY6ov6eXERpqXNgwZD0w1BPH7hmPuTaDaOBJFRe+kLqenE
k81tJWnuLqeJuJ0R73Iv+NSVYL9c37rLcPGT6eSD1dtkZfFB5PXWFhE4LVmFWg5qm+ZRdFoMniIj
g5aBm6tcQUnArjwCA7HjwUYPKurQDU6dOC0eU89/n3V+28TT/RxzrSmbUUMccv6Az6FUwTEQ8AL1
3QUxXP9BUq/RGj4/1c6hlal4bB1951iWv5kq+xjM/sdipW8NvqZ8qg8eU7IXaL6kBK4zy+AJZMrw
/lbf8BDENjB/096bywzLZ7lFUnhWjAgI/cFRlZQ6JysrmlxG1463TeA8tklxm+DDh/pCurZ759a9
Kyc83ZJjfwya78ZmHojm8hw7kDw6/50e+GNmDYesb7C3iE/XZ3YnoW8v+aHV1g7V+rJAMK50/lxF
Y0gqBu5cg7V4GV6IXJ0kfUt4bfxLJOsX0RlHCgXPUriHgHqajYQxy7v4ZE3emafhSdX+sE2kOLp2
dxrYWrTuci4LvS8COrIW+RYMeggxXmwhgt4ao3VuMiBnJlEz2RMNRdXOEzSV+GGWUGahJ/mxczaF
PC9DfF+bTdhHOLuGYn5aLPtTFhbwqPZBpxCi+9Y8ViK/sTyBN9bbJSUDSUTgjgboX0NcXo2WarfE
oOpMl9XdYPILz/2rrfncXFwuVDw8RqQrqaWeC+zQJJs7P9oDFn1tauNApBvqGT73Ohs/lzF/DoL8
RAnOURGrlhQlT11wLJf8VSiS5ca8b6zxF2Hxl04AA0gntfaFj59+jhWsb6kWAdkpLgZ7UuBIzqWg
7J1/Pbr38uCjYil2aiB57BKll2d//VHP7uQ/VKmcd35ad++e50BsjOjJTKDlxfGTrap3RWnavsRK
RMVKFCnezcaPl3MbqPKoYTkyPoPi+jV3JOfjhmYZ5pqeL/Y6FcbDU+y5H5XDMikBiIZHI5qOZlH4
59pxky1mpfuqt36WpoCu6Fu/LXeCE4cwR8h3BPgfndUMus2yxI+Ua296kDV4Nn1oBlOFVXqil7yk
a/kg1+y3VxWPLliSbQ8J8xSo7mmokC660W2vdmmZpMpHtWMnODIE+jO5m4zXqM/uYq5bFIoJF2si
LcDhlXgpgvZxFo59sHP7h1spBW9W9xTMxtGVfBClg6uYY+utHszuMaV/iB66ND3TCa33UQuRF1gY
8jzv+F7h/pdLGMvihg4jSsertSdByO7AO1Hc1iImpVu39+bIzxj9JT+Srnwusvx9WZnyZYTjRtWA
GcraJxa3fCXdUp5n24sfSyMi21j4bKt6YgENRUySOAhNw1NybOa+uyuEFe3E1Mow4G4GVLSA15UU
066wSlpbPL7X3YQ1ymGjFyJ5UZdIvBC3lMtTOSf+psntBjEyWcOU7XypqcsY3B5kVtk8j4JUam3J
E2FVh8aBmFNwop4n7twwYRVxBL5b0RdnFLBWlx+fR+kwZUQlqjH/sSRBWDUWeVia9WPi1eInUlDW
KzpOd3aNKqcyymLoDXz38TgeSlKC28ynvB4asXUD3JnRQmn/HmVkLo9Wl6THvnRvXFUj07eeRoZ3
4Co0GI7qinYVK42TfVGX5TZaYu+O6/4cWroqLqLIsVzk9XiMJGlWi9K8YdNKD/eqBryg04Fvsj3C
FOj0R9D6tBlQdMUh6eUM5IUKl8ip8XgDmKq65J2qbAIRRvBZVIO580VNxjUAJqIhWJhJ74VWHpHB
i9gr5syOL34dvFduvw+8vNyZS23s7Cpybpo5/XB7aqPxpp47xbrB9wf3VEHTJ6i9YBXMKx2WDcsS
XgkEPBm7+sCniG4c47dgwSAHjynduXTaHT3F5DSAXHBqwnRulJYhJiTndvIsopZRcCXNjno1kImx
6GTXQ0kP4oIdfqJVNTRTU175xwn6aRySCy0L24it/dZWC4kv9hmGOz0EGeRXupq/+xxWte0DtmQn
iXlfcGsS5NbXept0MFvcm1jWKwTa2l/kzmOmRYGdxVHrooIT5raHYc20Lkt00cGYXinoakKlvUNM
divV9qVaxVxDuTJkWZxttO/4cBYMzHu6/XE8s9w2NRIdCfEfvcqnpc2wiA/gJIAzbOABsjFLiMBg
HiRB42ODirJXnVhc+eoOmm/g/1RG+dTly4D4TJdKYzwsw/jDkoulUddgp114qEktE1uqiaHRXqFJ
Iokc41KZUKwYjyfbZzs5VNmR847zQQf9tm7tT4+ih60mvhfoPOS7d4nXLD5s5zsXpnTOo7nxg7EF
mj5+NFMttnaJh03Y7V2sTTJorWscoiD5mBmQ25glYk7xgHQRVBVp4OUuEuOLnRJNAsHJRR76DMGo
+SP1Ga6dwcPDnND4xZd16veJSNU2x9JCS8GjGXkfnld+Jzk54kjXGPcoIKdIWYWiGCBVkNBoWudq
qJgNsZmcC6/qz8sC72uhYwlqCEoidsrWhGCWZ/2fQZBbjmP76sbM6DXNMBwq7j61SkEXPdE+J4IZ
scRYo+Ar//JAKxw0hyl5Hgq/I4dWF5hHfqgL/pqXDW9e7GVhk9EW74/JV7YUz3p9zxZB/+i24mpF
/aMh0R1UlzbcDXAaizom3ZdKvesQKmhEODWrciEreQlWLaOiPCmMc/QNWLgf7qp4jGkp2KxTTjKv
ekgAQHQXAy6m1rRIzyOiTShmfTukKZF1i/WeK7AgFnOPZ2xYTbaZibmttoFnULMZXACgJofSGPP7
uEOpyTzK1jPR0JlLF31oD4XJclgjoyPyxKYQh8BLoeZI58cy0FYUutIgWdWzEytEjFa0gNysO4/o
hb+ubarTuCpLGtruNcDlEiY6qO/iRf0yPJQoRFXSiQ37SV3Ed2RC2P7n86ZOyo9I6YcWZgWLJH1R
yr6mZfowzOZTmqU0vTGUwlbwu92MSy/QTsBZ4IqtowtKWWODeHbTXGZzkndGIiVTnTnfVI5KLgaN
spAvnGrXL9TJKSbx0Izx/vu9+VMGCnUo9dZvjwm309TliWZRvatG1w07Pq9LFxn3o65o6uWL2a71
dC4BZzxR19YTBHuZhrCK4mClHE6BLgKBBFpb0EUlKZAzlZWHg0sfUUC5XMVvkg2zDnlom5cq7j4c
r3n1FCxxDeUHqDBldYLWupn2OtxeP11LnV1Er127FtyR+B63rt1Qmdpjeynkk9EuDn9M/HhRhBlf
BfV1ma0/Vd//sP/BghGZ5hrOcje9Z7246z7LTnhfeMsNdoCYHFUF6yW1j+5iZFfFtmxjpwT2czl9
txkIk67ApNKZ7Z9YMrfzln4pejbXfmEzw+FtpgeZ/WPKx5YAD8Z/Enz2NVV4PdxexDCiWsboBaFR
0i6NowSOalPitJ3wOk0gMo4+5Jr7Ia2tbanlXVISTiloXGOZrbsdGQcCfVP3y269jy4qoEh4vxpJ
/nnQpcUpmFDfaNADOGbG1aqH+7QY4bS3vEUnVA+z5iJsTcOLiECNk+mAGwCHnfhF4omv3Ku/gyzF
pd69TnTM7jEemzR+oRo5DPGUwZbUFMTPgTT0Vsq8CCn6wy3S8H4MSqzu2uLZGWM9QSG3SbJm9nmU
9FfrEtjSaFrv0gVA1ef341h9Ye1biI0rlgL5UO3NlLC96ObbRcjHjhxPlheXuIffEK31bpo3MQmi
EcSDT5n54KrbSYnDnJl4IsAaApj+ExS+OvLacM6VsI/YX/7Ejv0T4ZpJxui5yYM2BNRS3iILdMdR
AMCt4eEcLTsz9nbnElgzpUUTQApTZmj6/GTPJNLbPh12huPYM9U5NphH34ivDCcS2ql71AvxuJnH
H3RKsF1ixKZE2eMusrwfmeYuDuI22TRJTHNw3K7xkgrCCTEd2rwWw6MTJxvDyZIBuBLFqreOKGeK
qg9A+u1WjZjBK4GQk8HmZGN+VxogN2bX+DZNJgn8/ryryiSgDwP3PMQcOqVhwCd6emsZam46q83J
PcgbR7gN2K9IPNODBD5MGl/5JO5N+F52616zqVFh7Bpko7uThmlCLx0nTxbpXbDutU3Dvg6Z9+yX
JsUAZGxQQOS2H+PkvBDrJKnHNXwEpVnH30qpG7DkJ48Sr0OzalmIt8+1T6R6Tse3HpFjRyuDtY3X
MUSPHJ48bCQuJc2gJP0cg5OnS5M3ZrijH5Vh4EFDDZb5g7jgYbK4pgTTb5y5r31EBjgbdnZj3Seo
dJ5XnHu++KoUkM0SYtSrvpJ/L137Xs5Y5gpkrQG/IFHrrSz1KWvVObWA2fAGeTXi5WCQI9l4rin5
rfqfgjok9noMpsHX0lg70+vvDVIpwNkuWD1fI7c4G5P5ULQY+yuPu0wz6N1E4aUIxUQT+vCRzW+S
9KyX4oJCGPNNvqjmt554JkYa7DYuyp5HU6Cz+MBpG09vksLYVYKPw7Hr24FoV7GQZCg5d5jhcYnF
YCTmlFQitXCp85It5MfmnJhKnPgzU1OHuUF573aMeGQrwtIz5QflXR5kxloCcHU6OOXSfx0FZ2wd
GQEVMCmblMZGbXDm5sZz2F4Fg0QoIgN0mvh2HFIzam9r066YeOExlHah7jr6l85FYTihdnV6SBZ/
eRghD51ZzfMq7kgUjWMTXxdv7In8RtXymkYsR2ahzXfaXYtLXRhrJmUx9pWv3KMNLIwdZ1MEF6Ou
otspAr7Ay6d+lQu4AMRQtbcQYstN4JfGvUrn8k0kLrq5g/l7u/heehEwwcbt0NvRllb1npBG8Nom
vtpgw06pV+IqN1Nzwkw5AgbIVM1bt4jEzqHbK8ElTDbnR2nABxFjXsqRtCmC6UIKhc+2S8odtF1/
g+O6gx02PraVoHQ8/jU0y5U7CrsfvA1CbrVv7YecmEo1oqPRNEcCxGx20Rydkri4m+zOQwkjRmEv
D0YibuOxvQYZNS1DrRr8fEkXiqZ4dS1qwHNM4ttosgF66fukDuoT8993WdSIelV+MyrL5taYrD5y
Nh3WSi10ElwVBsC+rJ/OfH5kIBUrHjCRj4nML0EiXxYEwmZAHI+Xl7QdPbJk8UX3JG6VTvkvkJiO
Ab9tqbnHSefORGNltzPg52Mx1FveJIeFHHY/ofjma9FpR/J6+owmdtiMNdTlKtS+XCiF/yXutnmh
70yDrFteNjB2l/u5LV4GtwDnZ4NHtEfEfavLvgrdkXLuOYdH2IuQG3rnqlEP37LIUxtX6xZfZYXT
XyW7JB+4K8Ss/MwGwDUVD+SjnDu8nsMdpenDvbQNaBSDR1eZYt2mwJ7DAiJLPIPnnrrIp0wE/FSN
qLwtNBUkC6XhTsIHotmscJAvKys6AsgvWlwt5nJCfiCFlrTOY9bVyaVq5pfS5ebHO/W91dLdUTCb
o5zjRbC66WMcjAdqGR/+WxD6D8Dtf7jS8Hz9F4LQtu5r3L7/iS9t/ff+Lgf5f9k+EgvLogB7mufz
t/4uBwV/2QC2TbxqCDHCX62M/2jsQpjx1+pwlJdAWmhC/1CErL+g5FAqblrSBHRLdPP/x5rmrL+7
fzIxuohRbFCQqwC3+uhL4t9MoWIam8kYYiukCPdBVOl+yup7I6gGSC31kx2jBcgWv4zpv+JrwXI1
m/dV0f6O0+Sz8NubsoOutQQDGr1P2+7iGFhcGzIRNpF6ul56pgK3fhrFelmB1RknRN+a2j5yIC2h
X+RfYqQ2EjmAjOKczJeJ6zi39Na7eKWot11DI4vX9tz5piW68XpAdr3Le0TlmXdnVNMq4bpvol2o
YVEk0WTDzs/Jg9cmq5Pt1OJC6rtoa+EAfGJSATk/xz7sI4xd2iieJ4VhpSCHpXoFzN4aFGORDZ6H
KipR+m+BCK6FK9CxnOfZDRaOmQZXQwAqailKLgwTx0odixezTzvqFUcIPKjJG6MebxG1H92km2lw
Bqzeec2xakv3pdPjrcxqKG8FUDIHRIvoym3qum94l6+d3dwINuyN9vYltrCtHUyHCc34WEvk9nio
7qZePGGyeXKd5k1aHOKum+6zqfgtagLv7eLn2yaJXoaBIGua/O6DmcsN2iIzxZyffVN+TrX3hXP1
3UmXdNs65rLtXPk46b7eDbX4403GxyCp+ZpkxeYvYD6b4yXeDqUrt/WYvzq6jGYifcyDQOJjbhWG
/WD2iX1Tscd+6bjysLzTOOOG1Xsw3Xd28juD8QejZHXQzzXegwBPcMWHzT9JohzzAbXKmJwC9gK8
T0MWqBVMDqx4ad3/ArJe45yE4YElx94Vawdht7YREs9OT62koVCZdBWqdK0tZFoAtGFEqIi22aP1
af6ak2eY0ABbDJl1tBYoGizOH7LCKM/gQbp9bk/jOz1BKvTM+oY3+guA3beEYhtQWtbtHET3pZrf
VeW+c8NwXyNN9AxE0eTSxtZKc0AI4IMWOYknc8iQQWLnGczBWnRkZaHhA3zho0C9ovGxW0GHAGbw
D611kOVaDDlbEBQARW9dclO3k+V/p+NaT99TKLmuCnZDWd7YdE3qtXQSX8OppYXSWuso855iSt3N
nylNlaiVB9UgTIzx0J5ZbUEAqv3HXhkG7ItlXnvhXiif8vY95XSggDiu0fCco8L+FxId6PdevprY
B0bwtBufJJWaetXC6rVlc60azajdjNj7zOVAnylrU/oAXowpumqKOptE3tPe/U4V/J+CIk/IJmFa
uTfOjGizeORlJKWf0jJv/bUFVPVQmUmY3o72gJNaAJIVrnh01/bQFW5mG/G9Nzsf/dovKtZeNz/6
2xdn3reY2KZ5uYUvQMflVBXXdmXNLB5aobAqrFRjujNdNw6ZxRAeCSIgw/bxbu6t3wPlonDOGNl5
muaHHv5UVbvPhEe7XZ4zjQ5F7obIgBQL2VDCIr66jceemNv2PbjO6Ti2Orvpa1V8BkuUY3+hgqul
i0tS0BoahRLINaxUnLmHLOwa5lFg8KFeZlFn6GIlyAOz20ylei+KCJqDoHpu4uHYUIsen3H2Fbeu
brtLlpg8vun00ILdHXIHqfRvtWJJ2d12FNrCos5/MgvUT1RcqAhNQ0IZEFb5KTCUV7cUnf+YKvow
ApeRt+Q7W4liL12d3y199VQU/UvisQBbi9AM9kb7IdPZ0Vlr0kw/eiNldpFzdxYm2y6gqx8BzWpV
llbnZaqOBcnf3eBSv0ZDwUqRpJINboB1yOcaBadw3mwLHggrq2zPechKWLGdEQQPFg/Xl0mrHBp0
a2xsHDRb9huoCrLEtNzZ2M6ScyQDFH//5GkID2uZXMc1ZlvQL1faDNmcaJ9BnLzZawWd6Lw/A510
qen8DGtJXTJVj6BpyK/wG7k3JqrshKbUzjApBhuKtcc2sHoWpTxZTPJ8t0u15UQ2DkMX/xq1dzvm
GahjAZUl6FyQthxTXW+vdtsF43/D7gWtYUSwC4IdlRoL3w7Mnf1getvWh7xiGONqAbO5PPXZwYmM
cgtnjRB5s5QMlu6HWU2fNIVcdT79GPjAoQqUbr5NhvGgYvMTMR6j34z+YSTxn9Ze4L9F7UqiCdrj
gLvzaObLCwL0dXbb/8jl/rfn5/94fmyGrv+35+f+q+u/lq//O3mw/mt/n/DkX2SkXUIEAu81s9Pf
xzv/L5qfmdGkSyGBQ8DwH+Od9ZdpOpZP56pvgeLnmf/HdCf+ctcgAtwbKIZYvMn7/a//+S+BlO7f
/v8/FwuI4N+nO9SVwOdXEfwusfv8LZjwT26f1jKMuJ26mSAAWI3QzBPiqbdFb0XTR24vw4LHmeCC
1cDE9Cjq4YpX47qp6A9pJmlT4FSpyxxArONSOf9J7WEmsGx9xYHXXZQukW9rtw/xEVaHCIDFNbIT
ZqUBtFNpGhbZ43p8Vbrq6CJymoPrt+ptsiMwela6vOKbM04ut5z9Etv0frAC20+u/0tMBNfY5M8H
p4LPxTvhLWWwcYbqpV7c+OhSjviZx0Z6djjudx3A4VPMUHEQY+DvzHwcHijvtO/mESUxSvBgklRw
TzSAxGGQluaBZsn5FHdyfM56+HqxrowTZs76pYuXhC68Vj1GXBqfuJebNA9SHmXAhH8eIG485nFt
XwJ2JFfNOozsn2VSA1flX94I708piiYnPWFjgMJ8ZxUSwdtLWhgIGaSzZKZ7oDBoPA+ovi0cHYfJ
zK+8IHxfs9Rbnrqsj87+bCY3sVOphwVKNomL0jgQ9M554QAXQ/eBrhZX9NM4ZLLsxRxPYkKN6Sf4
ltZsOietigmwR2r/KQwY8fB/EJRrn52El1SXWFYRDQCiO7PvycEbcqJIPx1Dq+Hln7MvvnQcKWE5
anX0batlUiYtsPDAXEhy4S/0pvIyG6xVKD6qdkaXTOe09MfQB6/+XOTKuXRBnp3rDqGhVw0ANPap
l5gvRAapr6rZHJiWd3JsG765lbrwgZvxoG0+KrG4XPvxb8kbMXaKDoPaFaessYJP/PNsLb0cqOk2
Aku860nCwJIZ9WvnmmAbkQ8ey9prhp0pY4ukcI4OPIxl8hwMKGMQJLi8BDP48KFqiduBw32fMlef
PGtafrF2Y0Blgep++hgPcAjw8r4SvCFV0FO2Rs8aDuWZWEmRNtM+nljP9/4yhY72U+ptiurAzSgl
+WgUX37FHkgVWFGdMqAOmXTSdpTeTKWXN2aY7hLDnJBYuXZthmIQl2Fuh0MPpP9VBnmA4TRGKnJ7
WK30xop7tLVgX8mEeU0EA4biehRI1JU/0oCb8mcznXEf2Hn5BtmWFY5PLHMW5vhuK0Oe0xkMK1Nw
9qLSqj73UvWHYpime0Vw6JJNjr/v7TSHoIDfF2ogNy9aPc3SQaTo0vpUNs5M5CjzjPPYlearBy7k
p09StgwFnngvtu2buoDYu+l0TWijxlt7p6h2ts5lX0+frKWGbz+O6/mQVJzQJ+wd60Z+NisMdyZB
Gh3k43F0a3NbKcSqhQDLo+E0xjWhGZaQgjDfaR3sj0OUGU9iiKaLjGXMopIVX8pKHmgHDqOMxH1T
8OVAAs/90js4FOuy+EZ/eQzYI352Y0JSGPNC0oa08LavZtq0b9UQm3v4eKz0WYLBdabxD7mxo1tk
Js0rSNX6jaWtU6kGAlWBnFUEuahBDAe7VvCa6hzeMRT1bSk1pk3TNIfHqk6Nz0Z1/rdTZsMfX1Ey
IFqnX/k4cHBZEj00maVaiNnrftIoveemlM5TkIvkVrumjTWpcbCT1TBcyo4WQ8BMwwuwiflKeeVI
n4WaBrIx7XD579XOv6x2/kuv7+dXWauv/0E9aEXwsPn+TwaAf3L8suJxPdfBd8b//usMEPxF7pB+
Io5djnTWNv+YAey/bEYAZnx7ZasIBJ1/zADyL+YG1gr83cBxmBD8/58ZwF3HiX/d8EgiyQE9f56Q
gGfEv2WSe79svbqkOkKqSKyPPntnCZG+xPPFXjk5AZPQBMm5ikTEjmDIrpiQGSoNRw5oXDcjJeUf
5JjAGAb0Cd+EUydvfdyULeeF1zrUZpsjGfsVVtUV0Qnk6bcc62cxwzflfSzvmGIBd5OYOxnT+F2b
8yN3S/rds4bKbFJ64EHWhgLbpgukw56ZWX+Chv+CwfsxRKvyIe7hDUFQvjcjJnKrEsZNNHNSTGwN
9hwR5DtUibRpLUC9Z6Q1kcvyQL31gKyBlG0v0OEwhHl3Aw5KdKLu5C0iRZ3wipVjobadEvxRu6In
+OCtra3U9vgai9Am8VaKMfehXePHC1RbLo6WWX8GoooYS9a1vJU9217y05j9ja/lo2v15tYeKsC0
XTUDdHceYrv+HS+22Ipg/gBkxNs9Rucjvkk1eOyNR3Z9vNxrm0sW9uEhoB9krOVXai8UYoiEHgpD
QCXrk69WpXhBtP9caUTJAujGIe0WeViSwNpaY1dsObRLzhXe5bgq2MOkTkx9TUxNeh4zKCS4gZm2
lo3TYo/sRTXCkCJmqgMK7xp+mpt2sJsTSVfvyNoQ50UKhjp2TPbLOj/qPv9yM3y4TANfeW7/sj3z
hcX6n2RUH0rSzq7Io+2byMyPbCBf8yxo9kaPIKxkSRAmib2wwdp012AuACfVORudrqwuu88+Y/ZE
xGN9sRmn0jsDE+dqalvqC7cg/XsecaCklUE4OJF/j4/3uZyW2zH29DaTqr7UBuJZB2x5y66ej90Y
itCYy9c80AiDLdGQ1ntiFbvyzhf36EyoNpuIT3WSwX2elHfJTPtFX97GhlUf3ThA2JqbBNGMVVkP
g/nkRcRjASMf/QDerujMT8pRr42RPdqVeBoi+VP2ye1coaFKFw/RaoEmJvoylVF6Ff40AtGroAVG
E7ahuhm32Uo+9ZB/Y9HcL90Ml1VxipA5UZj86gb3MERmDPvfblekoWsC2JUsL7bGWI+bicVtjcS1
ryZczq7yKDEq6b1gHN9kAv0mK9507dqHOfJrnH5MECPnGmm0/kbMrBj6/myRBN0Qc4eT7TRoJ1le
hotZ3kz9+Cx7L95kKr9mIwNCNqAy91lKME3jDdH8BJqOPF8an1Dy7yzoZM+eE9k+4nS91011FUDl
MdDJDe5lmMVC83LBGGODwPVj/MF5+k7dKriJSXM3NuQ97hNoa8gnZsuGlzsHPyCk/dRPtqaD16sX
N5ADx41RIDpNnjrlwrFA/cOSbdiEhoa3FKeEhcPqYL/GFrBXx0QeaRpQZmXgv/DVYuEFwY+tcPnY
xHRgtpL9TeXg/w6WvN3UhveOZcDZtSN3n2jKAXv3v1WraZuokPAqtjebubPQUjuQj4qtgd+gD5Oj
qo/UrVZhWjbN3ikMMmiEe0Ps8enWcldac5G9jhivtgN9x5vRb8Dps6/atI3H25ZZdc+NgC/wKn9r
5NKDsczvrKtDRKKLMsCnziiCu5Qgw8HtpN6aLotUoSKqQ2t9WpzuaTTRk3hJvWdG8GSOFfU4HY5S
K59fLYpu4hQfqhNlH5NnfAnTJauWz891V9Ia72siCc1aa6vbEWsl7QOmNz2MXJ2QR40iLPl5niDK
YTXQ8Us+RfjAk849xC3wZzUY8smJoMKmBmUFMes5iKLVG6aw6skiiMefdw0G8ui9YUfqD1mBW5kg
BSG4Bu+BsLNLIMuS/siMrelivjHAv9Rx++Bi6+OCKaGE+Ce2rH0YV54OO9oeqbx1W2h7ZoX7Ja7Z
swLyJ6JAio92Gvru5Z9GV/auIxsR8gopN81MEQR209+WpWyQQlSdT/ZPUTjFbp6pxCa6F7B1xGeb
AVPHy4DnrnlKI6vfxSVeDMubkm29Bhs9A6Jr2Ze/nVx9zZEDA49+Mo5Q962LJ2Ayo7vPEFIfpkQd
EDi/26YqCEaaLbpn9tRX5EyLyZkOjVH7J0KHxtkV8XRKLBOmacMxUxUe6m/C+8IYs+ToOlYNfHgS
YYZDCD/kCo0zxuc2d4ZtKZwJAZqKa9SU3wl9Gvt8xisbKxc5Z7KeZNp2YV0h58diWK5db/mncWQ7
l81OezZRcRDQTcn2E1eup1E7xsbrH7gSncbCrnCgxZRz8UUL8xmvRddJ66w5+qHZTDnvD/8LBfWk
gFZuo45v3KCC5aQGtPJeR5+W138ECfeuADfXFrNtgGWrAPzajeRIegfGIT3ivPV7f+8r62P2s3qb
uNSEc+1NDpbT/Yrq4sNd+ncuMUgaQH7DuVR0Mo08aEu3oDX1o7HDLyMf87qeqBXGZ9BMcXGQ82Iz
HBQelPiZV26xpklcfqN6kMn9lC1HQ/iUo9jRGsRP6WvPPPvDtE195M81nk3CevCEygl3P7+cJ5ME
81F7V84WPwiTtjRrIordr+7sWabpoQTaea/slu2iWHf+rn3E9Qx6e4amrQSb4oJD8sJRmNxG8Aax
0RgA3/3c3VOp8DCP5G/niHJpQFsoZnNrhm1ps1eZim+orsZTO7Y3IzvjbYutHQh3IW6aZHkLosXf
iLyiA0eJhXsK3rufyRp6elIi9ssa37Om4yCdQXZJXToHfJlAuXEx7kp7flQZB0Bql4+a0IReywWS
BfdM0eI2gAzKutt6ycbltqFhOnQ7vI4d8npNdRV38uwkNRifZvF/+yJzr0lqe/+bszPLkVy72utU
DL9TYN8Ath+CQUaXkX1mVdYLkdWx73vOxmPxxLyYV/KNZIUjfgkXAnRRUp0geZp99v72+nZ1n7wX
Y8a5rwvNITeBpIYlWzFKazYl7GMfg1HbJxKuKBnsU6gCW8WI78YunFWB0aOkIZKQJuuZ+pKOFhtU
fJD19xTi1JkRtI2y+keglZg0VrdJgWOT3z0WItWnvpprL1n7NlB+wgJMfxlKD/cPUYptOfVwqdFD
O9ZnMVqQaivRHEAIsRvd69yXbUpjiOd69eu/f7m6K35lT03161dzfC/+x5yP/ZEXI7mqoPlfn/+V
dN8/07Xr9+b90784EC2b8aH9VY2Pv+o24f/6V6Zw/l/+V//wv/36+Fuex+LX//zv7z9TqhphTa3t
R3Pm2sPN4v+fLt28J//nfxfvfl6f/3/+M2NqWv/gNJY1LkuKOd+YuEv9M2lqyWRGOdvpvBYVg9zo
30lT6R8kS+eKuCqpqvqRx/xXi6T0D5qcNA3EIBpjVdUplv/rRdz/Reu5lDJdIIQ0bnAGhXrDmIvs
Bsubn3faH6lrZeNzqMhO7fjbwE6eui2qDlt2mw1daVcIQp+bMf8YTJpxkyfp2aQuVIAJIv7w/kNE
T+/wEg0PJx/hnw94mgOmrfTk9jcPAWqUOWvQjUqJX18MMXI7EnRqUk5V79Nxx5a66ko3TneXh/m4
zV4caMFkUybT7I3EEtEBh8K+rYuXiT19Ncnpa0FLspiML1mbJmxA4cbXgezlNY4dc7MB3+IXVMzf
ntfhgFJhVtrJ5mMeCDcpRaBVlPQ/rAQKShpE+8aCCS7l8VdRMAxXRl21irFocTs1wCx8xi+jprIF
w8ROga0xk9VbBNyuIHg0D5Dq8qPhfghbN0R8MEyBU3T5kyDo303KLeU4vcr8uZZWrmmgBBOhI0js
x8SN5j0zusGBo0NCBzus1nmFuaClXxoloDhufcl07xmJ7p3Wlm9ZKD2PprdHYn3L8f+qTDR3AUPp
1oVB0C94tBvHNOyr6U+/F4HzROC1KQ2mTh0juEw5ammVAz1SmL+kQnn2OnZgM+8aV6IBBZUrBWFk
yylwtepeLervqd/fGC233Giw3gr8LfSOmq5kVpz0dfyc9wNtkridear4OpWhI4T0GliZuu3mUlaJ
4VFD8hLduzjF06rr6r1aFIivqnCPD+HPJJ5R0glp+xFFRDA8FYn23hZs34biy+sCp3aCpum3EiC3
1vXdmOO0qYZbCKq/Za97AbrxgHr4thDG/dirO3XI0FVi7GJVrzIlfkcwoXQqnuEqgkIUX4EFECLp
bjS0tyKOOdC5v7XAyNDHHgtLuS2LCl2xptrQsN8HXyHH3tg4/tnUW/E8GRyhFDZjAH4uEGMPlS1m
SwZbKKq05LtSiTdVmHAjlH/RM/JFzLXXOpZpvI82UoVfpVY+yuxG4A3Eu7ATSvpH642PdUaWcRGc
Gu+b7PfUFbH0ajKFEoqJXKZO5VvVl1Q3S4TbTDTcUdGf2PDnxj9rN7Zd7hgdmI6Qai5wtOROiLy7
UVOPwD5IYoy7yVTupUE+TmH1tUfb3vTBcQy0lk6S8qYt+C9RL95bZpm40Gq6gxbWd5DaKy6l7VNT
1HsusPuoL+YEPm6T6HHpUwvBeYCPyYXkdiqzL0Mm7jQxeojSsbGZoU40iRuxrfr15e1gAdRk2zGp
Y7HhSIYCnEXUFm3mikeptYok2SmrVesoLnZ/22haW3a7xtHAW9Ha4SqEYVcYd+TGFtvdx7hzo72i
UWZbImd1uUDdK0uSw07iWCvQycMKZ8g1PJVh5e8xAn3FW/dn863Amu0KD3ahpZofWlLYcHUOL4RW
wL4+b+dGM/Zmm+Syg8npU1FJL7FBMEQ/de0YEzFg6OWZPUBlpCnTPCgBlA5INJtOwPF5Ul5axI2b
SOt+F9VBTUmZxeMWgPVs3Ok5qAloyShm7U+8FvP0bbLiZ1VrX8uIa2SRhOS1GoPMuLBPWGary9/z
j1Pk85Mp85+fHFRGJoSd6ZeiE+GvIhaarclAg2AVQWe9cpIsT2DNgNIM2FODga7oGrnVz2Opldea
ZmFNTrPuHe2mtOks2+FgZ5sHuBzbyw82J2FPj62/RtNEdRbo4f5tLs/H3p8Iq5OJCcOt5lHdU7Wx
Nt+Vm2krvw2jjdagX2t2sof/EeNJcGXO6PNC+BsiSHZYx7vcpO9YFTml+dfPT5vgPoJdpSY7ouK5
TVC/hBHXZ7AFVEcEKFZaQfMkeZLfuCBvdBnhG3X+LS4xDwPbHPgRV27msHdCl0o1ZaUH8tOYpbk7
BVB/PO7MEIdw6BaJgMU41kF0UXOTiavt2sQgouDaTuXne4I/A+2I/eBSK4TBmZB1E730S4X4ugNo
M/ep/Ixqjk1RQIWCKhrrj2zaKlZ7Uw/qc9IbAE2G7E40+3s0OPFqlKZXtOI1HorFD8pCmwyGQ9UG
so1Q/1lsHN0/stFrCC9+jfgcAXqlb61yKqUtr0zfRZz1z5esI5kkwDQVebEbiZhb61bBrmBY30Mg
OBoUG4umsstz6YN/+/lbGrB6KfcjzSdx/wHgPFklcmN4YxzNqwRIargafkhfobQ5dKyvVDtZd9v0
awvOJt3g6CTs5S3dyOLj5d/wMV8v/AZ1MZ9Tn5qlbsY4DSIIi+GUCcUzjAnMOBs3MXQa6DEEaKad
nI93SRXdk9h1alp9xvp7SP8Afel3Q1m7MB9WUkFtSo+PiuGtK9Gk2ipRTc83XnWrtJkbZ3svAEae
7ieuUZgIOsgXNxNO5ybVUZp/QYxMX+pOda2wdhVNOFgC4m0Qf/3wMyJnKSQul2oMtcadhSscItrb
kXt0miGtlOobqe5R1EQH5MurKAOJr/zWSKJ5Dc1yOEwhyLTpw3YjPJBzWjaRPZLrCTc4ZhJKoQPU
NnGk3ojljQ5eNQnTfVy1N0ZofNMH1RFL6Uso0z6vSasJrnTTGk+Xv8TnOYdsCFGtTH0Hq2WRGaEu
4mGvFRs1kWUcnrt80zXthl5lVx/9KxvY5535r2EoM1kiMHqLsvT8M07mXILCmBYucIS9WZMABwQN
QK5+F7lMX34ead53/55Zf4602KmiEG1v1DOS/zp8xdjmJlkHaxVHK9u8Cw7Y7X67BnNfbM5/Djlz
NU8eTlBj/CkTVXU6l01ReRqUFUqUVbXjRzj6Luwpt64gCD/DdjkK66vRxLwvLB4Zc3aRmppJpl5a
ls461hEpvAZipUOVX19l7nwbZJ7ZATLhq/D6Dw7on+OpIhc1ZT4OZjnPyfNmGIjp6Nw0p6cZksS+
PtJFRDp6ClJ9VY/qowGNAMNhhXJEVKJU0T1ohLI8OP/Wt55PJYN/RLYzLo7sl4vJO6rQP2m0xH9r
7UFgsAObY5gOKRoi3MEB/BC73uPV1z3vTX8//r9GhVzPPR/t+5waOH38IfJNRZAmOGKtBlQsjfnm
crcVeszwfNEhN7dGb1caE72SP6888edP/TE29VGZ4wGAEwtpEXWEUylQjGwnR9gWu/jAJcwWd7QX
r7wD2uorYeoi6JhfLwgoGWkYmQtCj8V3licr09tOwe80zveayFZrzehV3MWsrZiSosFyUIb1fvkZ
Py/gvx4RLRgRuapQsJYXo3bDVOQwNGUnJl8+ZK91Pq0vjzCvx8UH5MEQtplUBulOWEybXCaVmJXk
M5py13P3DGgY9YwXtENS9nR5qHMPYygKa5JAUSJQ/DxXRjNWAFETtynC86jORs13lwcw5h/798P8
cwPHtYGEE/hEgrTPI3RdSdyj5JqjSxhF9kKQPZNp/KlrIAMw+DY3QhlBRNXyo1corxgXcetLXwZP
ylyUNLgjy0dsZSj49PkLvospUIXqKevDeEsTMoVqffxJwY3kPtS8dQu6HGu4+EnvMzw4G62/rRCm
r+i0evU7zN316rdmjnvd8Gj/gctgmQKe6dOtlCA17mPhLjH6GzA1hOU6Xeh6Fd+GCQmHhtIFQtJi
g5Lvh6aWuZ2WVOlpb954NMrb02DhNukdpkrY+BJtQx19qQRHMp6XNfGJWJvraG7wFCkFOIjkgMmI
9Bc3ZuNggPGzM7tDGqIwUuK93mtfUyX09mjrH9EGjxtBasjGSGl3ZaJ9XkAf34aN+e+Ncl7NJxsl
e2IjqZKgONGuvFUOzbZ3UcjdtVcO18V18s9xFhOa7v22iyIqIgpaOcroNKxvDBctvw2bCPh9jICc
QG+PockK86j11RPwzCTE6wiFNeuJZiBjcQJivlpbOag5hwz/vtkl6/wYb6hi7oJttcmO1zamhWXL
Xw98Ot5i0kO4SStkX5qTfR1tc5/ucwqbq9hGyLwBqnH9yPu87/454PylT76kkJmlRpZPc6ZU2wxY
Ahb1j64jtNPp3le+JM2A9PTV134P0TeBfOLlRf6RYV0s8tP3u7z+TaXRBxNULbZ9c6Pc+HvzJt/9
V7b8BX3/jwede8E+PSiylrqdv6S6SW+Bsj2TDUEhsdI3ot0/ju+1jW3WOt1Vt40Nhu+GkGbv3cTH
0KZev0ZYts5JYf4QD9fm2Oed9OOHmcSh/2+fW3wBj8Jz1ga66hg5FpyRSA7y7fJb/oiTFm+ZIUwk
0WRkVCKKz8/ep5PQTvyJg8hn0wgPTfqW9vhbc9FT+zuqcCujRpPpAXR563ukAGl0SLt+lYv6yiqC
ewXZqKqXu4YWWk+h3YCe0AKAVB+/w7m5NifmL/HHr4Ukjz0XGHhTXHypQS1S8C6a6rRp6uiqsKcA
tqvEnJ7hyB4KaSdJ4cFS801iaasgTf5S331ScZ9m7M+tQQrEf4+/2Nz8IOo7jcobCRBjVd+2m3jz
w3gQNsA/1rSeXYv1zj4uLl+yiKRQlD/OwZMVGE+jhZaAi0q/Lwis6XxiCRDWr3HFtS9PhLMBvXwy
1jwXT8aCUJvVzIT50YqdQSvRV80FqLeOf6G8mHPga0xKf8nfyeWv/gvx/Jnd9NOdbPFlLUh6lTk/
aueW78qaIqgd7+C6srx43HV7ZSadu5udXgEXHzIXh7awxIkMgCjd0Ul3FLAIK/wjqf1rzhdnnuzT
PrYYqrB8z4jIiTrqQ0+6s3yIXKIHKPwOD/dVbFbetWkzB1iLVfJpxMWa9tF7p2XMiDplh3G6U0lr
AqXUi8FOaXk0hzt4u5sY7GHWmmvR2zXRUYUe6tVXZ/D8cJd+ymJWmQZGnXnBTxnc5kZ1yHk4iEGo
PdmSU22Q816ZxWd2zE+PPr+ak1kc9KUObk2et3JzP95Ga3NtfZv3aGh7a8+5fl84M5E+Dbi4ehOF
UoxPGVAxfk7Nvae7tfQLIJV7+cE+h+9/HlGLYIPO346UI+/RamRHtzLb8B/C/OsYPqbJNWOra4+0
CDRGS/OFqmIs//do56ujpd7EXOoxilTp/txkztQ7Ptvd5Se8et4vDjvJaDsf9aCC99IPHx4jkLhV
Ry60onEz7VNXG4/0H6CuS3ZXRp7/5guT1Fok5lSlELlV88C1E9I66yQ/5xOfG3V052/H23xjOZWT
pzbarOGXb66uHfOLvPofX3eZXKiRsxXi/AOi8TZjo8/ugnX7Fle7fDdsuM9fWyVXVuWSNOylnNLl
vCo7V3ExFJhCd7yv12D4D4Wt+dvyPzg3LQlbMKTOClXvZZY3g2YLL4bYtbenr+RrbGUbrcU37m5r
HKauXw7O7rkn4y12wFRVqlz9iM0pt93kqLGGlbmm5RjD1I288qlIXk9Jnd12TwZd7HWkpOoCK1Xe
6g+RxIz+y3eMW3VFCXUjb7kU2IHzn82ckzEX+505KGM3tpBU5oqMamdrNFywNVbGJl/r3/XHKyvl
7NZwMtxit+umsYplysRO/hvpor/NXNjGK8FBXeVY++L35JQu5OdrW8O1z7nY/apBHFBRaqjfXufJ
0x7DB/Bmq8E2V9Vj92Jc2xA+Z7v+Wo8EXKQVJROV5TLu4mItBGZEmKnE5oY+qgNag5/91GzEGlJc
rgOvbLyvajk+keh4vvKOzy1OhRo2lTa0M0DHPx9h1MJNOlMI+v3XyR3f563XcNLaEV15PeKIsLo8
3rlPejrcYgYNBgaOHrA6GqzxNQDaZWPL+ZPWNBTgnXt5rPnkWG60p2Mtpo9Z6hQWA1F1ighSK/Bb
LTI2LYxBZPmhNHtOXHm4cwG7dTricuZ4CQ+I7a9T/zY3ljsdsgPqNhu3U7thPV6rGV4db3F2Sgq9
WknNGd3b9DqgmNx4ux8kiDvK6ulddrWqfm7POX2+xaEZdXA1opbnK/3waFjFwyiOX1VVuxLEysa5
wIpUnor+SidFuSz9ZlDK07zHlqfKCXQCy00b5aYV8pvACm5oFN/oQXGQ8vxQt+1zpQxbxIyuF3OR
6Kt24w/GrWnJb7GmYrGIoU0z1D+Dsfyhy8CCmH5u6kVrGkKOiag/6TRvwS1pV82E+hHwElV2d9LH
XQ69oB+EHqcdrLaizIU7sh0EaQcIwhUs7XciN4cw7B5pIBWQ1foFF0UYX8bYvXjp7OGDYj0fBt/2
G9q+sZV44XKcO8U4vaQiJUBB2eaS/ujL9U00cRkOgYqazZshr9Do2j7NXvp97G3gWZuprK86v7sn
rfskylDiMYH+OUTmsQumYqVYwk6aYjSsPbG3mB9oBbc1D764QIc5f9m+UqrHUCV9WLfHMiycppjV
/3KBRlfb9oa0r1Wsxa1p2IVAnle9kO19Y/puWlDfzAjg5+QBLBPCB9qUXsknAj2LgaqY7WMF+4nu
ETmxO2uuw/j0AlqSdDvBhlEga0+V9mwW+VFBdmQDzPxijpHwPAjhLbdu5VHzGh/jJfiH2QwL8UmU
2/EkwNGASw+3U952UdDvhr7HlisNfqb58Jha3aMkJ1uaDde04N9QFJRAOpnxSh/gFA4QOABOVY9i
LUOQUYpn5Lqbwhx924yjl9GztmGK4dAQfO9a9alTLaRMHQiS7lXLDPgt9Za+ZRItbfmkBfjnDGIR
2poK5S2cDmYJJCrtbpS2rmn+gKqlVGBiigKCOUWiVZ/kN3VvTtg3h06On5ITeTmWJmbzpCo4Gui4
9thB3H6p8gDSntjDIwmfdGWSb5IgPY6ZXK0Es14Dez72xfSGpm/dteSHqg7DIqUqHunMQNYK+aIf
RLIkySaIlNcegXnfeYeiSDa5EGxoINDpSZBB+AZWDYwAOqcqh+THNelWL6ovAHyRUfXJbYVVihXX
R2PSyLuEyde8rX+pofyzmKabUSBPXCAeEovoXtO8dysIv0samrK+RBiFguMI8eKlzYO7uinv0aBs
LRrNVmo8TQ7dUijQp+leYDXgNkHDpFJucks4NnH/QEfkri6FdI2N0GZUbqq0ea4E76HIKPeYcdGt
e2uqt0OQRjhNRG8Ah45tAMg3MWnBhSoGYLmXoYoZyKbQHqFyixtqZXRf1FhITHm7j7OB6wP52tJI
6RgYaDlBBLnXO+VWzBSo8NaDZdQ/m7Q6Nqq1gxK89fRiP+B1MDbDN0jk2AAEyqFr0ualKrpvUFqD
VYrFAibX9ZXT4889D5EU9SZmPVsmuIDPJzH6yKTSRMLkMd4aKhBigqvLB+L5ERiDQ8rEsHJxPBVS
jqot11A/6LUbNJFkK/SpXAmfrg2yOJMybDR6iaZHZ4oMN5STkvfFtLv8JGfy8fPL+vtRFi8rKccM
rSQYOpioNyWaAYf72qH81pHJARcsuzQZftFs/2uxuRYFz2/pc1jB0DgOoxhCiCx9lMdPLv3A8cdJ
nWTZkcHH9Ka0Z4JRpItohyxsRfSdy486P8ml4RYRkyHJpe7VMAGjneK2m25bOcY+da9FoX8e7Z+f
ahEsESfF4SAzDGiCu4FHwzox2+TKdOVsP1Pa/jzQYhK2pgJwSDHlD50VarxV+WI4I98rfrrq5n3t
Uy3motAmVTmQHiE/k98GtnIYnoEoHEJ03LhlhLa4rbeJA1Zsd/mbnXuZpIvpskUeakCO/byUVZHk
iTmi5QIrDq9HY9P1IUmK68vDnH2Xp+PMa/FkKkoagjW5Z5zsJtzSkkXqoF2bq2hL5L69PNafgTuy
xpNHWkxDS6ErZeCZHB9005D+Tsp6BedWs35eHud8THsS+i0GEnsYdLUZKA6yVVjKe/FI4dD2BdJB
1sbcXl/Pf34s9kOaDWSFgrhM78Dnl5ijnYA3ZzBJBgMyo7WekkNjvF5+rD9f3+dBFvtVpCkmyk+V
VaxP60RP7LwK3KG8mRTlyv57Nr3D+tHRbSiyri6rFrGZZ3TbELPNAgblJlqnNr6i9oeA4Xpd8s/t
ngc7GU3+/PbGovaBNdR/LWfMEOX9XDxLvhgQ3h47p92hX70yFc9PkZMxF8tLwUokBsExX3smd1oH
GBG43jqkNumtLCgz66sXrXkO/LEJyxbpJF6qZCxVzGIKs0kcAN9jzID+Oryl7TWwQ8dbqysJ8BvV
IATNk9M9ku5xERVenj0LFfWcImDTVFB2zXMUeeriidtE0KoxoRIkbki86Cs0xJHbHNB+2tNr9Ti9
NEd/Lb1dHvXPT/t50MXuUilRj/1WhzdqgNlvbcLPrd3LQ5yZrIyBRhr/GNJ1fzWTnOxgodkWZanS
lHlmsv4nVad5NJ17P0sDfu+8Sk9GUzJL6dQIaqDumV9aX/w+0aRms2JeTbMyN01KD/YgB+k6oKHW
TczwZ+Urr2CPDobaIQGGfUsDo4SoEVseW5VwOfHb6neZWldOybOv/uSHLg5Jva48M/KQG/S94XjG
+5CKV46oMyo+3sVJuLkYYgA8oYyBrnEOZzt9325Ke57NlRPeN3bscim7sjH9uc9+HnCxzyqRVNfy
wByGfruSqqfYe6mjK1P23Binp9TiA/fcfrpB40A0sNsYPST/2q++/3ll0s6rbbkbIExTCKFNlqS4
yOBDrjSDRmUzb9zw1nCxH1nhA+HOckC449f32GvjLaqV/LTBTIpac9r9nHY1/bvEjTd0s1Bpmozb
2L26352bf6dPuNjVI2tUhJoaPoW05LnqbPFI2W4FdAHygS3sh2PsXgvWzm2xp0MutjiEv0CwBobU
YnU1Zq+Tth2a32JS26W1NaPny9/wXGR4Otr8Ak52Aj3oW53LKxNF/a0G4DXv4GOturG2qyy8MvHP
LjUL2AVCSh3xjr6Y+V7WaWFX0wNjHv3H8IAszDHX0jf13jh2ju7K29K8sq8q8wf6Y4qeDLmIN5TJ
UIdgYMjB7V/pXnRTernvddNJX6BiSFvfyb7DxLet45yezNegJdzqW/tlOAbxqtrH6+homi691cJP
4ebyq//ofrnw24zF8hm9aWxr8tFoSnWnfFWeCnnV/kYgb+f7ZB2+iPfM9LW3ko4VQR/+A85cY+gc
CSjKOr8bt9d2pqu/aLHALJSXIZ7B3Fl9y3Tp76PDu4qFH7Ws9o40AUUhUbGWAJXlIrJ3vQWhj3gK
cyozP6ZYeu7gkoPdNrH1K8b8Fx2NeFnr5jH0m0Nc1dT2jPxL66Gqw8dC3YaNCK42+Jp1ZsLxA4On
grGzQt19pbp6Zj9EzcH5itCUsGF54GFQl4Rg9jDZG+v3yRAey158MWjku/xJz6ymT8MszhJTLDXB
79h2w6g+VtUbtkeOaGY22RI3TLJr6+nMfvhpuMV6gp7BdSQOqAs5c/xnucl6OsQb7LzX3WO1ubYb
zofGYr5+Gm6xlrrO9/y85enkgl59iG74cUhYDsv+tQf7sxKE8Pjvz7UsDbckEul5ymkK+TdFaOfy
J59GWsx4IdWaGocl8idmeF/Uzc646QIeCNhPuPJM6j4B//Ej4bUUgEZ21V5MaaTvQkzYaJc010Zh
PplmPa3jqL2LQvKdl6fUmeOAH2gQ99IxQU/W4iQvitIosmmSHLXJNwrENypGwxfMsL6TTIxtei2K
dScJzuVRZ8veM9/672EXM5nQROw0Ovoc71iKu7p2sXlpX7FmmdapU26mrb7DE5BcNSVI43EOlupd
/LVvbdSf3e/5/E+BJ20v/6rzy+vvH7WY74XIBCx68nY0+xqNE8mIpmYrdNjZubS+PNa1F7CY7NFo
CvqkjWyFtBmGJayo1G1me6xacKyydATDuvKlF91SH5cbWSS5MAvTNRpXFo9nCEpSGVnHdW6vPVdr
7EnXlZvs5jcePQGwQTfO/i+60YGaxfXlPR/1fyzvk+EXT1x2jQ/OgryrEAv3PtQVUttIDi+/1iuD
LLvvwSjHQyO17JDBQwUi63rt8UM3euE59MWSTgwWqB6NstNq1rsZwieexPZois1bBdfb9mWtWA9N
cxC0wTWDyY2NALk5MHwl0b/LtT6uACpbnFSIGzOrejSwaj/0rbeXS8xSKT44tSHeAX3cqX753tAm
gyWF9hAn0VNnxD+0KnFgHz8mXb4fQroWgVm+FYH8kIKqWfUFNn46bA2hQEaZB7wHzdWM7KCl0mYq
Vbr0ezgdXv3dCoLHQAaf3c1wtOxFyyNYJ2MVufBghBkC+ltW/LvRq9f4Zb9berttS/+bXlFPLgIh
dJLIfPN7AUqnkkNxShH0lbQt0oH9S5CsH4M2PsYWhH/KmKKeOBgofokya49p5x5v9dcyDAo7SxJQ
6lbr79Scxsk+w31+qGVj1Uu1tjEqv195jf6mtdO2jyglG5jq9C09KVIFa7/0vecpwoLd9GJrYzTU
tYJC+eFHLbJ/2EdSMeL05414L8qQc7NBcLoqoJnAEgQoQZK6HSI1tZHgPnrw33MMpVnwWEepqNlK
LcydIEp+h4oSrbIJb16xztchpi4DlnpdkP7ErethSMonoPHbxmowGaLwY/sQrFc6dPdVaWVfst6i
Lm7di5bBOe0NmP0Bs6T1Hg5/0agvyuyhM/uuWH33MsrpSM4h3EF4mi23ESt1QZI5Y1m8dbWq2+UU
hyBlqavjXRa3yS/Dgladgb7FAaq+A+Ugrsc2/44zwAfqwSkS08feaqIz21TKtS9h/FPl3iEoKrew
AHX1jdKtRJUam0HFRmPOWq0GMld90Y30EGSQd4LyW1sI36oQhI6cR29JIOJsGhJemdQUmxiTMywS
b3RxuMum+HYc/Ae/U98uL+yzwYEszW3Ds42HPEdgJxcJE3s1Hdya7ExKtIWKb49efycbw9E0it3l
oc5o1ggPTsZanIktdIm8yhXayv/N8OBs2Hgy0OIULMA7FWpJgk3C1LnOc4dkHJyJ8cpZc+3dLTZ+
BKDDoFsME1EabMlpAWs1TM2m8uBefnXXRlrs8b1kmS2pLNlRSvM4jYBcxvx7nEZOVVpXQoizh/Xf
705Z3G68IKGeqTQUUsA5Ft7D0GFQ/iXCdMNK6itponPfiZ5EEYtSnem3lNNDXmpgLpWyk9BHJOOh
hB0pYoDqyuF1Nlo8HWc+3U4mee3rg6ChiiIAmdyaSgrmvzOsYoVLKtQLEGx2DdeEzAdErrv/oOCG
3evfT7lYYlBr6lAyC5SoXrnysEka8ekqZJE8+lPZXG15lM/EAzrtZHPnJUWBZXccchSxBgaucHWm
qZirH7L7iJ3fVV1zGzhtubk8N8/lQOkBRA1Piy6dlh8x6cnbzYOEf3Ta8bS7atd+C1zhQ7Jc3g+0
sl6Toitn58zJaIulkBmBkJdpTM2oPE546SGDcNrB36VwD4tyQnuAv17yHA2GW4A7HswYZ/j+wSz7
jQFbdUwqGzOwXcARFs9SCIWsEAXYIt4N2swTqNeUBJwOXHuUQriT3ih2r0SMXzBX9iGFifhC4ji+
jpX82vXpY7NdhkAnb3K59mpdDwhHfN3x1UCxae/+gc51lwH2XuV4sHCo5Y80vU0cSnHlwB1EquJr
x1Dmweq8vEFQUq4HBVVhRAzqVb/koSC0NzqcYSF1zkjIXRAK8r6qxe9VTxlHqfrnRtaylacF36Qa
DEKZ5E45lnTryC19GwEWneZE0zKkNwInea/lwj3OZrh8D09xnf2YGuUl59STet2plOwgBj7uMOh+
rYQ2V6MRFByO1GzTFPCHzOggV/59Guu71JplTCquEzAevE4vYHymsPgrEIxy/b1SlG2W14ephXHk
T+tMLA56BfW89NYaSapVicgvz0eHusJ2Jq5atA9GkrUtwYLZeKDf6qHiYwE66hvIqcd0ApSa+Cmq
odxaZ5PUrlQiytvIwjwdLzpKxWAjwyEKbpSi/pYUxu908jHo9DzVxoHldQpLrumN+WoCj3B6ZIBr
JZ8COJKDiCGhFWKMgh9qVo8R3noJ/ZUAh+x69o5OMiRRVVxUq0noHiprmEjF+9JDmuKKZEWRtpss
PmXrteQoKVOuKtXA86YfETJp/ZM+hgeyuEB0JdknXkv6A4YchJKw8LCO8zHwk2HpXF7VkGY+7SOm
CmdZg+dhqRChQcAsazZRYzAeB6fjI2ej22P6Fk1wiTGzCsAYWM4kIsKIoLrIVQFvPVBvykmrbKuI
t9Dd6YQSlNdqIqY0sqjBHzK6x2obmk2Jm0Cv33pqn4GsFEgBe5M7eIGTBzjGjKn5oldRtIsF7X3K
Rki8k8xfMYJdhQhJUNw94aR+N4rNHkwkFwDKg+b4u9C6B6jye0UejmJnWXj+gDQejL6wkXw9FkL6
YOoefsZ4+EKnXalVv42DwVjjALuToQR6GTxpKu6MAwtYqWZ/42T8YpjKLzPDpjQK7oNh3CMMohFE
ln7SmApsqQeVWsWuoOmuauYbqdC3vtE99Zic7jG0gfiYlQSbgCzo+eLtCV5qgRLrpRsMUSV0S3pC
4IoBaFsN5rbspA1kP3FW+RxDQ9g1mbZralwWW0EbV9oQ3cdC4EbiKBPkQhzxjGEX+9N7L1KTEOTs
EIWobYE32VXV7yRRf9CacGc0xgb/HTrPaH9VlPBLPsXHPta/VikIQgW/3K1v1s2Kg+PdS4q9IQ+/
ijh6z4KODrbsMNTiXVfJG3w+H+peeQMBKNlRqDz2LR7X2DimYfnoD/N6bO6kFBJtT/+jKYUoOv3w
UDfpVvGKQ0TNKZk7azDLyKZwn49WYjcW96aiUh5w2WTdiqLNHe+HVaSzUdAEYCgM9qogvVUi8Fdg
bKuo8O+bTt6hnfomFdVj1lR3mF6956J6aPTnsOAaxUCWWj2NnA3QpdV93KSIuabnBnAY7c6D+DVh
6WQ0ZK+CJoC3qBx8L7lJUs9b9V29S+rqQeh9ooOkQACoY5BrNZgnTHiFRVabrDQ55iQw0xsQRWRK
BUlfBW3eUnxTHocIZaEmR/tRMyNX09qXsiaNSCoqH8S73u9B2uaE/EE6bTszwtOrQAGp6nclnh9C
LCqIszRkYbPjcdTeE/Ijos5kVF4CyMM2swsJp1NobLk9xM0xz9qJKEYDRmIaqwFvDOaJeRQHtwUY
HrvijPpC/xWtotkQLcDRAsNFeKjw0Zq8fWvwAE/98qmfArcQpPtaGw94WNxo/5e680iO48rW8FYY
PU9GejPojnjlq1AGhCcmGQXT6b3P3fQCevDWoI29LwGCBAoQIQmKkN5QKvBm5rXnHvN/mb6Kpfq4
LvIpKYxHUYM+cWntArfcZIlxrsnNDuHnRYywJWHISyXWLoIivIyTCuhcrV+KtXoUGEjgxjJUrYCQ
ulNcxWFxqdiEYxI9xw4KqRRpIZ+UQX6JyhbB6QhJaod6WbiyOuoR0qrOmRONggq5IOf3aTVQEFy0
TfMczrgRhDehmN4mIpLugDxHvuvO9FC9chKyL1vPO0vSdJM4ytZDWxgt3zlYz2sxFYuJWRML9wvt
0heEcCxnXBVztTpxyiRYFzmkCJLMxp1oK7wcyIhIDhApl3ea16mrWoyyhed59tpN00WpOajwNNo2
r/N9kZn5tOfAHHO8nDR4JjOlorhccTD30nN0G6pJrLBP9ZWyQlrL21Zqeo2o8jzj4BwbogV0qY84
z01vHpies5DtQYW2ROi61MMcSYUUQ7VCTT73k3AqyeTPtrW6jhotHjs9VTeCZSOAnBbHblHGE2Se
1ZFedycsnEUeVRs4cGDaXFNdGRK2jKwJ4IlZChCkAE9DAZ/kECzSnjzYkhw7ZFvLYIqhftuY2mUT
UupqSXgSyIFaOKpvTiLJvyRR8hJZ4fMg6euxFgTS2FOra7vRMMISJxq7tnFul+kqUb2dGTTlDLl2
EpZdgTzkbG30xo0r16M8drPZILgYOuW1n3XCLlBCdHHQileaU27Hp31jnOiBXY7LttmVEcJRktHc
dGRIyZB2kHWJJ3rmYg/4V1qgnBCyvQol7Z6DGtWCip7yKYgdS52yyLjW+6idV4q7qxp3LbQGMuR1
sI8N0aTkJd5XkrOTS9saeaRVVoNUeqnjHNEUBOn1FFhZYzsbhMvxh+jNBoGXGyohKAEzmQ22nG2s
2JdWtoz9VLYUZ4mJuLEM9QrdYATt4/Q8VVi4QYVef9J2KNDH+UnWac3ETYR4KktpOY4GjUi1DNx1
mqZIFbEhycgE2o2I76HVq4nrDNEuXVzXXmmMgjZK2IYQ8zPTWF/5jjyzBfGmNONzrxOKMfna4cSX
4WrHMt3h2Ce1h+XX0Y2jpgtFcCCAz2UbIUAPWeSJbBTqqkTFijBW1ztoqEvnbRnLvKGZHcd6RF4q
UJKpVKZbcMQLvxTXlpsQhvS1q7y9FXv5tGziah66E4/jS87rkRYepWj9IdAVn4VWgwZh104kQC+L
Uq6vVS1CIz0MvlSeeefJVCKReo9nxzQCwlD9V6TRqU10i7USBdDUy3XVhBB0LKQoJVDvjWAsvbpZ
VUq7RjcY5CyU7LnRB+ZI9G3EvLRjSMdI1XvCmMgX7g6hQX0fCaY45kBzQQJSstMtAylLUGiE1OS0
XA8kIYNQyf/SPTpeEoUFslnMVjfUpoaSkiPfQNUTABjnrnCh+eK5Y0n6WDVCIhPyRBHYiEai3K/h
/l6IafI1sztg0+F9aOoLGGkTTUQ0Wccnl+moR6Z2usvV7FgvgrWpkcho2ixH2d3jhLosNH8e+Whl
d0U6xYg9jvPyS90l+9xAktS3khoucePOkeDMLrD0icwJJhjKTnpIdi4nwDX0mYhZzgZIM26AMWpJ
tT6LwjYeIdLg7JqEH1pJv0BTs9g6UXylk70+DvusOSkbsq1B3Nz5iHvHcnwaZEzwTqDQp/KdaWDY
47YtNXT8EpiMziWVZVu1Tu9ys5jZWr00nQ6kaGFvGKep7IftKMuXZT1r7I3ZTAul2rYNwFSxW7iO
ScK5dgNPA01o5zS1CPzGlsPjARGNfA/FeK2LjhzDR2my2CSlcJs3HncLhdpVrbho0xquulN/iQrq
DiIS8aP0HlDXkSQ5q67Cpaw3+VGWmwQJbAWtAj88kwR/5bXG3urFFkoF+iJ1zdUgSo4zxFJRk0bL
VMpMAhd2cFrX5szLA64p6aK2nLWAWr6eSzuzyU/KFrUjUPAnDp5DhKxXASnLEMo3RUq1pIhlR9Bg
BIV0mTgYNU7sLVW6FdGS8rbK1RUV11uxj7+0Kf1lWiD2rCRQqA+QjiDKtqM+Fdda2M9FfEGRHTEN
FITC82M03cpJ7+AcRUXXhE0KelTWnW3UVeMgKObwNgPw0i4Z7nqMTZTMSynfirq51RNh6SIYGzn+
l7Iwz7OahIIgRUsvS3dG3pxKPkhry760kG5FRYYxiKqmgK5ASjv6tndt5d8gzrcLivxWQE51ZLrQ
tZ04v+uD6DpWlLPe1BuQHfqXzou+dpZfUW5d7M1aOtVYlmWrX0tqcitr9rHhaf6WfaWdFG2xi4uA
4LTXu4vUZ/y7wrtwAlyWVmmI6OXE697V9mQ5ddOKSxoitM5KqCs8foj7jZ3UNib4XEGMa1J41NqN
NYrTQlim3iBX3/n7QmPViU4NAcVOt1aVngdOtKem464wSN8YMuwFLzmWpGJTokI/bdT0XGL/RSmV
Kgv6aR8VQ9UG0DfNVQkzUX97mwjU/RHekkdFoZ3GEjJmNibSomp0bZbrfDuA2QjJ04F7orGoOq+/
K5DGH+mGx4mkA7ER3XyS1sGsN7wzQ9c3dUAApknCCUNxpYv1v2Uh+dLk7b9x2PXYG9Gqhdk6TthP
3/GgvXEX1KmtAy0MhQ8Q3IFTsCvLTi4Bs0xhkC3SeEMUYOqjNvfzO6fy0vf4cOV88ZiDEJBXdXWs
Nbo0BVhMBVioUEtdOLA1405eCn6YzuvG9Je47i9UoRbI9cb9QWlcKEJtQxUxx+KYkFqP8EZiGyO5
9fHtGcG1luTknScpKk5C2axU2dZmiOf6U6Eo2b0gyI3gt3ITFahbcEhmhJrcwtIIO3Td1eSyrHPM
p8wcaxUbXV8RYyMQsRNSdCqdBlbpz/vhrWAb6a+DyjX1lKRfvHRX1oXod/h7cKgp7Ui1Vqpz/fMH
vOmyQ0BiyCDCawdc8eUTSqPrPLSiHvToptWJN60XxnmLNE6EcPEofGdc333c4N5+5iHss04XAifG
Z3c7pEQbpO8EpEWN2ikOjPeleN7qv+dfd+D+z8hlsTulJFPvgoL8fqIs8hsVqaGhsthavuuRfBly
fpy1ILBIJ8ONDZDiIAwQIY6bBnmjTB2jWyE4tZeozQFOgWBw5pzpXhWAt6DGT4hRFpX1NJ0LVmiO
BQyErZ3WyFW36OeKXjcLce2vnDC/yDQtHTeE88ZBUZtTfIb7GJ0GgoD9gGup7xpysEdyF21yzV9x
kveTPKlOLLULJ03kM4SmLUwKl8sgi+jcroqaPRC5u4iE9ySQ9XdG+PX+gCKORvHeA5eLGreXA+yq
uWhVsmChA7cu6mhsRKelor2zCR0khQ0d/fIpB9Oo8QXNczKeEgPe7FkYgodGpgCaJmyiEzUWv/QB
CgAcdUJKSTfUjx7osG3Uk1Zv5rWUTC3PHwUk9JhOO0q5LKhWcGu2wSrr0AfX9SNoCyM0c8ZkBHF6
QB9MtjoMXzATYyPPRuScvBMTexnYefokVNk0Rddl61C2yXX6HoCqaxNADfDZkBMpZZMSDHWBdNTP
F/2D9/iHd3l4ljXkUFH4Y8qc/vJB91W2FaVO0RGsnZG1ry3zScvFfJrOci4BG3wKgw5mc9zNUCie
mTfpVvRG+RFhajLsnDNp3Cz1S2cmb3/+WsNm9rO3OliseRNJgZ/0AjUuzqLYeHNtDhNm9V565oO7
8mfPOVilrcE12rNEgaR7BDkgImQUG6sPesyoCu+UdwZWej2yL3v7YBOvCrkz4JZQ7R8kXHf1ZTyU
ZOLctTvMUjldFFm2CXPIZW08Bu0R9GCoJbg1aj/P+5SE9ffm2sE2/GoCHIYXtMytSjypdMFKXiGP
RWCou0P9biovzK0w+/m4HuiEvX7awWEuqm7iqcPTxBXREzLdyEifuDPnnjN1whLzR2f1Ggf71JtT
6TkiO2jVnD2qJTXjakTazhb77N3yt/cmwsMu8+wwkpyiTMpw6AUmgrrvNkN+po7Gjr8w7t3pe8mZ
B1Hv1/2gvNwbrTK30zZ7mODeIlq5k3oULNXZ97qS30W5/n8HZNEl1IWBSj6bXAP25RvOZbuPwLns
8nvSEuP9Cx7Lj3/4A2ENHxpAiKxRnmmAnfwOZDGMzzqRDIPsrO+sFsh4pfvPfwjiZxgt5oBkMTSk
ykzNHBSOf0BZNF2lUY5thdNd1LTfA2V5VPP8sQuxzaOmLcoDjkWydE07lEEsuX/KehNRCF1GsvlV
dkjWsxAL4iYzizzLbpY4BxHEjaREuHMTroDwI5JKmpDX6NxaUpVei4IoQAMqFGrlYVto92XVZ3s8
rirqP61mb5O89SjEj2iGe1R6JQA5O+8UyYdeaysnZq+lp21fNBeO5EcByKweqX1Sn3BfQ6he9KHb
5vxLKzoW87BZB/AUtz3XL29UeGUPoYEbV+h25SLvlW5JFDGaiVKBJzFqnJlBosKV64lo26pxay3I
GUYQ1K0kqpCLtt0WQl/gpbJV5TT2mhDmodBneIx0Eedcafk5qDJLua2NmrtbLktggwlz6Wt8dYQH
SsUe43HJYWNUil4PWottBNnDDhE/8+ymHellkToT3RbUXdvjmaVLQqygOhQFlYr4DtimV/XmuDUM
XRslRaqg6RqV9HOP6Pl1XKsplwScaF9Sm5yepLTVo8oVy6NGq/UjJ0MmYaprnnwd+3G7KwmXzBvk
6CmfKjIUfmshWNiBpk3koiWGpaXq1pfNxpxmsSRx5jiBSjqWbJR8p2PLZ36K2dYJlbXJqjC7DlzL
5qqLvtu1XZMBNJYdITuvcC7bY0fvqrnbKgptKTiI5cYwEQ/s7Zmkl04+ywWdYVZR4sWN4yAp6ulO
sPFFPxEYmtq+FNQC4LEEadEC2rx0EpUeQdsMz1eQbnpY73ekaHTQ/cLwXoL6OMvc4QbEAZXMvdyr
N07Tcjg12XAR1tKlJZr1sZlEpLY5GYVjVdNcy0llX8lxm2yt0E5u61KspYUWWbY4ybXK2OgwC91R
6JfRF7v38ItagtRMkImVd5Jo5wstx+MC8E4Wz6n3bvY5gUWSVW2ke8Zl7FAh72fag4RBbt6osOm4
sEjOlaf3OvA9hAcGIVt1RyE+0d/CM7OLXk+SAdKWb1UtDL6adttfmVWCk0qJJGcqJnoPyjpLvshC
msxqRQhPQB/X+ahE73ViErWYlSmi843Ci1GXQ9CoS1HzTCo3+xqi5H4ai7E/8XUSxrUCYY46sK1r
W1TNo6CopKmI2/UrmcLhQrdJQuyEvrq1gUmfxEohn6mqbZwG6NLuSxGmGwunnLQk50+jsJY2QaSq
eGH0hBIDLynNhWkBG4o6y7jOHYuDK+ijK0ir9rwCR4RXWK4Ces9x7cvMyOu7AkzYVGoUeRVEYrB1
y8Da9bpcHaWSXV6oJBci02XbKSsfwHj/wBoPH7jjTVdoJ7iW0UPomuqiGADl1oAq1x+o5b0VxSRa
4+8/LeWi2Ea2W2ijcICdV3FT6iOUXep5EMIIDQYsOhmIJFdoPhQ1WSkRE3asCtu9HmjqQDMJR5aS
Pq9VEyekBE5uHbm1MyHb8LpwXC7lsd+nO1PRqzXBh2CFHr08KUQjm4ZNBdo9hCXiD7h3eINoLJkg
4BOtc6aQ94LTSrGLlaCCiq8GaHw44OOlSAQkj27PWeJ0yl05YOY121SXGu69mV3ZBHHyoll6biDO
CRg3ez3ImrNowNY7eH4nrDlhjgxkMBUU8PZBabubfEDek7Qpnnauaq1ZZPVZQFXQpAQYjvgwf5wl
prsVfR8BKhKfgEnBvYiDTts1VRuNs9yvEB92ilVSygEO30acMKDuuFXaCnSO6R51iS6ekvNZn7VV
Z0+SrhbHlpznp6Up5ScWRiYM+K4fVVJjUQYcVTMjKxASMMP2zKqMbklQCBpUkzkTrSj1JXoY9dz0
0LXw3drb9UGDw1TzrSmMlm6eC2K5JOOHyGMLmJq9vvva24k577voC9vYSI+DS9fTlJGTWN4YlG6H
e1rrxr7RX7BZUlGa1tUCjk83y8suOSIo3F+EjDO+MZWYn5WT3iH08o602+YiAjQwlVpPHsXA7OZR
0ulrnRzIueZzZOrQL8aOG5ZH5N/sM0/qJkrvphPfb6x1o7YV6eROeJTgiZvo+NSmqteSJvFgefwt
jKxngLxX2Lvv7LfBOgJmEYNX/2N/9ASVe7uh38PRk7mrveDoPbzXA8jvZ82wlXlldYdhJ35W0NDF
w0UdIk5FVRkuEWESO99+B2/2WaF2Ail7ElxU3TRwLPDEZx31a13x8698zRl83c6LT7hNKk6I7uTe
8ZL4uR2qc+/7LX1w0MCPPhCkzwpwAh1NbNDqlGYPYvMv+sCCzM7P/PrXff+vEhUt0VCQffttnXDQ
yrNOUD5rCtSiQQt9UPYfQAIHfWAyOfCGUvps4MDg979kHhx8wf0DdHJ5989/SHjFDUt5nJ8/8JW/
d0UI8mcNAWu8iKA6uIzg2nzRD+ZnfER/5UL41Q5gImjoC3x8IsBYI9JAdTLF3ZArafFFD4DdJFNY
MmCfWbCmBg7V32sm0BGIgz9O0A9MBOmzRVYtPsFBf2Vo87AjzM+ofQyuPAIzw96AQ+tv1xHcnAkV
/Zb98WBePdsaGODnE2Bwkf69vvNx6Q9FuR/7UPEzCZdU/1t4fNlLJEb/8NM/swEy4IP6g6w+qE38
vboCxBCODQ6wj/aEiBvGNAFSa0P8i52F3n0+CwbDQMZTY1B2x6H5NzwQ6ApKGh4X5Ye2ARlHxNAT
FgECKsJenwjk6T75tX6PffQbjKjvRufY9cK7B3PTuy+ekZrf/YMnM+x1A9/Mq+HsxIZ68XcDxPmx
5cfzdfjvf73YIB4swGc/PlmED4/59s+/fd/rJ7941tNHPf3PhXef7/Nbt3v4ofv2lo9+yLMqRg5l
71YvPJHfB/rH+7wiUH9fDj9r/ti7db341j1s/XFFfbT1ebWHvfHcdOVQedyfP9o0XD06Lbx73TyM
pqcnDqPyx/plGn7a5clTO8OE4c0fjc6PvjmTI7pJ8n1/2PzjCf7R5v+np9MPXvzRSPpoy+NhjnrP
m/52CnFkfLTtZXSzv2GeP7X0w7wdLnwfbf0UJHR088t/38KrD6VDH21/Q6CA5p8aevbyHCEfbXy7
T1/MlG9WPybJR1vGk5yk+/aNIR1MyY+2frwvyn3/xogO0a+PNr5Oik8nbw/ocJ//aPMk2f/y33qf
P7X0Y0QVzsKPtj7e//K/b7bNTe6jbW+oZo33n0733BL3zlsT509YrevEf2tc/4SVer2Hur7/xB7J
oeSl908d8mwA/oT1Ot+Hv/wnpXtenE3fFtafsGTfCx4+3OD/+OE0DO7+0zS8Z6CP86Smr152FB4L
nDqDKf/R6TQ8Kvk0ASocO8mnu3sM4uLTWfHLfxid8OXZK3176ruz4C0j6bt/jZF/0+p79w8w3oaG
b8P7ff6v/wMAAP//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_xlchart.v5.5</cx:f>
        <cx:nf>_xlchart.v5.4</cx:nf>
      </cx:strDim>
      <cx:numDim type="colorVal">
        <cx:f>_xlchart.v5.7</cx:f>
        <cx:nf>_xlchart.v5.6</cx:nf>
      </cx:numDim>
    </cx:data>
  </cx:chartData>
  <cx:chart>
    <cx:title pos="t" align="ctr" overlay="0">
      <cx:tx>
        <cx:txData>
          <cx:v>Título del gráfico</cx:v>
        </cx:txData>
      </cx:tx>
      <cx:txPr>
        <a:bodyPr vertOverflow="overflow" horzOverflow="overflow" wrap="square" lIns="0" tIns="0" rIns="0" bIns="0"/>
        <a:lstStyle/>
        <a:p>
          <a:pPr algn="ctr" rtl="0">
            <a:defRPr sz="14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r>
            <a:rPr lang="es-AR">
              <a:solidFill>
                <a:schemeClr val="bg1"/>
              </a:solidFill>
            </a:rPr>
            <a:t>Título del gráfico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982369BB-274D-40E0-B409-C872D1C9BD3C}">
          <cx:dataId val="0"/>
          <cx:layoutPr>
            <cx:geography cultureLanguage="es-ES" cultureRegion="AR" attribution="Con tecnología de Bing">
              <cx:geoCache provider="{E9337A44-BEBE-4D9F-B70C-5C5E7DAFC167}">
                <cx:binary>1HvZct04tuWvZORz04kZZEXljWiQPLNGy/LwwpAlmQQnkATA6Z/uQ3/D/bHecpazLKXLroquiugM
O2SbPDwA9trD2mvTf72f/3JfP94NP81N3dq/3M+//lw41/3ll1/sffHY3NlXjb4fjDWf3Kt70/xi
Pn3S94+/PAx3k27zXwjC7Jf74m5wj/PP//VX+Lb80ZzM/Z3Tpr3yj8Ny/Wh97ex37n3z1k93D41u
E23doO8d/vXnS31f6BaW+vmnx9Zpt9ws3eOvPz/72M8//fLyy/6w8E817M35B3g2QK8QD1kYRlHI
BUGR5Cz6+afatPmXT8jwFSUhozJEHEsuQ/xl+fO7Br7in9rV5z3dPTwMj9bCuT7/+ezRZ4d4dufe
+NY9GTEHe/76c3rv7x7M8PNP2pr4t1uxeTpKGn8++y/PAfivv764ANZ4ceUrjF6a7ke3/gDR/179
3fLFPv8GeCjAQxhjEWUh/JRIvgAnekVoBLgQjCPMkCBfFv8NnB/u59vA/O2xF6D87eqfCpB98/Hu
ox/+jSGDXlHJKcQKCkOMEKOUvsAEAoZzERIqKWIilPw5Jv/Mlr4Ny9+ffIHM32/8qcCJ79o7iOR/
WzIjr7hkECgYRaEMOfsDLlH4LUDiu//5P9/fx7fh+PLcCzC+XP5zQVHo5qMZ7lbzb8QDv4qIgF+R
ZJJGCH7+AREJN0OCESQ3gsPwy+K/Za/4n9rUPwDnq2dfAvTVrT8VSGn908Xw7wSIvuIUQ7SgiAkM
tR9K+7PSH70KIb0RJLAU3yj9P97Pt7H58twLXL5c/nNhYpvH4a5+uLNffPcflf3/IO3YAuv48Qae
M6Pv0kKgEV87Qoi+HO63wPzxet8G/stzL4D/cvlPBTxserhrH37ILP6DsJ9B/fyov0Dzj/zuX4Ad
vZI8DBGOIgFUM8KQvF86witIBpCvBSWUMIKhWfitfP/mGJ939D///eXit7b0bc/4/cEXrvH79T+V
b9z4NgfSWfgfese/AA5+RaTgT51aJATBEv2R3zBo3wQNhcR/YJ3/3Ja+Dc7Xz77A5+tb/19D9I82
9zX5fPaZf7WTxq8ojaQQkQQmIzmJXrYF0Ssq4PYTz3nZEvze1P7j3Xwbmd8ffLb1/3iX/I9z2u9V
Jblzd+lnleKrJvr7dz8fEcSTF48+6w+enfNLmtk//PqzgEz1u/Tx9A3P8tLvdvrNwF8eeLyzDkQQ
yV/hiEB7TThlWEYCstr0+PlWhF+FhEcg8iD2uXuAW60ZXPHrz/gV44QiyJUChRIeBMCt8U+3Av4K
YXgKvimMGEMRDn+Xhi5NveSm/d0Uf/v3T61vLo1unf31Z2gYu98+9bRRDv4C2Rh+SGg6BUMIFuru
765BfYIP4/81miFb+tLKJJur8USXqdx0qFm301g36iuzfGMpApT7xVoRopQjIrEAZYGDWb9ei61k
MgWrcUJM74/L6PiB1NWgmtKsqlv601qITkVTcT3jxiov5KduDt+bPjOqFNNNVNdHFOStctkkVFn4
XAVRuRwiaj9oXd1ndl6UbvQcy2nIroqQ2qSISIUVIlmpggY9lrj2198/FjQaL08FNUuAzsUjUEoY
8JmvT6UzUQBWi0ymCfGdXqI5RT0PKlXirFFuDdwjt2Fx+v6qf8AtRLBgiBCnPGKYvFjV5FPPpWsB
N4erzWoaHk8DJakxIky/vxQGhvb1CbkEmSjkiEMJAFeV8gnXr3xkqXtUzIOHE2bVsBk18WlQLevO
jo04LUtUJrmc2W5m1r/V9VJvQHbsDpOJijtSavkjP3phcP4kkWABh4cOkHLBn7b71XYmUmk/kwAl
A5V4TyY7JoiL/n2vB3Pw2NcXc1tXm+8b4cWiERfQpmDgJyFwkxDTF4suE1pLXswyCcUkHtcBu5Nh
pk9EsVSLmsswVEP9Q5Rfmv63ZQXwJR6FTECueH5W6ZYp9LUhaSHaacNGa1MvcHgsLOl3fuF2W/Lx
01givG86nm+igARbG1VzTJCdVvUvG0FCzw3egAUL4ffz3SzQ/FaYVjKJKDFbW3c+tjZ8KLJh2mdr
ti0Kknx/RUiBX7ve0/khQRHCSQhJT75c0QVsnMKoxEnll+lSRjndrN7qJI+iPRuH4GPV9uNHb6NS
uWFFt99f/UWQ/bb6k8SABES4iF5Yv5Z0rqkrwyTzjaxV10/TXoY0I+nQhnPxg7N+w8VCDM4lJZw0
gqrw3LoIj13Jm04mQ9avF0NV0FNTQmJsrVqJaT4SSGU/8Opv+VcIS0KICy4QEdClfx1LS6UNXxtA
NEBYPzK+4EPD2/IQeDbet90a7sao6Y9+Gof9MJH6KAm4YD92w81Kc3H2fXtj9g2LP9vPizCr9Wqq
FQuU2KlRK25PxpQ2psEEBWlOCtNGarBWK0pe65YcvB/U1CzpFF10et8ut63f4upd16HzJmw3oi32
5WKsioLincu10sOctnZSE0RPFaBU2vUTm5nS3d1cv/bOqQKPSY3vGNrZDMcGmdTiMjZZcy90lvRt
dGaifKvpTYuKTe6zeJw6EzPZ7IJiTPJ83LCyT0OPD3qo9yMzcbDaa2FE2sPe+soeEbbHnJn7As2r
GorltuqyO6rdvmjrMe0GEig+FBfUrA/zXMyxRcSpkjkONsmG2KxhlWZoidt8UWUdHiu4kBTFp4ZK
tazltlz01rHsAgJrW5bmgBuzR25WU4+3rL4qiVFt4NNybtJVzvE8Nhst0aaPbOqKtz7IFMc3vlvi
eZiTdmwSP1ZqbccNz1ZlV5tkvbkA/40bU52Gukl0F6SdIddZHl6Ysj6NKIuXue6Tqi6PZqxjMiBF
wJ9Vv8q0NTYOhiYZK7MbKrnVq08RjIbUIrt4yIfbieJLkWUf8uG+nd/Q/NEunRqW/MpX9II79DaA
D8DB3odjXsWyblJT+fee4k3tF2VFXiRQfq9/4JnoBXl5ygUhBAmw76dfQM2eRworWjPpAMvE9mbb
k2jXFs3DYslx9a1IeDcqkgcPJUFH2XKFo2LrMpbogqlsadOafMiZi7Vulex1zMc2ZgDANF4HLj9m
ptjo8cb5t4ZmmwncX4/k4PJGCXdfRkcRJeXkYx6hxBSnbD5Vedr046aTMh36Y8jOhCxjMX4YlmZD
UX8MhkgRpmOqq1S0ydTdZvPOkDzJO7sfu2rLdbUZfbRBk/xUzgeykjd53qtWh+yoM262cqm6FIXN
4zLh+woXUONCfzPy4j43/blfosSY98WQ732wqEGUydC2cdkD6wn9RWV7hTt2GqZ6s/hADTIyqsbD
Ge3KQq1zdlrNomThtyUzKQT9oa5K1YC/hXY69boyqirFA7DqQkWd28zTWz9n6QQ+G3dFu2tzcybm
2agi7FWjs0vtyFWP6scg6nZzGWy/Dz59EotflqGIQFomIYiWhLwEv5Qo9OBuIdhPUNX02CYaz1aJ
bgLS2p65oNprh5JQB9uMdu+MtfdTJl9ntHwzVG2QFkF2YWjAleGTkhMQw67LrkjjwAd6hBWhkN0C
scUtuynGMK1RWKfeNlcrYLHW09bTcYJwJ9dk4sqidYdWdB3JGDJMuvQ3XS4UNZDg3BmemOqHZLVV
sswYsMHxELm4NFg14bETWmESxJL1e9kfCkq3GUeqz+rXHXbXZf9I5UU9alWWuw7yYQuVtaovB7mh
2aEcvOLuahVvWYVjV3Wv9SLemeZTJvO9hXqVhQN4sd4tvDlzODhrIr7JKx2HFQR+s0A6KeKI6ySK
pGpLyI1NoKSwSb34BCLvUrQuqdb8kBO+qJGLQ+XXGM3Zee3KRFJ3riMLDjidEea2KPNpveq3Qb68
I22+y6ppY2y7WZtiVxl3raFmLXnXqCLL7uGLYO94uqp9fc1cNm+KoEJqivDHyfGTrYsT5LnXkXOT
gonCdehFus79lJRar3HLpyzOWf46WKpbsR6DcueiKoizdv1UuOBDxR/wtC+at5EIlG2Wk/E0Wd3J
+eWIQziP44r2EChBF2sy7AQqL3nVfwAetVmjLF34ciCZPQ3Z3sy3rLjgYEv6JmzdeVtWPpl0h9US
3JIsLYPbsuHnE5EpzcTbLluNmv1QKDq7d2tr43LoFR+FGruwiPuVX3MpwXP4bijH7czKHYa4t5nd
6QYK3Jw0YivaYJMzfzv0NzmjpyWf06Wob3Rmofqkjl+sUXC+IB4XeNnbkKusE7u5ttALDCqr76o2
VLoe1JoBcbgqhrNVfiL1TYaLLWPFVkwNJEixE6FL8qpXufdqpW7PNDufdP+upT7uu0AJcQ4Mr1Rr
2dRqzT9xDSUJwaaDN9zPydCFitX1rouGOO9oUofRrliZGoNZyTJX9ZLFQ5bvzVDH2gYHvL6Fdmab
2YeyeQc2U30wbTD+0PZ8Q/pekY5c8x7es1jwWT2LpOiiDW8A59ADyb7huN/M5DYgWJl+iT0j2zy6
bjqbzHkf5zU6lpinc2AubW+TCGcnXlHFmiqesYjzotoXXFxacIg1OBsjqrx8H4gH7fWmCsd0Eqmd
IuUESbBHSUFovPoimXI+xXVtH836vql97PObYTmzkGtAFlIDHdXo1nji/H0j5yTS55wHm7UFmjgW
KmN+27lchSJ/HXGbTP2S1NF6Lqowph4ogLxrBFJFLWJWS5UjcJ35YcXV2xwVO51zSB4iIU11TnWm
wmJKswUcaaapH4Zdh/LrDHGApmrShZpcrZJvgRMfRNa8C/hynjUD5I0gHT1X4aKTeeEDWB26cFan
FI/Qr5PukZV2x8oJQBpNOi1FpepIK2/DDWH+vCzEY7uOpxnsUC5nfLQ77ooDp92bEqOka4ZtN0lw
XJEWVlxAQD7WfbYXc76tbQQRPeXgtR3/MHWlizMRnFrAtsQyZt7Fs/SvszzQquXzzaKLzTwMW2h8
b8c+VxgqSrg2R7v2RdJOAUsqMTSq7qMfddTfoLlRCA0F6CCUYh6+UEK86+epqkF1ceU4XuRkITvK
5uKip8IkqF/77ViuVTphvCpnQr7LQyo3NXdz2uQRJrFwWlxUtXSJ84zF3693n7vKr0ShJ64TRYxw
BK2I5KArPuc6M2gOWo4l9Hk58kdvLdtA/KwpyQcah23WHkrZzDE1jl57QmgiV6o3mRsfiwINZ8ta
i43kgdznumogxHNyWFfit9VUr1RlpZ9e28atP+gevtErfrVriV70T51cHIhr0D9lzZwd3MiHKg57
t9yNS8ag4GpW7su6sExFVS6ghxt08IOG8Y9bgAkHhXkzcAQYYURPLd5X0kTRh3lVT6FIotJ3F7Zi
Li14bhKaM3SQmNRXuKf1u6Cc7Zborjt8H7jnNEWATogJaPdPch68OwKz1+fLR3UXBmIensS8aE2c
Q+F1wUpz7Fu5qAB/QnmZxTgI+92/vC4LYTaAJQOhAsa9z9dtgoyx3AQiqTUJz/uQjx8kDBOUz1dI
EjZkh24tTDyufHr3/7TyS30k1JoFxkP/ui6h2QsStCleBT6MQdRvhQPlDIjoVNxTqau3P1j6yZp/
j5LP1uZEhowQzEBEJU9B/hXYTR4EkwgrlEYrhUyh06C7qSkYOnebWooDJ9mudeuemOWiHkpQaKvU
NtHlYj/qoldocRdzbzceeDfu+liL6ozKLBlQmLoMb7PCbLPhnPp2U7WHrMg2ojmsQsezzVPohbZr
Jk5hN28EcKO1WN/akW0ibTeUB8cosGmAl+00P5T6ygSgyWlyHjXLPiqFQjQ6XzIdN1C3V2xP2E6p
puVxGgNVtsOmoJ94oePMRUdn7HbyLC443gAlL02/J/0aKlppIGBOoXAzaL6tSnZC/UkMtap1c6gG
f5JafhAzAzEUv9UkOnCO1Yq62Hn5+vtIfFZGvoPES3GOetAkl7wBv++ptaphdN4t0UIOSKL+QdA8
2vI5GBM+QCq19WxT0K6qN9/fxfOc/tkdJAJJ8imnkwh9Vr+/codKNqItA1BkKxr0MTQMQxwUhIBK
1/H0+0t948CUw0uVoAgykNHh/YnnricCOtERS5l0zA6XZdvW0Osx7kjcj2Qod1PbMkCbfgKRw86H
sM4liSNRL/YHiuBToXpmeUbgLULKYHgIKiV+eofw6xgwNfhGDsJZArI7PSsX525tzVs1hqY5w2Xd
/iDTwHDjDwvCkEuACg0vlcCriU/3v7JyvTYkAwJHgD9NJK1dVynYYrWZuj57tOUgCyDlqDorypJs
s9yXQYyCamQpt415h1wq8rNB9lz5Zr0mHAMDGtKB+v5HhiHRH7dKEYWXxsAVOALF9IW25sKml6bx
eTrTet5z6hhSqHJVlA6zb1+vS70+AMkMt2Yuy8TIjl8MjBkQWybDSYz0VCNl6nW8QXqcddxPgxmg
y4va2wZlyxKPXWbf2oGUqQi6+iH0vfSq8GXUKShSwLaGuYkyFUW0LaEtoPSjcHl107I6u9d25Vvo
qMh12Mv1Tdnm+NiaTLfxTI2sVGTAsfSST2+rvNEH6qV9C7ok3kzwMm8Bzfxk7oNuygrlNWODYj2M
MGPnBshsbsqLEZqtckhl0LWvw6iDeQ2HyvfA5q7K1Zjj9ZgH2OyWcsrObdbhj8wGVbpYWt6FXcje
kJIv166j9Liw0IGs0A/R9UJZ9UagrE37nKJtB28e7Uet57emr9hpyUJzYTHrtj4r8lTQPvzUL3MU
ZxkYQKEW7BxHU5tdOHi/+l3RNe3ZAFn8NFWtSdoKl5sQh92VY5FhKrDF0KrGklKVq3RXTs8t20nf
VifcTnLarLA6iqHzCl/nZkbbpsuwU9mM0ENf0wEdGe9sOhNUb/KoqK8yYodzzwr/0XLenJiv2n3X
NvJMBlV/NAH0e76eIUI7aZfNRAuewPk1TUQXmuIqmIiNuYxw6/ay6Fcbe8JsV521fsBrgqrCthP0
yTib31d0HVet+DI7l51IRsUdjDdy+o7kHLMoBd4Iil+jo2zat7Toi7jBJngoDFpbFZTG44R2Or+P
sO8+oAAFo9KWTguIFoI/Or/2d8MoWBkPM8/OzTDrW1qzJzkzXPukrhwDP4zGaCfAbxIymHzjkMXH
rDYoHeqp2tWNR7vVUnIWNF1wWLm0+xrYQloQlh+KbiiSMBuqG8GIvcNFm6vOBgNQqEFvee+b3bjQ
PM04GQ+ZEP4qGjupxl4O7zJP8LGQkW5UHthsw1deXlEJItS43DMeiGU/Y44+8NDauJn7jsRynDmQ
wolC66YjOKbXlXzvicWbXI7hcZa5OYg+CGnSA6NNAhGMm5bUZFtWod15NrsNzP2mE61rAvBxAbPL
DphIDZRo1VHzgRaD2Won8gcbueW1LUlbKR24TqtwgpLa+KlL1nl1G6mXOoHSL/ZoaPxNOZvpUs9g
jrrS2W1TZeRY9obGQzcNp5aEoLgVg19v/BR1H+cgD50CclgXIKciWSV+pctx8Tk4OOrQuqjFgkQo
Yba86ydebqqFNNd1A36mfIelcoFkb9CI6bthseGpr8Luo61kBiMIFxRUId3J4zoM+Ga08AHlzWhu
fB7ibSOFf0OBi5zkQOShhuC4NiOy106DhqVoXi+XU2vwjq+9PC+KyOZxzcL5NQOgT83YV6fCrs0B
ogocmD3pNkiM7nW3OHtRE5ylsgChUBdtAM1uUYlR+ayzRpmhCD6MA6kvxqfVxRjWiZejSyaCoRjk
Fjp7PeMdawL2dqrK/D2o8ONZG6CFq9aBWk8mPx3WXjTvh1GCctpTPo2nrKDiiLK+ASoxjVvTuiLB
Oi82tWma2FdVAB2jb+vjJAM8K5xnoAFbZGwFpCgz11UVge4d8Rm95yulpwKF7aloAn5TZ2W+n0zQ
PgzQV1dxFNL1ZACYa2Ob8jarWp/kbVhXSZUVqFSy69uPNW8mwDozcjOsMG/r1xkol0b8ZKgGecAV
Of84slXfTHyBmjPb7gxm8fZyYA4fSpDbQRxH43jLKQr2qEXk2FdiaVSYrb6GsXnLD9WUdZezbOcL
2Rt/BV1SNMURGmDUuwpzK9ruIgu7BnpQ7hLmo+HaNiE1Cub2LRTWOt8EHNj/Ed6IWFpVEarvJvjf
Hx96kOZyBSOloVNjycQnyf24dTT3dSwY0Me1WyRIbZ2Y9b4es3VU+dQKKGB0ZecwzXG3FP66KBg0
4kNXDuutw7DLkq816OsgWEwgGi3ZeZvNZlZ9y8v7RZIVBobZOp9AuHVUYTbiPNbVGoAGmfEhwaKM
NjOg8hoFbX8ZzpO76ItuvbV0iSJlLAa5tsXTpQ+LpVQE+BRYq2ugschxAHmSweQn92O4jTSuzlCQ
Ncka5v2+JPkE9ZzJeNC+2FZ1N4AiEYUWpAQWnkRucFxFLT+NTodbbbG8Clc8HKoetzHUOJ5qnomH
tcjGaxlC8hzHLjpEaCljtJLqTSFM96aa2+oCV3OfZs4soAe6+S2EMcx4ygylnlYsXscw3BMvZLy0
K3vHh667JmgIEq/H9nxiOoP4wOxJDMrJbQjniYkTYJlh6NgHb8HhibTQOhed9iAFz6Bv1YBAOk/o
bLagrPD6TjThRS5KGC+1lwwFKR6h1BINYt71yFBsQcyeoh20zJuwbI8Fh6+AbO6gIlUfniY7ASYJ
4xhK2xz3+oD8WWcuVkbi1l3LcoO6W1L5eAxOtLxAdN+yU2QvQZdD9Q1BqZ0vQbFCy0PVv57RRuik
9cc2P3QwOcgaH+fBjrH3HX2T28e+i2unVb5cZP6S1YegvRYZUhKfOHYJ5UW8gpfm+ITXx4rfm/XY
y31ZfASmGE923vuexFagFIsuqXMYRwj7NmfAHi4m6mKQbrYuaOG1lE6Redc2IFZCiU/aSNq0hax0
Pll6FWgW675MC1pfIbnEBYzINDqv8g9VRhNw7EQ2Lq5poJi7WGsI66yJbRvn5cHmY2pakqD5UBKc
hkxDosIxIaDGDwOY8x2p39Qw3aufxqdsN0XnvuQAQBXzCjL77NXCwSpTcL8ChVYdfizorKCQPhJW
JuUMVWvJ0pxcTcXHrLqB1D0CfYOvC1MatBsZ8NsogKZ+Go/w0smlFkaROgfx+F1XiE1V+TPqhrO5
lbGHcMFlE09d6n0HZ2CQns7QVL1uQp0UYlUEsBlQ83bJlpjg+rQE6NgMwzm39XUEA2832asS1Lw1
my5oMB8rm0F9X2dlwdJA1pfenzojVdV8aLS9aZrhbRlGamTtliEHj90OpaVqmYdTvsIos/hUr/15
60bwTUioc7lF6JxkoM1W9HUd+W1UQudaFGpeTcLZkMJbLVuCSBKYftM1H8vhMm9uMXCD2upN6z8C
E01D8eCr/IzDjJgDgXfTHpS8R1ZdLuiiMDCwWCIlewGi9XDw2azKHLTXCeYLWOwzvjpQCs5zU2/r
HspHazdNXV0V1inXt+eiLG5wk8u4hDijur9cOhqXbXCO1mMDrewaNJtWm8RwnnRZsJ1rPp0xqEB1
TlNmq/uibzY+cJu8LPcDWKyvQ5WtkMYgFeroEkd2m0WglOIe9Op3sruybbRFIH9zkEtDw5WgbVoi
FJuqj9kgz1ePFJ1DJTg9OlDwu+4ugh6jopCVZqmgM479eGFQHld6vIQtq6B/q8sHiR5mXW/xWoAB
+s0UzjABrC/HGZTVedrCNDBdo+6CPgnYdskVKS4KNsyqCNhWz91ZMzgQHkfo4G3M8kpRtiS69opO
T6ziDYgQV24F1d7IBKFFiXDcTcHrYZmUrVAM9R5GZXlq2xvgSaCMm2Qyu8C5nUTbuprVsBY7k60x
HtYtnZzSKwObR4nMMBj5UBWPKz53kdlVIUxzP3l9K+WhAdHaA3Dk2JWnPM9jVr1rFmh939Ap21iR
Ri1kv/fasY0BPRxeZmoVg3kd1IUwbCrlkIegWU4yQJu6HUD1JzdONht4KVrl85H8X4rOoztWHArC
v4hzyEhbUufkdt5w/NxjkgIIkIBfP9WL2cw8e7pBurq36is938SWxiMu+oxLnYhwTtSzWtgMNtI7
NTcXS6tqWMK9JivVrdevfHyf6yhlAc1AYMemgO3rs2PlOtteuTFvh8TVZVIwPzfo7zFUZINWXuxa
EGw5uC5qj/AhZ5J34YDuXcT9cC2VSBk+SOP8V5aXMKpT2TGMzkG+YKJCF5ks7I93a0zsg7I/HHKj
XMbBJBKjsVofxD4W00/g5aE8mfJg9VPskE3U8DxUOu6arHBrfOkytfW2cuoYJxd1PwnPLAiHimHs
k04+R1e0qtuJf2ovc4p9Mb/DR8wccZvr717uRKux1OqU91k9fYrZilupY9Ncenpo6bZEPcD83QaH
phnObp+Spr5IcmnCV3dcjr39YrMvCVvUrg6luC845EtDUzO2mxKzahuZp+KWrpGbefC1rWLMTFXH
CvVXOjjrAnwRBc8Fjknk8qymI9agSivMN5OOw+ZLRE5CLfwDj8rlZRKWZ8bkARI+DNou4eOURJ3E
ru+TsIqSor5H1WvJXiLnhdlXySBr9KAO2jjA45lBEBSrSSQ9R9a7NS5Z6KhD5bwawWJL2OhgHsb7
j5duAjsklisqyPjq2G0syrde/yl+jODuKklju+/ijr5OQX2AHxpH3idT74U75Q092Z6198s+1T24
Qm5iWrk5X0kylt6uk+vWBxBA1W3xqyyMqrs/AUaog8y1SEbLX8EPMw12BXSEmb2y6b+pMZlT13de
H2ds27mDJTyIzVAOe20onu9vX5JkNktmKRucg0mG+VF1BlPWz6pQz6uj755teHhm+eX2tiymWHIR
z0UZCzhJk/2zYurqUCKkHSVRQZOgXjM/eGMqiKlPEk7bjQd8hrhVbJFrD2e3dJx8EO5GCG/DQwr4
wY2J9K982Hse2lcwbXBaJrzr0DQZif6bKVz/T9sQ4Ap9It3d7DPwOF5WkL9aWbGUb2P36ZP/TPFP
Gp5g5o6dNkjZeoIL0c/kTTvfyIcnxobU+nyP3rZuIoCpr4H88CoGnmBJAwi0WsqN09C0wwRRz1Na
YHwwjyn8e3qxUDjd4mfmWC7RS+/+dcUnJJlkieBScn6bJizEqLy4bMmirkWtC2LLeAm64H1Vvzfk
n/JoOkxu4kQkcUCjTLafOHrCixbPkpNbeGbw1FBdi6Oa/8o6yLX1WnHAteiffOvhy++ieeH61rZt
zK0wRjuzJa7K/NVKbWfNhXoACG0qZwMDOnW8rQU8E65bM7+N47oZMaCEw5o1Uwhc4qAZprgonwBd
SYpSFfza0bdfH9e5jAcF8oSWWeugLcLHqZJpPrnCzdArbVb7Kwp+icLwSmlaoIC4KEt1FWZyemHr
uzXAGp6aLg0VOs15CIFQYGp59iZOTqGglf1LY0PmUTy8PSetfl32fXjlVpP7oZXP5Zyu5SsbROoS
+9yvGjNKlBhPpmAo3rx2xoJgmSu/ouE/xfobYz2cbZ40ltqt6FA43YUED9UHK1YeK8xLYPogX7Hx
X+eWCffNtmleKCuTaF3y1ok+ZvZdBiQV6z2Y3IumY9prdE9QMxpNc8lhn4VAZtw1ozBNgf3sBfwk
vp5KgSPGvE/9BdNIDtg76+ys6h6i9z4qqT6Xbjfh0YtgTNaBJu7AT409pdI6ztV9BkrNK5ixr57c
l+gwJIvpOqMpF3CJGZ6aiUenOZS1PpX1fWILHnlEjwH9DYo5nf01nwoamw6i881ag20g113VXNWw
88sC4h3MS9d+p3Nz1qPMZeCceyavzuwmKozeTOPHzgCChRexPQ1o46fYVXPuLG5ccpXCcsxZVW6q
EBr+rG4YovPSRY2vxwNb/IyCDGjr/nsO5ry2/SDVdv0etsWv038s88V5tr3j7yz2RjwicKqGWKnv
1liPOvp2gO5I88PpuJdm3UA/jLs1PC3FuGtW5yBNgIa+LjaT4jmUgK0VhkfI67GxcWayKO1rDc98
XPeQoPZ9pXe0vAo15EFLjl4gE7eWZ6bks/FGg01eAcBtWNhsiePsPVmkzF92htsw6pfcGuTWdo7R
oPGfqyQiOgb7GAcAbVkFxspfU4ajclD/+rbA2223pXeCMp9p+6xWvKMWu9pSiQ16MkI1BTu67wfw
ghoNmrNug4qlQXBkC5QtNLvSR9fb0gPjLyVkMUn3zI+yyccRxmwbdIUz9YkzlXkjqjKWOIYMXdd4
nb7G7hFamEuo5NAZR7tNCiBho4tppVRhYkt/uzbYiu7Vcn6HcQNLPV8bkS26z8USoubOKD/rpoEt
CIAx8XGgu2DYWy/agN7bUChOSsocHidUbDeWoc7qqN5YzZotDk7kabrg8DvzoAMB7+UVxc+54W70
dYrZ9zhF5sMv12tPCg/UinO0l/l9cf4DP0KT1hc0pd10ikh/hmSZROG3x7ADOI4QTS56LB+TNBtm
7BdNQlQFvIZ5yrvmI2QkSErTAJDECViPww8fujH2Fuu/FWMixQsqVPSmeeBCEdIsDgTK8RKRj1JW
r9b6UNF7swC0Gy+102zMGGVu8cuV/eY6msSMSx+kSeFk6CN/EAAJLkSEeJd9NG+B3P81FsAUq4rH
4cvyYWGHvwzzIPgBlvRqCtCO2Uc+0A2T0a1jc0yHFgCWt2vtQ/Acqzp6rbBEixlfQ43BEIMpPSyi
foV+uaGDE9M6giDFgFOHMjeqSWC4fAXC+2eEg08G2WcYR9jb5ZVXwZ46rb21nG8viK4W+oh5rXdD
OOe2GuvMQIDpq/XagjxhZZjIksZL3cTa6faFbj7Drv7yRzRtAGtXirhJG8h0wUnoGEjJZT0kFIRW
X2+HyXvUI/CpuhyxvFZgvFNWreYUdBaAk/VRo20KRroXg4RDWQMI/Q6jGYso3PalnQpVnP25Pylg
AcZcB+HdGqvf9t5xRsFTh3k2EFExTy1+HhKetH14Hst/ZOKZ2z8A/hzDSCeuHGIfaFATkK1tfmbw
EAK94orCjUPlVqGPjqyLL/q9HHE8NySGXrnry+nBi267YERyZ3VoivpU9+G2Y9WeLORIZ6nQxY/d
XsgJ/Yee6kTJFUyMCXfM1DkalrzAzmx7W++4QD6GQaiLrCZZrDVXkXOhxClzAFLqKCuv2kTEHEUT
7VBnYjfQmfCXA4GvkFtl+FnZYjuOcLTjOaqh1IhqxKLm4h+u/3DuHqc8lp6/71tgzVBW+z4FT7Sg
x1IXL2rlw5lHL6kr+gN0sTmvi2SPqcBjbgjoVovDogjb8SEDC0dupW5DOO4WRV2wN+to3lwRejlQ
WWwz7vkQLlENbG+ZNm5ZW/jxqnprLfHWYrr/bw5qOWG+D+SxZMY7+0B+76Is6HVqLfLltp0EPeoG
Y+z0wU9fuO9T2OdRxy/FYufF5GCX0AKtq16sndWhcfGYBiFZPXV/uPnnxWcCX71R9zLU3mWIgubg
dKRIbNpf3Xpe4rLxaeIIea98iEPYLj1Al/qsyuKrpS42t2/Dhi9VM8bciX40pTSpvBqb0EeT2UKK
GZppzuBIoF9Ybf/ouVEBwVO8Lr3IjD/i1GvXQyVCkaN8ipcFxEhcg8cNPHNpQ3IY6snPWvg7/zr6
1JbKdl/r6D3UArul7ODcC6LvrKTemynRmbjVNCRFr2kyNDhqTQ9hF/JI57LhWDO2bCbgjDmMsGNI
prs3q2/B18ew6jBZm3HbRuWpbOSljsK0b8b+5pt6gcZWQQVe7TYNKr9MurDZLaziaQ/J9fOZWYjn
spKxaosWextgjQ4bTHy0C3Mwgm3WYtDIHeanxJtk4qGSFeGaN44KD2ZWmPUWpL5spl/6oDq1ODmV
Ke7cDz+MDM98qbK58Xeqcb8cj5GclzhL+yFChfLIjtHiLRSDve0wyluC/afttoF0CCdFrRj/7XB5
myw3yKrFHdN5woithoMOa5QuJ4um6NyR7mr7FsuWzqqThnQqJtaI82GenY0x05q2o3q0I3k+SqXT
ruGPsbffSFSoDCRgl3Z4+rwpoy3pQaVK6n/2Qh5phT9MaxblXVnfooqcGEpRbUOKGdvy4EcwEaya
eekkGgPGKoS4vzT2nahmPnACNM9W2t2tC+8uFjjjZMSUmQYkgsgsJMA58Vw6LZzf2FLDtsQkCIfC
icsOdDJkLVR+mHYLeKvGXWqZQXm289Z36pR0AgKe5PECVDy2tRh/vWkVWWB7ccQwCc6seczGFXJb
Lbb/HtCCQcoDenSTlaF90ktdfyvRdyWaDN9l6axWsuReyAcIXGEpltTRIaY07jf/KXsOIGpUrL9H
hvji6HSzt/WNQ2+OqnSH2bdErRGMGPJDO0wJ6LRoGWUMXD2E34Hoy6DWKRUljO7G0+LL1DR4AEcH
0r52MnchQ9t5pLSDqmljCkpXHIFQucYRYnFo8btvd11zIM3z1MNudJpvHXAfzjjcr+1MnjO1Mb4D
PiTCAFl4LNUTOiUYX4fWZxNasv5dsW6/uAEiIO3dCZTBeg/HQ9dSbISivS96+guFnzpLkPM23K39
nM0tDrVaiLOvxBGD7dlq52sbTke4JD+d6a5BaZ2tWR5gm7WxmaoMvvGmlnOO1/zXOO7rVGM0Gvvy
k7A5gApnl5i6IUZwqr9Ksm61xT60XT4Xax64Q+bbjwq2UhhUB58jSGKV1W6MSiuubJfndgtWGKWW
pmG75jKyMHDytkQ1FPtuYFdZckwwXhaUKl4KsLJaH8jy5wQcYRnn2jYeRjAfGkA4vjdTYI66d5et
R8lvMwY/NdIjbofMghwgAij3AJco9me0X/XwNbb+zzxO+3loz0ifTD9tU7NribCkE5NIuxgfuI4F
5qRWzZ/ArpTKhojgt1mBWrC6R7JtIA7vrUW7iO/IIAFcevCWJa9XwSDswxyrpXNfhs5Kuln8ygV4
uQMhSITRmjAw/Tkpp4uA4AleegQegzJ17nnvdjHx1+7eQH6APNxQaz9Qclp7hURj+0calfuI1eVW
UR/tZgjv0EFk7vRTmE4FWhcWhCjqEKlArUwZigW7WAZRBq9bNoq439HYp5YXZQTDRQQapLMJeqcK
n3Ky/9HIVHFb8C+0VdeGREuMuOoCMp+cR3/eqOW/RkFLeuLkRnVHoejZl/o8LtXOB12aRnanUz44
aVHA9W6LMzVY1+MS3XuruQwGgKvbfRPEfa/caQIwyYWCqWIPP1Zo9w3k9K5CTKq8d6PzXqpCIEJU
6lQWCmGcbpjigZXz84fWb69ZBhDgNVRLRG8/RNttq8nIHQtalRW8CJDj9WBM0/ZiaZ2XkuNBED7n
buinNoE0DasHZGThN192PUA/DyHd+wePVtwkbqsuVWHWd4+700N5ne3CdpoyDPQ7SbzTHDlDToE8
lzraFqMPZ5u9GTQ+fF4Pxr05062AkOZZ9ospZ6hyXhaBuYPiuO0jcrd7oNT6Ikp7KxBhitbpMAuc
V8wpoe9Y+tn9w73JA+MH98rG2dCCHsCpB5xlliG4bNjSGcF5ulb13QK+kIBnA6HRlqlZrB8ipuit
JeVNB+KlqwETU3/OJ6eAKTPl4exkQ+Vl2mVx1OKwM9NltOQ3RkrUX76rYAKL+RvxaOB4BiMx1M+p
2VmS33zxhtKYmEaeSw0spQpqurObYkt9Yce6bi+q6w+1r5EnCnd0Jht0nDcBmXFhOjV8Pta2tX+O
UIjwJVZY4BSDhtKoy1BQCFfyfZjrvEI8mqsDUzAqRvdlqrrDzFf0ml1xqGcW28OY28N6HGYfJXbe
hkh1WST4mgod8+4YIDAueivhjZ8GCNC5iAQ39YoghZsuXZkbubHCb5u0nxJbpwlhC9kIabdvph3O
Prxs8TbKA58kmmCSN2C6lmYBOrMVmJ+DkaSO+SH2V0Ozev1g6mt0X6m37VdkD/YUZ7VZdqVxwX9s
J/TFPqIEKmyTkTfJ4OvY4Qlp4MGpf1IsMYL3SY+rEfl8aeWbRqnj9D8/BMKIKY8i/UbMzgwAXjCh
Nk/pg37rzs1tdD4evZDoHPnHSW2q6cVxdxYcTRQNw44IqiMVe4BdRaHXVeqzJ19qvWlEBUYN/Ut3
iFR8DhRpCrXx0GQglBmT/uH2Gtv1Ju23GQOlbQaM2cHel2pv4VmrAVHr5U7XV1L3qWqeAZ9dO6JB
VD8+fQ2MSDxoJ2MbJE6FzcrRr7IhaxH84PfAe7M9THRFSiHPsHsQ7cPp1M878szJ9Vfg6Wlp6ph5
OQ5NzJ5zYvmIhIgIvnuFPhU76j7URSJHFdvwlNsP415GaXLm7TWHdYLQc9V8Fq2VsvHB0A54k4d1
curqrQU1nsN3kAovsxDbZf2h9hUGzcaaMUXvSghypNqHsPf8P0l3FBL6oP+iYQOEeysAxjh4Ki1y
iegnWYLERMxtGxl7kXWQcsi5KfXzl6ek3LUsIaZPfQuSFjQzdFh4udI85AzAjHxVzT8doqWH18va
I2dIX1oQCmEEIO6i7xCjY0YgdcNsQ7+bTKAhhHHSGoBRxCfoMkMWwQcb8U2gJiD9dZL9l0JWAKmY
tIPO69VQi6C+aUyDz0FBsCNiHbFuv11N9rVos3KZ0+GpY9MVBv9Whec6ePesLZrs1ILRS8vYtK9D
+O61ZwYsLHwny0asWGJoY2aBwRuPDtk3amJ/VfEw1X89JP0R232sdqb9FMu/FUXEkSIJ+o3X7Ce6
keFPbYX70HawDbaOmVLXe6v8wxRCP6js2JqurUVzaMOQT9u4rRqcqZfKa38ataEq60L+HvQnND25
w+1EtCyrtQ2duUGvnLeDhzLgxL0Fxn385/T4ZqsLbdFLeKhyxk7F0u4m8k6oB6YkL+w7EIGkCf09
Db668tXrnJvtJoEo0251z4PWmcMR7HB/bcmTKBLbxm42Y5R4bh97QNxc8I6pGOcTkswlmmUUVcEg
WUutT3aPvOSqEZN/yrHDzkOHDszxhIkmXSqzZQbe8YzS0a/yoP1x7xthdlz1dxc4SICK08vnJld4
Mt9onOji7SrcEkrgVrrtxl0w/0e/jem3kBqtBS3hgFxcgYwroJG6coaMNkSh8QB2h+4kf+bAKtj3
S6uuvJd7hiJqEADuEL2bqiXDVs6AfGStVukQgLAg/57StzN8EFRxNZxKhCeIvTXyB4Lk3id7F5Ws
RY/kBldWb0QVAan7ieZvx4i7Fy0pFKdcPTEvVW78OsqdYkkttPAO/6JYnKDJElZr3IcxbhyypIjj
bkAB4riOEs6wMtlbMHxQOl87lAU8nEsL5MqdmnTmwB7gLwwdfAikDXG3BtzFJSmgIhcW/B8WXKfl
n0LeUM5FXA3D1qm9vJhhEM7DueouMDOUuY7RLWBfxOeZQF6KEUxQd7lAjUORVdC3nZnGHPyhNCKH
XJGWXCSSOXHnHt0R88i7sW9tQWJMo7Hl79oBBKPv4WMA3/0ZGtAjCyBMg0PR/h2mrdV+hetxhnMm
7tiJfNQ7yRFAWj6m9n0Mu5wOVlLWpxFWUgG5uzdJRP9p6x997m940vLDEiQPrCldm5uB8T0Hb9Gc
+UCmPK9B6OvbcXlSIeEIO6f3NjOE8NGrMnte0yF68csJIFJeqV0/qVSwXMoSEua3cT56ps4NqmyB
SrBcVw5KzPpGEjcxzmtlPTz1p0C/DfUmWm8MgxXT4VbMECZclZa9TDs57Qcw1pLsAXKkdvQIyh2G
Q9j8mx52uoQFOgLu8/qNmmAb0nNV53b/0kPxDubfGlSL+hAsyqwZfrR6FCs5KMi3AeJEYG0wkMXS
ykUDIbyD977CfHmFAgz4r0oj1DunwiMoTpqRNIL32mEgd8J2pydxXWoPmpmfKKDL/vTVw2EIrWAv
7IODD1UEL2EF1x0m75+oAETwrTt8tO2tcM7VCBFr/EeQ74bIVqz0yjk0K14WWx6aPceQLe3h0zPt
FbeQYPIuEob2IF44gmTSxU6Lto4X3kNiHJi26BXh3cn2RVRNvsACIszamMXgDhMLhD6q/F2JM/He
q4HHSuVCX3W9504Zh/3XsL5F3gsL3kf2D/iCX52cZ9Udv2c2n8v2F+mnDZdfYY+raICtuYByvDAO
Md7ghDbtUY4bXUCddGIzvxkBUIdXG1ytg+d5oesdJ0mipnPXuzGyNK9eOcRASvftiFB4uQOtkOgo
qXBAq6zGuxhcYOC4sABhWhgW5xZJEv939ao44EngIXKIV7JWXlLaITQRnMwyCxqFvLabPnuKbgA0
juSlb1DUH8J+1+OVh2c9XbT1y9ttrf7z6ZJ06qIjktn6e/VPsnsh64uBzwsl2IcBBd09aX4x3SUh
WbYQNDFRoTLhTowApWdMV8eBz3wLo32BOT/Aljn4CjnfTl9x61A6EDtxljMaBac5smhDnFywPmn4
qWv3c3jTLhCrtcU4k0/tI+reenvvGqiERSI69c6Xb2ZNueveIHyEcPGG/iBUk04SCmbxsPpTa0fx
UO2Hwrp36iAnirXm4taCrezanDyHaBxVQ8AQs4NTOv0MLo/nevxY4R9w74h0auzTi/LmRLdFWvU0
nSFKDI1EyTsUNd8I/k1cKxu8J40BzRENM9KGmxXpfRnZWANNXqx15oavTyLI2QwOEFyEsDgaWYZ7
CoydLlDQeAWNUg/7iuMSgOBKmtMcPoaB4VS1kkoArZxcTIgKLcKDunM+A0XS3Q7ELbrbew/1fKqg
zzttEoLFF2jdSPPie+9+BIkqzJG+AsGPMlD3MIW9DSKbiSHVZrQxKn/UtNw1tUZI9hDBtBDdHjIs
Ys0XMS8pDh3MIWhB+71C02pXItEGG3nAHQvgsEtcjcGKeO3ObX0GJbnVodi65Zz4wcarGUJ9FXwR
HJbjeYDKGtLdZCHG/VGwvCfHGj+u7O9nJnVy33pMV+s3+nAl8eneUGEbDJnh/JiqXNNyW5V7pBqh
Jd6jCPfKJBqWuQu0R61fUYsMJ0BQS2YItuWcnFwY7KVGP+22sLjnuOy3YdMnEYhmbO2t380Qje5W
iBGzSKWNnFX3ObEg4UVxCZX72crTavNsdLx86pFSqsPcdrNRfVs9Kq4JDoHGb7FAOAZFYEBsAPEG
hAxrT6/JKMB0KCUOgP/zyh22lYX2gk0/DZ8P/bCKjbDllAgkv7iPJDU01gAkYQgtiXnezibm0Rcg
O5am2LAK4XRcmmCQXwNtXdBU1I0A7iS/jPBd9KRG4ohCwq2hgUEvOLwFRYU/QKtdr5aiSH3F0VXU
/S/BfbkJndcXzisgDdVf4zvnORTyBrzN2q6CHIuIvYQc8glHyHsGEDC7IrdDJp5Y3ssqrNOCay0E
ky8GV/7s6jXc0lAlgcO2NfZAJXk6rPTdLPQI1ZUMqG81KKtQIB86XqwKXKvGXQ+AtsBbrXk5870F
GhFGGcxBs5kNsq/IkYqRxDY/MIZbJHqnyCPhMLRg9L9IDZuB8rxg40n5eMhDf64l20KE2g3YJ7X0
P5BJegkY9s7Ar9RBa0bVCXYy0vQgbIYC0y9G+HL2cMCvHaYtb0mnIHrlNeqki6cO6gWMFf3PG+R+
tA1Kzfo9tubF0RaHIImQOvm3IiY3wlYm2IUevgDtcNcKjwO94QLH9GVsvwIOeLNLGryHYpqAd66g
ztx40h7cv91Y5cu8XwxL+VpuTBWmvvR/7IYDZaqzMTz4rsKwibYFlznABEGXpxqoBwkqDJJcjS9S
oosUAh9zc2YjxwPle4VbH89waJ55g+F1hRpuZnhlLe6HKRBQGP9wMsKgseardBFtUKj+cCnJN2h3
DSoPp9YyBrD3k667KmRq5GaGhYsEoBdbI4srJ3M1T3pUZFwgsx7L4Rs8o72cwaME5CcQSVX+Df2e
m/d6RD09D8EJV5rI6mTWHbDMvn3tIHEuG6qhCA/9hkFhAl6hpgsbP4shb8en0ZRDBRvFvmLoz18E
ylf5MumtW7xrgI38EhYn+8HBqS034+YACk24rclxGA4VABrcajA0COunqC9DcCO4kQYfjSwxWp4S
zgqg03U5gguBs7eGe4gLBc9LdsOVBaY/DO1u0S+2+df35xJ3p3Q5hkL6y6y0Btcf4paCen10Dgji
9kV7NyxZ2Kau+xrhbgC0Qi125ihT10m7b/wr3KgyIWyOybv5ns2b8PZ2tTHhpsUEHPYKpBsWNRr9
V0V3LqS0KfXQvaoPS9+96cfjv1N1XiV+AQadMVub1K+cdPkzwatD31a9WUM0qKj3kws1aheCeqL0
z/W3Um6Fd8eIzjmGqJxHQTbieCi/Bvfc4XLhASLal6CgfG0rcX1ANTtR/Ezgb5sH4h3Mvy+3ghWZ
XQMWNVcLqCKD2vnjiU2L2yPwkbS9xgEQzwBx/3r+I/UCHBlQwJxQL4hrsHWe9+JjtHV6F2ang+4x
cz0c1VljwLeAm1tEgr95wufYNOzkBHvkTYsmHd4BY9EZZMGPxJ1JI+5SGbdQTlx5Xprtau0Chp/F
fDXjBI4bAP56PNDJSZYyB66LmRTXrpXAPsQDI5Sxu9RRW2bllc7s/gN3CuFCkwq6gcFgJlPYDHb7
HUUJHc9Guqnm3433ZJRvpNw69qk3cds9qhpXL83bgTzwtdzmZjVpx3ah3NH+2xvOk322hzRg+F81
2dBdo+5U444AN/yGSkPGTwQuJDgxC0L1SeFAhWeA1F6FUoBbOXBGgDzQKwGSdwwa3IaA+fsSitv/
hJ3JcuNKkkW/CGYRmLElCc6kJIoaNzClUkJgnsev74PuTdcrs6pavXqDUhKBCPfr9x7nwmAeg1HX
cJ115V0CCvAfxhgng5Frl/uugqshPATne6UYnFJXuPPBzI5dzJGpf6JDgCyZnT02knm5pcsnS26k
zthgX8FHQA6G3JI5BazEl8b+MNANaus4hv7QYZa5xTAPaow69SqkKxnOevYecvRN7tFl8DycZvE5
W/e5fYhxcSDKJfs226VYMyNm7216Sb3n1MCkQTXH/0cjifVLEiPE1BuATgy5wm7vNah98JnsvWVu
GceK9CyTI1WOE5wzDHlFfA5QZtxVLjdq3OXBb8lstMTsjhXVs797Fyc4LXrwUUzZDkjUuk3XgDhI
Jm7i9r0oP2LsdHNwlv0fbTCx2ZwTHE1W/5FJPy23Dim55ajx1vb0O4dblV/ydjUYf2PalLE8FMLd
pLVvuFviM0HUrhA/13r1JKZnNfFoR6wLQfHVkx9e+7EmBPHXpDBX9X3EHdqmPa7/U4K8HH1EUMaQ
B5r0s3J8ZpL50qz61lnkCHavhVuSRyB2hK6TeISo95qer3Sc2VmFGlju7JEwwd4M9hg6ZO4DyELK
vNbRe9k/OJ+Ab+L21sH2SuxVXZ4ie4f3NuHyKOrnxPBjRrTOysku2NuKwV+MgvVWGrhhrmVzIdW1
SRKdZmTfDr8dT0116Wk+E7KEbuP45fQ9NRq3TbHJtGJThxNj+73eUplcmhLxLIW48Wmm1gb5xbIp
FSfOKd5LroQ3Lz4ya7H6c2byXtowNR7phU1CqvPOxToyYE2zDoXFb0RelNyPCKl00o71pqiPpnJv
xViN8TgP7WMy/QmwFTVgP5Ou2w6jt0sq+EhZv+Ybw4AIcsUdNlVmPdXu8DYjkJVxyj1AshYfUd8i
XPfMQHOLcLDmYGY2fDcwH+x2CbVbxt5Nq6MTp6TjOz8c041R50ciP0xgK/HtVMMptcqLl6mN1Z0I
pAzl35hZMuYFCEg+rhXMRHfya/sG9d9kFF/wzBnVPrW1Q+I5waqbM5L+3VaFwb3BOaVLbHtc5BJ8
3djV+4zQr0gNxtjUq4zJy0gg39frvgNXUNuvumH9BJm+iqezssjkRCAGBiYC8jmNlT+TuGZ2i5ob
D5s25X7siAZ4Rx1hv7QQIEJ721o5k5E3xw02Eedfwunt2snFcYYjg8dtnstdnnS3Kf4IxDuGr4cY
pSXBgT/EJSVLA91MXGxEa5kejGHAkID2XtxE0GwSl5lYsC6DYU0ti0/+XQS7cD5qgnNYH5kvXEMb
1JPh+mHD+ASMZLCejR/awKTJThHnZ8Z7blvpJhSfIvs7C9e3EBcnfLijdh+iYRV18y5z51PN29Q5
WELjZCc0Mi12/Edlyc4sT6H4nikewSZz38CFgQJmLzQpYWG3dPCwHgfJ0afDK3B++rh8cdNsGyfW
gcLH12F1GcOHXkt/RjbTBiyMzEETep4oW5uoTBAX96WJpUcwVUqN6NmKh2+yqvsZ3IonkB29Kt1A
2xzoOFp6GIxcnn4rTffmjuVb4zbHEfhN3olLE86b3iGgn5+HBm8ehKUKY49H9iEZdlYY7kkib6cy
W4+QiSqCo4IASGMkPyMzpLilOB3ErqA31eTNKtNtFJyr6ikqb5nETz8VjHbyB6U6gHsKQsSXcrv1
HH2ajX1O8mGdEDggS76r8okQw3zI6Ea8jm7J6/0gWYpWsTfKee0G3m7EU5EkxikdahqflMSuPCeA
hyIRLoFnMnyWX1RLQET5LcZAbyw3uTDIuOVLf3QzejqzVMZ/MtX5BgQLLWsfEuu1UXhCG3GO5uDQ
F+3dst6nngRnOP+4nfoYEw15jfgBkdI2CVaNhBo3MMFtx6eiKtYK+p2bdUhKMLes19EhEKGk/kdh
R68qshk17MOc2RUCZE5ggml1690DZx0695xPE8f8Dq76KVX5k5003Hh4moD8yFRtRgodffgYOn8S
h7ks/bTauS4zBMfbTm641gJqr5J7Pr5O4Lu0zAE0VO7DAXOf8WLWp8najxxlJt1eYqIUCAYTY4xw
xmwlYbox4NMKmQYR8W1isReC2SlSTem+m1XwqLJ0Tz4eYy5Sq2y3Zse8x+6vwWKCB6zgecw3iVr1
oXi1CnvtohYlwZdW3Yr01enqrR4Ux1iaG6PhmS5rX7cqv6IPU6bxkefOs+4xzRo4v0Lny47oogtq
+NBETUx2A4dugmle9QuHLtwlItqlmrqYBkOQmLY4qdRrKczj0oDa6cXQ78QweezbnakzKguIk04f
0dxuItRbE0mpj3Dfn/MhPnQ9gIGFSFAF7d7AX+8oe1xZ0eDbBdJfUm56ytO2k7tZf3Ej/pltWfek
pMxHTwA1fIB3s8cbjoSBSF2QaJgq43EojHdhIjFgu9mNbb9PFWcGkQYNN3tdfeqTOpYcdw61AQI9
tWm4d5TYjLl1DxcUDwhPFUdbNwJLJRs+0GFPeJpa17sA2l1bA/4hTB3xUE/8s4mJRXKwO+lP/FlZ
KtC6mcvZNgpDC3Jx2ppZi2qgPubEwZ/mPEvb2dsap7PjjfwLPYgtBL2xI1su13lRPg1WgAdHw93M
dxAkdFvqw0zFezgEL1Bm1lEdHTwZPs4uXfxchYQMm4fG6s4pgwmXsVdYZZe6tM+Sg6WJqCYsLJF8
qpMKL5qIDwOakB3MF2m0zwo1kZzOTgccIwK105V86Ipg13QMShv9EIcDkDh16ktmmopqoYk+Ujem
AvoOIIkNCq6xXV+ivL4GTr14de/C5QWLu9UQUgZ0Hx5RJMx+e0sy2HPDbclQbsyclWWaK6d7jEk8
Ftl0meL6aNvqJcqjc203a9kMOxQzxk7pgkvdhBqJlWQ+Z9yVWbevW67B6GZMFRAcGKQk2q1pNzPA
nWrer6H1XYJawTDtnF5tuLkerTzYmW17tsitjflHOCvk+IySJTsIHV+FpzY9A4+cSYwdT1f+9XNr
Jnfp6tcOdGrhWZzzYivV6DezRsGeIF+GRye/1l28UnawzUuornNDn2hi/DQHpgZtFB/MxPkD8+cy
DFSORd/eTdnt5kq7mRVKyWA177rFwTHlOZqfSUJXT/krFC7sB2VEpHHqv8u26jeaWVILG/lvl/Qw
vdMOyd3E4eC6JW4djMxObkY/RtGXR2RCeSRCrD2LZJJPjbNcYRbyPpyji2MghxV4THXnYmja7Gs9
c0wtmr5yA4cMLXlpfDdiCZoK6zVN0odI1JiDPdDqusYIceho7woCk6lWeesyN4gMd/WHa7sL+bNH
8KOc8Mpvr5hwtfYexqVZ/DqBJtakWAieTYyutJH+X1OJc2wZB6VFb67zHvXVnrG8gO92F/iZy9wq
+GON1Xfj2nsj1h5TaqNadUdso/YqbNy3OE6uiHVr1RIhdqKPMJU7xQi8sbW7S/Z7FTgy8dshvk1l
w4CHcKTTpOfB2DnBa9uWfpD/NSqm981GkIQ3wnDTazXAY4/nDuIDZgCronCY4svgzGQQ1Ofy+E4j
WKbCXnIIm4pc8Bhjnsk9P4t/+lHfZGO996a7XlaPMumemupLOfdEjvQRuBuIKTp29Dzz35c91n/3
aFXHKUZcsX+lvhf4Xj21N63PDFRQX3R3HeOutO6NnChbfTX+RjMHMHHcttzpcc+7Oqpq3TVUfvMM
BYbq8zGJ6n2T9/5IjJrKbvrF147Y8jW40XMmL6Z5zATuTWq0AnvmbLSnuWcUnMY+lNenzHv2PHK+
kR+SUJlcB/vkW1XjPq5fivop6MGKvmvKJMqBPTs9pTrBVHA5pVhHE6SAfD2bot8u0MUcbxrOay/7
Mspn3fqG24o5w2RqWN16CcrYMS+tTRqibd7G8ZTSclptujNlvo34+TXrIYg4HvmxpPiQjBjHpmY4
iaEBor8feNZxMd5Yi2xRJxfyUWSA3iYRoUlho8VT0xVqDRXjODgonB7jRAYzueSzC6z1PD7blE44
mAngMYRkTrdr7Hc8p5ux5zGfPp1wO4G/tb/c6mTp8TqptRVrBjCXvAJWZJRxkDMFFU1uEBQb1Tqv
Hvdf2UfnCbGycxA2lMnf51zrbSKmtYEv8Tkc5g36y37MmaIEwb3LsBFwWGepBlUip2jXcIaGEHjz
8xzZx4jMS91jiuL4mmbtIaMvkCSv+5NGEaz051R7D8y3fgn8PEWzjsiLwBGt04zYM3Dyjuz9clpL
KjIDsa+tvqYhf6/xO0isJqL+SAr1gUZ9CpvWXwg4i1UVT1NnP4/W4LfkpYAKfbXJ+Dt6LcEv40Bv
5PNFHgPM1NtsqlHDyuBt6u0/CRf9qjPa34GmzEkF12FuJL6oMZ3bxvCmdD7Ta9vpM4YbEsY4m4AY
XTzaN9VlDzo+57rWjqXblhuNECz+jZWmMNiTqCMlvFo8pHl2hjR5aQvzWUNrGL0FKpNth766tHlx
zfrmHAf9uqNin7QPDcRwlTChexzET8rR3Pc/CRn0bH41Ee8752Il1lNrhZtG19D70TdXyozolJJL
A5JWNgqp6FvHNDQMlHO2Shkp19ndQFLMXRLh/XgQZIF49TbUWFuHyqWnnu+Qb2JUyqkYjzAftl6o
c7vi+CmIdvJ1okfHGh/YQ/qcG8ZWDgGORzpbG0ZCB7mtkta5LlDHqZAmVATQVGbdHfEcHcPewzSV
b6sW9wEvaDTEJ8MU77CQ3kPG1D2BCl2VPpsLTpUb7Qbc/o4C2BKHu4DKtirsJw3XVhEr3pr9QOdS
ZGIXZuIg0A0KHV2vTAaARyFyrXYnrvw+2miV+sw4C4csZ4s1vxdO/FZ41VNQ8yNVdvdaOVwhDA8U
Qzb3jlX2WkZL52F0wTawqnjX0IIuHeQVZinJcy/5HufsvQt0KrP5PnrJGp7IsOmapFhPSWdcYHOI
65DVN7t1X2fNuA5OFe47yEJ+kwwfpBYWo83WzfOfMG9QlWekRI0aN4VJLtTAEAHU0INkacROVohG
xlj+STqvXfU1vbmck5vwxrdsMG+jveAHamOnQf7sssQ3NH28lmP2GLTkW5XhvXZSeI9Obr+YSfad
xKgdAEYahsVM8A0Ws6zl8FIgaHO8yZGcC7J69ydOxmvbkAlrU2ePJZIgsToGJlE8bPcApJnnR2Tq
XrCuniXDplag15s88dOp4IfBrZ3V/c3UxnXIbAwhVVjRWjK2aNo9KW9YMzOHm5YiIhRrrys+mja/
hunXgG7aTvFx9Gih5FMWsxAlG4Jd5JJBYBhSaXa9oozfR2OGl8na1SZaoJtk5BzgcMhmPWHpFlig
PWZunh4eyjLxKz3aydI7NbW45UhgpRreAy/fNt5X0oMXC1pSrcWhzpmkIzkZ+siXoGbhr+sRnNQQ
/M719B2J3TRnlwVV39OiGRULXR4mnjsShTlRtRaRKrtnPdhXDZdPDTq6b/5iQ65STuQs2QxOvY1y
k8kIHl5teJAZuX4VaGfX9M5zA29R4uZLKfzjbR8Hr0kT7WGurwfSEg4PSZsv1AuXXkacFCneHCvB
5LoEqtSaXTqIFQXtf3jqxcPCOB8gWiPANnwaC/3LZjaEy3Dk/shU7Xecx1moGFmQxkTiydjLYTHx
hzfHg80wHtBUY9yzAmVS/hQi3TAs35nZd2V1uyJoP2vvHYrCtmsvKdOecRm/BK+zDTEBnTJjvqPz
1y1Kp2U8lXF4hPG+rCwgJ60eEqfb9ijaIFkpJTH4WeLQcO91EfWGaimyvjMcGzjiN60CkBzxaZfi
gnxf9cG+XyjGBEJ1+JQgj9CCuTlKb60Z2wh/T8xDJqX1ODBmkho2b3715Rgc8kwckQVurnAf6gSD
PMGspJxw9lmHBONdCaNnpshuMbI2kJuJij8w0MQUyXem2gdLXHTmNHPg/XioornBm8nLGmvarm3j
x5jEclK8D1y8o34yuRhCwUTb0E9TNBK5hXNbIQBbrT9l97C8aWz+UGO7qti7ILAjuZ1zVLq7cadg
byHlMQlIw+k0ogfFsJPHCfKNa1LcIKulIPCsbOdR3lMNn/vOPTntrxx/FL1LMXCXQg7HSp+xi8hV
IXc2k4e8X7dafBYG02M2EoW1PBIDetMjCjzToV6hH1k2GOnerY6Yd4QOEeSKYY07j4JYoXYY6+oA
hLNRnwEMssLsnxseP9E2zyEbCyr+fVu/FjCUgpR5eNO/qeXLkd6LiY84mbWJZ/qNUD6MnngIc3ye
XblOArhhXuv3HpMGC6poIPcSbpiLUyTMg41BKNnR7BXrqLalluwDcgg2UrwnB7/v0CKZb8K13k54
HMxgeK5dD04DW1WqNyf8gvbDbOI1Ib3eivWcMHDGOFXzy9SX1osYGoxb6ttw7QLXawY+KaAXlqv7
Dkp4za+F/BNP1kzgINgy8eXXS12ubo1eUYWjPKhp3YJ5aKpt0MN/ET8jBgSpSV86JTUf+FT0CB27
xTzoHAFMGJl1zNHNYZhR1VdPY5FBNe3SeTgOBHCgRiHO1gwmzkQZ/4R1cw6LnsSLAUgpPVSueied
F651XMCzC3pejxjhDUjyFg0EGPXXlHLWEuW+ta1VOONra+TawKWjUDZGuAxzAmTbJLATur+aKX5a
Lbvaln5n4ddVDNEtdYMXjRCigb/a0UnVm/JFi/KPVHabtmYdxmQehPZdkqAlo0PvwXyxNsezhSUE
PC7szoglDR3O8HjaVgoVIkTwjWPraYa0QoK9pTGnYCGMALgHWmtojjcbgV4xdM/65DCIxWVuX9Jp
AZ951T0y+N1Y5HiZOwaJ7cdRe0wmcbGW1CsEKXjc+ATdt6wbCR1+tjnuLM3xVb8PyHYP5W/nPtfD
ndktzriGXBA2ZYg4kTyjCIaL6wEVtYw2QbEf9MfFP9vgWIw7csAfXlGsx6ymYUcsfxCehxyv0OUk
RRWXMY1EKtlREL3yX7X9HxOStxuBJ8V8Iz+kq+H7ob/EAqe6LakFbI9nFjswc/0EXbGpdFzFRbKN
s+gyQAgY49eir7AeUEu7rOpRyED4jU0eUQ9M+4tyn5yOwxA7IWaaCt+Uh87LapWViwmHtUp7zMEl
2mbkcoWcBDAEjhcKCbZ4+bbJSNR+S9Ovxr6afIK4osL2FvASVhAyKEumbzWw5GJZ/yFeCMze5uo7
x4VuVbDNNEK4yW4C3FVhUu7lvNN4S9xtkt0il3cT25FwFUtfokc9+0JIMdKDCKmoi/Sk0ZpNQJSV
O+G4O+rkVMVPxK4FfjnGwntIeD6Rl2aDcbGTnYZBW9OA+qa8W0Gw6tWttfcq+Mn7D9IrMy29NK8c
NPn8GjMIAt6ffUgH1YIlZe3drl8rUGLRzRpuRC/65sbqoVYjuVu/kLHyTK5sfA/cdD3daPbLEhSm
2JG7d3IcOWhQSNFTec/Ua0xAB10VpyWl/9cMj3jad84ZfanMYx/C1UI+kvNF6Cb09Rc4eOGqT/Fc
9wGdBCI3h47gJiMlUGLHq5sH17TWItf5cqTuw7udPmvhTQ+u0WLz+GMRgs9eLA6t3g43TvdiOBuD
z2eiAyUqvc7oGxKTtUAA76lDDOFXmEQ9+56REDUxsDJj2ozaI5mXfUJZJKd4V/PVphYvxQfH5T5L
3sOaCSEQhLJ/o5yzY0IKhHW7q12uDQYhTXdLxk9z+g6mQ29g4d5P0YuncBa32wxzcTbdlrSV0g5x
cEkJ8g+XhDNw3GczcfUVSwuASM3e3VS3JDoZwxeADGO6Gd5bwQtZnl0O30y7pYAzxYOL9uaBMo8O
AltGyFATjFW6GWakhJH2pvyMOu9sY/eL8bsZyBuuthP4ssn1Mxw6tVT4Uby17aeqwJnKVTYzeG8W
g5W2ynFRWjTY06GyduxRW6XMzieK3+IqJqBHYGxs3ICvrScxIxKnm6HalTcn/CHmVGNwprOTWNI4
tgRdM2FWnqKjthzhuCHbZ9nfAnKtZIrgpKG5A+85MLMBkDNsVPLGSg88M878bQ6XyjzNmLv0ErXF
YN3RNojFVnQIPmg6LDRavPEgnSZMqw7AWrHvaK/dwTxM097SXy15nsrnNL2aZAHjjHZgO2U/GO69
6DUbHsv6GrouoJCjMVHqUuKDW5xvnfs5gtZ2KFL0Q1Ydc6PYauOxwPDmvTvTgjgFidYz6PCn7m/X
/+L42hpIxC6Ouoy0KB8V/sjF7JCudD1+NhprY1TNS1+bvq2c8xiDehmM42IZ4Xkosvm9tq2HHMwF
k+e32rBYrKJ/Lmh/U0tOk7uQW9rHMQJYFPD63DI+MBujhE6eHTYZZn4GvsS+1pqm8dafKyPcTBHH
+PukSL50lIBPM9JgiDmubp9S1LcZ0l/Ga1ckpzlf6pQnwxuIjz6OyV2jcl4W8EgafJXFvKIrY34x
Ufx6BdtV+iFL0KLwrDEVyuf3tvzTS4JE8XNBhjGpP1T/1WiHiHmYVTH8sxbUzMPcv2suEQgJUqK8
6NRiQFPxNI++cJpNU5z74m+Owceb7U2t3ry0orV/6+fVpJfXIud5tMhdu48Efxwm0SKB5XDOuZzV
zB4SFmbweU32a5YfRkUAOjvE47013u1Oe4rZS5LhbujMz3zmdud1S/SQlVcIXgnsqKOBgGX+2MOH
wb4m1DG4VQnW7HPefoUhv1zyWlHfXHQb/Jl2IXQaDnujtpk4Qod9jEKJews12H1QGFgTz+Siew91
rpNIpw2gvWL/hSNQIKz2uTJL32TIq7Mpq8UaEU0nY9GUUy7072WxR46hS5WsZ2LvV/Dhup91vIuS
ZwOMc4HmLKxbhdM355NALtuECW4WlA7tRCCbRpP+DMeS470YU7IujGPHfDFbOnDKGhNYu1ll5Cu6
d6aTmyYkjMHvsii89WQ+GZhdMqJDwOqPeoI9kVCCk/7UWXlQVXCGmX5M9Kum/Qrj2jBQtOlOZLFF
2XCCkL/jkVM65jhPhwW1jL4hph5PIaf9tBPzW+VtgzL0a+dxbPHEtFt3PKQGbqZ4K+sEB/9L6L0P
TbXJSs5wflJWIa71sd/FtrdVCwIvxx+rtx+x4axlxGk4DGtbjOijFC3wFRpO0hojdGpnGzt6KN3u
1FO9A6jazTG1i8nC0bJgkgaNgxprLNRKls/grE5huzNcPvUa67hH9psEFmqVl07QuIwD+KfTCJ9P
U63PbIWzdrFx45YgJ4qKljyy/mk9RV9SArLwEIDctSLa5GlPIfFKS68uI/pR2T2VIPkQFw3NWheW
7UO7zFmKFONfKyPPT0hwaUxyK5zHw3xiSrDp3Hq3lD0Zs9GZI9vE+S8ZkthLdIZNNdYvRR+0qIqM
ZvocsOkuZVFQHB+nijNcV2fVpVtDakfXsH2THXHmApeq5IYw9Z6wK/O8GfQ2jrAEh3ynb5tau4CD
8itsBaoLNgE7TGt8mqwjkjLCw4uRqRNn0b7nKAUifonkQUtxNKQcM4gpjfVnIHpnNhXrQS+Fwy/M
IAcNwYppt5xjvyC2OfCVBifeMdU9dRX3+aT/rarhAaI2PkJK5Wh8yiYXSgyRNHD+pzDVfMco1w08
w3B4SHm0zFA7UBkdI/glHFf7QLpHMzgD1N1P4YEwLRMBCaixXZva9KQPYtvm3rrmg6syujQRJoUf
2M7ODqjnvD96Mv7MMToWjpy0YLoXGQ4Ypxl/UJQH2g3IKgMVw9ax9gYBpVzIrsEhZ+gQGp520rqI
sHo5aUcvCeuPlM7vVBducO0dI791SRGzMcEMXmG99X9EUTmwToWjGADwFpcilmsT1OFDNkcpFZfJ
B+OxHJKzsGCSkk6oAZOywH3m5bZOp7+Sk/Oe98T+WzFfIBn9dZ0ZzqprHvqEJ13rWY8Yq2VeH8dR
spKaxkqiSPPsK7ExfHFWZDLw1chvUVhTVGT1ZGG1xa3TzjjO46geMCf3wd3NRbZruwWrlccxp8RQ
FxdHGhFjNhWsO5ZjYuQPouPUVnD1Af3ubMEt6pFg2BpZBIAvXtDPet7U21LXwweB9LoKokoLlgS6
t1FOaO5MMogf7JvMMaCMFhrMGFe3SHO3RZVeS1mBA4czQkS1Kh8Blp8kq4o8hZcotAlkJL9OzLG2
bdzWXpeZ3v9xsxZQq2aE09Uty97CGJA2eyNiroW9moR1GU4h4BsaBrigM24DywgsjPpGuMeHkIGT
apvpNnrTuCPamN2qputOBbHZBy2Ty4yt5MqPm0pcqZ0ITgAO8bU2n7HDFOpYV2l0kfYEhIHccL7V
Fb+rPHbDDbyj8rnKDT4jq8YjnAfWEz8xLL8EXhSxMG8ZsPbm8BiM43IZFrgoSXGwcWnqC8aWcTfb
3yiqTr9yXNMmAQRI2kQlSHBLoMniiKzbMTrGmgAQW4RFeI8txFceC6aM/wdDKw26zcot30itqI2Z
dcFudAvmrZEnrqHJ+oR5MrOb0lqXUUZTehz9vXUxlKZBgwTNzJqtmKuwC1q4qq3XtOBrXHj/GGWV
81YiLHqrxs3iAx9DeBdB6bKt0knJVzguNbwnGqfdTsLTej/0MjRRQMn22VQ62aU+T3Y163UeExTf
/7IbR/+3dS0m6xg8iQ7h6IL//WMdgynJ8iUz+znMMXjPHR7MJm7+Tl13CFnZ7KX11jHwrBCpbNps
mzUKZg/RJ9wkQGsvDrWDaKij2XvcjuUz7MzXEbvbf17s8e/rNEyBuWtZb2HrpqH/43vM8mB2ih5m
ftCiRgSDR8CMU4rN1RgoYdj8l20a/7ayxBKkPw3PEKwSl4b8xxqqYM7C2eUE2uCkUk8p5/AhF8vw
GmPH9j//ZNL85+KO5c8ypJTCsQ1DWv9YWZKLyckIXrLdNuqWBA/56m0xEwfIgV3zIkLOYpdhss30
Zatw3pNoszT2z6go801n0ZyLzl3bsgj/yy/BXHaU/MsOk//9zhyPBwNhnz3e/7pSxJhdd3BSj76w
pkunjmwbbl02OdkUjl2dH6K0d89h6WIKmUnRzg2b+kozdR/Zo9WSG26tz0KzsrdeRtnJriL5VTpj
T0sTg9I2cIULt8n8uJyzj0I2kIgWugh+PsfSe2YA+sCSKLGQk9glZFTABaDhjHKRC9Q+n+rm2E58
/laHwQ6RTL+nAgm2w9CRmQlBWxsLpGszhhyYrD4K3YOTpFlBvAdbSRmRRuPeQZzaFnpa/7DNkKE3
gwfMG//5E/63Z5dbS9iuQ4lj6/wp/3h2JR4M0Tqs38oKiJiM2kH8tLckDUm84gX6LzvKpP7vn9q/
/HHLP/9/i2CM5adJIjRpsPguTKt8gHbHuU6MjPl29cRRT4R9uCUwIwzD5RoyTbzeOaOX//xzY+P7
128FUpAwdcdapku8SI7+jweogDLZVZ0INp2GiXCm80VZ7xbkr9YdpiLag6XHpfs0ygficrupZThM
PQdrhlVcpLW+Y5UCYyZll1OptpcEqdlguia1P2CocSYd3PpBIHImpNVK5fldMa9LZvmExIYUFeoa
B6w6Y9ew5Oc0MJZ6uO3ZPfRldfWrMbGvkvYQ/D0Xz6/lvMjpXJuXIf4BD+O7DdaKYGBsg5ykwWA6
zdY4rsqhZTsGaB/FtRw3WHQhKOSnCsqzUlt3gv38ZlCL1cQmNLKpkfFokLUg9uBQWBSEMeqeXcvJ
LdB7LsYOOAJ/m0Z93ZJHYncGhCq+T7Zm5TTUueu73m5JMCPhSKah4XRmqQ/LS0pNOznYM7ImOZvw
N4uZe7ZnP170k+C04ZKqlq27x8TdhqDlkyehXUb1FsEHny1q06WkRyhImbpO5UMKDqerTzX1nULn
cwxv53hMguT3qL0vsAl2XKD6a3cKl43ZfjsYDBDi/ZRgdUebu0RdI73fqRTDMpbHnognOh+bRv/O
jX4Dhvg4ebRtNYHMYR909polB2Ss1SlDe6WE3cAv+t/BRt68OPKzav+Wvb3tbZ4X/TlHlQZ5QN71
paH+mQuLpdHvBg+PZMPIROzCwhLv6k+2G/lZ80yidK2aa+G9uN42rR5j+Vd5M06Wi4t5Vx07Rmot
Vhed6X0fDJdmujbOrwaXzBBYsfcR1l9R+Y73OeW/mT4hw5qbkHZFcyUEHxtLofIzWO4BdzqkEK9C
yshDMj5fhmHuehJjxPE3/bIMgt4V4KZfoYsjfHjoR7qCYm4wIDKTp6nBD0bRjwk93vUUfsUT/hq2
831aEHGwW21YM3xZ0jD1Z720He5u7H3NhscCugXmGd00WWc8lNfJ+cakPrDYDbxgoO2FKVmjSkK3
LrcNjHEWOW6oABB3cU53uzp9cWYMxLjUnahiYkZd5oWsqmIrazdD05l+8xF/ZJk/dOb7VD9rs7Ee
RsuXIr7YZn9snA8rJEiS7/twcRSyWZfBM9a9onzrWN/bMmexS/k/hJ3HcuNYtkW/CBG48JiKFvSk
SInSBCHKwHuPr38L+SZV2RWZg+qO6KxOGQL3HrP32jNvIGONxFoi1VoUHyx/lbyeVWa8bwJlxeZu
yWh+6pP+cuxq4rf769fxoxKnYgOc0Sz79+Mn7BVf05BRIWvKcJ9ls1IgZD8XA7WvALiWMn/oeLn7
e9zYTChOaLyeelwIkClmRiktQ+gSCCoTv56lFdPMOgrPcibOWq5WCxR4W6sE09lYv7RK7kytyfxW
vhr8CUGSMVg5GArXc3hVgkdIJ+0C+u3NDanF864/6031FFYyKh/66wmK8VIMKbmtOWQVEoll0Fum
RnNLagqTZAb1as3/P+Bl9Ur5rGjVOhz4l+M8X9U0UPqUsq6SDqTe2qJbRthDPWVhMH6A48PSE6EL
+INH539XAnSe+qqREFFePenNYyAdc0pZq8Z7zlDvpubRrshK2gdsOzO8zCyzXdaFpAQACIKkwjBX
mp78SXFg905f/UA4XFc+/rZi3Jl6cU0svu2h/CyTcJ+kzHqB2mpdiSaVvZZqVm9M0oDEfGg6IsRM
3/aVv4tUDv+MvIPM5+kxnyMITPEQX+QoeWqJ5K16iCeeWAS9gnoTb1lNBx1lb9EkrbWbjZvVtOYN
REHMtyCplcxajaQGTDoppbZuZSPe0jZ2aoZLplqREkbr1tJTGJfcqODohnMleTVziywURr/Z+zCA
Q7FeDeXLtVyeZccGJBqmdBDdSso+9OolLqpt0+NgolIz0K0PYJiNiN0fa5yhCk6lTNpxWzCgIXwl
UAC5XJK6dzoNxXO9bEnHAY9bQpFWwTJA9k+5X7JhS6bhTHh34omeYJWuYgE6TUygYeKUmK7E0VWn
sfFzdnBoNqy23JK4yBCug6XVrFif9fKAtnfNNM3iX+i0ifMVzgPzKEOjqs1fTCMLkn1dG4BNncz4
7ogHHjnw61dzeAg+XLm8hUCbh25DcPnCFljBVj6bFwsSf5p85i24c1r+EbM8OPBFMXzZFBkZblFz
/DBhRUuEfsVM3gb9yPct6dsE0zQTROyC5A0N0c4ePkEbR8Mql3nHsEm7GuZCdjY2DqdnFZ6+6p+x
nc7ikLU9lpUuYaOPnyrDdmTiGwB6OF32lf8zkDCjdnziV1NOdhEL/1lH4glZ2sUGmuqTqGCqi6uq
fQfSYbQuIwQBe9Jpw1lhe8j4X6q2KYwOz6mZ0EXlXA/eGhIEMNhWCnDtIzWE3F8ClgYacMz8J9d+
Bl0cA3yhtWscayACnrToURINsTNKzLCpOHL5sws5tIvowZx4LkBQ2G16D4ALj1RDJeAdKll12ksU
88yucCPW1zEOCQIIyHM/tYV6H6Rd5JIhcM3FSnJhWtY733zrB9Qa5cwwPqCOzJIJC919ki6FBr8Y
tgVeTPuMp6bIzqURQ/NemvztI34A5CIDxwjwvqem1GdGWKDHQelMCIbhYt29m/2qicfloOF0HS9j
5hHMEOP8eBu0cl5jQ0DKT++FJqx2Z1KGOwoFfTVMK6GKyZReEFbQL9PqWfoeTBT56lwkqH+Dx4iO
uGfZJawtb930sNTBnQ2CT84v93pxHvJDSI2HNFirmQr3mPtfMcas3XA8S/a4C03s0POyTkmYsHmo
mbwPdrlKQJ74fyldf+v//v/msMTU9tgkx6m/pTcOpYTUrJh88UYqtrCqQEhJRI9rZSQ7f66STes/
vxhjW2HZwtYU7beCXRqsMItGH1ZUqDvEoRy7Vt0Z/TySXnKaawqXUD0rjRNSY0ka9rye6Z6aw0zi
pmBjFaNt5wLG6FaItZlZTkVlAnxfqgt+76+S8iIrDvlVtTLM7NKBOrhWsASmJXPbhyzISB0eNjw/
1DkiTVYgFXCjozOfUELuU+nZmP+Y/XDASxs1cQj6stVdj5YDPpqeHjIMemw1K/67bZ2WgXxKHVKn
8tLjb4JSiaj6IdUHrYpZapN/XKpMY7onvTpKwlyqwcNFLTrJiSIlnU0rEHPSJzTyJh6cmhJEwTeQ
GuJJl5eTqyifxk9MKyf/QzERQHQA/b625OdC29mfOPfa+FESwCj36bwt7XnWnIaMOy6eXAJna9ip
LdTMkYEv/1I8+fUQRYSGSeWyFYzHJ6J1729MtAgdIJ2uYss6SdpdvDBPPkJOC4dvAobAdcSwQl6r
6hemdDNtfDbpzv10nXhveW8vCsgU5rHCvxp0PwZmhIxCVnXfrSTfSiHJy752CzXzkqHD6Qx13ajW
pk/3aMh8dTxgZ6ORfUDQANWosj2xt3IYEitE6BHPRcNoMd4r3TLrz1JvrvPmxUKW6uk9xqM1fs6k
sRamYB9vOihDS6DkVq4D4yCS3qcMHDHCzD1jK+mMoNh1U+Bb43ywqW6ncnmyesFrx+eRNbdfOYOG
xts9gHJh24lmPVeCs1+8RxRusXnIpK2I1o3/rrGLNDMShqx3gNgzTRZOpZsXP73kw4AIIaUvdZ28
OuZ5eeMTmRLSY3qdc2fXW8r1kt+4BYC5Nk4uigeYS6m5s79jNHRZhJ7CX8DowxgGJUjmh2Xix7XV
9JcJ0Ja/Chaio4Z/B/S5FeGZ4tgmfZla276ECnrD4WgT7FD1EiFFtxpwGy25ug6RXOTFJjdQzXUk
h3mUFE3WQ/ORIv1JF7gvez5jw982spjVlecYULiNDjWRCjjAj3+YQYH3usQG/h+qvBKNESkamoRk
Jn5TTEejP6HboiEXgB5w0cYDmR0970t4ZGDB8/aUqM8UbbL3Y0VLnZJTbcHOVhd7fBsRMwgmchgj
LXkuy06KwV/Vv1TtC8KgY2Ao0TUHB9ETm6KnAK2Q8DJqAfduV9VcI4I8hE8AT9Br9H1Ws+IGjEs6
+WhsqxjxPrLirnQCcx1AfpQrlsUkcTEVBAy6slmJyS5nymtb+yhveGPo1tMvcH0zHHrlsPDclYyO
yQ9hy2U03acejJVOAZgSi6bZE+kVYUR+7YvnJG5nvfLWJFDlGm4i4R5LLB8pBjudp1VHNoKA2EM0
p0cfo3zSoDm4KjaUhnsQ4dWy6j4obdrqKIDCs8tIAHbh/ZrCd9LqaqLzpzHM8PIK9EASZAHAaeCi
TffYVZcJcClo4VWs4p7GKqtddg3GhcCYR7q8UvJHaUUgYQT7WBSfhMCBqrj5yVsUnRQbikNkUkfV
ax9wgV6CNcC3hG4UjJOc4AJXdxRfXWvBZXsz00/28tC4sDxG6Bo8sKEFJsmSITeT6bKDS771lGhC
f6Iu+NBysP79loErWpxg1spIpfybSplCPo6fYAlYefVhYG2Zmagn5Y9BPATFlN3so4DUhY3oz2OK
wUThwRWbWIrXZVK8GRorgVFz/L6/u8WvII1b0JeHWFwn7SbSwwXOVeQGzB0H9kYa+g3WooqH9Ugp
0UX8VAq/pLYAY7PMo4MeiSdZ8ODqHa+fNY+gC/HjePJBNVi3lVcfzTgaaDNepd1WAVMcjJjtl770
NngYsLOIijsm3uRrCLeo2gPeOR31x6z3tgV8Y1K5GDP76Qq0KJJ3A+aKk0hEZRyk8ZajzQi0C9gX
F25AVYy0LKrjNwgXAJtDli4Lp2TPPxj+PlZYywewaXNy2Ly3sI/XFF1V8wQ+jrERKxDAoUtd8TZF
riygGI8okwztltMs+aljEQ1T0TOl3X7E7e/Fa7ODvSDAYRzwMDOBxGkCYqZoYYo0kPWsAAnaZ4Lh
OgAqobnsJFx6s/CL7CTowZS3JocV2lFaZdHRqfXAKcOjS9MtschSvM+2rTdBeQ8nQ7LpU4xdtUlo
EH9avrLWEK3EsMpCQdU7wixD/xNRJzNz5J29eNUa0vQsMz7dJJ/pytnU4aF05bKvqPo0e5UOyiQt
4xqaeTZOsYxbDamjYC2mgNGVzWUBw5CEk+ZSIbOUaS7z+rsobj4mksL/Vjx7bY0lm9E3kZAfcZXk
HzDNnXGqozuSpa5p4IgwjKA+RfdCuGDW4TIjlpSSdda6xJo6Aq6K12244lz/q08WbfVsVleCsZEb
7AM+L01Wz42dE778CesYcrwy5/lIw00AM7JkZhBHry2bCB+sfsATYGDIGQgDSYvXtr2p/L5H1ca3
h/sQ3qn3o1nbwP3B+JbEHz763BEpdyO46MKbR2dVo3/nFjEZBkQmbJymo8k6EwuG0PKSZeq1j4F5
JVCcpiITVgGjbC7fDwEnhbpzEbsn0eLIBeQT54eKT0SxGFx6ULGmWmPnZ8xZAjQlAdQiNsmtGjjA
59ZYAp4kOXbKybROSAfNU4+0vkN8b5uLugcTmeBHphcKNWUjgyMno6Ki/qEr1nqx8cNhNhpXG+vr
ZG5TB8aESIEWekImj/SayA123HJq0nkgukWWbwzmd5Hms0/vn8jIZsiO0Q9N5nBpGnlhRbtG/7RD
OF30/Zj7RPRAdFxVRPlm23G4GpTxVX2Q43DZZPWWhZ4z+BaqClybInCKSHq4bcBZ3X10WfulkLJg
oUnQvkpUCyPQg4JH2juVYh9wIfSDw56dBiR9svwSkp5pPbooXzAxWIxff66tf+1p/rHB+FXHa7LO
zsgSrI6E+u9ZuNd7Ik5CvP54lk0krlq7LAdsCy4mpEcZB9LCthBDlg3ZnQratp2wzoyek68kDwUs
yhAohAQYEgw+mz3fdBd/+Qb/a0LOOWYTVy8Thf77iMoIgsRjbso3mAzpAqGpNvPqKOKX22uLWkQY
gnvZFkcRyjRohVWpC4EpD3auj0SlCMEb//k7+q+ZmWbIJkenbQiWYP/+jQVe25pVACMKX5p8EFSN
J1kujJe27RGYdLYGSC0a2uEvvwh1WgX89knpKptwNBemogjzt44rlgJRaQnxM31plc+KD9W3dXtp
lxmECNaubh/dwq5LiJR5twikSJqNdmgAWneVc0SuLdA2nBlmUZvUMxy2etYPSylksmjLFl6rqhxW
raYWqEgp7/0oRMIqWd0x9RUkW5ZWbauu5Yz3I+BptSmRJRCSu5RP+9vpiFC6ETd1qhXvOQopQomL
76owIOL100JuGIaFkifxX7aev+9ypudXxwRIIrXG74UZ5r8/jayhnWMqZs+F746gA+A8+b75MCS9
eg416tu8T+mZqlpbhT10pEgAmEb5xMpLasvbnx8N+78+I03oNstiRTFteWpk/7FZwtlh6aFX2fMR
WOvoqk8GVUlBNaq7REGD4DYKRze6hxSTD2zpTulyiPb1ZvTGI6/iXTTBMgoayNTNsiCTAbnkmih4
5jpnFIdXS06XmjtyIzdvev8sUszbIYpYfVkpUzYR0x76NCI8Z/TL8yYviLb05gX6mEAZliyOsfvh
XCJ5RIgRxKrESAX3D6mXHPQwp6rsGfr+0qyfa4BHEb6UQskXOq1PFp9Ne2512bGNrzULeIThvJE4
fMSlaE7oPjeyu64mtCgTV98+9lgEWraeVJ8hYRYhdqD41KRbkckLEt3a7hRgNemzfNFL1tzIG0d1
tzKb3AA4o2GG+yZzfGOLaYerosko3ZRZL1O2YzgXCiNnLvCLjYm5Vdtdxrb9z5/kbxvJX4/VPz/I
6c//8UFawCnYg6Kowo6vYTUwlRUYSAMjXZSSjQRWrvvLQOU/jhVdA2g5rQMNnRP5319R6wttaAO+
omLJ3T4FBXHTu7jbqlYAfqjKGa15kXb58485PY+/nymc+qZlGDpWzt8P1yGSssHqYns+iIao1sxs
LmFI5SGHdfOXKY715y+l/jbDUSwD4F8V2XMbhJqQiNMVo7wf1fijZmo793RMmGE4fvz5B/zP80Gz
LJnrw1RV5AP//rXKxFNb7HSJX0wVXD8yGB/A7eGiz9N4IWmE6WhdEW5bs6dmICF73lc9zBPVhn0Q
t/Xfjiv7fz9mBbGEIUzbZoPFf/z2/eBJtK16opn23LKipdaU2D5CvwHO/mmiowubBFArNpisrr+r
oSTlwNu1sbEwaNjcVltoHguuhh7ULBn7tNqBGIVJKoUusQnBjLUd+8nUA8VaE9nmYYFO4KHBEhqB
RSSfAu/YqDcwQD4NA3aHqwOk9abErPbTGMWMoEbIMtnK8Ku5nZTLTs7ARWBAZHElMNNK6hW4PSfK
oWQN23H8Vw0NDv53UJ0OJbXdKWySMQUaBZlY1wgTL/GJq1ZQ3NH4oDgLyzvGKij9iGQArMoJhn4f
czjLxgo0ZmqT8qbs23IC/b/KU52nuGuf9OQ+uZvcZFpfkbSFXXgC9elAOslGyNkRh59arrPepEIj
cVCCtGNAU1P7U2D7LDaHpZj6BhtdoU48ExY0jKygb0IIeAwEq9ZdWZq0DCxp0bjf6hSZCksq6fj6
FgaTHnQSGWuyy3UbSvOeJUFevmt+z4HpzwO3d6Rxq7O0VQgja+ujAoRkIUPS0VwTKxJa/pKxMZl+
gDORgOuZNbND312WUbEOXdoVVV144C36IPmSccYp5k5m4SqP5UsWytiukAlYeHknPhnOU8AwwUJ0
IL6GmuF2nZzToj8qYuAjiiY+ZoK+mICU68hmOfhIW3tN9gx2jGRXyf4yiwvy5jp+TPOUyNZzHdcf
MfriIg3mZRsuED37DS4hPmMFT2OdNAe5PtRd7dgGJ5M0b33ek/SOVHCuNFhZE5Ka+FWplrIMBzGP
MYDgZcX2DaOSONpyLfEIRhofUw7ta9IBg5P7y9s+vc3/Ps+mt4uyjCvY1NFV/vvt8sGry7HLh2OF
EhICZagRWprFwo9UnGEDRsw8qLS7KRXBT9z74TUMS9xGSpVXa9Ttk8ejFuX+z9/Vb/Il7hK+KVs1
DNPUNRRTv5/sg+5FuZZJcy+wOqwatQR5Nu/e//xVxFR3/s/P/o8vMx3A/7iyMNWNFIY5H4yB8h8i
bYqkpJSSJlr1mvAvpWxkZ3NQ3Z0hSxbEKjY1chJ7D9sMlL8Io/73XlFUlHK6apuyIhvmb6fu0Ol6
1rR8DgLOCD0lhiuStSrGanUpv/75B1f032VY02+Yi9NWFF3hK+rmpN/7x4+O/W1IUF25c3lSrQfj
cvRvcQlHkreZsaEUsf5qHI08QBzIxVODBkvR32hzNgaHZjJArnCdGlwM6RdKCG0QgamXOFNUqZf2
69wi2RLOmhGB/IPGk0HNdH1saCOrfhD48pMV4GrPdnVwigGhCIxiOex8jzmUyBa+BkAzULbGhLpk
mQ4iZ9CeM7wHlc9GE3J2wXaAN54BybeQ9l1lrwiiY7Jjg3qB3MTkJEJGKmtMZF34Epjs1EmZjyiH
1bOm3H2fLE5gE7bxEzF+rGNsPq18K1y2TWyr7Zj71b1kLOs7VZ3V8qooyk3FlLOQ/bmRoS3IJqoe
bOCdG98MVCtQG2am2LpsAAcM6BIXjJcy0QEfGwJ5DTEVMWvy0NAogHi0nnbwPrnqFX0HRXZXkFCr
4mqJJ8tzDqX1RgMnM+qNGVj7g0BTm9IqwyYJiDGco2IX8kbg3BSyWLYsfmEVwTCuZrFKsZXKi7Sy
HBUrUIgtIPc3sr4Lsm+LOXUCfM5j7l6CD+93ufch4puANFobH11U41x5hTZedPvYKPhoVWbP7FXU
m0EGQ2F0u15c+vonV29W2DGYjcCsi1VOxacPsxT9ixZ+TjjuiO22jb/CTDEyspaoEJqoBhamKUvz
aCXgekmNsciPa9BhqQHuQTwunicRy3JPWV/r0lIFFub2DJ1NloraMrX6NbgKEN0fA8gO/dESejqg
smiUQ5pwgciM5abJ8DLk91qIi+/dA3tfy8iWCgyeWCEZzYIn/RmTk8rHag0wG/vPIj1HpT8FukHu
eldMFRaEQoLsEu0E40qw7KidvmL/O/U+tI4nLOL+XOm6w7zRCCvuBNzQSBVlfmQLzW7dfwzWze3J
4yTsuMVhOXCEYwnU+Q6Ywcyl4cjYHyAlBUb6reBLciea56OWX2Njg9o6N85Be9Shj0TGDAMF0ZWo
N58St+AaeAQIRoZPgQI7fa7EW8+14ZugRT5U42azW0mQd3AHjVAtwxo6cr5gCyeF0BNZq5B9Aw9v
a+ZHmUEVdCDIHwJY76rJFmH7YjJ3t55jTLp4UC1m01qwT6r3Mr9hgiwN/jocLJMbqdJzcpKo7pmr
Wwm2fVJMsp+hWCv6gTgyGRZBMDg9b3pVPtyOVQgkph/fO2Q+awyUcAALQ6AE3ikpXyQd2VOowvvG
dT6Nzvi0NKaM8X0YZc5/AqxJ4otYnlt6z//Mg7ussg98eKG1VilBIdibBBYpscuGkxmGvcvQooX6
3oyfB67tGF9S1702WUb+6hGH79xo2lnWtYtW3VbJEjEos1eXvhAgIREr8UFpis1YXCwcdp29zykg
ij5Z5rimjTsenJT7oOBNS/UNE3yQw9cABI6LoRGZx6ClUAQfmvLuo7NXMkAFLA+m4FyEVGU9OJ2y
VYI9ytZZG9OKwUlj7x4nqObKdaE+MpQHrmTMlBxgawrZR8FANi0pnyt5IesPTT2Yk6c6XLCnjwFw
1DrqWLYsGVlMOQN76ZXkUZ27GReXXr3LGCdN/6VimIrbjbnFamh+IvZ1/hSOwsHoJuTUvIXVyAkC
Jdt9iuofl+emIZc8H188BISTmz/a195OJbUpxk6opuR9rciRka2Dyd+RYbSXPmTDUVkLlK+JiR/r
aGsBojjWO0PLvPhUWHeVbQDFpyeRVC41DEvbJxdfvyoJPksnENomqE4R9sEWrX5T2VsdO4EtlqZC
djOvKwKQjkRQ6a0Nf1QySwvEd3j88/657w+wTADssT0w50Z7giIBJ5BjF9IydNKZIKSgyjB2QLJE
NLrJW4xdAV42dlxaOS7rtnZaGa84SWh9oCEnIBWPFMnmomCOC+VtGD8QVy5wQ31rLN5a/zx23WGU
oW4TuNlMjk3swtrEDJdJ0LMfFY4iqkOm0IgnWRTb0k0Yyq1B2ORTgZoscFzzzhOv+MMMLc+s164l
KPCSxZAvYdhqeYh5Z0bxQ2zpvlRhxPXsvwveuVzfyzXcXgX9FKZu4UdbdcRWIuh0CkzPEVmfWG+C
Mr6KPll3erUhjDrjb6eqeeJjkFvG3RgCPeWlYixiompS6n0z6X0+wJrj1NNS6vYMhvYUBvKkGUQW
eZuBGWFGcqDNn/NB8q1BspuPtsk/TD/Y0kurMXmYLXtTIkorHmo8wZz1avej9jtP/wx6ksfOwqUn
cCyEHrpPOL2yUqHaadzwWFezUmAzRd2Kdt1LdjJtBjojLXG6KphpqI/6OlzY0mda30UNbgKIF31S
S9Edtj9yr5K0hYeIWwiBTIxgzXjYGWuykzQVBgPBUaycLO7KQfqSxKpRcMVfooq0sAB39Zm87nFc
G/lLJI46b6xqoEbcSlNZVFx7+dVEU9l6B31AvBePR9f7crnsVb0CCYX0zq1Oqkhp+ng7QGLJTNRE
Q0IDp4UC5ZyjPupkxxsvnsY9hn65ea2NamEw7MeJzmJYPQ3qcOuge8vvg3etyCnKjfpksgTJlXHj
he8izx3udDR/AB5tAVaSQExfcHJZJW7YXIu2ihvt24x+zk2b7xA+UZ2rc53MzMIGr9VeJeGemoQe
JkWQBPkfUy7g4galjQ6pJQTp2a1K+TQAwotZfwMJAVSZnLQK3eUm5NwoAtTUEnASfLBoZdwPbIkw
Ln5Iki/ZkRpvNaJqK2A5Rzg9qzRiS+xFh/81Yrf9SsQql/zKx7XKsat5b3Z+Bk607BS43BBFfHYx
fsyh4X505ApUGuzVKtjU3i3OIFVwrNAMOom4mmkJny+bhdBvypQFVwkKv5XWeYarljssqqj/otfA
POjsk2twObm5jhQHzaLr3nvtocb7MqMp7riQxCSOWPhU4dEkcATylYqr3mLGpgkDm77G2YXocx7E
dzFsNP8xMQ5Blm4Hda7prSOba1W6d4jgffpswbA3yigHNUgx6aLG3JJT6+JW2yABbpGWa0OBtZFo
I8RQKJFHbx7i1gIMZlL2EpuN/q6lRg3GhR5vbfrkYYAcwAopQVBo9KS4I9v2CHdAjzIU87DlTJFO
mvXZsfgO8CEpKD76BSNefFlQsHL0Wy0OxjcveAukH4lNa5i8DvYxLU56/e2Wt8A7NdMbxX0oKjZU
aBHIIIRA99naTmUf1BE1J25KM5unaJctGIpyvwuDH/YyhXCyYuf2BW+UM3Cw60TGAwkMKH/QO0tc
O6GPu9xxQ3fRYtqNGv0D79xTFHyr+MVx1asrV0nXhJhBi8Ye33trdfhG1b0d6/QceoDQRdi9iKxD
rs9qDYUTQjhUPlyCC69cg5Nk5zyCGvsa87URdc7g1TuFu3ISuVTYP6PJbaREO3KJygSNDLIN/6uJ
b0l8ZYPo5lNi4yno0evrL8zftmkRv0TUGfaEZWrhBBiv3vAcFre0fPbrcxS9D0pGova4iGWKXt1d
opMdcf+yd4MPzWCAVaiQ35NhXLHkopBWFlhRFrXC35V95An8xVhe5Bw4zJGJggCozEA+kLIcmeRk
tA/uaIuR1QNn6AB4wuMo8RvrDZBa7HGB3+1EXG3jypHbNbRP1T67HSE9oyPIky8H62BQnck+qIK4
OkZ+yo966UmWSxiSy/1nbB2U4KP2ecyaK4F6+A8+Wvmj8vNl0UBAgAGiGv5lpCurC0Rcwkbxe9Gt
947MXknmo0aefBE6Z8EyUk5hjqxvnqHTO3AK9OzjqqWAOmevsM+WOsPsU4USxQSdjkf0I8qvqjWT
yAdT54CwTAWhMkwskiQ4PHRw8kzbjFn88IuXyvzCvxTg3dRnkbK1uwN5voX7DBbEE8s+rOeJsQsm
cv4u5KnMx3WHbBRbqh6jernLxk5Brut+xPI2jXbY4niF/JaUweq1MTZ1fR/NC9FB+Dum7CjU9Wr2
FgCild+s9lYVJzBaufkY0uc4OurAjDnYOAulF9B+3Jx685QlJ0W7GgLd/IZXA/MFWgE3Wk2DslHB
672zirVmOTJWxqRfxNqbzzsiXzF2dzBec4K1LoH5KAenQmjj2StChIEyy+qmnrLTCKliBIXWhzrd
xykPKzl+JfYn1u8xsrrSPA8IyZSVy0RRIVB8YmsAWuUZygd93lUvajkvAieH1kgee+e+qs3KLQ6I
UdTuFCGmHU8Vw8QE+7886yCWG9+K+hbH6BZIgQME/c2TrTIMVpENcJTVTK6UdA6vhShq2pxnTFhT
6mFFk7+XSEZN56l2BP2aXfmSCBDz4UmAQygQ+RIRm/N86+yeSW5YaCmZh7AB9xakdw7Yfo9PFw8J
Gu2xPiDJc7nOJ5cBIr9xTZZepxEt9dooa6ZmKVKKDk3fjx8Q/v7B3PGpRH9o2W+Ml9CyvNXuxkso
I8GcrWqkDeFKbbiUnqroxaj35cnM97xIQ76ruM/LjaTwFeZ+RZmyjaoNXbgqEW7ncEBLryE460z6
cruFPh7c8l0e3ujxaIsalZzprdE/oxhw9UMbrU3U39GmQqYznisZCcEDZTuXev/ejc9CvarBZqII
p9s8fh8BvGFK+m54koh1gRcE7IxAU9G+UZsOloMIIG/PVbixxITq5j4kfoLubuniRfHv0WTwcQaq
DlWn8Qfgv0DaNa7d6NVrb1k8LSy3Cvz7Nn4hOSb2uYjXTTkb9GcyOvIaxdVubF7KSXa2tDKUY78U
1XxSANy6+QhEAJe+aqBCutskmbg7jWAgbVnA9p/r2PyJ5vWTuRaNTDNJTIVu+8oL3qHIJH3dM2ZG
A7R+cg6ciYXpAbzhA/Z3hribQARY4ESr0Lp6xbMVLFFCyGKdDyB2FhJan3QjK2cCJzC1QPWEUbEy
FVSRsAiemps2jdEXQ0DaU7RWCKUSERYH4uiNc9KRMMsoKQaRrcws4CycKjF4iX4WUa61+QEpKFi3
Ntm6jLnjBYI8KrqhdIid0K0DqtSBmzAZj+XU2UWvFrA7qBt9/yyPK5qnXJl13VOCI4XpfWDzu725
WbHQxcXO5pRmBnC4uD4r6SrQMRHtPOBR0ibtmAF420r7YrYo2g8JrUptP2r1JUxndrWlaM3stz77
RTRQYsQhpN/ycRHjQWvR7gQJikkAIhwu3YsZ3sqWgoQe84igotCIDYLDTnvQ9lvOctaaUykqS2f6
fMvY58UtS/eqd5Tig4sNzo6+MDTy8i5CILL51Cw8pfKhkE4U6H7wrbkrOz6EHsP2jSddoZfURjgX
HfNJbxdaixD3Ud294tnA5DTnqEcnQ1pX0y6NZmKEjwT8qJW0KPTXlo5uWBCYgFbH03j/WZDOAhYC
ERCibsuEjllfUjoJry8fbeh/y8Uz+5QqeSFWwxomHWlF5h3C7AiC7II3gNKiYx5t8A8PR1FvrGbu
NXT2a78DnZw/YV0BEU0kNR0kqq1VTiQKVR6G32RduK+6x6O00OjesdajO5d3nlipcEToljU0ik8K
EaefpXrI5IGB/IywvPKtAx39VFcnrILkrEJ56eJtb62xpJRMKdE5xZuuWvTlSxp/2dAFaAp6TO1L
395wj7PzmIHENYazpl1ZZKTDnYpSWPhy7yj5yMS2u7WsOoF96+EHKju9+4DDZGSCtFkkJphJ2Qfl
+yTad/SWqKsM5WrY1yEDjbHBGt9K70Lb6cFNy565OZJgHfIDcXeUe7t9qCOEK/hLzTqXjlVw1Itz
kaOZo65c9vinqNXKWUlRZDYzv3kOoJ9YxiZEplTNEnNvlpvc3Fs2439zmyZ3PVoKbjAAoowngQxa
awtAYyMfoShSlGnRRucaH5GVoqQmdo8yu7dPmvFZh5zcJ4swGgtNIro5DZnlop8QkcmjtF86fJFk
UiQrl8ZCu7f9M9ZNpT8PMfy1tQVZBA2SAGZC0F36bunzilFkveLD14qDFNE0d58Zky1q7/4RJ7t4
eBPpRx58BcM7lTi+uWx6eHE9bkoyF5PmGytUrq1d2REVOUGcTvpyKDda8doNc1l5JKxkQixn1QvW
OJRGmeGE1haF6YTOc9ejwCTB9HJYovVF0lKyaWvpdox31yNFb66Od108uxCFBO/LOiCNEam7Lx4u
ZjVjRl4C2yG932B76aV3UiEIMeA7svN7ZWxb42IidfQ/MWVOPAEVosuqFAdTWZI47xob7AMj1hNp
o/OnzWFU50q/ohUpH6UPPW6l6fyC5zBSx/9j70yW40ayLv0qabluVDsmB9D2Zy3ImBhBBmeK5AbG
SZjhGBzj2/Sz9Iv1B1X9VSkqTerad24y0yQSMQDufu895zuXoF3BXXd4KcBlieFWuzeFt4Hxha0N
HMcmUC89poDgbCrobT/HAUage+0dG/NRyQurPQoa+PCtk+iOW53QbotVpsRaVpY3hbsRI0TGJT8w
qbBd71T9YC/RjdwLZvTcLuz940DfJ1crXdi0LbYjWsKggNFnOmcB979sVyUqRtVsG4VqtdrO3Hu5
ROB5KkOUp5eD2A9cxJv3OeKQYHjCr1mM91mwcfqHyD2U3msn7u3x4KmXQWerKBgYyKFt2/bjpcPI
UCT3Sn5lPeDYbve0lYD0TLcdtbUnLqXkaPEo+nrvjsM6hA9ecmYmEH68t4xzK1iyGE6NL9HAieQs
Mu9b/VpEtzEnf2LU6uI2K4DwPmiCBMaNi/AjICnVJuCUOG3XBiTJjdkeWf3hU9DGCav7ltp8ujXk
DrFa5Ow06ROKBqQ+aYcbYHjBcHAIrZwfZ2A7ytl0FrU7zrpKAqvZaZfTxDIT4V7C73FiU4j0e/re
vfWkUvD9cP5TFP+bEHpxuarb05qi2OIbqd0zGneLtasFQQHJwvfI44L2e2iZkKY9otmPPL3BsYjE
gAFwpy/CGdvRrpJnltim+VmoD+N4P2dXAAFz4G1VeoyqN2feFWJG1PbajV9NJuOiPq3M86q+o/6Y
6WRqNPzY4Jbu3hmkk9w/t5NDIVcBNlJrW4wbiRe2vgjIk6xCqutLAmbYFwf3qPH+w6Oszof8GqOo
ZggN4xbHkeDwazU3PmatdDMoXH+rMQMecooVLRs2Bh2ISl3qZB/DEWGYyEjVQMzAfUWd0m4TfBlk
CMXYxi96uWZycpIIaLh7rztGNjvQNox2EhUY+NvxirfkAQqkw9e0j6n7nhRsIatOrMz+4JtPbXQ9
9C/zhKiSQj/vNqq+LoqNgkY3Vl9TBOWesY2wFg80l+GcpU/UDRTCM2av+NCqK7+7iqK9QiEvKJ8d
4qFWtGDt8kHRYV20Ph4QIhj3jkOiDIt59qXm5kdpKw+Nj9+FELNt2q9pccytcxJByqUC5QRU7EW1
xfcdk0U4TES/QdWDHPVcu5Cj90VzF3Avhv7J8mlp7BjojWk6V+ZF130ZovEWDD6WSngJd1CYCK/H
NPWwON5p7tl3Wu7ZMhfwssGoC8E9Zztu0Uta/nGyRdzElxGJM7s9uHJnuB8zLjpu9+gkyvcA5srp
IBFVY3ApD8zym5IV9BXJtUG3l8R5jqkw99HVc+BZBwRlkKQwuNc2MdpqYCxyqqOrCtCyif91B4PN
9YmB3jnqoO2zkpGj4oYkhAnBAbB4DEOAAhiDZP4F5lkH0n2Z3yNHz3rU6vJrohTHU6qGnWGcO059
Wlp7y79ozJ1Lz2/YiPKSBk3FRtmxMpX2AX1W09pPKWoPgRgtxM9RsZnfA70t1C6y3Y01UzBfJtF1
TEeaKDgVHzJIbgaLNFgCWpb+cIbFAXEDSugVwZt+S/bIZsTah5UTNGpPLVVdhZxB+1Xa7XMPpBte
BuesBpI52ieRe9sR1OpVOAbWC/SUPsyQ3uaMwga6opV/IQoq9Y++4+89+dSxpb4vyc5UGBFrcShC
lg02GyBZEQOxMqppG3SrIP4qzPtwPjriMSPl2evxvPjxKkJ8ppJ4bUYdINTbLrk1O4+dk4Il/ehq
+JSROuZdf4xpUTSlv+WWmDPSBeAFezUhjhc2EdT1Vw8w43Q/2ZdNdKPQioX7tH7gthb+S9Tt3aWE
h59LVRy9aordSLLCdRUnbzzTBttW+CVqr4R1M7qPtnXd6Yhx2AwZM10ZLYvlfAnGldC9MnmO6MGF
xmGuedp1BHbTvhiSR11fpAiI9W1mYhP4qr0bTVCdz9RleBnlB42TbxsdY3gw4ew04TqWxJKR+SPU
XdRc5O17HbywRExo6M0wgmfoMIS9p39kz1yw3FRACOw7EhbIZ06mjyp9NczztIHoVFHueMBCXDZ9
2kKXCZV6hf/N/OCgAQVn5Vlf03BXksoI2/kEKDE5GRCq1plzaaKRhOq/G90P1YcvRRtce7a8VdOZ
kPExU8620vvBAtSbs4+IqMXgw2kmCYr+vnAG9rSKr/GtCE14k1UPhBkxzOskQ1yVjRUU52YckZtl
DRwa5TKWBafCqEyp2jh1zUiQjlJLMsHzIeuvfKPHQzyZgdo3fS8PHXUGKgZmzCjcr0TNcx3mNrej
QxR3yWDGpa9unyJApbtFge/V9QehON0eChibmEbcCWXeIWsXZDhpFnde0jPGT6bVmNoOe5fyrvpa
b0Y5HZ2KLml52VpbEd8bDOjKckFvn/pBvnap6L1E7kTOaML9mudvsb9yMAoVKcZCMNA5FUvCoE3c
DkFH60nj2c1plMGXWsmWcBNjERdhZX0dvcPEWmk2wcHufEF9BLMMeqjRuWsiGTqaZJFJs5EZNINh
d0LgS2hNzrv0/S8hAB03DfCCvSVGu+MuXRezsQ14s2AUKL5RdKmNst1XnXB8io4e0nzf1jsdPjBo
K0//BxxKPOweAlnTJW8StrC77q/n9iUwdsGvpOM/Kg7RUtpCmg7UM8f2P0ntir6fa0/UmBZlxq9P
Tf+qjfIWw0CZnifNTBRkZKqdqgz7F8CoH0V+jo0AGCmSEOi17U9SnHpomtidSr6koULcl+rU36RI
jb7UEXkrloqbm6qFZ/RzIczyfr4XAHFVWq5IYDwL9cEnFUyH6BxWYQXTXLiMd8A5IAVpc0JNDDtZ
qC8cKX5+RUv8qG3imtJGkiMDUkbdT0If1n8E9uhiVz4J36Wc9xXpuCIG2OD5B1p20BDcXZaEbzqP
dzKdHmR0HeT9UyQ5FLmGebRFvXIiexOOPTqb6N22XOCikL5LHo6h09e9699USY+TmYfbcSb66WBk
7caDF1u/tsyAslZdjGRYR11OZqmHq8lZtzgVgqhal8ZCiy5OS1e/JTH7etRtY0KhfI+ErnJmrerB
fjBeMyjXTGDBRmHcLSLyZuDfzTCSaczRI1qOSDdaMcjqH3XHZl6E8rXMOPtgqZplsgMgL4FWEm47
j8lbTC3HJ4G7PKYgzXft6DzYCcIRSZxofgV7eWvNC1HcuyorfVnoI6tlE4WwaNIzjAe7th/OOqaN
ynGIcpiyjQdcYU5hoWUWe2V37K3xFi71l7aF8jkH2DYnAjyoSfXcHTyZrkWbvfs1gqa+59CRB/O2
FvmxwMJYE1OfuQqbORZhlwM1hMO2+QitfJWz0ljg4nqG62FwlcKItkj78gSknvbBRfVjiRwk4iar
H+Laew1nisQ8W0mqqIkBaRHuKtN4dsx0R47dXYxCKsyY6AxowofgvGkew+7VY0CGKHwrogtlIMyB
qAg2Y0YcEmIUkwTXEne2AWl121GxYamJv+aFPGADOTVzbzvEb8Ln+BfsiKg7T3BTV+SEGerLnGZv
Sd4wrNkpoz4M5luIDipsxc4qk2uDE3rl9esmONN81137MZG8PSwmR/rbDWgjc9zNiCRb22IwL5EJ
PxZg1e2yO3Wr+0h/GTKP8z5NCgm+khZP0HlPnYcspAKDnTO8Ka3qEX3OoeYmC9DeZgUcSuPx58/c
r5645c//pHXD1zFHbcHaUuKIRFMmJKeNkgHfzy9jLlLJz6uJZZrowm0U6T9YGXqM9XaF92flmW7X
YKTx21XaTBTRdpLUeKIY0xv4O0gQMJz9JJeOno6j+JGU14izjqbL8/OX9KO5wrEZNLnuIih08X18
/867dNRYMNHSsq9H6Sbv0vzJcTFt9zlm5T7yOCGUEDIOaeo0l/Fy2//8BVh/9dljRQIjyPJqI9L/
/hWUUWE1XdF7iDt8Cvt+pCEUO2lzPg3hcGcCg9lR3wcXWbkYGKyF3JtZ3aaTpsGA0RpOncIbkZgF
w6bNzPpCTTJ98aeIr3AK00tnEh33ns4m4MSTi0tvqvr2xO0df1+BUlz//O381btxLc+TArQCDrBP
RqbZULOFJBasnju2azX3mAsjpug/v8pf6FId27V9gXDFsYQvP31onl+lVjABT5RwlRBFe/b9SKG/
CxIFfqOwfajrOl/X2oEPFCDFG9Omu6rtxr3++Sv5q/0RtoTj+tDW8AJ8er+p7tuO28UjNSotroc6
70iULfC2SRFi4Vfdr3bHZfP7/Aj9+YKfHtURd6IfZLO3ylih+Npdd5s75APm4CsuRKhZ0wpqXVEz
U/DQzKI3EdQOBTTUbtFtlmRh0icAoFRVPoClqqWv3xiEobRL4mEr9CpNTL0I7tQ5oFnjoXZm8xfv
4q8+NR91re0sal7L+WSw6sOuBn3LYWVqBgYbAmO6Cx8Oe3eQ71Rqy19c7y9Obbbv+9wxpmc7zmd7
nZHN0tUFJ4o0d6dNbjJ5S3SYrR07nbZ2Sd8tT4RauXaT7v7T+0MC8uTIyClK8jh8OrX14EwC0/F8
SHSZ3IYj5eOgzddU2O5ZEvdvP7/actt/f3MsV5Oo1U1buCyk368lMRDupK64GsrigMTDeSbuoxCn
OZ/Jr9byH590sIqOw4k0sDzMkMuN+qc9g2K195Oq81dNFfo0MlP8plBLmIstSHo9m5qWBlGjtTuJ
m6yEUt5ryVfswFjAHZNtggkDdeU52cN//CFYrD7LDiMFS8SntQG0DPv4yAvrW5hMvR200DfKaot8
0v2F9ebH+9i3+QS4saCWYsD5dDoWBMpELV22lROTH1u5dsLMqlqcIg19zlrav9Lj/3BB3IiW5RCU
47B9Cv+TF6HvCU8abEB8rZEPSFbj2r2wqlRcDVOcPdlN6Pg05ql4mcEaEXpge8R8PyXWPsmznk1O
0FXOg8F/IuObNpTp5jWuQUycv3BmOT88ct63DW15vj2SkdxPj3jZK2BsQ2KvXaWja5EDeIoS1Z7B
jEiha9O261PFWWlEwhMGdOdtp4FZrPLO2nZl56WnU2z0kCYrktUz29kFo68e56RzD8rS6YNnxeUX
N8nlR6lUDvXGEXDgpgF8yKnmQbyp2ANPhSPGw2gP+sYoGFeqrkSUqzqNFsfomMfmHoTVLnP6Q1V1
88FXdXUfx6q7yDuNw7JymysN8vmDY/4crizp0Yb1y5o5nF2InW9oiNZUSNV121UBCoq8fA+npviF
2eOH0g+YJwpFiQkF3B632/ePml0Gdu+ksIXaMCxuqHCsmzCaphtXVmgwGz+7MEbDeP/5Y/Tt5v1u
MfmGEOW784W3WE0+XTVwRZ1oVtS1LuLwSPyQ8aZKOMTrgscPyRXpvBZnYmTRCHFTZYVvduSax5+/
ih9veBfPh4MNl88WJ+6nVcYoXI0gldvIkqFxgePXoltm3FCUxpdTrcz/9IGGcbuU12I5i1EWfrpc
VdUePbLZXDtabeswT/aDTMY1JTnx0Kax/vmbs//ii7WE6UMhdnmwbflp/cgXVDYFrMUYY+yfa90s
tAzTax5dHx12P7QSq5gawwHKp0FT2xv1gNpsmvuO1nNpnZVp0Ly5QckTBlUEqoXskdWVdZWcRmjX
Njipg5tGToWBwjLWl5MNp6lpCsg4PXNcyb6IBDMUm8wskte5IXs0Toec+TbODwA75IKSc7q2Ip/f
4GEBIdFVFTYQwLm/HwcdPKBS09npzz8Xa/mYP916lmRddTiaC4w4n5a5lmBm8C2RXCdzgedK1+BA
eOQm+30gb/zaHAK0evWEVaMpXIataM9oCbZoQoN2YrKo3CGEqRSNBF5jEEesl9evTr+MglSqlra2
QdYjRZrO95Eyi2uzsitSIHXsWCSn4OQ+/PwdfX8b+w5uUcdxXRyx0nFs/FrfP8GGqLvIbzgmRi4T
Y2OuN8Wk9DZrQhqJRjL+YnP+fm/+8XKfDolV3IwdWQEEsBuFd2MWAvlWESZPP39Tf3UVN2A/lZx/
Hd/9dPYFlh94tYH+21A+Wj94NeA8tPeLh+QTqfsfb8bDUIy1kQPHD76vMff9vs8AOVd+3u8ML3nl
2wf3UwAhGVRY74qKp5OrH2neUtm4eAjryCi2TeJ5eCzgD+fcTP/Rwe7bq3KdBRAAxB3CxWeXsxmZ
ZCfUPeoqwoLvZY6J5CRVqLJyj2hFJP2B94td4Psd9Z9XdF14DQJAuuN/+rhHb2jDpnK5IlsfjJb0
mWpwIHiYo0di++E69zp3pQGF/+LmNd1lqf/38+jz7XoLpx5eBrEJktru+9s31d5gslHI9dg3CVMM
gstE3frHynbLNf4lfVqnQbJWU0as3ZST4xOIxjpr6S2B46Ef8pLFIzFYVQWlc44R5JmZbzPJICng
fq7a6mGScnwPXS3OO882Nt44IKGp2JWOQMHQ0TV4cKDl0F3RgdSXevLsg6l7i2ky7Shf0BCKkRNt
iJoajqCxuycmdAE+W9Xu/YjxlZOl5q42ECoVmZUxTKIJRCKnufFNN91YhHBUSC/gl5JKh8Cpp0BK
Pc0IeNYpWs/a4VCHE4aCBSpaDjmUKIHgi2pmgmdkGT34hlU90MtM76EE1Vu3HGZ+TdNU7TExEUQb
tWmc2cXYHWazacZdEPhL7IrbjIKlPPQR6E+hR/DJNF3JutY7DGhpvEtZvEFziaDc9mU1PmaR3e6i
lElUjs0A+J0VOoexbFJ/mwtilpLEYyU0PUAU22wEh5s6ZWgTaSSM8MyZ5ugiD2MkenSqM+DEqfvY
jG92bDVnCOAT4i6shrEqcu3GYvowlF6Bss5qrNMwtdQDaevQfIRnkVxam6iICmvxPasRcNvYFS6j
xnCq0TIrwnZVHwh6YEW+HvwQyQO+jJ6xvRhJe4psGDGM0aOZkM60zg51anNuy5NpowFyE2uaDTug
ot1ZbcX+TZMDuVYRaDLXH91960+wZHVAZG8eLYJAtj06sJge4QEV71XeiefQSklxMTxCd3KVDvAC
Y3frjQT/nsa2SbMyW/Ipqll3l8R4kvMwROA3p7JBHEo6KYPz0ZD4JOvwPspzJhoDZw/NoMlUGmCD
43+xiFfxTtM5Nuut0QbhlyJNrNtkVN4vlppP3Y5vj5+k1AIQEwSASYJPy3nSTX2JhhDjNwLrHsSU
N/FhGalbIfcfNN2xEMOKnFzr6+CEzkMlHY9R0kjOiPLI0/z5sr887J8WA+nLAPqBhxXHtD4dWooM
U07WQPDLIsivfVr01YkLj8WBkTXNexbw+rIBWXI5DB16jjYPEV/+/CV8Azt8/xp84bjSck2Ked8W
nwrdITXcJKqNYF2GPl6HYG8kLLrEciMrLKBCius5G7fZ1KEa9ggWJzYdZnDokQH1jRqg1kGCFi0H
zohArUrhyxJMQiAHEjTI3lIeKozkJOeytJB8wgy5VyRsFkS7z6cezAROpWff3tP/fBv/V/Shrv7x
6tu//xf//6aqqUmiWH/6379fJG+NatVX/V/Lj/3rr33/Q3+/rD7KW918fOiLl+rz3/zuB/n9/7z+
6kW/fPc/mDUTPV13H81089F2uf52EV7p8jf/X//wt49vv+Vuqj7++P3lvUjYd1rdJG/693/+0dn7
H7+bgpANmgR/+o6Xi/zzbxxfCn74rHh9ee2al7/+uY+XVv/xu+F5f/NNwdBNup5nOmyJv/82fPzj
j4K/Ue9T8QMBXWz6v/9WqkbHf/wu/uZ7y44V8JMc0ylm2FdbSrxvf8bRMjAF/zD/oIoPzN//+2P4
7gv79xf4W9kVVyrBV/7H7+63B/Hft6XrgrtaWi+8QGnS85GfHtRhZguNfPxms9OitvGxws2dZRFt
zcZiGPHLaIrptIvsitHPfAR+Spa3JtlXWAuqOkTISK6yxfhbsE+B7j0mQwqVe56enbBt93Ma2mdN
i13QBdjvQNdZ8GalShn2Iz2ViRmtmlo/i8rOuXNTZC+pOBqoT09Z+m7tib8AJq8i2KBEeRoZ7Kx+
0GGqIegAtGByFGOFsjBGAUrKa7dWtlWwBFdYvGbK62IJ2/a0+JopejyFF6EujNWRhn9zngWC3YYk
0EMwh9PF3MXyTA6+e2kTp8x5LD1zyf441S5a47CDojejbcqsRK89ewSQUREIPNvWLbb+azJYzoug
P0zQckisn+54Omne4deGgQJPD5UvTRLzRPQSe4/khOcWqFCtDtFirLznNLQunAa4UCLaZtcLOW9J
1borHfd1moqnockf7ch4iytHgkMGuGwUeESnrBanPtbVRM8SA518HzMkhK2D/yXxrIckQmTb2pVk
DGdNoDRVsbUL/LB1T4s10MVNJYC+kmdOL9+D9xcn73VUnifQ6XghV3Zl7pSG+On7zNcNk0l3AkfK
1R7nRTN7D0nlGozgJhsx5TlpePQlFsiMbvsqGSXNWQNRgD+RgmFlwYQcbKLX3YhnPc/XkoM+kgT/
mmlWhnymo5B0jd1QEa4+qIQQR7P9yoBhB5E8Z8qJRjqQ4K4ZPNSE8kZqE2ICRUDUbO3BebKoP0+z
yNi2edKjUfPuiYY+46GCIGl/ga23NnrvwzfHFQA/1lm67soxrY3bo7lteuvZHyecmwPfR9NDxp6Z
s4XWCPoXhNOc3c/jiBA7sQi2yHdxxa+wohSJXL6dydmoKsIgMeJv+wo3o11XmLrt8FovZ5Mynr7W
Y3mmGeyCgk1WYtQfk0R3KwhqLMvnrPDPQOXsw5QEh4Qs4AwGc03gr2GEF02P8hu31a3p0/S1hvZg
OeUWIjVeT3TVhTdf1iaGYttpaUspgFJOvJlHvFNFk/Rbia3GGHCXRX2xAwq9r0d/7w3Ve2dMB4xc
S/rGcF4k6qqy/N2QAHAL4vM+bVHQ+VcCOTXpIuNJ6tlb0Zp7c8IqMHUqWs8GwQNZodBHxji3TH/l
In3TwaTWkLVQveaHQjB4HKPh0et5UhIxPpJ7w5m7RU+RRtlD5XpHI0VlP7UBoNUQtyYTYvTRCjh/
4+BWCkETc/5CUuEC1dtpyS9jSXsoJzg3g4b+S9D4wVrUwUL272Ummks++/LOaYCOEp0BUbHjBC6H
DEmLPUGAdcau2xq+m69JskCqoRQyLy5GfNi80BDE3N5TrSO09myky0D1zizHnciuxQachTFYTm7c
h5no4xVg+9e+KLu1jkEkoz8JEAtl42bIOfNEM2ilvuVIX2roB9OQ303IBE65Ud2FyR6epvV01+fi
vDEx21p8COtUte1ZThd25Vck0DrK/+Ax4nfZeCUVs+MTFbrzfS4bezsVXra1E5jAZQkZ1O5wtXbj
GKGbVcxLrDq6mXWG+NxE0F9MnX3UeSdRqIXqiylGSA5UbseW8e3RDsY8Op1rBJ2T1brrvAFz54Wq
u2tr6BSJiLZ+z4IeDTGzu2ltF/nDgDZXG/51RDinbzRvFYtD7OmdjZWnbts3QHqAfdP4wY2qgzfp
Y2Amt02KeaB0iXDFdO4bhM5a0wj2DAyfNp4HWhlF2p5NyKwrhYM2C/aAuc7NqdgEbUySrL0pI3Pl
Svsoiva9l9VFaEQ78H/TyRL64Ndyp2uTszgllEX3uMsH1jDKgrZ3bkQ/RSvbmjn+M72hRjjPOudm
Dq091SKuKkkV4mJr7Av8kbKk2KgE9UqhTPukYoixNhJo2mHEq67couPYb3w1k47pZqDOvK55rX1M
6Mw40lVl1uJJl22G9YOo5FJ022EaFaMEIiiLCBg1+N8YtX5vY2VTV7Qr3lurffUMvScnz+Xb9G8M
F98V3LOzzs9gozZTgtQNvUgvBWacpIQXkDQbJ54vwDsVgEkwAA4V5p1gTs7biUrKoQFqhOjL06i5
RcyO1cl+CCbOkfSBGWY30WtSUhwYqbMjQyQ540zqnHSD6QOfIATSKR+pMrd2DestXJglvdeXOzF1
L2pGc8aSiMtZ3nXQQ+NKXbgzdKOkwcGRI1wNugGnOvv3Jh1JFC+xzK0mqk2q3v5JV6OzSoBrnjgq
IVgzKr46TGHJUhYImNFKzQO+3dLObirC5edyepc2se+6knw2cUCoDJCXqLawEGXmrZrVA8AaRKz2
kHGDsc6mhXgytPDXfT0553WYvneD+CKpBlHxZe+DOTyPM+0YVARXbjfcEcm3GFT8fBXZ5BuRGUAa
rbziynu/DAgRnBu4fyzrquk2vk0Mr4MaptIOuOyOOz4usZGaDHAM3EstknPVXiULuoWKa8K0YsEp
Iz5gE6rswdcosFElEqv7jS0Q5S+zo5ZtAFX2WN8ROkm2We9WZ+xNJKe0ZrLKoSM4Nfq9OnaISu51
vkUUQzywTaRDYfJfftUg0UEHeKA4hxQR82RQTjvMKjIMS9lr7hIDPPoNmcB1yNDd3FgxxHxjTDyi
5ye9L8OQQJpGY3ewKw6Ebkl9W0d4kbrnyKy9Q2tj2x4tH9GpEzkxiSDD01SI10SO1FMdiSFyafZm
8t6OUNNYVcuNLmdUTKgRU6s5iCD/0jThhq0QXeIIIiLy03VD0kk4DzQfIo1MPRX9hVc7C+8kw703
Rhsl7X90pv5/6fK7yUmBkcDPa5fbl1Kr31akaZWR+u3947dctb/dtf/nf7/FSf7SflfS/Pv3/XdN
4/+N0Q4SBgppKVzqhz/XNIxyLUuagWSoLxby2L+qGmFJJCP8Q3FFIUzO27/KGkP8TQa+RLNGZzLg
pxnk/Ed1jVza0/+ua7iQI3gKrUDSAOQ/nOXP/zTrddo6UWmsxaowgvfU18+JwOIZEbvju3ixUr9+
wwH2hKa02LoLgGacQVAUnXi0CudLmrgELeHV3w8g9GAhIy0rgwjGPE4Jo8BCiIf6xbKiG5/M6K2V
Em5keuk6LokU8EnJ5gZuClAnUp/02ozXnkr8cyJ6sFyVXrTOnfiW5yV/HnK8IH08jzuhY7ygGmdf
WQb3uWOTJJJFD41VSfhkENtpbCFPUSy3EPngOczXjBemk07CTYDv+xbbRN5PDTLy2MSSn6UgTCjq
H/J0QVKPrrtqDBOmJafB80nhYJ+mGXZhdtuz8m7smSwbXSeM31NCbEqJdB6P/sZkOkzTn7CNsARS
kuOxyTRmA7QsSJCr65Gho10xjbGsi5YGCCmwzkxKXnhfJ7hoe9FctA49ZtdBi2nkHN1Fh3II4uRt
Y2cXEbpKYquycyNLr7Se8AOr7FqyGGB4pEjqrNnAWgUkxhztR+hxd5qp664RkzwbSWbdWGWDfaOL
jnnENuozcYxS8jeXxFosw5g4S6scnhOPM3/Rgp6we7yIloOKmD4N4BX47Q58pat0NF8Kl/U6SPJ8
A0jjuhqarZwRRQ6D+aiTaJvFHBKTZnJOeQKohPU6H+cHSw1rp7H2wQxHuBP9OVa6axmOhJiV9kgM
KcW0m0XwVVp1p2pgXHwhx6kpjVWhnfXgpldR4VPKud6VazExSwRyaIDoalJ830V7Lip1dAbvoGUP
grHvMBj3yCENz721RH2kLYQr0utvPE5f3Gzragp3ZkYzundnuh99eJUjqEHt7r61+fAA660irwAd
YF1Ya1HoLyUqIxgMLRnsxXA+ZM3exGsL0ex6SquHIDWerdjGMlLfimG4ixVOabaZPUN7KGRj+gRT
lI7wFD92LRZQ6dVvUeOPa27arZ+O79lAfBx5Hkjm2vCu8HDMkLoxECwCIarwyH9ARk7mcQI5y6y+
BBwu3RBfc8rTcMKO8NHETbNRjv+kG9gwgXdeOHhMYRXkp6ON8C0qC33oW2sxnZJ1bU7VCkHH+1Aa
106aPzY20kox4JXH5oriu406sLrJRxAmt33mrkJreDfpt5n1sOsA2gPqgeAWjGhXbWKeDBd0EWuD
HMqnykjeogSeQ+GptTfKS6fX+Id4HZh+g/52qJf7KeTt1sGub7znSE+QC5QFLCBF8ES+DImsTZJe
MgMfTsZWrmuVXwRTcaBtcZmb811qYESp5GLvyDAtuEFxUeSYWAzvjK4IiGKoEgp6MK2dTWD43My0
9wyHFGXDxrnZ4nqNdnlKWnw6CZz73i4yvKs4wdIz1fsoL18CpS8mSVQ6LIzFkpXT3y8OC46un7AZ
8Tqgtp/nDSkCtYAdpJ+9ZAFL4xsYecCFQ4CBOcqtcMLrOOf47VtbFLO4G03xYMYORv9+N3vWTWWh
5O1KqAPjIQevnCQGs1rsTfSq47R45k70qeQ1MA7TPBnLAM6Eg1IWh5JPWsBQPlcxAE+iHbq+3rlF
v8/AFlkdCeXpdC31yCDYP6vFg5I39BHs5oV79iK0wZ3N7iZKo6OEmw2bRR88OiuyzS904xIyP32Z
0uxcmVgAWouvNtdVCKC6fM1o0AE06A+4jHdjaxx6Z1w6R5feBFossNM9AmnvTQfe0cR2OXh4jXDo
Y6Id8F4vbqQAjJgTH8e53FsJkXlmgiuih7aXwRpoCb1saKjt24S8Em4DGEqTj9hJCJB5PJt1wTiQ
R9y6SJxhZzkOEFNDktu1uBytILlJfdeDPJXcTbVDgCIgFIa4xwjQJTafrUrllZpBwDnMSjalAU8x
HqbXuSTROsjK1djXJEMMnONFeC/SloInKd+YGHzxY/zDVqGCtY7EdTzEQGd6dajIvsiFu6+kJuEt
UfVprav3qOguZTEeyQbABMHT0A4NEl9d4KgmM8pPgkOXU27WLSgv7pQV6vYzf5CAuNRBFOZzYpBH
ZNU736xvDCIVl2n43Uw5dzqwt54WI765zrkX2fycTfaNzIggcTvzochhAE3Mc+rEIBjPcaIzopum
M51XzjVbXDFyXJyr4WR20qcq0O95rve2C7UgNWJif1Cnii7ccVewA03/l70zS27dWrP0VHICcG30
G49FsBMlkZKo/gWhFn2PjW5WNYaaWH04aV8f25np8mNlVMS9ETd8raNDEgT+vf61vmXeFhms9Aq7
PEeVdcG/grt+3DuWcaPRFd+O2W5y8q82gW4XNfBSiuJqRIDpuvF+qCnZCl3rpqQChS6u26QAQhmX
y+eqUwc4T9M+drjaWjTHXcPaCA5cecXe9+h2SbmaZXWV8RXOreSekuqblDwMCBE2UfTdlEwJzqas
hxmCfXyZxNUa1s2ZU+dtTRdtFMi7MFQ8SWzidUE0ftBJlG5Y10U7jT1bWTXpup3luZ7zC5NAnln0
zj4cwZFYNDSD3tRvBStMcvTRtHObDBe1iUIzCbAgLM2JjksHnrEDmtCaQ6Qse6LZg661OVygYln1
SADjXC2AHD0+poUDqqHXHjVPAgVR4W2dhwRwk7dJuadMK97rlsKvstdO6Ww8x15f7WS+XJsNJUUh
OH3Ori0FFWNIQivh7Pmv8ux/NO//v7aE8MQCyv0vdxD/c1Zv08/T+r9+5vdZ3TLYL3AqMMmm4Pr7
eVZ3HdjbZFZMFlI/VgO/zuqa8Ytts71j+aCzr6IRFXfIrxsIzfyF2Z2VnmSl6OJNJdbzDzYQxJD+
PKnbBvsPINCuzs6DVcQfJ/U20WqcUr1cJ8Z3PniI+tKlpa4iUE6LROEHHUVDrUfmo4gcJEcPyzlL
C+qLXO8iLymLcRUpmLC+zSr1kMziqdNychs2IV2QxMml7lbetuZowvZs2lrAOdh1u91T2NEJbqSK
O76WFmfCcE8RLs9VooGGsINpCQw1zjnWLHmNYZnm3nYijG4QNleQowzleReul+brfs7CrZ0W022R
9reNqmGr8lhfqQYCzhC14abSmGdau93VWnbVpHaxSzkz7xojbFaNhMoXDdySbANdqhsFtYzji1Oj
8Um3IcfsjS/zXJHOVKADSxSzjcexZa3Inl/Klhh8WpKkbgT2tqGul7VqjuBvzy9S4Qmoc8DaoQwK
4B5tT3C3xfY62cRnvQC8++AGz0Nufwn0RvzprV/SnFMsLTAF7Yo7zQS9qYa2frBjDVR23D9oaOcf
gxbgG/dUhRGsrfZdBsvbs0Lybsr5SjOJAtwET5ENttSpl3ixam5nLB+UEZIsZzkidpWgIKbv889x
8BZpS2a7xuJRvfxsC2nLXTR1QkUPqdMNp9qERz5QNgMtXHfWLcm1Wy0had5k2VeS0DAWJjUMjDFk
T2BD423ZgmCK09zrSXJWKqpyW4eWDoY8ZXhswqcwCkdsx/NX7mThoxFaPYTmaEQHTklXeyI7NF1u
P9D5B589bKHw6lP9HA18ZjMR01qHc8vq5Dl2qumjHKxwkzIfg/HpMXZJwkpFGcK7FXSNATsswf8U
1LhlXJHc2LU1Rgq51VtAytUQNFu9Jh1polatKwY3WGbwWHEa3wqMUUcghuS71ZXr0d5lG6+d1LlT
W0QFasKdmTCqT55HsOaL6mVM0/AJBhkF1wFHJS11IFpE1kjTLzKeclJ6wlpJK24a7L3JKz/KBGBz
BwPlXJetc8pqD1SSNL6VrQfbmJUCiBKgkdNok4dNO/q0ndRC2c7Cncbpay3m5BnLWgVoNz1FTc0Y
2fA66/TglbABySNtZzu29nNYlZjZKNKFw655ZMOor1XnqOynJ4nmChYovUpHm3eqAqJVi3Eixkqx
d983nP9s6GkWAxdBYf1kRsUz3S9nORUPVDadoxFIWV6CsbSUl+9kMzh+MQxcUbXydqls73A3DX7f
SR5KrXmITPEezeqQzhrU+ZjakCZd+E14P0iUGyShloN0EzowClgh5411qyIUYSN2x00QSJagAeJU
DuiqrqfmXi+8CN4lLKPYta/0CjpP1+f1oQlJs5UUz8Zp/sQ2kQhevnxOIUudFh/UA2IsFBQHoLCe
A5WdGFY2mhFe5Bmdr1rkVggY4F2lvWzxdQ1CB79bF/ORaTajS1wQZTZREsukZeuv2ykd88jk6Vh8
6i0HeVzgPOFnfYV7tLtSbCA4M/Ei2eG+SoBYbdMyEJQ4m/gNFI1Y4sko6UeWLvWrKnDuiRnYJ0VH
ZZfgN4o88cz4QqZWh3gwy8WYGE/W2kwRpjPPeTa7BJhH9xWGYX+QUfrceXTLu2YBprWZH3qtfh17
/as24m8xQL8JU7fcxhQjUDoFTSbJdFa4Xe5d9nPwnrlI4X3EIK/G8AY7z1Wrc7ACQnE3Z+VFNgjt
aHBOfixrUFsKriVoFH0/xkW1hiBY+ZEmFbYjAphDWZiI6Wj8XRT0DNvljOs0qsetrkSLsZITAlUI
/bZLjIqzN9ArwyugACE99IF37kbW3YHrvBArBmcwXg1BdVCpmleBNUOaWn7ZuFQBDK53pYOwslmJ
rlxzINvbPA+lttMGFjRNWN+UjSlWSdWwKgG5npiUG3Dwulbc0rgbN5+jG50GqwXNwmIPWo4GagYs
RGOoN2fkK2xFl1nzJDgcO0I7Bc30OkxAkRCpHq05pnTChJEr0J+uRnall47Z0+mWTJddb7K5IM+n
OqX7lVlC+SPR7kQa9CxJZ53NShmwVjNw9bF6sNnP+WlufHYBjqOG9SLrPnFR97Z9wL8D5znuDhwf
01Xaz8CDk4RXzDKwPFDb8jFYw6OoJ3ARHnpEMSNO4xb2FjEH8V6n8JcsAkUTMGo6sLArMaGW2Hpm
+/kc1awXp/q6wwA6uvpEq0JLr0ZdcyzQWtTj4K7x2sd6Is0d56CH7NF8awoF0z6vOB1Mc3Pp4Qdb
YU5vfdKZ3cYSqt26emi8hj3M0nm2bpHiqSKiiAS/X9tt6qT/1PrwNhnyxu/t7DrwYCPSJdhCsaXn
th48uptcVs2VtzBjde3RtMb7WGRn/Gke+zK6pnqnYFM+d94Jf+JnT+A6dACFmPn0lhrE3wYJ2CtR
2p51+9qT9bmyFDyg6p4F3V1MjVVQxs9WWD8VQn7OpqchgOg1ZKdUrD1t4rUl4sMk6rvKRX0Xjo21
9ryK4DpGYyLO9hZDCeByXh7J4WLcWvOCEWRjSesJmUWdBQm8EJqss6o+hxnV017oAs2KL+c04kE/
xc+9R9Fmm3I2diMt2OQjGmZFnhDNj3/DitiGOXKwgAjDuCz4DIAvVDexHK+sGpeIodRtK4czQEuQ
Byn+kHDC6ITi+Kja6E2XFgADVX2wX2eLVdbPrtMfZldzKGTCF5mZ3i075Ldh+Sp6+X7O+YqRjN67
WXvTqeku9MTAGjzliKVRxmrbp1Lmu7CLL/Uq3cZ1+shK/MlqZLBNM7bBUjxbyQhEaR7vm7Y8JFl5
qgV9xaqzv1LyhCuzWrBB1KEALu+elVAvkbC7TWfBzVVSf4ttFuBh1Z88o7/TW5iFdg5lI5haWsYc
a29PQHJlZb20CTHaNO0/WihDaDEuUmxbvbfcE2F9Y1fRpxImOvsvHqYSmE1rleuwFh+B250bUX4R
+klgNNv0gvcnOxSbqbPyVVIHNXWi7Fs003iykoqlXByt/7+XC+j64uX6dYHBEeZ//HZQ+YuZa1mI
vP3bJvsq/ujn+v1nfz1QSfGLjjOLHQYBD52o/7/OU1L/ReisRPAds96gwopf+Nt5Sv/FwYC4RPJJ
oOkugajfz1OctfgZkz8ULxhbC9Ypv/01/y8cXWRK/3yesowfBeGmg2kfv+GfjIahrEs08sFb0ywA
uTeCGDuAWNFoNLN4ubQs5s8TMiiRU8p0opwTlsNZx3AWGTkx53XWNuZ1xSul/0mQPaqDheYKCsiJ
EC5MuMCJNx+UNQY+y8QQzCtSxIivYst6n86B1i0fcsNm1M+pRSzYZPhpzw4+0+37cEq+6Lc2Tr1Z
v6SzfOlb0FVDW4QwATwKbLG02PFg+p7DPXLhKiZIb1strzSIekvfa54cwR+Wfjd7D1GiX7p9x5IR
8i7zwwzjPgQO4tgfg3Du4plbBVGkhyHO0bPYUG5NvYV3Mcb3XmJvy8IAOifgty48JiNe15HcWcV4
p1n6ex16n0rFJ6OovBPOEPzjJgihtsKDG0p828JzUsYuojCxgwzoVIHaNIY4zSO74K53lpa5iioP
Rg68ZMaFUziYP5mr47T5NMeCe6JWJau+jaMrsjJia/G4JOhPj4LWSQOzVkN3th7yQMSuq1prA/wf
srYzsHcexTW9dGA9u3vV0zwRwxGZDFJemH0fixysj5WUV6mO88oeOk5lLaBUlYqj0I0XS0Y3SFfa
Rlhld2ys4CMroPjUvLUahlTY1nx2NQBUOlrCLau03RRGxy6pTyMjxNbqh6fBaR/LxlJ+4mncQSMF
TtwM7qLMvKss88kqsAHZjX7PaeOO4szbtipb+HQ4z/QK45l0vrUQFhlbKcD3NBFkUNx5bIGg0ecx
/xaj/sDJbX6dsFsg+c0j10c0V69dmtM1oCJj27v2IWDPBI0XtI2KOZ+haXu+50Vir9NVXGoEvxKH
9XhhqgC4pxVe1wPsVsep2AY2F8LFfO46QMhNc+1U6iyZ0ibBPFPZ0WEocyq43eteUFKiaJbRxmHe
OrH5wMHvLrGBayR6TrV9/cRhg1Wbcl4LCj6SaH4KRuvZhP3DKZbxqoZcVPHIjRvggwN92pjrnK7a
E3jfk7/YNwjr0wITbuRtk1Q8QjH6T0zINNEZ7zRm35ST/aIn5okTQuJLKoJZlCR3UUA7ma5Tcetd
zdI8YtO4dICQl05/zNz+uSVsupYRNYpGifuh2cDsp0mnhudLd7belMrvI7YrOM12tGRBQe3UYWzT
YzVN6T25RPMxnLzxR3sW73db93C3wi2Vu8+24TbNpnUlPCrNbqZ92AGKTOw2QyBn3BwMOm1H1BI2
lNsYI5SfdUCL41I/Ty1fZdooP5jbfa5W/HGOS8u54S3mKXUqGPERETvr6PVOcqxzvJwcdefqnIwD
mBLBFccAKa9Zze1HK/2WCSYYjyIwLYivshJicyw9aJIJGFoVxAE0DycArO7eSMdS0EGM7GRwnyHb
Me0aabzyuawx6HKtiB2bxE0l5E3hZRqtuOM7p0bw2UH+YrXdTVxbQMvwuF24tTx2FgrO9EViYk3+
0lwPDSC73j3OtjjGGc3vqHJsU/GymSWmEE2/jNLg6OF3XxEGOddacmqBPY5G9SrZ09/kemKnF1HQ
UOMg2jfNETX7ia6KtqQg7lChn4phAYzMlAKRda98khosibNwvCA7Pb1ObosYFsXTlZtE6qlIq32E
sH1BL16zCfKArVXCwNx4kPT6fhuWOcq3hM9nONZaSOrIiGmC7QsQz0XcWijKY9x125+eq78+sH62
HP/Ij/9xM2/wgHKJIbGV/ytRI+ikzHs6GNfA/9bCN3yimGsaWu69XbnWLvzC/zsi0F8lRlJ5wsUO
gMZo2H8J049dw/ZR8iuBh68o2NvXfulTF7B1thSA7P7mBS4P2J9eIDVc7hLIJB3pCoJzOLT/YD0I
cjcQwex4a3HIbrhN7PJdv5p346G+yLfJdXz+9fX9txa3/91hbzI+/edDmf/2v//XW/OzvP37T/2u
bwMpoGiWqctc3vU/6NvchmwSfQggNlE8hOff5jHjF9A1YgFieYs2TpL153mMWKtDSpCsOuYRNO5/
NI9Zf0yi4UQhu+UIx5b8WYZhO3+6HOY5NdVkgUgdhrTYBW5LK5FdwMBDtioNk6d1vOWSWZcdTxIt
PFHUl/l1jdwAdnO5KaOAVYsWFlpBT8YHfQyGFwG6ioY2Q05PQY50FwboaUaavZXxeCMWpU0smptA
fIukoGvSnNLDgDCHJXmPRHhSA08aEdIk6dE1mTTRtCoHfsxYxL1kkflwDoRr1oYAEToO/8rgSEVU
4HvEoYj1Falw1I3+bMVWfFOJtvroRrwai7SIx10nNIf/gyGl2DVzFOwCnHb7hhz8LpSdDYsdtLzj
pglW7FntzIQllGzrcx+S743qLL1vRvPbKPNhXeoZYOyqbzjdl/06sgL47lg4YcQit06h8RKkzIAl
5Xe3s7uEwWYgl+HARqsvOaMxHAWULLTTwaAliwdIrJODp5xnxOWqlRG4HEXOYfBmMgYUTkaxJa8i
BzijY7Y8I4OpxL4+0nDVaRzrwrbgNr9ILBWSEedMHIlQfk4aFBPf1NH0kWpMakEQYDKrYywpY3Gf
94CAJkdqFzlYFkosu2cjjK6nAvlPtN1wiN3qtU0FhBzCCOwg0KehkA4UOB+UQF1hk1+vZhu2axH2
70XHmZrtDgsMQnuWMd/okdn6KLYvoWesRcUHndmXzeLpbiFOjfmNUOpblu5nakb1yhzxw2TlQ5Sp
eleSSrwQXdF/2DpHVQ2TyoH3Z9i59XDW+4XG4ZS4/nvDuC8jHUwzzspdV8FYJXW4oF+j9CEvk+8R
i+0Rgfsz0ms0VkenfrzWKcYAo3DgSQ6W0jEve5U0qHp2DaM0LMjM6fbetfJzVHXexZi38c4oXRxF
VCdyiBYmC6H5k+GW0LQoKT2pQ7bIA9yTcqJeOuesw6alK9dNwXjgwL4WEw4nJzxEkUa3SbhX04hh
AYB7UNpQGOLj5Gk7x9WuzADEspKPCYAupJR7cpTvU1w9WUZ6zigoESPmHfyypzIZ76owObcVjnIN
3dQ320bH4WP1nNfp+rK4pmzKR/LOmW9cM2btYgGwH7BbAl2zH/JJX5w9s3eDj5z+MCcJWhxCDD2+
onL6Iu/6bWJNp6yBKGjE8q2bEu1SQ7m9D4X+YWJkG+eOCqfwqXbQyGxBDZ+FIrpy6LYm2zUzPsA3
jIzoYS56ahE4WqQe3654drZBVlPpVeE6lRTaaPZwKeLxrIR26GSxw1yAvR24fV1kksIK+DaDIBRh
VOFXJ+m18wzPJv0ReY91zYSSaul7aeuHFLk3YcAmZ2ha62nRgstFFQbB42zNgNkkyiv7FCX9uejH
+EpfdGXwFk/WojSHi+YMOuNK7+J3FyVaDkxarMA+6RhKfELF3ZWzCNfmImHbg3ZM0LRVNEVbYQYY
pwhGrOoWBl0ocPVhUOCo0+vHZBHIyTA8uItkni3iebDI6ECtkV/T+AKXu8T2hNiuL7L7uAjwzSLF
R/TIUPiBPO8sQn2CYl+h3JteGUBhX/jRgabdRuj78SL0i0XyrxbxP3CrDZHBwfeWxYC+rAhUFsHe
ZmsQNd7i5LGO9bJQAMlEXnVZMtTLuoGQLK4gTZLltKLXkJ2EUOG1EUKl4wz7FiwrC5Z2d/WyxKCh
LEPKZ7Hx45n6j6aH/54pvh8zn0Rq+c9HjE32b6em/HnE+NcP/TZheL8wPliCcDOZQLSV392uaEFs
v0F5kZ0jVkq89PcJw/xFEOcyOMkyQ+B39f6wQf+hH5HvkzorGbbp/2TC+Ot8IVzBap9VPGnCv/Dg
AqNUUlOwXjTHPaE43GUddk7v7yL15hKS/Wms5U//4+/hBf3sqI3DvnfbuIVSoU+XqqMGpJyLvQ5f
lNUV6xKRhvdWMT9wK3wNjTDd11Jj0oa9yHc11fdFjZeIelr2MXAUI7e46KvuWhJIJsh/2YnoS5rR
SRkVuZj01Wnjd6L9aNltPvt9jU7jtxptgp0Q/3Bg//HK5I/TCMwLFwjQH18Ztc0eaeUxWLcbeWCf
r28JBq/h5HhHttCQntnfrsCh+9o6+Pcv3x8StD+fhv7Dd/Xn3724I37yKTtxDNDRoJCmC4bLLm1e
ZKzB9USRCDTX8sOOZgyRQTZnxK3hIjO8jbW+1Rrx1BbByyjgXhNRSzd6Rv2qnghJjYc9rJtZpnvl
Rh1+Yr3L/CigBMjVg2bdkMaCk7lsdL3hdsgdat+U9d5YLgVDVv83L9Dw+L795brhSncAxqBymosD
5edXWLbaiOZAabeiiFnMwN0rHnqQnCxNXUxlDKR9XKXF7aifKnvaTd05ROGy3NbXJG109UdCqUlA
MYBGp2zXXafce02Ig7r2PnH7BGIumxMlBX5qA7SigG0JPFe97jfO55DRZntMqNiQVomAiHyJqdjL
EeYX0rlqHk38VGzmfKvnwW5/2+6DPl01Fl1hX1pIo2mLNwOYTTPSWKzd1SRNbVji1dDhUsvWI8+U
NGn9YmrZu17WhrMUOsnpzeufzABUtgUxFJ00Nm84KEJU27kttbEercY9xdzpXUC4y24Bc5v845R6
KVAC3waCWJvw93RiBMOKqMhG8ggkAusAEC/zQzjRcrHtgqtK0y7dGpI0NRLWjCwwz4xpdBTGX2lH
PSX+O+2T/WsqabslmHErtOsxeiLQcTXb3mqUkEUN/g96mabqlEUXHdmXhkEzEpbvLqtjj5WM/jFq
z4WNXBNxWRYaEUh7bXUfblJsEnpmsqJcK53MFpY4ruVdhM3RzvAfE8LlLBP3zefcGnekEW4m70Uy
Es3RsA+U4+MwR4+ILvMJrHZN/phKA6gdPlFhV4cu9Fn1zrbnAKSMc0HjW5nSqOc8tJrcziDFarwI
XDz62G0nBg+7MNbSuHUW60N7noYEo8Ox9B4kfUr1TaJ/Rh7utelaUi8aHZRBJp74vaFFWxBl1+10
bN1vjZHKFBelvY8Fu6B643qvaGo5XXeRRMUBkqoBmPLA3JoLWIoesCDnXSwfvRqHUBFeD/Mbbqdd
bxT0I47r3u54r2Zas4Olo8QhjOep6QIgypH5nWxzeju17spOdmV73Sc7eigjfABj7cv61UaOavGK
wNW+1vqz2bw2VC43cjeC+XC29nAW9SHusV0egoKOsuPkfrRsGdk0cyQItL2w9Feg1Nd6g58RNmtf
U8rABgsGpW8oauoeXMzZOZQLN64vSERS3RGa14kMD2r2jtb0XbAhG6ripCy2BmdtNqFi2BtdJNcO
lQ2t+2KHmZ8WtGli2uL2MlPTPGFNrZ5URw6cm5lT6UDoKVqxnUPB0DvvLTM6GBXdNG52rWLqUqJs
C5OMdUKz+ulp/h+oTctD6c8PLSlh8JhcNqAo/rQMoZ4xqTzCjuvK+eTrzgDIOGi+e/HfAmf+5hf9
ycVmD402BVq9qFruaru+7i7aXX+Jq2Knb4rbcK3+5oX99amPiUBIqZu2CxDgB//mp+dGkFWu08RT
sB54RTby9KhSXPnu39y+9b++gaBIXYQUgHiGgKr957u3dLu0N5dno7sCC/BYGGhnTevrr86z98hz
f1olD8OeHs7/+pMDc7m8Zz99eAhpLNT4D6wmYAz2D1nvp9eodAevTgtevZktPG9FcxGBnVkhVb5Q
aoj1LUBGmG4UhV+ezuFIUDUVmzbVybGK/FTQeZRU9kVbqYd8SeObin16YtFrYWh5gvYb7G1T25dG
u8Hzxb0369V6CBDILVz2vq7zlHFaL2dRI19CTMjcMOuHxMtmal4MaPmF+nYgeZO1jIGVlfezDr6k
RrQZXPcqiDuMIDT2gP5OVPXdIqhv3JZTCk0xVRy9uwrfTou8jY8mxnYUio/aCO5mbXxH4+UfZCo9
8CGrFd0U944dKWwriLr1FD21TXEV9PaTICXjz0H9OMZCbccpZiPRJ88wgY9REx8UQDF6fVDQJzXL
dS3L8ZgGAe1vzQxwHEAbaeZwOy+x1NKBrKO7ewOechsMZOwHGt1ShbVbtclH5JYgW7E/k/TLrXUx
EUoM8ShyKJ8p56yNndNpx27kG44HM9z0dXsxZ+DYAOF/NDl8ftPLlU+5KMXkBZVhEDPonDaPIE4O
tsFfPB0k/SfyBOJhPUKzW41T8mqV7nVGqsEdY/5bvfZT3qwMHftUmYT6RWeyy4G+o/HcmsbQXMPf
LddRKi+jAtHEGSlBNAMZgFE1qDXLWxDNw6Yd53ueexdZMF5S/vBhWeMpz+xqkyx0H9FFz8ZYAJmU
Bvl10EnrykASmlKb+HNreTutAtUyJovTvmxS76h7hHzNTKfguegfagcTqzdr7bExeZA1tdOsYXra
R89QtJDheaCMMLsPBPGXMrGvDKLt3GJ1YtFB+WICxMVb4FEwXoBRKFPcmqNLBcKQVCTF+wwLBkhH
cKHo88N0KsyK7WuVFthxisSvZ0HJLi0DtBNh4SAGy4O8ddQm7SnpYWZx9vSRPuUhhlszZa0RMSfq
bUqF2mD2GxjrE4PaLJf+9+TWTL2QkrX8OlVpvs2I3mR4bi5ViSrj4Az12/E2aPN838+6dsUx+yXQ
3RtL09JdSjoL2z2WoEGZL/biQykXR0q0eFMQ0NUmX/wqpisf9Xk+Rh1+37Doms0QLZcX7pZEo9mo
we+CGxDL3KTN62gxw5imrbGJkp+oDU/sDZ8TfDMF/plUFPc1fpoAX02Kv0YLg70ltGrVRlRxEVx/
ixYzTmN6e2bVz77RTrjoeEfxUWXPtVWcuRDuJ4w9XdM293kQWC/1lGDCr0MeYSEhcXsiEaEtxiAj
9k6aCeyhCa1DGLTlFaldb6UtpiKBuyhabEZyMRzZi/VIW0xI7g870mJMahaLUh5T5dz+sC0tBqYE
J1OzWJravG5Xys1J7niNH46VQ88L+A5vqNYqDI7cQCD6zAi2c7mVnbPPaCx2Gj5Zld0UZn1lsMtp
ClrOp8IvqFWs5bgOOUAtNuEwfDN1+rkpipr5duYVfUhTCr8l3cdoK44q7yCbX7tGcB2mHt+9CEkj
JIMyc/jzh2y+nYpXG2efH1XsDCuEIqW4K5hj9e5m1rvtDFeeErclSQp9Tu9Yxq1jh7FtsO6qOn8P
eZYYWJu1ptmpPAUQWo/rBNNu6aV3JQYoHTNChV7paRQcKMNOj4XWJ3vhNo9al1+4hfNAvcN+KO0d
GUccZ+nQHmdiNnGrcW/sN1bsLj3P2XbMuGUHTrrTh4cyPFdcU/oYw/Z6TYgjp+Oxa0Wz7TJ3z4bs
jIfuEFhgNZbSI1es2jhe3cnunlXmla6bWw6eK0I3K2u6JLLFV4Zmw/6OHhlID682FwiCO9tt0jDd
PjcT3rW5vB21bL24FTxVvrRdcSTqPTg0gUwJfUyIT/ptniTTIR8oQyf9zRF+UxP4WaV1tI9HaK8e
LUjgWVYypeOd+0qHoW3y0IxJwXiKtjS8ojDqNqyLd3pFuK0Rd8XSaxwNz4FXbFvvbSHgcFdZZxyV
ELh5iJDEIywn4pSSWrlCKvX5C3zPzfQRi90059dFiEzFkccAb4ZdjWe+3nHbzJGx1THRmJwbFe/7
ligQUqNBtVZKGKrZxlRY9toiuw0nPZ8GesC1K2mxn6Zpixo9FEa/qZNtnwSPacv6PbL8QaO8diaa
VShs6Tw9hLiMBnBtzgAmQ65cfNHZBIojLrfsRy57cdJZVgzVOQ6U3/I5RA2SnfdlUkk3khTKo2aj
dAkFIvK7Av/UnG9yuldtegwL2gGrkkIp7m30+IDLWof6VymytSOnnZV/1LbaQUN8bbznWYktJWlZ
71IgT/EzHALeqTSHL0GXk8H/7njU2+ZtlUDUYzseU5HYhtEJINKWkdb3QgGeJvJrBpS2jDApVBuQ
pocu/sgx25R0iXYRX3C8/Bm9QnRawUqm7UYHb0xRpDmt8FysNKIOGUdm4n1xbvgJlxcj080wYl3V
KHLnra/G4KLIxUEGHoFkeUJuwX+KG6aaoMDYF2l4kVacNWa2G9C1Vy3ogiHHUx/U5P74m8FZtcU1
2J7VHHhfcFn3hclXeuDT0OiA7JKbpJ78tHweICONxqWl8lMoTEAIdMjH448zm8NNy8M3N+X3YXUH
oW4dEaGsVeCLSlH55R4igx0PZlAbVYfiqCycAB0LHs0Kr4BL6Mii8o6ecsLGiZ3vvGjc9HRu9UqC
zvvWxy9CWPtyOAN53TJirHN8yPBf9hY4qgBqHny5K2EO/qLOho1+aDr7yYi5SVku+dZi4gDM7ODd
NTHO7ZCbhIGWTgx1pMDeoaWRDpNh/Gyj18DlAWP155bLT3TtOTQhOfLv0wdUmiUoDIMJuH+Klj+u
dG85A6/d3F4ndDp5oX4aPXEKC9vXedynrJ6k1216z75ucGdjDdxzh+OcKkg90UNMSS3mRxItzhaX
5z5AJXbYXHmsWXrF7gPrpmaAIKI7xAqwVUrvKlDL6PXkhm9RRSOrekxdoFA47VPO41BqGt7MBTxU
iv4izYaVy6UqR9pNBj6pIdiit23cjEcEbwtJdK6seQsXfGtODMMM8lp01xrssqifEazJOuOZzdw2
6CffEF8jm0hd0zekaigV6bbZ0pZpaJuZgurB7fwpAQwS37m4HOrm6Gkhf9Vpl81E6Wv6q9BpCqfZ
d/nVVMTvYdNehWW/qS1zE9vZRS2j50iDyGkkSy2Mx5Ej5tg/iOLNloGxgQWSDWyiBIkTSCDh7PkB
bWqQnv2IvuWxxpOeasyzua+F8luzxBdhIDB4xj0YrqMY4rtMBg/46n3TCaifpqnU0h+0uHjBeL7u
gPJMk3UhtI+lc62DOKKJlJsdVHZbkKmT+EiteD1Uit1pMm3ryCB14L7NdrZOEvt2VooMCSVleovh
B2dKzew+0AI53jnhhDcDgFafUrGmts7oXGccegk51fexyduDhSvronWQ0geFszpFE7HVtSsfIrqj
zXAHwDFXI+Wdr12hcWG4m6jfk6XgVvit5Lkhmk0GAIsTCT2UsmRnxPpVpmOJ55KwNwa1gUG5H+BL
yRrgx0WYKD+YXjy4WSNDtT1hoTsR0aKWjxKXkiVVZK10CJKZvrQHPfJTXY8oixAS488b/V5/0YHC
VFxyEmRxpLZYWDCJX2kMBWny6tIzX9ORUJbpFkba9YCLa0weS6i7rRNuOd2uA8gwTbFnP843wA+z
h0jeurSk0unjg2ytF187o+0IPADgku8Uw96pbxYIWix5ilwC4sbkg4K8E7W9cfC0Oc5TBuKCGj0+
xPluCLu7gO9hraEErgnqRAPEUvp8QvHADvFu/j/snceS3FqWZf+l5yiDuFBTB1yrcA/NCSwUobXG
19cC06o6GI/NsDfvQVqmZb4k6O7AxRF7r12+ZRLrJuZUhnQpkng9jlTROIA6BdEkD4q1ilOqGB5P
MGqyxc6nCm/U9AWUmZZsZUhPZp7spZgISYMUN2t0FKYb1X6QP8L0p8eXo8mBM9JfBozKJwA4wkz3
fS85yPOWQrnTPY916JU6LvA+su4ZKdPUDtyYJ84aRP2RRrbTqkufUaP1PSE7zZ1RsYpDd33V+yvW
/q6+RhPDrIGV0z0+J1tQ+QcpI/ldNwe3/SwROLduaG3MjCw/nZEw71pE58FDhFpLwYsJQUnoL1PN
IcDY+FBU6yKDzDK5VO5UMkdZFauhusfIwHaNGVbWeY6Z4Ljn3JF5mRnFEq3ioqrPwEEdGbsHiN5F
T9+a3Er+VfVOIYyG+lUnWS291zm3OoaZZkvqCX15gQBOUJMGOGrgx4m1QsiQTxGiyTQ5CCaMuxSE
oJCCZdySdSzdIIDaxNREykgjz5+GqSz3njkxN2n85FcWvK4es8PjLFtFMVgw8mpPGIw1kgZrWoXh
hxjfvHHbaaeE+y+8twnP1ZtVWlDXjVeTPiGQtpF3TIg07I8xx+CwSSd3PpL9LRqMyb4TwTUO91r/
AnhDG68acF0eyOJgcf6m0jWJN4l8tjB529E2Crdy/SP3bW4zOIJuP5VORx5kTf+K8w7Epx0RZ65l
jAckUGsaHrlmKfv7hkVuGK0M41LmFXwk1u1D69ZYFCtpkZkbQjwc5omlvh7I/ks6vsr6ZOUnmXYP
mwc1tBQ9NKT5Rp2OFaJG+X81WeyWbtVC1eMJj66CY4vJvBNGSPKlnTSf4qB0G5b/V8/a18M2oJnu
Z19gt1VYBqvNxpZ6+uxHRK96tjWnN9EfS4GLQHfVQnVTDZkCCAIZP2C68AqyrYYFk+aw4sZrXCbd
zA02LfYerARbvNK6+qArh7G4TZITGxoa19e4XY3pR9S4dviQ9jdFhc/dWubtThspdan7Y+IZr631
Y9DWk0mpAj2sBBJGg0YMa7Hp7CdznJiWAnTurjS3Y/vedj8DKV/hYAOaTiZCO1GRmJvUI3yTu1pV
o1utZo5b1vddxdIlMGGV5Y9ar+2KeN1yS+Tp9FQZ+jlLK9yQzWOlQSqM1R+JyZxXivejxU+HWx5n
HEakM1F/PEXXWV5pILxUj9VQrgojWJjpESmgg+CWh/9QaqDXQk7zp5G4U6ulGLxgmuMZAFfSXBJW
4xMQ4pSnD1T1BDnTNC6a3S+z5maI7yRq6BA8vNKFLN0jnlTol2zieFaD0k0Umvt+G/qH2VSYEVRa
vHbM673oNseaydIp6F5qaRu2cNjKcoE4yq3b89Q9STSONawrpSCfFESBGDbZMCxlkwz3/NDl7xl2
Fnsy3AqSYVIeIu+xw+iuFqcc1lSrh6fKumnUOxNjnhw/jMoh4zUdTJuZa5/wm43GQ5ptBwQVXrqN
BuguT0YrXaIENhbSnVb8AKaz8HnqYtVfQUdfSPE2i3dYZjPxYfSMS4RbzwVjFjPYPaDy932+XKxq
YVcfVYS5mnRsh43fb5AlMHdb+eZNiIojpDMQFpAv7iKWS1n+5Ku8VUKS1ecWC6qdOQdX6Rg9RbEU
LRN164wzjXJ93GvKLpwS3utvHaP9DC1GUKz1cHBqj/3Gj4owuvhWI5Mt1ziF9WsJQh+zmUvajevH
px5zcCftxwQtA7VsrbT4Te9RaGG+xVSGNAfLc0mBI1D5iFk/rOISInms9jNGmiAtEDqP4qJJKCeT
eokHbqfGxQ4eAO/+jyottkHpHcANQcxA0/1T1k41uXRoYlIlX+nD2YQZWqf2Uhp3zB/WfcbYi32V
TJr9oHLojyA0HksgIgXTV/NmaEJ6hJU1bBNN5R2OejheVtq9bz9hDXbTgqOcT0rAlqMO3ToybLLh
0ddkkhOozXNEfDqyCLrM3jFk0hEA/gVesWG1y+GaIi9KXSM8F1a776jjRxGsp4gSRrT7sUDKS6lG
WbkiZnGhFLeNr+39Zq2hN4mqW1wX0OyQe/d4mZLRMQJt2wbhfigHCtlmKYHWMKRZM18j8bWlJWHH
N1PAkiJ8UZQSGsgOeaATjMXCli4+klsWrceBPU/RXor4LQDcokm6k8/s88HJYv4U3+JGspdxTFAi
HJWSsX8/wYxT3Naq1nP1k87+JE7uebCqkFJl+HcaLnRd/0nt5+q0ddg38Y1taX7cPop2Y8lRrgYH
RjiYFKQdGsWlsCDjFaOrlwr73HaDAJqQ0+lUexB0YzTiLajXSjoqZYh7jeO49dgasx/qwVsEZ0UJ
D8x+UbfJB+RmGdMCOSKzbysxABhQuLBuWdf6a49uCJH/UoqPuckXpm2nEu9HH66UKcKMKdyeP6k3
2VCV+b4tZ7C4+l6W/blHnzK2FM3hcElHq1xhBwN9w88DhsfUCrT96crvzwm3lvClLQXSLmQ+z3G1
8RRrJ7xDzn8cAbpAGzSBwCQ15nBpvKi9TL4i8jp+OHK3egcOIRQfw1wbHmWd/arGw8cU3XUt6E+E
zLsMSVesTTtbGY8ZLbGU1A5L4QNkxH2sIVIyzB9JonD79ZxU0T4wR7cv5caJp/5RMfxtG46vo0x0
NuWmPIX4EPCzZM2D38nAsaS7zNLpdcxrrlXnNLKXCf6CxWAYW5unnU7vppwEqzv2CpDrr+T/7MuG
LSAx4gnG8lwNb5Igfy4DlJfxeDuEycrEMi3pTKuRrSmgSLW8h8GJ/5ttMVYJ2BrlegCOMtCfIhdb
FoN9QDqNJUZWV2ltrVS72ZAvg5WT9F02B2aX8NxbN5LE4lWl12lTqDdG7Ghmdk/YL6/fBGO8nkJB
KJPdWIuTLIlrAm6xi33YJNp77CE8D5MnLxkPIIVZdgYzwZb5HOOjX2SC8DoVNmMIO2vdIhtyh/nB
LbOZ2FEI1k31MXSliIhPLbOaTRFJRGynw3OErIq2DdEIWYnleiK49WhELfh7C6c0yk23ZMiARjuB
lWg8h8ZIG0/yAI8Y6fY2g/bRFGuLUCy+juBolQmJ1wkHfFU9tqb0pI5duBJVG2N8RdBZiRzo1YCh
tFIe9UpNloj1e75tDJLM5hamRV+axfQjhjT+SML82KlkwzYCirJNJrNLYA0xSfwIce4fiew6dd14
1c1ha8Yh9v+MfjGj+vn7yuvLTm/ed6GI14FuWDIBZcr8v3/adylKZhawfSS3oCJ+QO8sOWEjWEYX
xuvfr/RPifrvV/qi5WnHTE5k8MmuPOpwkaW3RE4uMBQOcVjuJ0N8EwImlD9ekKS3GXQua6b48tEi
vKNCpLrndlIOT5INosLO6MK4Vl8oucOexDV7OqThCRwQL+QbVWL/I3Re0zGjbQlx5I2cEy0UEADI
doqSK7rIuXIRhVZTfJd7C6y3gxKKsjonQRH0d6i+twpAS0CorTgZLMGU6E4NXyNeHB7BpYO5m1A9
9sNFb6Eu1TJkAV4ntFMx1uJsg99oEVE4p4COoaNylnN30T/RnmoN//8QyYRfyRcVZlg08g8nRYEq
tnvVg871tcC1tHuES3AXJsdXl7i/JPJJmfYt5ApR0WsffNSKWMbYpYabvrrzwUXRhiVoRax169/m
c/ahebbr51g7Eqrp5hCGmN96zMkyomJNph8KLYw06w8yOKFACIf6p5Sqm5qNEgb4g6mXdymANXms
2MFFxzSjw4E3K/pqkwQMdDSzfqZw3ErZi9DTrZzr+6EODrHGuZtL8j4PmBiatzEmlGRMrnKcLrpU
Ye2jLjviMMJBvQWjQLgSL4w4f45J1TDtdueh9PQwvmDmcgQgeTW31hOxF56t79TGuq9a5TnjtGqo
pUx0yx3zzREwxGBcC6NeJUHkqumjWSBHjWl48h/jKFF/PRrqO8s8ms2t3erUfMoy79dS/qLXDwlp
Ce2Q7RMds4/dr8dZFIqlkK8YvnR4U8maO3WwDmZsPS75ukOsO2x7AUiqWXUKnc+0q/RVp4HMGBZB
hsonH6ErediCn0aiyME3rvEwMuToGcM3pK9LS3TqeouarWD4BEjM6qq9RDycxnbF6ts1c6NBHjck
WFE8WvwD4NuwOkVuaJ5lhOONCQGv2lt2RlfP0RNuc+Oj97f5xMy7eTTHV4UfV67uo4RFe7+LENfb
Cja2dcC8AXXhIkvfim4LiJrN37mTtp6yLMd326cgknG7TC9madxI0EJYxa5G/czfW9L3qWDqwuAc
MbB4HGPAL281mcrjupB5xqLAwe9N1+nCzCmyWw1inxZcmpiaPWJerbPgThllg5LKUTqbJgNqa1Ug
uUIuO3o8Hj2/+B1hKIeYSbcD8jwzF1m5M2jUlTpb18qdJj5C6TRZ18lAg616C45Eh5kZTa9U7zNv
EYDeoyCFSqmHz21Ere0vQDZXMC3wNgzXkFZZZI9G8bMQP0eQILhGF41nnBvRr31pOQhMA8l2YhXZ
ovsqIBJElEZl/Epb5CqDt0T09xQSXzahSaugbUzBRpu78dLNbaAPMkiyJFqbIOeL4KYrtadROsTe
vpLvCmUted1t0rDyfB7GmebtGMaLCbUyZV2v9m+quUvNdQlHvl229gX2YZlfKiNx/HJl8qdP+YYE
Y9qMcCESZoaVTix9yQ6qd8rEWhjeOs2ezGHdJkS8CGWpTtcpJ8jPShzhPY8CVif68Zg5Z2AES7vx
SH42QbqwkR3nQUhNIabjX/eGVVbfSh94wxax5iop0TOkptm48xjxgPjgqZtvliZ8omkOurOPuqq8
jMUpQmmHiwEGEEzi7VQ9xnW68SKgO/Z0iMw99JEKceG8TOrnRnO0K5Tk2zhY/f1Vpcz6wC8qEFS2
qj5bdbBT/fI7f3orjpXEex1hBFNXGixG3YxxGWp3ftnCIwM0zfYzXdp5f1D84d5MiVys8/u//yVM
648vMFsljRUdii1/FRJJgMnyeILFkUT6Ft7bmfDagzG4sfRQ0KEiLIu0i9qSn5QvJBAH/UCZCw5h
snmHMMFJjpKMQKq6jUtlY+bWtkY5Bq1UYlSQh4+S+iCrWw/uvzo6NkIXOHrq5B2yigbmVVYidxpf
bcyOLKyULF1PVeUwqavYqhPCNKeYriby3m2OfmlHbKQfYMs+DKw3hnClZ6ccPjRTvpp/B8XW0ZkS
nus2GSmU/Em11S0K7VVqTgJ9SoPmzkTYUVGt6fVZUgjlC189hUOADVtM1sA8C8B1tQxbLG7g95CI
qZCkM0NZ6PJK5QAsxmHtUbYnOe4hVh253jp9IFZ8rkVTDjeciF3yWnlwP4bMNb1dDYoqb2/GnBdg
IiGGuVjjQUOPk000P/xzCcUoKCZcmogiir1Cq4ifuxiCncmEvhfo0moGj3TWjffc4z3I6wXUswUl
cOZtlZE4JVCABO2QQDXdmv4WT+Am9Z+pqpdleVua59oynbD/iT19kbN00ADkpMWekGSWqeI+EtT+
bKd6Q9u0mrUbsiM71UCbTpNgfypeI5WSlAlwltt7aH1rAzApQslF2ywNcIf9Kh8u0oCbuX2wBmYH
+oDKYWOMP8k4WJoKI2qSOMpjBdDUKnQCYK1FGDC2nJwA3aGxl3RjIRj/osG0JqICESDOikYEUZN/
k/U89u19gI++MASP/rgbOO7aDmVrmy9hDbtB+SNGX5eYp1zaK4iDgx+C+ZxJWzBaP2rirjBObmvd
vAbZFQsws3nAR723LepzUVT3/Cpe+iQlSFIvvd3w0lpVfOsWIQyNceOxCLAJejMPhI0BfMpj1gzB
EqvPpqB6B1k8U+9N3mvtcBWwGItHhSHhBC8ZGOzKii1gII5ssBVcCPsaqSzhcZ6Ql1iTam4Z9038
SICTp0FregB3CJKSfXI/lKwSQcGRocpLN9YXujLy3/I7G8G+lRWnqTHiIlwwevZsWrlkL/uzYJqR
GtfEWAuVMrBi+6ag+ZZYJiXPKkGTyEgRxVr4vyVHRn6ejDoPNI9NdCZugXuOZMdbqjrZ/2nFK52a
VOu0hVlf7el5YsavvBO3sAA94spEstYMEPR3Tbzr6bQlbJEUgC2MA6gHvGPZoil+TrHgPdl17QoN
6moFZqXf+q1+zBsmvxVHAbWLsa9p77Jy4UNKD81N6FHX1QxQy2hJTArmaXz1tSt7HC2PHSzSKOKp
QVSdvTc6b22fXnHpw0ZlwxdEwznP2YjcDGXNxJmkhljje8ekjoYoLe6G8jZNOljvzy1MOpCUzqh4
5woyTOYhReaO1dmmYCP3WSfr8Qs5ZwL0paedWq3lRclKclX3L9Q+XX1WEBnQ26ejWxHAQZwuh8+d
CRYN/W6OfFFhTSYFLqRMx2DV6537+ppNHHQorTWFZBCwKna36lub+BnDjXV5rRavFbaZRlaYT6KC
8LivOu0+SJ/j+AZwk4OYmkKr2QTYxvSqcbyQWbi+lvSdnJ6jRjtQnSF+cDT12czemFVLYjsUj2R4
un7Fs5hCatUAUwoGVCu93ftqPNujGbq/iAK09LAnOJoVVeh0MkvE4B4I1xKGUpCuhQKO5jQyxstN
dAXyy6i8KlRbdnuMw0OW7RQgbgC9exz+rbJLpGRTpeWzIYKNPYltMAxPXjmuYsW8D4fqlCh3s6qB
pfxSBmvQs9eoR+YogrUGY0IV/qilVqwLftaEBhIqufCiVRGf9FhZ0GMueh2AG2koscxKhZNEPmkG
46fqLoiPdSczMFxn/V41GP9Pm9JYBdIzjNuFSUc/dskyat9HxiWAzXjmdJYizuDvCbppm5U/WOsZ
yYEpTwjDgdObSlvhn6TpHmzSKhRXkT97IAXrcqKn0bZByzB/lAHjHapyWzH3Ho3gmOCY7EL8+4W/
NvznaEg2c6gsKdDmFsmKP556RFe66u/KQl0q5cPEws4Q9wXdVJBtcZOi1UkXWX+crGDlJxuz3xB6
5xjFqSU7r1MwDmJFLTumQm2yVAE0QTBOh8wJbWhaXrKIPJq36J0gqNxPqX9NDitUFSiaYQG7/iDY
pp49tNESUwHVf+u6ZhdWTxHOO8tEI+rdiXnwnrxZgboR7HKSgMdYoSyewpXMWiymkDZNwTN7xQU7
VKRGG29eWji6eqFhJh+vWg01ZSHiwmwE16UQGdU7PpD1MefNhghAYSDKtMMlIrdMlmG+89srQd4L
me6zaD7K8h6wwaIMALXaG9IqmBQ+K+mj8O8k+Wdf3PTGTQNUeTr2bbtrc9QqFLCsg/x55x+4DcRx
alrcrqcg2CqABPx+x2vOC96HdNnVt2Z9NzbwReJjyO8lZO3S2sXa1N7gQRBAAUuM3Uu0Cw2eEaTd
SfzYAZIMPAM+BcdvVd2PxG1k5WPX3Wt838Ct5rwHxyg3rf9TWPvQ+9k0hzR5geeHgoDSErxGEN37
tF5NL0BuL0ymBbFpssjp6cIuAUoZr74y2LobSDhKUh2ME1XozLuXdF7ALwrDGgpT3Hk3SueREVOj
tDkRuUgzib/E33vom5LkEICrUEN2LCGBQUxWOzLKGj3aFOhyJTnZVsptEhWuR3c12A8tsSXEAC+b
QXPSdNzENEuRUHdyjohV3teUQbTNYlB2QTQ6k3Fnk3Vosi/TRnZRrMeWkIoRyj+mcnsapWru4rkh
8NUWOwObxQzfpNaF6PbQQScFs0ytd21beWnFh1Z/s6No5TEYyIhtj1+R40DF5JnaT+OdQZ1fNyc5
iVZt3uwbCJtjYLFlUJxMwfsYS69eF3JW9y993r2r/SGzmNGLd+LFUxSFPmpTy7+plGPIC2EYt8yd
6VCyhRVUxaIwrdc+LpaMFJbT+99L7K9K81/TL6BJGOSFIiM2x2f3efoF41/toRnNSnOfraOTsO5w
2qPOzbawbidEgSwg9oVjb/PN3y89Uwf+0WJ8urT2JR/SH3zcUxEqYdrNAWlP8DYoVCtoPRlCRcOm
5gTIzO5GDrve0Q1eBUPS5o4fMywycNq6SehdMmG5jULhWNnNQ5qXd0ALAv6M9JxDX4cLNqgr399q
9rgPDaJZvMm7VeLxtc850asIVBJe5Q/FQKYgpEReDB4LIxG0+5QR2N8/8Hef94slK4zVZGA+65GP
NPAu3tc6A69vfs9/Nkyqpqj8SwZ7pcnqF0MEFv6AYSB5Tyr5PngUnbH36WxePemVud2//kC/X+zL
vWPFWU8ydky4lJ06tf+RMDUu2R/+26/tt6t8vU28Lg1HKeMqclWekaxcQwrZSsp3f7/MF8sFD8J8
GVuxVJARRFV/+XV0fH+yRYq4K2nVpq7BTOYemXKBtReZ/M2vNNsLf2+uuRaIDHyqc/jKHOXy+aGT
wz5XJ4ssCnzzEK0Q09TfZED/8dP83yuYX56tEjGl6kFWctPUe1cQ+MoGogYvBcQ3fvPF/fO2/u3D
mF++ODuA9gNin/k5lhC3Ebq6aTOK9Uiri2+mEt98b6b6+/cW9l1ukhotuUQSEnGn8xJpvrnb/vjF
GWTl4C5W8N5+cd4g4G0yL+UBQvQOeXQWSKXLIvDo6L+7lDL/df9xGxjcbPASufGULz8S0bdNqXcJ
zjGHVKiX+hivoXMslAfj0Vt+Z136iuP5zw3+6WpffieR+tpYNL+uhiARWBrxVqtmQyAz0rK9umiO
xHt+c0IQA/LNZ/zyk8k18vxfZ4QyoBpXOmorySdFUB22MV5G9qhRm57iCEEkOvmPeqz2mu0fusRY
GjQoXieWwsd319JzmRXTjk6cQCuxnsrYS5NaVbtdjxwt8wV9GzYfX99Zqe8STcpo8RltMQ5ZZ9Lb
a568GUa67D19neY+kTNx92ZMCsuecK37QL2C2rVTYN5yzkwrxPpALwSXTdLuIhk/pUpsD3/xAER/
S0Fvgkb1my0lpN3zEuFlbRvlyrDuYr10IOuuO3wyOoX+RKFZPSGxXbLjX8YJ49WUd1YAEQkPZA0G
JrONdaYeO96CZvwoz3WN6m2COlwNgGKwxIihdmKEvgY5cZO+jLRkYRZYV6M3Uei4LqlIlGgv4Wsw
qhGi/01os62TwabMdTKMTZrfmbNrsBFtyShKkeQBueq8tSVIVAXx3XofGtOCAUtVigkpstAZwl4Z
c8SoHpJrHoiBqXlR/RDBsDIRTIbesJWmvY6XVGWd2jVnYECMTEV8JMPSTUyUDzLFQ6bEqxRM+ajn
lmNHgbeqIKNHJGvEGrFBsG+HMH2X0Uir5kHGBypP1UMeyQhwcS9blokZCjEf8jwfh6nSG6dqbJj2
NuklK4ezqoz8RLFHYkmKvsQyu7sJw2v4knX4TegibZEeajlY5UT0AdnlY5o3qWzdNknzkqAvKbPQ
rbpoieglaBGL8hurqNubtD3Jzanpm61t3APCcGfmSpg9TRFbkhY/Q1qsFL4qhqiraFRcFp+05HT8
RbUIlWsCA5xbMBb8TPhC9FkHQlL0399ZfzwPPz3SXw6rqR/hWyC9dXudac200tn7/v0KvxyN/zij
TAyrQtdgh4Fl+u1VFUhjKyceP78VSb8kSO9ZxVZBb37aabarWBIRykgyTHgcNY8swm7ZxGy7FXb8
JNSgEJTz2zofr2yvL5k8fLQlv+jkycWRgFOG2Yr5EMfm+ygykLW5vSL/xJEMdadaHTJkbQJmFBXo
Dj2WymSVx2mCAFpEh9oc9zZ6lH7O7xz0fVG1zxbut4VutKBuBecMgQa6U4LDU4rkvh1nmmPN/dLv
bAsh4WD8mPz4WUaOuvb7AhiOAhdWa5Tqm1exMv8K//gKLZOoByGrKt/h719hruvaIPlUFo3L7Avw
GiCk7Vu8NVaVwxx1+/df7NvLfSkBNc8nhDiiuMgTF43gSn8k84gMKqdboqZl5uR8e8p/9wm/1DNR
oqt6Y/EJTSz0Szzbjgw4wEHCWq2mJSQWt/7G+fvHO58v1ID0NSNcv9z5ulbbIQUwB0Qb3MD6P0ZF
8M3vJv746vp0jfnv8GkFgn5/qqyKwkZizIsXTVqlqu25ZK8h5dOuVtKo6AlxpJaGj3gxqbj5Amio
NexS2hH1OhOajbTETZm86L3KT9+hS5asqXEacyC+Ss0v/WQTeBtrJhRRO6Y/DcMIfjEWY7ND3e2n
01od6kPg1yxUw2YvBz5iRMIpliYP3KExMvSHLNudfgrWWse338arjggbW5U+DNZwmZeTXadcCjvq
UF0O6c42Q/WbXu6PVdOnr2quET99VWLU/bgQFGZ+aPVLrUFL4xEEMlnedGNg1P3m3PtVGX19pHiS
NA5XGHTC/nK9sdd1OFWcSl1oXqjqg2UyKNFjXHWEEIDpJpadcUIqD6vOFE8hThTn70/Zn+4NFfYL
zZSwZsLh7x84akyKt4h7Ywymd90fdpM270NUfKUCtahVVOe/X/BP37BKlgyfFxgO2Yi/X7BTIXs3
eO1cSzcO2Orx77oRIxuB2e7vV/pjoQgdBz4KrxYs/F9KNpvUNkD8v84rHIv02sHO30XY8Nxhmd/g
BwldPV99h4v84wf8dNUvTzT2MShLCsdWl3lE5ybpo9Hrd908lo+CNv/mQ/7x9/t0tS/PtpbiMAnn
GzYdy40Sdg+VPG5rpdlHdv1mGtM3UpzvPtyXX68wTMMKfjUu062QPvDngNtZ2WDf/v7bfXed+X//
9ByS9UGS98hPV8o/PBZkXWATvI4QDnrs36/0pwP4803y5QEQcRBVfsUXOFN0DKG98LR986XNX8rX
hxy6JMAmHd6T8rUjJ3GlqEXa0Pj3LnBAp7R2NevQf/85Pl/ky81e2pghWSVxyAM9k8OXUdz//QJ/
+kk+X+DLfd2ajKs8eV77WjVO1hPZ3stSIa2cbc7fr/Snn+Tzlb7c0x5JR3Y+cqWYKdmEQwlZifvv
LwFZaz7p5+P31yvz0/1VlJNSqnPHCpcBVIo5Xa1Muft1jf9PRvs/QM6IBaPv/n+T0TCjpa959TJ9
paP95//4P3Q06780XgFASAyDWQWzz//l4Zv2f6mEiMkMl2TQ6J+zgCUFcJoMj4W4X433iDJD1f4n
XwwevjH/txbbed6oKD7+DR2Nd+DvD69GjhkBYxAFVE01+DO/nHjgV0HTh4oG3Yp468lSsHCXWnnx
RTU9yowhHjsfvDYkTnacrOErw/qQSu9uTIh96FuENGBVUNtpuIMgPuA8B6+/6IZpYidbXKQAecOg
JsUyFy3khoT8c79r+m1i+ODyJZ/NXwx56sHwRmsV5vRHQ2ZijiS0eyEbAWhRHJOp2txlM/g87jFr
D5jbTJ8xD5mCSPVxEKEkeCevajOBM8orxBSFGdu7JPFR4o59z3mhDisJgaCT6OCja+sWxSLqyRbz
E3mk0TIS7VH1tLWZ2B7aayXbVpZ01uFQ7lSjOGsq0iwrVuxTW/rRimC+DIYhQYSqSgmZM55a5AH7
gY4KBx86+2RUmD6cqRa19fBukRDMR2+JSDS8TZXrg+PNIneSlV6ruH8LhXZoA/W+SPsPzy8PwFxZ
Tg1P+SAoEb1NkpVvbcSbPSDUw1F0QIyNJOdsU+HXgjF/JkD8xqryloV5Xy2G3sMIUhgw6xUcKhbJ
8ghXse6lPiVrkpfLzAvviyn8kfRhCLneKxCBmK/BMAP558TZNmNPCv8id4wR+JWC4G6vCs1HaCVP
UFyH90KdSEmpItk1iD9l9+tBp7YaBBQa+j/EjtG6nUKiWMeVX9APCr05gsSQsDjJULkr6nNykBBr
d6Cc4Di0jCF9VretDokJhkHvDd5xzDO4viUGATmWfxSDwb2ZsWwIQbJSeTTZMuuzi+is2TgpIJ1g
KUhr2XCs0FgTF4+vCi4hfgLtkqcK3jLBzroqtNCRtREOSJv3qwmR5VnRgY2YrRVsmQ5gqInwBZDa
2W6wlKsMeUiNk9h7L7SUbV4pY1Sssml2+TP9aMr+pc4JO5BSCXGsDX4O3OptJ9JTo0So8gMpcfoW
4wE8iptQHl+yXAPqPTZbX683XiljhR7NbSkiFsVa92BIuQ00tnknDOO5C4eTR579gjQamSq6oUuM
qwkflFx/5BLrp0wxX0PEOvVoWizMvUs4tTNCva3PfYxO18wssWyS6VnxWxQOiEPcZiRWDcor6/FO
FVhqhIqhpSfWSkJLIEv05Glslg6flhhribAM4uXEZgQL7IymR7pEjTha8239ICqtwlIHDKv1RsZd
PooVoETlsjAC+WjOpg/NQlZVhlZyk9sBxE4ZZQAt2yE1sdU2CnghAi0Tt9SNEhcQh4QoWtZZAfYw
a1RgeQgz+9EC1V1HVdgcdSV7g5mF+6wxxlWj9pwgGRHLrjdBXeG0MbKNIaFsEpY4RJF9KlIvXMUZ
1qUobcMjin2TCR80inAgaia1JNybxD2HiH1R8ds0X42k7BojLp14xNNvV7uxSF9lv8e9wbBxGZcS
hh2Ja5iiAU5RjPAap9c4Z3EqB8lBSejoDIx9luo/g5s0WVfqLjk5aw4/e5yw+QuaAxtTjAdfl29Y
3OulvfbKOcXQLn+2oZGti7zo2dWzTB3V8IdhRvaeBNN2FRb12oirGB2294JrSkEeOWuZyu5uHISB
3q/3FsrYpY6RNuXaF7idZa/ZF0PDWliVLnZk4eJjgFdVJo/iZMIcluhOMScwrgurawQnpStEvM9I
H16X6BgdNEFkIVo6RCbPu6k7idALz/zQgmnHaZzQXXnrxJ4uQh6AKQV+5BSjuOU5eJhqy+27Cpmk
jRDItobu6JnqjZf4mL87gpljBWhFGyKqVf0WO6u1JaatuWkq015reWIeJibBKGrbjV2IjREiJdKI
eD3w8yNiEFXAeLcgb0hDTZJRiV78PBJzeNC2GRn6xlmb3caJfgiIZVmmZrzHZtCRhFIy0PTV/IyO
PDqnilnuUwmh8YiO/ew3QuNH634iu5W3YsY+TzMAGl25uvVnKHQCHVqFEh3NuOja994n+NElXJYO
nnRXmJvAMPYTnOncU1w7sf6bvfNYjhzJsvar/DZ7lDk0sPg3oSMYikEyKDYwSsChtXr6+ZA1ZZPJ
6smy3veirdvaMjOUw93vved851lMAGod7JwKkdqc0NS2b2Ox9Nu3YcJWq5UNcG9CWbcT1Bot3UJC
uU4m3HU5ga/BB704odYhrQPJq/rBYUzLJwgo6GHheUBO1kf8PMYqjgbAChNa2/WzfTHBth0jB2qJ
22bVOnDRtQnITVKnhQkLX3k74bqJ2Ez3qPnGFSUXZJkJ6z3E7BP+D9S3ofEgRnlIzwDBQzfRwBOw
4N7EByeN7cbpEmb5EztcnSjiIThx3yIPfNZMjHG/kEQYjLl6GCYCeYqj5TYZu5bZkPasBVU3V3rO
QxDu5bmeKOam2SobdcKbF3DOoUTEoIawFdsw0NmOHU4FpNAd3JZtgtTBSfNn8Ir8epF6W/l1zF4b
G39e2/9z3/2v/8kNoCL6vy+8h4zv7/X/TUlQ8tX/5db7v3/9r2uv9QcNENsyoApqmvXLtdf5A42y
ZgEbBGxj/QIF5tpLKgT5UVx4ueSSofi/1179D9Oh9qaFaJmmpbvWv3Xt1X70HX+qWXVTheOoGbyY
xdtguPtrAW7peZlnpAktHGJ1xAxMPpxQT1Xg0ZSB0aFz4TKzxOzBM2K2mnXpYa3gtO9S7zSkdgyo
J/GVPZkFRGNHariC8Zrf1oab0VCtJuROUqF4DUe7vq1lnxobuyG/U00xBQLggIk8b8rAufOzXqyT
3MOC4PVCfBSxXoobw8wrziggTb4bxLeeVpXHBrHDW2Wayd5oonSbp4l9sJWouMkUT39AqjBUKFCq
YdXpgbmg8Smn2B4nC26VToN9b7tqWm/toBjRjWDKyaNDGiX1MhB1+xAGNRyBjJvpXhpm+5DkQftO
qBvRhBKLqRsBYc29vr8TI/0EEk+14GhJoyPyiHge0Zv5wXKhrVYqLLtFVDTqKY/Rvmtm1Ny7ZZHe
mwkBgrqllt08UJUG1pAE7WdWhe1DJq1gGgx9vA7DnOGaZw4E+6ZlW6MGLQsZ4wYwo+vIlVWZ1eYY
DgvNk37KplV0+TJ1a8640TBJmpR58ZibFlSQ0jHg6pAugHlatvZLUboZQAIpvppgNDb1mFhbrcvj
N9upwvvKaLxd5DkYe2gSw9vSW+h3HQOVO7K66s1Ya+IpdW30U5GmH9MgHS9mFstdmffOTVII7FW5
R2I5gl/lQ0nx5YOFxDNUKexna9McXD5ynfUvStAX2kz2mbCWbjyBkeB1FXekbIp9WCfhLrALcT90
IxfsrLeSU6+IbuNHQMx6oxFTni4BUxHEva5IxCJRiZvoPYSfpdM3gqsZATmeZ8kP2BPBVqP2x0cJ
lRF7YBUe3HJMgnWkDQ5CNiX8NDJkhQFSUgCHabAnpYqXTf1q3Ee5591F0w0/GUeMjNpoNI8UQ8Fj
2HSMW4VDBIQbjt3GFEn4YTj04PnlkvQUKAJ7GHnub2kGz4iis99nUz2kJLVziYJoPCP+TZdOMbm9
rLar77M2E9w8ex1JfjuYhJ7Vnu3s0qmWU4ymvCqdibFHEp+q+DWgrmLUr+FUNzJnRqXj1RH8KWwq
6ImRXrZTDVqgBn6x2hy/EPbKdOu1ISzYvFS14+BkDjPrggBbP0iiS6lb2RtnMovaacKzZZI97Ae2
+drXrf3IuQkHICvc8CMkB5ILWx9STXRtA7TGj2Alz3MiimZJWjhvYxpVX+roNI+lHTeHAiu5vRX4
JTHHZP6RATbzsEIZtvoQd3yYnKjIUpkWnNdrj70zESx7M3ovK9N5z1Errotcb78KK5IAArpqVQA/
/OKg7F8IrCKi2RO1+zaQVY3SwvLLswhFt6+TyLsNqJS3fq23N61KC5x02pYKKmjDHiycXhS7wsqN
h8I1vEdyTLUTnvT6M0Ejt69tIpnagkjRmdBS+xZLiUOUZty957FqXctaF8WfHdH/nK5/na6IRv7v
0/X4mv+rI5W/89eRav+B6VUlbd6iw4oa76dOkvOHwWFmwbrlnPulkyT+mCKWJukSnUCaRvwhpox/
tZLUP+ByWrSfBCcuNP5/70zl1J8OzV8OVWamP05uZDKYgYxvh6pWGqPf19WwaKn0qKIDGJolEmeR
bIvChl3teyeAkgQzh802Hbi164gnNo6JOqjF1w0Pz4YzUdwrE8I6KPRqM3GpDB2lRappR01W912n
POYtuC6806tCDXrqIEwRkPiOXTJe4wwym4+KWA+UK4HdR69V7BXpK885CeozImvKhR0HrzIkEEiX
+PlajXJBIrlcm7XZgK8JKc5xl7hpCjGq3Cl89XS2m2ETCKNbiXAsNh3jbewnQGdKDxCDBPGqJBUw
21I/GRVc0o7DFj9IfjXJ6ZvRjv0i/XhvBuhPx9Y/pl7XryR+sqKptlnUPmojMsC2SWmDYTARuEiy
amMGwwZqa3CgTsMLEQwu55nyAIrLvRtDNVjqMf8M3b18nYY4Iurh2bcQ23iAerEnoR4GwoVXUwLg
sKDVzjMyW1fBVOcSEt7MEyGztcxlfixaA1+Tz7CjTKuTa0PH8iplTQN5g212pxXGo6zCfJWP5OcZ
OSEHDcxRJthvbhBu1bSEsuJfRlf94FLozovOtunskAkZoZ5kWJqm3oMXodocrXhfjfq6rN2jmQQf
qu7sU6hElTF+9Kp65ZwE6O6FGwmEj19FLmSX74y+3VmK3Ntqu/CG+LnKtK/RAfRBS4gwdq04qr6z
lklxKlV/7Ug060hN39TEP+d96y0Ji3l38KjOzR57ZebHHwNyBKy4AnF7Fr5UTQSPou9fKzdCbmPJ
xyLMWXImaSOFsWpMfmSO+Tephy/wRi9SXY5GuVdq9Y62n7mWE++89tKnvq0+29iFmjiijS0KdT2E
XrxKw6qEzAByyHd8Bv1W1c5cx9sJxUQoWYcL+kg3blesmsSMH3JDP9W6uiVKc1imQnst2I6Rt2Fl
iofw1kS0H4/msUIs2OTwZCJTf8jyDKx9SAXEbOw5ssNTqyHty31/1/rZV1JiKMe0RG4TwWsEUYVz
V4AfzMEGR4U8QjnUccrAdgwL+hLRCgYE7tb8Iio0In+uB8U807nc4BE4TeMrspyTK0Kv3WCoWH+G
c20rZy9tTj12EOhzPAIjku4MmtaIb3fsjr1RnmVpPpYhZuXUvTHtYA7j4FapyZoL6osfIPHHAazA
O7buyFq6jCMcemKMLXqkfjN8JmRlLqo8NwCgiejojAEJ1aVpzSa0PbeoFTPZZZVF9dIHcgnjdJF2
1tJkNyhpT+Z4uBCIYZDtnjLXWdd9vIsrjBRjrJyhYXqPYZmoO2Wsmk3kwmi2rWn/MCf11dgBy87c
HLJ7gOnMC9NFSFBs2OXP5Rh/eon+0QA+Q8lGEy3KPiNseX1lf0orOoV2fVagTmEYJ7oR27E3vbjm
PhgRnGBfcfQXElLTpRAF6HcBwEcoS71zH/w8DrdNysWnV1ydNqZ7lLKH/OBN+J1BqDOEOu0yaEy4
S1nXE/kM2EenhYpXqbwTdJsSwzrWxXhtzPK2T4dtE2lbY5iytnLYTjV54YCT0Y3lEVNxLwysDwtO
SZOxRxd+i3kXk1RkxJuKCmcc+mVX4T1KkrMqyhdNKQnHjcuj1qokoUOgIa7jlVC2A93yB9PwiQUg
vsTw5bp24eUNfXsx4uGupE8BgXuraXLbpqBL3dK7NdNJ0d9HB/LssW1L+Z6Db+qkBcoFrZtoOALG
aHxL6YmqSnwG83NbGuHn2BVgxWpiHrp9MKg3iqNd6d6yquM7zo47+MHwd+J03jTZPlXqk1S44HaK
dY3S8jbjzeb1sKmERlM8qJ78qvqsAxvGqf+pZcSeWfUlrfULFuaJngr5z7H0S+FEN41Fl6EUzqNn
ONvObe5I/jJmobAeoEx9unH+jkLtKnzrWqvmy5CJHfOFF4gK2Jm9lmCysOI8KB99Z/KuW8Sqjm3z
XvflSklpuUcOCG0tey6dod61xtgv1BguRK0iOFE0nwYJWRsOtZOsYR5oGvNW7pfDMUMRgI1beehs
79kMiqvh2Vs9ai7MGm59xYjmSovuigzVDaiaZqZQ266qBvQlHadnKyMV1LXDvRPLI4wJuDvi2OV9
vlUdEFyBDoRCi0x8kn02UYgqnNvClfXSlTjv0GCDRvPScRG2KoEGEvEejxTdeECBht5l80qMn0aC
Qce01a1AMblkqvxOMhkewyrr2CqSKziRaI5aQju5PlsdFRnrgGzoKcCnpSvfLb1K1G9sWynkPbqI
fS7FAleBtwyduDtHtYPQMA0ZZSROyMAmCRZmCt5UUQoixzKdo1RrxBFUULoJx5Fk4CG46aGhrjQB
Ni8x1JhWF4W0o6jdwlIM8HU1PhyvUR5slQxYWvu3ZVB8UOAuAyVZJb26zpTyrNuJP+8dWLqKa9gH
UQI/DhiYL4ZRhbKaUB8lNT8Z5bu4iZ2wJtZCLjWGb8SmAARzeQpXikQOFozpNfKn5ttIeSZEeBoa
75AnWjDv04B7UjoY0w+2gVJyUhvT4kBVzr03kIQe06bmzo83nfy3G3UwHwOPOJlEij3m2WuWuiSu
1kzXCJR/EC43HVS6u5KKCAhsCjvObQlM7jaBH50iI3yDSCABdBCtCv5In3rw7SHvYn1pJR1fopas
yAHhkaJ+i5PxWCIpUsIAB3DEbFAZxbNU0o8xie8sl38jGEN9iVdnT84Ytzajfy0CeW97WK6HjEEJ
I23I5ACUYqdEuZUdmlbhV5fguru0esuSngRpCj7dN4/CwyuXZ/jzMEBXJpM4NktSZNFReIbYEFhG
L7DcxTLCFZuVq1YUH43LkDNJD2ro0TEtV02T37QQN1PBU4Eo4ywjfym5Y2RWdUBew17UFA8EUm56
Uc7twKTbUY/hOkmsVU8UArLp/ShsZk+AtJilguVrmQKNIuWExb/Zc2PEOWvijp+3jqg3zO3CredH
VN1t/NAmxRGvFfyeKoznlQPlssQxgy/dmuIk6xpEe4dOSqjcB5tMJEfX0wsuRd69UgePgaF/pVn0
QVDmxtNTY+fxtW1GVRJjmF2KuHI2sVTXnVUedYceiQlLftZWPciXkX4Ev5kKQyi+EawAbsAXLRVH
VY7e3B3VdKXENNeJzxpBVBSviMPPuAdeeqE+eQkoIQ56AOehvms9ZkW9D5QTMyGqz6RV6fhOEFar
pQkN9m/ShFLIN/795Jk03bbZKCpNAjdiPDcYk1lSr66IU9/QPH/WmXhF7nmKK3ynac5j7ol1ntcP
vAVKhr4HyEVBT+5EszJzCH8hcH1TT+ZlbsfUx6DUyEx+6CrvrfbiR6Own52+egvrlAkqxOYlXEOY
AwnrU+v0Uyc5D/GaOKiRi3pjJdOnSSRxfXGbrv1U59P0XDy0tlNA5fgwlhyGB6FiTZdBDVIa1jMp
sLZm05200sRzUtdwNCP3IcrH91pnPFPHZb8swwzJK+RTwg+1hafDhNP8tLnRGmPT4nRZmHb3Cd6f
r/gQkn04+KmNITzXF9Q45GDoDZLcsfhq7eEDCcle8Wpa7YXjgvodzyNx34BKh1NJtPIq9tkfR6e6
zWLwF1nOD2+PDckG0DmGEM+hDidowTWgexn47PM+TtXj6KnEaaT20ki8nQ+pxgqhH8oG6lvUB5AS
G9DdvXoJp8ujzLVsEffB0zgQjaGVOjC0YLrioyMwuuDU4Yzv6hZ7Ws3+o+s9BVCdnBqVhOuB9IZZ
PtF5A3MIuGuwacWp8uLLsAaA1BKqoQG9jVwY5l4XuVsycW6bfLg1OliloQnHSPXTYpnoDcQQO7hY
vdjVAqJEmwv6tomZrLTYNo5aqpwSCYUgMkm/xuuv9SpJzlyZZl2E/V+407QstS/QzzJyNtXbUmmD
ZearpLXpVI4ah07hl9py8InXSBt1DaIrmIjY5VrCjSMLaDI6cw4pEnqzNGUJzZo/Frkl0ac9HBLb
Ge5rl6kjQz5nYTU8FFKEzanLIn2pJwagNEdse96yS4L4WmmMeFnECng8K2a7GQbsxODC0EmDdNAC
OKYiAZxiBK2/6TwrPAP+FG9lA67ZLNJmOaRjj0vCgnYQNCE883Q8O3SWpgk1rIfe5cpF5MMyGl3u
ermSEfNa32sOjUHusAbJTY0z19hssJUX7jPXJ/ItzcA/ARAzbvR2jOZ9F58ljyDN2iBw52ObX/MS
usOgmO8w3m3AyNA7cMyTMU/o+DzI6re8pp2EViSlM8DGadtcWbJmmqnq0YvooiejIyY8mayDdRbe
yZpDs9SD92psz5kJxkCRyYtThgu7+LDc+yQhxdIpdO0QJNhtK4/AALIN2CCaxAPXm8hrk1jmnGS+
KUUL+AgLLN41pm0sIlulwA/p1TNZYjyqF69ZFvRz00+YxOW0H5PIt2ZBBEgnUNUXIwn7dWFrL0KP
H10lfM5IMVnZkuZ/mGcpM/7kFXOstRM6QjuodZtag/XcozPfgDY2ubrCyNG0eJ75OcFXxP5t7Nr8
cqe6qyK8hSe1HZbYhmt4QXx9VqrC9ejc7KAKeCFGS3u58MJ9mphyMVDeeYH6guRVMP7vVU7CWNso
Wle/Vib36FHpb/CuIyu0wIKyDr7sAnjQmOmSiqzeGoHaruyi4Kkv4XxSD35VIMiQZWCJSRLgvpZL
wZiqYbdC7xLd4Yp6truG0jyInppGAzokT0j97ro+NiehNYuEeYGuo5XGjC5MBBMWESquMP40sf2n
TTiJzjTQOb/rEq6b1+G1+hbH+edf+qtN6P7BjXnq5yEuc7BIMkLrPqv6//+XQhwngzOsIcJhMGf+
yAL/K/Bb/AEwk86MaxrM32gIamgS/2oTktXJX7D4f00XzJBm/1uJ3/zpX5uENCJB3KFdcwwcAcwJ
f5286Q0wg8FP7EUZVI96Bdy/qgbqNf25kuHOybM739QOtH/uAMDOPc9cjAi0UsPf5cl4wfl50YF9
erE6s4U2N0s44y04gqIN7n3sVzbefzKPt7kvkPn7tLmGMDrUnnYj8Vh5RXggc4YLKu4KTmxZe8rM
JgpPMeJVNt5YZfaUaxogfggCabOvwmoTZfDCh5Hzw/Xxow/XwNfg7w7pWhHqWfcTENrDIrP9fQ1u
KSrdW4Oy1+07bEzodqR7Vl00y6W9bpty7/mEvZCwGEr9mocftOQWnaLQTYBdUI7rdii3nWlBrcya
DXrUQ6KmfDn43FVYXzZP608L6Pxnc/b3CZvffo5vslcKVUex+tJe9K25KBpzlyNmAuwr1oXMgXGh
yQrcjYwxclp6+t6UkN2kzyAtXlDl3I32sK7CDgFFtDVCVP3hcA69wJzHhjbTFLF2vGpeJzRJBYBT
qmCz0Vdkuyxrhw1SJcPyHxwOUCH/1QJzNItlNnkOvlurjSDNOgmWaYGCd11o7iYNko+h0m7GJrUW
JiYvzZ9iH8UNBehMdYN1DSUZeTG5Uuky1l58gzsItycbvI7ZQtqfFA/tRakBImTBSrb3dfOY6d6q
swgRarVdDRbDqt9R6NBdC7tmbrpikQV7r99TTTDiW+VgGUoojMYBIQ/2khfAqyuGKDcK61cz8C/L
aGkBPcmvXk/kGrEQeUUCbAQ2GZtI465EZ3+FtGJH4mS4bEyMZMUCSiY94pDtAeyAcJJPkhDfoyn/
pXea+9YM3v2sODY0jrPsOSjBuEJQLC2Y7SnrH2AjxLxTVBVwg4192REz2CgzhDeUcmp5SInGNCpv
PfbefoQ8ZQfNOjSypej6nc+vhzyMUPpuXyD3w/1lfeBzDmYuXsK+e2xAyHVhn0CHSzepnx2snrIj
YOyWSO8sa+22EPEnMOAN1/f17xf1NNT4ZRDxY4/5aQl8G0Q4UhpK1pBpNzLp21qaki510dVzzQWg
2xJQte6U4M6VWBLVWvtMZfpiOfRwyTroqbD1+yoDhNVVfr7VFPtilmAsiIP9J6uv9i+Xqqu50F3Y
dv8GdTBUyETRmMIj7r2nlEjuGRvOx9A0W/A5TIfLlQ0lRAckU9X0GaqAeQDW1GySrcmDDT4Lwfqa
6eKm7vO7qi2vvdnuf/9lftPFIxDWXcNFmMHRgZPG+qZWt72ykqqS24s6cy6ak18MSW+7cwCxFyZi
yd+/miamf+/nIdL0ehxFhklLiXHWdBL9bI3os4CYXRWMmROjAbBGNqRoKwLYo7ZDO8MG7GluIum9
13GwYee9Wv6tG7eMPnTgvYp65LFaGL6+8vp2kzv+h64BychIa0kz+9w19W1rOhfEXUD5SMkxjGHD
AI1QYTboPCreqpT7YZUdeqyMPs1uxbDh7xjLKpd710dtoExxHwm59fW7DOCq+M06KJOFYw9zJR1P
El5xC1ZJV2ht4tacc+u+DzoK+47/LmnTKsgafMa1ZXWps+Gha5/qRqlmiWe9pYgOu7LYjpbc+C0r
stfUfj728j3gLOGbmBVZAG6IjmxvXHXJ7d5CxxGfg7Zda+OUCmOf07w+JfWxVz9LH1GDE25Zf5uq
7bZNpZLcw3ZDkN3KhhM6hjFgS83YFs2RicEdwSKPVQWffXQBjA1LO+COXI/NjW2FSzziHw6B1QjG
mnKO3G/NI3xMgG0VkQd3KoOYCNPONFYebOqq/PS0eBGD6dd6pvowdTz3HKKd1Rr4eILo3+pqDjap
Odjb01VUXIPCfvNG4rnjaGHRLBow4ybeJleVF0MNN1kf3iNfWXo82DVC8KBz92X55DVvtuE/l5w+
wj9kyiG2UN1CgB0ja+6BNLKadNlLdWVF0R3AaAf4S/AVJ9YN2dJzNbbXXfAunHXqcFSk9l7Si8ol
2QPZ4xhG7zIut2QgZEpxw+Y6qc3pP260VN4qqEYJ31uWLlJDnxjIz8HL592E43LYZslKVvvNiL25
0jkLVWve+k8Jl2g95YTIH/waGQedH3ovlgV4HLGc29jPjT2A2uJWHhNIi6DxqRbNTcEiQ+WyiBLq
JeUfLEI/HqnfPXLfPABDJ8bQDHpOzLCCIKMoYPoKB2FpBYnIoa+wHMp2C82aCIgB0OgQwFkYNPtc
N9XBd9XXoQCoVjnWG1XuC5wfxmWed+nGWj0krbjQlXpRJeJvSydCA83rv+e5+7FFMaxDVmZbkKHF
t+1ejVpETDZbVEKGKHoIdRUyPWIsrND2J9fj91vUd+Pu/7ycrSJGU7nKGtPp85O5JrZ1ovPq0CHT
iE2ks0x/OY7SPsROAlQxo98MflzMkwKMADtBlfGsWNa8m/B+umiYolh5ff39m/r7Lm1wa6fgc1wK
WFCEv76nsc+Z47h8BalN004P6OZCzVo7uX/MM5Ikfv9q+r98OQP1K/8RqNW+XeKHCKfGiEZ8IRJ9
H7dZyoi90tcy0x+rFmmx1hre3KNIpoWgbgpdPTspee1VEhwdqANzA3jymKgrj8xnxRNHUttJtqTo
L6BnBdOxkuajs2lihGJo7kjcrr0XrAurKmjXdAeCpWl6Kxn6b4JZ1crWqmppVmW/rQFxznH4wmVu
yAH8/cf+8bF+fVD4ln/62N8uy5nfFaZdc15rZc1AVxL7DGNuzBITwXG9SAONaGeXXKJKrSCXOZ8M
ie4cpk+/fx9/L6FoHOgsdB3BHDL2b+u9G7TUiwzpLJqag4ZjYlIHa3P0O+ESySXrzTf/weP391u1
KSyesMnIbYGf/+Ej+mnRR3ZipaHCR490mm/C4QTIRfY+KvbatjPOj3bOz32xbCLRmgHaxe8/sjbt
Qb989d9e/9uK62PHaduIBY466mQ15UtcNcx5bPnmpgAr9AR8Go6GC1uBsxBM+2eyQiLXFseEDvrM
NKFCBIbazmNpvpZEpawHSdi9zqCgmLToWdwzTJ4IojRVX8zRe/KV/PYfPsTffrgfHwJOL/c9FtJ3
N/IQoxPsywZ9iKPe1GF/ACTOtIB51BIh9/1oGtU8FsnZC+lByzzwidty4WdNU0M9wDwR9ziW3Noi
3Stx33rbOrgNiXO9UyH8r1zgcnZEpFFfGjfRNJXpw/BiBRAP0x8hJAkJYL//SP/yZ0FBi89QxyXz
/bamNE0vCp1qPs7sm7HloJNK+aEX/f3vX0f7245jqsg2ySdmh0Md+72qsxRChpgz0zawpwwqjTl5
Qc+OSUlUJkvegnqoywBaySgUPVyOiuUdwIYxCPHBOLQkQHYDiknj4Cb6F/U0g2XXJ4Wm9/x8QaKH
vGiW8hSI7mxXKi2EQhdMEcjaQwiabzxHdP9QpPz9m1MtTiw8Ry5sQ039tmNLZNNGGPFAhX7yrMfG
fWzUay1K/mHNud83LXpBwtS5TnOXRuRli+mN/PTkxopUseem7sLG1ubaUTNrjVepymWr26cuvaPz
gk8JPgoxViTF3kTWEyBjGR8He8L+kZCiL9vuMy6ei+hxmo0bdw4csUjsWJGzElVV0g7EdFgzXzsV
NhDZ+uCYd1A65lHU7qR2F0b1og6f+kqbRZWzjskhbMN0adZnlwGGRahH2w/cHzggqq2WM2k0v5Tx
Rbl6GkFvRECWhK3aOl1kIDjFQ6mScGTHgFgbsAxMctp+mXCVR3zpw3a5mh7FA1lm/Syis5ra6bwl
Vi6TIYhbc1Z4NCBgi6jarMA70RMDIIAyzIeinzNcWNjJjF6M/Zb6a5/0mhExNX80cvdC3nnw3e2U
LCPvJuSz+9LmCUvn3DPJzJ5L5AEwinI+WjOQT1m0S4/ULHV8g/QT4pPCoy/qc5q8TFos+5BCkGYG
cROrb40x5eT1i8ImWnNk5rMtO3TKW7+7jaJ3SOUV0lHgeUo9zLp6mdSrhjGG3azRmRiAPLt7cQUl
D4ypybKlOSyS9FlJb2qFHMl21o2POigei/G8eVu8dHDhwV9AnGcE7etXhdgynRQHO3kfrK/OXGvm
zuqvSn70moUfHvUnTz/12kKRKwt5FvPCRN919AEApVr9En1R25CKtlTSbdY96CTrGeENmREmcloU
cDSDQPcweJ2XIQXrFHRC1p5Cd+CGW3bRgV58LMEcTazcwb2iiyjMBdA/LyL7dBXKhUF2kWNixlo0
yqo2TmZyA/pNJXs2WdHpg0erh6vYOA3Fvq4J+itJ3Fyl8W1mb92I9DK+gSSaJ8YaUFKn7c18NxJp
WO2bbifaO0GiNIFjmnBxHy6DfEX5FYzHofjKXc4Ic+Y5R1+iZnhJh3fi5D3Wpz6cRnFLi8mJLnpP
0salLDhG5pVdAwbl/LuzahykmNCUaSj9GKZbAiricTuh5ICpRsEa5AcnzVaGzwmSM4orxuGkxTX0
K61Lw+I2P+x44+pr33vI9bVJbprVnAP1q793HVKZ9xZpGuOxqzZ+uRUl2Vf7xl8n1V1AjLyMeDDE
QpdiriarDFp1S2dmJAZSXxcmaNlHR67KBN0WmZmcGYtA7myV6MF7P9qUh8g7Nco9RKU2PHb1jV+C
jeXdYx71tsCM5QEf3ozZQ2ivWIyAM5N26RhHkKwRyQT4gJSrM14kcVs60BdvWf+ofZasWDkuInVH
DDKeTt3dCiR8+s55TDwK16uJR1efq2xKu4CYIopZ7+rj53viH2apYadw7HfHve+VT6fbuzuNJ7Da
euZrV97znNX2e+5PSPhRf9D7FkMz4yzyd/cendZs3Rq3OjlVvIAza4giiDPUEztEYSCuVzBQZLPG
NxnWL36x1ox6kaOYlgCATWIJiH7wS7KCIFtL+PVc7UFXDujwnNuMd1HrO5IEtOFBSQ4j5KqB6VY0
cyqotv5zAvyITD/yMIdqk8YLYXYHJATo2ICvZvncMg98+/l48dQPNj0VmZ8ZLnPzs6kvOidCddTy
aF5ghJQEHohyVgb3Rr5TKlwr2bauqA3Jbt7qxktvk/uyQdDWlOto3ydYekBcJ1tUrDDEDg0+aV+s
XUZPFs/Ta+Q+u4R51lmBQWIZgZdW+33CcE/jgUHuZKoPtd2dNdDgRdsx2mMclzLWLtAhZtZCbca9
7427oTuLW6nvOHF3qrykfsdxqi0Dld4asyAt3PnEDKbuJehP6fS/ks9eTdES3aaeuTWga3BpcCVU
wlOP7xBtuh8t04HRFF9hdquy/8bWzkeE4xpnjURGUq/3CFEcn6jhaeSYZQiL3a+ejmqHAzW0tBWi
VZRNDSOG6L4alBv0EiuDWAAs2R9IINajrt4WLgns+Vx+4rXOfAIbEF0FGyfYTGmCsfUkVFqqbbAQ
abPNXPzb+p3YMbXNERiP/H+DchY2OXqFvxrSG2JRZzlBlQU4LdXDQkFqb9Vu0VFRHmCa5B9XNlq1
l8Nzjv+1ZHvUAzrLMwvYM0dO4u+afD961sJCVXgakvVUWLnA1ex7I3kzOrwQ675+85Mnrb2llPL1
Z8dEYtFtrCDZ+Y95re5U9s2WsNH4XsMq126C+OhZ2jxiE4vzPV1gJV4J6EdyXJfRfXp2gmdbW3md
Pi8Qi2a9N0OTN5fVhUD6Uqy8QC6N8Bph9pjkXVp3BRg8d1ICTJwDDJhZ4+wHuifGQjVJ9bwt1FMI
x5zpfnHS+//m7Lx23Ma2rvtCPwHmcCuSonIoSZVuiCpXFXPOfPpvyH1x3NWGDfwNHKCB07bS5t57
rTXnmFD+eBjsAllE/YTDYSXLmy5dk4F+8uv8hc2Ui2vNAdWGbnQ/jKWTRsevmJ6QCs3HnPC0uWNX
Yu5bYDGOAKcFbCjVydhz9PrUH1NLZBez3fj+aC3q4RwijfLzbXlXxJnQyY7Z7JalA02YaQWb9NRB
iGfj2lg91x2kiVgjSW2ZJzcl6lY75ZNvJyTEINAhfVNcT8OeDO1Jud27NiqvEfJYyOdOuAyKl5Yr
RuoZwoB5mwvkfwIcN1FzXf38hyB/0CKxTfPJUm5xzjGfwtRH8pBpJ8l3pNpj2K8fBP0gV5cEVbM+
fJo8viiEw/SqVgcVKKxHkGlXQevj5RFr7TjDSAlTsoumLPUwoMFGdAIp8AoJqsUiggRIOBu7jkP0
JtkCJCmD8X80i+4s95igAZocRfVLKR+l9Kswb2OyiiR0OJm8mKRDEpkPWabhdSe9/NNHPssNCsc4
85HRQcMfneLpORkSV+QPFk6HyK8OoQa8k1QcC9esowiZabMSXFmNyOq2uLL7bAMkDqiUhBIiQeGg
PsbpA+yeQl6a5qOq7ufnpn7z+QBEa4/MxWX4+zVUehrbhp4f83LgXEacFX+wjGUCh3PSiMAszks6
m5jLWmDxqxIbOW4w756hfBd3WKzXcL6qvidIe6U89a3pZOaPnGNm+uSpmI3HvoDjLji0EEpzzZxy
Ucl7oiBHiZkOlLz7V5f2NVFZ02MdXTKrKdxs0C6jiTUAlxkjmoqsXWaTBMiSZACrX5HfMbZTeX1p
MGNUTluMVkDNmdSgCeqrt9xEw23uJB1MYWub+rMWkU8e2OlZZfLUlyFajYchz2wRGFZBOo5QfRRh
5+jiocThpRSdK4zI4WPZ4wPaeGP/1tP51nj/p04wdPE+ONNMrBz/rhOKjtwV6lGLhE/5pgwRMxMV
gkxeVEsCqqal3A2sauO9RGazGjriPym4NrWBBB0z5Zekaz8kJUDUXgGyw5KRGOG6101P9rm0SqF/
gOS6IybmBA4rdvySrVKgo1pazITU1npRa871yfgg0XMAqNle1VZyrVCV/9I9+VZ4/fM5TZ3+Ca0y
UMLfCq9qUKYokSKLAIUnATB9S4tA+wuTTrr/Jb+0K36+CPW9jFxRlkxV+dYpmjIdYHZSEcbSY0Ak
VG9tKEC6YwPZ3X22ozWkBWjzsEOuJNh4ptdRGv6lJ/h9DPafN/FtlGJaY4kmjPhNOJjbrC1PWhTu
ZXEmZrAgZ9SH7I2NryfS2B/UJcg5RJ0VOZzIask+4O3i+2NHAQXgGMTfsctGzDi09C8Tpp9m2z99
Wd8q1HjOQOwGjcWkX7BnH4wDGREVXj7NZ+xGW0av1po+vAsIkQqT+6sP0n5sN3MwH/kMz1IH4CHq
NlbbLaucVrQQr3DQAg04I4264jVcqtxUqrJ70caLlFPdUvmQVdbI0FZVwrlIzlGbBIl/4mDGtAPC
pCoOIJQKqMv0RY/vs0sUT5JmKh6IjdZmtPrVAHZ/0L2muFi1DGz10hoI4QsGY3LpagP+zfSMcNAc
imOfXluBejDRIT2LD7n0UHUnOh4b0V81TY5ilHmGdRylJeQGBz0B4wzHirdNnZ66fCsVoitUL/1w
isLaHovSHQWkZGW3VvytqM5OhC6K0fK+K9ahvpWyCT1dVxCkIdujSIgKABdJJiGQOIUHSxMuvdLv
CmaJf+7SaL97tlSdsR2zO/6xvj1b6lipRE2y4uYiCiG8qG95br3UtX+LpmlfMHHSfeEGf8SNBN0x
0OA7fTq/Eijl9BCDDI08Z4wYJHSuBX6LEhZsJcZLgxDEOn/qfIXOo+KISs44DlhEkhLNyRRLygns
Ii1TL0CYTGcRzasyls6k+04O2pJQUm4a7XICrFs2yjIzeuqxYNn200pWg4/SKkoCMGLuVcKrnwFY
lrPMjduZQFJirCkGEn06tinJ5kb2/4HxEzUV97Uqy8hr/pOdJUp9GWsZnc0IxJ2v9boXk68I9CFU
dhnB9WVO3FoS7RV0lFiIDZTd9fgUNMA4coiVtjQrwl/OAum3v+Mv7+nbiEMLO9AeOnvkYJPwsYqf
idNzqEI3ga1uCa11/jYK/z5U+Wev+uUVv/W0Q2saKkPjFTu7c5MHAv6c4lM7UL1szadu+zcA318+
oH6fzP/SFCNQKNZqJeHhxBpRPpHppUR/2X6/iRC+f6LvWDzZ1IfJQgTs4OwC3dISYzuL+1lJ39pW
ap1A49YWx/Pbnx/Bn43Q/2ym//si70bRXz/ZlAjFxPkLs6ch/3OUb0U3p7YVov4WCE6u1KuYiYvM
ENYCLa4JLbsqqEtpIGPRKG7zgH9kjCpcdeM5G8Mb7qCN1AXASPuDGKsvePKY+5MwOVdL/NauiGpK
lZOXP3+Kv313347PoGrbMYz47u6yRAverwUZWixv9KTC9lWs+vOfX0/93eVHNVEdcO8BC/H9xxJB
hZmRycYl+NHZKpJjFgzPesTQSY3AAbb6azW3VzGhaBrrS9jKr2EsHoQutEMlPgQz3AArpRsNWGc9
ZCh9tOBcSMpK1BrXEkTqJNOduRn2ZbYXFOUpaSI6e5qLkbuArhTfEi4FMpGQsZ6t9Vp8HBHDiQbC
MEKjxmaEktbVn3C5vD4gMJ6UvT4HvuzX0fLP38T9OfvP8sG8azJZ0uX/SFKMAI9Aa7Xcjoy3OTFo
/hCzLIUbM7b2qUZ4+Kzu5HuF++eX/f3z/7/XVb49kLmCejVNSLcdG1y4kBJWqRg9KjP+WO4mVvWo
IxY3/PK1K5s3MBB9TwxxTwbOn9/HtwnNPw/tT5iqJIuMGr5dgq20m5Q+qhFMyTX2wWhiIxqg0PTm
ShxmpxTwZvz5FX+7E0H648pt0aLHhP2v53UkmT6fQtrzI08UMzg3JO1nDkvnzy/z+y39l9e5D1h+
2fFgzFkYncj7ax0hcIl+pzGwklbj6geT/sjyog99VXrS6c8ve/9b/7uc/vfpvn2f9SiJieDzqjGi
JTggtPeiZYur8M5B+fNL/fYR/uUDfjuzxKgqJb3gi8zA8fn1us6Vv/xUv/swTPAokJjdIYj9drvR
Rn3ocqWgQprKTS3fKRVF+UkE/D6U5b9cin/3aX59LfnfP9c0QyiUWjakursQSdz/td7774eRVVET
WXbgdcm0uL+BX9aDJoRtnJSA6PU0WoEW4Po5uNlIzkOZen/+ZQBJ3t/uv9fBv1/t2yofyg7mkxnc
M4QGD0PGcg5vKa6KmFwDek9CQjJuRzcwWiU91uuu2ZWy9oJAa3N3tGdTZNf+GpyZj/xIjrG3zPwK
2TplUwhyegCm4XZ0u3VYPiO+uSJCfkBdjVoI0k6G89yM6CQXu5agecAxkoI5Onux6GvrUsEjJ9wn
Xch/KQvI2TYR/KqXezOjATAQsneT14NNAKRb/CkJ+6GB1jaJdi1adts9alyszaTbFqJKFqMPQQ9v
lQL0TpfoFqcLVX4OORuSOab4/0pY/W2KjqgXbxVOBY0gayvlQuA/QC47DcTVt6hvq3rTkG/IxNjR
CzoGxWo0DpY27Pz0pte9KwHjM6StTzjwZIh8gwXfBFluTEBirKkxyipS5gITphsebnX8yMpn+EY2
6OvCT+CCMdosCT4OQrstNyFeNH4crGqpCSlkklZKlGMEjm0V2RsNNIsvciP1uCpFadmTCW0GPfsj
82rmbHUuunljrhUBi7XMNhluRG0XFZ8mEtqMzmqgq4wZ6JLvyuBNSm8ShWSrvw0JA6jgKcXjPiDb
qvhpFU+lo46lXW9ivsBhh91obL9K5WbGA5GMWM5wMJVozLTJzoXaUeMfDSmICcHXFqADI489+W56
oV2tYP/wmxdBPZqZQiM/sc0ktjlEIT9YeBrxTQXCQhye4cwsNWGpmAjOR+ImGXzq6jI36WQFzDPL
twkXkfbex6wLjqhOPuQZURoigXz3TEg6YDkd+ocweI6sPXqtRVUNtNJAo/Ff9+XXnJ0UflaTFqI8
/qjyc1KH7r1QHZJXNJebAM+gj9diQmxsrZCiB8pHGn7mwZs6sMISkkRACK1JGtTjBll55wZDh8qB
XGifgdf4Npk3fzxBvFnUvYDTnzAL7Hga74D0NfyURwI/FwruuTn/lHGL+5AX6/dWfKK1HmrrUj9H
/VGLNzmjTIzck7krwJlmfkUgxntElvz0gxlOmV8a6WUU7o+Ea3Zvin6zholpCEJiZTFjb8G9RQyE
SwyvEKOtrGtytm8A4bZGeRSJqJvJ0ssx2fuZhxcr7h8NOn7mJfUfU3w4JqmUarTPmte6vImQuOiU
JYXFsIjZnIa0Ljbgh/IQZpixaw8ODhWTrB1qeSuKzOoQzvGkN6RoDYSgenL6FQaHAoSXEZIB6gax
TEvzlEETAvfpx4ozjQ9Ccw/N49dSaeunz9MsurMVuLqRgWcmOpSKdE7v452meJtTJzZXiozbQNwA
ZHTlFN2jAHHd2hW48GJtb6TYFioUG/ViQARdFNspP8bkn2P7souhZ+i+bbJlwj5FIBM9CLh4MLjS
g9xVm7l6MBlwDNa+JEoFmuCylFxJf/YhhghwtXnScm1Ddie2yyt2I6yWtkQCPKEcm3Z4V7mU5tKC
sAJuoQiblSWCl0XdTutB3srRvkGK36eU/cRn4EVOMzz5NeKs98LPyKPXbbncZeQX44a3s58pxZeG
C772rioHg+HzELv3uRkMoVY78TQtxAK1eIlqXXjCzKkFiB7Nk9a8inqJVfaxQfLZJvJCbbyp+4KT
tAjDya3ZGP0M//xL3MzsIG7Ljpm0Xz7rpquQXs6PQYqxI2NStW+DnSL4ixQsopKfoE72PTr3g8Hf
gcJNFN5Efa0QCFo/IUEJpKOl0s8TmN9MvZdPp8p8ZjR8j+EJBMb4QkfdgwwVM7giSPyW60hSN1Fz
ShJ8jRqD2wYsBewY/JOG7JC5h2yTh9h/SYSXPv6iCbuoxL1umotyvIzjQVAOyQhvBs+y3p9A49Oa
ZtvFYpprCaBeKLIFA+WWt1pam7KHzB+ZxEPg6Kpn2g9MWGFC1LQyxkgladxtDGbj3YNMTzUWt3H6
rjGTzobhE332og/P8zAcZqamYao6HdOCjpwKFbhmK5qr2HpvLPoYObu9eFXZxk1LuEm6fOsyeRUi
ADAYlUPYYcXLTGmriN6Qeq0hhdYM50PotWPPIuaZmaWvXM/3NYkXw0gANkois9QYW6qLUgb2rOqu
FCZbZQ6Z7ZL5VJms6MzlDHKjOr1KY7YagFhqHDX87SL5jvwMIr5H4FJOID/iSMTwD4ag3XcD6b5v
zPoV31ZzEoyKtTzfCsw7qh7jKoa9CpguXGIFZV5DS1L6CmnKzBbiflQoFbx2wZuzd6MnMZmZAwpn
uFioom1l+FLGXaD9iMZNziDRt9t4bZIBr4WzSxtdCVeaygnPzKqoJTyBoWfojJSznQjyIzKOarYe
mshWdXabNqaMg//5LLXwkHM31OjqI8eO+y+oZQ6hwwuFUygKnFRmKvNuFQTknoT7xYAByEzYrMlZ
OYGGk7xOflf1h6RxWyC0o3aepOU8r5BKxOOSU0LjoVX0VR9shfvNqLqO4pPRc44gAZkGG13w0Q8+
fM57heJyIJ9K8JuTAnBIUHhAGEqICV7+zlp3bBjy/FGy2yeDuA7mh0DlKOvAaTy1euPqAGsNRL1o
h06TghJdsg3xdQquyBefSr09GSSgQnreBPGrVJZrjvUUxP/gQjdykr77wiv2jjgN1WtNRXhHxso+
CI+CgCtQMJ9xSnIq7mUNSX1lddhEr4CiT112aeGdBGq29KVy0RlAGpDuI6GOpVM7eLV4muj0peRf
y9sp3KvZSW2WjbaJ2T6AktkdFu6aEjAJl/5bk1nLafiqxyUDqUZ/aScgHRHpvPM6hA/QskzcQYTo
QLj1U4napNa8ECcquy+qcas8Tzz8g2ywvYpOiDE6TNk7/LdBIJkXQobURBh8boRCAP3hbRJOn0lX
I683GU7VOBK9Oifhtq7eSpilJd4IiaMsabgGJk+RcdAGAlrHECT5CvjKEH76/vOovivpvkZbPw+c
S8z2M9XFmu4kIfdZ8C/A+jX6LZOqMBppVhH3MnoyUfosTRs1fO+BAQp+up0UR9V6SBorRXgejNEJ
fZWpO5L+gluhWpLU7rYUXiVX3gLg0JR/9aHlqlPlxtarxIGN/DGbyZMTfMhKE77d5Byz9Ss9V9Vo
drV0S+yNPU31Y4UDPStNWx9DV06WbYAInzJ5qqB9sLUIJ9X8cc9KQI3FojvMpNUNBJMBFgYDnzNx
bdKXIIIG8SVQn8XZ02Qd8+qktZ9+fYuCU3d/sDgWpYaIWpRai1TcwP3prXVjHZT5AuDGzg1om2jr
TcZl4riLoy+CWStpXVR4rciNklHq0+eaDlkTLCJuQfLkCpw+kMgyhfAr3wV3QidFewsJuUuiT6Vb
TqnDNNeXc2wgijeMwiIfg5UyfbZKsIX6e44D4CxYYR8lCCWSAEQ5QZlfV4jkOAvdACkSRUKDtCFU
P+ZyBa1oPQXtTubIvCfdNwHp0nf7jpzsfMGps4fCJLc9/OjSW5ZeiRD2S38RRado3A+x9kjfcJtX
6WPCdcOacH30aB/0p2C6xNUtvzef6By9TnLhycHspiJ3XwaZFVhRnx3VMuwSj3BNFrIkvmbT7JFy
y31adjtDc1uZv6t4KzPTq1PRhQqwYnSxCCVtUWJRiQQa4dNAGLcYPVcYWSBYM1iPsIggLZ0SWyPg
pcfREYUDmOtmmzZrsYcRulOssz98CNW8lurYrsFL6lzSCEFymrQ5JmHOR30Ye2ox5jLi+CM1obm9
tdDDrA7dK58hfuvFtwb9VdUlq7Rn5KmHDzPFGRpnkPOWp0YPmvk6hBgPRX5qJ5IfJI29YJnI4IBs
1XcK4XM6sAuM9zH4UiodwfJEVCAkixWnBlS+AWHBroe3pLwqCAQARoF5TlxDLhdxsC6nncXmoUlu
iuFPt9N3+DkNmWeCHanc/+1EhtJ1CIRD5V/IoQ2k5QjnM9N3UUto+o5oK24vq2GwOdtsLUU6+izq
O9m81f5bKjIS3xktE2c77O/qoKdO37Tt82w8BABv8sNEDzHx+Xle4ItNIilpt6Y6KehKjPcpv6TJ
UQtJNIa2vmyER9BtHKC0yorsJKtXXXqphw2PhpEwtVr6iXdPDpxlVy52eCxhFIkiRcvopupLyDMi
XqViOfR8B5zJbgGe3HivcakGhQtyEqjLVNiismkFG5EjHv9lYa5abuxhiKbJFtKnTtik2nPasj6M
M2rrUPaQsw2yI84HWX7EqLUoWEjlBAmseWQAU0XrskJkKB8G/0npoJ0feoRad2DPUphPDRGLmW5D
MB0kL9c/ZeUlTUkvX7B1+tony1sJsUkSHs5+1g7IUXIEWU+KnlHyXMYexL4j06md94LpVbmTowc8
aMWVlxxBUTCBRtZT9evSvIgli5zW6+hYlavmSyRyrbY3Edaxy477WELCQ4DdYm4PRQB+ouZNL7h/
1fMK4d6grhT1qcPYLyH4XwbDuh2/UMr43RtpjItaih3TetF1AzfPSwtGI+NKea5SryXgPPYUBH5E
jyWPeruvT0a552mayh0I7LbeCDKv4IQNV5Zt0gBWcRThRZ/X7NLCU5w0i0L48AdXmw9+/SpOL9R7
lEidshO0rT5efJZx4/XAFNF4NYDAN809A9Hxg2UjEif+njceZ/z4OswXSbkq0aZARIZgJn2dW2oW
z//sWFRFuNdTF4xRPZ+l/oXb6oRKorHL/tzg0JZAZ0wcjesZXmC79K1lGj4nBMrF64lLiKLRCsCy
7Eof+BJ9zkDkGc0ODAlEnK3cAGxMH3HVpiHH8uou49EuVnso21U97ebusabgDpcmOF3KzH4t8JMN
iMwIXLNDhKBEJyjys2XuUn+nKuvmProgKdq/N1FyCtxmrL6afHoPtQEhlbSdg/AhN6aTVGEqa60n
NoDhrrsNtoGOotILeEZ0Nq9sOY525iNa3enSMxgsJihy4sXmNaguqCX5FKK0KqctACoBhWUOMOcM
ywJ2T4ftZ5I9HBjq7LZcaG7qPXfUnSKRkMWVLFMKoMwZ2mWtn7MBhQodJxhTvmybKSfNDhM2QGDU
0myu5SGd1pq47rOtTy5o6koT2dA2tvA4X2jmQcnWEydlNsM6pABMUHKuIvC0P9nMHjUWRJphQIV1
17rS1+XbvvlEfmjSgwWuBaDVXDppe5ZzL9LOurlDWZcJm3ygVRBsG/VD56rcvwnoIuHKtlB2IRk1
W+62hfUyFuegihdySnq8F3b8gGsmJ+ApdpJPbRXdlZ1T/mjEt7rnwkIpeoR4WamxI/pcsDJyYbbs
9Uza79dVUTjTDjD1fVndinyvBEcBwVqYUvh9pNzEaXLFeAvLe02xgExUCSfu8YR9qNy3fM9KDzGj
SZ4w4ZoDPsbWfJ9idcEOHVZ8F4QOTyazU651nAbQMMN81/VLHUuRYMyEYYPS9mf+pdKeeuq/ydVA
apqbQGWHYHRvk86IghyRypZ+Hp3BrF4z/a35hePwU6wu5NA22aNcL83JMRF0tmddXYPwmoAQqmyl
FMzXWOd/rJGq3ZiIqdHzdCvka+bkYZJBfM3X2q8q7m/WUii9Ul9p3AcNx89Wlf+kBSwqV6Xch97s
24yRAgbbMt5wQjE8y8Rm5YY/auVQiNMikgCLfdQvQ9U7i7Y5WVRPxhJB/JBuR3OVxfuatmZCQstm
AC5eP+bphzUsLEqI8aFqlqG14cQnLtYefU+HtKNeyYDNp2funpKJhPs5K1dCToruSlTWkXUbRXTW
O21401Q6qxKSJBTMKFWJ0i33WbIfKEaBMejyFVrLVJyAOSJs7YVXSd1p0U0tkF5vsmgV84E4Yuq9
1b8rZHggehq7VSkcm+ioVeeqxO/KDXQ5tmSX0/+xa65P4KTC7hKFNNX0TazScbLvPPR6Uxp706oX
srHNs2ctWSIIE5XDQD9T8FpzZcZEEojHGpwLmXzJBvrQAjW4oi4x1dpcyEfrpOo/2pjt/WQyfDRN
zLKHQb0aqjtSohALVVuPA/S9GQiY51OCqM/9eDFpXo7nKUV3tzKL+y5RSEuJVVPnr6bmNPQuW4/f
H3GfkFBlDz+Ku34OKuJ7mu3S6UXK38roI5peubPjiivua3gnJps6xWnffXZkAasrANdSc9T5c5q2
nOqNWj0NkyPK71lZL1DLN81jFG1mbgX6OjaJF/Ho2JJRPEubzKDdibdWshXuQASw9tRF+qsfvBgU
3/OzJl183wX70g7gHiobEncovfuy1+v2PGCYd7Rx0wvrUXjFKiLMS96RVT43+rbXHwzhZYLUk+wU
1aaEDVuvlg5oSwe+Hn2D9m+uqZ83Gv9vd5gVRx49ipb6vQ53AQNojS/YqS/TfBRRBo9f3bjMQ5KU
hkurPWTGUk8v90Ew/j+reOu7dWytJ1Bo2muInbdHpnyopedC38vNQaTjj3U4Cq4s9RzOIvtNbgGz
yR8ybSliCJHhgMoRpKhuVVSPClOchrUgBa8Nnzg8DDSK0sJpM4U+hzc2zcLKJEeQ1DWsAkFvnHsC
UVF7dQH3qfRm1l6q2xOB4P6Lrh4HcTPwIsa8SVEuWcOLPy6ykfHuUu0fA22bG++diD59axRvQ5s4
gQUQn3gR3evHo4p/SYxuhf7FfsAFXwHTI2d2MV06KnFDPOo6949nsa822ggIUZoW8HoT0x7Gmyzs
ZMbXMqq6pwDIKEBg6da071lwCakRZP+xyi5JdtDkx1bFUr7UUCVZiD+VFwhLKFMV1PsszObAOWAG
Dn0fv7w1VPHTRdBXACaCOzV/C8ZR5XBohgfMZNawVeP9OD/PA28TVK5MlQ9jotQ9wVq1GpeN+xCF
tTSx+SiULP2GRnkvvxAQNefS3V4y08uv9oxzq8bG0sU7pfHPfLt3BXpDRKPMCRWf8RFGn0G+bQiX
xundtZ9odvPERkSB2LJr9/78Y4hXJVB/0YMuSuLNON7mBDrcYzq1dsmUvvyhzqtMnBdd+N6NUNol
W6zsUtqV1ZVKZab1iaSYttp8bweusXen5k5BOqc7VuDIspeNSx1NYrW3YA2UPnX4UUQzm9uDdmgh
/pNbVu4GJJ39piW/uzYQYWH5CRYyMMMM7PVyKLZj44zJUQC0SUzyAPAxAfZybKNNWCxhXd4D0fFx
jqwrKprGi7ol5WEXrnJ/3+suo5ZFJN6CbGN0h0DhEPL8gFgcz2iu6XjiIxkRdu07XeA51j6ijCME
vrAj9VsAn01wHvq3ecpclZZA2i2L6oz3AfIiGM0vJn8U8iDvgBDQjR43YLOpMCiZZ/3YhtumOJnd
CaZwEXiWSKGtOiY+C5/e7OOdq3kXohmdo/XFQoU02rOZJ08Vi99YVvoWOI6CMByGSO/SDJkbKAjJ
pqRW5S6UbUQo1iZz6cEZptXYAdWJF+JrpYFv2WT11WIt+iaQtcRuJ9R3I2R6fjpcDU9DMF7muViL
hatU15bLUJqh53+U5TeNbqBybfEPAGqYPMjDcetCo2NTKPUjM4Iw8u75CJkdiGul2Wr6StA+58jJ
We44EeCFoeWftngKhHyV5Vti0KHeKsZ7H+5gNjAKuDthx2bC6MzVx7WyHwjIWA9nBah5MTBHsVsw
1BobInq4FdQMQiLCeqUW21ZZ58woCxbkAGqHcZBZH1TEgPe5SWLuTYZvFTef9Cb3y6SHxKN/wd7g
okppsRKEnaqSmIUKBDW+tNLoEAKbzI+0ckoOSoQabq5sEQ/WjfISB0B0UUr6DyrN+TxCU77LilWg
QD2dKa2PUXAOaWFrGwAc22R+JmlTHkHQ0eM0h3UBChY6iZ4C1TmYzS6Vl2PgwDdYNBJcSzIKTj63
UaJuu01q7OU0Y3GsK/2gjiCOtUuXADYrN2LmlvHPjs0QX1JmZwNt1NLcixk1/Wff8d+9mFS8eXvL
cUIVsAYqcZv5bBscNsZoB0zQ8qCiwdA5VvglSjd/PqgiynRwUL3upGboQFTG7Be6qNfXg3jpoovU
GZyc1DPxZ4fqeAyKQ9r1B/LfOJ1NjyUx44r0e2x/lSMjGk/OfvVlgMmZbpNyrIOHQgYStImrR5a1
aL4F3Ua7F/uY/HCQBO93qmugs8N15eyFPnFGHFs+Gr2TKD+M2rOCaaCFskwnBqiaIzRslvMRUM7Q
LfPoNaBb5wvbueJpbwPXj5T9ED231T4OTnWLQWBbRV+t8dDme/jHtjy8jfonLZafB11Gh5qJHBxD
N9RFOy/BrhfXoN6nzUdlvbFFTGG0lPzASdhpzeBGp0khVMrPl6W4b5QrRJ8ZK970WcbvAgrtOvI4
12LTcDrgbtpIAwmoCZdQhVnsJxcNADSOIX/FhMOkgTMxn5+FRRa+FjR1E/UoIeANu2w1ap9F779l
jXU2FP1STGtRDw/QtLyy3QxyifCAc0QMGhT03GYCv3+eRlF0AqW6e69pp2pXSZLe9fCildzXmm6y
o1l6LjPhGE8JTk3GpVnHhExrlgOw6xxIpEN7d93qYc7ywKhS0R7QW3kjtR3GSrXBjTPIF1PINubI
TCmxtLUiB9e6+NIg+gfNaxfQQB1Np656MBfl1sjiVarNHQm9dKx6eWfIsP6DpQ9cvAcQkr0GvX7Q
u3fZoCerWLQbJN2rdGi8PYd531GDlSLZkzj9MGIK+SGon1vrTPD0VobTCfJ4H8cpf0oQmPOVq9A8
cZG2+4ieoxTbAUTiqjsHnLpiRYMuOun9vO6nwL5n1lH5j8Y1i3MSCQwv0c+gbRcwCRbsTuU0egJ7
bjpRQErBRmPlq8kQUh1m1TIMK+5iKkdTEMmUkyHLMkus5zkM11ImVefSpxUIry5dNITcTUFqt1V1
LFXMUIG+yqQOtjqtqZrxV6OAXiwt60OcCO6D1I05GA5PgYDD4ucJoZZ2QYU0t0NvMJXVUgj9PQ+h
Q/YKzs7B8BQmmHYzw22xMu7YgTKvIgjOjjQxH4TFGS8bX75Y8iRtiOQr7arTZ0doqS4ILUjcSbIg
GPe9vu0oKLs+RnPgKdZJrNi2/VRZD7F6tGbAk6rGnEWxMTrQ5qTJAwTxM2aWviH9jztKi7A8TH31
hmoezI0UXo2oR9YR4W6JiZSRfRBCfQXgSp8Oakm7PD82ZCeGN9i2XDH9VU9Nb4G4patjRPpKTBlV
aV9p+iM0HZL4bMyed0+YnlKXRgxexQvscHqQrcxolo5paWiO3jxMmA8TLtJ6/D4a24mjUKqtrdKZ
AB9FAjBn6wrD1FXar45uaSDRdUaTgFBAw4YNVG+R8imxHxE5s4IbD//4RyQ0KzYhN5sFz+LDWgoE
rJaUqQJ9tPbeRtyOg4OBzshU2lXrPzJ4ze3/F+t+ogwG4nxJa1Hiu7Hm9ue5eeusa5P/RcL1O00S
pEHJACQgm5r6TSVUYwPXRBXNBBFajkzLRdO4VYk9xMr48GdN0n9ld7zELy91fyu/yJ9a2dBS6643
lNkUxIDN3Azsyiy3f36Z34W08zqKDpFRIlzhp+7xl9dpVL3/P8rOYzliJFuyXwQzABFQW6bWikm1
gVFCy4D++jnZm5nuetbPZlOLMqsimQlxw6/7cWto2JToK4KAw96e0XcKk/BpPNOkOmsu9a/9v/xp
/4OX8vG3/d+f+R/WrmEIQ93guTsPXrh/eyLMq3LZvXpE0VYowPTCh/9L3uWfrtF//4n/8cU1Zk5O
Xj3+yi0Orm2ztlb20lyr9X//NP/pzvz3H/MfX1rgUY3aWPyYqPmUOJIU+TC5HXprYZRf//1H/dN/
9+8/6j+MiybEVdVUfIaxe03Tv5xX93//Af/zleHgJeCicM1/5K3aTnpDGGA1lY9gqnzJSfuRnH/a
YzGNFMjnR2r9//8TlAbUGPrzTDp/rH/llv6fy5FRIEsMAbiH1C0bhLRsYS64P6Ff9xt/8ldhaM7/
+98p/2n940eytMZb/bC4/udNnQfUQLRZB+gC2h1RtwHJJZRxvR97v3/2XVKz9EaCShs+4ctsaKr6
JizSLaYu0NmGJBl1dYTN2sRsl45PraetNiSbxFNveCdhjQse/C28X2fAGub1y472oU1XuVfKj1kO
+ei8Tln8uWNgr5rRj09665ebRFnZ3WyScS6b0vmAvCxmndTahSMxMdFfgDej1v5aj75Kq5PutgSQ
ufhfPhq4p//wRUqwKbZrO5ZwxD/CH1R5RgYTBB2pFf6AKOWVX008qUVu7oEekz51jJFTUfrekZM7
wARjZWGkj8pgMcy1xP2ZXB/rPintlSosIqrpw9Eyeax1a9Bt2BHX5EZK4u/9S5br3yki+jaKI+D7
HS5jcBhsNxlwtoET8b6pIuSaHl2XXB8HDr89KU/+pDHyLQlI9WRQ/bop4Nw9fIKcNUM6DigOX1ai
MOdd0xqzqgve2k5w9cbjzhE420a+/J1R1dneGgS/q48jy82nl77DlAZZ5cMew7OKgGzUr2m/UMHB
9/SnljcqFNs9DTt4/DqCdNjCjRq6tbdiY74YgmijhQ/7h3qKfYxVvOJMcTThece4/EQqLqaBnieV
faDuaCUUeXtCmGX/p8CK5MAUH5qHQ/XdkEK0dpuj5WFHJKsvAJjRWLBoOdZFfAcJqoIRtgjqLjgR
toFlS4Ue3sI6WkOFXKhh7/anmKPWY5KzmcRLw2MOBKrqGE8VohTeUhftpiZdr5sMvRAJdfDWbepu
9SDZjO5bKihirS+Wp1Y1QwINvwtLWPO60Wcev44Lp1ZLzU2VeU8TxHSqyReZnyLLtSc4uKBL+72q
MDI07rawbhr7Bl1SA4s7a2C1ECXfBRnEOsRKT4dH1l0lBsbU6J9CjTsgQAKhUQI2LeBu0vgciRG+
WIGws3Hs98SxlpI1UF18eKrClOUgDbJ38yNO9H9szmHpFcgAWfSb6u61IK9NyhCnis4OAQdMYUAo
7TccmZYGJaPJVL7KUXDoirZ62y9j1o950mMnU5R0aOzwPjVRzCZWB/RbLjPL2XUppXoPH2sRp2+P
AH3vcoCwpmBv2/QIp3fVJXdY3mcpy2uZefBzZbsWjbkYcvNGouEtlYbaUlSwGPqIyHcA9YcdA2W+
6SwIYWojCrhcFt1IUIY04o1TJDXy1YRu4AcHWF/QExx/YdB5YFIsDtL+HJRYSyrRQS5RzJvFWLxk
va4d9fThYTKuiT562HjyvasyTnEOMfx28r/yJvN23Onk1yI056Cj14WWBsFCg8uegoS/vjN+4775
aOrpLhr2860HirXLoxeCJ3gAOoPdXanuogx+Bx2Z3c4hxdZ56nLE7JhoAMC0bo447YNkGG5x1u08
fCIGQbcnWfbzLE5vZiivkW7MywIahx0eaCmlSdN4dE1EK1q+/zWYu2LibmgukrHSC4NFAlszATTT
Felz57SLSFS4evK5hUxQPIrBRx/PVPcUl/E3nRdPto4llx6XF9fytjY+Ad/yXgqWvDkqSgd2Qjb6
XJbyO6Bg59mTaPk1+w4vemzixmQX9pDe6Gub9dSyPHW4sOhv2Jhjv4yMauEFD5CiIuvnrxoWyGEk
wDqwP8pQ0owQ1wV+0oE+D896qq2fKtYfTjz5+GU16qm+MjU+WEPWfRjwQ0YOIUtbRMWMjjH9LDFq
iMgAwoxfss3l43NFHQf2hgRUBujkSXrL4+HKNp9OEkogQU3tAie7DVH5WhXtV1/L5w4Hpdu6LzWr
Zj/x92VWXovSxwOtWYAHtD9zQr1L2hOUqe00pnuaEXZVjvWi4AU1gzLdzHKKXJDg63g9VEGxc/XC
Zp+E1ztxzU+ixWwOXb3jpDNUcz2w4y3tYR6x9uwmBs9a++VkPztkzp4m+uvxXgLxr4kotVGBRY9q
nUVkG9WsQa7bDg2oZL0bj2mB3TFpEy42DKZtiQTZF4a+kqHTI7DH4rkM6QUfolrH5oA1pbT6VRgz
tBS5r82qhPaY/NGnTRK12tEXE594AxQnFfLxlbHb0QSQ7FLyPUtstqv40dIdJoJdGquzwmePqNsN
mpVyx3hhNY+q75Galqxs5IWCoGYr+rJZlLmrSBRYxsFW5XSYJq4dQVWPGchfO21JqbGDdzOEITyb
YFzt/iAF3E+Jrwpwd7SoparmnSz1RSCI3phhpaHMsCE1cvywk9GQDR7YZTa0w60svRTLSQDt0Br/
rCuT/mqjh4ETsR/jUZFCTRZ/WqB9hUZZrSIF/CeJ7IbTV/Xn8ZJbGQ/vjLS8fGX2sCgG/T4moEWo
YLlYZf0K+BsjhaGeY6MjdOwDmlKYXqg+t0IDNIq/iFSPbTS5yaw+c0o+RNS8UCb4Zdi0QpjZwL4d
aq2pro7V3DzqbKDDLZ1aLpFGXvTa2tK+dMusYKOl0aVNx3lky13pTls3D1hjGtuOUl4blKGO6KSq
hD72ZF0ESNBec/JyGn0nXJlFRYWsO52JTGwnFwY1/aoQTEA7AUzduwYysp83J+4D3iNwaAySJTx+
mQEYMNn4BUm5tbAOOS6bsLoFGBU2yX5sUb5tFdarLuebF9WAGdjX672bjK91ksz1Ul5IZK905VBh
3BXXVJgzx8X7GBE2Fu64LVoardKHf6Rn76QWAhJOo8iOVQQNqn7aG22PQcnb6Zp5cHK5z5MUBUIb
WR23pKdlZH2UdfydDbWNfS/Avp6kb7YXD/N86m/UFLvL3HFoQtEe82xh498cqm0YoBbZqfs1YKe3
8EFwXr5mdXwh0HYuzfZU0nk1dzw2ZwOxBM3wXmVpwGExnZvzaLfXxuic5Na1r/vvcLRYdGbhpbLM
L0MAs5A8gUkrOCjRkoNqV5NsjrubpwNDTg19F2ZiAGxkGXNFYdOStMvZtUOclAxomcVikrz1HgAY
VHAukb2nyXVhULhihrQQUaGug2RVL1lWvEymDJYwIOl1svJbU8c+k7BpEzFWVCx1k6LLPovBa4QW
DSEC3lRp3L0i5DqigGf26JUn8MLv7/h0bWWiuRshMr3o64vfsoSCL8Eqo3VuaWx8WDbYftyayOlD
d8p6+Ss08+pAN3wS2bQyhP2Zm166AQRKosBnqee1/m7S22syahpPReekp9pR1vqxzupP04WINFUZ
xI3YrJjZJCOrZuyysliUo0/RiT0PauM+sACT/DS0m+I9RkX1JFWa1KPwZ3ks693urAjEVLL4YmG+
Bx691VMBjic8tC6GVpqnsXf64NzcQWxoZXxpY3g8YjBwaOvwc2x67iCebrE9fzkun1tgNC+uwghZ
Q2tx3PQ7aMaRnff4mmTTLeM/9lIC370V/eRDvxOyeEsBFhpVtjFBbbSCZUdldPsoLS9pONVYlK1v
hgifrXj1OtgAnHq7PNIm99632GXYTHMrLcfKPWcJpmU6wqno/Iptqq8kW4nMHp9rzViDkLpOMl/Z
pXkoTDoJjWqT1eHdmFrKCs3XslafsYOIVWo7IfDkCG8fJ+FpcgBy1zH4fH0laEL0o2iaJZW7VZ6x
iOt23bMFG0y6Q9n3xj6Kh58cC4fKV5IRTuXhF3f+jKK+0LBMFtE6DpOGYdi6dK3N/pF0DvSgLKDY
i4VvZYS0MSJDF/sJe0Rmt3CAop0p3JumppXqsXzYw/hM4xaBF935EWV1ouV8lYckdDRIVH6i70RG
ZRu9RJw2FqHrQ9b3jhVWqForsEligY7J1oR1txJp/BDyDFC23TwZsD/6Xcor1Mb8nK9HLTwarrYu
KHEWo7XSyg4Qp7FzWn1b9PXOg/2gl/Yy9Luf2PPndDXP+9D/HWy2OqoQBzOulvGYrctG3VsLu2nT
LC09Pjt8DaEP/M4Vh7DB/5t0XzhtVl4Pfi/rNlY+bTBXYsriAfQvr02A+trH6cHzmWFCh0Snba0r
gFsPOBN0hlUtcI+PUf7jePLeExtSQ03/IOsPn1828WauEbBALV6RPrdSFIfBFTpqMfs7Rx5GTSw7
QIFa5380XYF7oDzQ0/XtJ9ohmmoGcKXhHiuIEbFciL09lYq7vJcvAtW3cmI66LJwTWp73cOiSsuu
hV2qXULLPEq/ODBnPrsd17UwkSLLMF4EI6VqdrR/CBDNiF8lKLePZCKtNpsqZSeLpPHcTfLQu/3B
ZRWUlXKVxMab8Kib4qiZBPFt6mDuhT6VgkitvJbPXdvdZYlBJW70ZTJFa2n5RyNlKx+MbNfbtQzH
Ja2H6zxxzqauEXWLn0UcnEzP2NGytKdgb1H09iGJ4k2F5RD64zzpbcxSDHPBODw3obkszZxP0TgN
MeVLpTWrh0ciKmtOjhS7se++i8r9a/J87ZNgSYYJGxbfTdtOs6mpD2MwLV1wlv7QfnLQnnee8ZW4
9ht3Ew6hkb1qWJs/WkzYKhhe0yxh9i0Ww6TuU0tdkSiNrdLd3VgZdLhPUPka/6+Py9dkwl3gW3w7
ZCLiOJ75pn5zGzgTj4SM5AHthgoUlrxaPgvHgICVFondYyMmBDFhvzsNg//ob7jHTrTxx/K1NxVs
p+LESPQTDjGFn9rVr8aZy2KvaeHilY/ROnmkCYpLard334nfnWpYGjzqPchJTTluR6P6Q9BYppa9
GIWxG1AO7Ab0RekfMx6VVVFuPV9bdk7Ph4VT0FPyqlK5AoYezRtRwRHLQKjnMuEfk88bJTdfwh56
X+rVP2PBLqlPtFmsTcEC7Z4IqcKw3Zgt9EmbRYaXgxk0K+/H5RS49EqbjVaLEaBg11ibQJY8raMF
i8K2yoyPtqleh55OysCkJbPNKf+qAuIzrts/6zkWV3tE4Iff5xbUM1TWsZgYgCNrwronjGymWE2d
A1Aoq1QiRQVkWWh+d9f4as35kBHmycKOMmQMeyhcVAWK6Op0JiSy4bEWVMN3WD2w0hpIQ0If6Lk9
cYo0CtgsTczbcczGRLMwMZV+RaF0fSIbkQiOcQbHW4m+aDXGZRhdEGuKqEaRyS06Hek+ZeZ8yCyo
A+EdUYtiQhojQlw8sPQpWVh0kfaZlV6wTDv5XerhtPQMFBRvzN9p2uqfO7fGDqPGjW0zwxNtF6Q0
+BN6d8SY3bXT6TE3rOTQ7Bo9erQ5GG9ZHv2h7m9Lm8e1fNAaJ3flxCztgyZ5zqryWBfRWln5vBtb
MFAtrWm0WUXdIXCnpfmw2DptsiAoyh6/fYW0fmoDc28Y4SvPrJMRdldVuG99Vv51gr7B0D4VbnpK
bMN/NcrpNwm6r6inumDEchs17KZyFVWLYBDuvisQlJukf/PoecGkUTL5kB/t9f5TcpuMLZ02o0EJ
Z9+SupGjtmBgl4skjHs2+OLPaEg6mEwGthrXLPE5oBofqc6pUTbRo258TFa+S7df0L+ZOV+Bqrpz
YjTakxXhSRW6XKspoGyvirejAzAkydpLV3BL6NQxDg1SQ54yjuUj1hAmKzQd9P3OK88U91Scb0Q6
7UsV+afoYeUZp/AWDJa+GKz61rXYa4Rms0d8BHLDvNyVTlov0sHDTajMZz1K3uKB+WwM02keEpFk
l+zn+wEbjdR7FEfLYXec2wsWWDzeO7efaznVeikp4HXj1UM+03MwNkHVb3uPq7UkYbgbG1b3GNYM
5B8sEHU1jD9p2vwwJgc7ObY8SUGIXKrUjeb+ZF/KTjy7rkbAeyAtYS8nCTfIDdgr0oSOujkqPOtC
zIu+sYl74swe9GYRZY16aiPQvMwW344BUswDXsbtX5P59PDm8Jo4tUI/UXWHcOdUxTO1TsNcuZW1
qFoOdhYRoEYjZhkmw5+buv176hcrKES3dMIVxJ6MUnR2elhxCuBKUh/nFMh8efinvCzI5pEORq+O
uuiYF4FGHQj23g7BYaZrw2unpy7nsgf1sYgObPoiTGaYr2ITibELyIdOpcp3mckNrThyP+k1FcyR
nx9Ss9Nm9cQLEH8CZqIyfc/74StOornSnLc06WFExuGHnsB9jzWrhHQkR0Yi/hxKhShrajapGS/N
jJNdkADQDkyyJZ116UfUs4KpSZOAoTMKfBBYWn8rdPCLoN3erCp5JpHOG8UVv3ppriZWn1sz6K5W
QVVgOdzdEW5E6T8nwkNfxQNnJARVUnHtnACBqRWziGfpU15LFui2emE8p2rLw75oBNoFItkqaP7V
SKgtxgone0R42dc48lRBeoSNjVVE+t+TLBpYidjNpK+dkkx/b8vxOCk89W5XJecipCeZ33ruaNXL
YFaPO41dJQzmk0OxYVxgcBr0Q2AzMslghC6Akp8aFZYOZu+2rbHDaZR+6Q0HAaFTCxrSXLVsVRTu
qeDE7zzktC9WpHzGyEYgCOkMiynFLAPN3HCan8cR6UdLxyjV6PLL5jz8qAEFSCwhCtt4eAIN1oHh
2fAd3alcJvwaIJ1NXDwdwlBW+e6paaNTGXg/Di3XfWtfOj3DOh7Nex8trMMqH0z6DmrRUg3RM9cv
TxmLPsgugg4JN/Q+cvNSVMpjChBf3MCrNTrolb0JQ4aWXIiZJj43586XXcwMFdI7G+Yrp+JNKXKF
D4XQCkBVbZ02Nd9bhtV5JKsih0dqXDkPSLH9Tq39u2NN5qmwg1++3+fEZrgoJKkGjeMmhgTDpy/G
TtcFALlbL/kNXcFN7tQTpglX+VwRE0Fn7Tf3yj2c/E2Ss+8KHLHTtOTTyl3EFvecKHIMibWdSADA
x+SA9MizhX9+wF8U+jul6ruV9EcZoZ60w8GF4xjExQ6LANbX/KBqe80FuYmalEc72TOLucQe+UFR
Rhf4BJrYceW6HbJfyzacJycly4N3x/S5QM0mrPaaYT3ou0l9ws8zvYjMbH9qUSK1h8R1qand2K1z
8P28XtomppUOi1FDKHdKiVEGdELjlDQvRnvxm5bnrn7FpUaOxFyITjtpFd98oN0mPM340HI64Zq2
pdmo3Q1UO6AjoUlDsMVbnzV4rq1eWrg4DWORBMQSPbZANHDbENZsY1i4XGBTGN20FPSzZUGBpScX
F532yanZuyvXPZtjeK08XGGeHJat4b+ZeP/swVioELi7ie0vKQEhtKdGKz5aIvZ6B3mrTmb58GGS
upiMflbbAD7bGDBbdpH5/aE293FxDDpc0yHkro2OI8iT+BMxr5zqsgLvDatsgHhJgVUVtJecfuwx
7eY9KkSka9t6MJ96OJuw+sm/hbM2rk/0eC6aMD80CDNc6RylHkVju7Sut21jXls8OUPGfsIr/V3E
oKKDotDVtKcPicTgsLa7dKa51jsl609ZubdQEnJEvSyWcwvQqkmdQhyRTJMm5bcBfswVPb66m7wV
brFkt1NEDHn6MHOSe5+oI3zxKr83xY6wJylidxnTPjDGI76JdW4VMwu4qNF/uvp77C2i6TWt3xvz
2RNrLMV+CpGQA+AIxp2Wh2rdajj6cHbUpJMbLjQlYYJRcR6rBefzgli6tMwZ4aWImuukuHcIUJn3
K21rlWDR9UjC48V76OsRj+2Ydz8pzq40l7oE5uGdXOfoyD2aV9heDRO+1y5ESO7TfTnQxSl2fn/y
gMqG9VvlvhPu6XDSNZ3gIVQuxpADB2uNeiWwkkvOUW71Y6JrNeOlAPoajlwfTI8xGmJBUomPuyab
ro03b3p2CafWOOt51yTNsLVqtvPPVo+yE7ODTJgd2J6pjCBBqhiXSILcIHzownjikOxhJU9vlrO1
20M1bFx0KnJvWClIVePAFUuHJ3Ka/es9BQHXeaohJ9uSG+vGqDMrGpI5+qJNOJ2cmqJfpmLbPXIa
pPTD+I0DK3GXn7QMKIYVXCqHkkNlxkOXvUoBY5rC+vU4fXr6WdfHFe9qO93A93lyw63dn4T8Y5vs
4S5T3Z+jVk1YrvMyejL4VBJ9ibzA9ZYgZzPIz5nMF2XzPbgEUxDwa8yhwSZJ6bCnkQw2eGyeGMOw
g5+K/gcMw3p038P4q7OrM1WPYOH3WboLpEa2rZq71XNAsI2flbpo1EQkZB/xtsIQ2hvzSAQLJ2vn
KfkNimIIj+HTxHiXVYeieq8HbllPm5e4skV04E8ko0OgzYKpkaf7xuZyhDzSudsoTzh6MweRVJg8
WhDEuraPkYX7BzUBVFRzmjySLHC07ReRMOwBC3khvpJPXGLwl5n6WslHR9EfaRKJOqXa6K/Sqbzm
rm/CDcW+xLEmniXs/mZWhWS0bb1VYUPxsrc4dLgN1sYjvSfuoYQLwVEthGfTnhONUEwv2H5BP8Mj
P4ynUCSfMeSPelHa2YtVHUaTA27GPinB1kK8lG5cjuDLRAmeBOxeqSUImy+j4i+bzNmkxCyz62Wa
Hvwx2bCXIfN7Jibz8GEBp4ptufWs9zJ45lR9Qbm08mBeTuZR4UY3IKQX5jf1VjPHydexHq8elj+0
RmFMtIOXwCab4WDZRIvDkWdrTpsa8Z7uoHNkbSayOsTqzEJtRKXfZeofEgf7ZNhDHJ+Gp4FHRzUV
uw67nezzHimuuplAfiyeOBXIZF0CbQk/TI0DmADqXnAEJWqdrEwGL9P5jvsKDhJacrvWYeckPqu6
vjlRYKwWXsyCqxxYoCLHLD0bxA8OtDGpz1lVbFOeo33erkr2TC0Ze25lYHWcinHEsoViZvkqGFaB
Arg8zGt1CJxN4Orrvvg0ZLnFHGHyJEtYU5vWOY2Q3pxlo386wweBrJtwxnlmmcuatmS9xukSOdhR
Rw4PxdqAwcTFqdfk7aJuHnrNyiBNBfty9fBT1qSZMxRLXqqWei3ZiSv0qZJHAx/QKTH8BV1yHKIJ
H4KLAQkKrBPyOYnN3h9B/3gzH04zYva5Hb9qlcwfjPNQqbURIW9ximzO9qCOYXkqilXdnxvnYqXv
bM4WeaUwE99dB98qjFgetTTzadaLMXhk7/haew5kIzALxomC81SZzzTF/+9n6F/0HvFknVgXksID
YS+NVJjSl5kUM++zg1QuPhVLO1neRyrdWBmjG38rJoKErOeeJZ7Kb9yeJT7vLLn0iowYmA/D5U00
b5OXxi6XLuPB0J5BV9Scvcje+QgDVGk43lenfRFQYB2/mIpXLXeXltbOp/jSD5SdWHdnIP5PEI8W
vEE/Os6vqgABwJHJ6AMnvdSsItRmsYoSeoTabSPChY5ipZyrhAZe5XjXKXuq53m67EyiHeaaMiJQ
Gr3xWqX1Meb57PMMwd2WgbjRPvSewKXxHGo/JBw681BTbadIK0yXFKZ02tnrHJFJNyG0dnOCImQh
2u0DiFu4W5/HIIou66o6mNdttWIlRKXKojZB0K9ShEIrXsK8oJf8yfKO2Jz16lpFQBqG7wgnUf36
sCMX1FV8d7Q1aECL6p9B/FqEY2uk2SQ9Gx1r1BaDEOxybek7i8G4lmwWh1uJi9XAZXkn6KCzX3J4
lg50hYx3QRAj+tWw0DgJTXc1ImiEodt2sfvm5zESCxNzLfn6J9m+VwTQbc3a5vrOgC3gW/QxrdJk
4Zl/OQeKmCFfvSYYzg3IlsHSar5c/XWM9x78dX/yzgX8+vbX7iCBZIGP/t1vM6DyAFLeRJ+cfe6J
IfBnKcMIRhtCiwUaBa0nrE9uFjnFtFSgTZYe6dS2SK55GC/HuKRcU1v1pGp7iASJmAl3kWfrOj+6
4iVUWDvqZd6du2ibgQixKxJCd0dcU+ultkjhor+eeWvL8GA8nvfNx5AOxyD5jh1qC4p3GxM0MY74
caQS9pPdbgdmgz7ZFw14koNVGlBl7j2cmorK+dCYOz6fOQZdNk4J1QjHsjJBQHvPIsBwZBJnIXKZ
sG2WwSbqLqN17sgLMiLUi4jvjZPWU2FW64wtf9wdk/hcyO+JZCX7c0sA0Hi8BK2Tin8DnQOa2OYD
74t0ZcU1NblocIw2JeYg+LpUzayo6UUSyPWXroEZsKicWcd2XvvOEkzWxM7W8uEuqU8TJnYS2XoM
AeEDXbooKaem8xB8F8fMTnIqn2bxdxkQ9OGdRg5+0HoSxhhKTB6bzG4cCABlZJz9DYMk9cUGkFbd
2Ilgx3dQwnVobmV3tqWOTEGTy3hkljHiPY2VrrFkmTKLs0OZbAcOi+ZEhxGYbo6tyU+enOGV6o+C
lJKqISIBL9n4kWrt0jQv9APZNtauapfDjIbw9pT7gBsOCVQOdDnlaze86UXrca2a8MLWRZksXabx
qPzlQK4sIssynI3tpzIZKaS6evFuQnegsMIqbTzjJ1YPs45FdAi+cKCoU8UFD+adTxiJ8iPX1BaK
5oUcFd14pO88rLF0Kxewj2KUCn+KFqb9nAQHXFsPtNvoTThWKGmAk9Dr81FP5llYLZ1Obdkmc+I5
u2TQ7B+Fm0agLWCMC3M6wYBw1x/w1ZlofjxzWA6yJq9BFJHOvOpWRXgKQwJkIBXsis/zAaW0cqbx
qxQv0vnxCDf48mS6x4gZh31+5b+5YlXqAQJnuGrYKo2vkRds4gi0pQ/irHnKS+LDh9ZGuJenfEAi
qhXnKGbnalszbVv5YfA2CfgrB3Mzz0mi0E7yHMRnt4bB5z9N5VHgLspWFYNmRSWnIS7u9Gq7V8m6
SftGaPLjkJIhrp3mqOAL2XB+NET1ua5Ofrqs3H0UNDxX5sGE6UfNW/NecW6cPjha1AUeR6Q1EuzU
jg0be/hpw2XnBeswILGGOdO4OQ5G0Fn3CEmSKp4Cynnwf7At526ZxieN3ifGHdC1mXswE4uTLzV8
xGNI/3Zc0UFFKW81cwjI8SBZp+7KIgoXCzKE/cxkRAKSBT8pKt9Il3A7+Ce7Nt+S4jA9dgiGWJbT
Nh5gvVlwiSJ7SWynqT+0incEoVuPkResjtSoI7d8q4fghsEoItktMEvOmpztXV0jpJX+kjLGdagx
UKWQGbJhV6kpX+V6wdKAsu1MEs6PMSorPoa03KZCbHS3/6l8djdj7K8wSl5SarH7CYrj1PgerDIi
+Gxn3xHgaUXryWSw089B6YAOKz1FagAgg/DCTVWPtAfjIGKOiqpvV3/seIeJhg124EX4F0vjONiE
2Yep0NZT7u59J73aeGWWGZC2gfXLgDiv21RH1np2nXLtMFJezkL02uPf3USTvfZsGsWMdB1xL4VF
Nsf0+QJxep+nv6QmweGBE7O5nnFiaKG7ijoucIvwYV9MxMKzrRZbMwHbRC/61dBD8/Hzbf4wSD3C
c2Q4K9ownNwgRx96v06tVsoD2JQ2h5pYVk0OLCrSdRLDYOBmiwr5arn21cJPN6rs7BkMo159qKGL
jFZw9Km4CqtSzRDamVYm2g9cgUvNIr6CpoqtjQMDGzByJL9CFdtGh9RUTh+o8Vc8p1gfSFJO7tfk
R7OGoqgO+sDQsKqjgqOch1hIrG6V5X91eWqSdyv7SHjQxnwVPjmyiPE/oWgRW+qTlW8aNjADSAlm
L4zXfWjPZSE/9Ri2Jdu+xt5Js+aEzVjGs1+bIWAm5Ck9OeNhhQkrBv1CoeB8GJbE4FJ9Fj8AbBNr
HDKUcANAMKjnCcGsHyADJvUM3CbnqD9e0E181IZzYRIMBlzZI1S6HzG8i+oV/X8+okyDpyjLc53c
7WJF6Z0f7zgAafA8Q2NBCA5j1dwptgbVS+qjAKsA74aKKhfhbBYGf6raZv1L1PB0PiqLTC1a5aGf
NgUAguS5BFE1rrwOfJyqVmlwKwna1u0pbd58bFgNfQUgAzXuIh5FHEquOR7+4Np2eOBeumJeZCdK
FfWfDNL+eOnNJYSH3l5H7l6pXajveoc3CJEld85DSFkX14O15n4CpWE+CzBcAKeaoF148zpbTvYW
RQXsRpBeCHqASKfme+yuev9VVccgnjHlchL2vqkgiTSGkKRi3/VTGi0q9rUTF65axEETGDataaCW
Em7OhiooHI0f/CsMkS1dTMgN8cfQ33Ox1WG32KuEY79d1RAUua55mz3XHmbND9HOBSN6zcL7JiBb
Zt8tZYhYAVHsDfKB8VwyqIy04z0b3n3qVmic3CHLvGUBQcU8WS/P+zNx1hTrXNzQJTIC+xNVA0CX
eMkE78qkhOe3hswYvudsvjsd5qz8kNEG2FhLr1D8o6CayNt48VN/oUfZsu3PoATtdCm9T5FjuSIL
zROcvOj/oexMlhtHki36RTDDFBHAVpwpkiI1SxuYUqnEPM/4+j6ozatUySR71ruqapEAgQgP93vP
FRYJdqy4IaOKEBgLjl1ywl3iDUOdp8q6tTnPG6W5K31E2sXKtNj6VxH1h43PGd9cmL3bKS9NcjTE
3qgPXrSsH72KVWodZW95twY7hnMOI+7SzE9jtJ20nWBDnDhUDmyLaKx7xgXXLorv0V+77YaDOD5t
37mKs9+cG3sdEV21TbR1ALKxfJpaKvc7sCcx+DjqAYyTevyq1AL2Sz9rx9PXCOenEQH42Br6EYBq
XOD5ZjY2bHEocFlmdNEipko7me/c8tWqT61+0uulSPioiESIMyKFULOXpnylNeU0z3VxzGF4alvI
nBWbcflYDWBkWArgvLFNJGiuJ4fExQNkCrpRiKlldmHPKLJr8iLmjKjSPXqcDxA2K1IHsS9njM2r
q0l310Z5XyJlLyhRHBg96b5F9lCarzRfmOZNamuPMHIwTRUXtFmGSdLMtpQEylOieCgq8iuN7qx8
sWiWIM1DqIodNNRvCeN0qnNFSepzoOoPZvrss/qNzt4Bp9AjgXqdCIudmVObmk5kvKVeSJDxh0xO
muSYuHcJUo6K+nDGvDIiJt0oovuEvxWGG17nduvWtDjBKAMcIflFA+NyIFWTWkl5MEA5cUYHIMEp
endjGQzw8P6gvOSUy6geIIJ87xzEVvQlvJd8TDeVX6H2XnDUQFS5jJrnvHiJgONM3sHofmm9zTDm
EM+C/u4lBa+F25nU+nmpcdF1/mE0QMeXGUtv/Y44Ng3FLifFl+mk5awnErUYntL0ZWYPiPYugIlm
oNLN6Xab8Qev/QDUpPptcxYIqvtBzYxEJMjYmLubDOIcYkJ6InXyWqpVDEJ1PpGvxEHP6FI+5k6x
tW2CNWhmoUa0YhQn2RVCfw8lmVMWGwk+ytra3hZaHoVLFdOAlAz6novuRr3m/TFqblvvRnFerorr
UG4KDANsHnl1F1urKEZOc6XSI2HXOd4GLOPV2rAOQA+L+tgZ1jKOGcyn24a8T54aQAicm+OpXji1
Qrf2PtbMEll8U5RKlT8ukLWbDcXJsYaLmSSroH61senScxKSMhMxP0I9wGBEj0X7fPauHFLmgXhf
hH3mMG+PPPIbJzPwgT62YpcDuM2MYwAJnu4xnQElngJKpLHYCrRdiRrhJZ3j8ZdH9GHt5ZyWcRkM
7iYuKbNTHI0amnINvhrz4DIVl8rpnya6gkWUsA+4q6oLSISlYU/nYwKLyn+MfcC1Vg7FtWyAenkU
wk5SQtTFzzDANh4S1BfZfnRp/AWl/q7K/joRBdG9GB/aa7099sXvCJJnJi0E46sifNGR4jDf2NZM
PuyMnYxnziq3idR2sYuYvZ3SVZ2268D37mt0piZqPY+N3MhcGinVNi0Jx0xwIsOn8lFwFcDEbRAY
XYsgopKPpiU+PKLSovFAnqnZhCuXGKU2MpAyBsjqfFCH6KhkRO8nYX9k9Bm5e5OhRgFVCFU2iDFC
0ocnFIGEeOXLmNXbkfFRqX5fYP+fNWdZ3N6O0YunP+PhvYloK5Fsj8qroGQhOzLQj5JOvZHsrL7f
C4uBQ36re5zvnT8OUs0C4znlLMfpZ90DbLXXyAXtzYHZysmX4zLjlO/XjI6kDU1osj44WMZ1iheB
wxvvuRTJ0tdf9fT3pDsrQUd1zKzNQBIo3o+whXfjTNcVb1PL1D2N4o2OkrSX0a8gjbGMX/v6+0T9
iGOE/UZfFqF3limjUhAZiDHXWrXvmQ7SMN2Z6qOLioeKdtI4SYBWgtYZeaX9i1kZq4leodYvB4Ya
BG5ghYaRDPphMvNtYVdHpTNRS6yQ9kb/rgElmmyqa51eq4vKVjPBV5IfgiNXrUzXvC1s59YZiqfa
qfcIIa6yVj/W/kQiKji57NDX1UK3rQOQaqwxmwk8vfD9bZHy1WgBDaVYl0XGDpadaiv+GJifRQ31
aa9vco65mnErimQdeoeyvITFLcZoZgM5Y63sJoBkFCfBfpJvAWaSKXy1a3mIydCMIdWGOLYQ+m8R
Uu9SDiRuCzHDnSOi5qJV31rFtHAA+CBM2cWxdZ2gLxRdcu0lxiEGiB3qPuII5Ai2WOWlXHKuQIPF
VkzwUUbOa4wViSPSLfNGBHhG9CulZLYC5l1pcxOLxzoQHH70Qzghh2RMLsTz2HU4tacPpw1ehlij
XQhNunaY4HhwHnDQ9yMWj+GS41hBb7VwGD3brcYL/EgU+bAIDPNX4Fu7ssy3M/xkzJjZ0XHNQPZp
xrlx77GR+eo+49f0YAq1GbmbQXaR9FEcDslZCeAQie1AoWP2iFnBIO6molgl5cZB0gHCCDQ5+EGP
2qtgn49OIwBDjbS8pC62fs+R0Xqwq+tRbIkDZRpB0UTuZ0YLLwfVuDIZKMWMdHrwRT4jsL5Y1pG+
1fWnLKY3VDjPdumdg5Tg3aLfZILestGs7ZYhl+xOHqgemhVL12W2C9MYf+KjyOFEtjQUujetvM2T
R9VWa2zi+8hAQlbzTMNLMEW5KjmKBbb1kmXqznQZ4fWsX756k2hpKjB8wsfyQDO/Z9GFKQ0jEgZl
6W9iPdwkGhBci8lPxBk5LoPHQrdBrVHIJkfLvLcmmulsCjZRAI7XPYrxJYTnF9KqtmldddCyvANu
/R26Bwb+ijau12wxiULOkQOn7H4lc1qRcbHsKE8x8W0m88EJ+XdSiPu4oMxnzt57MSmzxrZL4BP0
dOZz3yTq0zr3ufWs27QiCgCqQ9Ntk4A1g2Q9TTmLqnxl+LwvWO4UtQFTCWpTf6sCHUynuPfBAFiZ
ewyicO3gemVYwQ/ab1u491NO5EzOEKZHiuSSitZXxM/1I2OamOk7kEw+a1a7tyPDSInN02oWshuJ
em32RN29kF9zl/nqDifeVmqszgrnmOQhHwYIC0O7GICmZXlx6YVHYri2NujoB148c6Be7ER/9nvv
QWH0C6tw54KOnxwO8lPpP/l2fYPUDQ4KlG1mfX6Z0tmWB4OFpcbnlQky5ma4YuAfNVqEPV0l6U1H
w2ruAriJ0iUXEfeAjjzODIybNvc2dct0mPgg1GF4QIPrrmCQG1At1OFLAltkAC0Dr6EPHC62OoZZ
dfJUtYgn515HNaFFGBRh1oiWWF/3SlbgrUk4lI6/LphEDtD3hW0jnjtHxG7n6Xgco2ovZfAQ4suq
ANtgp97QfGPWluBZYvyqmYskng4peyUelKphGwxvrZEUjioFDkI7YQTiNEKR5/0iCdqZOCP340YR
m8vOdRaZt7Gb5iDIaxuyF38CB22llCzpTkeoYboBllGFxiC5khG0zsw7NHZ8bzjmqbXgh7qCdV5f
g9dd1RMqqAwRaeHvVXaqUN8EEjwd4tdwgnfgYpKg08sUpEGpa8fql+Y3x76ncsw7oiQNotJL7dbG
rkdrqX42BQvHmGW0D23S4kxEbCR52EgvCuYfSJneiwaQnmaDecmt7E8bd/F6SlqQvlgkUscp1rny
sI9mNhThvCv2aWsaezcjW0+PR+NSq3kLw+4jVMgubzFTzwnYMdXR0jQacB2dLC0c3zLLuBs5khfW
e63j80h08ZjEyU2oE9TbuFCaTI25aU+cg5tP5SnRSheXn6UtES69ONI5taOLbp1phOMW724OqcXs
3GCVTPof5WnYs4IERP/IvE4bOP9rQaz2DfMvQKr2Iuvo5UpiGfgYSu4m6ghLFd4vMZTvtYOIJtLO
CbVRFbT7sXIljBTnKYriE507MG8myuXwxcdyEzD3r6V273h0hT1lxKumj+BYoDnRNJDxdXIAs6y8
x6YpVl722yqRLGDeIrbY8n2U+hUIIJfnDisucy5RUjiM0bFXE26Q4HV+fMehvDLwvpnVsCyhag9R
vCM4aZVGHx3x9Jh2tu54bxbl2YjbS12+Beo+NgbOESQL+PGVkuHdxP+/gE/lOQBR9mNEc0XiLN3q
HUHUAfLw11QrsTe296aFX0vc1zDWJnjvw58Qg1c0kmZOskQEY8QeAlDkNZUf8Cla9bV/jsNqi3xv
BQ+Kjqka/8REwwb1W++Ed6lxtO19qo8cAoYlmjXseM311DH/TqJV6NiX1L1z3V9eHK58J+O4p660
7KmsiL6pHnBL4HEey2ctsLcC+eeUXCc4iRsMm4W+CEdc29ivbHyAyUjLfxCLOv/tpm9WcWeKd9sF
pMnbWTMgA2tyYyHxb4B/Wg3i5uE64cgpmmSDNmwdcv2auMHwSs4kvVr9xWCmOtQVE1lUHAiSV54r
9rPoSMxtiyo+ighw7/A06iE9qWzVoydq82ARMVruFU1OLG6Uehwz+O08bI/DnaR0ynraDREz1w32
zVo+j7JYDh2P+fiqcK+YD758c8prYUaLGNq7ThPISx4nkofJ0cGjQgWLc8nLl0GjHl32v6ILDyP9
yhanlAhs/jnr2swGcCprm093PgFe9F9IGmZI43n3cFtXsyk3TfC3uCloNfKAfX+t99lhwgcf4vmt
mBJLlq9xIgGGc4HhIOC61iiCA/MuAdljP3XEptDDmkz6vDQ4QoI1APBga2gBuc+rtUFFZtHsa8q3
sc+eK0QeBvoavXqJ8+CFNvW1XzerBpzNJkefxTsg7wbRryD9PwJlf2sQpA5uc6jwG3E2WvFHzh7x
P+t0rOiGFd7T2MlfMRs9+rvmT8+hTCU622Fmkddc4aqWVv8UmPymp6aFX2SLcjGg6tJRVYPUuILW
dDMnq1eVti+cBm428kdEK1daQAyDTayLXxIuxAkiPUxxemxy+25WaQ4ELQQ0hfuuPDZZfkq7+oAV
f9FSsY/ai4bbuIwZDp57/SNhae66D4Rzi3R6JNuBn+koGJI3Aka4qdH8p795RdweJ6X4WMMwN+qA
VtG7iVKq7ynnZJAMi7JKYXdTKzqgALphpwuOljV0PsFEiMqlo55vad9EdCnHfNgrTh6ub7K7InPK
FyldThmeCRq9yZrqLrMsRqO0bB2JjcjkBjao4A1xqHIa5FRII12EksTpqt0jtCKox0UsBu6gQXLB
Cxr2EX4t/Tkqq2efsXvnu//Yw5VU16UTbnrRrVRQ/ELsvPGobMtcXrAtHfIo4K3Z9pxc8lTf+Ckg
XfoGuUlfr4j7S2P7tGu1+7CxnwdJr9KcmIyJ1GZtEdNzrqKn3C0vXsUllbJ9LBVbCPODgKGdc9/R
uyzIE95PVusRlISRqOYIOp8gwT+6BFO58fswpc+tZ1KZTfeDC2lkkv2yrWMSu+PWOhp2p5/6tLqV
jfM4EXTSq9LftjmuiDruXwJAnaiL1k6WQWWs6SpPtBKJQaKARsKW2hNFSnSEF38bmvykkcYJx7MR
ZrLV6F61Tq3y0NTZ2UxJSnCjuTFomcFO6wv58T1l47/QGNsUAO5d17WJh1OfSC565OqVrsN+Ly20
d1bDktw3WCswTzyYU6eAMNo/xFcaXzBPyG0yXM62hEoCePmbLhR6MnCliz+z73WxDUfCHZUDnskj
5nihlWGxiYUqGVdTmJPgRSooaJ7ELs1NNNW331+/5fw3TROakmkr23DwcDn2TO/5F/QlUjoW9I6+
PJ2NWSJm1MvQANwli/4wzVpLLUYpCyY51DaeVTzndf3ee+rOswA5x5m2CjTvJrc00pdFf4VjlayP
wruYvEycUXQOifPIVZMbIwMa3DmEEjgzPSO9TCLfTAknPQuaSJSYtyY0olqftvqk33KE6NhaxvK+
YBNFGI9+8GjQuCmBZiHWQUPFQ4RJDwxFhLM0da4LifQOlZKyy53CeGuR3ABCEIjJXWE0t1H5Yakb
wgNwxeCxYx7rIoRKzpVa03HFmsgud5nkkx0bpGoVd+Eon/P0j6f8HULYg+dU98iwt6NgjSPmDUXB
2o9DUsMU8giWvy5YuCxMPGVXWZRz8KRIgQg7m+ZAWp0laSPx5O99U6DqF5BUsHjpg3dKWFU4nJxC
t373aRmasIB1r6VGC580f8QM4uPc7tc5RK0J31ycN7dhVxEjgVom8Lx3/hDf3WAi2Sa3NoMy5jSx
TlKU8atvxKFOAtDWMTwvWoi6bd+yhaymoUSEMXszM9F7C9/277QR7vx0TTx248ac27MJJ5b2Govf
eIWC9GkWhtXpeMhbazk1ByzD7FRcTyNopnFOpWYOzWorcSyKuHyFIbSeXI8B30gUaX0goi8fHu3g
RnAvrQcmj6csittlHyL5GLVH0wPf8Bil4H5NtbI8+VR4MxSrrQgnG4hCoCsfVWSOze73giZAOYlb
wVQpSsS2gvo62NHWaF1ocGSipMYiH5aphEWurX17Jsff+3RyRn9AzZrch0xSoS80AgWjdhp1lCvG
uKvZebFzboekRjsPDiF5izPnKiSwa/L2WnsJquOk/pgEcxhYl+xgI/t0ibABnRMZfUyhfEzmlG47
O7RPfVg+Z4jfS1YWKU/Kxb0zRaAEJ/+PCOtVo/OltQfRDssKbZ6dJPNUlD3bQl3mboOJkbuGLpyx
9Vy2VZ6/y8Ghgg5gxvdEaOPGq39H6TP3DC1jvzaM14yOlFnCVi/MW1Fml3Y0jskglwHB7QK1B4l/
q1beC6NcD+ajBtwvx6GHdWnju7cY9JYDOgSfOIrIEKSI07hF6uYa3kFgGrNBTg0GLrWA0lrIMxU9
cMdj56LCVC+a/B3OUetOBzl6VffuFUpSnPPk5piE9bTo0X1G4UlSf+TTS5oQ5ezfV+OxZq1h30H4
1tGbRqkixAu4JvwzJ0HsHiUdNTlbl40EkROuI/27WbnQlyP61ukkARxbLSBz9ZbKOftKLuxEkZPD
ozP8noz4ycdnGvqCxUMuzTQ+WZjNnABA8siDNFirtqq26DZuPR1VARUMvkP6EZMSm5JOqvTSZ02M
Jy+FoR1pqw6joDOGy2GkXVhqtATshOlQx0nGLD7sqN7aUc+P1OWrfgw4MsK4aWsH43x7igL5kU3d
gfqNIL2j6OqtaACfW8VDZNATTatN0dM6GSTHYGZBY/yRlB5CDJ8WFviXvmeDqAvx2hdgqLBjHDJ+
28hA/cs4c1DtnedDo8/EcD+GwXqoKvr66rErEQgyd3Km9LqeaKNlPXOwWFbpVYLh+vsN5QtmFbWN
6dh4CaSj65821KE3rRFhu6RaR6jLy8TEB8FbYWD3/v6Tvtq4XGHwYa4hdHTuf29cQ1+leTVV0LFg
QukhjZ1iyYytxpcSJeO6qbwfoGz/pb7ZJhuzjtnLsWlSf/pAGQVEqE0J4Ka4OjR+eci0fP/9NX11
9/79EZ8YdgFtokJlmbNsA+UAwx7Lg7SKF5th+/cfNP+hvyNXbUt3XYRyytV10/2UqJzY6F71CbQY
8hSCnlIcwA0Jaqs6rJ+UP/4AOjTnP/f541B8S2VIHZrK598q1Tzb9nNNEuTWym3ZZe9dRJtIL5lE
j8gPWQH8V2VTgARRiQ7Db18H1/4VhKin4BId0GJsx6g9+pl/rmvzzCmM7KMs5wgzwLX9/t58Ad+z
rX9/20+/QtlXVSBGfoVK09FL4wpaGQZutsCbRe0R+Cwc06QK2pTUtUp+92YZLpXRh2QK2QKNWnpO
de0nJuAXj99f3+rTm9XLNCtbm29V2B710shEz4Dg9f21f/VcGKYy9DlyWpnWp9p08nBD50UOOwRM
AuM7tY9qvOP4oJdDbt19/2FfvMFc0f992HzF/yo9DYJ/sYtgftQ0ZJq+az7EvXOjHOsdhtv70MtT
NKQ//LhfXqBNyatsCn5dfbrAum4JIpQ5xpwCEJZU2n5SoNTiaZCkACXihzXjixfaYmkTrrCUYRuf
zxeOn7fSqbmfiAHgxTUFKU+AUmLeydX3N/OrY8VfHzXf7X/dzTYeu8ZuC9ZD4Q6nOplFFb59zuzm
rjDJSe2JbGumNN5VNFKu3Bi0i5XFs6c2Wn//VX666E9HCiFNKeFNMaRPaBDF4Rbtw6oawGJ9/zlf
Pj8SzjDnN/7nfIrc1mJM/HXKG5HZRX1dB+20loW2SQgiUAOq+DLVOUfCXf7hc/9Zrj4vZwyBdV26
XIr9+S3piok92wWC7ahuvqnhnzD9UwzYqtMgxbFJHYGCvHbaDz8gnRk5xRxtlGacXjoExQkYAQOp
gLJ6TLGlJP0On3Xd4mBL+oOvumNAV6nG4FcOxtqqnxPgmxMOdybem26NPe9GhgWuEezlXdFyiCkJ
bNA2tNtouxuEixl9TEsb7BPuk4tejLiGXPIxR08eqwbyD9Mrpmx2kZxGTHlLNeqMwp2SyW3Y12vM
ueluaMwcJ7OxzeNXo/AZ/aAxnCLCHRxmjGWLfQmn7FCQVYlowoEd8v2P++WeYbrowKTJGEV+vslt
NDT1aHlqaYdVeQjdvDsrlfp0oI1kmVF0L1UznlvhxSuYP9YKdFsGsdF+DwJSDro2Dvbwn70Tzr5T
ieeXenPmMFvBfQyeYh90sPl/+MpfPfi85zquUNNCRP/pgSzU2FSYwICj+6qhDKY347o4NWih9g9Y
joZ1LsyNIG6ymRgyu365z8xxTrv2mKA08D8MiDdFaJN819cnXL7PTCaLZ0JhyETNRmMhopSuUOB6
N6WukreGuJutm9Aj/v5KvmiLwGLVdcc1eM4d69OFTFo+MZiruJBxQIdTYBzvDOaQA0lvFjinq4Yf
/IdQe+Oru2fDrTSF7grTcD8tG1HT1S2/oVrWPgyZiUGM7kgmgLnx1nQmfTaFNjKkgbqQVWFzlDXO
kWyfKEavKhyufa0/YAT/+P5OWF9tGLZUxNazXQj5eQXPAGmlnQ0ZxesJrknKo8lT58x+5s5Oz0E3
hdhhMrLFY/sW0NprOGDgTOLxxvI7QM4u/1QbLiZsMVMfsOgSrgPK8FL6dNbjARsT8EB6BQxNx1Wa
AHRhRuDvAH8TupaTMWboz2MxPKGFSVdK5jfA2OFGFpeBmf5CgoPffn/BP13vp21E08sW3iK/gi8I
UNImGJsj3oy4QgCoa8y/vv84ZX5RGs5NMFOflc40ov7ettKum0qll0CHcQzpTgEanSa0kWwqdCpl
/yICsqIDcjYeiXoDZYmU9aFvUgJY2mXlrelUXqvql2+WV934YKPegcbzWOvnDLcGHCsIZts6tC+x
HqOr8nYFtNixxBQZ9tW+CueMp7taYXPNu4uT0t8PsP9FKCjMe1day0pVS3bSZTBdVP/LgdMVSY7T
0bj1meKqDr+RmGg7IPjCKk8E7JCxxmAGDJ3b0Ih3iQ5s0fvt6sauygBtasl11NY7E2dYbVfrGJGB
4rgMDOBF9+ztDPApneHy/T2eX5zP25Xt2oqn14HIpn96sdLMm1TetTzCjV5svd5NURv4b46a1lqK
ndlwPC5WoOfDGfn9R9tzPfXfz3YM11SC99r5VG8FpePHEG3ksqqY1BcFXHw7RSaRF+cxdSDni/vC
APdQIEpwyuzaK7GPVmqvBXqKtkRlu5F3XRbWRc+jY+yIrakbJCN0aKgnqSEK9Um1jDwf2p6hHtwp
vklbqAYdMUCx3IJopkeDDS6d3kMW3quIcILWVWS3k+oVDzdaRi4xL2dMllCO8KwnicQii6h0IZT+
cC/+Ofx+dzM+FbxtUw59nNQkjcZIHh1xo6a7LroXwXXk0nEtrR2rwS5w5E1gjgc/PtvTYu5tjlsF
WiIlr06XyI4Iu0ouPSGlXTrRb4SVYx6BZEMBRude9nTD9hbD6J6Yuw4teefT0q3wiMA98UkgRqoj
5m38ElAudLiv9FOtniXd0waXXTeg4rwebQa1zYMjo4POtL2hiYnzyyk/iuEsTEKQht+o+5GFILqj
YzGtVM3U577QYOsisIM2Yq18mlezWyhYRelas86p014B7bII2yClWqyivJ1N4ZnCQongmnwEb+fI
TdrsGoST07iSnOvJOtyboApRqrpEu/jHluyN4Y/nNssyogWMBsInhseop52LsBKGMlC5TcZUfOL7
+QI1AcKGmciItynDg5LZ0Fzwg6F+NR4KH0HZnZa9FR7nPEyB/kJhVCWInIlRVF3qhC/XMCA/9e7v
xKGXfaU5MCEDfNqbcLwuEHHCh24JSSvJsT8aPjbOijvxbHbHCkSje18OpCbuQnETcmOSftfmOF1T
3D7IMIrrylpZGHKsHcIBlZIsQ7AqxOorEq2SpaffOvoyMxi70q55pL1lB4yQ+D3AXCPQhq2g6Wwp
+MN2gJjomHFkNm4YoozO2gu3XvdWJiFR9Yds/LDsnVVcMW7JuhuwMHg6aqY0AREtm4zAM+G8TnRW
Ewub8F1g74oORsaKl9LEAZFyr4nXWTBhMh97/dbnvyeC5DFCMOF+5CTMpZDKiCtZIyvSu4T7vQ7x
ZvA3i1VvMQ2/qstFmVw891LC8ibTOlKPnljTuEM8FII5AX6mjccBs5KzonNjFAdsQbHznBUvEutT
zSYZX0jmw29nIeQObgZcd+Rw4PbO+7eivdNHew8SZTeBk8myajm3yNDmOSG0wfvUundGYudJy8Ib
VGxrjSOfcWjbl348l9peN86Wuc+qhY1abFwXRrYwyeCZzlH/B4m9LpGvbwbj2hc0J8Iz1jVExE5a
rRkUXIXx4wRw+60c25UUTIz4QRHXKtwG4gCPCAzFjRE9+e2xKK51VJ7EDxsbX6ClXsDWFZFN0vZp
IizLfUhJOmXiONaEFh4RSIKSeClIuqrvrGnVhrdjjV6SAggc6IuNSgRfehpuGLc6Ec3Pfj5Kr+xf
ITcmgzNTRYAfo6scprJZr/CgOu7exocyRE+CKEcKz2TACfyBPR0fN4afaDeNhPrqN6392zZPDcUm
kOs+eO+bPbtZYe4c7ZiN8aotyPBklmzMFmZsJIG2HsdfPXZbejkhyo0rJIL+S55jR8xYd9QZLk6d
EOS1zJ/T8DYW7dpCR8n55zUqkJuzZucdcZsWnADAiiHqPJvQ2zoTs/Tmp96hMRewn1diCk06lBzO
FZvT31VHl1feWEasxLaW3LYlfHK6U+OVNfbRLPS6ln38ro/hJk5NsPm+/jAN9Q9bozlXUv/5DpZL
zWPbhmG5n7ZG5RSRCS5NLdOCzAXd0IdlUXoMNLqYsDwh7+2OfMBQEkA2nzevyjJZT0Sq29b0An4J
uJyboVHVjO7KliMRkwZqeEGDrCsBCY8MT8K4u4SOexQlLFy9v9MNSHMDo65zl3nDMYzkD/3Lr4pH
QXNFUnwjG5GfbqvVODVw8xRnYhXhrghPHZ7FuEBiOcFH/WE/FT992qdSdeAsEaouArab8FyFU+Ej
uSH0l4EIp3LhnfHtgUfCWWuyrcPLxns4RP5dZ5VHK2iegGCuREp0k0u8Wq15l9geHvxev5ihjxtb
r4ksNEl6nKxw7TXdR4t+AG0qo5aRnkIujUs/Gteck9kDCXZuWQKV0BQZSRaiq5n53EY6sR14Wjs/
Aiuo53vEAU+Eh7x5TfAiBZoZxuu0/QMGdrgo1Xqs2dYz9eJUqtj1QzctvTwvl9EwnTo3JCxe6bsy
zne1+WN9YvxTa39+IhWyMIPuvbIcdz6h/auFNET8tG48KSoAxB6dC4C1JYeArRJ4K/qwnpksCDON
knsK2EbTj6hLHy0UXx1dUuYijFhdZ5vUDHib6bdmlC+R4TwUbfhSV+VNgMYvbIKNH/kH0FaEIaNc
bBTktqAE2hoy/UDO471S+BQtWUlQP10PJXit7gpIUox6X9sUMIOK4Z6Ut5PHBnFs8enj3sioJ/yJ
7dkHNQsOXjVYJFOwP/jYu4iUqwQDECSW9FdPBIMYMNCSsudGbPe5qq6bZoBJAvCrxjSg3Y0x1uOi
+Qj5WFChL11TH3XGO9iCx/G9K7vFUON/F3MpU6yQC14pJ6CygifE6SUp6E4baOEqRPRuq18CDZC9
AUofl2pnMw+W16U2AbyIuVznMPngOxWUYzSfEIYw7mJDQmqh7qTPnSSqoUso2mKCSFFill6N5ebE
CsDfDsmbuLRtTgA0szIkSP2r5rV/auWs/a7ZF3G6HVE0td60S3DWSMNZTGZ523DZJVYxO9DneeWN
bf0ue/J3C7GC4b2xYrls9Pxs4MKxmKlk7e3UaADOarjAccw0rzhlow7WwFo1TnBt+pCMcAxZCNi+
r5m/7Go6NE45IeGoovf79yPZeSzOaTiDSY0ih/TffphFcqE7fXFK+zzqLqkcIr3tmnFaMXr2mfwl
+7i0jR8a4/+oMj6/G45DP8pS9BnoN/79RbR4kqJJ5bzYCNgUxkxiaug9lW0IYaQpQTRmhMSOWnKc
gvGu9NM/YeuctHE4d71v/7D2fbV3OK5UUijOO/LzQIXwoaYU/Hs6kBSjWVhd+6N/9oKGoD4cZQ0E
82C4+eG3+G9XiOdD6nAZ3HlxkJ9ugdK8qKx1ss+7dbWzF82dM+41A/ggmYYLYgd2/qLaaBzZi7f+
Sf3/f4C/Pl19Gll5DoYTo+HT7Utx0BfaVYsC+irexLv03N8Fq58+8L+7C5/n2DrwfyFYEud//6/F
sGtLBo+2cpZ6EMuNB9AFaZDxK9ItsQuD7v37m/vf5tffn/Zp5zTspKXj6tIz90+jXbPyxhCD3B96
bF/+glwPbRZGmeKfnuu/rilAtBmWBdfkREzBwSoidWfahfISHERTwUpKbFv/4Vm1//uwQrmbtxTa
etKg2Pn7TsKm7BxicfhUrblt0rRbAS+Awh5nAAtK/7YIm3XX+det1zz6WT4tJSQgTYTvBIQs3RhO
eEB9ZpKPHViXMWXwXmCt7BoXMU775olqV9X5xjO8Fzealk0Bjzfxq5tYB3MGsyqbqpMk2LTXbUBC
6RWA4CtzTgbkxFv3LasrSgX077TqCSOCEQ09SWi4TiUC6dJsr3mx3Y0tjLUtce2o3KjX3//45hfP
mkn8laTTKlziTj6tcmiGMgf6mrP0DPdXGjM0MRDWFOuBLLMe6jDbWHYWtvM4AhKqZ9W8bvyPvTPZ
biO7suiv1Mp5qCJe9LXKHqAnAPYgQXISi6TIF3286Jt/qq+oH6sdcqYtyWlneW5PvJQSCQIEXnPv
uXvfC7eE9mwdXK+9Jln0UQXtBdeA7QgHfCRmCncPvKm2Vj6goGIiPp51T9C/Lv75D/877yl+dteY
VWWsDD8XvSVn/zrJ6MObqTMtBqe+rxzSNWw9BzKY5NhE8fztEf/zffgv+VHc/GXVrf/83/z5vVBj
FdEl+emPf76M3gmnFp/Nf89f9td/9uMX/flafcwqgo+P5vJV/fwvf/hCvv+vj796bV5/+MM6B8A7
3rYf1Xj3Ubdp8+1B+Ennf/n//cv/+Pj2XU6j+vjTL69fs4jtoYZ//t788utfXXz90y80OxjN4/Pz
n98/xq//4Oo142tPDD611WvYvv7uF3681s2ffmF45oth6AbbFV1z3lku603/8dtf8Wff46FIEtvW
vIznBX0Jvkz/4nseaQr+x8Yyf2j5y7pov/2l8cWeuxo+vUyHei2lxF9++yl/+J397Xf4H3mb3RRR
3tR/+gXGKh/773ZU02YjcUkc0mjg8ON86wd8txjp2dSKAFjyyvJC/xhkpraBFf2h9NJejkwTQ1Gz
q7UWMwUiXDo2hR8fCZ00iMAHbkINd8sYeiSXZ5aMpKO6pBj6c4cetl+Uv5oxRqChtEw4gp6+rZr8
bEcoejUfAcCsgXjUJkjaZVXVnIkoH8l0dhdRpITW6JScADkdNsvCbpormRbB2pmZ9J5R2IznE5oA
lewuR0SmWyb0il3gcHwsDc1fjT3Hej10iZKOVsSgl2NsLc9qN9IJxArgTnDj+nCf8wyzdlORt7Yl
igde81ejSOYqW8mTalp2WadCXG1GVEaJP7u5/KxSCj1NB2YGcvChsanHS7NvXsFrGjsEr8YVSU9y
N/34AmXiusi4jFdBfJSFT0lDZ/yxMuLm0isTHKkygMiTszBojmLygNMkVQCCXl5jfxZlidyl6/JN
7AHeMqP4ZmSABdCqLnahQEVI5LPY6aAGu8B3qNdmrzmWM7KQdUHFKKQ032bPhpmeK1e82Fk8QLYq
IC/lCYHOstDTrS6yV0MMnB6ieSbbtNTOGzQAhVwdJEWBpK6hWWY9RVDJoFpRjU+GYb2Sq33JVZns
cfjNdFEy6aoN3tKx+IDCnSzZthFBe9E7oD8FGNF/GCYD+iMBfAYv5RS028bPdFhNw1Y3kN6mTsbw
Wv3UUFkSjXFk8TwXAg8zARlCwXl0o8/Wi4YuLFNmkMXMCfNG7KE+iZhQ5jpdGd7R1cBhRTPOMVFu
tc0lbJ0BOIeJiWpFSx4CmKOYvsgDfU6R35X6sA2Ef8wc+wx95uvYMqftzcyxjlztNkpjaPRted3a
WAdE73OHdMkMuyT0GFLx7iE1BBjY2gvEDoAAE//RsEN7xfWcqZhymg62YZ5lMVDqTWL3unUqoG01
c/miUkDKIPJtG0VokyID3IgidA/+yIgYHpvhIHJq7EFFETfRw1cHwSXpdHPXpwO14EpS5JpnGbwk
8pnk7e+hTjjQUCyB7Sd79jSarUowIG2bVCKAD7xVpQLe11v1onT612LydCZRxKlv7FMBSRZj1Vwo
VOnRcunRRgmDGhNY7KWSxPtkYbtI1hgxNXTvObXGU59416Ky8ysMgxTPssiD/ty/1V2NsqtPdzIg
hSxK/RxEPsAWs1q3g0GTWrk3npudMubmnz1O5dAfsuLD8YbHySX/4cSMtySS9jJamRpqKCgQW05H
LQGj0ddZT5NOlPfZUJ4cBsNWQHb1S58I/0Un5olLbcB4b1ZmxbBh5gA+oW7LOqKWAxVjBqkSe6dw
izFzNDDg1vJg3hACBMg8JuddowHNSxJTlJq1H2eTDl130Mmums1dLR/QdHo2UfGuu2TMd7ay6+tx
GClwGMGtXkt/GYb5zpX2W64RCB5Cvf5wk2p6aqPGPmOD1CklTKiO7JDR9bT/aiNMhXk8Pmr0rQ9J
2D2YcX2RFaazDHWGz6biZqqtYvnvzbsZ582b/VanlMiO+Y9378vX/PXtf//n+637b1/2297tf7HY
uikI+jRFfTbIv+7dnvGFDZP7pyUI0bARc5T+de/WvzCXZTPHQLCaKg35Nbb8v23dJCVJ0ZL2Y3X0
DLKL/8LWzTP6YePmCmAI+9vxgkcxvvX8vtu4XUnpr9Qgsqk4U4u+NWFrDJB9x55WlKynpaMDrYKM
vTXc7va7l+vXY8T3x4a/f2xBANM0eR6MLHAR//EuocJqaKN5CY2I8K+1Ady+XivCNT3w3HxiOcj8
ImX6UNX7avLrP7iFfisMf39o4ZU3LOoA385HhH9+uoXKrvXp0gsXipza4ZKHHjiTmceVK/KD4w7n
PjP2zF7RJ45Qq+cXlWL+yOuXLW2ZxrEYlYJ8rOeMV3MDqu4bos5af2qhrw0Vo5hk9Ifys20fbdL9
//yl+zlgYfKzk1oVDJ94hsev8KefvUj7FhYFQ+pIbeIFp0Z7qU/qTL0W8oiD7kR2/FA1eq8FzMAz
psQbPXTuG6d4lw56grCS1nqq/+gCQa37d26/ROSI13KDoEn98w0xbKoq6AaadKNXX3H2OikrfnLb
VL/uZ+tAFmQOFTY/p49GNGRATqA35m2IrCDnKTE/DwAyHKNNTD/RQmzQhe5tblK6nwp7WxihWjCr
Cgho9iA4qnjPQmLZehM89ZS1PKv4REv3HHiE9+vZppAIuvkhggUdj8CqmZ0L+Wxf0L95GPz8rXTq
NzPvYUN6cu6CVpyyZHIJub9mkp270AQrumpHD1ELhd8JoibD/nZ05US+cUXOIFsNkfMcROPbEEPf
CEYIB4HBs0TpEAP0biCQYJdIsEy4s25CMuZns8fDYGJsflZSNB4kSoYnSMrPwgrwL3RKcFgIXBZU
xRhHUD011Fl0YaIWgt0QvLdoD7e4h4ig0GEaZ0GG6lFlxLZnrqJZn8GI2zfbOex03Boi8xAjDccE
5G4j7JM2ObfkNbFLxP4IazP8mvNx2M1n+2VdzvIOE/w0o9oG8THUHqAMjAOn5m5lWYBbbSIIIfon
fle+qneyQBDSdqBhEjPFSlE0ztqOggdbRygyYhZBfFUco1k2UjYlR/xZQKJ32RNNhpPtkE8tZ0lJ
44AH41IOKUErlhVv1GXlMQEE1m8ZT9njgOkkiih3pHW8KxryHf2sQhnzDgpFix+lt4nG6RhT4qwN
VtksUUk9p1totnwOczTBVka3s7eKOwfPM236eJ+MMWN3OoGNsWeoRgfeyiJ0Q/eFs1czPvmzyCW2
k21hQyhOdE774Wi+2GhfHDnsGOWDuNxWtwNiGCQd1F6kYa0B7q2LkCJMabKwTC1HimJy7gYUM3bT
PY+zc4YQobV1TSamCsWtqagjVKc5NFMtKj5tphdjlt0Uj43AZ+NVsXbOMdxEsG4Z5ryH5E0moIwu
ai06yqjdYT+91tHjZKZ5TNHlGFN/Njj2dSRbjNmnIyNjo7zqSjnjjkTOWgexkI7jWoXEtzVvxnRc
cf8/dQm2I33ytobR4LahjRgADG1l+pkh9gG4gSM07Q5dBQK6VfZ0Lamj0fiffDqtEsyUY+D4wsoQ
x2AIrTEfTsGYPyuPEVTQ/wU/BPmFTI/DTYt5SHcJj4gYOMDQfFtYh3UWMlbBz733ZdNjO6ygk/Uc
0vPM2qu6rynL81lNocOFs/iIuBfN+Grm+lR4kXynZhSICcsu4BgeM/83c9TEQkrEDSKrIKvPkqVC
cIAeXfBVbeuMkGDhE1tImbyeJxLnRrlqOtLijvltWsPEHt1jc6pRFfRMpvSEkrdJJ+QNF+0MwxCe
ZX0CT8byc18PvNxZQagtbMJlqFUnOQ23VZvfJXEZM1mHNaCW0VUUydtRc1xmidx7DTMrNTuSnh6a
D82I+M6kl6RQPN8cATb+2URMb9LMvzZJdJM57QnT97S0SyAlLRbUiDGqtOHWUxrjncpCJreFQ0aq
SxDBZDe6F30WhrtLIj4DrNzRyjYmIgbtHSW2jVNVr1Qtq2VcZ2+VrR3F2J6l6Zp0Kho0nao7elTf
qPs9xiq/NiP3vmuMd1XoBlx/rp+DzYUtDfBbB5XBQbke3iagK0ZWnXQHWETU7euU8R8JMCmzm2vO
KTNMcboVrr4dsuCz1InJwjYu4RFxGGfwi2u7dQXc4FI5dDhIFd5aob0lS3lTELGL9YIJtH7bW83J
70BzOe6r5MgB56c9TVkD6pCUQYu3OtCbm64ayaxUJY0GddaVddYRyZVYydFrnxLb23RjdcwnWu2F
rq5K1CB1xxKgJ1G4jZ3KZumddpou8FYnwCI6xeQ3963bur/g1sJZIZ2niocTLtADwIkjs4B3rMAM
PE752UzkXWnR5JDTzp0APk2jUdDxz64r23grdPvWwTfKiFWwk+l0MkeG3uIJig5W0b1bqnSZeQRN
oGSM6GgGm/WwBVp6qzvdeNEwkHEB4B+LDh7ABb3LmZryyGTwVzPQSXEwTVabzgONjlUjSPj6NRSJ
qMdmEIzNaSpKfwHH866t1C6m56Eb4wt+yEsnFhdTpi4qg9EktFIt0DnzyuceNjbNTmuykXcqWJAk
MuARmvbOzYarQtXXVaO+TlEBNUEnz2Nr+t4AAAndjCnDhC6k1G/NrPDXfji0u0avzwJMYZLjX+71
4CExeq6HJXB/P8EOZsr9KJvHaaB0aqMXABwLI0LFzk3vNNvQMzeF7l4VZXWcSortth6diGPhB/aj
u9wKZk6sVpHng6ofD931IGJ6hqJ+zUJ+i+QCO3ZLddkaznvc6fMpg5JVI1xif4BaKPuEvJXA7EOC
IOziZ1vHCHRABR0kRjOXa5qiPU/eBUY1GoK9x7syYvvREt0BQR9CXYHZoRHlRdXaYER6YDumyVvH
EfAxst6adv0IjEfzbdRJdVVui6FiaZU0J7qzC3QMpw0nOTOGhRQU7jq2qYgwT7wLm5KrosEjRfB8
UnP2FXm3usx2XsiKYXfI76qpB2Khoaou67M5Clq0jFYybeN8zdyck5C0TjqaClSte9ZAWCu43+x6
Otd9dMHN9JWENHSK2N51Ofy91HCurfkt5hUGKE9fO/lkHMomewCECxgFd2U43QUaF9kA432LIKxN
wS3Cy4VM55ID6fDUgm/p7gdj4rphiquSHZX4mAkbQLEzBLDbkiH9tEIvB/jRIIhonMsoc89VZV4m
au7tCueWxRdlSsDIUeJikCg66h72yBPw6uQGsS29F7d67OpY3EW97NeVPqTQG/RoJzhLrELH0daZ
w85bCi/fFx4aVUNTTEbzac69kKlYG4dfn/mfplVi40BzvExj56r1o3tfcze8wt7Rj9VZpSnJ2jQ7
+X7xKB37iLUouOxzhosibdcO6QUVcahXqqJc16sTKj+AJiXHDX1KN0aiuQs9BnxAnJ+ZyaQ/Wq2z
L7V5/HRwb03CTBan4sUk+G1RkXwLq+bGjJ2zPWK9MB354ISkgvB0PQz45SH0EEHzo/hrn5i7sLYg
QzX1Kaw1Aw1D+pEH5NE69DzbagJLxbL80GrCXoejaFbU+Daiqg+dE+19FETuzC701I1OrgbXhhYt
Y54GiTlcNyThjW3ft5zkmuprQoSc51uhgouzrw3WC6xoM6++pJznmw9ZLN0dPd5m5l48lZwEfRys
jIWmLiCO6NYNvctUcg/UufjhNDpYLvRKKokmHsa4P7S1w7jEGOv3nIKGQ+YxEapXHavTmKlrKp6Q
IBXqAFFbJAQ6u36jzUcjX6s4mTZs7U1I7z8JTSQ1g1u9R/VIvCAWY1SsS4sCVmIZFGahSQRNQVQ1
YOx2CAP1PhTSWDUGN8KU+M6Qgm7VfCZlY8jYLZSexaRG3sIt0yJtBEmw1zmWNGmN6qNJ5Y7D76Wo
oRkFw5y4DvybAJs2k4dUgC2l1yzNkQvUiIDFZwNzr0VxDtWV4WIQdbzjlLT9Y5WXCvi97oS73NGM
bSsNcYjoZS1TVYhbckPqjsWhfC1hbm2qCZiEG4Bvyjl8QksEOjlA3K2FEz57CXHPRsGq6PogvBxr
CvCeUT3YIXRGt655jwPKfxIxPhjO6/hsApPH8xt7VbBraXBqvFtabxGpUFtCgIfGbw4FeYY6xCIS
C7nMZsFNlWKAF5oXXkyD+oYhxOOn+gtNOGWxzjSG6nobw1k0UbD22kEdzMF296X10RAv6itRLXMJ
iWAgAa6Hq4qYYd95S5sENrWCyrs2/fvBVaSKA59X1/axaLgx60gCOG1hoGzdMbYOmIZBgLWJB/vU
QL3ZuMNXyaw2GJnLbhR7fYDi3UH/setyr/usaL4C5BK4mxRnqj77tDVx8CN1aGCZGsAGDBRInP32
4C4fx+xIzGxZsNZ5VNnMwsyWTk7XnF2lsuGOafOKObY07wqAoKUWcqJ108vaA0ozPHM6WguNk6Ui
qGglB0ekF4mLYjZJV5xpLluXzUSxFhhZvaV+shaTeWsSJ+yTxNprqnlwtJYAY2tscLURL61XjZOu
HFbVArig1ZgrzSWKNkQ31ETbC0PU+9azV9Xop0sRVhd2pJ/rgpRMEiy71qLyDDTTEusiSTa9zpT7
BNx9mmD6ESJGKKUF0AVHtS9E/IKMHOAFnFyJrIoIo4FDmfVWrmSY9ivlcVLvJ4+3GvIt38F7nrlv
zeCTh7U2hfZSTOxBY827QGrK4YwKL8AofH9pjemb3ScP8PxakJ52BRcbFugiBKFuwI2xWSNbtxu5
mFSgDWzLehmkn1zJ0OzrlSkVc/4d8BTuh3jVllYUcStEQXPl2Q400W4Tt8Dg+p5EiV25NcBuM10B
UUm5YriHhL79Lp6F6x5qX1DxvUHSOOnuDHtevBOnOagEPB2Wa0he7aeDntUY7U2WOBdTOcDnTTMy
I9olRL2DVulXWjLcJE57TMLgJVHmjY0nhirXwXSwoJptBAAI20AxbITTfDqlfypaQmmcDB+8FK4T
wnNg0xXMm8zvnrGi7jotPdMvmldfElv12oLRHfVvHV0gK+NgStthx/TEMopRw7XdJ072bKMnpAeF
pLzvJBMwMxpVTkbQWHdz7lLpTSGzWzaxtS0rhspAD3TdwRs/DTvbJcAciYZzqCchIh0O/q3dH7tS
jDs6n+9Grr8CSni0Ihtue2/t/VpdJMxSoLgn655fq7HWtyB4PvzKOw6Io0c32gigMIE+npC/MTbV
HOYcdEVRvnSzzTBvJhP3hIx11y7Gpxwco0lUNXflzirTg2baV6DAjqPSd/GIBZQFLeiLa+D5m4lO
Du6FXYrBkzuRtTRcWJGR9zz18kYyglw21PECmW7yslbQXr3bUpDZ5o0XFfFuAJwzCrnyiJ9lUAl5
5aE51WDP673pE4LWSVfrsAHDcOdM4sCV/rLy3U1fIbTDjuQP1lPeGOcs6q4NzXux7ZEjZDdnPXvM
8vXlmLVHMVG5t6y1wP8dqP65SMRtanrQSrUSvxVHqxh5mS8UUwPVrrDD/aADfHaZCCwV0OkUKIfj
7Dw405PybinK7Aw32qEQuSii6uSG6Ln6Osb9acnLDCrQNnKgW4G4AF/e6y/si9POHgsfqzLf0wb9
72t2sGldex+1KK5p/8MfCif1UowT6+8QsHXXmju9TIPxoE9D9gnLgJVWK6J1VaZimQ22/Ze+wg+Z
gO8Lw8bv5BBoZ3suxSZay1QDf6wM2+XIYEk8t8iWqL628D6LO7bwO0Qb4qJZ00q8W48J9dqlefEH
hdU5wPJdUZiDjfP9Q/88TS+lxnTcrE/NT12/YchgAdR6pa+KZqnvgJD984f7nWKp51KC5hjtUYz+
uVjam05dIIJmYqo8WXPgHBEzk/P//EGMn7rz357T948ifnw5S7/qM9shXNttmMR41cTCWnfX2Tpe
RZfVul/RRCqCDSXXP/g9fqtC//xifv/AP2VhRkuNg+PywGLrbeFx5isIntkaEC0ZMzjDD2rtLcyl
8VA84zHZEL3/g2f+R68v7Zfvg1+xC0VmnCPZsHa3yU5dezd4FEC08bjkf89aswr+6EnP3/PHJ+0S
n6GrYupwGfj/Hx9TpqlfymSyV+UaUtJG7vptvc22UJyX2FcXC2fBvO4Ca8DyQM5/j6DoD95U1t8j
GjzTojfgWSY/hGv/9LLrehJIimbuapLIKAKDhvwgtqEZrP0EIhWEtjas9xy8Zijm0uQGNGjsHoLL
VQb5PSGN5RJA1fuOWcFsEzOF7FneheMS1dCbR6udbgcxQl1mLLd9QjhLMYvfKL3xMjEevSrdDKZ8
04b0GNfhKuspmRZK7tiWDmlEGMuyDs40/MHv+sdfNZ01An5A3hwbtARoLPHTkx4xHDGVibyBiCVe
8zC9NTpiphMnzn/+pvrdBwKdPU/VkoSxf4r3xabkKiMTNigBBaioagbi0oaSROs6f/nk/jsd9WuD
1eS1+8cNVuh4PwSj/tJdnb/mb91V/hu5J8/VHaY/5vjTr8koT/9CDoeZEMO150lJfom/BaPML6bw
bbJ5/PZ0gAMmy+FvzVXri8v7yGU8eG6ymh7zlf9Cc9X7Fpj7bi3gLYJB1dJ9BrngU/jip/UncaLY
NFpPrqnKnssgkm+5QTVqZCKoIXJ+D8woWCY5hsTULCCfUoqaM0cJJ2bjVhOVsylauIGi77ib5Wl0
Nc0tJjfxP+xhIGQQG86KAKZajA5zrwKAQBd12sZofO9msiNi+POxbooRedSjDDY8gxgSahriAUSN
NplcQ0anZBa78N39oJpi18dJ82bq1lMaTLCahEdVLp52oqXkHKYppbRsYLy5cAUDGEW+T0vca/7A
d8uyyV7rXTdsxyR17mjaaWtNs0j5Bvo245K5thVlvRgSMwyN/kkr0mdh1W+FYpCgmW2nk0dWnhHe
Z54cY28AphZJIe7GshWX80+9IY0PFRd9AV64BoAYQ8VtG7xoo8NdsIscSIsRk3Q9Np6OyYrA915r
K+cnDSxerdo29ukYVcvaIN1Bld1cNYNwtnEXBievRT+Gq8DgYuHYRKgE4fksrPZDP9JJzZr+Yuhk
fkkd9Gsd1lylahoL5MC6ZR27DrB/Yvt6a71rJLKwSjDLWSWIketsOsWqwYdeA2+KrIppx6Ixl21O
Q9A28NYXKb/AKXfh4hk6HEmBsWuQmkYdqPAussGiiJ3n7bKZoN9NQke1QDKJthv9h7C+bWWPdUAO
T6gcn2KTGFDpgKy0k+o1i9Q73VKUPhp5N3ya4VyrsjeTQbU0lPzLEXtFnHG7C24m4juLqQfOO1YI
TFXgp2tnMD8D7piUr77NvLzTEQI9hiEKuKO0VmWbMzbpuV9ROgHEl/gT5QAi0xLnTGCoSNBsLfk0
fkZSrCZ3PDdW+8gRzFikNpxXIUl7I34IyKaggJc5WGleTzFiqwscX2Lx44XjE/MmOmCvTWAQ10+6
9ya2Cm6e1jOj9bhjHWunjVydmsjle9a0QkO9uQsRd8Q2eYLOM15byngMY1LwCVL/VU3lkwtSZBml
uCQ8ySCfEX31kvojaWMuGvZz7cRk87pzksE2H9vxiXf+tcVlcpO703mU0aNAl4cd/aC8bFt75jUD
9Y+YGjGu+jqN/4GBz7S+KRoqfVRG6U5mO8mJMhiL19DWbjsasdzBgCnm9YAiqXwyiWQtjFa9K3uY
S6zJ5zg2jxRqWsZlKa0kmi9Xjdffm217awO5XNDUO7ZJfgP4zVy3Raqvy6y2lnYIyDuNg3l6ZSgB
DlIT9EA7rumvUNH2QWB3Y/SUD5AoHBkdOOKfLYSqi0yV9xHN3oWg+bvWQ25mQ9cTi2LCFtEiGAwX
aa1vuDfSVc/tZGhHzCkR843hg437nLtAj11lNM0DMo5j3CaIxFR2SYidaXw3j28Dug6ouTTAyAxE
4Z7AxGl1erKLRfxMq5NGYDveJCUotbije282erv2rTZYuqP2ITUcsmXe13PlctwqKCCgA/trChwJ
ygNenm5ibqOL1bHpsfoWGlRq15agrqVSt7FNMEyMw+1E/9ttrPqxrYOS7riW4A13m8shz4bLKWlC
sqZMSRO2rC6MIrSOVGeZRsm7hyqAvmwrytJk5L2rtPIB1AUqGbYmxVZMXpiX06ClNuyh3lOegNWu
sXxElU9ZaDJPhdCiVVR044Lu1XsWDAc950ozTKeRiVxIxfskBauMByNYlZpfb0LWaXxF2iX3loJF
xhWzie+QWuG6NdWL5AB4IUZMKJUiZoYA46XwnXXiC+jR7mUThS+j1RQLd1KracqvNQiV8G/nSF27
z0LzilsHFf4sB8Grwr3lI9tB0nwje4nslkkoOpvT6zyat1Y0kRcgTq8MCQY86qeFnKhzTw5OuiZW
48pLqJP4QYzvypTv4HNHirY06xPBUp0JfJs0H/tB3XcMptBxlpvCKzFEZW2Jl4QWcyiaN03UF2XU
z4NJk7dyrJHRsgbjtO/IfRwxPzmO/PRp1zB0qhePRokLVevsc1Plx2qk+w1MY+cyjbcsa3lyK26/
ftom+2mSJAO04W0cvTsfhUnualSoSoGGIDERC3XBq2GFdABShrlwuyat+jQzPr2Wuwvq6ji47rFX
c2fcqNkNi5OnM28PHekmy9tPTYkKuXuIm1AvHoppGuApes/0/uAG1j0fu4zuLsTsWWuMv7jtkFy2
lbiypLuk3bPOpCQsYrEmu+08i+bS/GtK9ZUTPuQJj/h/agtsHLSP2y4oLwKjeW3L6ULWfF6oyOuQ
BwxPkalkNjjIqwtB82HJIQjDuTux0unRHtA/6EciStDJ241OSFuQxqUd3YKuiNuT33ufY8aBQSC9
XqX1AHloZE9Hc7Q3M9YTThgbWapDHoudIeeGPFjcBWNdK1KT92pEiuJG6SaT2nvuMRItquKls4j5
EPx+bCKL0tSA7yyutWQbBRPem4p2SCv658ABiM3AqbmCF0IphHzCIuTTCGjkUPv4jOb6V6T3F11M
KC2Oqn5PouW6i/KWlx1AWxVb7/okGantmuua4bJj2OHkwidAGksw99iGHQLsydsNjbrJag+TVUb6
VSuIm1hNCJQTCeKi1Iy5p6Rb64wi0GJsymYNNcrdOnqC5l0BmlTeMFFlYYvFcH2OwB4z15+jXYlO
wsxob5kyPNoT84W62ZPJ5Wqd2fJUGVnH+y14ADg/EHSjXhdEpRbMZTnGsAqFLMDns1jRkAA6BAmH
RtcEOT3wnpuJecJxCHBQKgYznFzcaqH/JquqOUSatynKlLB4cehL8hlc25ZBAV61dXwFVbZUN6K2
D9k4rA34mX5oX1hTgNAzIOg3JJ/VFLVXLXYjlByKRAnR2IY8XCGdtdt38UZl5obO/7ipvcZhxN2O
936rTq03fGhpsnfCYKt1QbpKBSNHMrEO6A3Cfdf1xxHyxj5waBVoVnStj/q4HHI3JO/f7ccu7XaJ
iF6TMRxpXIfkhasrO0ayJqcWCZw5NkubbMtGtxqCAMVwDQRu70f1TT2SFs7lXVjH1J+DaIu95KqI
nRdRQmfze8vb1nV40E0++0SeyFRMjwXlbR3AF8WWD0eTW1GwR9bKvesr2yOTPpxEkeYbB9ZrHnpw
Orjm7TrH7Yi+p9TU9dHZhAWxlQp3+4JbKD+zSykxnmmosk/OjjFNSyPgNQt4o+RGcXSt7JHtjs1K
iz5yztvwEcYIQY7pLjNTPyZBZK3dOj4L0X7YXjErCrBtk2/iqNbGXNIL51qbOvjr0jknrnXv+UzJ
aaaIiA4p3hDdeJdZze2QaPtoRGrc2U+VIY8+ncUm4YOlNfmEtY9IFKDfr2VRXoaz0NazPnOhXjgr
yLXyuCS0zFgurNg7U1AAPD4QgZM1+fmQT0Uee3JlsH3c95F14vpxRoh6a9qkaGxZvjDggKtYxQ91
W+6s3LiPBf3ItNZPQ5C+cZBE5ZdwguCbTDFdws5Lpl3pFXPrzLwfJ7pfEzMPbg2E3EsfWjI9uO4o
tWp1dccFgNldjUnWGGr0lo2RIg5kGt4NAl0sqDWAYra5Dh0JQNGgK8ghOjhpYUN01HOGjTRVtFdS
bw7eZBHbi1p3WUcTnZ5GHzY03/qVPodbcq8j1hFY3RZgJxO57SEKqguzDmN6JZAbmBrfksXfRhbn
hUH548IPKdn3PX69cVMO5V1CweXYeYofi+Tews/jB3PwoK21B1fKr4r9f+8iNAmbkZwCUghowxhx
y4/Aqe6DGJsqE6YRlG3/vqmBn2XdgJugemP1BLTbkRipbT1dRS7MYQbQ0WxH/ucg+a23bAlb1efv
Qox3VE6vc5eYEl3pJIYN6LU9w8jTKR0wUTtGB/stpZnqaKV36Fp5TuX0OkXjhVmMWJllfTKUDw8b
rWiRPAQKnWXmvDgip1znBRXokvZKNN5aZYB/cs94nPr8PCBz7Nvh2gDcmyomJ8rKvCuc4VnhHyXU
0N+2VX4d9DEOItKqp5yJve1gJxs/9m9KxrY36dDZjPFr2g33mPJ+EA3npsIP5hTkR8sdlaHtC9w6
11kMNaq1Sw71U3gCzoQu0TIPZhx/jMYoAMYgm2/SvD/5SaD/pfDz72rMb9UYqhP/uBqD0fZ//6d7
rf4+727ydb9VZLwvVOJ0Eha2J/S5CPrXiozrfyEGb8+QDA+uHmPHfyvJGF/mQTXKMRxifZ/RDwo5
v5VkxJf5G4GQIww/Q6f4u3+hJGP9DEYg6MOEmutTlGH+23SduVj+XeI99pqRabLSWqFMLy8UWUFC
lDgdZecebTKr29DvmptIBhfCyNr11GUc6Q158KX/f+ydV47lRrqtp3InQCEiGHSv29v0/oWozKyi
955zuqO4E7sf1VC3pHNOA/1+ugGhUFLazU3+sf61vjWtFR/JClLfsbzo2eBQ5DP21AKTKt00LeOo
aQMcSNg/CdgsmTffzzweXYsGdioozji6frL3rPeNH0B9I/3aMoQw0tKjaLaNt8vD3D731CWYUf3Q
Zb8fHwCVJS6P1abmanemRdGN3cdMhw9kkoYdHUZnwNWMcVlb7UNrpnijxV2Lf55gbdU/8f0t1aA8
RGdU2YphGOpSu2cL1O3srPXoOHNO09wODyqhNq6kWsTHPb71Fmhb4TxjDII2M8znuHS8y1zX9qb4
pGFkqA9JS/UBtTbvlr0YvfzwV2JmFxHjWEl79ZkO7KxsjozCoFNAxASAlKNJvU4zAFWv+ARpdWqM
6q2j9Xct8kKdstnDkOUH7WaGgbIsrm7cQiU7mwDhMcm66EqDk6KA0o92fe7c1MR4L3adren/ETVd
joAVCwxLm5IKPO5zMYamqXf01pb5l1E27bUvjHaPlJx/TER4CRsICKpLgChfokQemSJRenf9EjIi
vEBoEb+bSf4IXw91CCSSyOluIjU9gWX55NlSbcnJ5mSFyDAVkX8LIOKJJ/J75YPq1E3sXj2rcNdi
yUDRl5ES8mOvFhjZJSqtcqtDXg8tqMdeQlRwsHY1sSpg+A2cJZJWo84+7SV71bIRXLOsQwi0XPfO
abTNBMvV46ZIXqq1zNXIeB7ZxaM35zwZ4zz89kqyTRxwF2Msq+/cruP17BfhRjjxTTD570NRfVdN
9a7sBslMuC8zlZDNTNtvVfMYmmLIEXm0k15An0L16lkl/bHzc+/nkPrzqT0UdBtuJjOFZCJ+VcXw
3U0RBMQGH01DyaRnjvshA6OISEU1U4/3va+6i8zHj2mw37VgQrbYMW8CPD9rhaPYzgWFuMHY7+0S
ZlqJ8kMBIW8CO2b0FTF1mByghqNTwmTMOqD0tuKaH0Yr/Zg9ICe15f1oWYfvmzxDrRT9W2aB7m9j
GuemYhSbLImWpiYLn0dz5C+e8DNMbPrpBu4duwWm2jP55/yjHkl8Ee18me2GHwG1x9A1H6cEU6o1
UHk939oj8cu0Nvdtqx6KPkvpI0ofMlQA0NL51YUClzeAVBKgVSJ61KGuVkUU3w61yVN8WEZYQVlV
kdhL/EtDryvvWFltm2JU2z5GxrC5BnYcvhfhR/Hi+AGQeJeCDx9ehO3n3g2ziSCl6Cc78KJUPOnK
OXayN7EvpsXWsJp0N4Sz3FYySNfIBtlJK6F3EeZTSmepgnGzAqEo9Z6YcU+yd7ap5i7E90kNeymK
ix3KsxWOVz/RJFJZPa08jljr3E0IoTnTKW/EbUsVk9IJLrjotodUsi5JQhqGwOFGZYUj6+5CQ7Ck
OSj8cryE8dS332WBaTuIwdGEw0g5ec6l0PZpBvnYqhFKpb3rRy4cnAn5IXVmGF1Fw9nIkcW5Tk3Y
YGJ4JFfSHdlUb9SMsC1w1MzEWBuyeFveBT/LDHeAl7OKF5V7pAbofsx4y9RZfsli/ZEAvDmYFMee
w8Lr6F2ssR/6FCRoRRex1ywNdrnJZp7D3aVngFtHAb2w2A/Mk+nU7Yl7H9W3NEAvjvqzm8lLGbr0
AhrIeIFffmYm3vZyMWmXgM1kmOAAycWWmM4XYsVxBtONpq03Tlf3xzJF/acDgIPCwslUmBDq9LXp
PYSSuHwSxJN7lRw6Ce6/UeFLEDIMZQp0hxOIbo+UceoD0hDI2T2DsXetE/pRzLl4Cf3eAR6sZfU5
deQPbfSaQzWQDs1qfy8GSjk0zQaFgzmd5i/zWyGQ46G3L0yvBGT7gTZQDgd0brWvBvRLUSKA45+T
q2Aw7i2wlVwjqjhmwUIec8RTN8MBLbMyxElk5GQsmxMFBpyvU4w8mDG2UCLuPY3AOpXhjhYrMDSj
CeBHov6LHHuVJki88T26R5Fa5cLPEVtCKNWGZGbERUoinOv0pSz8EicbHGHX6971MGOPJbNAPXd9
MNiQ4ouESNdEvby2AW10MyPAVlRte4p8SqCcdP7KB3H4fTz633FxQRtAAWXB+j9Pi3fRF8H8r/Av
C7x/ftwf06Lzm0v6j6gYe7jf58W/TIsABbjM8GqT01u6jv6VjlQwmRkIhTKRXhgx/5gVxW+Q+ATJ
SYe6CpfcAHSO/2BYdOXf3CAMi4ImJc/imwQPg1r212GxjVFolOUCcsJMh6JnfXmRzzVn1S95QZkj
kHmI4DZVU16X3+keZmVutvo8NU1wmy7/2pq19541tFbO2cy7aHGNmW4GOatsnww+/3o2Ik6lSVLv
QkQhWhCE8yEyeRd1MR1mlOth/yUNuZdl2237gn1EoGv5OfhpcjeMKjjIrFoaf9GJPWfsGItcesFF
nlLQJ+lcaCwEs8KnQhwX1Z7OI9Q1dXRGJoyircwtPncg5DZV5BJvP0RVbv9mLJ/iDq2+Ub3FyoDC
NVsW9TaIxwhvH0NwwtZkPbHFc22j3tOBxt/n/Gd+4dF02tDXlBj9ysxNZ1fk5lMvZYiQJu9LlI6D
yJ2H2WNI7RO6KZ0OT60csSkkRVcA0TQv0mZXhhdpvMe5grUrs+ttI1h5TLE6GV7McrGrdiLIK75V
ln3WUCoiGdO9ZYb3mdF4x6aOe3z8eljZzjQBNoyRk3T4I1pmT2By4abwp4iROKdHc+QGk1Z4Vs0x
ubgTrYx92+sVzfO3THC3uUx4ktClg118oXwG7lvox282UTXw/6Tyh1E+jIVknk5GuGi8cit7at8N
tzsVFnu83NkatUX8RIzyxp4Md81MPXw4pJ42VQ+0Ai+Y3JvG8Fq4RP4tnwLcqCzeq4KOWhHSkWkL
94eqGZF6R1woCM3XtczrJ0PHFwBSzL528WsmG27adFfjqN1Qe1JsRuGeE6v5xQrwxnLKlyJo3rFq
lM/R2G3inCJg3/dfBpuzP9p9siFP+Rom7MW6YNob/hxvmjB5nqZqmym89hANAcyjg/sZVEhT9c3a
U1yZoUGHYJPPBrCIWO1EWpasbuhL7PwGDZ8lKhevCXnCqj6mdAg2uZ+LdZyFD4MZHYPcYuhrnpuG
ccaAWnIcyqQ5jdGA8MAOMp89CxOgwDcz5Gpf+5aGUY/A3kXWiCLBzq9pQOoh9qzShExb3RkfTcWJ
THQKWCIrja2p4BNRinYtZbhLzGRY4+FgHCVkcTWttN8rS9fHph2Bt7oxD1ZS/WHJmQ4stfTS17zI
4HJ4d6NNuaYVQMqEn+WusX5yPGLnFY4GSwmnJS8jPjvNFqnmu/R7Vb7KcegeW9PAbmrMztm2hw/p
Q2GPZfoYN8NtXLeSnjOusJbs/imYcIOZIU3GyOm7aOT4QHPfKrNyujdF+Km8CG4SuFg7NHjrh2Z+
wLIM8KGs9YqEY0UVAbpnqfkToS/Y26FOjlTckyUCuRB2VJs4OmqwY1m4NaNkoDmpekozoHf8lB/Q
OX50M/A1qeBwx2pg/2KELy6q5Q6uubVKSU6Ss5XEVQr2m5G1x2Btkn0zNnVIKWge7KuWKbG1llxu
LQ5l3WErJAUTzJ5afqNbkU9L48GdFQW3ek5rgAUu2laNXJ3SyCqC5g6La7jWSfcB1Pm7EuCd+kG8
spH7HjAHXoKOY4qpxneySizgRuLW3LJIdpbZS5vIR6Jl+SqJ9S+nEv3J6pXFrwVvEF/5uzL9l8JM
HgwGy7VntgfHaIetZgewsSC9adg0m6pteBtatcaY1wJ3nGL8lqzOeHvz3rUdsQsFxqKipFIsADW8
apmfecdeu2WLZ9tPYhxfy5lO2SZofsRFkR+MFACJMKuMvqgaLdjJ3ql7ZwwVTbO8XMVpHqwDsy0l
pBzgiWaxQVgW5I3ZfCZB/SiQRnZxzG2S1ANejbTacPoUa6eeshWMlWuf4d1USt74pskRoTBBSfua
AluXN5lNgjqubQBdkYX8155q1XxG2N9XTtN/5q1Pa9C0fEql3+aKIh6DYXQSYbQpapNYVI1i0DY8
8mh6Y5FXiXcEm3hTu62L6lp8dn1+dD02QQZg7L0ByRuFl2cH87O7xb5trnJNAJ2GV8DqUfdejfpU
YOwGH9MeVa02Nhd2X007aTccbr1HHosHtRCX02IXsOOY+MPKTtptUIU/vJBGNc8vbohDYZGxjioI
njrLpUqgEVesCeSdx7PMu5+eG96kJaHQwf7IQny/dmQeE+bVNnTh/Zac3uxEvmNTpzEtwVaObx/C
UGW/SIsmXt8uv4IuxtPcMjwTWKNMvZsBjhm0gFgNFNCCV3PjG8N4LgS/WnyW6tiMBI+II5lPDDAc
WvPoOQv0jMpaNZiCPWM9pmz+hyIO1hJjSVSJK8fZ3Ry6FzlRDJBFWzzTxzSDSTrmZ8em0H4KaPFw
i/bKje5HM1Un3XFRTM6D2TgHL17u4TGVeWV0KPN6Xxjkynvyt1K01SGb9D4uyoPdecAj7V/0ymQc
5uC32CLb4LImaSHxqczFrTsB+xpoZG7srVsTbuv95JZSkXPCWlhQ0stlTgwhFpeudj68yjvYwXs2
33pi01cUCJaKkknwyYL8GV6QO3u0bzM73xohKcGmKr6SvvpsTLwHkJtpcI6ORAwQ1FmCJSpEfA8+
XW/echo8jmzCcswU9J2+9VSChXH62BbRT87UV1F7lCrT0SiGl16XjAHp21Ciibnltzb5XrzQ2Xbc
yNfkTZtzOyzl2u5y/NWkD4CgXdiMvQ2F/W70jF4awkrelXLVdtze/MC+Nwfnu3DKL9YecEXjhFyo
Z1PWlOfhapbBM/3R3oqE9tIpO39nPSsLcP+cKuL3nh3rKjXitzBnJ0ZRwLvOmnkDj+sUFP6wbczp
qQ+qR+7eiOdAeazsxZ+Te8G6ZJANu9bhopYrfCxIP5BkfY2gk6uW4A1JrxItaXpJbKhWPYiOpXHm
lYKY91rkL7Vj17yhnW0wVIc4SrZlOl04Tgdr3vYn37EeR7CvVNp1NIBEc7XipzzPZXED6ulSjMYa
d1S2iYU4hcK5k+5E9Z7l3PFvKAg207tsoCemJow8Bv2dAYkP5bN44qZG2aJTQMbIaQi1/JEDulff
k+a5WKWedoEtTsyKP40xOhD3oKSRDU0chqDlHH8XlPKFnQ0x+KFe0H/3vGDlDuwFLZQjhSFmrW8x
AUbrWfJcqRCfDw4DMVumfh863bDPCLV+VHIg6+QRtjMiWuAtdzZZqhd3bhfcUOMl15Gs4l0/uBRI
dwagfmrEzYI/xPItskl++j599RUaA/gCxDCnoFDJxNvqZOGdNTlXpBqyrqK/0fF85wIg4imBKYmT
+7ft+vvY5T5O/e5dldEqlqQjBEMLAH2CW05n41PVcXE30YNHYm/tOHN0AIC568iRpjW0MmUXJRKS
GezsyoVYEdAwk1fkPBc1plngYPak3x1vAVgZG6tnhdSZeIymgeaHoYt3vhpvqlbCHi5ohtRS3Ogs
/a6wFWzNKmfN3Oord501O9drFvvfYI/evMC5ayPvG7AJ/hL/GTMP9kO43xmghsijQTSJ7/La48fQ
Ma7xwTlWefdI/Q2HeA3fNg5kfGkM8U3LjD7Qlgg+pkXjLNu5381V8+40HdkldpBbv/YfWk50+0Ca
1akq6SDgOt6HdnrsPPERt+z+BfamFTfCX1bbHVsaQjYqn36ZQ/yczDgd8ZFQjxmSW5YBHRB27934
lpJruzceU9TjXVJ15jpOEmufKGs8DUIwzWOKrDVRGoIGKfRtIhIJsVcZNeHR8vipwgR5lmMZz1Ub
cScmMAghlKyBsl966b4NHA/Woxcdcd25+wr7l9E1z7j5rmMjWIl1xvA2dEFDL0Ken6LGTg91Y6Yo
TgMyVtax1x1bemAHm77uxPFXVRSQqq/ElO5Kq5ugrRcRIetiuCVJXT3/rwrxZ0aT+W9lCKAZ/+fh
//3fovlvtlZ84B86hAeKCR+xi3DJgkrYOIL/ICx6vxHQ4O/hFLkupYdspv4wEovfUCfABwmhJRV7
Sog/OYnVb9LEJUsvI6VmaAfWf0RYZAX2t0wMUoQUDkhO2LJ4ukyBIPKXvVWunaTw2Vsxu4q17fXh
zkc665HQGqQ0nuqsgAACYrWvT+Zg5yxJUN7aRYMLIvNJLcpamvnFUfZCwxgOH+w2INO+qHjxDPEI
WU/aiO9qUfqqRfObYeFBGiThvOiBeUB7g+sgA3TS2E+pJVfOoiHOi5roMzx9Rr9LjLNXvWASgJtN
pazbxcN2WBRJyo5P7qJR5otaCSecY4QRv2SU2KBUJAcO2Yex7m8ZquQmNvPXCvGznsSLtaihbQol
H5RRf1RDzjPvTakTecqC2oXq2PXx18xOf2t10Znzwala1NZMdin+l/IzXpRY7hvzykOcFe5wHha1
1ll0WzdeBHqSqUQwJxbwi77bmaq7ekkIQ3HRDjTdpGtrUYTdwUl+YZVmLdhW2TldlONO2Fgp8kvr
p5xLEZcb2zuGPb41LrRsp53yJ1N0uQ1oRzqNvBiNCRt8JvxWoZfO4pfjEW7sa7cmwYkKbBnQvfHZ
aQ52i/JdLxq4aSXfRTbaa9VMv9JFJPe8CnPgIpyPBtaRwLDf4b0zxqGu11mkLgR72bOgvM+OJqSP
Fj8sonzgB7dZH710qPU80G45zZF/R8b3F0HfWKR9HRWfVIyfRZtc8JKegTdcijSCpslvB97ush6w
wUSyLoArVR2I30I4V/XVSRC8Ckyiu3bZMVR2krIeBaAoNU+hoq2LrWpIXqfZ7BzrOkDLX3YWA+eK
vbPsMfwAm6S17DYaEXH+W/YdisUHVXCIQF2v1shkahuV8Va0+V3HumRIFRflskGZLTraQkQodJvw
1lr2LLTsPmYJtBvDPnjL61yn13zZzEB2eWDaIGs76AdnmMy9w0EgGeQt5JkfIWZXNq1kO3UTnQ0f
N2LOEii3cyaSdMbxpviHk/sAy10fMmmAKb/Q6mnU7bFQJb2hMvkxLrumMA4ddjsYhdIKD1lpPfLE
rNZmh/8sgMJ5mopU32V1Ma65Wh8GOZvrqnN+Ea2/yRL/W2cFBr4gxCRkfahsGNYkuV6aMM/WnmxI
GUfiXEX+saNKyyQu6EiM2nFBINP1J759NeHRA7eYVEOxyYsU+kYZf/kdQs6ckrr06hp3F8WB7LPk
q5C0hPZeKfec+fpd0BI74LFlQCxgpjRR7mCt5ic3D34AcnjPCICDaOm43fjnpgzfrJwEqiOoNasN
Ee4kbo8taJjt2PbPBsbPtLeSW8z36Y6RPWDLYL8JJ/jotPhlc5gbmoVIlENyjU2Bq46TDw/Eh7HK
fxUzmzgzan5GJRlVOgC/2lSbuxiT+JYV4dqJ5/uedsfVhKfo7PZmegMnOTjJlJGRrERB7Dud9t7c
Ejtg2JuaON+RBKlPvsFsK0QuD8EgbcbT8edo8S5ZQeVyNjUFlFM8zWv0TuuQo6BufYPiFlixNLa7
EEhqk115FuCxNoFgc4GW1lX2vP5TN8QnqYKH0TM+2BZhYlOcLEM+NcoCFbTS/qDoYjibtVSY9eQr
qtsb+wluU7XCCq6ddB+kwztgy6+ma8wjJA9C7cL47uv6o0yRKS1aQLagPl0Ydd53mDfDRhMKxW/M
0Qm6XbiKvb7cp7N6A5d1R2ShP2YG0LPGu82n+Efk4T7ogvs4pk1qjvp3I0cCTmR0IyM2VJb5aPb1
CzorKyGDfStKyM/BQf4dPK7iWFKuUxDyXYuioKLGQ9zIfcpCafmeGHj6kveHvNeCIReFDIBr3tsH
ysNOU5oee6OzVjIe7Tt3TKihMecvHs5s4QLsf61tP9TTfPY0xyIjeEyAnFSY+oKimrd5js1OmcW6
yCpzZfppewtKAk4r43w05qTsjCnY1EVwjxVx5zfTYyyRz8q4++xE+a7D5JoE5daLuofAGbcdPKGh
tveWnq9TpKD5pv410S0sjnJAexfXqTLK7Zx633PNdk7CK+oieU+cAos9JKMQohGs0XeU5ovtqo/e
nA4T+CMVjSVfFZwUQwQw28pmz7vwkhxz+qo9/WgDzNXKXu7VLw5wJXgIF7EY0gaDS9nPmlcj9C+m
jj/DmjS8A6IJe+5O+/WD1OMtibhoQ91Fw758qElRj/tmYQ10xUW2EsLVgoCqpuEh1LG8hLP10AXF
0V6ejT5mSGhdzVNDrMdQ+XcSjZ/lHN0mHO4MWS4UQeqxfChU8PSfkwVLNYA32nreNK5DuFUiC27s
BWQF+51MUZ0+BFN/LzWMkwV6BZ/0boi1v2mn8XUC88zqfqZBK+XxigaFDXIYN6kEGWWp5rUa0htV
j0Bce415Ekvt4MvzODT0GgU8PPHQcSKsuMR9KpaEwYPF6hEjLTqOVxrYx9EkDbANhEEXUmHtxqz8
liNVQG2uXmrBat2pCAu0WLV5/lb4TMDyULig9mOpHuAC5evOGfaW6e/Kojxldf1SOuqmc5LjVGA3
icU5hJMSQJGI3PxXV04n1t74DY32GU/cc2Rm91GCDa4wcSx2ep2IdKuSeY079yFQ7Rbj5K8yFDe9
ag6EebBzRsfWQlsHOjaG3W2sXUq83L0fmefFBM5LjO+zUQ8OSc2ildy+UMcnfPNJFz4aNREO1xIU
VIH7aaw1QJkLnouEd8RAcxo1z4K4vS7lqScCsOae+BwJgDp0EoYSrBe6tTfP34DsUIkVswqUvLe6
nD85GW6UUf9gS44yNe1EW1/V4tvF50rZ7bxRJqn7PD+UlftrHvqvPlHnJGtvjQGn+1haa5yRVGeh
B1Xpa4lQaozjkwstx42XGEpOvs1CYYjiY2Dqq/ShIAzFpSvFWcXBbdiET6YwLvB17yIKAs1wQnVu
z36BL1W174Hv3ogixHgkdmakWAlUORpb9zPy3S/Br2TFffqRnpOz9qjdlRAESr1vIkCT7nCtbXW1
CGEgiixzVX/EwntIA8TU1DlEodqkdnQZqmhfhDHIIM6xrm+hBsniSWf5NbLUDU0691nZQ5GQ+dbH
Tm1QtJVrVPQ4N99x+3xks3GSRXkd0fNyLKlQOk+mD8y0UNMVJ8CDNsqPkkswGPwPjJ+vM0qdjMzr
5KZbbzD3cra9VWg6pyIpyCUFVLQx5tsuaa9+IyP5BmJ/A4jseYzyb9PmdXFMi8cQmKSi3LUEjgKe
UqHVFytNdRNeKsJUrAgBAGAuYkj29HhEMz0byn3swmjfgtDjPnzblv42AkyQzs6Lq/O9VOFd33ID
7RWSfvOc5+nBjKtdwxo9VSVLstD/GU3+JvJ83OT9Nwv4XUnqIB/qc+5N9I3neLPEVk8W9+YJm1pz
DGN1q+NpP/I800YNGYHNnQujDYEn5rnV08UXn8OZwsOG4Fo9sBxpnZs48Y+sZ7cNHniVZfc0B59r
J1GgAqmVtYp9nTW3rae/+yQe18QDnlwo8Ss60PfZZD86xJyarL6a0j3hX2MLdJiDfJcGxT42+utk
0F2vU2JR17bjsVon0zHzsq3ZR5hCyvtI1qxgUMd10x5LP7lJfHtN8JOp1zj0VXnpDXopKVYCBXPK
RoyC+E42pg+ppI7PZG7QOI0bAqIXbWJ/L40zJJ1DSrkKJ4/X0GpuiI48l3l5nIxwT0LlRvD7d8oJ
etV0rELjsdbeUy64I6mGrUydnpux+U6r4c4N1I64yX7s+qM3Fe+jXd4MNuy1uWn3IHj2vuEvfmkA
G17zU/YTP2mS35eyv0R5vWT2uPw12n3SUmJbPhPhOiNLf7vUVHDlW6zp5keCa69GM01ApOKvyh5O
o9uxc7CKN0zBMFbz7LM05cka+4eqp8hIjej9qlF67frui+cWZ7el3s4fDGj6dcTYrcvLnJp7VRrH
yo0vdgJzsC1PidvT9BU+DZwrESiHcBvxyxhV9Y4mqlfSVT/zJrjr6Kw2R70zKAMIjPmQAyCE7AGm
DfsMuIuiRCfM6h+atsecRdcqhsuynkT3ENruOfcRzwCXl9t6lumRaoMfOH32uV7iYYZ6SAf9U4GK
a6YwX2vbSjalMD/aznl0GHRRo0fGqqG8txoOJH5XP9s+wCBfY82TLWmSCB/smkrfaYMb+lmawT4I
CRmEQ0YKZW64N8+NH0KmgU5aDr63ruI2f5TavjEoSd4rG6iaot91hVUo2OcSNq1rwCeNPWThtmOn
NI0XTIDVuqExbu26xi3t7HekTeNdkIL6CnAcQRCfzy7rAXpZ+0eodqxqCFQaEsmS5hhoFiZVg6Wl
PidRP/uej78tnL/i3Hpg83SH49Behcp51EKDL+udhzyYSBezHTQT9a2K9oVD9TVO9T1lT9feaR5k
yjJEgl5K3c+0awE5jdXJIPTM7AdJB6JatIkLNjnZPDxyqxq5b6Q/+oZgRDrW4HKD7MuMrA/ROfEV
0SHGqLesfHJ9wQ7xu+AfBhikhvlCYdayjTa+S+g5JEa3UTRfA+S2qImPKiKFajrd3Tia1JnOT6Lh
fBq1436GmGgGKfnp6bXwRX2pS+mvyoLEUzsYxc6Utbcya0h7eKM8tvXt0YjLkxwWOoy3h7Bytoxx
O4zZFSY1B/y8vXXgfeJKSC4q18Bws4LoZjye/EGcYmBf9KPtjRHlIE/5hHZ/G1AZSYrsQGPgdk7k
ueobjF/VuqiDd1gF95xSNn4a3fu1cTCz6lFYJnuy5MWuNXS2cTcyL+eyfjRk84DHHQWWSE+f8Tyr
us/QLB4K2gCHtL0jnfw4Zf2uG/1tGpp3VEweOM4+1KrYR7K3iZpWTz3GXVBk9asbx+RIPEosiulZ
Dt3RtLx8L3orYr0xhXvTwUUQ2e0hqkDISU09pB8Yn4k0fzGRk0mIJNAnEgC7GcsIPN3qpR0a5p5k
qu/+V9H8h6LpCbxQzr8VNLdN9rP+kX7/+Iui+c8P/EPQdH/j2ICX/nenu6cW1fJfYAQpFG57D8FT
OciK/xQ05W96we14nrKpd1r+/2dnlTA97Bb8D6SB9PgvzP/IWoVa+S8wgmUtOitWLdfRkBswa/0N
jJCipeb2QKeecWBZpI+Q0G7Dbbr+k+fs7h+f788goeWz/JevwgZA4CGz8STwa/izZoqEr6Qq2Abm
osWBXK5a+Q+T3/+IKvqvX4HPSqABDxtBWX6pf/0KCp8Q90SF0FO+e6SNxyBc/fuf4b9BveNoY7mv
LdID/Nr/xhuRTcO90LLExlpxQ/P39V26gXf3UH2Na/2FiJbtpk+8L//+yyrxdz4+2CALngpf2GQs
ovHrb6/RaM0UIlveRCXmgEG0JAA6LMiTmbtdNA6vHVDcRmXPmqpfh/jVivKfm6TVuywKDkD+nqYl
8uq73Eugzhghw6YBnWt+trP+lCXloajF0RuLE97Tj9ZN3nxPXQNjm47wwOMZY2pp9i9sPIlCzsVH
DYo0ipNXUsC7sIS8bY/nhJtZpfyTPfjwmRXnhfqeQ/Gbb6iXXFN4P4IPD0AxSu3fk+Ddz9qNv1pL
b+ZogQ0vW3i7iIKNXjbz5J3Ekfvms1OzBRwrI7/RqWOyOedmr0b8XzJt1LFc9vx+ypcP5JBv2oCU
YzQMS9gKZ4C/eATSxS2QO/Jnqkg/RlGJBQZLQVAsnV6Ly8Bf/AaVMN/5SRAeDRxjQVq/2TkVeAW6
SWbo76TWl2gK78Jg/KnsifQIWzrsDdlEblVieNCeDUVfskWqbtxlXxxijXCwSERBWazCxTQBb0OF
4nvCTNFPxuNodXcDJovIT+5xAWKd745F5uUwhfVpwJaRLv6MKEma58QgrGhFVgo2Actjw4u7T736
toyJZI72g9Ooi86qjVOZmH26yl271Lk4S6q3TYc7YZRAAYPmFLZq61T2IREmJpsJFlFvHTq7vJrD
9DM0qhuvMfGieVuXBLiast1Q+pcm8U6pGF7H3uOUVR17rY4cgH9YJTLkhOsrJLw9xG1wifAnV7EB
0jV5xHN3Y4voDPDhxWwYTO2o+rSjeh847aHFgFiFCGQFd53xpz2UrypLXwJytybFZ2s3kB+hgIxa
gY9Djeye+P3THuxO1nZBpm4477NHbzoLLGqV2DfYe3gSjn7xOqqZ5WRomTejCVxpapN8h/WyQiC0
2lcSOe5dkJacekmyrOaUiWjMnGQfprOJ38Gan/OQrDFNOKTebMRMHRo/nbLzLkkFosTpyLo0Zp4e
DTurN7Er8dGLp0gPPmHGzju5NVHr2XfTJ8ee3oaG6w/KSLrVc9Ljiq5GMqWzt7OGTC+kom4rnfQz
Jxq/sTLhvAg3i7h9ocdmvOYb3IneUXg1GR4xeI8lw+qzmtD+jDhr1i2saUaCzGm3sYILay0n+oA0
yM4ZADdj8sHRqvFqr6xauJu65HxeJKK+lXb/bZJOwEMTnAEdQk7CQM+gJV86OxjeOMc6sKA9ikCy
jn6lgrNs2eNaE5LG0iL/CtLOpDKpovwaZuwqDiFrgvHBGZi9QD/8/+ydx3Ll1tpk36XnUGDDbWB6
vCcPPTlBsGgAbHhvnr4XSvd2S3V1pfjn/0ARipDhqUNgm/wyVyIFDAQolT68KGTBxVAxgMp0RSfq
mB272Dy0XI/WjZm8FoLenhQPX5Lm97pGgYejEI8oBH0OgLs4PQ/YUNmPgUzusduRnZFdfQ5/Ajto
sCDf266jwat2lRvAtiW6NNoqXaJIcpNlQr9obe5cwBXMbRhrz91sH0IpvYS+c8VLXPKMFjeRzOg2
ks956XyrfLwURkurkcU1xfTbK2xtAMs4PxZNWr+IMeZS03rnodBudD287yscmaF2Z0eEg6bmNhu6
B2dGvNi18PHQ83JYrbkPcVkGdnsEdUCWo/rWScA0gFQrmxlKaNylhnkhAUEbiGSG5se3ZdU8J1N1
2xYOrAOw8xL6aqpvKprKWJoeAOY+4g++bzzqgkkvIzasZu546iGLDlPeMHOLmApOIMLFeMTHySW4
ZVzRM1xvWfoc/Vsk7rnJ4mHOhK9cN/kspFgrnHBLB1lA9O6yyeDrN713gT1w75GvJnq3Vk586FVy
Nex2xpnx82pVQYeey5U6jCtFSrUZaEjkWSt48hKLC5k39xjPLY9Abhz7rFXV1UQ69pknNF77VNZY
ebLWvAsmPUIBS9dWUpx9uBPkg51P5Stq250dRp8nDtFnZONrntmOvhji9lqJljfAZ4OY3+lIAtVR
lDyYffWtuQIaQIlZpMKNgvnsNiuyl5w+ABwjPU4FEuRYVpiqjANgiCQncBvCCEaftAsMovFGr5Be
HfdGE8m61vnEmfstgvhe05u7CmJtYlPDYVJJ0TYPWdSs47DYAPTGMFTFr0OVbo1YPTAWvBnS5twI
4nOeSwB3OExJRqsJgLZe9TtHsbUNPWgKuuHL1v1AUFviFtvKHFO0D16hzFy+gng9VeWNZEGn9o3v
lLK5WYkkURVcskKDnmzsZANqsmxmkUnHF6GdMjt5d/hfBA5/xBJvvK6tBauIbszQjLvO0pd15657
bwdGeOOq7Mj6Sc8Bcxfn3YnfakRJTRgrTkVLWw7LMjro7bnIbybLWGbNnVQbvXgyYmyo2slUN7qJ
DHfy6tvBeNKTByhJ9XDbOyt9/IzL+0En2r/KeBWCQ0FLNZjxZaDtLOu1MB+D+qsslgmyezDe+O2t
lRy07M4BZCwFLYUN+hIVHj2hPXES01dsf+TTkYSVCn+0JIRYcPdtSXGwo6+FU7Dp+eveqZ8DJNn4
pjcpOTSdbcMrqCivMYZdNkMi4PZglWTuRq3Alo62o6l1fN/aA7jWl8qwPto5V6oC3V30tXnVImvJ
1WsdmslVl+MyTNQx0i9x8Bb7bJ/VtCL+ST8AkcPmZoKb1fjpkgBfoA4Yvtc5WD99OCgDiQoXWWmK
pWE4zxYDBSd+MZJHoKlcT/VVbe148VpFCUyHNE/ooRnIWNt8Zb32MflZuSjEV2gSwB7NL1xB1Jk7
i3b014Fx7cMffsx1+46gEZKyg0VXyzZSs588Eoht38HXJtfA+MFIAjzfL3S/blhNzyYqM2SIZQvB
XbCU9sW6bTmtgy1rwrPex/cpTTUh+T+DXxyw1+fRJ4wrktOo6UfU+gsRtzuPZ5tLJ/YxJHCQxSa1
inGNmNJhFgNuXUIXByV2KiCtxelbGtUPaVo9K9dbdMhtFp72yX+qVM0UcahOc4ppCL+TqbxkqBlY
HxdyUFtdvxg+1ILYvE+8dusBakjAMrD6oWpV69FTW87aKy0vIWf8UNVtkD7NEk5Cc0jW/jCteO06
n20cnO0cY5eCLNrvA2P8suLbUb8Jc8VJg+lySaFjUmGhH+angME25TTC2XNcaHgDL0GebBMsFCKr
N2kSX8OavaLMLiReH0QKVEbxEppRSZaQgXCmXfTpmGodbUbpJosggtlkZH1tOyR2f7aKDvmF81kd
f4Rlumm1ZhMoRWdBCXOWtWjCikyPUeTdCq/e+l4NQq1cDuJFFtc687Z66i+hK61cGjUdE0wJy0PO
xmhV8jK1+gIWwsKxzWMDJawo3r3Zb0pBi04HIbfRZdvd5PRgxlFH8LlcaOUzCHupfw5RghyO2haU
m55KlWlISObitMdiPKFrTF5xQzEJHQkj4K/whjaYgXOvtWXwdk6rZm0E3dYeCLZhpDCtkaqHliU6
X5jBo45xhhpIKgnlStfJKbvdrkdoHXuCJzQ8qABEf7Cus4cQmRRhbtXnlF5gF9dZBgdoTuEu92F+
VNPW5KwRkQxQhA6kD8dOO8Th1yQujZfvYncVhd9t9CQlxKV40fKLM44FRZ4BLu34JR2f6uQRZXGD
49bLWBpfIy5RudLW1MZlhIPhFfVslYg84LB4aUYKKmldzKpVHxgPmBA5bVIUMxznuIvW8RX7nA/y
jrwvELp5tdDpriyfvP5q8GhhowVAotZBdSUenjZPA5GDxCZX68hF79NcZiWn0BC7cnYCxvXS6IIl
7pZN3woiIuSDuwp5V6tAGmOd9XSi5cbgbgqHkwR3ibK+DfBEJ3wQJb6C4MaRuMiRyVrQcyPDQnaj
5UibUDHh3DhW+rMAZUzxit3i0e14Wj9d/eS377a5cfJzT+qW6YVwt/RAbZyqo/xj7RuQpEWw0rtd
OOfEmWoYL+zg2kThB8RklYvNIG/BzO/a9KUz14KD2/CUMasX2XWI3sp8n8UUQ5XRKi3XUQsODZdE
jmqpbkoPftkuYD1IBoDWR6Xqi1HORds3uXujnAcDikep3+nJa04yQWcsnd2PRLwCGiH7Jt4GsxFH
Ys0B3j1JY20i2ms+/DQsRRXrbw6FUcccWpAccCFkSSNdR17DM1itQh1DFdVU6pX7I+Zh/iKNYXD1
cIJLkuRH5sOrkcFy2rRLyT2vKculE8qlH93L8CFI7qS4Qw7Ok69alau6pP2Ir4dhEa9xv8y9i9Se
NEyOjqiOoXjoZ75Ypt+U4WdvfqWBsUwoJsgnVpDmARQyJSGPZfddpScJAr+iZ1Ivi0XhYbePjg2r
kzRfkurJN9qN8s6oygcLClNHi8pchuXBlJ5zb9ga9uRYdlaI1bu6juDLHBneW0DZC2owKQtYe8FH
lh4Hz977hAeG5CFpv2bzmIii+zQ6Dby2A9Qbt862hCoOHYzuof4oA3cJoZF8lb60PdxVw2dY9JvM
eCeysJjAChkXHXtyP37QExvg/ckRnAkLQyzHDK6/TzZIJ5YIWmSWEjEeW/Tash+TiuwC/rrUi7cm
7Q2uQTjJvQXmvQqE2NQkkbLM3KbM6gAS4MvHxYNzm5xw3APnMpZM1oC8qLUrvwZqC8SL3ruHhDUx
N/bAWFCm8cS631EF7Ct/bIoXy/3q/R95T4+ARJ2N7VUynZvxvRzcx467aYMXRz/29FX5kwlMV3L4
fbDzZ5MhvwN+zVbwHvJ8KxRNrhyN54yXb55CIvnOd2PfTPiTDf99oEfIQT0yvgv/xdUZDstyXDJS
A6S5kDK4MZJxLYuYtQ46Fm6iLnAPYfSk3B+VSSKqNQCrE2Sca1FoYRfzLJRvlCVnQ8ZtkTB0NwP/
VA3fARH7TnsI6QmKOFxZ2qeVv/nqLu2uMWa+VGPCYCY7F3KahadZF9Mmqz4HfMSh2JYAlAVM0/K1
RJFQw2PTTNtmDNZOPa1V62x989gxHsjlBvvQLvdm0/IH0UkrOs3g8poWvgFzkM6hnANQwieC0z6c
jcxYc1zaTvqrtD/citua59HVHhHyZv4YOuucPqzpSas1EmaqWDkVJ9Ghnq3/LRxEjidi440EnMs7
KieYFabONdQVDjs8Ac5tqqmN5WibIRjALz8koCEMV7+UU7dShVz2Zr4ShvZoxow/ON1TqC7rryop
YfDDRKJEQmnVfuKQknp7h1FkYYWbIDiF1V1tnlKmn0nzo5iLNqyesoI7LwkIV4+bWMjnIQEH6K6y
6d5ujRvY+mQLOUCBy1Odt8lTHCUOJQ7GhImDZ1MqGnFetJTJScYu0z9RUOxREadz4SBmHRafWWk+
h3n1MhZ7Kkq2GQOuqabkrU7PSm+Bip6G8H6g5RcfZT8+mPkh4JCBAuJB3bIpzQ7Yd4iRIruqYxB1
5yC6b2FgQVDxTrb3QVBgNVjTZu5P6YuLl161yYZbODElxqtEFs9fqJI+DkN/8gZ16Zp8k9viUiZQ
KQZjWTnyEY/JQtS0bNFKp7c1x/x2Mc9JoAEtAuQSN/M3SRhsU7dd9WNDONTeBEwo+oh552jBknAp
sCrfBhuZhBL1FZ7OJyf2P0T5nLoXavgWfvMxZIc++5Rza7RLypERE9+pfBNEXfL+PfWaQz5XpFos
jJNzHv1mj355zHubAz9ImRaK9uj1OxITp4xrWq+zbSYECKJudrVPh66QhzJkghtgt683duyeGGov
jSiHMYlbp6ckZnQfsrzeJo7auUIczNxfUaC87yExJd640WpyteIkqQRw4bxKXPIEShd2QVFMSFDL
mlYJu2Vd/aAoht9uvAvMs8udpdMv1cTvKObFhk2s99STs6AWWX0oa/TMjjOaoDWAmgzbPiWkEgPO
u7nFwTf2jkmK72c/5Oh1FoEbi10smlx2z4ptSbQBuN8wID9TrnocJ4upfaUczNG4mnh5Sp6lwRjl
j96qMbiwBBUX0NzaTVQyRsatJj4YYtfIuJMiFdeVm2yEl5rhlZTTVoFNiNlaLPZ0I6WAEEpfaWtb
z6/ZpvKNzjWgGuhddJgPymirqWk9CjZl4s7sf5fUJv7amJvQ478znH1jdavWjE8YgZ6tYLotXd9c
hgLD8Dg8jeLLAuy+xAjlgd5tz9ItL5U7LaXzZqIkp/R9Fh1Awib4bPN+m/T6XedSjj7xayCUXahn
J6FXJOjVQ8sJjhWRCrK6wDUI2JRo+NLjF+RX8rFLbYOHZsT/ULCWjtKl+Tukr/Ozkk8KlihDx4iC
xb4hWOF/pJX+iNbIGb3DGYWKzmmj99+BH9k3bgYWWZZy2MXjRAjYebAxETX1K/Xe68r5II6M4mrA
paGcjBOZfkprb5vk8lqAovXqeBPEhOX0oz3frKDihDyihHuoR2lswi64PscseoAJuvVq7I2RjJce
yDZaZqnFgDSTGq92Zv7oM0HsCkBdTZcpp5lb+h3ByMb6ThNvpi1vNY4Sw0SVJcw2vQKu0Rt8/+F0
G7fEfGjiygOILPhDOlEc+IO+OEX0ajWc2yJ/NXn0rsR2jrEof8ZVBpc0IpgcYwGIdjXgu6hBi4HZ
weMFlaNq1+HUn+2C8beaPiNOTnbjQTDJPxWdFnn85siBh8jZlVRSZRUSz1Ceq8E/9P1tnZlXpZW7
0jwNLHjVcUA/CXm7s9HaOC72z9K5NCTY2nRtlJ90hJxgCC6NnPgUqRzKWXc0gDJZWWczEYCFm03l
GnKUltqNlZVYvdih4ayG0bTHsfaZ+sVu5JZk0AoHvvgcoaQnVY/xhAjzCGd2yCsO81gnspyskju7
L6qcYsukd/ZJH204t2zI5BOnrjscZwytE/tAaRqVY9q0qaS4EQFOpRDo3CkP0Zaki8tgArYkOS5Q
FZVZME2GkXhL4LyEerZrGqZqi4E+R7hXYcODnWY/yFSIexPPzCI3sd/HHcM2GJTlqmhg82EIujGJ
L+DJg3wdhR6Gi0ZdJszPn63PV61ciyYoh2OYkN0nmXm2XUY5tdPsx8rjSNoX7XebU+83iEGxiTvm
xi4YYgOntE65ydKgm2O7peeGhJPbhI+ZmTzG3PYx80Y5HMjUzk+YaU3SWyq/h5Xj3drB4L5mWY8H
yDIo3hKl/V76Bnp0uZFFeuOP+gb4Na+M53OUZX6yp3iJKsyky4kGkPcC4EyYzUoyvgNV3QdOZ97U
0lZHUbj+UvfKWyygVN8pi5KkLL8PLZQk3h2mJlN0qQL/FVBvB+5Xj8lFVYQ3UiHfO4awy5CUwAjl
d6Ex40LrbIe13xLpFxNWP9OQ/kydeBhLEtdWwxYYT0fYYRl8aa6QYx2DdMeGYJuEirC8MCew1nEl
IFZ5sxAVxIeok08Og40FVtj6FDR5D4ewNx/7gGOKEVK965edB9ucfbcv5363+qEwkvoUJRipWxUh
Z+QDftf23hyqtyydPuupc5aTanaxDM6ByhG5wdOrprxafUTp/UAHljfpNHaFVrAsHLUfkzBdlZMa
X7pCMd8McOZUsU/SQzjQj1AokS5xlQ0JO1HMxWODoXvlmm2+NFnWfGfaKFE5xx7Rc62NDoifpLsr
7fAcs41WvQ8nzXkm5XkhQ7oelLWvlPEqzAQXSsDGiq2d5cokaev5j30cTQe/SYhUe2yktiItwWm0
sJNPx4QL1c8NexZVe2NA9hJ8z6MzdnQVm+azV3S3FfV8msF1KyceigNC3Fqjd61+dvmF7qGP+1PZ
+JSgVA5UxIiXXADq9FIXyQ3r9CJ09LOcewLLMmYHs72vHtfYWWPTtTMuWJQM5hQ1zcC55yQ0SArr
7lnDu5LOghZErmapJK//kHrf3YCELsuMSJ0c9kXd6SuSBMGmmOsOjeLndj93HirKENO5FrGcCxLD
nqpE2ZnirhiKJwxJ7krSp0iWjzd9rlhUc9liMtcuOhYFjLXhXFVBa0gX2+dw7mhEL247zFfmXN/o
mtF3UgXtxk1VvonoeCQ8WK0707g0LetDUDf34D0Y9kTGQTBUXRWW564GE8Wnrr3HNuz8hR9Od6mn
7wsaJkuRP7q+pBLXe6AlumLv5FYb00o5AXMCyWDvDJp2cCSX71Uf7T1LPGNq2vg29238W4eJrkvZ
UA+o5ks4LZgsJ/wmR6Q9zy+esfvewxMvtl4SgyWZazQFfZoAYa8qIpRpGrjQMXA9BTzSEdnMrKUk
3KOVs0pDCNxzUacWEtmN9I7pOGUPrNp0epVbVfsI1XPRJ7BjAKgyw3wmMJhqGk5/lDO5otcTjkTs
9BBnUYmAwF/TGsUzU9SdtpLbyEBd8JoWrHbp5Al2LYijQsEf733ryaq1+3AuLK3n6lJ+/fayiMgu
FVj5ogYM2Vx0KrLk1hPMu4w5QKzrlHGnIaS3iCmZDhVuUQ5CZxpf7orC3OJWhx3QmN9ZAy9tyg5q
VBfpBRccviHn7fGiJfRUQYeAdp+vQpv8zhhIGoGTgzO26DiIJU7OvTkc0ssIpH+Ih6Oq+I+1Ivvx
93aFn1aO/2/1ADrp4iIha0d8zzRs6fxixCBAFrWDoekr06NxggqwZBmAVg3Qha2JEgHddsrXsAOy
MzWvegOFPU2TOYxv8pAHsMOFRukgjPDYNw55l5/trrvPBsjz//BByQT+wZPyrw/q2a5jSGqfdBeT
zR89KUYMSCcrcIzQ33YwnuSxObYf8YNYJ+vknD7//U8z/lwF9J8/7RfapZmDvgbyITCXQ1l3Au1L
wdJZdez90mEmnLinMTHPVdZc2gw6OwaGyC2vhSXZX/q7WA4rgpEI9sx9d5ZT3Whpl3Lxd3+Pqf5X
H439Vx9UCMeSrmPpwnB/cblYxBQh7SeYIwHntAC9Bx1+ZeBGBbmSGpxlEcONkeSho+zKejItirGk
xIIl3+tDdjz5muG7bx35XbCtO11MV0L9pBxQsAmsMi3IFqxjm9KOztWUfauQeyskofEQt87FNspN
Ofoc4UK0KX1TBw2TWQARjtdso769h3mHgbN79kZvx8R0Q1FovU67kAOvXV8HtkRQb4aEtpaEe93w
GZen+lduIKX5Zmn/g+tI4An7j4fIoFaGfKlpSsOY//kfIKbVxKRSkEPBE8RrzRVDX4kjQLjVgG+d
mM0i2sjV3z9Kfy4R+/1J+uOP/MUNFHj0rOIRowmtNh7J1mxlB2CzCZNHrtzbv/9ZvzSW/f7DMDsR
oOUvQ9i/vM1TF/YudAeUdCd/Ac21GSCw1Bkc/aCGhGC1D6JHjGHuecP2vxV2vvGCYq+7OONbDEgD
Nb4lpvy//1jzq/nrGmNKSwCNldSa/fqMOqCMo3F2YkXJcxTfTsHZj17//kf8xbdsEURnFmLoJonk
X1YHV/gueyfvKx2F21EHu+WRzAomY6sbuJH//of92bz281u2LV0ScDZ/Lp+/fMsMQqqc5j99ZYBa
0HB0j6Cd//5H/OJe+8+fMS+Hf3hS6YrQ87LsqOXy6mo7ViqYg1QW1mUT47hWLkuGtDbenzMuCCzi
6bCrCIdoldq2Y1xAZU3VU6N58vwPH+wvXiHbIr/N40VS2/zVGwgSIpiocBAcjJC3FHslIobaBhkl
QiPgc9VSiuqn77xnb8FAiiHHGl7bFFbqBAH+4cP8xabwxw/zcxn/w7eU9VJ2PrryKnXwb5cJ9wXT
LnFjJXeYA/ec1+9rT/irmt7JtmVsRJaNg6Bz+YfPYf3FI25bNuVYwnMNW9i/LCxJNOUzaoHdCRlo
EtwJc1UvEZK2fUdvdp4BRa1r7kDGfZQZh7bFppKOjPFvCkAu41PWbkX8UhT6JXXB6WfhXlF2tfC0
kGQjzjIyXoQU8RGWu1jTwd9P39bAXaV4H5L7FlJlSG4tEe9IurUPyldnRioU9YTph8Ndv8y8c+4F
W/LsGQHTgO2Zm2a+tGS608JuFQTdxlIlzariEFVkDK18qU31nZM7aw6fW07WR13Ux8DKP0IdqaAK
OQkV/rsZNdhlkm5dVBQz2FV4Y+bTJxCqYVnrRrNQFiXICB40JdJsiyeNXC0XW5W4RzSoeBWG36kJ
Z3JSWzUSqbH8G0BpW+6aB5Hme51DMuUMWyu5Kq5zmYYWMKTrCWPD0KWbiJwU8Yx1Ez63WIdsgUbE
8LkaVlmXrloC+lPWbWwMmPVUr3xIddKjbSePTxWo1KjQ1gU1WX7g3nDuOXW6T1kED2mMSSDv6Ptl
GmBUMee7ScJiqmE7pStC27sqlttogtVDhxpKU7GsguqpN8Wt4/tvQfWRDY9m8DVbMaoxuLaxeYNe
96zxL/AHe3XnDhOZpGgm7Wtrik0yZxOcIFwhw939w5P5Fwvjnx7MX7afQfa1XxXwaqU9XFxI+wvs
EG/MLpjnDS/eBISN1lxABXJLvYy7GvW4QMulpoAW+BInU0tjV5hh0VeUAPz9h5uZE79uDOBNYU+a
ztweKn9ZtRvN6nrXYy2J27G/rZrehTYSfDSxRWq9pk3B8/Yi7cH5lj8ijTpTMxQcGGqB/YMAcOSi
Hbv2IyzVnaqH7yimjClkrGsmVrrV5PgFPOcVaOTOGJsAV2N7NipxKoP0h2S+R9NzcfDc5FaZ7sEr
+kvTjYe//xOKv1yg/vAn/OUcqVyjkFPtChpZmRCcJ33RLQAk7sVy+sq20+8W//96GpxZFr9stJ6F
KZwiPkty0//Ft00bQwIkhY0p64E87g9usatROJf/+jn/i2j9P793JRr8mv47o3X5XgFp/U8yyvxf
/TtIIH+zDU40tu7Y9Hp5f2hYlO5vM9IXEMn8K/r9H/2LjALO35NcH+awgG5BceVl/ReiVf/NtHlH
YKawpLD5muJ/kiKAw/qnJ4UDksAehu/eMjxX6s5PgOsfNs66czJvMuMO2wWkbPa1kaagAHRE2v4Q
qeiOnUNAjr8JT4PDBAzcIIP/yn0Dbf2R9CS5hh5Zf8jKi9RtABSULJWxcR6D8rlSXronn2WgD2Yv
MXZMyImgKihrm/CSobplQUn7VAWFuNVkjKCYh6ynnndM25l0FVnwvur6KSocKCLKNp5G20UdGEe5
SOt8ODZFGx0A7XXgUCwaxCsvvC1roAoo5cbWrmmKsQcAACqJNlUAONMFV7puXOcIfwAbpJ/tq6b+
9EP2EwN3xZrGknyhjQBEAqeoV13lvORWNDe/CfrSdAZ4gL4gtaa5togoKgKIHt2PhmT0oIfVppVw
i4o8ojzLz054qkCoZtZT54HNGLC0ciNLxb0fof+qwkbpUjkT0Q61D55bSUNd827WkK3qXJGpnPZN
NiYUINoHQ2Y/ZGZ+AUIq0VvMkbmb4a313h53Q++Fm3AwXsK4AlkKq7+WjHZ8o8Z7YOv3pQr25MKX
miZeOivdW1F3rRCeF/gRNpre3YQiXzscUZZta7+FfrSIAQhMQ7Soy+w4GQDRW1hvABHxnDkJcXpn
j4/8zSq723BkypgLZFVX9vsWD8gxISVrBd5bSKkfAwIi/pS/fTGLQTEaW2eZSML9tvdGHHTrKHtv
NjrTBiXWwhnPVOWSlkC+VSJiYkHzFfjdLzf01q1kED1axS6Zgj1EdndN+PrSl1n63rcxZpxWfBAS
Q5fVHcxYRsjMoWi/Cje5hu6QL/SYAr/G6ZoT3pp+r03xs9aX9lqD/wWfxljoZnDbIM+jm3NUAEpJ
Mxu6VgITbKkpeWeaDBvCEepWOh2bIMM7mzVQayhcssdS4S0YTGZlHD+IbtxGmfXCiIvgREnEP8EJ
v6KGjwbpjtlKMmI7UY57K8qJCVWdMdYdOQn6an6G8DPCWISCKefHlVw1Th1SvF6XkXIlPhJrTJ/7
yu4XbYyf1yJ7m1Lg4MVNtnSoK4czUtxrAOIG3Ttmw8AVt2fqQNcUg0Jnjcq1daReb5LC2viafTKq
nilKvvMJEXPoJDEYCA3nQvZmdziAvOSerN2W2Hy2EHb3DNbsitA9rMVwh0nvqenAuhFPBVBZyR9+
MWGv06McbETG36XOyefcVrfeLuf/X1bFSQ+0Y6sQuDWsB511L21nWJAVOY+deQVYd4KQeU9b6nZs
1LjwY4V30jeey7aRy9Dn5W5j5PQYXzADsvBgiglxkyCfMxtGBvvoF9lnooZg3SV89QUfBd4YdIes
RmxrsHwWxzhuthI7LwOTa99U+0Lmj55e3nVdfkhr/WrFWIew6oBnLwksu8gpbo/l3oXpmQ8M1NUM
OZy0UywdYwXUfc86hTen34BIxA7AeupE9SFpwusk5IMfadgiMZ7W2DQnyI1xClIIUNHJjvX3otW2
rpsx2IbXRPnDTR22B81qD36EUBzboQkmCu1ZjE2/tEcIDJ4+ArwzMBVWDqL2FLyZFSnbvk1vqNii
3zavn+gZA1sSPmqhxmPmPuZ19DkO9h1vzoPJfAekBNiWqn/sGsR42fQGiCjtZCfxky+tr7r9OQXZ
qQCPt0dEhUKQSGwbUXL1zItHj/ZBZpjHoqJ3Mg2fqxTKVV/DLaYkbx5iYUROWKbYAnGpTNi48KJz
cb8MHeNIGk7OXTOS6ce7Xk/5p4+XvZ5N7UXtnAdc7gNudyK08Zp38M3BD28EGhm3nxZ5KhJ5LPqv
rrCoSgQtuOqCaeOa0yb2Kvy1mPDTQN0CQQTbKu1dbPp7hXDPchvcB3lHo9lA9sNpee5SnP+k02+b
Tv1oPfeuIxmABPVsOenZIzGAGt0uajIERI9ow5tjBdKrcYvieC5HuINZ018yMggcnJ8jaBI22YRm
ZDtsXAspLL20c3yBEQkzBwINzRxtAGC7avAB8k7dtFGawojEtBuWRbBKB+PokUhmxJu76NwEJ6CK
Y6g1p5NFBJhkFG4pvBCHhMrZVjGkyYMTzb1PTSF3SZTfFkl/opVVLNpqODp98RlpzoH63kPgZDu/
TyjxwAaVVFG3pVy+XocYZLy8v1U5DtlCGJA8LHFDbQ/EESk2Amdv6pVHnWJH6ijNexLwdAVr+Pkb
5S2ijMoUO7r4LmgIIQ86b1cj6xa7XrgbnOogxkqSd9K2TQ0wOi3VAAjTv8oRS19bsJfWo9rmBWW2
mpVshOT+ZwQEiFx9n0wO1ulhoHGzih5LX3AOGVfFFADvACji9bm7lsPIL6Iz3iywS6RnhLHhwuwt
HJjUMa0kuC++ssRgdGU+N034GSbpgdT3tUoiBPZA496Q4xPpLWxSzC0i8iNxE+SbpJMlplUVYcPF
8xYbKmGyO+xqUX8zvbSXOE4YtdnaLha0U+iJjNkq3WuUAaMXnXaZLK4pqd16jBaJAEoulKsmy+HV
UtwI5ciQK7pScNMq/1LrEG07zbvzLP+pFvGn1Ui8kxG3LVsTsChcl4411qmgH3FqybMzRLQJ+Xch
w0NLc7l7xnm0wgZE+VJ2oSWDm05qE6npunSL3jiu4nmeXzUDPJlIgnSxcCvG0tj0BDXCZnIW0g8u
o9nqKEjYUOvImOBmcF7hvfvoquTFt7PX1LJ/iHh4kPFU7u1EZTu3LNAF4E2EwbWmawgz8Jto+b1Y
aWVeQDlSZ+tR85e2mliEVnciqR4sfh66//cS8u9LCLe7/34JuW8/2vTHXyMaDf7Lf19E7N9QuWc9
2AJ/iDDFHeXfiEb5Gw3EMxORMLM0nPkf/b+qCMdBs+a2Yc4URov/37/uIZr+G/8iCrlOOBg5Vwjr
f5RnFoizf7qKOCSnEay5I7mG6fJJvfkK/YeriJtW1ICO+MSnMPHBqDpqxR/j3Rk5KBui3tewtbAl
ttSi1C/VpK2Nu6FqDwSyXztNuw46Ez6zWc0H2FBApaYU3ayCBOhgfudn/XchxxtwLxdgA0cziLYc
G+9SzgtZbT2pACdRGRqvulWyEsq3fKL6KOhO7Ecc6K2zgXq2yGjYqckEVm56jMr2pu6LVzeBTZ41
6TFFVB/HGviXf4mriPOPfVvTthl540PopntdeAdJViDVgU9p/o+k4UfGMGtIJ6wmI7i3qHFf2OCB
hjTYJkCnG6IJhkxf0rC4gMmiKV6s4WGfp8beFml3pCIV5Tn9v+yd147kSpZlf2V+gBekkUYBDObB
na49tI4XIjIzgloZaVRfP4vVUygxPQ3Mez8V6oq8meF02rGz9157uqaG9xhICheR3tGryUgEz6m7
3CS1d2vXCh+ecZ/1yTcAlGvZ1ret6z8luWBD2O9rAo2AMjium8HYpXn6gcP8ILDkcHwfl4IjB7rM
2U+TC/FQiNDOxVpP+MzLrW1FfEGOYh8Ey1crxbUGxJxE5YE+ujtTgJDzIMBlyR6Ozq/Bs1+4BLw0
BeZOjQe5K06ZW77wNvXBgeMvGyljwxxDaVZ5NzUjmyrzknWs3Qa3/lXTSeMMXb0ZDYoJKnrd8/ik
Y2ou4pIfuGnT71ZcgEnu8iWiKme6xEP+TTr1u1W865oIzLn4qjvnnUUy8BPrPsAkOBTFs9GQe8aQ
5K8dm3FziHwHuaw09ixXufX4vIC7zDi2joGtN36ylv42mOgYIKFsGni/eN7UvOu5+OLl5Tq8vGY9
rSCNe4z1uPc793WQ47ewnGVHq9Vvq2eY6ov6eXERpqXNgwZD0w1BPH7hmPuTaDaOBJFRe+kLqenE
k81tJWnuLqeJuJ0R73Iv+NSVYL9c37rLcPGT6eSD1dtkZfFB5PXWFhE4LVmFWg5qm+ZRdFoMniIj
g5aBm6tcQUnArjwCA7HjwUYPKurQDU6dOC0eU89/n3V+28TT/RxzrSmbUUMccv6Az6FUwTEQ8AL1
3QUxXP9BUq/RGj4/1c6hlal4bB1951iWv5kq+xjM/sdipW8NvqZ8qg8eU7IXaL6kBK4zy+AJZMrw
/lbf8BDENjB/096bywzLZ7lFUnhWjAgI/cFRlZQ6JysrmlxG1463TeA8tklxm+DDh/pCurZ759a9
Kyc83ZJjfwya78ZmHojm8hw7kDw6/50e+GNmDYesb7C3iE/XZ3YnoW8v+aHV1g7V+rJAMK50/lxF
Y0gqBu5cg7V4GV6IXJ0kfUt4bfxLJOsX0RlHCgXPUriHgHqajYQxy7v4ZE3emafhSdX+sE2kOLp2
dxrYWrTuci4LvS8COrIW+RYMeggxXmwhgt4ao3VuMiBnJlEz2RMNRdXOEzSV+GGWUGahJ/mxczaF
PC9DfF+bTdhHOLuGYn5aLPtTFhbwqPZBpxCi+9Y8ViK/sTyBN9bbJSUDSUTgjgboX0NcXo2WarfE
oOpMl9XdYPILz/2rrfncXFwuVDw8RqQrqaWeC+zQJJs7P9oDFn1tauNApBvqGT73Ohs/lzF/DoL8
RAnOURGrlhQlT11wLJf8VSiS5ca8b6zxF2Hxl04AA0gntfaFj59+jhWsb6kWAdkpLgZ7UuBIzqWg
7J1/Pbr38uCjYil2aiB57BKll2d//VHP7uQ/VKmcd35ad++e50BsjOjJTKDlxfGTrap3RWnavsRK
RMVKFCnezcaPl3MbqPKoYTkyPoPi+jV3JOfjhmYZ5pqeL/Y6FcbDU+y5H5XDMikBiIZHI5qOZlH4
59pxky1mpfuqt36WpoCu6Fu/LXeCE4cwR8h3BPgfndUMus2yxI+Ua296kDV4Nn1oBlOFVXqil7yk
a/kg1+y3VxWPLliSbQ8J8xSo7mmokC660W2vdmmZpMpHtWMnODIE+jO5m4zXqM/uYq5bFIoJF2si
LcDhlXgpgvZxFo59sHP7h1spBW9W9xTMxtGVfBClg6uYY+utHszuMaV/iB66ND3TCa33UQuRF1gY
8jzv+F7h/pdLGMvihg4jSsertSdByO7AO1Hc1iImpVu39+bIzxj9JT+Srnwusvx9WZnyZYTjRtWA
GcraJxa3fCXdUp5n24sfSyMi21j4bKt6YgENRUySOAhNw1NybOa+uyuEFe3E1Mow4G4GVLSA15UU
066wSlpbPL7X3YQ1ymGjFyJ5UZdIvBC3lMtTOSf+psntBjEyWcOU7XypqcsY3B5kVtk8j4JUam3J
E2FVh8aBmFNwop4n7twwYRVxBL5b0RdnFLBWlx+fR+kwZUQlqjH/sSRBWDUWeVia9WPi1eInUlDW
KzpOd3aNKqcyymLoDXz38TgeSlKC28ynvB4asXUD3JnRQmn/HmVkLo9Wl6THvnRvXFUj07eeRoZ3
4Co0GI7qinYVK42TfVGX5TZaYu+O6/4cWroqLqLIsVzk9XiMJGlWi9K8YdNKD/eqBryg04Fvsj3C
FOj0R9D6tBlQdMUh6eUM5IUKl8ip8XgDmKq65J2qbAIRRvBZVIO580VNxjUAJqIhWJhJ74VWHpHB
i9gr5syOL34dvFduvw+8vNyZS23s7Cpybpo5/XB7aqPxpp47xbrB9wf3VEHTJ6i9YBXMKx2WDcsS
XgkEPBm7+sCniG4c47dgwSAHjynduXTaHT3F5DSAXHBqwnRulJYhJiTndvIsopZRcCXNjno1kImx
6GTXQ0kP4oIdfqJVNTRTU175xwn6aRySCy0L24it/dZWC4kv9hmGOz0EGeRXupq/+xxWte0DtmQn
iXlfcGsS5NbXept0MFvcm1jWKwTa2l/kzmOmRYGdxVHrooIT5raHYc20Lkt00cGYXinoakKlvUNM
divV9qVaxVxDuTJkWZxttO/4cBYMzHu6/XE8s9w2NRIdCfEfvcqnpc2wiA/gJIAzbOABsjFLiMBg
HiRB42ODirJXnVhc+eoOmm/g/1RG+dTly4D4TJdKYzwsw/jDkoulUddgp114qEktE1uqiaHRXqFJ
Iokc41KZUKwYjyfbZzs5VNmR847zQQf9tm7tT4+ih60mvhfoPOS7d4nXLD5s5zsXpnTOo7nxg7EF
mj5+NFMttnaJh03Y7V2sTTJorWscoiD5mBmQ25glYk7xgHQRVBVp4OUuEuOLnRJNAsHJRR76DMGo
+SP1Ga6dwcPDnND4xZd16veJSNU2x9JCS8GjGXkfnld+Jzk54kjXGPcoIKdIWYWiGCBVkNBoWudq
qJgNsZmcC6/qz8sC72uhYwlqCEoidsrWhGCWZ/2fQZBbjmP76sbM6DXNMBwq7j61SkEXPdE+J4IZ
scRYo+Ar//JAKxw0hyl5Hgq/I4dWF5hHfqgL/pqXDW9e7GVhk9EW74/JV7YUz3p9zxZB/+i24mpF
/aMh0R1UlzbcDXAaizom3ZdKvesQKmhEODWrciEreQlWLaOiPCmMc/QNWLgf7qp4jGkp2KxTTjKv
ekgAQHQXAy6m1rRIzyOiTShmfTukKZF1i/WeK7AgFnOPZ2xYTbaZibmttoFnULMZXACgJofSGPP7
uEOpyTzK1jPR0JlLF31oD4XJclgjoyPyxKYQh8BLoeZI58cy0FYUutIgWdWzEytEjFa0gNysO4/o
hb+ubarTuCpLGtruNcDlEiY6qO/iRf0yPJQoRFXSiQ37SV3Ed2RC2P7n86ZOyo9I6YcWZgWLJH1R
yr6mZfowzOZTmqU0vTGUwlbwu92MSy/QTsBZ4IqtowtKWWODeHbTXGZzkndGIiVTnTnfVI5KLgaN
spAvnGrXL9TJKSbx0Izx/vu9+VMGCnUo9dZvjwm309TliWZRvatG1w07Pq9LFxn3o65o6uWL2a71
dC4BZzxR19YTBHuZhrCK4mClHE6BLgKBBFpb0EUlKZAzlZWHg0sfUUC5XMVvkg2zDnlom5cq7j4c
r3n1FCxxDeUHqDBldYLWupn2OtxeP11LnV1Er127FtyR+B63rt1Qmdpjeynkk9EuDn9M/HhRhBlf
BfV1ma0/Vd//sP/BghGZ5hrOcje9Z7246z7LTnhfeMsNdoCYHFUF6yW1j+5iZFfFtmxjpwT2czl9
txkIk67ApNKZ7Z9YMrfzln4pejbXfmEzw+FtpgeZ/WPKx5YAD8Z/Enz2NVV4PdxexDCiWsboBaFR
0i6NowSOalPitJ3wOk0gMo4+5Jr7Ia2tbanlXVISTiloXGOZrbsdGQcCfVP3y269jy4qoEh4vxpJ
/nnQpcUpmFDfaNADOGbG1aqH+7QY4bS3vEUnVA+z5iJsTcOLiECNk+mAGwCHnfhF4omv3Ku/gyzF
pd69TnTM7jEemzR+oRo5DPGUwZbUFMTPgTT0Vsq8CCn6wy3S8H4MSqzu2uLZGWM9QSG3SbJm9nmU
9FfrEtjSaFrv0gVA1ef341h9Ye1biI0rlgL5UO3NlLC96ObbRcjHjhxPlheXuIffEK31bpo3MQmi
EcSDT5n54KrbSYnDnJl4IsAaApj+ExS+OvLacM6VsI/YX/7Ejv0T4ZpJxui5yYM2BNRS3iILdMdR
AMCt4eEcLTsz9nbnElgzpUUTQApTZmj6/GTPJNLbPh12huPYM9U5NphH34ivDCcS2ql71AvxuJnH
H3RKsF1ixKZE2eMusrwfmeYuDuI22TRJTHNw3K7xkgrCCTEd2rwWw6MTJxvDyZIBuBLFqreOKGeK
qg9A+u1WjZjBK4GQk8HmZGN+VxogN2bX+DZNJgn8/ryryiSgDwP3PMQcOqVhwCd6emsZam46q83J
PcgbR7gN2K9IPNODBD5MGl/5JO5N+F52616zqVFh7Bpko7uThmlCLx0nTxbpXbDutU3Dvg6Z9+yX
JsUAZGxQQOS2H+PkvBDrJKnHNXwEpVnH30qpG7DkJ48Sr0OzalmIt8+1T6R6Tse3HpFjRyuDtY3X
MUSPHJ48bCQuJc2gJP0cg5OnS5M3ZrijH5Vh4EFDDZb5g7jgYbK4pgTTb5y5r31EBjgbdnZj3Seo
dJ5XnHu++KoUkM0SYtSrvpJ/L137Xs5Y5gpkrQG/IFHrrSz1KWvVObWA2fAGeTXi5WCQI9l4rin5
rfqfgjok9noMpsHX0lg70+vvDVIpwNkuWD1fI7c4G5P5ULQY+yuPu0wz6N1E4aUIxUQT+vCRzW+S
9KyX4oJCGPNNvqjmt554JkYa7DYuyp5HU6Cz+MBpG09vksLYVYKPw7Hr24FoV7GQZCg5d5jhcYnF
YCTmlFQitXCp85It5MfmnJhKnPgzU1OHuUF573aMeGQrwtIz5QflXR5kxloCcHU6OOXSfx0FZ2wd
GQEVMCmblMZGbXDm5sZz2F4Fg0QoIgN0mvh2HFIzam9r066YeOExlHah7jr6l85FYTihdnV6SBZ/
eRghD51ZzfMq7kgUjWMTXxdv7In8RtXymkYsR2ahzXfaXYtLXRhrJmUx9pWv3KMNLIwdZ1MEF6Ou
otspAr7Ay6d+lQu4AMRQtbcQYstN4JfGvUrn8k0kLrq5g/l7u/heehEwwcbt0NvRllb1npBG8Nom
vtpgw06pV+IqN1Nzwkw5AgbIVM1bt4jEzqHbK8ElTDbnR2nABxFjXsqRtCmC6UIKhc+2S8odtF1/
g+O6gx02PraVoHQ8/jU0y5U7CrsfvA1CbrVv7YecmEo1oqPRNEcCxGx20Rydkri4m+zOQwkjRmEv
D0YibuOxvQYZNS1DrRr8fEkXiqZ4dS1qwHNM4ttosgF66fukDuoT8993WdSIelV+MyrL5taYrD5y
Nh3WSi10ElwVBsC+rJ/OfH5kIBUrHjCRj4nML0EiXxYEwmZAHI+Xl7QdPbJk8UX3JG6VTvkvkJiO
Ab9tqbnHSefORGNltzPg52Mx1FveJIeFHHY/ofjma9FpR/J6+owmdtiMNdTlKtS+XCiF/yXutnmh
70yDrFteNjB2l/u5LV4GtwDnZ4NHtEfEfavLvgrdkXLuOYdH2IuQG3rnqlEP37LIUxtX6xZfZYXT
XyW7JB+4K8Ss/MwGwDUVD+SjnDu8nsMdpenDvbQNaBSDR1eZYt2mwJ7DAiJLPIPnnrrIp0wE/FSN
qLwtNBUkC6XhTsIHotmscJAvKys6AsgvWlwt5nJCfiCFlrTOY9bVyaVq5pfS5ebHO/W91dLdUTCb
o5zjRbC66WMcjAdqGR/+WxD6D8Dtf7jS8Hz9F4LQtu5r3L7/iS9t/ff+Lgf5f9k+EgvLogB7mufz
t/4uBwV/2QC2TbxqCDHCX62M/2jsQpjx1+pwlJdAWmhC/1CErL+g5FAqblrSBHRLdPP/x5rmrL+7
fzIxuohRbFCQqwC3+uhL4t9MoWIam8kYYiukCPdBVOl+yup7I6gGSC31kx2jBcgWv4zpv+JrwXI1
m/dV0f6O0+Sz8NubsoOutQQDGr1P2+7iGFhcGzIRNpF6ul56pgK3fhrFelmB1RknRN+a2j5yIC2h
X+RfYqQ2EjmAjOKczJeJ6zi39Na7eKWot11DI4vX9tz5piW68XpAdr3Le0TlmXdnVNMq4bpvol2o
YVEk0WTDzs/Jg9cmq5Pt1OJC6rtoa+EAfGJSATk/xz7sI4xd2iieJ4VhpSCHpXoFzN4aFGORDZ6H
KipR+m+BCK6FK9CxnOfZDRaOmQZXQwAqailKLgwTx0odixezTzvqFUcIPKjJG6MebxG1H92km2lw
Bqzeec2xakv3pdPjrcxqKG8FUDIHRIvoym3qum94l6+d3dwINuyN9vYltrCtHUyHCc34WEvk9nio
7qZePGGyeXKd5k1aHOKum+6zqfgtagLv7eLn2yaJXoaBIGua/O6DmcsN2iIzxZyffVN+TrX3hXP1
3UmXdNs65rLtXPk46b7eDbX4403GxyCp+ZpkxeYvYD6b4yXeDqUrt/WYvzq6jGYifcyDQOJjbhWG
/WD2iX1Tscd+6bjysLzTOOOG1Xsw3Xd28juD8QejZHXQzzXegwBPcMWHzT9JohzzAbXKmJwC9gK8
T0MWqBVMDqx4ad3/ArJe45yE4YElx94Vawdht7YREs9OT62koVCZdBWqdK0tZFoAtGFEqIi22aP1
af6ak2eY0ABbDJl1tBYoGizOH7LCKM/gQbp9bk/jOz1BKvTM+oY3+guA3beEYhtQWtbtHET3pZrf
VeW+c8NwXyNN9AxE0eTSxtZKc0AI4IMWOYknc8iQQWLnGczBWnRkZaHhA3zho0C9ovGxW0GHAGbw
D611kOVaDDlbEBQARW9dclO3k+V/p+NaT99TKLmuCnZDWd7YdE3qtXQSX8OppYXSWuso855iSt3N
nylNlaiVB9UgTIzx0J5ZbUEAqv3HXhkG7ItlXnvhXiif8vY95XSggDiu0fCco8L+FxId6PdevprY
B0bwtBufJJWaetXC6rVlc60azajdjNj7zOVAnylrU/oAXowpumqKOptE3tPe/U4V/J+CIk/IJmFa
uTfOjGizeORlJKWf0jJv/bUFVPVQmUmY3o72gJNaAJIVrnh01/bQFW5mG/G9Nzsf/dovKtZeNz/6
2xdn3reY2KZ5uYUvQMflVBXXdmXNLB5aobAqrFRjujNdNw6ZxRAeCSIgw/bxbu6t3wPlonDOGNl5
muaHHv5UVbvPhEe7XZ4zjQ5F7obIgBQL2VDCIr66jceemNv2PbjO6Ti2Orvpa1V8BkuUY3+hgqul
i0tS0BoahRLINaxUnLmHLOwa5lFg8KFeZlFn6GIlyAOz20ylei+KCJqDoHpu4uHYUIsen3H2Fbeu
brtLlpg8vun00ILdHXIHqfRvtWJJ2d12FNrCos5/MgvUT1RcqAhNQ0IZEFb5KTCUV7cUnf+YKvow
ApeRt+Q7W4liL12d3y199VQU/UvisQBbi9AM9kb7IdPZ0Vlr0kw/eiNldpFzdxYm2y6gqx8BzWpV
llbnZaqOBcnf3eBSv0ZDwUqRpJINboB1yOcaBadw3mwLHggrq2zPechKWLGdEQQPFg/Xl0mrHBp0
a2xsHDRb9huoCrLEtNzZ2M6ScyQDFH//5GkID2uZXMc1ZlvQL1faDNmcaJ9BnLzZawWd6Lw/A510
qen8DGtJXTJVj6BpyK/wG7k3JqrshKbUzjApBhuKtcc2sHoWpTxZTPJ8t0u15UQ2DkMX/xq1dzvm
GahjAZUl6FyQthxTXW+vdtsF43/D7gWtYUSwC4IdlRoL3w7Mnf1getvWh7xiGONqAbO5PPXZwYmM
cgtnjRB5s5QMlu6HWU2fNIVcdT79GPjAoQqUbr5NhvGgYvMTMR6j34z+YSTxn9Ze4L9F7UqiCdrj
gLvzaObLCwL0dXbb/8jl/rfn5/94fmyGrv+35+f+q+u/lq//O3mw/mt/n/DkX2SkXUIEAu81s9Pf
xzv/L5qfmdGkSyGBQ8DwH+Od9ZdpOpZP56pvgeLnmf/HdCf+ctcgAtwbKIZYvMn7/a//+S+BlO7f
/v8/FwuI4N+nO9SVwOdXEfwusfv8LZjwT26f1jKMuJ26mSAAWI3QzBPiqbdFb0XTR24vw4LHmeCC
1cDE9Cjq4YpX47qp6A9pJmlT4FSpyxxArONSOf9J7WEmsGx9xYHXXZQukW9rtw/xEVaHCIDFNbIT
ZqUBtFNpGhbZ43p8Vbrq6CJymoPrt+ptsiMwela6vOKbM04ut5z9Etv0frAC20+u/0tMBNfY5M8H
p4LPxTvhLWWwcYbqpV7c+OhSjviZx0Z6djjudx3A4VPMUHEQY+DvzHwcHijvtO/mESUxSvBgklRw
TzSAxGGQluaBZsn5FHdyfM56+HqxrowTZs76pYuXhC68Vj1GXBqfuJebNA9SHmXAhH8eIG485nFt
XwJ2JFfNOozsn2VSA1flX94I708piiYnPWFjgMJ8ZxUSwdtLWhgIGaSzZKZ7oDBoPA+ovi0cHYfJ
zK+8IHxfs9Rbnrqsj87+bCY3sVOphwVKNomL0jgQ9M554QAXQ/eBrhZX9NM4ZLLsxRxPYkKN6Sf4
ltZsOietigmwR2r/KQwY8fB/EJRrn52El1SXWFYRDQCiO7PvycEbcqJIPx1Dq+Hln7MvvnQcKWE5
anX0batlUiYtsPDAXEhy4S/0pvIyG6xVKD6qdkaXTOe09MfQB6/+XOTKuXRBnp3rDqGhVw0ANPap
l5gvRAapr6rZHJiWd3JsG765lbrwgZvxoG0+KrG4XPvxb8kbMXaKDoPaFaessYJP/PNsLb0cqOk2
Aku860nCwJIZ9WvnmmAbkQ8ey9prhp0pY4ukcI4OPIxl8hwMKGMQJLi8BDP48KFqiduBw32fMlef
PGtafrF2Y0Blgep++hgPcAjw8r4SvCFV0FO2Rs8aDuWZWEmRNtM+nljP9/4yhY72U+ptiurAzSgl
+WgUX37FHkgVWFGdMqAOmXTSdpTeTKWXN2aY7hLDnJBYuXZthmIQl2Fuh0MPpP9VBnmA4TRGKnJ7
WK30xop7tLVgX8mEeU0EA4biehRI1JU/0oCb8mcznXEf2Hn5BtmWFY5PLHMW5vhuK0Oe0xkMK1Nw
9qLSqj73UvWHYpime0Vw6JJNjr/v7TSHoIDfF2ogNy9aPc3SQaTo0vpUNs5M5CjzjPPYlearBy7k
p09StgwFnngvtu2buoDYu+l0TWijxlt7p6h2ts5lX0+frKWGbz+O6/mQVJzQJ+wd60Z+NisMdyZB
Gh3k43F0a3NbKcSqhQDLo+E0xjWhGZaQgjDfaR3sj0OUGU9iiKaLjGXMopIVX8pKHmgHDqOMxH1T
8OVAAs/90js4FOuy+EZ/eQzYI352Y0JSGPNC0oa08LavZtq0b9UQm3v4eKz0WYLBdabxD7mxo1tk
Js0rSNX6jaWtU6kGAlWBnFUEuahBDAe7VvCa6hzeMRT1bSk1pk3TNIfHqk6Nz0Z1/rdTZsMfX1Ey
IFqnX/k4cHBZEj00maVaiNnrftIoveemlM5TkIvkVrumjTWpcbCT1TBcyo4WQ8BMwwuwiflKeeVI
n4WaBrIx7XD579XOv6x2/kuv7+dXWauv/0E9aEXwsPn+TwaAf3L8suJxPdfBd8b//usMEPxF7pB+
Io5djnTWNv+YAey/bEYAZnx7ZasIBJ1/zADyL+YG1gr83cBxmBD8/58ZwF3HiX/d8EgiyQE9f56Q
gGfEv2WSe79svbqkOkKqSKyPPntnCZG+xPPFXjk5AZPQBMm5ikTEjmDIrpiQGSoNRw5oXDcjJeUf
5JjAGAb0Cd+EUydvfdyULeeF1zrUZpsjGfsVVtUV0Qnk6bcc62cxwzflfSzvmGIBd5OYOxnT+F2b
8yN3S/rds4bKbFJ64EHWhgLbpgukw56ZWX+Chv+CwfsxRKvyIe7hDUFQvjcjJnKrEsZNNHNSTGwN
9hwR5DtUibRpLUC9Z6Q1kcvyQL31gKyBlG0v0OEwhHl3Aw5KdKLu5C0iRZ3wipVjobadEvxRu6In
+OCtra3U9vgai9Am8VaKMfehXePHC1RbLo6WWX8GoooYS9a1vJU9217y05j9ja/lo2v15tYeKsC0
XTUDdHceYrv+HS+22Ipg/gBkxNs9Rucjvkk1eOyNR3Z9vNxrm0sW9uEhoB9krOVXai8UYoiEHgpD
QCXrk69WpXhBtP9caUTJAujGIe0WeViSwNpaY1dsObRLzhXe5bgq2MOkTkx9TUxNeh4zKCS4gZm2
lo3TYo/sRTXCkCJmqgMK7xp+mpt2sJsTSVfvyNoQ50UKhjp2TPbLOj/qPv9yM3y4TANfeW7/sj3z
hcX6n2RUH0rSzq7Io+2byMyPbCBf8yxo9kaPIKxkSRAmib2wwdp012AuACfVORudrqwuu88+Y/ZE
xGN9sRmn0jsDE+dqalvqC7cg/XsecaCklUE4OJF/j4/3uZyW2zH29DaTqr7UBuJZB2x5y66ej90Y
itCYy9c80AiDLdGQ1ntiFbvyzhf36EyoNpuIT3WSwX2elHfJTPtFX97GhlUf3ThA2JqbBNGMVVkP
g/nkRcRjASMf/QDerujMT8pRr42RPdqVeBoi+VP2ye1coaFKFw/RaoEmJvoylVF6Ff40AtGroAVG
E7ahuhm32Uo+9ZB/Y9HcL90Ml1VxipA5UZj86gb3MERmDPvfblekoWsC2JUsL7bGWI+bicVtjcS1
ryZczq7yKDEq6b1gHN9kAv0mK9507dqHOfJrnH5MECPnGmm0/kbMrBj6/myRBN0Qc4eT7TRoJ1le
hotZ3kz9+Cx7L95kKr9mIwNCNqAy91lKME3jDdH8BJqOPF8an1Dy7yzoZM+eE9k+4nS91011FUDl
MdDJDe5lmMVC83LBGGODwPVj/MF5+k7dKriJSXM3NuQ97hNoa8gnZsuGlzsHPyCk/dRPtqaD16sX
N5ADx41RIDpNnjrlwrFA/cOSbdiEhoa3FKeEhcPqYL/GFrBXx0QeaRpQZmXgv/DVYuEFwY+tcPnY
xHRgtpL9TeXg/w6WvN3UhveOZcDZtSN3n2jKAXv3v1WraZuokPAqtjebubPQUjuQj4qtgd+gD5Oj
qo/UrVZhWjbN3ikMMmiEe0Ps8enWcldac5G9jhivtgN9x5vRb8Dps6/atI3H25ZZdc+NgC/wKn9r
5NKDsczvrKtDRKKLMsCnziiCu5Qgw8HtpN6aLotUoSKqQ2t9WpzuaTTRk3hJvWdG8GSOFfU4HY5S
K59fLYpu4hQfqhNlH5NnfAnTJauWz891V9Ia72siCc1aa6vbEWsl7QOmNz2MXJ2QR40iLPl5niDK
YTXQ8Us+RfjAk849xC3wZzUY8smJoMKmBmUFMes5iKLVG6aw6skiiMefdw0G8ui9YUfqD1mBW5kg
BSG4Bu+BsLNLIMuS/siMrelivjHAv9Rx++Bi6+OCKaGE+Ce2rH0YV54OO9oeqbx1W2h7ZoX7Ja7Z
swLyJ6JAio92Gvru5Z9GV/auIxsR8gopN81MEQR209+WpWyQQlSdT/ZPUTjFbp6pxCa6F7B1xGeb
AVPHy4DnrnlKI6vfxSVeDMubkm29Bhs9A6Jr2Ze/nVx9zZEDA49+Mo5Q962LJ2Ayo7vPEFIfpkQd
EDi/26YqCEaaLbpn9tRX5EyLyZkOjVH7J0KHxtkV8XRKLBOmacMxUxUe6m/C+8IYs+ToOlYNfHgS
YYZDCD/kCo0zxuc2d4ZtKZwJAZqKa9SU3wl9Gvt8xisbKxc5Z7KeZNp2YV0h58diWK5db/mncWQ7
l81OezZRcRDQTcn2E1eup1E7xsbrH7gSncbCrnCgxZRz8UUL8xmvRddJ66w5+qHZTDnvD/8LBfWk
gFZuo45v3KCC5aQGtPJeR5+W138ECfeuADfXFrNtgGWrAPzajeRIegfGIT3ivPV7f+8r62P2s3qb
uNSEc+1NDpbT/Yrq4sNd+ncuMUgaQH7DuVR0Mo08aEu3oDX1o7HDLyMf87qeqBXGZ9BMcXGQ82Iz
HBQelPiZV26xpklcfqN6kMn9lC1HQ/iUo9jRGsRP6WvPPPvDtE195M81nk3CevCEygl3P7+cJ5ME
81F7V84WPwiTtjRrIordr+7sWabpoQTaea/slu2iWHf+rn3E9Qx6e4amrQSb4oJD8sJRmNxG8Aax
0RgA3/3c3VOp8DCP5G/niHJpQFsoZnNrhm1ps1eZim+orsZTO7Y3IzvjbYutHQh3IW6aZHkLosXf
iLyiA0eJhXsK3rufyRp6elIi9ssa37Om4yCdQXZJXToHfJlAuXEx7kp7flQZB0Bql4+a0IReywWS
BfdM0eI2gAzKutt6ycbltqFhOnQ7vI4d8npNdRV38uwkNRifZvF/+yJzr0lqe/+bszPLkVy72utU
DL9TYN8Ath+CQUaXkX1mVdYLkdWx73vOxmPxxLyYV/KNZIUjfgkXAnRRUp0geZp99v72+nZ1n7wX
Y8a5rwvNITeBpIYlWzFKazYl7GMfg1HbJxKuKBnsU6gCW8WI78YunFWB0aOkIZKQJuuZ+pKOFhtU
fJD19xTi1JkRtI2y+keglZg0VrdJgWOT3z0WItWnvpprL1n7NlB+wgJMfxlKD/cPUYptOfVwqdFD
O9ZnMVqQaivRHEAIsRvd69yXbUpjiOd69eu/f7m6K35lT03161dzfC/+x5yP/ZEXI7mqoPlfn/+V
dN8/07Xr9+b90784EC2b8aH9VY2Pv+o24f/6V6Zw/l/+V//wv/36+Fuex+LX//zv7z9TqhphTa3t
R3Pm2sPN4v+fLt28J//nfxfvfl6f/3/+M2NqWv/gNJY1LkuKOd+YuEv9M2lqyWRGOdvpvBYVg9zo
30lT6R8kS+eKuCqpqvqRx/xXi6T0D5qcNA3EIBpjVdUplv/rRdz/Reu5lDJdIIQ0bnAGhXrDmIvs
Bsubn3faH6lrZeNzqMhO7fjbwE6eui2qDlt2mw1daVcIQp+bMf8YTJpxkyfp2aQuVIAJIv7w/kNE
T+/wEg0PJx/hnw94mgOmrfTk9jcPAWqUOWvQjUqJX18MMXI7EnRqUk5V79Nxx5a66ko3TneXh/m4
zV4caMFkUybT7I3EEtEBh8K+rYuXiT19Ncnpa0FLspiML1mbJmxA4cbXgezlNY4dc7MB3+IXVMzf
ntfhgFJhVtrJ5mMeCDcpRaBVlPQ/rAQKShpE+8aCCS7l8VdRMAxXRl21irFocTs1wCx8xi+jprIF
w8ROga0xk9VbBNyuIHg0D5Dq8qPhfghbN0R8MEyBU3T5kyDo303KLeU4vcr8uZZWrmmgBBOhI0js
x8SN5j0zusGBo0NCBzus1nmFuaClXxoloDhufcl07xmJ7p3Wlm9ZKD2PprdHYn3L8f+qTDR3AUPp
1oVB0C94tBvHNOyr6U+/F4HzROC1KQ2mTh0juEw5ammVAz1SmL+kQnn2OnZgM+8aV6IBBZUrBWFk
yylwtepeLervqd/fGC233Giw3gr8LfSOmq5kVpz0dfyc9wNtkridear4OpWhI4T0GliZuu3mUlaJ
4VFD8hLduzjF06rr6r1aFIivqnCPD+HPJJ5R0glp+xFFRDA8FYn23hZs34biy+sCp3aCpum3EiC3
1vXdmOO0qYZbCKq/Za97AbrxgHr4thDG/dirO3XI0FVi7GJVrzIlfkcwoXQqnuEqgkIUX4EFECLp
bjS0tyKOOdC5v7XAyNDHHgtLuS2LCl2xptrQsN8HXyHH3tg4/tnUW/E8GRyhFDZjAH4uEGMPlS1m
SwZbKKq05LtSiTdVmHAjlH/RM/JFzLXXOpZpvI82UoVfpVY+yuxG4A3Eu7ATSvpH642PdUaWcRGc
Gu+b7PfUFbH0ajKFEoqJXKZO5VvVl1Q3S4TbTDTcUdGf2PDnxj9rN7Zd7hgdmI6Qai5wtOROiLy7
UVOPwD5IYoy7yVTupUE+TmH1tUfb3vTBcQy0lk6S8qYt+C9RL95bZpm40Gq6gxbWd5DaKy6l7VNT
1HsusPuoL+YEPm6T6HHpUwvBeYCPyYXkdiqzL0Mm7jQxeojSsbGZoU40iRuxrfr15e1gAdRk2zGp
Y7HhSIYCnEXUFm3mikeptYok2SmrVesoLnZ/22haW3a7xtHAW9Ha4SqEYVcYd+TGFtvdx7hzo72i
UWZbImd1uUDdK0uSw07iWCvQycMKZ8g1PJVh5e8xAn3FW/dn863Amu0KD3ahpZofWlLYcHUOL4RW
wL4+b+dGM/Zmm+Syg8npU1FJL7FBMEQ/de0YEzFg6OWZPUBlpCnTPCgBlA5INJtOwPF5Ul5axI2b
SOt+F9VBTUmZxeMWgPVs3Ok5qAloyShm7U+8FvP0bbLiZ1VrX8uIa2SRhOS1GoPMuLBPWGary9/z
j1Pk85Mp85+fHFRGJoSd6ZeiE+GvIhaarclAg2AVQWe9cpIsT2DNgNIM2FODga7oGrnVz2Opldea
ZmFNTrPuHe2mtOks2+FgZ5sHuBzbyw82J2FPj62/RtNEdRbo4f5tLs/H3p8Iq5OJCcOt5lHdU7Wx
Nt+Vm2krvw2jjdagX2t2sof/EeNJcGXO6PNC+BsiSHZYx7vcpO9YFTml+dfPT5vgPoJdpSY7ouK5
TVC/hBHXZ7AFVEcEKFZaQfMkeZLfuCBvdBnhG3X+LS4xDwPbHPgRV27msHdCl0o1ZaUH8tOYpbk7
BVB/PO7MEIdw6BaJgMU41kF0UXOTiavt2sQgouDaTuXne4I/A+2I/eBSK4TBmZB1E730S4X4ugNo
M/ep/Ixqjk1RQIWCKhrrj2zaKlZ7Uw/qc9IbAE2G7E40+3s0OPFqlKZXtOI1HorFD8pCmwyGQ9UG
so1Q/1lsHN0/stFrCC9+jfgcAXqlb61yKqUtr0zfRZz1z5esI5kkwDQVebEbiZhb61bBrmBY30Mg
OBoUG4umsstz6YN/+/lbGrB6KfcjzSdx/wHgPFklcmN4YxzNqwRIargafkhfobQ5dKyvVDtZd9v0
awvOJt3g6CTs5S3dyOLj5d/wMV8v/AZ1MZ9Tn5qlbsY4DSIIi+GUCcUzjAnMOBs3MXQa6DEEaKad
nI93SRXdk9h1alp9xvp7SP8Afel3Q1m7MB9WUkFtSo+PiuGtK9Gk2ipRTc83XnWrtJkbZ3svAEae
7ieuUZgIOsgXNxNO5ybVUZp/QYxMX+pOda2wdhVNOFgC4m0Qf/3wMyJnKSQul2oMtcadhSscItrb
kXt0miGtlOobqe5R1EQH5MurKAOJr/zWSKJ5Dc1yOEwhyLTpw3YjPJBzWjaRPZLrCTc4ZhJKoQPU
NnGk3ojljQ5eNQnTfVy1N0ZofNMH1RFL6Uso0z6vSasJrnTTGk+Xv8TnOYdsCFGtTH0Hq2WRGaEu
4mGvFRs1kWUcnrt80zXthl5lVx/9KxvY5535r2EoM1kiMHqLsvT8M07mXILCmBYucIS9WZMABwQN
QK5+F7lMX34ead53/55Zf4602KmiEG1v1DOS/zp8xdjmJlkHaxVHK9u8Cw7Y7X67BnNfbM5/Djlz
NU8eTlBj/CkTVXU6l01ReRqUFUqUVbXjRzj6Luwpt64gCD/DdjkK66vRxLwvLB4Zc3aRmppJpl5a
ls461hEpvAZipUOVX19l7nwbZJ7ZATLhq/D6Dw7on+OpIhc1ZT4OZjnPyfNmGIjp6Nw0p6cZksS+
PtJFRDp6ClJ9VY/qowGNAMNhhXJEVKJU0T1ohLI8OP/Wt55PJYN/RLYzLo7sl4vJO6rQP2m0xH9r
7UFgsAObY5gOKRoi3MEB/BC73uPV1z3vTX8//r9GhVzPPR/t+5waOH38IfJNRZAmOGKtBlQsjfnm
crcVeszwfNEhN7dGb1caE72SP6888edP/TE29VGZ4wGAEwtpEXWEUylQjGwnR9gWu/jAJcwWd7QX
r7wD2uorYeoi6JhfLwgoGWkYmQtCj8V3licr09tOwe80zveayFZrzehV3MWsrZiSosFyUIb1fvkZ
Py/gvx4RLRgRuapQsJYXo3bDVOQwNGUnJl8+ZK91Pq0vjzCvx8UH5MEQtplUBulOWEybXCaVmJXk
M5py13P3DGgY9YwXtENS9nR5qHMPYygKa5JAUSJQ/DxXRjNWAFETtynC86jORs13lwcw5h/798P8
cwPHtYGEE/hEgrTPI3RdSdyj5JqjSxhF9kKQPZNp/KlrIAMw+DY3QhlBRNXyo1corxgXcetLXwZP
ylyUNLgjy0dsZSj49PkLvospUIXqKevDeEsTMoVqffxJwY3kPtS8dQu6HGu4+EnvMzw4G62/rRCm
r+i0evU7zN316rdmjnvd8Gj/gctgmQKe6dOtlCA17mPhLjH6GzA1hOU6Xeh6Fd+GCQmHhtIFQtJi
g5Lvh6aWuZ2WVOlpb954NMrb02DhNukdpkrY+BJtQx19qQRHMp6XNfGJWJvraG7wFCkFOIjkgMmI
9Bc3ZuNggPGzM7tDGqIwUuK93mtfUyX09mjrH9EGjxtBasjGSGl3ZaJ9XkAf34aN+e+Ncl7NJxsl
e2IjqZKgONGuvFUOzbZ3UcjdtVcO18V18s9xFhOa7v22iyIqIgpaOcroNKxvDBctvw2bCPh9jICc
QG+PockK86j11RPwzCTE6wiFNeuJZiBjcQJivlpbOag5hwz/vtkl6/wYb6hi7oJttcmO1zamhWXL
Xw98Ot5i0kO4SStkX5qTfR1tc5/ucwqbq9hGyLwBqnH9yPu87/454PylT76kkJmlRpZPc6ZU2wxY
Ahb1j64jtNPp3le+JM2A9PTV134P0TeBfOLlRf6RYV0s8tP3u7z+TaXRBxNULbZ9c6Pc+HvzJt/9
V7b8BX3/jwede8E+PSiylrqdv6S6SW+Bsj2TDUEhsdI3ot0/ju+1jW3WOt1Vt40Nhu+GkGbv3cTH
0KZev0ZYts5JYf4QD9fm2Oed9OOHmcSh/2+fW3wBj8Jz1ga66hg5FpyRSA7y7fJb/oiTFm+ZIUwk
0WRkVCKKz8/ep5PQTvyJg8hn0wgPTfqW9vhbc9FT+zuqcCujRpPpAXR563ukAGl0SLt+lYv6yiqC
ewXZqKqXu4YWWk+h3YCe0AKAVB+/w7m5NifmL/HHr4Ukjz0XGHhTXHypQS1S8C6a6rRp6uiqsKcA
tqvEnJ7hyB4KaSdJ4cFS801iaasgTf5S331ScZ9m7M+tQQrEf4+/2Nz8IOo7jcobCRBjVd+2m3jz
w3gQNsA/1rSeXYv1zj4uLl+yiKRQlD/OwZMVGE+jhZaAi0q/Lwis6XxiCRDWr3HFtS9PhLMBvXwy
1jwXT8aCUJvVzIT50YqdQSvRV80FqLeOf6G8mHPga0xKf8nfyeWv/gvx/Jnd9NOdbPFlLUh6lTk/
aueW78qaIqgd7+C6srx43HV7ZSadu5udXgEXHzIXh7awxIkMgCjd0Ul3FLAIK/wjqf1rzhdnnuzT
PrYYqrB8z4jIiTrqQ0+6s3yIXKIHKPwOD/dVbFbetWkzB1iLVfJpxMWa9tF7p2XMiDplh3G6U0lr
AqXUi8FOaXk0hzt4u5sY7GHWmmvR2zXRUYUe6tVXZ/D8cJd+ymJWmQZGnXnBTxnc5kZ1yHk4iEGo
PdmSU22Q816ZxWd2zE+PPr+ak1kc9KUObk2et3JzP95Ga3NtfZv3aGh7a8+5fl84M5E+Dbi4ehOF
UoxPGVAxfk7Nvae7tfQLIJV7+cE+h+9/HlGLYIPO346UI+/RamRHtzLb8B/C/OsYPqbJNWOra4+0
CDRGS/OFqmIs//do56ujpd7EXOoxilTp/txkztQ7Ptvd5Se8et4vDjvJaDsf9aCC99IPHx4jkLhV
Ry60onEz7VNXG4/0H6CuS3ZXRp7/5guT1Fok5lSlELlV88C1E9I66yQ/5xOfG3V052/H23xjOZWT
pzbarOGXb66uHfOLvPofX3eZXKiRsxXi/AOi8TZjo8/ugnX7Fle7fDdsuM9fWyVXVuWSNOylnNLl
vCo7V3ExFJhCd7yv12D4D4Wt+dvyPzg3LQlbMKTOClXvZZY3g2YLL4bYtbenr+RrbGUbrcU37m5r
HKauXw7O7rkn4y12wFRVqlz9iM0pt93kqLGGlbmm5RjD1I288qlIXk9Jnd12TwZd7HWkpOoCK1Xe
6g+RxIz+y3eMW3VFCXUjb7kU2IHzn82ckzEX+505KGM3tpBU5oqMamdrNFywNVbGJl/r3/XHKyvl
7NZwMtxit+umsYplysRO/hvpor/NXNjGK8FBXeVY++L35JQu5OdrW8O1z7nY/apBHFBRaqjfXufJ
0x7DB/Bmq8E2V9Vj92Jc2xA+Z7v+Wo8EXKQVJROV5TLu4mItBGZEmKnE5oY+qgNag5/91GzEGlJc
rgOvbLyvajk+keh4vvKOzy1OhRo2lTa0M0DHPx9h1MJNOlMI+v3XyR3f563XcNLaEV15PeKIsLo8
3rlPejrcYgYNBgaOHrA6GqzxNQDaZWPL+ZPWNBTgnXt5rPnkWG60p2Mtpo9Z6hQWA1F1ighSK/Bb
LTI2LYxBZPmhNHtOXHm4cwG7dTricuZ4CQ+I7a9T/zY3ljsdsgPqNhu3U7thPV6rGV4db3F2Sgq9
WknNGd3b9DqgmNx4ux8kiDvK6ulddrWqfm7POX2+xaEZdXA1opbnK/3waFjFwyiOX1VVuxLEysa5
wIpUnor+SidFuSz9ZlDK07zHlqfKCXQCy00b5aYV8pvACm5oFN/oQXGQ8vxQt+1zpQxbxIyuF3OR
6Kt24w/GrWnJb7GmYrGIoU0z1D+Dsfyhy8CCmH5u6kVrGkKOiag/6TRvwS1pV82E+hHwElV2d9LH
XQ69oB+EHqcdrLaizIU7sh0EaQcIwhUs7XciN4cw7B5pIBWQ1foFF0UYX8bYvXjp7OGDYj0fBt/2
G9q+sZV44XKcO8U4vaQiJUBB2eaS/ujL9U00cRkOgYqazZshr9Do2j7NXvp97G3gWZuprK86v7sn
rfskylDiMYH+OUTmsQumYqVYwk6aYjSsPbG3mB9oBbc1D764QIc5f9m+UqrHUCV9WLfHMiycppjV
/3KBRlfb9oa0r1Wsxa1p2IVAnle9kO19Y/puWlDfzAjg5+QBLBPCB9qUXsknAj2LgaqY7WMF+4nu
ETmxO2uuw/j0AlqSdDvBhlEga0+V9mwW+VFBdmQDzPxijpHwPAjhLbdu5VHzGh/jJfiH2QwL8UmU
2/EkwNGASw+3U952UdDvhr7HlisNfqb58Jha3aMkJ1uaDde04N9QFJRAOpnxSh/gFA4QOABOVY9i
LUOQUYpn5Lqbwhx924yjl9GztmGK4dAQfO9a9alTLaRMHQiS7lXLDPgt9Za+ZRItbfmkBfjnDGIR
2poK5S2cDmYJJCrtbpS2rmn+gKqlVGBiigKCOUWiVZ/kN3VvTtg3h06On5ITeTmWJmbzpCo4Gui4
9thB3H6p8gDSntjDIwmfdGWSb5IgPY6ZXK0Es14Dez72xfSGpm/dteSHqg7DIqUqHunMQNYK+aIf
RLIkySaIlNcegXnfeYeiSDa5EGxoINDpSZBB+AZWDYwAOqcqh+THNelWL6ovAHyRUfXJbYVVihXX
R2PSyLuEyde8rX+pofyzmKabUSBPXCAeEovoXtO8dysIv0samrK+RBiFguMI8eKlzYO7uinv0aBs
LRrNVmo8TQ7dUijQp+leYDXgNkHDpFJucks4NnH/QEfkri6FdI2N0GZUbqq0ea4E76HIKPeYcdGt
e2uqt0OQRjhNRG8Ah45tAMg3MWnBhSoGYLmXoYoZyKbQHqFyixtqZXRf1FhITHm7j7OB6wP52tJI
6RgYaDlBBLnXO+VWzBSo8NaDZdQ/m7Q6Nqq1gxK89fRiP+B1MDbDN0jk2AAEyqFr0ualKrpvUFqD
VYrFAibX9ZXT4889D5EU9SZmPVsmuIDPJzH6yKTSRMLkMd4aKhBigqvLB+L5ERiDQ8rEsHJxPBVS
jqot11A/6LUbNJFkK/SpXAmfrg2yOJMybDR6iaZHZ4oMN5STkvfFtLv8JGfy8fPL+vtRFi8rKccM
rSQYOpioNyWaAYf72qH81pHJARcsuzQZftFs/2uxuRYFz2/pc1jB0DgOoxhCiCx9lMdPLv3A8cdJ
nWTZkcHH9Ka0Z4JRpItohyxsRfSdy486P8ml4RYRkyHJpe7VMAGjneK2m25bOcY+da9FoX8e7Z+f
ahEsESfF4SAzDGiCu4FHwzox2+TKdOVsP1Pa/jzQYhK2pgJwSDHlD50VarxV+WI4I98rfrrq5n3t
Uy3motAmVTmQHiE/k98GtnIYnoEoHEJ03LhlhLa4rbeJA1Zsd/mbnXuZpIvpskUeakCO/byUVZHk
iTmi5QIrDq9HY9P1IUmK68vDnH2Xp+PMa/FkKkoagjW5Z5zsJtzSkkXqoF2bq2hL5L69PNafgTuy
xpNHWkxDS6ErZeCZHB9005D+Tsp6BedWs35eHud8THsS+i0GEnsYdLUZKA6yVVjKe/FI4dD2BdJB
1sbcXl/Pf34s9kOaDWSFgrhM78Dnl5ijnYA3ZzBJBgMyo7WekkNjvF5+rD9f3+dBFvtVpCkmyk+V
VaxP60RP7LwK3KG8mRTlyv57Nr3D+tHRbSiyri6rFrGZZ3TbELPNAgblJlqnNr6i9oeA4Xpd8s/t
ngc7GU3+/PbGovaBNdR/LWfMEOX9XDxLvhgQ3h47p92hX70yFc9PkZMxF8tLwUokBsExX3smd1oH
GBG43jqkNumtLCgz66sXrXkO/LEJyxbpJF6qZCxVzGIKs0kcAN9jzID+Oryl7TWwQ8dbqysJ8BvV
IATNk9M9ku5xERVenj0LFfWcImDTVFB2zXMUeeriidtE0KoxoRIkbki86Cs0xJHbHNB+2tNr9Ti9
NEd/Lb1dHvXPT/t50MXuUilRj/1WhzdqgNlvbcLPrd3LQ5yZrIyBRhr/GNJ1fzWTnOxgodkWZanS
lHlmsv4nVad5NJ17P0sDfu+8Sk9GUzJL6dQIaqDumV9aX/w+0aRms2JeTbMyN01KD/YgB+k6oKHW
TczwZ+Urr2CPDobaIQGGfUsDo4SoEVseW5VwOfHb6neZWldOybOv/uSHLg5Jva48M/KQG/S94XjG
+5CKV46oMyo+3sVJuLkYYgA8oYyBrnEOZzt9325Ke57NlRPeN3bscim7sjH9uc9+HnCxzyqRVNfy
wByGfruSqqfYe6mjK1P23Binp9TiA/fcfrpB40A0sNsYPST/2q++/3ll0s6rbbkbIExTCKFNlqS4
yOBDrjSDRmUzb9zw1nCxH1nhA+HOckC449f32GvjLaqV/LTBTIpac9r9nHY1/bvEjTd0s1Bpmozb
2L26352bf6dPuNjVI2tUhJoaPoW05LnqbPFI2W4FdAHygS3sh2PsXgvWzm2xp0MutjiEv0CwBobU
YnU1Zq+Tth2a32JS26W1NaPny9/wXGR4Otr8Ak52Aj3oW53LKxNF/a0G4DXv4GOturG2qyy8MvHP
LjUL2AVCSh3xjr6Y+V7WaWFX0wNjHv3H8IAszDHX0jf13jh2ju7K29K8sq8q8wf6Y4qeDLmIN5TJ
UIdgYMjB7V/pXnRTernvddNJX6BiSFvfyb7DxLet45yezNegJdzqW/tlOAbxqtrH6+homi691cJP
4ebyq//ofrnw24zF8hm9aWxr8tFoSnWnfFWeCnnV/kYgb+f7ZB2+iPfM9LW3ko4VQR/+A85cY+gc
CSjKOr8bt9d2pqu/aLHALJSXIZ7B3Fl9y3Tp76PDu4qFH7Ws9o40AUUhUbGWAJXlIrJ3vQWhj3gK
cyozP6ZYeu7gkoPdNrH1K8b8Fx2NeFnr5jH0m0Nc1dT2jPxL66Gqw8dC3YaNCK42+Jp1ZsLxA4On
grGzQt19pbp6Zj9EzcH5itCUsGF54GFQl4Rg9jDZG+v3yRAey158MWjku/xJz6ymT8MszhJTLDXB
79h2w6g+VtUbtkeOaGY22RI3TLJr6+nMfvhpuMV6gp7BdSQOqAs5c/xnucl6OsQb7LzX3WO1ubYb
zofGYr5+Gm6xlrrO9/y85enkgl59iG74cUhYDsv+tQf7sxKE8Pjvz7UsDbckEul5ymkK+TdFaOfy
J59GWsx4IdWaGocl8idmeF/Uzc646QIeCNhPuPJM6j4B//Ej4bUUgEZ21V5MaaTvQkzYaJc010Zh
PplmPa3jqL2LQvKdl6fUmeOAH2gQ99IxQU/W4iQvitIosmmSHLXJNwrENypGwxfMsL6TTIxtei2K
dScJzuVRZ8veM9/672EXM5nQROw0Ovoc71iKu7p2sXlpX7FmmdapU26mrb7DE5BcNSVI43EOlupd
/LVvbdSf3e/5/E+BJ20v/6rzy+vvH7WY74XIBCx68nY0+xqNE8mIpmYrdNjZubS+PNa1F7CY7NFo
CvqkjWyFtBmGJayo1G1me6xacKyydATDuvKlF91SH5cbWSS5MAvTNRpXFo9nCEpSGVnHdW6vPVdr
7EnXlZvs5jcePQGwQTfO/i+60YGaxfXlPR/1fyzvk+EXT1x2jQ/OgryrEAv3PtQVUttIDi+/1iuD
LLvvwSjHQyO17JDBQwUi63rt8UM3euE59MWSTgwWqB6NstNq1rsZwieexPZois1bBdfb9mWtWA9N
cxC0wTWDyY2NALk5MHwl0b/LtT6uACpbnFSIGzOrejSwaj/0rbeXS8xSKT44tSHeAX3cqX753tAm
gyWF9hAn0VNnxD+0KnFgHz8mXb4fQroWgVm+FYH8kIKqWfUFNn46bA2hQEaZB7wHzdWM7KCl0mYq
Vbr0ezgdXv3dCoLHQAaf3c1wtOxFyyNYJ2MVufBghBkC+ltW/LvRq9f4Zb9berttS/+bXlFPLgIh
dJLIfPN7AUqnkkNxShH0lbQt0oH9S5CsH4M2PsYWhH/KmKKeOBgofokya49p5x5v9dcyDAo7SxJQ
6lbr79Scxsk+w31+qGVj1Uu1tjEqv195jf6mtdO2jyglG5jq9C09KVIFa7/0vecpwoLd9GJrYzTU
tYJC+eFHLbJ/2EdSMeL05414L8qQc7NBcLoqoJnAEgQoQZK6HSI1tZHgPnrw33MMpVnwWEepqNlK
LcydIEp+h4oSrbIJb16xztchpi4DlnpdkP7ErethSMonoPHbxmowGaLwY/sQrFc6dPdVaWVfst6i
Lm7di5bBOe0NmP0Bs6T1Hg5/0agvyuyhM/uuWH33MsrpSM4h3EF4mi23ESt1QZI5Y1m8dbWq2+UU
hyBlqavjXRa3yS/Dgladgb7FAaq+A+Ugrsc2/44zwAfqwSkS08feaqIz21TKtS9h/FPl3iEoKrew
AHX1jdKtRJUam0HFRmPOWq0GMld90Y30EGSQd4LyW1sI36oQhI6cR29JIOJsGhJemdQUmxiTMywS
b3RxuMum+HYc/Ae/U98uL+yzwYEszW3Ds42HPEdgJxcJE3s1Hdya7ExKtIWKb49efycbw9E0it3l
oc5o1ggPTsZanIktdIm8yhXayv/N8OBs2Hgy0OIULMA7FWpJgk3C1LnOc4dkHJyJ8cpZc+3dLTZ+
BKDDoFsME1EabMlpAWs1TM2m8uBefnXXRlrs8b1kmS2pLNlRSvM4jYBcxvx7nEZOVVpXQoizh/Xf
705Z3G68IKGeqTQUUsA5Ft7D0GFQ/iXCdMNK6itponPfiZ5EEYtSnem3lNNDXmpgLpWyk9BHJOOh
hB0pYoDqyuF1Nlo8HWc+3U4mee3rg6ChiiIAmdyaSgrmvzOsYoVLKtQLEGx2DdeEzAdErrv/oOCG
3evfT7lYYlBr6lAyC5SoXrnysEka8ekqZJE8+lPZXG15lM/EAzrtZHPnJUWBZXccchSxBgaucHWm
qZirH7L7iJ3fVV1zGzhtubk8N8/lQOkBRA1Piy6dlh8x6cnbzYOEf3Ta8bS7atd+C1zhQ7Jc3g+0
sl6Toitn58zJaIulkBmBkJdpTM2oPE546SGDcNrB36VwD4tyQnuAv17yHA2GW4A7HswYZ/j+wSz7
jQFbdUwqGzOwXcARFs9SCIWsEAXYIt4N2swTqNeUBJwOXHuUQriT3ih2r0SMXzBX9iGFifhC4ji+
jpX82vXpY7NdhkAnb3K59mpdDwhHfN3x1UCxae/+gc51lwH2XuV4sHCo5Y80vU0cSnHlwB1EquJr
x1Dmweq8vEFQUq4HBVVhRAzqVb/koSC0NzqcYSF1zkjIXRAK8r6qxe9VTxlHqfrnRtaylacF36Qa
DEKZ5E45lnTryC19GwEWneZE0zKkNwInea/lwj3OZrh8D09xnf2YGuUl59STet2plOwgBj7uMOh+
rYQ2V6MRFByO1GzTFPCHzOggV/59Guu71JplTCquEzAevE4vYHymsPgrEIxy/b1SlG2W14ephXHk
T+tMLA56BfW89NYaSapVicgvz0eHusJ2Jq5atA9GkrUtwYLZeKDf6qHiYwE66hvIqcd0ApSa+Cmq
odxaZ5PUrlQiytvIwjwdLzpKxWAjwyEKbpSi/pYUxu908jHo9DzVxoHldQpLrumN+WoCj3B6ZIBr
JZ8COJKDiCGhFWKMgh9qVo8R3noJ/ZUAh+x69o5OMiRRVVxUq0noHiprmEjF+9JDmuKKZEWRtpss
PmXrteQoKVOuKtXA86YfETJp/ZM+hgeyuEB0JdknXkv6A4YchJKw8LCO8zHwk2HpXF7VkGY+7SOm
CmdZg+dhqRChQcAsazZRYzAeB6fjI2ej22P6Fk1wiTGzCsAYWM4kIsKIoLrIVQFvPVBvykmrbKuI
t9Dd6YQSlNdqIqY0sqjBHzK6x2obmk2Jm0Cv33pqn4GsFEgBe5M7eIGTBzjGjKn5oldRtIsF7X3K
Rki8k8xfMYJdhQhJUNw94aR+N4rNHkwkFwDKg+b4u9C6B6jye0UejmJnWXj+gDQejL6wkXw9FkL6
YOoefsZ4+EKnXalVv42DwVjjALuToQR6GTxpKu6MAwtYqWZ/42T8YpjKLzPDpjQK7oNh3CMMohFE
ln7SmApsqQeVWsWuoOmuauYbqdC3vtE99Zic7jG0gfiYlQSbgCzo+eLtCV5qgRLrpRsMUSV0S3pC
4IoBaFsN5rbspA1kP3FW+RxDQ9g1mbZralwWW0EbV9oQ3cdC4EbiKBPkQhzxjGEX+9N7L1KTEOTs
EIWobYE32VXV7yRRf9CacGc0xgb/HTrPaH9VlPBLPsXHPta/VikIQgW/3K1v1s2Kg+PdS4q9IQ+/
ijh6z4KODrbsMNTiXVfJG3w+H+peeQMBKNlRqDz2LR7X2DimYfnoD/N6bO6kFBJtT/+jKYUoOv3w
UDfpVvGKQ0TNKZk7azDLyKZwn49WYjcW96aiUh5w2WTdiqLNHe+HVaSzUdAEYCgM9qogvVUi8Fdg
bKuo8O+bTt6hnfomFdVj1lR3mF6956J6aPTnsOAaxUCWWj2NnA3QpdV93KSIuabnBnAY7c6D+DVh
6WQ0ZK+CJoC3qBx8L7lJUs9b9V29S+rqQeh9ooOkQACoY5BrNZgnTHiFRVabrDQ55iQw0xsQRWRK
BUlfBW3eUnxTHocIZaEmR/tRMyNX09qXsiaNSCoqH8S73u9B2uaE/EE6bTszwtOrQAGp6nclnh9C
LCqIszRkYbPjcdTeE/Ijos5kVF4CyMM2swsJp1NobLk9xM0xz9qJKEYDRmIaqwFvDOaJeRQHtwUY
HrvijPpC/xWtotkQLcDRAsNFeKjw0Zq8fWvwAE/98qmfArcQpPtaGw94WNxo/5e680iO48rW8FYY
PU9GejPojnjlq1AGhCcmGQXT6b3P3fQCevDWoI29LwGCBAoQIQmKkN5QKvBm5rXnHvN/mb6Kpfq4
LvIpKYxHUYM+cWntArfcZIlxrsnNDuHnRYywJWHISyXWLoIivIyTCuhcrV+KtXoUGEjgxjJUrYCQ
ulNcxWFxqdiEYxI9xw4KqRRpIZ+UQX6JyhbB6QhJaod6WbiyOuoR0qrOmRONggq5IOf3aTVQEFy0
TfMczrgRhDehmN4mIpLugDxHvuvO9FC9chKyL1vPO0vSdJM4ytZDWxgt3zlYz2sxFYuJWRML9wvt
0heEcCxnXBVztTpxyiRYFzmkCJLMxp1oK7wcyIhIDhApl3ea16mrWoyyhed59tpN00WpOajwNNo2
r/N9kZn5tOfAHHO8nDR4JjOlorhccTD30nN0G6pJrLBP9ZWyQlrL21Zqeo2o8jzj4BwbogV0qY84
z01vHpies5DtQYW2ROi61MMcSYUUQ7VCTT73k3AqyeTPtrW6jhotHjs9VTeCZSOAnBbHblHGE2Se
1ZFedycsnEUeVRs4cGDaXFNdGRK2jKwJ4IlZChCkAE9DAZ/kECzSnjzYkhw7ZFvLYIqhftuY2mUT
UupqSXgSyIFaOKpvTiLJvyRR8hJZ4fMg6euxFgTS2FOra7vRMMISJxq7tnFul+kqUb2dGTTlDLl2
EpZdgTzkbG30xo0r16M8drPZILgYOuW1n3XCLlBCdHHQileaU27Hp31jnOiBXY7LttmVEcJRktHc
dGRIyZB2kHWJJ3rmYg/4V1qgnBCyvQol7Z6DGtWCip7yKYgdS52yyLjW+6idV4q7qxp3LbQGMuR1
sI8N0aTkJd5XkrOTS9saeaRVVoNUeqnjHNEUBOn1FFhZYzsbhMvxh+jNBoGXGyohKAEzmQ22nG2s
2JdWtoz9VLYUZ4mJuLEM9QrdYATt4/Q8VVi4QYVef9J2KNDH+UnWac3ETYR4KktpOY4GjUi1DNx1
mqZIFbEhycgE2o2I76HVq4nrDNEuXVzXXmmMgjZK2IYQ8zPTWF/5jjyzBfGmNONzrxOKMfna4cSX
4WrHMt3h2Ce1h+XX0Y2jpgtFcCCAz2UbIUAPWeSJbBTqqkTFijBW1ztoqEvnbRnLvKGZHcd6RF4q
UJKpVKZbcMQLvxTXlpsQhvS1q7y9FXv5tGziah66E4/jS87rkRYepWj9IdAVn4VWgwZh104kQC+L
Uq6vVS1CIz0MvlSeeefJVCKReo9nxzQCwlD9V6TRqU10i7USBdDUy3XVhBB0LKQoJVDvjWAsvbpZ
VUq7RjcY5CyU7LnRB+ZI9G3EvLRjSMdI1XvCmMgX7g6hQX0fCaY45kBzQQJSstMtAylLUGiE1OS0
XA8kIYNQyf/SPTpeEoUFslnMVjfUpoaSkiPfQNUTABjnrnCh+eK5Y0n6WDVCIhPyRBHYiEai3K/h
/l6IafI1sztg0+F9aOoLGGkTTUQ0Wccnl+moR6Z2usvV7FgvgrWpkcho2ixH2d3jhLosNH8e+Whl
d0U6xYg9jvPyS90l+9xAktS3khoucePOkeDMLrD0icwJJhjKTnpIdi4nwDX0mYhZzgZIM26AMWpJ
tT6LwjYeIdLg7JqEH1pJv0BTs9g6UXylk70+DvusOSkbsq1B3Nz5iHvHcnwaZEzwTqDQp/KdaWDY
47YtNXT8EpiMziWVZVu1Tu9ys5jZWr00nQ6kaGFvGKep7IftKMuXZT1r7I3ZTAul2rYNwFSxW7iO
ScK5dgNPA01o5zS1CPzGlsPjARGNfA/FeK2LjhzDR2my2CSlcJs3HncLhdpVrbho0xquulN/iQrq
DiIS8aP0HlDXkSQ5q67Cpaw3+VGWmwQJbAWtAj88kwR/5bXG3urFFkoF+iJ1zdUgSo4zxFJRk0bL
VMpMAhd2cFrX5szLA64p6aK2nLWAWr6eSzuzyU/KFrUjUPAnDp5DhKxXASnLEMo3RUq1pIhlR9Bg
BIV0mTgYNU7sLVW6FdGS8rbK1RUV11uxj7+0Kf1lWiD2rCRQqA+QjiDKtqM+Fdda2M9FfEGRHTEN
FITC82M03cpJ7+AcRUXXhE0KelTWnW3UVeMgKObwNgPw0i4Z7nqMTZTMSynfirq51RNh6SIYGzn+
l7Iwz7OahIIgRUsvS3dG3pxKPkhry760kG5FRYYxiKqmgK5ASjv6tndt5d8gzrcLivxWQE51ZLrQ
tZ04v+uD6DpWlLPe1BuQHfqXzou+dpZfUW5d7M1aOtVYlmWrX0tqcitr9rHhaf6WfaWdFG2xi4uA
4LTXu4vUZ/y7wrtwAlyWVmmI6OXE697V9mQ5ddOKSxoitM5KqCs8foj7jZ3UNib4XEGMa1J41NqN
NYrTQlim3iBX3/n7QmPViU4NAcVOt1aVngdOtKem464wSN8YMuwFLzmWpGJTokI/bdT0XGL/RSmV
Kgv6aR8VQ9UG0DfNVQkzUX97mwjU/RHekkdFoZ3GEjJmNibSomp0bZbrfDuA2QjJ04F7orGoOq+/
K5DGH+mGx4mkA7ER3XyS1sGsN7wzQ9c3dUAApknCCUNxpYv1v2Uh+dLk7b9x2PXYG9Gqhdk6TthP
3/GgvXEX1KmtAy0MhQ8Q3IFTsCvLTi4Bs0xhkC3SeEMUYOqjNvfzO6fy0vf4cOV88ZiDEJBXdXWs
Nbo0BVhMBVioUEtdOLA1405eCn6YzuvG9Je47i9UoRbI9cb9QWlcKEJtQxUxx+KYkFqP8EZiGyO5
9fHtGcG1luTknScpKk5C2axU2dZmiOf6U6Eo2b0gyI3gt3ITFahbcEhmhJrcwtIIO3Td1eSyrHPM
p8wcaxUbXV8RYyMQsRNSdCqdBlbpz/vhrWAb6a+DyjX1lKRfvHRX1oXod/h7cKgp7Ui1Vqpz/fMH
vOmyQ0BiyCDCawdc8eUTSqPrPLSiHvToptWJN60XxnmLNE6EcPEofGdc333c4N5+5iHss04XAifG
Z3c7pEQbpO8EpEWN2ikOjPeleN7qv+dfd+D+z8hlsTulJFPvgoL8fqIs8hsVqaGhsthavuuRfBly
fpy1ILBIJ8ONDZDiIAwQIY6bBnmjTB2jWyE4tZeozQFOgWBw5pzpXhWAt6DGT4hRFpX1NJ0LVmiO
BQyErZ3WyFW36OeKXjcLce2vnDC/yDQtHTeE88ZBUZtTfIb7GJ0GgoD9gGup7xpysEdyF21yzV9x
kveTPKlOLLULJ03kM4SmLUwKl8sgi+jcroqaPRC5u4iE9ySQ9XdG+PX+gCKORvHeA5eLGreXA+yq
uWhVsmChA7cu6mhsRKelor2zCR0khQ0d/fIpB9Oo8QXNczKeEgPe7FkYgodGpgCaJmyiEzUWv/QB
CgAcdUJKSTfUjx7osG3Uk1Zv5rWUTC3PHwUk9JhOO0q5LKhWcGu2wSrr0AfX9SNoCyM0c8ZkBHF6
QB9MtjoMXzATYyPPRuScvBMTexnYefokVNk0Rddl61C2yXX6HoCqaxNADfDZkBMpZZMSDHWBdNTP
F/2D9/iHd3l4ljXkUFH4Y8qc/vJB91W2FaVO0RGsnZG1ry3zScvFfJrOci4BG3wKgw5mc9zNUCie
mTfpVvRG+RFhajLsnDNp3Cz1S2cmb3/+WsNm9rO3OliseRNJgZ/0AjUuzqLYeHNtDhNm9V565oO7
8mfPOVilrcE12rNEgaR7BDkgImQUG6sPesyoCu+UdwZWej2yL3v7YBOvCrkz4JZQ7R8kXHf1ZTyU
ZOLctTvMUjldFFm2CXPIZW08Bu0R9GCoJbg1aj/P+5SE9ffm2sE2/GoCHIYXtMytSjypdMFKXiGP
RWCou0P9biovzK0w+/m4HuiEvX7awWEuqm7iqcPTxBXREzLdyEifuDPnnjN1whLzR2f1Ggf71JtT
6TkiO2jVnD2qJTXjakTazhb77N3yt/cmwsMu8+wwkpyiTMpw6AUmgrrvNkN+po7Gjr8w7t3pe8mZ
B1Hv1/2gvNwbrTK30zZ7mODeIlq5k3oULNXZ97qS30W5/n8HZNEl1IWBSj6bXAP25RvOZbuPwLns
8nvSEuP9Cx7Lj3/4A2ENHxpAiKxRnmmAnfwOZDGMzzqRDIPsrO+sFsh4pfvPfwjiZxgt5oBkMTSk
ykzNHBSOf0BZNF2lUY5thdNd1LTfA2V5VPP8sQuxzaOmLcoDjkWydE07lEEsuX/KehNRCF1GsvlV
dkjWsxAL4iYzizzLbpY4BxHEjaREuHMTroDwI5JKmpDX6NxaUpVei4IoQAMqFGrlYVto92XVZ3s8
rirqP61mb5O89SjEj2iGe1R6JQA5O+8UyYdeaysnZq+lp21fNBeO5EcByKweqX1Sn3BfQ6he9KHb
5vxLKzoW87BZB/AUtz3XL29UeGUPoYEbV+h25SLvlW5JFDGaiVKBJzFqnJlBosKV64lo26pxay3I
GUYQ1K0kqpCLtt0WQl/gpbJV5TT2mhDmodBneIx0Eedcafk5qDJLua2NmrtbLktggwlz6Wt8dYQH
SsUe43HJYWNUil4PWottBNnDDhE/8+ymHellkToT3RbUXdvjmaVLQqygOhQFlYr4DtimV/XmuDUM
XRslRaqg6RqV9HOP6Pl1XKsplwScaF9Sm5yepLTVo8oVy6NGq/UjJ0MmYaprnnwd+3G7KwmXzBvk
6CmfKjIUfmshWNiBpk3koiWGpaXq1pfNxpxmsSRx5jiBSjqWbJR8p2PLZ36K2dYJlbXJqjC7DlzL
5qqLvtu1XZMBNJYdITuvcC7bY0fvqrnbKgptKTiI5cYwEQ/s7Zmkl04+ywWdYVZR4sWN4yAp6ulO
sPFFPxEYmtq+FNQC4LEEadEC2rx0EpUeQdsMz1eQbnpY73ekaHTQ/cLwXoL6OMvc4QbEAZXMvdyr
N07Tcjg12XAR1tKlJZr1sZlEpLY5GYVjVdNcy0llX8lxm2yt0E5u61KspYUWWbY4ybXK2OgwC91R
6JfRF7v38ItagtRMkImVd5Jo5wstx+MC8E4Wz6n3bvY5gUWSVW2ke8Zl7FAh72fag4RBbt6osOm4
sEjOlaf3OvA9hAcGIVt1RyE+0d/CM7OLXk+SAdKWb1UtDL6adttfmVWCk0qJJGcqJnoPyjpLvshC
msxqRQhPQB/X+ahE73ViErWYlSmi843Ci1GXQ9CoS1HzTCo3+xqi5H4ai7E/8XUSxrUCYY46sK1r
W1TNo6CopKmI2/UrmcLhQrdJQuyEvrq1gUmfxEohn6mqbZwG6NLuSxGmGwunnLQk50+jsJY2QaSq
eGH0hBIDLynNhWkBG4o6y7jOHYuDK+ijK0ir9rwCR4RXWK4Ces9x7cvMyOu7AkzYVGoUeRVEYrB1
y8Da9bpcHaWSXV6oJBci02XbKSsfwHj/wBoPH7jjTVdoJ7iW0UPomuqiGADl1oAq1x+o5b0VxSRa
4+8/LeWi2Ea2W2ijcICdV3FT6iOUXep5EMIIDQYsOhmIJFdoPhQ1WSkRE3asCtu9HmjqQDMJR5aS
Pq9VEyekBE5uHbm1MyHb8LpwXC7lsd+nO1PRqzXBh2CFHr08KUQjm4ZNBdo9hCXiD7h3eINoLJkg
4BOtc6aQ94LTSrGLlaCCiq8GaHw44OOlSAQkj27PWeJ0yl05YOY121SXGu69mV3ZBHHyoll6biDO
CRg3ez3ImrNowNY7eH4nrDlhjgxkMBUU8PZBabubfEDek7Qpnnauaq1ZZPVZQFXQpAQYjvgwf5wl
prsVfR8BKhKfgEnBvYiDTts1VRuNs9yvEB92ilVSygEO30acMKDuuFXaCnSO6R51iS6ekvNZn7VV
Z0+SrhbHlpznp6Up5ScWRiYM+K4fVVJjUQYcVTMjKxASMMP2zKqMbklQCBpUkzkTrSj1JXoY9dz0
0LXw3drb9UGDw1TzrSmMlm6eC2K5JOOHyGMLmJq9vvva24k577voC9vYSI+DS9fTlJGTWN4YlG6H
e1rrxr7RX7BZUlGa1tUCjk83y8suOSIo3F+EjDO+MZWYn5WT3iH08o602+YiAjQwlVpPHsXA7OZR
0ulrnRzIueZzZOrQL8aOG5ZH5N/sM0/qJkrvphPfb6x1o7YV6eROeJTgiZvo+NSmqteSJvFgefwt
jKxngLxX2Lvv7LfBOgJmEYNX/2N/9ASVe7uh38PRk7mrveDoPbzXA8jvZ82wlXlldYdhJ35W0NDF
w0UdIk5FVRkuEWESO99+B2/2WaF2Ail7ElxU3TRwLPDEZx31a13x8698zRl83c6LT7hNKk6I7uTe
8ZL4uR2qc+/7LX1w0MCPPhCkzwpwAh1NbNDqlGYPYvMv+sCCzM7P/PrXff+vEhUt0VCQffttnXDQ
yrNOUD5rCtSiQQt9UPYfQAIHfWAyOfCGUvps4MDg979kHhx8wf0DdHJ5989/SHjFDUt5nJ8/8JW/
d0UI8mcNAWu8iKA6uIzg2nzRD+ZnfER/5UL41Q5gImjoC3x8IsBYI9JAdTLF3ZArafFFD4DdJFNY
MmCfWbCmBg7V32sm0BGIgz9O0A9MBOmzRVYtPsFBf2Vo87AjzM+ofQyuPAIzw96AQ+tv1xHcnAkV
/Zb98WBePdsaGODnE2Bwkf69vvNx6Q9FuR/7UPEzCZdU/1t4fNlLJEb/8NM/swEy4IP6g6w+qE38
vboCxBCODQ6wj/aEiBvGNAFSa0P8i52F3n0+CwbDQMZTY1B2x6H5NzwQ6ApKGh4X5Ye2ARlHxNAT
FgECKsJenwjk6T75tX6PffQbjKjvRufY9cK7B3PTuy+ekZrf/YMnM+x1A9/Mq+HsxIZ68XcDxPmx
5cfzdfjvf73YIB4swGc/PlmED4/59s+/fd/rJ7941tNHPf3PhXef7/Nbt3v4ofv2lo9+yLMqRg5l
71YvPJHfB/rH+7wiUH9fDj9r/ti7db341j1s/XFFfbT1ebWHvfHcdOVQedyfP9o0XD06Lbx73TyM
pqcnDqPyx/plGn7a5clTO8OE4c0fjc6PvjmTI7pJ8n1/2PzjCf7R5v+np9MPXvzRSPpoy+NhjnrP
m/52CnFkfLTtZXSzv2GeP7X0w7wdLnwfbf0UJHR088t/38KrD6VDH21/Q6CA5p8aevbyHCEfbXy7
T1/MlG9WPybJR1vGk5yk+/aNIR1MyY+2frwvyn3/xogO0a+PNr5Oik8nbw/ocJ//aPMk2f/y33qf
P7X0Y0QVzsKPtj7e//K/b7bNTe6jbW+oZo33n0733BL3zlsT509YrevEf2tc/4SVer2Hur7/xB7J
oeSl908d8mwA/oT1Ot+Hv/wnpXtenE3fFtafsGTfCx4+3OD/+OE0DO7+0zS8Z6CP86Smr152FB4L
nDqDKf/R6TQ8Kvk0ASocO8mnu3sM4uLTWfHLfxid8OXZK3176ruz4C0j6bt/jZF/0+p79w8w3oaG
b8P7ff6v/wMAAP//</cx:binary>
              </cx:geoCache>
            </cx:geography>
          </cx:layoutPr>
        </cx:series>
      </cx:plotAreaRegion>
    </cx:plotArea>
    <cx:legend pos="r" align="min" overlay="0">
      <cx:txPr>
        <a:bodyPr vertOverflow="overflow" horzOverflow="overflow" wrap="square" lIns="0" tIns="0" rIns="0" bIns="0"/>
        <a:lstStyle/>
        <a:p>
          <a:pPr algn="ctr" rtl="0">
            <a:defRPr sz="900" b="0" i="0"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es-AR">
            <a:solidFill>
              <a:schemeClr val="bg1"/>
            </a:solidFill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microsoft.com/office/2014/relationships/chartEx" Target="../charts/chartEx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0</xdr:row>
      <xdr:rowOff>0</xdr:rowOff>
    </xdr:from>
    <xdr:to>
      <xdr:col>8</xdr:col>
      <xdr:colOff>266700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A4CC800-268D-4DC5-AEFB-5EC9E5C345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257175</xdr:colOff>
      <xdr:row>15</xdr:row>
      <xdr:rowOff>9525</xdr:rowOff>
    </xdr:from>
    <xdr:to>
      <xdr:col>8</xdr:col>
      <xdr:colOff>257175</xdr:colOff>
      <xdr:row>29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DC955C4-4A97-472B-ABFF-512EEC98C8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257175</xdr:colOff>
      <xdr:row>31</xdr:row>
      <xdr:rowOff>47625</xdr:rowOff>
    </xdr:from>
    <xdr:to>
      <xdr:col>8</xdr:col>
      <xdr:colOff>257175</xdr:colOff>
      <xdr:row>45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57E9003-9C61-479E-94CB-3816BDF48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276225</xdr:colOff>
      <xdr:row>47</xdr:row>
      <xdr:rowOff>0</xdr:rowOff>
    </xdr:from>
    <xdr:to>
      <xdr:col>7</xdr:col>
      <xdr:colOff>476250</xdr:colOff>
      <xdr:row>59</xdr:row>
      <xdr:rowOff>142876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46B0E7E8-A5F5-410C-8000-18A24A3BF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371475</xdr:colOff>
      <xdr:row>63</xdr:row>
      <xdr:rowOff>161925</xdr:rowOff>
    </xdr:from>
    <xdr:to>
      <xdr:col>11</xdr:col>
      <xdr:colOff>371475</xdr:colOff>
      <xdr:row>78</xdr:row>
      <xdr:rowOff>47625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8" name="Gráfico 7">
              <a:extLst>
                <a:ext uri="{FF2B5EF4-FFF2-40B4-BE49-F238E27FC236}">
                  <a16:creationId xmlns:a16="http://schemas.microsoft.com/office/drawing/2014/main" id="{9BD4E792-274C-4D00-9D4B-666D31FF091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81575" y="121634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9</xdr:col>
      <xdr:colOff>742950</xdr:colOff>
      <xdr:row>15</xdr:row>
      <xdr:rowOff>9526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5956C4-540A-4BF3-A069-F6118D467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600075</xdr:colOff>
      <xdr:row>15</xdr:row>
      <xdr:rowOff>76200</xdr:rowOff>
    </xdr:from>
    <xdr:to>
      <xdr:col>9</xdr:col>
      <xdr:colOff>733425</xdr:colOff>
      <xdr:row>25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36E7A6F-F0BC-4F83-8F15-C9972D0C4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</xdr:colOff>
      <xdr:row>15</xdr:row>
      <xdr:rowOff>76201</xdr:rowOff>
    </xdr:from>
    <xdr:to>
      <xdr:col>4</xdr:col>
      <xdr:colOff>632460</xdr:colOff>
      <xdr:row>25</xdr:row>
      <xdr:rowOff>190498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A2D37D3-4249-4422-ADE4-E48B6D132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27</xdr:row>
      <xdr:rowOff>66676</xdr:rowOff>
    </xdr:from>
    <xdr:to>
      <xdr:col>4</xdr:col>
      <xdr:colOff>552449</xdr:colOff>
      <xdr:row>38</xdr:row>
      <xdr:rowOff>161926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7AF094B-A65A-4DFB-860C-BA5F4C45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660298</xdr:colOff>
      <xdr:row>26</xdr:row>
      <xdr:rowOff>158852</xdr:rowOff>
    </xdr:from>
    <xdr:to>
      <xdr:col>9</xdr:col>
      <xdr:colOff>660298</xdr:colOff>
      <xdr:row>41</xdr:row>
      <xdr:rowOff>50697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7580751C-8AB0-4560-9ACC-FE1D0535EB8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46298" y="5111852"/>
              <a:ext cx="4572000" cy="27493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737110</xdr:colOff>
      <xdr:row>0</xdr:row>
      <xdr:rowOff>15978</xdr:rowOff>
    </xdr:from>
    <xdr:to>
      <xdr:col>15</xdr:col>
      <xdr:colOff>752782</xdr:colOff>
      <xdr:row>7</xdr:row>
      <xdr:rowOff>97094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">
              <a:extLst>
                <a:ext uri="{FF2B5EF4-FFF2-40B4-BE49-F238E27FC236}">
                  <a16:creationId xmlns:a16="http://schemas.microsoft.com/office/drawing/2014/main" id="{CF4D34F7-A47C-4DF3-BE07-0D866167C7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0903" y="15978"/>
              <a:ext cx="3847569" cy="13839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752167</xdr:colOff>
      <xdr:row>7</xdr:row>
      <xdr:rowOff>148939</xdr:rowOff>
    </xdr:from>
    <xdr:to>
      <xdr:col>13</xdr:col>
      <xdr:colOff>307257</xdr:colOff>
      <xdr:row>25</xdr:row>
      <xdr:rowOff>120432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Provincia">
              <a:extLst>
                <a:ext uri="{FF2B5EF4-FFF2-40B4-BE49-F238E27FC236}">
                  <a16:creationId xmlns:a16="http://schemas.microsoft.com/office/drawing/2014/main" id="{E43505ED-005A-4ED3-9646-8F57777A0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vi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960" y="1451784"/>
              <a:ext cx="1854228" cy="33216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733535</xdr:colOff>
      <xdr:row>25</xdr:row>
      <xdr:rowOff>175070</xdr:rowOff>
    </xdr:from>
    <xdr:to>
      <xdr:col>13</xdr:col>
      <xdr:colOff>298429</xdr:colOff>
      <xdr:row>39</xdr:row>
      <xdr:rowOff>98535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Vendedor">
              <a:extLst>
                <a:ext uri="{FF2B5EF4-FFF2-40B4-BE49-F238E27FC236}">
                  <a16:creationId xmlns:a16="http://schemas.microsoft.com/office/drawing/2014/main" id="{3182B9FA-CD55-4AC6-BB13-5C3147087B1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7328" y="4828087"/>
              <a:ext cx="1864032" cy="25291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353347</xdr:colOff>
      <xdr:row>7</xdr:row>
      <xdr:rowOff>148941</xdr:rowOff>
    </xdr:from>
    <xdr:to>
      <xdr:col>15</xdr:col>
      <xdr:colOff>752783</xdr:colOff>
      <xdr:row>25</xdr:row>
      <xdr:rowOff>120433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Categoría">
              <a:extLst>
                <a:ext uri="{FF2B5EF4-FFF2-40B4-BE49-F238E27FC236}">
                  <a16:creationId xmlns:a16="http://schemas.microsoft.com/office/drawing/2014/main" id="{312F73EE-734C-4ABB-B82E-54CAACE4F53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16278" y="1451786"/>
              <a:ext cx="1932195" cy="33216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357351</xdr:colOff>
      <xdr:row>25</xdr:row>
      <xdr:rowOff>166305</xdr:rowOff>
    </xdr:from>
    <xdr:to>
      <xdr:col>15</xdr:col>
      <xdr:colOff>733533</xdr:colOff>
      <xdr:row>39</xdr:row>
      <xdr:rowOff>84740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Fecha 1">
              <a:extLst>
                <a:ext uri="{FF2B5EF4-FFF2-40B4-BE49-F238E27FC236}">
                  <a16:creationId xmlns:a16="http://schemas.microsoft.com/office/drawing/2014/main" id="{A19EDF23-34E4-408A-B1D0-C787CB5142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20282" y="4819322"/>
              <a:ext cx="1908941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DashBoard202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Uñate" refreshedDate="44660.640415972222" createdVersion="6" refreshedVersion="6" minRefreshableVersion="3" recordCount="369" xr:uid="{CAA0E528-CB1F-49B0-A69E-FEFD7BAF3E93}">
  <cacheSource type="worksheet">
    <worksheetSource ref="A1:M369" sheet="BaseDeDatos" r:id="rId2"/>
  </cacheSource>
  <cacheFields count="15">
    <cacheField name="Documento" numFmtId="0">
      <sharedItems containsSemiMixedTypes="0" containsString="0" containsNumber="1" containsInteger="1" minValue="1" maxValue="369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4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 count="11">
        <s v="Azuay"/>
        <s v="Canar"/>
        <s v="Chimborazo"/>
        <s v="Guayas"/>
        <s v="El Oro"/>
        <s v="Imbabura"/>
        <s v="Manabi"/>
        <s v="Esmeraldas"/>
        <s v="Guaranda"/>
        <s v="Pichincha"/>
        <s v="Tungurahua"/>
      </sharedItems>
    </cacheField>
    <cacheField name="Vendedor" numFmtId="0">
      <sharedItems count="8">
        <s v="Mayra Aguilar Sepúlveda"/>
        <s v="Andrés González Rico"/>
        <s v="Nancy Gil de la Peña"/>
        <s v="José de Jesús Morales"/>
        <s v="Luis Miguel Valdés Garza"/>
        <s v="Ana del Valle Hinojosa"/>
        <s v="Laura Gutiérrez Saenz"/>
        <s v="Robert Zárate Carrillo"/>
      </sharedItems>
    </cacheField>
    <cacheField name="Empresa" numFmtId="0">
      <sharedItems containsBlank="1"/>
    </cacheField>
    <cacheField name="Forma de pago" numFmtId="0">
      <sharedItems containsBlank="1"/>
    </cacheField>
    <cacheField name="Producto" numFmtId="0">
      <sharedItems containsBlank="1"/>
    </cacheField>
    <cacheField name="Categoría" numFmtId="0">
      <sharedItems count="15">
        <s v="Bebidas"/>
        <s v="Frutas secas"/>
        <s v="Productos horneados"/>
        <s v="Dulces"/>
        <s v="Sopas"/>
        <s v="Salsas"/>
        <s v="Mermeladas y jaleas"/>
        <s v="Condimentos"/>
        <s v="Carne enlatada"/>
        <s v="Pasta"/>
        <s v="Productos lácteos"/>
        <s v="Tarifa de envío"/>
        <s v="Frutas y vegetales"/>
        <s v="Aceite"/>
        <s v="Granos"/>
      </sharedItems>
    </cacheField>
    <cacheField name="Precio" numFmtId="43">
      <sharedItems containsString="0" containsBlank="1" containsNumber="1" minValue="11" maxValue="1134"/>
    </cacheField>
    <cacheField name="Cantidad" numFmtId="43">
      <sharedItems containsString="0" containsBlank="1" containsNumber="1" containsInteger="1" minValue="1" maxValue="100"/>
    </cacheField>
    <cacheField name="Ventas" numFmtId="43">
      <sharedItems containsString="0" containsBlank="1" containsNumber="1" minValue="34" maxValue="111132" count="326">
        <n v="140"/>
        <n v="34"/>
        <n v="798"/>
        <n v="1152"/>
        <n v="816"/>
        <n v="638"/>
        <n v="1722"/>
        <n v="198"/>
        <n v="2117"/>
        <n v="948"/>
        <n v="1036"/>
        <n v="2112"/>
        <n v="2016"/>
        <n v="3956"/>
        <n v="3936"/>
        <n v="4365"/>
        <n v="1690"/>
        <n v="3520"/>
        <n v="720"/>
        <n v="3360"/>
        <n v="1000"/>
        <n v="3750"/>
        <n v="84"/>
        <n v="774"/>
        <n v="1274"/>
        <n v="819"/>
        <n v="264"/>
        <n v="3772"/>
        <n v="2400"/>
        <n v="102"/>
        <n v="792"/>
        <n v="1071"/>
        <m/>
        <n v="6580"/>
        <n v="2401"/>
        <n v="40320"/>
        <n v="3348.7999999999997"/>
        <n v="20608"/>
        <n v="3647.7"/>
        <n v="12673.5"/>
        <n v="2320.5"/>
        <n v="30184"/>
        <n v="7350"/>
        <n v="14196"/>
        <n v="11872"/>
        <n v="51072"/>
        <n v="3139.5"/>
        <n v="15015"/>
        <n v="5359.1999999999989"/>
        <n v="10388"/>
        <n v="47600"/>
        <n v="12493.599999999999"/>
        <n v="6440"/>
        <n v="28993.300000000003"/>
        <n v="13104.699999999999"/>
        <n v="16743.999999999996"/>
        <n v="14112"/>
        <n v="2856"/>
        <n v="87318"/>
        <n v="3626"/>
        <n v="30693.599999999995"/>
        <n v="6720"/>
        <n v="39760"/>
        <n v="7700"/>
        <n v="1029"/>
        <n v="37520"/>
        <n v="19319.999999999996"/>
        <n v="10948"/>
        <n v="2352"/>
        <n v="18648"/>
        <n v="61824"/>
        <n v="1545.6"/>
        <n v="7985.5999999999985"/>
        <n v="6247.5"/>
        <n v="12834.5"/>
        <n v="9520"/>
        <n v="14815.5"/>
        <n v="3683.68"/>
        <n v="37996"/>
        <n v="9450"/>
        <n v="11396"/>
        <n v="9659.9999999999982"/>
        <n v="3479"/>
        <n v="13860"/>
        <n v="2499"/>
        <n v="5809.3"/>
        <n v="35280"/>
        <n v="23184"/>
        <n v="7318.5"/>
        <n v="1465.1"/>
        <n v="19964"/>
        <n v="18200"/>
        <n v="9240"/>
        <n v="5280.7999999999993"/>
        <n v="2156"/>
        <n v="3223.22"/>
        <n v="7308"/>
        <n v="49588"/>
        <n v="3055.7799999999997"/>
        <n v="9997.4"/>
        <n v="6439.9999999999991"/>
        <n v="22386"/>
        <n v="18026.399999999998"/>
        <n v="16464"/>
        <n v="40880"/>
        <n v="6568.7999999999993"/>
        <n v="10760.400000000001"/>
        <n v="11753.699999999999"/>
        <n v="16486.399999999998"/>
        <n v="4116"/>
        <n v="3391.5"/>
        <n v="26082"/>
        <n v="7056"/>
        <n v="10718.399999999998"/>
        <n v="11480"/>
        <n v="54880"/>
        <n v="45724"/>
        <n v="14000"/>
        <n v="24640"/>
        <n v="4894.3999999999996"/>
        <n v="1372"/>
        <n v="2511.6"/>
        <n v="8316"/>
        <n v="14168"/>
        <n v="2134.86"/>
        <n v="8106"/>
        <n v="25244.799999999996"/>
        <n v="7371"/>
        <n v="42873.599999999991"/>
        <n v="12740"/>
        <n v="21280"/>
        <n v="10303.999999999998"/>
        <n v="6860"/>
        <n v="26901.000000000004"/>
        <n v="10046.399999999998"/>
        <n v="15484"/>
        <n v="7854"/>
        <n v="111132"/>
        <n v="5978"/>
        <n v="14615.999999999998"/>
        <n v="15680"/>
        <n v="10360"/>
        <n v="4410"/>
        <n v="15120"/>
        <n v="18289.599999999999"/>
        <n v="47656"/>
        <n v="10267.6"/>
        <n v="17136"/>
        <n v="16422"/>
        <n v="28644"/>
        <n v="6300"/>
        <n v="53508"/>
        <n v="19320"/>
        <n v="45220"/>
        <n v="3390.66"/>
        <n v="4458.3"/>
        <n v="12107.199999999999"/>
        <n v="16653"/>
        <n v="13154.399999999998"/>
        <n v="50960"/>
        <n v="4636.7999999999993"/>
        <n v="4760"/>
        <n v="24210.9"/>
        <n v="3377.5"/>
        <n v="3091.2"/>
        <n v="4508"/>
        <n v="13566"/>
        <n v="62370"/>
        <n v="1862"/>
        <n v="5600"/>
        <n v="11200"/>
        <n v="1323"/>
        <n v="54320"/>
        <n v="10819.199999999999"/>
        <n v="15456"/>
        <n v="12159"/>
        <n v="4998"/>
        <n v="18032"/>
        <n v="10174.5"/>
        <n v="962.78"/>
        <n v="55384"/>
        <n v="16450"/>
        <n v="29876"/>
        <n v="12364.8"/>
        <n v="1519"/>
        <n v="2176.7199999999998"/>
        <n v="22932"/>
        <n v="9016"/>
        <n v="1841.84"/>
        <n v="20607.999999999996"/>
        <n v="18018"/>
        <n v="15590.399999999998"/>
        <n v="10192"/>
        <n v="43680"/>
        <n v="6955.1999999999989"/>
        <n v="17934.000000000004"/>
        <n v="2566.9"/>
        <n v="17001.599999999999"/>
        <n v="8232"/>
        <n v="12852"/>
        <n v="36288"/>
        <n v="7448"/>
        <n v="10690.399999999998"/>
        <n v="4459"/>
        <n v="2679.04"/>
        <n v="14616"/>
        <n v="62468"/>
        <n v="586.04"/>
        <n v="9186.7999999999993"/>
        <n v="8243.1999999999989"/>
        <n v="13104"/>
        <n v="27770.399999999998"/>
        <n v="13132"/>
        <n v="26880"/>
        <n v="9917.5999999999985"/>
        <n v="13160"/>
        <n v="16140.600000000002"/>
        <n v="9800"/>
        <n v="61236"/>
        <n v="3822"/>
        <n v="9940"/>
        <n v="49280"/>
        <n v="8260"/>
        <n v="52640"/>
        <n v="10888.5"/>
        <n v="1339.52"/>
        <n v="39928"/>
        <n v="21000"/>
        <n v="15708"/>
        <n v="6311.1999999999989"/>
        <n v="980"/>
        <n v="2051.14"/>
        <n v="5544"/>
        <n v="47012"/>
        <n v="3558.1"/>
        <n v="5944.4"/>
        <n v="6182.4"/>
        <n v="17472"/>
        <n v="34103.999999999993"/>
        <n v="19208"/>
        <n v="12879.999999999998"/>
        <n v="12600"/>
        <n v="14646.100000000002"/>
        <n v="9592.1"/>
        <n v="2575.9999999999995"/>
        <n v="15288"/>
        <n v="92988"/>
        <n v="2842"/>
        <n v="45309.599999999991"/>
        <n v="1540"/>
        <n v="1680"/>
        <n v="33600"/>
        <n v="5924.7999999999993"/>
        <n v="21896"/>
        <n v="12023.9"/>
        <n v="14637"/>
        <n v="7675.5"/>
        <n v="29568"/>
        <n v="4379.2"/>
        <n v="2058"/>
        <n v="4186"/>
        <n v="10584"/>
        <n v="10304"/>
        <n v="920.92"/>
        <n v="6214.5999999999995"/>
        <n v="25759.999999999996"/>
        <n v="23751"/>
        <n v="28257.599999999995"/>
        <n v="16660"/>
        <n v="2447.1999999999998"/>
        <n v="20624.100000000002"/>
        <n v="4998.7"/>
        <n v="2677.5"/>
        <n v="58968"/>
        <n v="11692.8"/>
        <n v="5040"/>
        <n v="13440"/>
        <n v="2800"/>
        <n v="539"/>
        <n v="19577.599999999999"/>
        <n v="36708"/>
        <n v="1891.3999999999999"/>
        <n v="2744"/>
        <n v="3430"/>
        <n v="42000"/>
        <n v="20034"/>
        <n v="14364"/>
        <n v="53452"/>
        <n v="9788.7999999999993"/>
        <n v="8389.5"/>
        <n v="12969.599999999999"/>
        <n v="17920"/>
        <n v="1716.26"/>
        <n v="26404"/>
        <n v="32900"/>
        <n v="6160"/>
        <n v="1674.3999999999999"/>
        <n v="2218.58"/>
        <n v="24948"/>
        <n v="57316"/>
        <n v="13239.8"/>
        <n v="22153.599999999999"/>
        <n v="5460"/>
        <n v="33616.799999999996"/>
        <n v="13328"/>
        <n v="29120"/>
        <n v="5151.9999999999991"/>
        <n v="26303.200000000004"/>
        <n v="23956.799999999996"/>
        <n v="18816"/>
        <n v="2142"/>
        <n v="43092"/>
        <n v="48719.999999999993"/>
        <n v="12460"/>
        <n v="13580"/>
        <n v="2597"/>
        <n v="34160"/>
        <n v="11591.999999999998"/>
        <n v="27692"/>
        <n v="2431.7999999999997"/>
        <n v="20020"/>
        <n v="4550"/>
        <n v="29484"/>
        <n v="25228"/>
        <n v="31388"/>
        <n v="1004.64"/>
      </sharedItems>
      <fieldGroup base="13">
        <rangePr autoStart="0" autoEnd="0" startNum="0" endNum="120000" groupInterval="20000"/>
        <groupItems count="8">
          <s v="&lt;0 o (en blanco)"/>
          <s v="0-20000"/>
          <s v="20000-40000"/>
          <s v="40000-60000"/>
          <s v="60000-80000"/>
          <s v="80000-100000"/>
          <s v="100000-120000"/>
          <s v="&gt;120000"/>
        </groupItems>
      </fieldGroup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 pivotCacheId="15393718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jandro romero" refreshedDate="45393.875295717589" createdVersion="6" refreshedVersion="6" minRefreshableVersion="3" recordCount="370" xr:uid="{D38D74C3-3153-462E-821C-0D038A147F2F}">
  <cacheSource type="worksheet">
    <worksheetSource name="Tabla1"/>
  </cacheSource>
  <cacheFields count="16">
    <cacheField name="Documento" numFmtId="0">
      <sharedItems containsSemiMixedTypes="0" containsString="0" containsNumber="1" containsInteger="1" minValue="1" maxValue="370"/>
    </cacheField>
    <cacheField name="Fecha" numFmtId="165">
      <sharedItems containsSemiMixedTypes="0" containsNonDate="0" containsDate="1" containsString="0" minDate="2020-01-01T00:00:00" maxDate="2021-01-01T00:00:00" count="229">
        <d v="2020-04-09T00:00:00"/>
        <d v="2020-08-25T00:00:00"/>
        <d v="2020-03-18T00:00:00"/>
        <d v="2020-05-23T00:00:00"/>
        <d v="2020-04-23T00:00:00"/>
        <d v="2020-12-19T00:00:00"/>
        <d v="2020-10-29T00:00:00"/>
        <d v="2020-02-02T00:00:00"/>
        <d v="2020-11-23T00:00:00"/>
        <d v="2020-06-17T00:00:00"/>
        <d v="2020-08-02T00:00:00"/>
        <d v="2020-01-13T00:00:00"/>
        <d v="2020-01-31T00:00:00"/>
        <d v="2020-07-25T00:00:00"/>
        <d v="2020-06-27T00:00:00"/>
        <d v="2020-08-22T00:00:00"/>
        <d v="2020-04-16T00:00:00"/>
        <d v="2020-12-07T00:00:00"/>
        <d v="2020-02-14T00:00:00"/>
        <d v="2020-11-03T00:00:00"/>
        <d v="2020-03-28T00:00:00"/>
        <d v="2020-07-27T00:00:00"/>
        <d v="2020-06-11T00:00:00"/>
        <d v="2020-02-24T00:00:00"/>
        <d v="2020-08-12T00:00:00"/>
        <d v="2020-05-14T00:00:00"/>
        <d v="2020-11-11T00:00:00"/>
        <d v="2020-11-09T00:00:00"/>
        <d v="2020-01-15T00:00:00"/>
        <d v="2020-05-16T00:00:00"/>
        <d v="2020-02-01T00:00:00"/>
        <d v="2020-12-02T00:00:00"/>
        <d v="2020-02-09T00:00:00"/>
        <d v="2020-12-27T00:00:00"/>
        <d v="2020-05-31T00:00:00"/>
        <d v="2020-05-01T00:00:00"/>
        <d v="2020-09-16T00:00:00"/>
        <d v="2020-06-01T00:00:00"/>
        <d v="2020-08-27T00:00:00"/>
        <d v="2020-06-16T00:00:00"/>
        <d v="2020-10-25T00:00:00"/>
        <d v="2020-11-30T00:00:00"/>
        <d v="2020-03-30T00:00:00"/>
        <d v="2020-02-19T00:00:00"/>
        <d v="2020-04-01T00:00:00"/>
        <d v="2020-06-10T00:00:00"/>
        <d v="2020-10-03T00:00:00"/>
        <d v="2020-10-19T00:00:00"/>
        <d v="2020-09-14T00:00:00"/>
        <d v="2020-12-13T00:00:00"/>
        <d v="2020-05-13T00:00:00"/>
        <d v="2020-02-21T00:00:00"/>
        <d v="2020-11-19T00:00:00"/>
        <d v="2020-09-01T00:00:00"/>
        <d v="2020-12-06T00:00:00"/>
        <d v="2020-01-25T00:00:00"/>
        <d v="2020-07-22T00:00:00"/>
        <d v="2020-10-13T00:00:00"/>
        <d v="2020-12-09T00:00:00"/>
        <d v="2020-02-29T00:00:00"/>
        <d v="2020-04-24T00:00:00"/>
        <d v="2020-08-09T00:00:00"/>
        <d v="2020-10-11T00:00:00"/>
        <d v="2020-05-15T00:00:00"/>
        <d v="2020-05-11T00:00:00"/>
        <d v="2020-06-28T00:00:00"/>
        <d v="2020-05-25T00:00:00"/>
        <d v="2020-04-18T00:00:00"/>
        <d v="2020-06-13T00:00:00"/>
        <d v="2020-02-27T00:00:00"/>
        <d v="2020-06-09T00:00:00"/>
        <d v="2020-11-14T00:00:00"/>
        <d v="2020-07-17T00:00:00"/>
        <d v="2020-01-01T00:00:00"/>
        <d v="2020-09-25T00:00:00"/>
        <d v="2020-08-28T00:00:00"/>
        <d v="2020-09-30T00:00:00"/>
        <d v="2020-02-05T00:00:00"/>
        <d v="2020-07-05T00:00:00"/>
        <d v="2020-04-03T00:00:00"/>
        <d v="2020-06-12T00:00:00"/>
        <d v="2020-03-01T00:00:00"/>
        <d v="2020-08-26T00:00:00"/>
        <d v="2020-04-02T00:00:00"/>
        <d v="2020-09-26T00:00:00"/>
        <d v="2020-07-12T00:00:00"/>
        <d v="2020-04-13T00:00:00"/>
        <d v="2020-09-22T00:00:00"/>
        <d v="2020-10-02T00:00:00"/>
        <d v="2020-03-12T00:00:00"/>
        <d v="2020-08-31T00:00:00"/>
        <d v="2020-07-13T00:00:00"/>
        <d v="2020-11-25T00:00:00"/>
        <d v="2020-04-26T00:00:00"/>
        <d v="2020-10-18T00:00:00"/>
        <d v="2020-09-29T00:00:00"/>
        <d v="2020-08-30T00:00:00"/>
        <d v="2020-12-26T00:00:00"/>
        <d v="2020-12-18T00:00:00"/>
        <d v="2020-07-07T00:00:00"/>
        <d v="2020-02-15T00:00:00"/>
        <d v="2020-09-27T00:00:00"/>
        <d v="2020-09-20T00:00:00"/>
        <d v="2020-11-22T00:00:00"/>
        <d v="2020-03-26T00:00:00"/>
        <d v="2020-01-07T00:00:00"/>
        <d v="2020-07-30T00:00:00"/>
        <d v="2020-09-18T00:00:00"/>
        <d v="2020-02-26T00:00:00"/>
        <d v="2020-09-06T00:00:00"/>
        <d v="2020-09-19T00:00:00"/>
        <d v="2020-10-15T00:00:00"/>
        <d v="2020-09-11T00:00:00"/>
        <d v="2020-04-22T00:00:00"/>
        <d v="2020-08-14T00:00:00"/>
        <d v="2020-04-08T00:00:00"/>
        <d v="2020-06-04T00:00:00"/>
        <d v="2020-08-15T00:00:00"/>
        <d v="2020-08-04T00:00:00"/>
        <d v="2020-04-27T00:00:00"/>
        <d v="2020-08-11T00:00:00"/>
        <d v="2020-10-16T00:00:00"/>
        <d v="2020-01-16T00:00:00"/>
        <d v="2020-06-19T00:00:00"/>
        <d v="2020-04-06T00:00:00"/>
        <d v="2020-08-03T00:00:00"/>
        <d v="2020-12-04T00:00:00"/>
        <d v="2020-08-13T00:00:00"/>
        <d v="2020-04-25T00:00:00"/>
        <d v="2020-04-30T00:00:00"/>
        <d v="2020-11-06T00:00:00"/>
        <d v="2020-09-09T00:00:00"/>
        <d v="2020-05-12T00:00:00"/>
        <d v="2020-10-28T00:00:00"/>
        <d v="2020-07-06T00:00:00"/>
        <d v="2020-05-21T00:00:00"/>
        <d v="2020-08-06T00:00:00"/>
        <d v="2020-08-21T00:00:00"/>
        <d v="2020-04-21T00:00:00"/>
        <d v="2020-09-24T00:00:00"/>
        <d v="2020-01-29T00:00:00"/>
        <d v="2020-07-14T00:00:00"/>
        <d v="2020-03-03T00:00:00"/>
        <d v="2020-01-14T00:00:00"/>
        <d v="2020-06-26T00:00:00"/>
        <d v="2020-04-12T00:00:00"/>
        <d v="2020-12-23T00:00:00"/>
        <d v="2020-02-03T00:00:00"/>
        <d v="2020-05-08T00:00:00"/>
        <d v="2020-10-14T00:00:00"/>
        <d v="2020-07-26T00:00:00"/>
        <d v="2020-11-27T00:00:00"/>
        <d v="2020-05-10T00:00:00"/>
        <d v="2020-07-31T00:00:00"/>
        <d v="2020-01-23T00:00:00"/>
        <d v="2020-03-15T00:00:00"/>
        <d v="2020-06-15T00:00:00"/>
        <d v="2020-06-22T00:00:00"/>
        <d v="2020-10-05T00:00:00"/>
        <d v="2020-04-11T00:00:00"/>
        <d v="2020-10-27T00:00:00"/>
        <d v="2020-04-05T00:00:00"/>
        <d v="2020-11-04T00:00:00"/>
        <d v="2020-03-09T00:00:00"/>
        <d v="2020-09-02T00:00:00"/>
        <d v="2020-01-21T00:00:00"/>
        <d v="2020-02-17T00:00:00"/>
        <d v="2020-02-25T00:00:00"/>
        <d v="2020-07-24T00:00:00"/>
        <d v="2020-03-05T00:00:00"/>
        <d v="2020-05-26T00:00:00"/>
        <d v="2020-04-19T00:00:00"/>
        <d v="2020-12-03T00:00:00"/>
        <d v="2020-12-12T00:00:00"/>
        <d v="2020-04-04T00:00:00"/>
        <d v="2020-09-05T00:00:00"/>
        <d v="2020-11-07T00:00:00"/>
        <d v="2020-11-17T00:00:00"/>
        <d v="2020-01-19T00:00:00"/>
        <d v="2020-01-28T00:00:00"/>
        <d v="2020-06-02T00:00:00"/>
        <d v="2020-06-06T00:00:00"/>
        <d v="2020-09-21T00:00:00"/>
        <d v="2020-10-09T00:00:00"/>
        <d v="2020-02-16T00:00:00"/>
        <d v="2020-06-18T00:00:00"/>
        <d v="2020-03-16T00:00:00"/>
        <d v="2020-11-08T00:00:00"/>
        <d v="2020-10-26T00:00:00"/>
        <d v="2020-09-03T00:00:00"/>
        <d v="2020-03-17T00:00:00"/>
        <d v="2020-07-11T00:00:00"/>
        <d v="2020-04-10T00:00:00"/>
        <d v="2020-09-23T00:00:00"/>
        <d v="2020-12-08T00:00:00"/>
        <d v="2020-07-16T00:00:00"/>
        <d v="2020-03-25T00:00:00"/>
        <d v="2020-02-22T00:00:00"/>
        <d v="2020-08-01T00:00:00"/>
        <d v="2020-05-03T00:00:00"/>
        <d v="2020-08-19T00:00:00"/>
        <d v="2020-06-08T00:00:00"/>
        <d v="2020-09-13T00:00:00"/>
        <d v="2020-10-20T00:00:00"/>
        <d v="2020-09-04T00:00:00"/>
        <d v="2020-08-20T00:00:00"/>
        <d v="2020-05-28T00:00:00"/>
        <d v="2020-01-10T00:00:00"/>
        <d v="2020-05-02T00:00:00"/>
        <d v="2020-11-26T00:00:00"/>
        <d v="2020-03-07T00:00:00"/>
        <d v="2020-01-27T00:00:00"/>
        <d v="2020-11-20T00:00:00"/>
        <d v="2020-02-06T00:00:00"/>
        <d v="2020-08-16T00:00:00"/>
        <d v="2020-05-24T00:00:00"/>
        <d v="2020-02-13T00:00:00"/>
        <d v="2020-01-02T00:00:00"/>
        <d v="2020-02-18T00:00:00"/>
        <d v="2020-12-31T00:00:00"/>
        <d v="2020-05-07T00:00:00"/>
        <d v="2020-02-23T00:00:00"/>
        <d v="2020-12-20T00:00:00"/>
        <d v="2020-02-11T00:00:00"/>
        <d v="2020-11-13T00:00:00"/>
        <d v="2020-11-01T00:00:00"/>
        <d v="2020-04-17T00:00:00"/>
        <d v="2020-12-14T00:00:00"/>
        <d v="2020-06-05T00:00:00"/>
      </sharedItems>
      <fieldGroup par="15" base="1">
        <rangePr groupBy="days" startDate="2020-01-01T00:00:00" endDate="2021-01-01T00:00:00"/>
        <groupItems count="368">
          <s v="&lt;1/1/202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1/2021"/>
        </groupItems>
      </fieldGroup>
    </cacheField>
    <cacheField name="Id Cliente" numFmtId="0">
      <sharedItems containsSemiMixedTypes="0" containsString="0" containsNumber="1" containsInteger="1" minValue="142416687" maxValue="9993785470"/>
    </cacheField>
    <cacheField name="Cliente" numFmtId="0">
      <sharedItems/>
    </cacheField>
    <cacheField name="Ciudad" numFmtId="0">
      <sharedItems/>
    </cacheField>
    <cacheField name="Provincia" numFmtId="0">
      <sharedItems/>
    </cacheField>
    <cacheField name="Vendedor" numFmtId="0">
      <sharedItems/>
    </cacheField>
    <cacheField name="Empresa" numFmtId="0">
      <sharedItems containsBlank="1" count="5">
        <s v="Empresa de embarque B"/>
        <s v="Empresa de embarque A"/>
        <s v="Empresa de embarque C"/>
        <s v="Empresa de embarque D"/>
        <m u="1"/>
      </sharedItems>
    </cacheField>
    <cacheField name="Forma de pago" numFmtId="0">
      <sharedItems/>
    </cacheField>
    <cacheField name="Producto" numFmtId="0">
      <sharedItems/>
    </cacheField>
    <cacheField name="Categoría" numFmtId="0">
      <sharedItems/>
    </cacheField>
    <cacheField name="Precio" numFmtId="43">
      <sharedItems containsMixedTypes="1" containsNumber="1" minValue="11" maxValue="1134" count="46">
        <n v="14"/>
        <n v="34"/>
        <n v="16"/>
        <n v="12"/>
        <n v="22"/>
        <n v="42"/>
        <n v="11"/>
        <n v="29"/>
        <n v="28"/>
        <n v="33"/>
        <n v="21"/>
        <n v="46"/>
        <n v="41"/>
        <n v="45"/>
        <n v="26"/>
        <n v="40"/>
        <n v="35"/>
        <n v="20"/>
        <n v="50"/>
        <n v="43"/>
        <n v="39"/>
        <n v="32"/>
        <n v="24"/>
        <s v="Empresa de embarque D"/>
        <n v="140"/>
        <n v="49"/>
        <n v="560"/>
        <n v="257.59999999999997"/>
        <n v="644"/>
        <n v="135.1"/>
        <n v="178.5"/>
        <n v="308"/>
        <n v="350"/>
        <n v="546"/>
        <n v="420"/>
        <n v="742"/>
        <n v="532"/>
        <n v="41.86"/>
        <n v="273"/>
        <n v="487.19999999999993"/>
        <n v="196"/>
        <n v="128.79999999999998"/>
        <n v="298.90000000000003"/>
        <n v="1134"/>
        <n v="98"/>
        <n v="252"/>
      </sharedItems>
    </cacheField>
    <cacheField name="Cantidad" numFmtId="43">
      <sharedItems containsMixedTypes="1" containsNumber="1" containsInteger="1" minValue="1" maxValue="100"/>
    </cacheField>
    <cacheField name="Ventas" numFmtId="43">
      <sharedItems containsMixedTypes="1" containsNumber="1" minValue="34" maxValue="111132"/>
    </cacheField>
    <cacheField name="Meses" numFmtId="0" databaseField="0">
      <fieldGroup base="1">
        <rangePr groupBy="months" startDate="2020-01-01T00:00:00" endDate="2021-01-01T00:00:00"/>
        <groupItems count="14">
          <s v="&lt;1/1/2020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1/2021"/>
        </groupItems>
      </fieldGroup>
    </cacheField>
    <cacheField name="Trimestres" numFmtId="0" databaseField="0">
      <fieldGroup base="1">
        <rangePr groupBy="quarters" startDate="2020-01-01T00:00:00" endDate="2021-01-01T00:00:00"/>
        <groupItems count="6">
          <s v="&lt;1/1/2020"/>
          <s v="Trim.1"/>
          <s v="Trim.2"/>
          <s v="Trim.3"/>
          <s v="Trim.4"/>
          <s v="&gt;1/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"/>
    <x v="0"/>
    <n v="9259377217"/>
    <s v="Empresa AA"/>
    <s v="Cuenca"/>
    <x v="0"/>
    <x v="0"/>
    <s v="Empresa de embarque B"/>
    <s v="Cheque"/>
    <s v="Cerveza"/>
    <x v="0"/>
    <n v="14"/>
    <n v="10"/>
    <x v="0"/>
  </r>
  <r>
    <n v="2"/>
    <x v="1"/>
    <n v="6185253419"/>
    <s v="Empresa AA"/>
    <s v="Cuenca"/>
    <x v="0"/>
    <x v="0"/>
    <s v="Empresa de embarque B"/>
    <s v="Cheque"/>
    <s v="Ciruelas secas"/>
    <x v="1"/>
    <n v="34"/>
    <n v="1"/>
    <x v="1"/>
  </r>
  <r>
    <n v="3"/>
    <x v="2"/>
    <n v="2308885942"/>
    <s v="Empresa D"/>
    <s v="Azogues"/>
    <x v="1"/>
    <x v="1"/>
    <s v="Empresa de embarque A"/>
    <s v="Tarjeta de crédito"/>
    <s v="Peras secas"/>
    <x v="1"/>
    <n v="14"/>
    <n v="57"/>
    <x v="2"/>
  </r>
  <r>
    <n v="4"/>
    <x v="3"/>
    <n v="6199717898"/>
    <s v="Empresa D"/>
    <s v="Azogues"/>
    <x v="1"/>
    <x v="1"/>
    <s v="Empresa de embarque A"/>
    <s v="Tarjeta de crédito"/>
    <s v="Manzanas secas"/>
    <x v="1"/>
    <n v="16"/>
    <n v="72"/>
    <x v="3"/>
  </r>
  <r>
    <n v="5"/>
    <x v="4"/>
    <n v="5540683029"/>
    <s v="Empresa D"/>
    <s v="Azogues"/>
    <x v="1"/>
    <x v="1"/>
    <s v="Empresa de embarque A"/>
    <s v="Tarjeta de crédito"/>
    <s v="Ciruelas secas"/>
    <x v="1"/>
    <n v="12"/>
    <n v="68"/>
    <x v="4"/>
  </r>
  <r>
    <n v="6"/>
    <x v="5"/>
    <n v="6343955045"/>
    <s v="Empresa L"/>
    <s v="Cuenca"/>
    <x v="0"/>
    <x v="0"/>
    <s v="Empresa de embarque B"/>
    <s v="Tarjeta de crédito"/>
    <s v="Té chai"/>
    <x v="0"/>
    <n v="22"/>
    <n v="29"/>
    <x v="5"/>
  </r>
  <r>
    <n v="7"/>
    <x v="6"/>
    <n v="1572125717"/>
    <s v="Empresa L"/>
    <s v="Cuenca"/>
    <x v="0"/>
    <x v="0"/>
    <s v="Empresa de embarque B"/>
    <s v="Tarjeta de crédito"/>
    <s v="Café"/>
    <x v="0"/>
    <n v="42"/>
    <n v="41"/>
    <x v="6"/>
  </r>
  <r>
    <n v="8"/>
    <x v="7"/>
    <n v="3776895536"/>
    <s v="Empresa H"/>
    <s v="Riobamba"/>
    <x v="2"/>
    <x v="2"/>
    <s v="Empresa de embarque C"/>
    <s v="Tarjeta de crédito"/>
    <s v="Galletas de chocolate"/>
    <x v="2"/>
    <n v="11"/>
    <n v="18"/>
    <x v="7"/>
  </r>
  <r>
    <n v="9"/>
    <x v="8"/>
    <n v="390733860"/>
    <s v="Empresa D"/>
    <s v="Azogues"/>
    <x v="1"/>
    <x v="1"/>
    <s v="Empresa de embarque C"/>
    <s v="Cheque"/>
    <s v="Galletas de chocolate"/>
    <x v="2"/>
    <n v="29"/>
    <n v="73"/>
    <x v="8"/>
  </r>
  <r>
    <n v="10"/>
    <x v="7"/>
    <n v="2456709195"/>
    <s v="Empresa CC"/>
    <s v="Guayaquil"/>
    <x v="3"/>
    <x v="3"/>
    <s v="Empresa de embarque B"/>
    <s v="Cheque"/>
    <s v="Chocolate"/>
    <x v="3"/>
    <n v="12"/>
    <n v="79"/>
    <x v="9"/>
  </r>
  <r>
    <n v="11"/>
    <x v="9"/>
    <n v="5766090086"/>
    <s v="Empresa C"/>
    <s v="Machala"/>
    <x v="4"/>
    <x v="0"/>
    <s v="Empresa de embarque B"/>
    <s v="Efectivo"/>
    <s v="Almejas"/>
    <x v="4"/>
    <n v="28"/>
    <n v="37"/>
    <x v="10"/>
  </r>
  <r>
    <n v="12"/>
    <x v="10"/>
    <n v="4872781256"/>
    <s v="Empresa F"/>
    <s v="Ibarra"/>
    <x v="5"/>
    <x v="4"/>
    <s v="Empresa de embarque B"/>
    <s v="Tarjeta de crédito"/>
    <s v="Salsa curry"/>
    <x v="5"/>
    <n v="33"/>
    <n v="64"/>
    <x v="11"/>
  </r>
  <r>
    <n v="13"/>
    <x v="11"/>
    <n v="4213140599"/>
    <s v="Empresa BB"/>
    <s v="Manta"/>
    <x v="6"/>
    <x v="5"/>
    <s v="Empresa de embarque C"/>
    <s v="Cheque"/>
    <s v="Café"/>
    <x v="0"/>
    <n v="21"/>
    <n v="96"/>
    <x v="12"/>
  </r>
  <r>
    <n v="14"/>
    <x v="12"/>
    <n v="9433063552"/>
    <s v="Empresa H"/>
    <s v="Riobamba"/>
    <x v="2"/>
    <x v="2"/>
    <s v="Empresa de embarque C"/>
    <s v="Cheque"/>
    <s v="Chocolate"/>
    <x v="3"/>
    <n v="46"/>
    <n v="86"/>
    <x v="13"/>
  </r>
  <r>
    <n v="15"/>
    <x v="13"/>
    <n v="8539365209"/>
    <s v="Empresa J"/>
    <s v="Esmeraldas"/>
    <x v="7"/>
    <x v="6"/>
    <s v="Empresa de embarque B"/>
    <s v="Tarjeta de crédito"/>
    <s v="Té verde"/>
    <x v="0"/>
    <n v="41"/>
    <n v="96"/>
    <x v="14"/>
  </r>
  <r>
    <n v="16"/>
    <x v="14"/>
    <n v="6983099686"/>
    <s v="Empresa G"/>
    <s v="Guaranda"/>
    <x v="8"/>
    <x v="2"/>
    <m/>
    <m/>
    <s v="Café"/>
    <x v="0"/>
    <n v="45"/>
    <n v="97"/>
    <x v="15"/>
  </r>
  <r>
    <n v="17"/>
    <x v="15"/>
    <n v="3008945605"/>
    <s v="Empresa J"/>
    <s v="Esmeraldas"/>
    <x v="7"/>
    <x v="6"/>
    <s v="Empresa de embarque A"/>
    <m/>
    <s v="Jalea de fresa"/>
    <x v="6"/>
    <n v="26"/>
    <n v="65"/>
    <x v="16"/>
  </r>
  <r>
    <n v="18"/>
    <x v="16"/>
    <n v="5388305959"/>
    <s v="Empresa J"/>
    <s v="Esmeraldas"/>
    <x v="7"/>
    <x v="6"/>
    <s v="Empresa de embarque A"/>
    <m/>
    <s v="Condimento cajún"/>
    <x v="7"/>
    <n v="40"/>
    <n v="88"/>
    <x v="17"/>
  </r>
  <r>
    <n v="19"/>
    <x v="17"/>
    <n v="438272084"/>
    <s v="Empresa J"/>
    <s v="Esmeraldas"/>
    <x v="7"/>
    <x v="6"/>
    <s v="Empresa de embarque A"/>
    <m/>
    <s v="Galletas de chocolate"/>
    <x v="2"/>
    <n v="12"/>
    <n v="60"/>
    <x v="18"/>
  </r>
  <r>
    <n v="20"/>
    <x v="18"/>
    <n v="2536792311"/>
    <s v="Empresa K"/>
    <s v="Quito"/>
    <x v="9"/>
    <x v="5"/>
    <s v="Empresa de embarque C"/>
    <m/>
    <s v="Ciruelas secas"/>
    <x v="1"/>
    <n v="35"/>
    <n v="96"/>
    <x v="19"/>
  </r>
  <r>
    <n v="21"/>
    <x v="19"/>
    <n v="7813757711"/>
    <s v="Empresa K"/>
    <s v="Quito"/>
    <x v="9"/>
    <x v="5"/>
    <s v="Empresa de embarque C"/>
    <m/>
    <s v="Té verde"/>
    <x v="0"/>
    <n v="20"/>
    <n v="50"/>
    <x v="20"/>
  </r>
  <r>
    <n v="22"/>
    <x v="20"/>
    <n v="4786931679"/>
    <s v="Empresa A"/>
    <s v="Ambato"/>
    <x v="10"/>
    <x v="2"/>
    <m/>
    <m/>
    <s v="Té chai"/>
    <x v="0"/>
    <n v="50"/>
    <n v="75"/>
    <x v="21"/>
  </r>
  <r>
    <n v="23"/>
    <x v="21"/>
    <n v="3021659728"/>
    <s v="Empresa A"/>
    <s v="Ambato"/>
    <x v="10"/>
    <x v="2"/>
    <m/>
    <m/>
    <s v="Café"/>
    <x v="0"/>
    <n v="21"/>
    <n v="4"/>
    <x v="22"/>
  </r>
  <r>
    <n v="24"/>
    <x v="22"/>
    <n v="2591950684"/>
    <s v="Empresa A"/>
    <s v="Ambato"/>
    <x v="10"/>
    <x v="2"/>
    <m/>
    <m/>
    <s v="Té verde"/>
    <x v="0"/>
    <n v="43"/>
    <n v="18"/>
    <x v="23"/>
  </r>
  <r>
    <n v="25"/>
    <x v="23"/>
    <n v="9326361454"/>
    <s v="Empresa BB"/>
    <s v="Manta"/>
    <x v="6"/>
    <x v="5"/>
    <s v="Empresa de embarque C"/>
    <s v="Tarjeta de crédito"/>
    <s v="Almejas"/>
    <x v="4"/>
    <n v="26"/>
    <n v="49"/>
    <x v="24"/>
  </r>
  <r>
    <n v="26"/>
    <x v="24"/>
    <n v="3769138349"/>
    <s v="Empresa BB"/>
    <s v="Manta"/>
    <x v="6"/>
    <x v="5"/>
    <s v="Empresa de embarque C"/>
    <s v="Tarjeta de crédito"/>
    <s v="Carne de cangrejo"/>
    <x v="8"/>
    <n v="39"/>
    <n v="21"/>
    <x v="25"/>
  </r>
  <r>
    <n v="27"/>
    <x v="2"/>
    <n v="5871657714"/>
    <s v="Empresa I"/>
    <s v="Guayaquil"/>
    <x v="3"/>
    <x v="7"/>
    <s v="Empresa de embarque A"/>
    <s v="Cheque"/>
    <s v="Ravioli"/>
    <x v="9"/>
    <n v="33"/>
    <n v="8"/>
    <x v="26"/>
  </r>
  <r>
    <n v="28"/>
    <x v="25"/>
    <n v="1534553307"/>
    <s v="Empresa I"/>
    <s v="Guayaquil"/>
    <x v="3"/>
    <x v="7"/>
    <s v="Empresa de embarque A"/>
    <s v="Cheque"/>
    <s v="Mozzarella"/>
    <x v="10"/>
    <n v="46"/>
    <n v="82"/>
    <x v="27"/>
  </r>
  <r>
    <n v="29"/>
    <x v="26"/>
    <n v="8474620707"/>
    <s v="Empresa F"/>
    <s v="Ibarra"/>
    <x v="5"/>
    <x v="4"/>
    <s v="Empresa de embarque B"/>
    <s v="Tarjeta de crédito"/>
    <s v="Cerveza"/>
    <x v="0"/>
    <n v="32"/>
    <n v="75"/>
    <x v="28"/>
  </r>
  <r>
    <n v="30"/>
    <x v="27"/>
    <n v="3530767380"/>
    <s v="Empresa H"/>
    <s v="Riobamba"/>
    <x v="2"/>
    <x v="2"/>
    <s v="Empresa de embarque B"/>
    <s v="Cheque"/>
    <s v="Salsa curry"/>
    <x v="5"/>
    <n v="34"/>
    <n v="3"/>
    <x v="29"/>
  </r>
  <r>
    <n v="31"/>
    <x v="28"/>
    <n v="6673950624"/>
    <s v="Empresa C"/>
    <s v="Machala"/>
    <x v="4"/>
    <x v="0"/>
    <s v="Empresa de embarque B"/>
    <s v="Efectivo"/>
    <s v="Jarabe"/>
    <x v="7"/>
    <n v="24"/>
    <n v="33"/>
    <x v="30"/>
  </r>
  <r>
    <n v="32"/>
    <x v="29"/>
    <n v="7137547321"/>
    <s v="Empresa C"/>
    <s v="Machala"/>
    <x v="4"/>
    <x v="0"/>
    <s v="Empresa de embarque B"/>
    <s v="Efectivo"/>
    <s v="Salsa curry"/>
    <x v="5"/>
    <n v="21"/>
    <n v="51"/>
    <x v="31"/>
  </r>
  <r>
    <n v="33"/>
    <x v="30"/>
    <n v="9655985375"/>
    <s v="Empresa F"/>
    <s v="Ibarra"/>
    <x v="5"/>
    <x v="4"/>
    <s v="Empresa de embarque B"/>
    <s v="Tarjeta de crédito"/>
    <m/>
    <x v="11"/>
    <m/>
    <m/>
    <x v="32"/>
  </r>
  <r>
    <n v="34"/>
    <x v="31"/>
    <n v="299812367"/>
    <s v="Empresa BB"/>
    <s v="Manta"/>
    <x v="6"/>
    <x v="5"/>
    <s v="Empresa de embarque C"/>
    <s v="Cheque"/>
    <m/>
    <x v="11"/>
    <m/>
    <m/>
    <x v="32"/>
  </r>
  <r>
    <n v="35"/>
    <x v="32"/>
    <n v="7779151222"/>
    <s v="Empresa H"/>
    <s v="Riobamba"/>
    <x v="2"/>
    <x v="2"/>
    <s v="Empresa de embarque C"/>
    <s v="Cheque"/>
    <m/>
    <x v="11"/>
    <m/>
    <m/>
    <x v="32"/>
  </r>
  <r>
    <n v="36"/>
    <x v="33"/>
    <n v="9282360094"/>
    <s v="Empresa J"/>
    <s v="Esmeraldas"/>
    <x v="7"/>
    <x v="6"/>
    <s v="Empresa de embarque B"/>
    <s v="Tarjeta de crédito"/>
    <s v="Almendras"/>
    <x v="1"/>
    <n v="140"/>
    <n v="47"/>
    <x v="33"/>
  </r>
  <r>
    <n v="37"/>
    <x v="34"/>
    <n v="6935804403"/>
    <s v="Empresa J"/>
    <s v="Esmeraldas"/>
    <x v="7"/>
    <x v="6"/>
    <s v="Empresa de embarque A"/>
    <m/>
    <s v="Ciruelas secas"/>
    <x v="1"/>
    <n v="49"/>
    <n v="49"/>
    <x v="34"/>
  </r>
  <r>
    <n v="38"/>
    <x v="35"/>
    <n v="3650322132"/>
    <s v="Empresa K"/>
    <s v="Quito"/>
    <x v="9"/>
    <x v="5"/>
    <s v="Empresa de embarque C"/>
    <m/>
    <s v="Salsa curry"/>
    <x v="5"/>
    <n v="560"/>
    <n v="72"/>
    <x v="35"/>
  </r>
  <r>
    <n v="39"/>
    <x v="25"/>
    <n v="1985754250"/>
    <s v="Empresa A"/>
    <s v="Ambato"/>
    <x v="10"/>
    <x v="2"/>
    <s v="Empresa de embarque C"/>
    <m/>
    <s v="Carne de cangrejo"/>
    <x v="8"/>
    <n v="257.59999999999997"/>
    <n v="13"/>
    <x v="36"/>
  </r>
  <r>
    <n v="40"/>
    <x v="36"/>
    <n v="7293507918"/>
    <s v="Empresa BB"/>
    <s v="Manta"/>
    <x v="6"/>
    <x v="5"/>
    <s v="Empresa de embarque C"/>
    <s v="Tarjeta de crédito"/>
    <s v="Café"/>
    <x v="0"/>
    <n v="644"/>
    <n v="32"/>
    <x v="37"/>
  </r>
  <r>
    <n v="41"/>
    <x v="37"/>
    <n v="3459323228"/>
    <s v="Empresa I"/>
    <s v="Guayaquil"/>
    <x v="3"/>
    <x v="7"/>
    <s v="Empresa de embarque A"/>
    <s v="Cheque"/>
    <s v="Almejas"/>
    <x v="4"/>
    <n v="135.1"/>
    <n v="27"/>
    <x v="38"/>
  </r>
  <r>
    <n v="42"/>
    <x v="9"/>
    <n v="1144627655"/>
    <s v="Empresa F"/>
    <s v="Ibarra"/>
    <x v="5"/>
    <x v="4"/>
    <s v="Empresa de embarque B"/>
    <s v="Tarjeta de crédito"/>
    <s v="Chocolate"/>
    <x v="3"/>
    <n v="178.5"/>
    <n v="71"/>
    <x v="39"/>
  </r>
  <r>
    <n v="43"/>
    <x v="38"/>
    <n v="3986713828"/>
    <s v="Empresa H"/>
    <s v="Riobamba"/>
    <x v="2"/>
    <x v="2"/>
    <s v="Empresa de embarque B"/>
    <s v="Cheque"/>
    <s v="Chocolate"/>
    <x v="3"/>
    <n v="178.5"/>
    <n v="13"/>
    <x v="40"/>
  </r>
  <r>
    <n v="44"/>
    <x v="39"/>
    <n v="9350633665"/>
    <s v="Empresa Y"/>
    <s v="Esmeraldas"/>
    <x v="7"/>
    <x v="6"/>
    <s v="Empresa de embarque A"/>
    <s v="Efectivo"/>
    <s v="Condimento cajún"/>
    <x v="7"/>
    <n v="308"/>
    <n v="98"/>
    <x v="41"/>
  </r>
  <r>
    <n v="45"/>
    <x v="40"/>
    <n v="4918639925"/>
    <s v="Empresa Z"/>
    <s v="Quito"/>
    <x v="9"/>
    <x v="5"/>
    <s v="Empresa de embarque C"/>
    <s v="Tarjeta de crédito"/>
    <s v="Jalea de fresa"/>
    <x v="6"/>
    <n v="350"/>
    <n v="21"/>
    <x v="42"/>
  </r>
  <r>
    <n v="46"/>
    <x v="41"/>
    <n v="9630006862"/>
    <s v="Empresa CC"/>
    <s v="Guayaquil"/>
    <x v="3"/>
    <x v="3"/>
    <s v="Empresa de embarque B"/>
    <s v="Cheque"/>
    <s v="Cóctel de frutas"/>
    <x v="12"/>
    <n v="546"/>
    <n v="26"/>
    <x v="43"/>
  </r>
  <r>
    <n v="47"/>
    <x v="42"/>
    <n v="9029002933"/>
    <s v="Empresa F"/>
    <s v="Ibarra"/>
    <x v="5"/>
    <x v="4"/>
    <s v="Empresa de embarque C"/>
    <s v="Cheque"/>
    <s v="Peras secas"/>
    <x v="1"/>
    <n v="420"/>
    <n v="96"/>
    <x v="35"/>
  </r>
  <r>
    <n v="48"/>
    <x v="43"/>
    <n v="5702300844"/>
    <s v="Empresa F"/>
    <s v="Ibarra"/>
    <x v="5"/>
    <x v="4"/>
    <s v="Empresa de embarque C"/>
    <s v="Cheque"/>
    <s v="Manzanas secas"/>
    <x v="1"/>
    <n v="742"/>
    <n v="16"/>
    <x v="44"/>
  </r>
  <r>
    <n v="49"/>
    <x v="44"/>
    <n v="6885713027"/>
    <s v="Empresa D"/>
    <s v="Azogues"/>
    <x v="1"/>
    <x v="1"/>
    <m/>
    <m/>
    <s v="Pasta penne"/>
    <x v="9"/>
    <n v="532"/>
    <n v="96"/>
    <x v="45"/>
  </r>
  <r>
    <n v="50"/>
    <x v="12"/>
    <n v="5156178317"/>
    <s v="Empresa C"/>
    <s v="Machala"/>
    <x v="4"/>
    <x v="0"/>
    <m/>
    <m/>
    <s v="Té verde"/>
    <x v="0"/>
    <n v="41.86"/>
    <n v="75"/>
    <x v="46"/>
  </r>
  <r>
    <n v="51"/>
    <x v="45"/>
    <n v="9993785470"/>
    <s v="Empresa I"/>
    <s v="Guayaquil"/>
    <x v="3"/>
    <x v="7"/>
    <s v="Empresa de embarque A"/>
    <s v="Cheque"/>
    <s v="Ravioli"/>
    <x v="9"/>
    <n v="273"/>
    <n v="55"/>
    <x v="47"/>
  </r>
  <r>
    <n v="52"/>
    <x v="46"/>
    <n v="2344903076"/>
    <s v="Empresa I"/>
    <s v="Guayaquil"/>
    <x v="3"/>
    <x v="7"/>
    <s v="Empresa de embarque A"/>
    <s v="Cheque"/>
    <s v="Mozzarella"/>
    <x v="10"/>
    <n v="487.19999999999993"/>
    <n v="11"/>
    <x v="48"/>
  </r>
  <r>
    <n v="53"/>
    <x v="47"/>
    <n v="5773601950"/>
    <s v="Empresa F"/>
    <s v="Ibarra"/>
    <x v="5"/>
    <x v="4"/>
    <s v="Empresa de embarque B"/>
    <s v="Tarjeta de crédito"/>
    <s v="Cerveza"/>
    <x v="0"/>
    <n v="196"/>
    <n v="53"/>
    <x v="49"/>
  </r>
  <r>
    <n v="54"/>
    <x v="48"/>
    <n v="4818078168"/>
    <s v="Empresa H"/>
    <s v="Riobamba"/>
    <x v="2"/>
    <x v="2"/>
    <s v="Empresa de embarque B"/>
    <s v="Cheque"/>
    <s v="Salsa curry"/>
    <x v="5"/>
    <n v="560"/>
    <n v="85"/>
    <x v="50"/>
  </r>
  <r>
    <n v="55"/>
    <x v="49"/>
    <n v="9107195581"/>
    <s v="Empresa H"/>
    <s v="Riobamba"/>
    <x v="2"/>
    <x v="2"/>
    <s v="Empresa de embarque B"/>
    <s v="Cheque"/>
    <s v="Galletas de chocolate"/>
    <x v="2"/>
    <n v="128.79999999999998"/>
    <n v="97"/>
    <x v="51"/>
  </r>
  <r>
    <n v="56"/>
    <x v="50"/>
    <n v="5806733138"/>
    <s v="Empresa Y"/>
    <s v="Esmeraldas"/>
    <x v="7"/>
    <x v="6"/>
    <s v="Empresa de embarque A"/>
    <s v="Efectivo"/>
    <s v="Bolillos"/>
    <x v="2"/>
    <n v="140"/>
    <n v="46"/>
    <x v="52"/>
  </r>
  <r>
    <n v="57"/>
    <x v="51"/>
    <n v="3059258597"/>
    <s v="Empresa Z"/>
    <s v="Quito"/>
    <x v="9"/>
    <x v="5"/>
    <s v="Empresa de embarque C"/>
    <s v="Tarjeta de crédito"/>
    <s v="Aceite de oliva"/>
    <x v="13"/>
    <n v="298.90000000000003"/>
    <n v="97"/>
    <x v="53"/>
  </r>
  <r>
    <n v="58"/>
    <x v="52"/>
    <n v="586395005"/>
    <s v="Empresa Z"/>
    <s v="Quito"/>
    <x v="9"/>
    <x v="5"/>
    <s v="Empresa de embarque C"/>
    <s v="Tarjeta de crédito"/>
    <s v="Almejas"/>
    <x v="4"/>
    <n v="135.1"/>
    <n v="97"/>
    <x v="54"/>
  </r>
  <r>
    <n v="59"/>
    <x v="53"/>
    <n v="9281389647"/>
    <s v="Empresa Z"/>
    <s v="Quito"/>
    <x v="9"/>
    <x v="5"/>
    <s v="Empresa de embarque C"/>
    <s v="Tarjeta de crédito"/>
    <s v="Carne de cangrejo"/>
    <x v="8"/>
    <n v="257.59999999999997"/>
    <n v="65"/>
    <x v="55"/>
  </r>
  <r>
    <n v="60"/>
    <x v="54"/>
    <n v="2230409971"/>
    <s v="Empresa CC"/>
    <s v="Guayaquil"/>
    <x v="3"/>
    <x v="3"/>
    <s v="Empresa de embarque B"/>
    <s v="Cheque"/>
    <s v="Cerveza"/>
    <x v="0"/>
    <n v="196"/>
    <n v="72"/>
    <x v="56"/>
  </r>
  <r>
    <n v="61"/>
    <x v="34"/>
    <n v="498762200"/>
    <s v="Empresa F"/>
    <s v="Ibarra"/>
    <x v="5"/>
    <x v="4"/>
    <s v="Empresa de embarque C"/>
    <s v="Cheque"/>
    <s v="Chocolate"/>
    <x v="3"/>
    <n v="178.5"/>
    <n v="16"/>
    <x v="57"/>
  </r>
  <r>
    <n v="62"/>
    <x v="55"/>
    <n v="5059332572"/>
    <s v="Empresa D"/>
    <s v="Azogues"/>
    <x v="1"/>
    <x v="1"/>
    <s v="Empresa de embarque A"/>
    <s v="Tarjeta de crédito"/>
    <s v="Mermelada de zarzamora"/>
    <x v="6"/>
    <n v="1134"/>
    <n v="77"/>
    <x v="58"/>
  </r>
  <r>
    <n v="63"/>
    <x v="56"/>
    <n v="807667000"/>
    <s v="Empresa D"/>
    <s v="Azogues"/>
    <x v="1"/>
    <x v="1"/>
    <s v="Empresa de embarque A"/>
    <s v="Tarjeta de crédito"/>
    <s v="Arroz de grano largo"/>
    <x v="14"/>
    <n v="98"/>
    <n v="37"/>
    <x v="59"/>
  </r>
  <r>
    <n v="64"/>
    <x v="57"/>
    <n v="4320869422"/>
    <s v="Empresa H"/>
    <s v="Riobamba"/>
    <x v="2"/>
    <x v="2"/>
    <s v="Empresa de embarque C"/>
    <s v="Tarjeta de crédito"/>
    <s v="Mozzarella"/>
    <x v="10"/>
    <n v="487.19999999999993"/>
    <n v="63"/>
    <x v="60"/>
  </r>
  <r>
    <n v="65"/>
    <x v="58"/>
    <n v="7227542762"/>
    <s v="Empresa C"/>
    <s v="Machala"/>
    <x v="4"/>
    <x v="0"/>
    <s v="Empresa de embarque B"/>
    <s v="Efectivo"/>
    <s v="Jarabe"/>
    <x v="7"/>
    <n v="140"/>
    <n v="48"/>
    <x v="61"/>
  </r>
  <r>
    <n v="66"/>
    <x v="59"/>
    <n v="4844854212"/>
    <s v="Empresa C"/>
    <s v="Machala"/>
    <x v="4"/>
    <x v="0"/>
    <s v="Empresa de embarque B"/>
    <s v="Efectivo"/>
    <s v="Salsa curry"/>
    <x v="5"/>
    <n v="560"/>
    <n v="71"/>
    <x v="62"/>
  </r>
  <r>
    <n v="67"/>
    <x v="60"/>
    <n v="6476704094"/>
    <s v="Empresa J"/>
    <s v="Esmeraldas"/>
    <x v="7"/>
    <x v="6"/>
    <s v="Empresa de embarque B"/>
    <s v="Tarjeta de crédito"/>
    <s v="Almendras"/>
    <x v="1"/>
    <n v="140"/>
    <n v="55"/>
    <x v="63"/>
  </r>
  <r>
    <n v="68"/>
    <x v="61"/>
    <n v="289513623"/>
    <s v="Empresa J"/>
    <s v="Esmeraldas"/>
    <x v="7"/>
    <x v="6"/>
    <s v="Empresa de embarque A"/>
    <m/>
    <s v="Ciruelas secas"/>
    <x v="1"/>
    <n v="49"/>
    <n v="21"/>
    <x v="64"/>
  </r>
  <r>
    <n v="69"/>
    <x v="62"/>
    <n v="4360909288"/>
    <s v="Empresa K"/>
    <s v="Quito"/>
    <x v="9"/>
    <x v="5"/>
    <s v="Empresa de embarque C"/>
    <m/>
    <s v="Salsa curry"/>
    <x v="5"/>
    <n v="560"/>
    <n v="67"/>
    <x v="65"/>
  </r>
  <r>
    <n v="70"/>
    <x v="63"/>
    <n v="1569352924"/>
    <s v="Empresa A"/>
    <s v="Ambato"/>
    <x v="10"/>
    <x v="2"/>
    <s v="Empresa de embarque C"/>
    <m/>
    <s v="Carne de cangrejo"/>
    <x v="8"/>
    <n v="257.59999999999997"/>
    <n v="75"/>
    <x v="66"/>
  </r>
  <r>
    <n v="71"/>
    <x v="64"/>
    <n v="4417023777"/>
    <s v="Empresa BB"/>
    <s v="Manta"/>
    <x v="6"/>
    <x v="5"/>
    <s v="Empresa de embarque C"/>
    <s v="Tarjeta de crédito"/>
    <s v="Café"/>
    <x v="0"/>
    <n v="644"/>
    <n v="17"/>
    <x v="67"/>
  </r>
  <r>
    <n v="72"/>
    <x v="28"/>
    <n v="5213348963"/>
    <s v="Empresa D"/>
    <s v="Azogues"/>
    <x v="1"/>
    <x v="1"/>
    <s v="Empresa de embarque A"/>
    <s v="Tarjeta de crédito"/>
    <s v="Ciruelas secas"/>
    <x v="1"/>
    <n v="49"/>
    <n v="48"/>
    <x v="68"/>
  </r>
  <r>
    <n v="73"/>
    <x v="65"/>
    <n v="6039525395"/>
    <s v="Empresa L"/>
    <s v="Cuenca"/>
    <x v="0"/>
    <x v="0"/>
    <s v="Empresa de embarque B"/>
    <s v="Tarjeta de crédito"/>
    <s v="Té chai"/>
    <x v="0"/>
    <n v="252"/>
    <n v="74"/>
    <x v="69"/>
  </r>
  <r>
    <n v="74"/>
    <x v="47"/>
    <n v="7564866770"/>
    <s v="Empresa L"/>
    <s v="Cuenca"/>
    <x v="0"/>
    <x v="0"/>
    <s v="Empresa de embarque B"/>
    <s v="Tarjeta de crédito"/>
    <s v="Café"/>
    <x v="0"/>
    <n v="644"/>
    <n v="96"/>
    <x v="70"/>
  </r>
  <r>
    <n v="75"/>
    <x v="66"/>
    <n v="9161740728"/>
    <s v="Empresa H"/>
    <s v="Riobamba"/>
    <x v="2"/>
    <x v="2"/>
    <s v="Empresa de embarque C"/>
    <s v="Tarjeta de crédito"/>
    <s v="Galletas de chocolate"/>
    <x v="2"/>
    <n v="128.79999999999998"/>
    <n v="12"/>
    <x v="71"/>
  </r>
  <r>
    <n v="76"/>
    <x v="67"/>
    <n v="5854661633"/>
    <s v="Empresa D"/>
    <s v="Azogues"/>
    <x v="1"/>
    <x v="1"/>
    <s v="Empresa de embarque C"/>
    <s v="Cheque"/>
    <s v="Galletas de chocolate"/>
    <x v="2"/>
    <n v="128.79999999999998"/>
    <n v="62"/>
    <x v="72"/>
  </r>
  <r>
    <n v="77"/>
    <x v="68"/>
    <n v="9782824487"/>
    <s v="Empresa CC"/>
    <s v="Guayaquil"/>
    <x v="3"/>
    <x v="3"/>
    <s v="Empresa de embarque B"/>
    <s v="Cheque"/>
    <s v="Chocolate"/>
    <x v="3"/>
    <n v="178.5"/>
    <n v="35"/>
    <x v="73"/>
  </r>
  <r>
    <n v="78"/>
    <x v="69"/>
    <n v="5368581132"/>
    <s v="Empresa C"/>
    <s v="Machala"/>
    <x v="4"/>
    <x v="0"/>
    <s v="Empresa de embarque B"/>
    <s v="Efectivo"/>
    <s v="Almejas"/>
    <x v="4"/>
    <n v="135.1"/>
    <n v="95"/>
    <x v="74"/>
  </r>
  <r>
    <n v="79"/>
    <x v="70"/>
    <n v="1972466220"/>
    <s v="Empresa F"/>
    <s v="Ibarra"/>
    <x v="5"/>
    <x v="4"/>
    <s v="Empresa de embarque B"/>
    <s v="Tarjeta de crédito"/>
    <s v="Salsa curry"/>
    <x v="5"/>
    <n v="560"/>
    <n v="17"/>
    <x v="75"/>
  </r>
  <r>
    <n v="80"/>
    <x v="71"/>
    <n v="6835780904"/>
    <s v="Empresa BB"/>
    <s v="Manta"/>
    <x v="6"/>
    <x v="5"/>
    <s v="Empresa de embarque C"/>
    <s v="Cheque"/>
    <s v="Café"/>
    <x v="0"/>
    <n v="644"/>
    <n v="96"/>
    <x v="70"/>
  </r>
  <r>
    <n v="81"/>
    <x v="72"/>
    <n v="9361876990"/>
    <s v="Empresa H"/>
    <s v="Riobamba"/>
    <x v="2"/>
    <x v="2"/>
    <s v="Empresa de embarque C"/>
    <s v="Cheque"/>
    <s v="Chocolate"/>
    <x v="3"/>
    <n v="178.5"/>
    <n v="83"/>
    <x v="76"/>
  </r>
  <r>
    <n v="82"/>
    <x v="73"/>
    <n v="7655628230"/>
    <s v="Empresa J"/>
    <s v="Esmeraldas"/>
    <x v="7"/>
    <x v="6"/>
    <s v="Empresa de embarque B"/>
    <s v="Tarjeta de crédito"/>
    <s v="Té verde"/>
    <x v="0"/>
    <n v="41.86"/>
    <n v="88"/>
    <x v="77"/>
  </r>
  <r>
    <n v="83"/>
    <x v="35"/>
    <n v="6770397729"/>
    <s v="Empresa G"/>
    <s v="Guaranda"/>
    <x v="8"/>
    <x v="2"/>
    <m/>
    <m/>
    <s v="Café"/>
    <x v="0"/>
    <n v="644"/>
    <n v="59"/>
    <x v="78"/>
  </r>
  <r>
    <n v="84"/>
    <x v="74"/>
    <n v="6622149015"/>
    <s v="Empresa J"/>
    <s v="Esmeraldas"/>
    <x v="7"/>
    <x v="6"/>
    <s v="Empresa de embarque A"/>
    <m/>
    <s v="Jalea de fresa"/>
    <x v="6"/>
    <n v="350"/>
    <n v="27"/>
    <x v="79"/>
  </r>
  <r>
    <n v="85"/>
    <x v="75"/>
    <n v="8859429908"/>
    <s v="Empresa J"/>
    <s v="Esmeraldas"/>
    <x v="7"/>
    <x v="6"/>
    <s v="Empresa de embarque A"/>
    <m/>
    <s v="Condimento cajún"/>
    <x v="7"/>
    <n v="308"/>
    <n v="37"/>
    <x v="80"/>
  </r>
  <r>
    <n v="86"/>
    <x v="76"/>
    <n v="146252536"/>
    <s v="Empresa J"/>
    <s v="Esmeraldas"/>
    <x v="7"/>
    <x v="6"/>
    <s v="Empresa de embarque A"/>
    <m/>
    <s v="Galletas de chocolate"/>
    <x v="2"/>
    <n v="128.79999999999998"/>
    <n v="75"/>
    <x v="81"/>
  </r>
  <r>
    <n v="87"/>
    <x v="77"/>
    <n v="9010865731"/>
    <s v="Empresa K"/>
    <s v="Quito"/>
    <x v="9"/>
    <x v="5"/>
    <s v="Empresa de embarque C"/>
    <m/>
    <s v="Ciruelas secas"/>
    <x v="1"/>
    <n v="49"/>
    <n v="71"/>
    <x v="82"/>
  </r>
  <r>
    <n v="88"/>
    <x v="78"/>
    <n v="9076170123"/>
    <s v="Empresa K"/>
    <s v="Quito"/>
    <x v="9"/>
    <x v="5"/>
    <s v="Empresa de embarque C"/>
    <m/>
    <s v="Té verde"/>
    <x v="0"/>
    <n v="41.86"/>
    <n v="88"/>
    <x v="77"/>
  </r>
  <r>
    <n v="89"/>
    <x v="79"/>
    <n v="4412491838"/>
    <s v="Empresa A"/>
    <s v="Ambato"/>
    <x v="10"/>
    <x v="2"/>
    <m/>
    <m/>
    <s v="Té chai"/>
    <x v="0"/>
    <n v="252"/>
    <n v="55"/>
    <x v="83"/>
  </r>
  <r>
    <n v="90"/>
    <x v="50"/>
    <n v="7223227521"/>
    <s v="Empresa CC"/>
    <s v="Guayaquil"/>
    <x v="3"/>
    <x v="3"/>
    <s v="Empresa de embarque B"/>
    <s v="Cheque"/>
    <s v="Chocolate"/>
    <x v="3"/>
    <n v="178.5"/>
    <n v="14"/>
    <x v="84"/>
  </r>
  <r>
    <n v="91"/>
    <x v="80"/>
    <n v="9595973394"/>
    <s v="Empresa C"/>
    <s v="Machala"/>
    <x v="4"/>
    <x v="0"/>
    <s v="Empresa de embarque B"/>
    <s v="Efectivo"/>
    <s v="Almejas"/>
    <x v="4"/>
    <n v="135.1"/>
    <n v="43"/>
    <x v="85"/>
  </r>
  <r>
    <n v="92"/>
    <x v="81"/>
    <n v="2755531090"/>
    <s v="Empresa F"/>
    <s v="Ibarra"/>
    <x v="5"/>
    <x v="4"/>
    <s v="Empresa de embarque B"/>
    <s v="Tarjeta de crédito"/>
    <s v="Salsa curry"/>
    <x v="5"/>
    <n v="560"/>
    <n v="63"/>
    <x v="86"/>
  </r>
  <r>
    <n v="93"/>
    <x v="82"/>
    <n v="5306800000"/>
    <s v="Empresa BB"/>
    <s v="Manta"/>
    <x v="6"/>
    <x v="5"/>
    <s v="Empresa de embarque C"/>
    <s v="Cheque"/>
    <s v="Café"/>
    <x v="0"/>
    <n v="644"/>
    <n v="36"/>
    <x v="87"/>
  </r>
  <r>
    <n v="94"/>
    <x v="54"/>
    <n v="6768826719"/>
    <s v="Empresa H"/>
    <s v="Riobamba"/>
    <x v="2"/>
    <x v="2"/>
    <s v="Empresa de embarque C"/>
    <s v="Cheque"/>
    <s v="Chocolate"/>
    <x v="3"/>
    <n v="178.5"/>
    <n v="41"/>
    <x v="88"/>
  </r>
  <r>
    <n v="95"/>
    <x v="83"/>
    <n v="7945500000"/>
    <s v="Empresa J"/>
    <s v="Esmeraldas"/>
    <x v="7"/>
    <x v="6"/>
    <s v="Empresa de embarque B"/>
    <s v="Tarjeta de crédito"/>
    <s v="Té verde"/>
    <x v="0"/>
    <n v="41.86"/>
    <n v="35"/>
    <x v="89"/>
  </r>
  <r>
    <n v="96"/>
    <x v="83"/>
    <n v="4671327569"/>
    <s v="Empresa G"/>
    <s v="Guaranda"/>
    <x v="8"/>
    <x v="2"/>
    <m/>
    <m/>
    <s v="Café"/>
    <x v="0"/>
    <n v="644"/>
    <n v="31"/>
    <x v="90"/>
  </r>
  <r>
    <n v="97"/>
    <x v="84"/>
    <n v="5750783013"/>
    <s v="Empresa J"/>
    <s v="Esmeraldas"/>
    <x v="7"/>
    <x v="6"/>
    <s v="Empresa de embarque A"/>
    <m/>
    <s v="Jalea de fresa"/>
    <x v="6"/>
    <n v="350"/>
    <n v="52"/>
    <x v="91"/>
  </r>
  <r>
    <n v="98"/>
    <x v="85"/>
    <n v="1216202808"/>
    <s v="Empresa J"/>
    <s v="Esmeraldas"/>
    <x v="7"/>
    <x v="6"/>
    <s v="Empresa de embarque A"/>
    <m/>
    <s v="Condimento cajún"/>
    <x v="7"/>
    <n v="308"/>
    <n v="30"/>
    <x v="92"/>
  </r>
  <r>
    <n v="99"/>
    <x v="86"/>
    <n v="7167041532"/>
    <s v="Empresa J"/>
    <s v="Esmeraldas"/>
    <x v="7"/>
    <x v="6"/>
    <s v="Empresa de embarque A"/>
    <m/>
    <s v="Galletas de chocolate"/>
    <x v="2"/>
    <n v="128.79999999999998"/>
    <n v="41"/>
    <x v="93"/>
  </r>
  <r>
    <n v="100"/>
    <x v="87"/>
    <n v="2241191338"/>
    <s v="Empresa K"/>
    <s v="Quito"/>
    <x v="9"/>
    <x v="5"/>
    <s v="Empresa de embarque C"/>
    <m/>
    <s v="Ciruelas secas"/>
    <x v="1"/>
    <n v="49"/>
    <n v="44"/>
    <x v="94"/>
  </r>
  <r>
    <n v="101"/>
    <x v="88"/>
    <n v="806264266"/>
    <s v="Empresa K"/>
    <s v="Quito"/>
    <x v="9"/>
    <x v="5"/>
    <s v="Empresa de embarque C"/>
    <m/>
    <s v="Té verde"/>
    <x v="0"/>
    <n v="41.86"/>
    <n v="77"/>
    <x v="95"/>
  </r>
  <r>
    <n v="102"/>
    <x v="89"/>
    <n v="3820174684"/>
    <s v="Empresa A"/>
    <s v="Ambato"/>
    <x v="10"/>
    <x v="2"/>
    <m/>
    <m/>
    <s v="Té chai"/>
    <x v="0"/>
    <n v="252"/>
    <n v="29"/>
    <x v="96"/>
  </r>
  <r>
    <n v="103"/>
    <x v="90"/>
    <n v="5541796483"/>
    <s v="Empresa A"/>
    <s v="Ambato"/>
    <x v="10"/>
    <x v="2"/>
    <m/>
    <m/>
    <s v="Café"/>
    <x v="0"/>
    <n v="644"/>
    <n v="77"/>
    <x v="97"/>
  </r>
  <r>
    <n v="104"/>
    <x v="91"/>
    <n v="7096714976"/>
    <s v="Empresa A"/>
    <s v="Ambato"/>
    <x v="10"/>
    <x v="2"/>
    <m/>
    <m/>
    <s v="Té verde"/>
    <x v="0"/>
    <n v="41.86"/>
    <n v="73"/>
    <x v="98"/>
  </r>
  <r>
    <n v="105"/>
    <x v="92"/>
    <n v="2543114862"/>
    <s v="Empresa BB"/>
    <s v="Manta"/>
    <x v="6"/>
    <x v="5"/>
    <s v="Empresa de embarque C"/>
    <s v="Tarjeta de crédito"/>
    <s v="Almejas"/>
    <x v="4"/>
    <n v="135.1"/>
    <n v="74"/>
    <x v="99"/>
  </r>
  <r>
    <n v="106"/>
    <x v="38"/>
    <n v="6501127347"/>
    <s v="Empresa BB"/>
    <s v="Manta"/>
    <x v="6"/>
    <x v="5"/>
    <s v="Empresa de embarque C"/>
    <s v="Tarjeta de crédito"/>
    <s v="Carne de cangrejo"/>
    <x v="8"/>
    <n v="257.59999999999997"/>
    <n v="25"/>
    <x v="100"/>
  </r>
  <r>
    <n v="107"/>
    <x v="93"/>
    <n v="1322296163"/>
    <s v="Empresa I"/>
    <s v="Guayaquil"/>
    <x v="3"/>
    <x v="7"/>
    <s v="Empresa de embarque A"/>
    <s v="Cheque"/>
    <s v="Ravioli"/>
    <x v="9"/>
    <n v="273"/>
    <n v="82"/>
    <x v="101"/>
  </r>
  <r>
    <n v="108"/>
    <x v="94"/>
    <n v="5162222472"/>
    <s v="Empresa I"/>
    <s v="Guayaquil"/>
    <x v="3"/>
    <x v="7"/>
    <s v="Empresa de embarque A"/>
    <s v="Cheque"/>
    <s v="Mozzarella"/>
    <x v="10"/>
    <n v="487.19999999999993"/>
    <n v="37"/>
    <x v="102"/>
  </r>
  <r>
    <n v="109"/>
    <x v="95"/>
    <n v="5752777715"/>
    <s v="Empresa F"/>
    <s v="Ibarra"/>
    <x v="5"/>
    <x v="4"/>
    <s v="Empresa de embarque B"/>
    <s v="Tarjeta de crédito"/>
    <s v="Cerveza"/>
    <x v="0"/>
    <n v="196"/>
    <n v="84"/>
    <x v="103"/>
  </r>
  <r>
    <n v="110"/>
    <x v="85"/>
    <n v="2261700341"/>
    <s v="Empresa H"/>
    <s v="Riobamba"/>
    <x v="2"/>
    <x v="2"/>
    <s v="Empresa de embarque B"/>
    <s v="Cheque"/>
    <s v="Salsa curry"/>
    <x v="5"/>
    <n v="560"/>
    <n v="73"/>
    <x v="104"/>
  </r>
  <r>
    <n v="111"/>
    <x v="96"/>
    <n v="9950546196"/>
    <s v="Empresa H"/>
    <s v="Riobamba"/>
    <x v="2"/>
    <x v="2"/>
    <s v="Empresa de embarque B"/>
    <s v="Cheque"/>
    <s v="Galletas de chocolate"/>
    <x v="2"/>
    <n v="128.79999999999998"/>
    <n v="51"/>
    <x v="105"/>
  </r>
  <r>
    <n v="112"/>
    <x v="97"/>
    <n v="9911266011"/>
    <s v="Empresa Y"/>
    <s v="Esmeraldas"/>
    <x v="7"/>
    <x v="6"/>
    <s v="Empresa de embarque A"/>
    <s v="Efectivo"/>
    <s v="Bolillos"/>
    <x v="2"/>
    <n v="140"/>
    <n v="66"/>
    <x v="92"/>
  </r>
  <r>
    <n v="113"/>
    <x v="98"/>
    <n v="8455987495"/>
    <s v="Empresa Z"/>
    <s v="Quito"/>
    <x v="9"/>
    <x v="5"/>
    <s v="Empresa de embarque C"/>
    <s v="Tarjeta de crédito"/>
    <s v="Aceite de oliva"/>
    <x v="13"/>
    <n v="298.90000000000003"/>
    <n v="36"/>
    <x v="106"/>
  </r>
  <r>
    <n v="114"/>
    <x v="63"/>
    <n v="6668567210"/>
    <s v="Empresa Z"/>
    <s v="Quito"/>
    <x v="9"/>
    <x v="5"/>
    <s v="Empresa de embarque C"/>
    <s v="Tarjeta de crédito"/>
    <s v="Almejas"/>
    <x v="4"/>
    <n v="135.1"/>
    <n v="87"/>
    <x v="107"/>
  </r>
  <r>
    <n v="115"/>
    <x v="99"/>
    <n v="9528620750"/>
    <s v="Empresa Z"/>
    <s v="Quito"/>
    <x v="9"/>
    <x v="5"/>
    <s v="Empresa de embarque C"/>
    <s v="Tarjeta de crédito"/>
    <s v="Carne de cangrejo"/>
    <x v="8"/>
    <n v="257.59999999999997"/>
    <n v="64"/>
    <x v="108"/>
  </r>
  <r>
    <n v="116"/>
    <x v="100"/>
    <n v="1951835035"/>
    <s v="Empresa CC"/>
    <s v="Guayaquil"/>
    <x v="3"/>
    <x v="3"/>
    <s v="Empresa de embarque B"/>
    <s v="Cheque"/>
    <s v="Cerveza"/>
    <x v="0"/>
    <n v="196"/>
    <n v="21"/>
    <x v="109"/>
  </r>
  <r>
    <n v="117"/>
    <x v="101"/>
    <n v="8464805926"/>
    <s v="Empresa F"/>
    <s v="Ibarra"/>
    <x v="5"/>
    <x v="4"/>
    <s v="Empresa de embarque C"/>
    <s v="Cheque"/>
    <s v="Chocolate"/>
    <x v="3"/>
    <n v="178.5"/>
    <n v="19"/>
    <x v="110"/>
  </r>
  <r>
    <n v="118"/>
    <x v="102"/>
    <n v="1040241832"/>
    <s v="Empresa D"/>
    <s v="Azogues"/>
    <x v="1"/>
    <x v="1"/>
    <s v="Empresa de embarque A"/>
    <s v="Tarjeta de crédito"/>
    <s v="Mermelada de zarzamora"/>
    <x v="6"/>
    <n v="1134"/>
    <n v="23"/>
    <x v="111"/>
  </r>
  <r>
    <n v="119"/>
    <x v="103"/>
    <n v="5032769390"/>
    <s v="Empresa D"/>
    <s v="Azogues"/>
    <x v="1"/>
    <x v="1"/>
    <s v="Empresa de embarque A"/>
    <s v="Tarjeta de crédito"/>
    <s v="Arroz de grano largo"/>
    <x v="14"/>
    <n v="98"/>
    <n v="72"/>
    <x v="112"/>
  </r>
  <r>
    <n v="120"/>
    <x v="104"/>
    <n v="5375997402"/>
    <s v="Empresa H"/>
    <s v="Riobamba"/>
    <x v="2"/>
    <x v="2"/>
    <s v="Empresa de embarque C"/>
    <s v="Tarjeta de crédito"/>
    <s v="Mozzarella"/>
    <x v="10"/>
    <n v="487.19999999999993"/>
    <n v="22"/>
    <x v="113"/>
  </r>
  <r>
    <n v="121"/>
    <x v="105"/>
    <n v="967566383"/>
    <s v="Empresa C"/>
    <s v="Machala"/>
    <x v="4"/>
    <x v="0"/>
    <s v="Empresa de embarque B"/>
    <s v="Efectivo"/>
    <s v="Jarabe"/>
    <x v="7"/>
    <n v="140"/>
    <n v="82"/>
    <x v="114"/>
  </r>
  <r>
    <n v="122"/>
    <x v="106"/>
    <n v="7607007457"/>
    <s v="Empresa C"/>
    <s v="Machala"/>
    <x v="4"/>
    <x v="0"/>
    <s v="Empresa de embarque B"/>
    <s v="Efectivo"/>
    <s v="Salsa curry"/>
    <x v="5"/>
    <n v="560"/>
    <n v="98"/>
    <x v="115"/>
  </r>
  <r>
    <n v="123"/>
    <x v="107"/>
    <n v="6139722497"/>
    <s v="Empresa G"/>
    <s v="Guaranda"/>
    <x v="8"/>
    <x v="2"/>
    <m/>
    <m/>
    <s v="Café"/>
    <x v="0"/>
    <n v="644"/>
    <n v="71"/>
    <x v="116"/>
  </r>
  <r>
    <n v="124"/>
    <x v="79"/>
    <n v="6071133871"/>
    <s v="Empresa J"/>
    <s v="Esmeraldas"/>
    <x v="7"/>
    <x v="6"/>
    <s v="Empresa de embarque A"/>
    <m/>
    <s v="Jalea de fresa"/>
    <x v="6"/>
    <n v="350"/>
    <n v="40"/>
    <x v="117"/>
  </r>
  <r>
    <n v="125"/>
    <x v="108"/>
    <n v="8634772142"/>
    <s v="Empresa J"/>
    <s v="Esmeraldas"/>
    <x v="7"/>
    <x v="6"/>
    <s v="Empresa de embarque A"/>
    <m/>
    <s v="Condimento cajún"/>
    <x v="7"/>
    <n v="308"/>
    <n v="80"/>
    <x v="118"/>
  </r>
  <r>
    <n v="126"/>
    <x v="109"/>
    <n v="5431718510"/>
    <s v="Empresa J"/>
    <s v="Esmeraldas"/>
    <x v="7"/>
    <x v="6"/>
    <s v="Empresa de embarque A"/>
    <m/>
    <s v="Galletas de chocolate"/>
    <x v="2"/>
    <n v="128.79999999999998"/>
    <n v="38"/>
    <x v="119"/>
  </r>
  <r>
    <n v="127"/>
    <x v="110"/>
    <n v="7109276915"/>
    <s v="Empresa K"/>
    <s v="Quito"/>
    <x v="9"/>
    <x v="5"/>
    <s v="Empresa de embarque C"/>
    <m/>
    <s v="Ciruelas secas"/>
    <x v="1"/>
    <n v="49"/>
    <n v="28"/>
    <x v="120"/>
  </r>
  <r>
    <n v="128"/>
    <x v="111"/>
    <n v="8479136081"/>
    <s v="Empresa K"/>
    <s v="Quito"/>
    <x v="9"/>
    <x v="5"/>
    <s v="Empresa de embarque C"/>
    <m/>
    <s v="Té verde"/>
    <x v="0"/>
    <n v="41.86"/>
    <n v="60"/>
    <x v="121"/>
  </r>
  <r>
    <n v="129"/>
    <x v="26"/>
    <n v="7132355278"/>
    <s v="Empresa A"/>
    <s v="Ambato"/>
    <x v="10"/>
    <x v="2"/>
    <m/>
    <m/>
    <s v="Té chai"/>
    <x v="0"/>
    <n v="252"/>
    <n v="33"/>
    <x v="122"/>
  </r>
  <r>
    <n v="130"/>
    <x v="78"/>
    <n v="2885792785"/>
    <s v="Empresa A"/>
    <s v="Ambato"/>
    <x v="10"/>
    <x v="2"/>
    <m/>
    <m/>
    <s v="Café"/>
    <x v="0"/>
    <n v="644"/>
    <n v="22"/>
    <x v="123"/>
  </r>
  <r>
    <n v="131"/>
    <x v="112"/>
    <n v="3723941023"/>
    <s v="Empresa A"/>
    <s v="Ambato"/>
    <x v="10"/>
    <x v="2"/>
    <m/>
    <m/>
    <s v="Té verde"/>
    <x v="0"/>
    <n v="41.86"/>
    <n v="51"/>
    <x v="124"/>
  </r>
  <r>
    <n v="132"/>
    <x v="113"/>
    <n v="4827836337"/>
    <s v="Empresa BB"/>
    <s v="Manta"/>
    <x v="6"/>
    <x v="5"/>
    <s v="Empresa de embarque C"/>
    <s v="Tarjeta de crédito"/>
    <s v="Almejas"/>
    <x v="4"/>
    <n v="135.1"/>
    <n v="60"/>
    <x v="125"/>
  </r>
  <r>
    <n v="133"/>
    <x v="114"/>
    <n v="2633840866"/>
    <s v="Empresa BB"/>
    <s v="Manta"/>
    <x v="6"/>
    <x v="5"/>
    <s v="Empresa de embarque C"/>
    <s v="Tarjeta de crédito"/>
    <s v="Carne de cangrejo"/>
    <x v="8"/>
    <n v="257.59999999999997"/>
    <n v="98"/>
    <x v="126"/>
  </r>
  <r>
    <n v="134"/>
    <x v="115"/>
    <n v="2489359003"/>
    <s v="Empresa I"/>
    <s v="Guayaquil"/>
    <x v="3"/>
    <x v="7"/>
    <s v="Empresa de embarque A"/>
    <s v="Cheque"/>
    <s v="Ravioli"/>
    <x v="9"/>
    <n v="273"/>
    <n v="27"/>
    <x v="127"/>
  </r>
  <r>
    <n v="135"/>
    <x v="116"/>
    <n v="2347277376"/>
    <s v="Empresa I"/>
    <s v="Guayaquil"/>
    <x v="3"/>
    <x v="7"/>
    <s v="Empresa de embarque A"/>
    <s v="Cheque"/>
    <s v="Mozzarella"/>
    <x v="10"/>
    <n v="487.19999999999993"/>
    <n v="88"/>
    <x v="128"/>
  </r>
  <r>
    <n v="136"/>
    <x v="117"/>
    <n v="2071690973"/>
    <s v="Empresa F"/>
    <s v="Ibarra"/>
    <x v="5"/>
    <x v="4"/>
    <s v="Empresa de embarque B"/>
    <s v="Tarjeta de crédito"/>
    <s v="Cerveza"/>
    <x v="0"/>
    <n v="196"/>
    <n v="65"/>
    <x v="129"/>
  </r>
  <r>
    <n v="137"/>
    <x v="118"/>
    <n v="1196729221"/>
    <s v="Empresa H"/>
    <s v="Riobamba"/>
    <x v="2"/>
    <x v="2"/>
    <s v="Empresa de embarque B"/>
    <s v="Cheque"/>
    <s v="Salsa curry"/>
    <x v="5"/>
    <n v="560"/>
    <n v="38"/>
    <x v="130"/>
  </r>
  <r>
    <n v="138"/>
    <x v="119"/>
    <n v="9020365601"/>
    <s v="Empresa H"/>
    <s v="Riobamba"/>
    <x v="2"/>
    <x v="2"/>
    <s v="Empresa de embarque B"/>
    <s v="Cheque"/>
    <s v="Galletas de chocolate"/>
    <x v="2"/>
    <n v="128.79999999999998"/>
    <n v="80"/>
    <x v="131"/>
  </r>
  <r>
    <n v="139"/>
    <x v="120"/>
    <n v="4818692078"/>
    <s v="Empresa Y"/>
    <s v="Esmeraldas"/>
    <x v="7"/>
    <x v="6"/>
    <s v="Empresa de embarque A"/>
    <s v="Efectivo"/>
    <s v="Bolillos"/>
    <x v="2"/>
    <n v="140"/>
    <n v="49"/>
    <x v="132"/>
  </r>
  <r>
    <n v="140"/>
    <x v="121"/>
    <n v="6502762369"/>
    <s v="Empresa Z"/>
    <s v="Quito"/>
    <x v="9"/>
    <x v="5"/>
    <s v="Empresa de embarque C"/>
    <s v="Tarjeta de crédito"/>
    <s v="Aceite de oliva"/>
    <x v="13"/>
    <n v="298.90000000000003"/>
    <n v="90"/>
    <x v="133"/>
  </r>
  <r>
    <n v="141"/>
    <x v="122"/>
    <n v="924402492"/>
    <s v="Empresa Z"/>
    <s v="Quito"/>
    <x v="9"/>
    <x v="5"/>
    <s v="Empresa de embarque C"/>
    <s v="Tarjeta de crédito"/>
    <s v="Almejas"/>
    <x v="4"/>
    <n v="135.1"/>
    <n v="60"/>
    <x v="125"/>
  </r>
  <r>
    <n v="142"/>
    <x v="123"/>
    <n v="5633857209"/>
    <s v="Empresa Z"/>
    <s v="Quito"/>
    <x v="9"/>
    <x v="5"/>
    <s v="Empresa de embarque C"/>
    <s v="Tarjeta de crédito"/>
    <s v="Carne de cangrejo"/>
    <x v="8"/>
    <n v="257.59999999999997"/>
    <n v="39"/>
    <x v="134"/>
  </r>
  <r>
    <n v="143"/>
    <x v="124"/>
    <n v="9715216432"/>
    <s v="Empresa CC"/>
    <s v="Guayaquil"/>
    <x v="3"/>
    <x v="3"/>
    <s v="Empresa de embarque B"/>
    <s v="Cheque"/>
    <s v="Cerveza"/>
    <x v="0"/>
    <n v="196"/>
    <n v="79"/>
    <x v="135"/>
  </r>
  <r>
    <n v="144"/>
    <x v="84"/>
    <n v="2808433382"/>
    <s v="Empresa F"/>
    <s v="Ibarra"/>
    <x v="5"/>
    <x v="4"/>
    <s v="Empresa de embarque C"/>
    <s v="Cheque"/>
    <s v="Chocolate"/>
    <x v="3"/>
    <n v="178.5"/>
    <n v="44"/>
    <x v="136"/>
  </r>
  <r>
    <n v="145"/>
    <x v="125"/>
    <n v="5585231955"/>
    <s v="Empresa D"/>
    <s v="Azogues"/>
    <x v="1"/>
    <x v="1"/>
    <s v="Empresa de embarque A"/>
    <s v="Tarjeta de crédito"/>
    <s v="Mermelada de zarzamora"/>
    <x v="6"/>
    <n v="1134"/>
    <n v="98"/>
    <x v="137"/>
  </r>
  <r>
    <n v="146"/>
    <x v="126"/>
    <n v="4338999814"/>
    <s v="Empresa D"/>
    <s v="Azogues"/>
    <x v="1"/>
    <x v="1"/>
    <s v="Empresa de embarque A"/>
    <s v="Tarjeta de crédito"/>
    <s v="Arroz de grano largo"/>
    <x v="14"/>
    <n v="98"/>
    <n v="61"/>
    <x v="138"/>
  </r>
  <r>
    <n v="147"/>
    <x v="127"/>
    <n v="3475726472"/>
    <s v="Empresa H"/>
    <s v="Riobamba"/>
    <x v="2"/>
    <x v="2"/>
    <s v="Empresa de embarque C"/>
    <s v="Tarjeta de crédito"/>
    <s v="Mozzarella"/>
    <x v="10"/>
    <n v="487.19999999999993"/>
    <n v="30"/>
    <x v="139"/>
  </r>
  <r>
    <n v="148"/>
    <x v="128"/>
    <n v="9727843310"/>
    <s v="Empresa C"/>
    <s v="Machala"/>
    <x v="4"/>
    <x v="0"/>
    <s v="Empresa de embarque B"/>
    <s v="Efectivo"/>
    <s v="Jarabe"/>
    <x v="7"/>
    <n v="140"/>
    <n v="24"/>
    <x v="19"/>
  </r>
  <r>
    <n v="149"/>
    <x v="129"/>
    <n v="536031236"/>
    <s v="Empresa C"/>
    <s v="Machala"/>
    <x v="4"/>
    <x v="0"/>
    <s v="Empresa de embarque B"/>
    <s v="Efectivo"/>
    <s v="Salsa curry"/>
    <x v="5"/>
    <n v="560"/>
    <n v="28"/>
    <x v="140"/>
  </r>
  <r>
    <n v="150"/>
    <x v="21"/>
    <n v="1875435757"/>
    <s v="Empresa J"/>
    <s v="Esmeraldas"/>
    <x v="7"/>
    <x v="6"/>
    <s v="Empresa de embarque B"/>
    <s v="Tarjeta de crédito"/>
    <s v="Almendras"/>
    <x v="1"/>
    <n v="140"/>
    <n v="74"/>
    <x v="141"/>
  </r>
  <r>
    <n v="151"/>
    <x v="130"/>
    <n v="8711973073"/>
    <s v="Empresa J"/>
    <s v="Esmeraldas"/>
    <x v="7"/>
    <x v="6"/>
    <s v="Empresa de embarque A"/>
    <m/>
    <s v="Ciruelas secas"/>
    <x v="1"/>
    <n v="49"/>
    <n v="90"/>
    <x v="142"/>
  </r>
  <r>
    <n v="152"/>
    <x v="126"/>
    <n v="1214228285"/>
    <s v="Empresa K"/>
    <s v="Quito"/>
    <x v="9"/>
    <x v="5"/>
    <s v="Empresa de embarque C"/>
    <m/>
    <s v="Salsa curry"/>
    <x v="5"/>
    <n v="560"/>
    <n v="27"/>
    <x v="143"/>
  </r>
  <r>
    <n v="153"/>
    <x v="131"/>
    <n v="3447948983"/>
    <s v="Empresa A"/>
    <s v="Ambato"/>
    <x v="10"/>
    <x v="2"/>
    <s v="Empresa de embarque C"/>
    <m/>
    <s v="Carne de cangrejo"/>
    <x v="8"/>
    <n v="257.59999999999997"/>
    <n v="71"/>
    <x v="144"/>
  </r>
  <r>
    <n v="154"/>
    <x v="132"/>
    <n v="8753770178"/>
    <s v="Empresa BB"/>
    <s v="Manta"/>
    <x v="6"/>
    <x v="5"/>
    <s v="Empresa de embarque C"/>
    <s v="Tarjeta de crédito"/>
    <s v="Café"/>
    <x v="0"/>
    <n v="644"/>
    <n v="74"/>
    <x v="145"/>
  </r>
  <r>
    <n v="155"/>
    <x v="55"/>
    <n v="493013693"/>
    <s v="Empresa I"/>
    <s v="Guayaquil"/>
    <x v="3"/>
    <x v="7"/>
    <s v="Empresa de embarque A"/>
    <s v="Cheque"/>
    <s v="Almejas"/>
    <x v="4"/>
    <n v="135.1"/>
    <n v="76"/>
    <x v="146"/>
  </r>
  <r>
    <n v="156"/>
    <x v="133"/>
    <n v="4097578178"/>
    <s v="Empresa F"/>
    <s v="Ibarra"/>
    <x v="5"/>
    <x v="4"/>
    <s v="Empresa de embarque B"/>
    <s v="Tarjeta de crédito"/>
    <s v="Chocolate"/>
    <x v="3"/>
    <n v="178.5"/>
    <n v="96"/>
    <x v="147"/>
  </r>
  <r>
    <n v="157"/>
    <x v="134"/>
    <n v="9949307477"/>
    <s v="Empresa H"/>
    <s v="Riobamba"/>
    <x v="2"/>
    <x v="2"/>
    <s v="Empresa de embarque B"/>
    <s v="Cheque"/>
    <s v="Chocolate"/>
    <x v="3"/>
    <n v="178.5"/>
    <n v="92"/>
    <x v="148"/>
  </r>
  <r>
    <n v="158"/>
    <x v="135"/>
    <n v="2521830520"/>
    <s v="Empresa Y"/>
    <s v="Esmeraldas"/>
    <x v="7"/>
    <x v="6"/>
    <s v="Empresa de embarque A"/>
    <s v="Efectivo"/>
    <s v="Condimento cajún"/>
    <x v="7"/>
    <n v="308"/>
    <n v="93"/>
    <x v="149"/>
  </r>
  <r>
    <n v="159"/>
    <x v="34"/>
    <n v="4224616034"/>
    <s v="Empresa Z"/>
    <s v="Quito"/>
    <x v="9"/>
    <x v="5"/>
    <s v="Empresa de embarque C"/>
    <s v="Tarjeta de crédito"/>
    <s v="Jalea de fresa"/>
    <x v="6"/>
    <n v="350"/>
    <n v="18"/>
    <x v="150"/>
  </r>
  <r>
    <n v="160"/>
    <x v="136"/>
    <n v="7169314881"/>
    <s v="Empresa CC"/>
    <s v="Guayaquil"/>
    <x v="3"/>
    <x v="3"/>
    <s v="Empresa de embarque B"/>
    <s v="Cheque"/>
    <s v="Cóctel de frutas"/>
    <x v="12"/>
    <n v="546"/>
    <n v="98"/>
    <x v="151"/>
  </r>
  <r>
    <n v="161"/>
    <x v="134"/>
    <n v="8313545064"/>
    <s v="Empresa F"/>
    <s v="Ibarra"/>
    <x v="5"/>
    <x v="4"/>
    <s v="Empresa de embarque C"/>
    <s v="Cheque"/>
    <s v="Peras secas"/>
    <x v="1"/>
    <n v="420"/>
    <n v="46"/>
    <x v="152"/>
  </r>
  <r>
    <n v="162"/>
    <x v="137"/>
    <n v="5739621013"/>
    <s v="Empresa F"/>
    <s v="Ibarra"/>
    <x v="5"/>
    <x v="4"/>
    <s v="Empresa de embarque C"/>
    <s v="Cheque"/>
    <s v="Manzanas secas"/>
    <x v="1"/>
    <n v="742"/>
    <n v="14"/>
    <x v="49"/>
  </r>
  <r>
    <n v="163"/>
    <x v="138"/>
    <n v="1789830506"/>
    <s v="Empresa D"/>
    <s v="Azogues"/>
    <x v="1"/>
    <x v="1"/>
    <m/>
    <m/>
    <s v="Pasta penne"/>
    <x v="9"/>
    <n v="532"/>
    <n v="85"/>
    <x v="153"/>
  </r>
  <r>
    <n v="164"/>
    <x v="139"/>
    <n v="6281652174"/>
    <s v="Empresa C"/>
    <s v="Machala"/>
    <x v="4"/>
    <x v="0"/>
    <m/>
    <m/>
    <s v="Té verde"/>
    <x v="0"/>
    <n v="41.86"/>
    <n v="88"/>
    <x v="77"/>
  </r>
  <r>
    <n v="165"/>
    <x v="140"/>
    <n v="8126696083"/>
    <s v="Empresa A"/>
    <s v="Ambato"/>
    <x v="10"/>
    <x v="2"/>
    <m/>
    <m/>
    <s v="Té verde"/>
    <x v="0"/>
    <n v="41.86"/>
    <n v="81"/>
    <x v="154"/>
  </r>
  <r>
    <n v="166"/>
    <x v="92"/>
    <n v="2706456269"/>
    <s v="Empresa BB"/>
    <s v="Manta"/>
    <x v="6"/>
    <x v="5"/>
    <s v="Empresa de embarque C"/>
    <s v="Tarjeta de crédito"/>
    <s v="Almejas"/>
    <x v="4"/>
    <n v="135.1"/>
    <n v="33"/>
    <x v="155"/>
  </r>
  <r>
    <n v="167"/>
    <x v="31"/>
    <n v="6159315697"/>
    <s v="Empresa BB"/>
    <s v="Manta"/>
    <x v="6"/>
    <x v="5"/>
    <s v="Empresa de embarque C"/>
    <s v="Tarjeta de crédito"/>
    <s v="Carne de cangrejo"/>
    <x v="8"/>
    <n v="257.59999999999997"/>
    <n v="47"/>
    <x v="156"/>
  </r>
  <r>
    <n v="168"/>
    <x v="141"/>
    <n v="2749029538"/>
    <s v="Empresa I"/>
    <s v="Guayaquil"/>
    <x v="3"/>
    <x v="7"/>
    <s v="Empresa de embarque A"/>
    <s v="Cheque"/>
    <s v="Ravioli"/>
    <x v="9"/>
    <n v="273"/>
    <n v="61"/>
    <x v="157"/>
  </r>
  <r>
    <n v="169"/>
    <x v="39"/>
    <n v="9017454158"/>
    <s v="Empresa I"/>
    <s v="Guayaquil"/>
    <x v="3"/>
    <x v="7"/>
    <s v="Empresa de embarque A"/>
    <s v="Cheque"/>
    <s v="Mozzarella"/>
    <x v="10"/>
    <n v="487.19999999999993"/>
    <n v="27"/>
    <x v="158"/>
  </r>
  <r>
    <n v="170"/>
    <x v="142"/>
    <n v="445300235"/>
    <s v="Empresa F"/>
    <s v="Ibarra"/>
    <x v="5"/>
    <x v="4"/>
    <s v="Empresa de embarque B"/>
    <s v="Tarjeta de crédito"/>
    <s v="Cerveza"/>
    <x v="0"/>
    <n v="196"/>
    <n v="84"/>
    <x v="103"/>
  </r>
  <r>
    <n v="171"/>
    <x v="143"/>
    <n v="3498781571"/>
    <s v="Empresa H"/>
    <s v="Riobamba"/>
    <x v="2"/>
    <x v="2"/>
    <s v="Empresa de embarque B"/>
    <s v="Cheque"/>
    <s v="Salsa curry"/>
    <x v="5"/>
    <n v="560"/>
    <n v="91"/>
    <x v="159"/>
  </r>
  <r>
    <n v="172"/>
    <x v="144"/>
    <n v="376477229"/>
    <s v="Empresa H"/>
    <s v="Riobamba"/>
    <x v="2"/>
    <x v="2"/>
    <s v="Empresa de embarque B"/>
    <s v="Cheque"/>
    <s v="Galletas de chocolate"/>
    <x v="2"/>
    <n v="128.79999999999998"/>
    <n v="36"/>
    <x v="160"/>
  </r>
  <r>
    <n v="173"/>
    <x v="111"/>
    <n v="1790721708"/>
    <s v="Empresa Y"/>
    <s v="Esmeraldas"/>
    <x v="7"/>
    <x v="6"/>
    <s v="Empresa de embarque A"/>
    <s v="Efectivo"/>
    <s v="Bolillos"/>
    <x v="2"/>
    <n v="140"/>
    <n v="34"/>
    <x v="161"/>
  </r>
  <r>
    <n v="174"/>
    <x v="73"/>
    <n v="434033868"/>
    <s v="Empresa Z"/>
    <s v="Quito"/>
    <x v="9"/>
    <x v="5"/>
    <s v="Empresa de embarque C"/>
    <s v="Tarjeta de crédito"/>
    <s v="Aceite de oliva"/>
    <x v="13"/>
    <n v="298.90000000000003"/>
    <n v="81"/>
    <x v="162"/>
  </r>
  <r>
    <n v="175"/>
    <x v="120"/>
    <n v="3247684317"/>
    <s v="Empresa Z"/>
    <s v="Quito"/>
    <x v="9"/>
    <x v="5"/>
    <s v="Empresa de embarque C"/>
    <s v="Tarjeta de crédito"/>
    <s v="Almejas"/>
    <x v="4"/>
    <n v="135.1"/>
    <n v="25"/>
    <x v="163"/>
  </r>
  <r>
    <n v="176"/>
    <x v="145"/>
    <n v="6492121203"/>
    <s v="Empresa Z"/>
    <s v="Quito"/>
    <x v="9"/>
    <x v="5"/>
    <s v="Empresa de embarque C"/>
    <s v="Tarjeta de crédito"/>
    <s v="Carne de cangrejo"/>
    <x v="8"/>
    <n v="257.59999999999997"/>
    <n v="12"/>
    <x v="164"/>
  </r>
  <r>
    <n v="177"/>
    <x v="140"/>
    <n v="1661667624"/>
    <s v="Empresa CC"/>
    <s v="Guayaquil"/>
    <x v="3"/>
    <x v="3"/>
    <s v="Empresa de embarque B"/>
    <s v="Cheque"/>
    <s v="Cerveza"/>
    <x v="0"/>
    <n v="196"/>
    <n v="23"/>
    <x v="165"/>
  </r>
  <r>
    <n v="178"/>
    <x v="146"/>
    <n v="1127190015"/>
    <s v="Empresa F"/>
    <s v="Ibarra"/>
    <x v="5"/>
    <x v="4"/>
    <s v="Empresa de embarque C"/>
    <s v="Cheque"/>
    <s v="Chocolate"/>
    <x v="3"/>
    <n v="178.5"/>
    <n v="76"/>
    <x v="166"/>
  </r>
  <r>
    <n v="179"/>
    <x v="16"/>
    <n v="7862399002"/>
    <s v="Empresa D"/>
    <s v="Azogues"/>
    <x v="1"/>
    <x v="1"/>
    <s v="Empresa de embarque A"/>
    <s v="Tarjeta de crédito"/>
    <s v="Mermelada de zarzamora"/>
    <x v="6"/>
    <n v="1134"/>
    <n v="55"/>
    <x v="167"/>
  </r>
  <r>
    <n v="180"/>
    <x v="131"/>
    <n v="9568142105"/>
    <s v="Empresa D"/>
    <s v="Azogues"/>
    <x v="1"/>
    <x v="1"/>
    <s v="Empresa de embarque A"/>
    <s v="Tarjeta de crédito"/>
    <s v="Arroz de grano largo"/>
    <x v="14"/>
    <n v="98"/>
    <n v="19"/>
    <x v="168"/>
  </r>
  <r>
    <n v="181"/>
    <x v="147"/>
    <n v="1181634254"/>
    <s v="Empresa H"/>
    <s v="Riobamba"/>
    <x v="2"/>
    <x v="2"/>
    <s v="Empresa de embarque C"/>
    <s v="Tarjeta de crédito"/>
    <s v="Mozzarella"/>
    <x v="10"/>
    <n v="487.19999999999993"/>
    <n v="27"/>
    <x v="158"/>
  </r>
  <r>
    <n v="182"/>
    <x v="61"/>
    <n v="5404968765"/>
    <s v="Empresa C"/>
    <s v="Machala"/>
    <x v="4"/>
    <x v="0"/>
    <s v="Empresa de embarque B"/>
    <s v="Efectivo"/>
    <s v="Jarabe"/>
    <x v="7"/>
    <n v="140"/>
    <n v="99"/>
    <x v="83"/>
  </r>
  <r>
    <n v="183"/>
    <x v="148"/>
    <n v="2431996009"/>
    <s v="Empresa C"/>
    <s v="Machala"/>
    <x v="4"/>
    <x v="0"/>
    <s v="Empresa de embarque B"/>
    <s v="Efectivo"/>
    <s v="Salsa curry"/>
    <x v="5"/>
    <n v="560"/>
    <n v="10"/>
    <x v="169"/>
  </r>
  <r>
    <n v="184"/>
    <x v="101"/>
    <n v="6373385557"/>
    <s v="Empresa J"/>
    <s v="Esmeraldas"/>
    <x v="7"/>
    <x v="6"/>
    <s v="Empresa de embarque B"/>
    <s v="Tarjeta de crédito"/>
    <s v="Almendras"/>
    <x v="1"/>
    <n v="140"/>
    <n v="80"/>
    <x v="170"/>
  </r>
  <r>
    <n v="185"/>
    <x v="82"/>
    <n v="5411926783"/>
    <s v="Empresa J"/>
    <s v="Esmeraldas"/>
    <x v="7"/>
    <x v="6"/>
    <s v="Empresa de embarque A"/>
    <m/>
    <s v="Ciruelas secas"/>
    <x v="1"/>
    <n v="49"/>
    <n v="27"/>
    <x v="171"/>
  </r>
  <r>
    <n v="186"/>
    <x v="149"/>
    <n v="8397590471"/>
    <s v="Empresa K"/>
    <s v="Quito"/>
    <x v="9"/>
    <x v="5"/>
    <s v="Empresa de embarque C"/>
    <m/>
    <s v="Salsa curry"/>
    <x v="5"/>
    <n v="560"/>
    <n v="97"/>
    <x v="172"/>
  </r>
  <r>
    <n v="187"/>
    <x v="150"/>
    <n v="5905399576"/>
    <s v="Empresa A"/>
    <s v="Ambato"/>
    <x v="10"/>
    <x v="2"/>
    <s v="Empresa de embarque C"/>
    <m/>
    <s v="Carne de cangrejo"/>
    <x v="8"/>
    <n v="257.59999999999997"/>
    <n v="42"/>
    <x v="173"/>
  </r>
  <r>
    <n v="188"/>
    <x v="93"/>
    <n v="168682758"/>
    <s v="Empresa BB"/>
    <s v="Manta"/>
    <x v="6"/>
    <x v="5"/>
    <s v="Empresa de embarque C"/>
    <s v="Tarjeta de crédito"/>
    <s v="Café"/>
    <x v="0"/>
    <n v="644"/>
    <n v="24"/>
    <x v="174"/>
  </r>
  <r>
    <n v="189"/>
    <x v="151"/>
    <n v="4992553897"/>
    <s v="Empresa I"/>
    <s v="Guayaquil"/>
    <x v="3"/>
    <x v="7"/>
    <s v="Empresa de embarque A"/>
    <s v="Cheque"/>
    <s v="Almejas"/>
    <x v="4"/>
    <n v="135.1"/>
    <n v="90"/>
    <x v="175"/>
  </r>
  <r>
    <n v="190"/>
    <x v="92"/>
    <n v="9609810399"/>
    <s v="Empresa F"/>
    <s v="Ibarra"/>
    <x v="5"/>
    <x v="4"/>
    <s v="Empresa de embarque B"/>
    <s v="Tarjeta de crédito"/>
    <s v="Chocolate"/>
    <x v="3"/>
    <n v="178.5"/>
    <n v="28"/>
    <x v="176"/>
  </r>
  <r>
    <n v="191"/>
    <x v="10"/>
    <n v="1537469039"/>
    <s v="Empresa BB"/>
    <s v="Manta"/>
    <x v="6"/>
    <x v="5"/>
    <s v="Empresa de embarque C"/>
    <s v="Cheque"/>
    <s v="Café"/>
    <x v="0"/>
    <n v="644"/>
    <n v="28"/>
    <x v="177"/>
  </r>
  <r>
    <n v="192"/>
    <x v="136"/>
    <n v="2018401595"/>
    <s v="Empresa H"/>
    <s v="Riobamba"/>
    <x v="2"/>
    <x v="2"/>
    <s v="Empresa de embarque C"/>
    <s v="Cheque"/>
    <s v="Chocolate"/>
    <x v="3"/>
    <n v="178.5"/>
    <n v="57"/>
    <x v="178"/>
  </r>
  <r>
    <n v="193"/>
    <x v="152"/>
    <n v="1129934476"/>
    <s v="Empresa J"/>
    <s v="Esmeraldas"/>
    <x v="7"/>
    <x v="6"/>
    <s v="Empresa de embarque B"/>
    <s v="Tarjeta de crédito"/>
    <s v="Té verde"/>
    <x v="0"/>
    <n v="41.86"/>
    <n v="23"/>
    <x v="179"/>
  </r>
  <r>
    <n v="194"/>
    <x v="115"/>
    <n v="878400496"/>
    <s v="Empresa G"/>
    <s v="Guaranda"/>
    <x v="8"/>
    <x v="2"/>
    <m/>
    <m/>
    <s v="Café"/>
    <x v="0"/>
    <n v="644"/>
    <n v="86"/>
    <x v="180"/>
  </r>
  <r>
    <n v="195"/>
    <x v="153"/>
    <n v="6271764467"/>
    <s v="Empresa J"/>
    <s v="Esmeraldas"/>
    <x v="7"/>
    <x v="6"/>
    <s v="Empresa de embarque A"/>
    <m/>
    <s v="Jalea de fresa"/>
    <x v="6"/>
    <n v="350"/>
    <n v="47"/>
    <x v="181"/>
  </r>
  <r>
    <n v="196"/>
    <x v="154"/>
    <n v="5954546839"/>
    <s v="Empresa J"/>
    <s v="Esmeraldas"/>
    <x v="7"/>
    <x v="6"/>
    <s v="Empresa de embarque A"/>
    <m/>
    <s v="Condimento cajún"/>
    <x v="7"/>
    <n v="308"/>
    <n v="97"/>
    <x v="182"/>
  </r>
  <r>
    <n v="197"/>
    <x v="155"/>
    <n v="1007419194"/>
    <s v="Empresa J"/>
    <s v="Esmeraldas"/>
    <x v="7"/>
    <x v="6"/>
    <s v="Empresa de embarque A"/>
    <m/>
    <s v="Galletas de chocolate"/>
    <x v="2"/>
    <n v="128.79999999999998"/>
    <n v="96"/>
    <x v="183"/>
  </r>
  <r>
    <n v="198"/>
    <x v="81"/>
    <n v="2749506386"/>
    <s v="Empresa K"/>
    <s v="Quito"/>
    <x v="9"/>
    <x v="5"/>
    <s v="Empresa de embarque C"/>
    <m/>
    <s v="Ciruelas secas"/>
    <x v="1"/>
    <n v="49"/>
    <n v="31"/>
    <x v="184"/>
  </r>
  <r>
    <n v="199"/>
    <x v="156"/>
    <n v="3279160134"/>
    <s v="Empresa K"/>
    <s v="Quito"/>
    <x v="9"/>
    <x v="5"/>
    <s v="Empresa de embarque C"/>
    <m/>
    <s v="Té verde"/>
    <x v="0"/>
    <n v="41.86"/>
    <n v="52"/>
    <x v="185"/>
  </r>
  <r>
    <n v="200"/>
    <x v="80"/>
    <n v="6789089883"/>
    <s v="Empresa A"/>
    <s v="Ambato"/>
    <x v="10"/>
    <x v="2"/>
    <m/>
    <m/>
    <s v="Té chai"/>
    <x v="0"/>
    <n v="252"/>
    <n v="91"/>
    <x v="186"/>
  </r>
  <r>
    <n v="201"/>
    <x v="157"/>
    <n v="7775981065"/>
    <s v="Empresa A"/>
    <s v="Ambato"/>
    <x v="10"/>
    <x v="2"/>
    <m/>
    <m/>
    <s v="Café"/>
    <x v="0"/>
    <n v="644"/>
    <n v="14"/>
    <x v="187"/>
  </r>
  <r>
    <n v="202"/>
    <x v="83"/>
    <n v="5357417804"/>
    <s v="Empresa A"/>
    <s v="Ambato"/>
    <x v="10"/>
    <x v="2"/>
    <m/>
    <m/>
    <s v="Té verde"/>
    <x v="0"/>
    <n v="41.86"/>
    <n v="44"/>
    <x v="188"/>
  </r>
  <r>
    <n v="203"/>
    <x v="158"/>
    <n v="4986720222"/>
    <s v="Empresa BB"/>
    <s v="Manta"/>
    <x v="6"/>
    <x v="5"/>
    <s v="Empresa de embarque C"/>
    <s v="Tarjeta de crédito"/>
    <s v="Almejas"/>
    <x v="4"/>
    <n v="135.1"/>
    <n v="97"/>
    <x v="54"/>
  </r>
  <r>
    <n v="204"/>
    <x v="159"/>
    <n v="9264353300"/>
    <s v="Empresa BB"/>
    <s v="Manta"/>
    <x v="6"/>
    <x v="5"/>
    <s v="Empresa de embarque C"/>
    <s v="Tarjeta de crédito"/>
    <s v="Carne de cangrejo"/>
    <x v="8"/>
    <n v="257.59999999999997"/>
    <n v="80"/>
    <x v="189"/>
  </r>
  <r>
    <n v="205"/>
    <x v="160"/>
    <n v="4507840734"/>
    <s v="Empresa I"/>
    <s v="Guayaquil"/>
    <x v="3"/>
    <x v="7"/>
    <s v="Empresa de embarque A"/>
    <s v="Cheque"/>
    <s v="Ravioli"/>
    <x v="9"/>
    <n v="273"/>
    <n v="66"/>
    <x v="190"/>
  </r>
  <r>
    <n v="206"/>
    <x v="161"/>
    <n v="1926814553"/>
    <s v="Empresa I"/>
    <s v="Guayaquil"/>
    <x v="3"/>
    <x v="7"/>
    <s v="Empresa de embarque A"/>
    <s v="Cheque"/>
    <s v="Mozzarella"/>
    <x v="10"/>
    <n v="487.19999999999993"/>
    <n v="32"/>
    <x v="191"/>
  </r>
  <r>
    <n v="207"/>
    <x v="162"/>
    <n v="1115906573"/>
    <s v="Empresa F"/>
    <s v="Ibarra"/>
    <x v="5"/>
    <x v="4"/>
    <s v="Empresa de embarque B"/>
    <s v="Tarjeta de crédito"/>
    <s v="Cerveza"/>
    <x v="0"/>
    <n v="196"/>
    <n v="52"/>
    <x v="192"/>
  </r>
  <r>
    <n v="208"/>
    <x v="155"/>
    <n v="4298972271"/>
    <s v="Empresa H"/>
    <s v="Riobamba"/>
    <x v="2"/>
    <x v="2"/>
    <s v="Empresa de embarque B"/>
    <s v="Cheque"/>
    <s v="Salsa curry"/>
    <x v="5"/>
    <n v="560"/>
    <n v="78"/>
    <x v="193"/>
  </r>
  <r>
    <n v="209"/>
    <x v="163"/>
    <n v="1419202858"/>
    <s v="Empresa H"/>
    <s v="Riobamba"/>
    <x v="2"/>
    <x v="2"/>
    <s v="Empresa de embarque B"/>
    <s v="Cheque"/>
    <s v="Galletas de chocolate"/>
    <x v="2"/>
    <n v="128.79999999999998"/>
    <n v="54"/>
    <x v="194"/>
  </r>
  <r>
    <n v="210"/>
    <x v="52"/>
    <n v="3516608759"/>
    <s v="Empresa Y"/>
    <s v="Esmeraldas"/>
    <x v="7"/>
    <x v="6"/>
    <s v="Empresa de embarque A"/>
    <s v="Efectivo"/>
    <s v="Bolillos"/>
    <x v="2"/>
    <n v="140"/>
    <n v="55"/>
    <x v="63"/>
  </r>
  <r>
    <n v="211"/>
    <x v="164"/>
    <n v="8191358442"/>
    <s v="Empresa Z"/>
    <s v="Quito"/>
    <x v="9"/>
    <x v="5"/>
    <s v="Empresa de embarque C"/>
    <s v="Tarjeta de crédito"/>
    <s v="Aceite de oliva"/>
    <x v="13"/>
    <n v="298.90000000000003"/>
    <n v="60"/>
    <x v="195"/>
  </r>
  <r>
    <n v="212"/>
    <x v="165"/>
    <n v="8451227157"/>
    <s v="Empresa Z"/>
    <s v="Quito"/>
    <x v="9"/>
    <x v="5"/>
    <s v="Empresa de embarque C"/>
    <s v="Tarjeta de crédito"/>
    <s v="Almejas"/>
    <x v="4"/>
    <n v="135.1"/>
    <n v="19"/>
    <x v="196"/>
  </r>
  <r>
    <n v="213"/>
    <x v="166"/>
    <n v="9847155245"/>
    <s v="Empresa Z"/>
    <s v="Quito"/>
    <x v="9"/>
    <x v="5"/>
    <s v="Empresa de embarque C"/>
    <s v="Tarjeta de crédito"/>
    <s v="Carne de cangrejo"/>
    <x v="8"/>
    <n v="257.59999999999997"/>
    <n v="66"/>
    <x v="197"/>
  </r>
  <r>
    <n v="214"/>
    <x v="167"/>
    <n v="5189485028"/>
    <s v="Empresa CC"/>
    <s v="Guayaquil"/>
    <x v="3"/>
    <x v="3"/>
    <s v="Empresa de embarque B"/>
    <s v="Cheque"/>
    <s v="Cerveza"/>
    <x v="0"/>
    <n v="196"/>
    <n v="42"/>
    <x v="198"/>
  </r>
  <r>
    <n v="215"/>
    <x v="13"/>
    <n v="2367569858"/>
    <s v="Empresa F"/>
    <s v="Ibarra"/>
    <x v="5"/>
    <x v="4"/>
    <s v="Empresa de embarque C"/>
    <s v="Cheque"/>
    <s v="Chocolate"/>
    <x v="3"/>
    <n v="178.5"/>
    <n v="72"/>
    <x v="199"/>
  </r>
  <r>
    <n v="216"/>
    <x v="168"/>
    <n v="1241520334"/>
    <s v="Empresa D"/>
    <s v="Azogues"/>
    <x v="1"/>
    <x v="1"/>
    <s v="Empresa de embarque A"/>
    <s v="Tarjeta de crédito"/>
    <s v="Mermelada de zarzamora"/>
    <x v="6"/>
    <n v="1134"/>
    <n v="32"/>
    <x v="200"/>
  </r>
  <r>
    <n v="217"/>
    <x v="169"/>
    <n v="6999895697"/>
    <s v="Empresa D"/>
    <s v="Azogues"/>
    <x v="1"/>
    <x v="1"/>
    <s v="Empresa de embarque A"/>
    <s v="Tarjeta de crédito"/>
    <s v="Arroz de grano largo"/>
    <x v="14"/>
    <n v="98"/>
    <n v="76"/>
    <x v="201"/>
  </r>
  <r>
    <n v="218"/>
    <x v="141"/>
    <n v="2931440223"/>
    <s v="Empresa J"/>
    <s v="Esmeraldas"/>
    <x v="7"/>
    <x v="6"/>
    <s v="Empresa de embarque A"/>
    <m/>
    <s v="Galletas de chocolate"/>
    <x v="2"/>
    <n v="128.79999999999998"/>
    <n v="83"/>
    <x v="202"/>
  </r>
  <r>
    <n v="219"/>
    <x v="25"/>
    <n v="6045555436"/>
    <s v="Empresa K"/>
    <s v="Quito"/>
    <x v="9"/>
    <x v="5"/>
    <s v="Empresa de embarque C"/>
    <m/>
    <s v="Ciruelas secas"/>
    <x v="1"/>
    <n v="49"/>
    <n v="91"/>
    <x v="203"/>
  </r>
  <r>
    <n v="220"/>
    <x v="57"/>
    <n v="4985084204"/>
    <s v="Empresa K"/>
    <s v="Quito"/>
    <x v="9"/>
    <x v="5"/>
    <s v="Empresa de embarque C"/>
    <m/>
    <s v="Té verde"/>
    <x v="0"/>
    <n v="41.86"/>
    <n v="64"/>
    <x v="204"/>
  </r>
  <r>
    <n v="221"/>
    <x v="99"/>
    <n v="8950774476"/>
    <s v="Empresa A"/>
    <s v="Ambato"/>
    <x v="10"/>
    <x v="2"/>
    <m/>
    <m/>
    <s v="Té chai"/>
    <x v="0"/>
    <n v="252"/>
    <n v="58"/>
    <x v="205"/>
  </r>
  <r>
    <n v="222"/>
    <x v="170"/>
    <n v="4091794218"/>
    <s v="Empresa A"/>
    <s v="Ambato"/>
    <x v="10"/>
    <x v="2"/>
    <m/>
    <m/>
    <s v="Café"/>
    <x v="0"/>
    <n v="644"/>
    <n v="97"/>
    <x v="206"/>
  </r>
  <r>
    <n v="223"/>
    <x v="153"/>
    <n v="2789876793"/>
    <s v="Empresa A"/>
    <s v="Ambato"/>
    <x v="10"/>
    <x v="2"/>
    <m/>
    <m/>
    <s v="Té verde"/>
    <x v="0"/>
    <n v="41.86"/>
    <n v="14"/>
    <x v="207"/>
  </r>
  <r>
    <n v="224"/>
    <x v="171"/>
    <n v="4338385582"/>
    <s v="Empresa BB"/>
    <s v="Manta"/>
    <x v="6"/>
    <x v="5"/>
    <s v="Empresa de embarque C"/>
    <s v="Tarjeta de crédito"/>
    <s v="Almejas"/>
    <x v="4"/>
    <n v="135.1"/>
    <n v="68"/>
    <x v="208"/>
  </r>
  <r>
    <n v="225"/>
    <x v="144"/>
    <n v="9159410824"/>
    <s v="Empresa BB"/>
    <s v="Manta"/>
    <x v="6"/>
    <x v="5"/>
    <s v="Empresa de embarque C"/>
    <s v="Tarjeta de crédito"/>
    <s v="Carne de cangrejo"/>
    <x v="8"/>
    <n v="257.59999999999997"/>
    <n v="32"/>
    <x v="209"/>
  </r>
  <r>
    <n v="226"/>
    <x v="172"/>
    <n v="6562657766"/>
    <s v="Empresa I"/>
    <s v="Guayaquil"/>
    <x v="3"/>
    <x v="7"/>
    <s v="Empresa de embarque A"/>
    <s v="Cheque"/>
    <s v="Ravioli"/>
    <x v="9"/>
    <n v="273"/>
    <n v="48"/>
    <x v="210"/>
  </r>
  <r>
    <n v="227"/>
    <x v="173"/>
    <n v="4160634865"/>
    <s v="Empresa I"/>
    <s v="Guayaquil"/>
    <x v="3"/>
    <x v="7"/>
    <s v="Empresa de embarque A"/>
    <s v="Cheque"/>
    <s v="Mozzarella"/>
    <x v="10"/>
    <n v="487.19999999999993"/>
    <n v="57"/>
    <x v="211"/>
  </r>
  <r>
    <n v="228"/>
    <x v="147"/>
    <n v="142416687"/>
    <s v="Empresa F"/>
    <s v="Ibarra"/>
    <x v="5"/>
    <x v="4"/>
    <s v="Empresa de embarque B"/>
    <s v="Tarjeta de crédito"/>
    <s v="Cerveza"/>
    <x v="0"/>
    <n v="196"/>
    <n v="67"/>
    <x v="212"/>
  </r>
  <r>
    <n v="229"/>
    <x v="108"/>
    <n v="6114991349"/>
    <s v="Empresa H"/>
    <s v="Riobamba"/>
    <x v="2"/>
    <x v="2"/>
    <s v="Empresa de embarque B"/>
    <s v="Cheque"/>
    <s v="Salsa curry"/>
    <x v="5"/>
    <n v="560"/>
    <n v="48"/>
    <x v="213"/>
  </r>
  <r>
    <n v="230"/>
    <x v="174"/>
    <n v="6472352060"/>
    <s v="Empresa H"/>
    <s v="Riobamba"/>
    <x v="2"/>
    <x v="2"/>
    <s v="Empresa de embarque B"/>
    <s v="Cheque"/>
    <s v="Galletas de chocolate"/>
    <x v="2"/>
    <n v="128.79999999999998"/>
    <n v="77"/>
    <x v="214"/>
  </r>
  <r>
    <n v="231"/>
    <x v="138"/>
    <n v="5399077795"/>
    <s v="Empresa Y"/>
    <s v="Esmeraldas"/>
    <x v="7"/>
    <x v="6"/>
    <s v="Empresa de embarque A"/>
    <s v="Efectivo"/>
    <s v="Bolillos"/>
    <x v="2"/>
    <n v="140"/>
    <n v="94"/>
    <x v="215"/>
  </r>
  <r>
    <n v="232"/>
    <x v="175"/>
    <n v="6275645168"/>
    <s v="Empresa Z"/>
    <s v="Quito"/>
    <x v="9"/>
    <x v="5"/>
    <s v="Empresa de embarque C"/>
    <s v="Tarjeta de crédito"/>
    <s v="Aceite de oliva"/>
    <x v="13"/>
    <n v="298.90000000000003"/>
    <n v="54"/>
    <x v="216"/>
  </r>
  <r>
    <n v="233"/>
    <x v="51"/>
    <n v="597069969"/>
    <s v="Empresa Z"/>
    <s v="Quito"/>
    <x v="9"/>
    <x v="5"/>
    <s v="Empresa de embarque C"/>
    <s v="Tarjeta de crédito"/>
    <s v="Almejas"/>
    <x v="4"/>
    <n v="135.1"/>
    <n v="43"/>
    <x v="85"/>
  </r>
  <r>
    <n v="234"/>
    <x v="58"/>
    <n v="1323169656"/>
    <s v="Empresa Z"/>
    <s v="Quito"/>
    <x v="9"/>
    <x v="5"/>
    <s v="Empresa de embarque C"/>
    <s v="Tarjeta de crédito"/>
    <s v="Carne de cangrejo"/>
    <x v="8"/>
    <n v="257.59999999999997"/>
    <n v="71"/>
    <x v="144"/>
  </r>
  <r>
    <n v="235"/>
    <x v="176"/>
    <n v="2932971142"/>
    <s v="Empresa CC"/>
    <s v="Guayaquil"/>
    <x v="3"/>
    <x v="3"/>
    <s v="Empresa de embarque B"/>
    <s v="Cheque"/>
    <s v="Cerveza"/>
    <x v="0"/>
    <n v="196"/>
    <n v="50"/>
    <x v="217"/>
  </r>
  <r>
    <n v="236"/>
    <x v="177"/>
    <n v="3634141900"/>
    <s v="Empresa F"/>
    <s v="Ibarra"/>
    <x v="5"/>
    <x v="4"/>
    <s v="Empresa de embarque C"/>
    <s v="Cheque"/>
    <s v="Chocolate"/>
    <x v="3"/>
    <n v="178.5"/>
    <n v="96"/>
    <x v="147"/>
  </r>
  <r>
    <n v="237"/>
    <x v="161"/>
    <n v="8872627168"/>
    <s v="Empresa D"/>
    <s v="Azogues"/>
    <x v="1"/>
    <x v="1"/>
    <s v="Empresa de embarque A"/>
    <s v="Tarjeta de crédito"/>
    <s v="Mermelada de zarzamora"/>
    <x v="6"/>
    <n v="1134"/>
    <n v="54"/>
    <x v="218"/>
  </r>
  <r>
    <n v="238"/>
    <x v="178"/>
    <n v="5571010485"/>
    <s v="Empresa D"/>
    <s v="Azogues"/>
    <x v="1"/>
    <x v="1"/>
    <s v="Empresa de embarque A"/>
    <s v="Tarjeta de crédito"/>
    <s v="Arroz de grano largo"/>
    <x v="14"/>
    <n v="98"/>
    <n v="39"/>
    <x v="219"/>
  </r>
  <r>
    <n v="239"/>
    <x v="66"/>
    <n v="7703467924"/>
    <s v="Empresa H"/>
    <s v="Riobamba"/>
    <x v="2"/>
    <x v="2"/>
    <s v="Empresa de embarque C"/>
    <s v="Tarjeta de crédito"/>
    <s v="Mozzarella"/>
    <x v="10"/>
    <n v="487.19999999999993"/>
    <n v="63"/>
    <x v="60"/>
  </r>
  <r>
    <n v="240"/>
    <x v="143"/>
    <n v="7747820326"/>
    <s v="Empresa C"/>
    <s v="Machala"/>
    <x v="4"/>
    <x v="0"/>
    <s v="Empresa de embarque B"/>
    <s v="Efectivo"/>
    <s v="Jarabe"/>
    <x v="7"/>
    <n v="140"/>
    <n v="71"/>
    <x v="220"/>
  </r>
  <r>
    <n v="241"/>
    <x v="179"/>
    <n v="5769101754"/>
    <s v="Empresa C"/>
    <s v="Machala"/>
    <x v="4"/>
    <x v="0"/>
    <s v="Empresa de embarque B"/>
    <s v="Efectivo"/>
    <s v="Salsa curry"/>
    <x v="5"/>
    <n v="560"/>
    <n v="88"/>
    <x v="221"/>
  </r>
  <r>
    <n v="242"/>
    <x v="81"/>
    <n v="7427615835"/>
    <s v="Empresa J"/>
    <s v="Esmeraldas"/>
    <x v="7"/>
    <x v="6"/>
    <s v="Empresa de embarque B"/>
    <s v="Tarjeta de crédito"/>
    <s v="Almendras"/>
    <x v="1"/>
    <n v="140"/>
    <n v="59"/>
    <x v="222"/>
  </r>
  <r>
    <n v="243"/>
    <x v="180"/>
    <n v="242336558"/>
    <s v="Empresa F"/>
    <s v="Ibarra"/>
    <x v="5"/>
    <x v="4"/>
    <s v="Empresa de embarque B"/>
    <s v="Tarjeta de crédito"/>
    <s v="Salsa curry"/>
    <x v="5"/>
    <n v="560"/>
    <n v="94"/>
    <x v="223"/>
  </r>
  <r>
    <n v="244"/>
    <x v="139"/>
    <n v="2520819737"/>
    <s v="Empresa BB"/>
    <s v="Manta"/>
    <x v="6"/>
    <x v="5"/>
    <s v="Empresa de embarque C"/>
    <s v="Cheque"/>
    <s v="Café"/>
    <x v="0"/>
    <n v="644"/>
    <n v="86"/>
    <x v="180"/>
  </r>
  <r>
    <n v="245"/>
    <x v="181"/>
    <n v="8828389188"/>
    <s v="Empresa H"/>
    <s v="Riobamba"/>
    <x v="2"/>
    <x v="2"/>
    <s v="Empresa de embarque C"/>
    <s v="Cheque"/>
    <s v="Chocolate"/>
    <x v="3"/>
    <n v="178.5"/>
    <n v="61"/>
    <x v="224"/>
  </r>
  <r>
    <n v="246"/>
    <x v="182"/>
    <n v="164422904"/>
    <s v="Empresa J"/>
    <s v="Esmeraldas"/>
    <x v="7"/>
    <x v="6"/>
    <s v="Empresa de embarque B"/>
    <s v="Tarjeta de crédito"/>
    <s v="Té verde"/>
    <x v="0"/>
    <n v="41.86"/>
    <n v="32"/>
    <x v="225"/>
  </r>
  <r>
    <n v="247"/>
    <x v="32"/>
    <n v="7991995786"/>
    <s v="Empresa G"/>
    <s v="Guaranda"/>
    <x v="8"/>
    <x v="2"/>
    <m/>
    <m/>
    <s v="Café"/>
    <x v="0"/>
    <n v="644"/>
    <n v="62"/>
    <x v="226"/>
  </r>
  <r>
    <n v="248"/>
    <x v="183"/>
    <n v="4149364306"/>
    <s v="Empresa J"/>
    <s v="Esmeraldas"/>
    <x v="7"/>
    <x v="6"/>
    <s v="Empresa de embarque A"/>
    <m/>
    <s v="Jalea de fresa"/>
    <x v="6"/>
    <n v="350"/>
    <n v="60"/>
    <x v="227"/>
  </r>
  <r>
    <n v="249"/>
    <x v="97"/>
    <n v="6397472642"/>
    <s v="Empresa J"/>
    <s v="Esmeraldas"/>
    <x v="7"/>
    <x v="6"/>
    <s v="Empresa de embarque A"/>
    <m/>
    <s v="Condimento cajún"/>
    <x v="7"/>
    <n v="308"/>
    <n v="51"/>
    <x v="228"/>
  </r>
  <r>
    <n v="250"/>
    <x v="73"/>
    <n v="1168651383"/>
    <s v="Empresa J"/>
    <s v="Esmeraldas"/>
    <x v="7"/>
    <x v="6"/>
    <s v="Empresa de embarque A"/>
    <m/>
    <s v="Galletas de chocolate"/>
    <x v="2"/>
    <n v="128.79999999999998"/>
    <n v="49"/>
    <x v="229"/>
  </r>
  <r>
    <n v="251"/>
    <x v="184"/>
    <n v="1309311215"/>
    <s v="Empresa K"/>
    <s v="Quito"/>
    <x v="9"/>
    <x v="5"/>
    <s v="Empresa de embarque C"/>
    <m/>
    <s v="Ciruelas secas"/>
    <x v="1"/>
    <n v="49"/>
    <n v="20"/>
    <x v="230"/>
  </r>
  <r>
    <n v="252"/>
    <x v="185"/>
    <n v="4552083877"/>
    <s v="Empresa K"/>
    <s v="Quito"/>
    <x v="9"/>
    <x v="5"/>
    <s v="Empresa de embarque C"/>
    <m/>
    <s v="Té verde"/>
    <x v="0"/>
    <n v="41.86"/>
    <n v="49"/>
    <x v="231"/>
  </r>
  <r>
    <n v="253"/>
    <x v="186"/>
    <n v="6119453494"/>
    <s v="Empresa A"/>
    <s v="Ambato"/>
    <x v="10"/>
    <x v="2"/>
    <m/>
    <m/>
    <s v="Té chai"/>
    <x v="0"/>
    <n v="252"/>
    <n v="22"/>
    <x v="232"/>
  </r>
  <r>
    <n v="254"/>
    <x v="55"/>
    <n v="8815781249"/>
    <s v="Empresa A"/>
    <s v="Ambato"/>
    <x v="10"/>
    <x v="2"/>
    <m/>
    <m/>
    <s v="Café"/>
    <x v="0"/>
    <n v="644"/>
    <n v="73"/>
    <x v="233"/>
  </r>
  <r>
    <n v="255"/>
    <x v="180"/>
    <n v="5308869510"/>
    <s v="Empresa A"/>
    <s v="Ambato"/>
    <x v="10"/>
    <x v="2"/>
    <m/>
    <m/>
    <s v="Té verde"/>
    <x v="0"/>
    <n v="41.86"/>
    <n v="85"/>
    <x v="234"/>
  </r>
  <r>
    <n v="256"/>
    <x v="187"/>
    <n v="9623390930"/>
    <s v="Empresa BB"/>
    <s v="Manta"/>
    <x v="6"/>
    <x v="5"/>
    <s v="Empresa de embarque C"/>
    <s v="Tarjeta de crédito"/>
    <s v="Almejas"/>
    <x v="4"/>
    <n v="135.1"/>
    <n v="44"/>
    <x v="235"/>
  </r>
  <r>
    <n v="257"/>
    <x v="179"/>
    <n v="9925453816"/>
    <s v="Empresa BB"/>
    <s v="Manta"/>
    <x v="6"/>
    <x v="5"/>
    <s v="Empresa de embarque C"/>
    <s v="Tarjeta de crédito"/>
    <s v="Carne de cangrejo"/>
    <x v="8"/>
    <n v="257.59999999999997"/>
    <n v="24"/>
    <x v="236"/>
  </r>
  <r>
    <n v="258"/>
    <x v="172"/>
    <n v="6948053333"/>
    <s v="Empresa I"/>
    <s v="Guayaquil"/>
    <x v="3"/>
    <x v="7"/>
    <s v="Empresa de embarque A"/>
    <s v="Cheque"/>
    <s v="Ravioli"/>
    <x v="9"/>
    <n v="273"/>
    <n v="64"/>
    <x v="237"/>
  </r>
  <r>
    <n v="259"/>
    <x v="150"/>
    <n v="2060963898"/>
    <s v="Empresa I"/>
    <s v="Guayaquil"/>
    <x v="3"/>
    <x v="7"/>
    <s v="Empresa de embarque A"/>
    <s v="Cheque"/>
    <s v="Mozzarella"/>
    <x v="10"/>
    <n v="487.19999999999993"/>
    <n v="70"/>
    <x v="238"/>
  </r>
  <r>
    <n v="260"/>
    <x v="176"/>
    <n v="2582781913"/>
    <s v="Empresa F"/>
    <s v="Ibarra"/>
    <x v="5"/>
    <x v="4"/>
    <s v="Empresa de embarque B"/>
    <s v="Tarjeta de crédito"/>
    <s v="Cerveza"/>
    <x v="0"/>
    <n v="196"/>
    <n v="98"/>
    <x v="239"/>
  </r>
  <r>
    <n v="261"/>
    <x v="26"/>
    <n v="2732649952"/>
    <s v="Empresa H"/>
    <s v="Riobamba"/>
    <x v="2"/>
    <x v="2"/>
    <s v="Empresa de embarque B"/>
    <s v="Cheque"/>
    <s v="Salsa curry"/>
    <x v="5"/>
    <n v="560"/>
    <n v="48"/>
    <x v="213"/>
  </r>
  <r>
    <n v="262"/>
    <x v="142"/>
    <n v="4179453952"/>
    <s v="Empresa H"/>
    <s v="Riobamba"/>
    <x v="2"/>
    <x v="2"/>
    <s v="Empresa de embarque B"/>
    <s v="Cheque"/>
    <s v="Galletas de chocolate"/>
    <x v="2"/>
    <n v="128.79999999999998"/>
    <n v="100"/>
    <x v="240"/>
  </r>
  <r>
    <n v="263"/>
    <x v="188"/>
    <n v="4339665341"/>
    <s v="Empresa Y"/>
    <s v="Esmeraldas"/>
    <x v="7"/>
    <x v="6"/>
    <s v="Empresa de embarque A"/>
    <s v="Efectivo"/>
    <s v="Bolillos"/>
    <x v="2"/>
    <n v="140"/>
    <n v="90"/>
    <x v="241"/>
  </r>
  <r>
    <n v="264"/>
    <x v="189"/>
    <n v="9193900326"/>
    <s v="Empresa Z"/>
    <s v="Quito"/>
    <x v="9"/>
    <x v="5"/>
    <s v="Empresa de embarque C"/>
    <s v="Tarjeta de crédito"/>
    <s v="Aceite de oliva"/>
    <x v="13"/>
    <n v="298.90000000000003"/>
    <n v="49"/>
    <x v="242"/>
  </r>
  <r>
    <n v="265"/>
    <x v="96"/>
    <n v="7474169055"/>
    <s v="Empresa Z"/>
    <s v="Quito"/>
    <x v="9"/>
    <x v="5"/>
    <s v="Empresa de embarque C"/>
    <s v="Tarjeta de crédito"/>
    <s v="Almejas"/>
    <x v="4"/>
    <n v="135.1"/>
    <n v="71"/>
    <x v="243"/>
  </r>
  <r>
    <n v="266"/>
    <x v="59"/>
    <n v="9750138179"/>
    <s v="Empresa Z"/>
    <s v="Quito"/>
    <x v="9"/>
    <x v="5"/>
    <s v="Empresa de embarque C"/>
    <s v="Tarjeta de crédito"/>
    <s v="Carne de cangrejo"/>
    <x v="8"/>
    <n v="257.59999999999997"/>
    <n v="10"/>
    <x v="244"/>
  </r>
  <r>
    <n v="267"/>
    <x v="190"/>
    <n v="2294414293"/>
    <s v="Empresa CC"/>
    <s v="Guayaquil"/>
    <x v="3"/>
    <x v="3"/>
    <s v="Empresa de embarque B"/>
    <s v="Cheque"/>
    <s v="Cerveza"/>
    <x v="0"/>
    <n v="196"/>
    <n v="78"/>
    <x v="245"/>
  </r>
  <r>
    <n v="268"/>
    <x v="191"/>
    <n v="776426288"/>
    <s v="Empresa F"/>
    <s v="Ibarra"/>
    <x v="5"/>
    <x v="4"/>
    <s v="Empresa de embarque C"/>
    <s v="Cheque"/>
    <s v="Chocolate"/>
    <x v="3"/>
    <n v="178.5"/>
    <n v="44"/>
    <x v="136"/>
  </r>
  <r>
    <n v="269"/>
    <x v="158"/>
    <n v="1245231958"/>
    <s v="Empresa D"/>
    <s v="Azogues"/>
    <x v="1"/>
    <x v="1"/>
    <s v="Empresa de embarque A"/>
    <s v="Tarjeta de crédito"/>
    <s v="Mermelada de zarzamora"/>
    <x v="6"/>
    <n v="1134"/>
    <n v="82"/>
    <x v="246"/>
  </r>
  <r>
    <n v="270"/>
    <x v="192"/>
    <n v="2050724971"/>
    <s v="Empresa D"/>
    <s v="Azogues"/>
    <x v="1"/>
    <x v="1"/>
    <s v="Empresa de embarque A"/>
    <s v="Tarjeta de crédito"/>
    <s v="Arroz de grano largo"/>
    <x v="14"/>
    <n v="98"/>
    <n v="29"/>
    <x v="247"/>
  </r>
  <r>
    <n v="271"/>
    <x v="193"/>
    <n v="9478104719"/>
    <s v="Empresa H"/>
    <s v="Riobamba"/>
    <x v="2"/>
    <x v="2"/>
    <s v="Empresa de embarque C"/>
    <s v="Tarjeta de crédito"/>
    <s v="Mozzarella"/>
    <x v="10"/>
    <n v="487.19999999999993"/>
    <n v="93"/>
    <x v="248"/>
  </r>
  <r>
    <n v="272"/>
    <x v="160"/>
    <n v="7620759943"/>
    <s v="Empresa C"/>
    <s v="Machala"/>
    <x v="4"/>
    <x v="0"/>
    <s v="Empresa de embarque B"/>
    <s v="Efectivo"/>
    <s v="Jarabe"/>
    <x v="7"/>
    <n v="140"/>
    <n v="11"/>
    <x v="249"/>
  </r>
  <r>
    <n v="273"/>
    <x v="194"/>
    <n v="9345003575"/>
    <s v="Empresa C"/>
    <s v="Machala"/>
    <x v="4"/>
    <x v="0"/>
    <s v="Empresa de embarque B"/>
    <s v="Efectivo"/>
    <s v="Salsa curry"/>
    <x v="5"/>
    <n v="560"/>
    <n v="91"/>
    <x v="159"/>
  </r>
  <r>
    <n v="274"/>
    <x v="47"/>
    <n v="5988072690"/>
    <s v="Empresa J"/>
    <s v="Esmeraldas"/>
    <x v="7"/>
    <x v="6"/>
    <s v="Empresa de embarque B"/>
    <s v="Tarjeta de crédito"/>
    <s v="Almendras"/>
    <x v="1"/>
    <n v="140"/>
    <n v="12"/>
    <x v="250"/>
  </r>
  <r>
    <n v="275"/>
    <x v="195"/>
    <n v="5113488625"/>
    <s v="Empresa J"/>
    <s v="Esmeraldas"/>
    <x v="7"/>
    <x v="6"/>
    <s v="Empresa de embarque A"/>
    <m/>
    <s v="Ciruelas secas"/>
    <x v="1"/>
    <n v="49"/>
    <n v="78"/>
    <x v="219"/>
  </r>
  <r>
    <n v="276"/>
    <x v="196"/>
    <n v="8021429259"/>
    <s v="Empresa K"/>
    <s v="Quito"/>
    <x v="9"/>
    <x v="5"/>
    <s v="Empresa de embarque C"/>
    <m/>
    <s v="Salsa curry"/>
    <x v="5"/>
    <n v="560"/>
    <n v="60"/>
    <x v="251"/>
  </r>
  <r>
    <n v="277"/>
    <x v="186"/>
    <n v="680211800"/>
    <s v="Empresa A"/>
    <s v="Ambato"/>
    <x v="10"/>
    <x v="2"/>
    <s v="Empresa de embarque C"/>
    <m/>
    <s v="Carne de cangrejo"/>
    <x v="8"/>
    <n v="257.59999999999997"/>
    <n v="23"/>
    <x v="252"/>
  </r>
  <r>
    <n v="278"/>
    <x v="107"/>
    <n v="2635806056"/>
    <s v="Empresa BB"/>
    <s v="Manta"/>
    <x v="6"/>
    <x v="5"/>
    <s v="Empresa de embarque C"/>
    <s v="Tarjeta de crédito"/>
    <s v="Café"/>
    <x v="0"/>
    <n v="644"/>
    <n v="34"/>
    <x v="253"/>
  </r>
  <r>
    <n v="279"/>
    <x v="96"/>
    <n v="3338515953"/>
    <s v="Empresa I"/>
    <s v="Guayaquil"/>
    <x v="3"/>
    <x v="7"/>
    <s v="Empresa de embarque A"/>
    <s v="Cheque"/>
    <s v="Almejas"/>
    <x v="4"/>
    <n v="135.1"/>
    <n v="89"/>
    <x v="254"/>
  </r>
  <r>
    <n v="280"/>
    <x v="88"/>
    <n v="3075758565"/>
    <s v="Empresa F"/>
    <s v="Ibarra"/>
    <x v="5"/>
    <x v="4"/>
    <s v="Empresa de embarque B"/>
    <s v="Tarjeta de crédito"/>
    <s v="Chocolate"/>
    <x v="3"/>
    <n v="178.5"/>
    <n v="82"/>
    <x v="255"/>
  </r>
  <r>
    <n v="281"/>
    <x v="92"/>
    <n v="5383209032"/>
    <s v="Empresa H"/>
    <s v="Riobamba"/>
    <x v="2"/>
    <x v="2"/>
    <s v="Empresa de embarque B"/>
    <s v="Cheque"/>
    <s v="Chocolate"/>
    <x v="3"/>
    <n v="178.5"/>
    <n v="43"/>
    <x v="256"/>
  </r>
  <r>
    <n v="282"/>
    <x v="1"/>
    <n v="9635546425"/>
    <s v="Empresa J"/>
    <s v="Esmeraldas"/>
    <x v="7"/>
    <x v="6"/>
    <s v="Empresa de embarque A"/>
    <m/>
    <s v="Condimento cajún"/>
    <x v="7"/>
    <n v="308"/>
    <n v="96"/>
    <x v="257"/>
  </r>
  <r>
    <n v="283"/>
    <x v="96"/>
    <n v="3501364052"/>
    <s v="Empresa J"/>
    <s v="Esmeraldas"/>
    <x v="7"/>
    <x v="6"/>
    <s v="Empresa de embarque A"/>
    <m/>
    <s v="Galletas de chocolate"/>
    <x v="2"/>
    <n v="128.79999999999998"/>
    <n v="34"/>
    <x v="258"/>
  </r>
  <r>
    <n v="284"/>
    <x v="45"/>
    <n v="2226825043"/>
    <s v="Empresa K"/>
    <s v="Quito"/>
    <x v="9"/>
    <x v="5"/>
    <s v="Empresa de embarque C"/>
    <m/>
    <s v="Ciruelas secas"/>
    <x v="1"/>
    <n v="49"/>
    <n v="42"/>
    <x v="259"/>
  </r>
  <r>
    <n v="285"/>
    <x v="197"/>
    <n v="6321323029"/>
    <s v="Empresa K"/>
    <s v="Quito"/>
    <x v="9"/>
    <x v="5"/>
    <s v="Empresa de embarque C"/>
    <m/>
    <s v="Té verde"/>
    <x v="0"/>
    <n v="41.86"/>
    <n v="100"/>
    <x v="260"/>
  </r>
  <r>
    <n v="286"/>
    <x v="172"/>
    <n v="3775524143"/>
    <s v="Empresa A"/>
    <s v="Ambato"/>
    <x v="10"/>
    <x v="2"/>
    <m/>
    <m/>
    <s v="Té chai"/>
    <x v="0"/>
    <n v="252"/>
    <n v="42"/>
    <x v="261"/>
  </r>
  <r>
    <n v="287"/>
    <x v="198"/>
    <n v="9543041808"/>
    <s v="Empresa A"/>
    <s v="Ambato"/>
    <x v="10"/>
    <x v="2"/>
    <m/>
    <m/>
    <s v="Café"/>
    <x v="0"/>
    <n v="644"/>
    <n v="16"/>
    <x v="262"/>
  </r>
  <r>
    <n v="288"/>
    <x v="199"/>
    <n v="547647770"/>
    <s v="Empresa A"/>
    <s v="Ambato"/>
    <x v="10"/>
    <x v="2"/>
    <m/>
    <m/>
    <s v="Té verde"/>
    <x v="0"/>
    <n v="41.86"/>
    <n v="22"/>
    <x v="263"/>
  </r>
  <r>
    <n v="289"/>
    <x v="88"/>
    <n v="7120228607"/>
    <s v="Empresa BB"/>
    <s v="Manta"/>
    <x v="6"/>
    <x v="5"/>
    <s v="Empresa de embarque C"/>
    <s v="Tarjeta de crédito"/>
    <s v="Almejas"/>
    <x v="4"/>
    <n v="135.1"/>
    <n v="46"/>
    <x v="264"/>
  </r>
  <r>
    <n v="290"/>
    <x v="105"/>
    <n v="5554565190"/>
    <s v="Empresa BB"/>
    <s v="Manta"/>
    <x v="6"/>
    <x v="5"/>
    <s v="Empresa de embarque C"/>
    <s v="Tarjeta de crédito"/>
    <s v="Carne de cangrejo"/>
    <x v="8"/>
    <n v="257.59999999999997"/>
    <n v="100"/>
    <x v="265"/>
  </r>
  <r>
    <n v="291"/>
    <x v="77"/>
    <n v="1644848787"/>
    <s v="Empresa I"/>
    <s v="Guayaquil"/>
    <x v="3"/>
    <x v="7"/>
    <s v="Empresa de embarque A"/>
    <s v="Cheque"/>
    <s v="Ravioli"/>
    <x v="9"/>
    <n v="273"/>
    <n v="87"/>
    <x v="266"/>
  </r>
  <r>
    <n v="292"/>
    <x v="83"/>
    <n v="8273786477"/>
    <s v="Empresa I"/>
    <s v="Guayaquil"/>
    <x v="3"/>
    <x v="7"/>
    <s v="Empresa de embarque A"/>
    <s v="Cheque"/>
    <s v="Mozzarella"/>
    <x v="10"/>
    <n v="487.19999999999993"/>
    <n v="58"/>
    <x v="267"/>
  </r>
  <r>
    <n v="293"/>
    <x v="200"/>
    <n v="1397118248"/>
    <s v="Empresa F"/>
    <s v="Ibarra"/>
    <x v="5"/>
    <x v="4"/>
    <s v="Empresa de embarque B"/>
    <s v="Tarjeta de crédito"/>
    <s v="Cerveza"/>
    <x v="0"/>
    <n v="196"/>
    <n v="85"/>
    <x v="268"/>
  </r>
  <r>
    <n v="294"/>
    <x v="148"/>
    <n v="4468604310"/>
    <s v="Empresa H"/>
    <s v="Riobamba"/>
    <x v="2"/>
    <x v="2"/>
    <s v="Empresa de embarque B"/>
    <s v="Cheque"/>
    <s v="Salsa curry"/>
    <x v="5"/>
    <n v="560"/>
    <n v="28"/>
    <x v="140"/>
  </r>
  <r>
    <n v="295"/>
    <x v="49"/>
    <n v="457458721"/>
    <s v="Empresa H"/>
    <s v="Riobamba"/>
    <x v="2"/>
    <x v="2"/>
    <s v="Empresa de embarque B"/>
    <s v="Cheque"/>
    <s v="Galletas de chocolate"/>
    <x v="2"/>
    <n v="128.79999999999998"/>
    <n v="19"/>
    <x v="269"/>
  </r>
  <r>
    <n v="296"/>
    <x v="201"/>
    <n v="7184663808"/>
    <s v="Empresa Y"/>
    <s v="Esmeraldas"/>
    <x v="7"/>
    <x v="6"/>
    <s v="Empresa de embarque A"/>
    <s v="Efectivo"/>
    <s v="Bolillos"/>
    <x v="2"/>
    <n v="140"/>
    <n v="99"/>
    <x v="83"/>
  </r>
  <r>
    <n v="297"/>
    <x v="202"/>
    <n v="3449599231"/>
    <s v="Empresa Z"/>
    <s v="Quito"/>
    <x v="9"/>
    <x v="5"/>
    <s v="Empresa de embarque C"/>
    <s v="Tarjeta de crédito"/>
    <s v="Aceite de oliva"/>
    <x v="13"/>
    <n v="298.90000000000003"/>
    <n v="69"/>
    <x v="270"/>
  </r>
  <r>
    <n v="298"/>
    <x v="172"/>
    <n v="3901461858"/>
    <s v="Empresa Z"/>
    <s v="Quito"/>
    <x v="9"/>
    <x v="5"/>
    <s v="Empresa de embarque C"/>
    <s v="Tarjeta de crédito"/>
    <s v="Almejas"/>
    <x v="4"/>
    <n v="135.1"/>
    <n v="37"/>
    <x v="271"/>
  </r>
  <r>
    <n v="299"/>
    <x v="44"/>
    <n v="6798892819"/>
    <s v="Empresa Z"/>
    <s v="Quito"/>
    <x v="9"/>
    <x v="5"/>
    <s v="Empresa de embarque C"/>
    <s v="Tarjeta de crédito"/>
    <s v="Carne de cangrejo"/>
    <x v="8"/>
    <n v="257.59999999999997"/>
    <n v="64"/>
    <x v="108"/>
  </r>
  <r>
    <n v="300"/>
    <x v="188"/>
    <n v="6897506437"/>
    <s v="Empresa CC"/>
    <s v="Guayaquil"/>
    <x v="3"/>
    <x v="3"/>
    <s v="Empresa de embarque B"/>
    <s v="Cheque"/>
    <s v="Cerveza"/>
    <x v="0"/>
    <n v="196"/>
    <n v="38"/>
    <x v="201"/>
  </r>
  <r>
    <n v="301"/>
    <x v="203"/>
    <n v="6298594113"/>
    <s v="Empresa F"/>
    <s v="Ibarra"/>
    <x v="5"/>
    <x v="4"/>
    <s v="Empresa de embarque C"/>
    <s v="Cheque"/>
    <s v="Chocolate"/>
    <x v="3"/>
    <n v="178.5"/>
    <n v="15"/>
    <x v="272"/>
  </r>
  <r>
    <n v="302"/>
    <x v="180"/>
    <n v="6972691420"/>
    <s v="Empresa D"/>
    <s v="Azogues"/>
    <x v="1"/>
    <x v="1"/>
    <s v="Empresa de embarque A"/>
    <s v="Tarjeta de crédito"/>
    <s v="Mermelada de zarzamora"/>
    <x v="6"/>
    <n v="1134"/>
    <n v="52"/>
    <x v="273"/>
  </r>
  <r>
    <n v="303"/>
    <x v="204"/>
    <n v="677992170"/>
    <s v="Empresa D"/>
    <s v="Azogues"/>
    <x v="1"/>
    <x v="1"/>
    <s v="Empresa de embarque A"/>
    <s v="Tarjeta de crédito"/>
    <s v="Arroz de grano largo"/>
    <x v="14"/>
    <n v="98"/>
    <n v="37"/>
    <x v="59"/>
  </r>
  <r>
    <n v="304"/>
    <x v="205"/>
    <n v="3501827064"/>
    <s v="Empresa H"/>
    <s v="Riobamba"/>
    <x v="2"/>
    <x v="2"/>
    <s v="Empresa de embarque C"/>
    <s v="Tarjeta de crédito"/>
    <s v="Mozzarella"/>
    <x v="10"/>
    <n v="487.19999999999993"/>
    <n v="24"/>
    <x v="274"/>
  </r>
  <r>
    <n v="305"/>
    <x v="206"/>
    <n v="9140892367"/>
    <s v="Empresa C"/>
    <s v="Machala"/>
    <x v="4"/>
    <x v="0"/>
    <s v="Empresa de embarque B"/>
    <s v="Efectivo"/>
    <s v="Jarabe"/>
    <x v="7"/>
    <n v="140"/>
    <n v="36"/>
    <x v="275"/>
  </r>
  <r>
    <n v="306"/>
    <x v="13"/>
    <n v="7570396760"/>
    <s v="Empresa C"/>
    <s v="Machala"/>
    <x v="4"/>
    <x v="0"/>
    <s v="Empresa de embarque B"/>
    <s v="Efectivo"/>
    <s v="Salsa curry"/>
    <x v="5"/>
    <n v="560"/>
    <n v="24"/>
    <x v="276"/>
  </r>
  <r>
    <n v="307"/>
    <x v="112"/>
    <n v="5368769086"/>
    <s v="Empresa J"/>
    <s v="Esmeraldas"/>
    <x v="7"/>
    <x v="6"/>
    <s v="Empresa de embarque B"/>
    <s v="Tarjeta de crédito"/>
    <s v="Almendras"/>
    <x v="1"/>
    <n v="140"/>
    <n v="20"/>
    <x v="277"/>
  </r>
  <r>
    <n v="308"/>
    <x v="151"/>
    <n v="443042127"/>
    <s v="Empresa J"/>
    <s v="Esmeraldas"/>
    <x v="7"/>
    <x v="6"/>
    <s v="Empresa de embarque A"/>
    <m/>
    <s v="Ciruelas secas"/>
    <x v="1"/>
    <n v="49"/>
    <n v="11"/>
    <x v="278"/>
  </r>
  <r>
    <n v="309"/>
    <x v="207"/>
    <n v="3198859022"/>
    <s v="Empresa K"/>
    <s v="Quito"/>
    <x v="9"/>
    <x v="5"/>
    <s v="Empresa de embarque C"/>
    <m/>
    <s v="Salsa curry"/>
    <x v="5"/>
    <n v="560"/>
    <n v="78"/>
    <x v="193"/>
  </r>
  <r>
    <n v="310"/>
    <x v="153"/>
    <n v="2982674072"/>
    <s v="Empresa A"/>
    <s v="Ambato"/>
    <x v="10"/>
    <x v="2"/>
    <s v="Empresa de embarque C"/>
    <m/>
    <s v="Carne de cangrejo"/>
    <x v="8"/>
    <n v="257.59999999999997"/>
    <n v="76"/>
    <x v="279"/>
  </r>
  <r>
    <n v="311"/>
    <x v="149"/>
    <n v="1636086310"/>
    <s v="Empresa BB"/>
    <s v="Manta"/>
    <x v="6"/>
    <x v="5"/>
    <s v="Empresa de embarque C"/>
    <s v="Tarjeta de crédito"/>
    <s v="Café"/>
    <x v="0"/>
    <n v="644"/>
    <n v="57"/>
    <x v="280"/>
  </r>
  <r>
    <n v="312"/>
    <x v="82"/>
    <n v="9879315200"/>
    <s v="Empresa I"/>
    <s v="Guayaquil"/>
    <x v="3"/>
    <x v="7"/>
    <s v="Empresa de embarque A"/>
    <s v="Cheque"/>
    <s v="Almejas"/>
    <x v="4"/>
    <n v="135.1"/>
    <n v="14"/>
    <x v="281"/>
  </r>
  <r>
    <n v="313"/>
    <x v="208"/>
    <n v="3833780472"/>
    <s v="Empresa AA"/>
    <s v="Cuenca"/>
    <x v="0"/>
    <x v="0"/>
    <s v="Empresa de embarque B"/>
    <s v="Cheque"/>
    <s v="Cerveza"/>
    <x v="0"/>
    <n v="196"/>
    <n v="14"/>
    <x v="282"/>
  </r>
  <r>
    <n v="314"/>
    <x v="209"/>
    <n v="1343389818"/>
    <s v="Empresa AA"/>
    <s v="Cuenca"/>
    <x v="0"/>
    <x v="0"/>
    <s v="Empresa de embarque B"/>
    <s v="Cheque"/>
    <s v="Ciruelas secas"/>
    <x v="1"/>
    <n v="49"/>
    <n v="70"/>
    <x v="283"/>
  </r>
  <r>
    <n v="315"/>
    <x v="210"/>
    <n v="3066920858"/>
    <s v="Empresa D"/>
    <s v="Azogues"/>
    <x v="1"/>
    <x v="1"/>
    <s v="Empresa de embarque A"/>
    <s v="Tarjeta de crédito"/>
    <s v="Peras secas"/>
    <x v="1"/>
    <n v="420"/>
    <n v="100"/>
    <x v="284"/>
  </r>
  <r>
    <n v="316"/>
    <x v="53"/>
    <n v="3596038071"/>
    <s v="Empresa D"/>
    <s v="Azogues"/>
    <x v="1"/>
    <x v="1"/>
    <s v="Empresa de embarque A"/>
    <s v="Tarjeta de crédito"/>
    <s v="Manzanas secas"/>
    <x v="1"/>
    <n v="742"/>
    <n v="27"/>
    <x v="285"/>
  </r>
  <r>
    <n v="317"/>
    <x v="24"/>
    <n v="8280434895"/>
    <s v="Empresa D"/>
    <s v="Azogues"/>
    <x v="1"/>
    <x v="1"/>
    <s v="Empresa de embarque A"/>
    <s v="Tarjeta de crédito"/>
    <s v="Ciruelas secas"/>
    <x v="1"/>
    <n v="49"/>
    <n v="70"/>
    <x v="283"/>
  </r>
  <r>
    <n v="318"/>
    <x v="26"/>
    <n v="7983505639"/>
    <s v="Empresa L"/>
    <s v="Cuenca"/>
    <x v="0"/>
    <x v="0"/>
    <s v="Empresa de embarque B"/>
    <s v="Tarjeta de crédito"/>
    <s v="Té chai"/>
    <x v="0"/>
    <n v="252"/>
    <n v="57"/>
    <x v="286"/>
  </r>
  <r>
    <n v="319"/>
    <x v="156"/>
    <n v="4943792001"/>
    <s v="Empresa L"/>
    <s v="Cuenca"/>
    <x v="0"/>
    <x v="0"/>
    <s v="Empresa de embarque B"/>
    <s v="Tarjeta de crédito"/>
    <s v="Café"/>
    <x v="0"/>
    <n v="644"/>
    <n v="83"/>
    <x v="287"/>
  </r>
  <r>
    <n v="320"/>
    <x v="211"/>
    <n v="2679766092"/>
    <s v="Empresa H"/>
    <s v="Riobamba"/>
    <x v="2"/>
    <x v="2"/>
    <s v="Empresa de embarque C"/>
    <s v="Tarjeta de crédito"/>
    <s v="Galletas de chocolate"/>
    <x v="2"/>
    <n v="128.79999999999998"/>
    <n v="76"/>
    <x v="288"/>
  </r>
  <r>
    <n v="321"/>
    <x v="212"/>
    <n v="6256032641"/>
    <s v="Empresa D"/>
    <s v="Azogues"/>
    <x v="1"/>
    <x v="1"/>
    <s v="Empresa de embarque C"/>
    <s v="Cheque"/>
    <s v="Galletas de chocolate"/>
    <x v="2"/>
    <n v="128.79999999999998"/>
    <n v="80"/>
    <x v="131"/>
  </r>
  <r>
    <n v="322"/>
    <x v="213"/>
    <n v="8317306577"/>
    <s v="Empresa CC"/>
    <s v="Guayaquil"/>
    <x v="3"/>
    <x v="3"/>
    <s v="Empresa de embarque B"/>
    <s v="Cheque"/>
    <s v="Chocolate"/>
    <x v="3"/>
    <n v="178.5"/>
    <n v="47"/>
    <x v="289"/>
  </r>
  <r>
    <n v="323"/>
    <x v="121"/>
    <n v="4952054948"/>
    <s v="Empresa C"/>
    <s v="Machala"/>
    <x v="4"/>
    <x v="0"/>
    <s v="Empresa de embarque B"/>
    <s v="Efectivo"/>
    <s v="Almejas"/>
    <x v="4"/>
    <n v="135.1"/>
    <n v="96"/>
    <x v="290"/>
  </r>
  <r>
    <n v="324"/>
    <x v="214"/>
    <n v="7792270317"/>
    <s v="Empresa F"/>
    <s v="Ibarra"/>
    <x v="5"/>
    <x v="4"/>
    <s v="Empresa de embarque B"/>
    <s v="Tarjeta de crédito"/>
    <s v="Salsa curry"/>
    <x v="5"/>
    <n v="560"/>
    <n v="32"/>
    <x v="291"/>
  </r>
  <r>
    <n v="325"/>
    <x v="10"/>
    <n v="8753687299"/>
    <s v="Empresa BB"/>
    <s v="Manta"/>
    <x v="6"/>
    <x v="5"/>
    <s v="Empresa de embarque C"/>
    <s v="Cheque"/>
    <s v="Café"/>
    <x v="0"/>
    <n v="644"/>
    <n v="16"/>
    <x v="262"/>
  </r>
  <r>
    <n v="326"/>
    <x v="213"/>
    <n v="3276376437"/>
    <s v="Empresa H"/>
    <s v="Riobamba"/>
    <x v="2"/>
    <x v="2"/>
    <s v="Empresa de embarque C"/>
    <s v="Cheque"/>
    <s v="Chocolate"/>
    <x v="3"/>
    <n v="178.5"/>
    <n v="41"/>
    <x v="88"/>
  </r>
  <r>
    <n v="327"/>
    <x v="202"/>
    <n v="6189400875"/>
    <s v="Empresa J"/>
    <s v="Esmeraldas"/>
    <x v="7"/>
    <x v="6"/>
    <s v="Empresa de embarque B"/>
    <s v="Tarjeta de crédito"/>
    <s v="Té verde"/>
    <x v="0"/>
    <n v="41.86"/>
    <n v="41"/>
    <x v="292"/>
  </r>
  <r>
    <n v="328"/>
    <x v="124"/>
    <n v="3440571177"/>
    <s v="Empresa G"/>
    <s v="Guaranda"/>
    <x v="8"/>
    <x v="2"/>
    <m/>
    <m/>
    <s v="Café"/>
    <x v="0"/>
    <n v="644"/>
    <n v="41"/>
    <x v="293"/>
  </r>
  <r>
    <n v="329"/>
    <x v="215"/>
    <n v="8874798513"/>
    <s v="Empresa J"/>
    <s v="Esmeraldas"/>
    <x v="7"/>
    <x v="6"/>
    <s v="Empresa de embarque A"/>
    <m/>
    <s v="Jalea de fresa"/>
    <x v="6"/>
    <n v="350"/>
    <n v="94"/>
    <x v="294"/>
  </r>
  <r>
    <n v="330"/>
    <x v="45"/>
    <n v="9730368433"/>
    <s v="Empresa J"/>
    <s v="Esmeraldas"/>
    <x v="7"/>
    <x v="6"/>
    <s v="Empresa de embarque A"/>
    <m/>
    <s v="Condimento cajún"/>
    <x v="7"/>
    <n v="308"/>
    <n v="20"/>
    <x v="295"/>
  </r>
  <r>
    <n v="331"/>
    <x v="32"/>
    <n v="6592275352"/>
    <s v="Empresa J"/>
    <s v="Esmeraldas"/>
    <x v="7"/>
    <x v="6"/>
    <s v="Empresa de embarque A"/>
    <m/>
    <s v="Galletas de chocolate"/>
    <x v="2"/>
    <n v="128.79999999999998"/>
    <n v="13"/>
    <x v="296"/>
  </r>
  <r>
    <n v="332"/>
    <x v="51"/>
    <n v="9303282439"/>
    <s v="Empresa K"/>
    <s v="Quito"/>
    <x v="9"/>
    <x v="5"/>
    <s v="Empresa de embarque C"/>
    <m/>
    <s v="Ciruelas secas"/>
    <x v="1"/>
    <n v="49"/>
    <n v="74"/>
    <x v="59"/>
  </r>
  <r>
    <n v="333"/>
    <x v="171"/>
    <n v="8998167680"/>
    <s v="Empresa K"/>
    <s v="Quito"/>
    <x v="9"/>
    <x v="5"/>
    <s v="Empresa de embarque C"/>
    <m/>
    <s v="Té verde"/>
    <x v="0"/>
    <n v="41.86"/>
    <n v="53"/>
    <x v="297"/>
  </r>
  <r>
    <n v="334"/>
    <x v="216"/>
    <n v="2058395697"/>
    <s v="Empresa A"/>
    <s v="Ambato"/>
    <x v="10"/>
    <x v="2"/>
    <m/>
    <m/>
    <s v="Té chai"/>
    <x v="0"/>
    <n v="252"/>
    <n v="99"/>
    <x v="298"/>
  </r>
  <r>
    <n v="335"/>
    <x v="217"/>
    <n v="5534305664"/>
    <s v="Empresa A"/>
    <s v="Ambato"/>
    <x v="10"/>
    <x v="2"/>
    <m/>
    <m/>
    <s v="Café"/>
    <x v="0"/>
    <n v="644"/>
    <n v="89"/>
    <x v="299"/>
  </r>
  <r>
    <n v="336"/>
    <x v="181"/>
    <n v="5417309832"/>
    <s v="Empresa A"/>
    <s v="Ambato"/>
    <x v="10"/>
    <x v="2"/>
    <m/>
    <m/>
    <s v="Té verde"/>
    <x v="0"/>
    <n v="41.86"/>
    <n v="64"/>
    <x v="204"/>
  </r>
  <r>
    <n v="337"/>
    <x v="101"/>
    <n v="7626114952"/>
    <s v="Empresa BB"/>
    <s v="Manta"/>
    <x v="6"/>
    <x v="5"/>
    <s v="Empresa de embarque C"/>
    <s v="Tarjeta de crédito"/>
    <s v="Almejas"/>
    <x v="4"/>
    <n v="135.1"/>
    <n v="98"/>
    <x v="300"/>
  </r>
  <r>
    <n v="338"/>
    <x v="218"/>
    <n v="7075151442"/>
    <s v="Empresa BB"/>
    <s v="Manta"/>
    <x v="6"/>
    <x v="5"/>
    <s v="Empresa de embarque C"/>
    <s v="Tarjeta de crédito"/>
    <s v="Carne de cangrejo"/>
    <x v="8"/>
    <n v="257.59999999999997"/>
    <n v="86"/>
    <x v="301"/>
  </r>
  <r>
    <n v="339"/>
    <x v="31"/>
    <n v="4170346813"/>
    <s v="Empresa I"/>
    <s v="Guayaquil"/>
    <x v="3"/>
    <x v="7"/>
    <s v="Empresa de embarque A"/>
    <s v="Cheque"/>
    <s v="Ravioli"/>
    <x v="9"/>
    <n v="273"/>
    <n v="20"/>
    <x v="302"/>
  </r>
  <r>
    <n v="340"/>
    <x v="34"/>
    <n v="7181884746"/>
    <s v="Empresa I"/>
    <s v="Guayaquil"/>
    <x v="3"/>
    <x v="7"/>
    <s v="Empresa de embarque A"/>
    <s v="Cheque"/>
    <s v="Mozzarella"/>
    <x v="10"/>
    <n v="487.19999999999993"/>
    <n v="69"/>
    <x v="303"/>
  </r>
  <r>
    <n v="341"/>
    <x v="219"/>
    <n v="654398232"/>
    <s v="Empresa F"/>
    <s v="Ibarra"/>
    <x v="5"/>
    <x v="4"/>
    <s v="Empresa de embarque B"/>
    <s v="Tarjeta de crédito"/>
    <s v="Cerveza"/>
    <x v="0"/>
    <n v="196"/>
    <n v="68"/>
    <x v="304"/>
  </r>
  <r>
    <n v="342"/>
    <x v="81"/>
    <n v="6559752885"/>
    <s v="Empresa H"/>
    <s v="Riobamba"/>
    <x v="2"/>
    <x v="2"/>
    <s v="Empresa de embarque B"/>
    <s v="Cheque"/>
    <s v="Salsa curry"/>
    <x v="5"/>
    <n v="560"/>
    <n v="52"/>
    <x v="305"/>
  </r>
  <r>
    <n v="343"/>
    <x v="191"/>
    <n v="9428165637"/>
    <s v="Empresa H"/>
    <s v="Riobamba"/>
    <x v="2"/>
    <x v="2"/>
    <s v="Empresa de embarque B"/>
    <s v="Cheque"/>
    <s v="Galletas de chocolate"/>
    <x v="2"/>
    <n v="128.79999999999998"/>
    <n v="40"/>
    <x v="306"/>
  </r>
  <r>
    <n v="344"/>
    <x v="11"/>
    <n v="9902612158"/>
    <s v="Empresa Y"/>
    <s v="Esmeraldas"/>
    <x v="7"/>
    <x v="6"/>
    <s v="Empresa de embarque A"/>
    <s v="Efectivo"/>
    <s v="Bolillos"/>
    <x v="2"/>
    <n v="140"/>
    <n v="100"/>
    <x v="117"/>
  </r>
  <r>
    <n v="345"/>
    <x v="56"/>
    <n v="9601886174"/>
    <s v="Empresa Z"/>
    <s v="Quito"/>
    <x v="9"/>
    <x v="5"/>
    <s v="Empresa de embarque C"/>
    <s v="Tarjeta de crédito"/>
    <s v="Aceite de oliva"/>
    <x v="13"/>
    <n v="298.90000000000003"/>
    <n v="88"/>
    <x v="307"/>
  </r>
  <r>
    <n v="346"/>
    <x v="220"/>
    <n v="9194823962"/>
    <s v="Empresa Z"/>
    <s v="Quito"/>
    <x v="9"/>
    <x v="5"/>
    <s v="Empresa de embarque C"/>
    <s v="Tarjeta de crédito"/>
    <s v="Almejas"/>
    <x v="4"/>
    <n v="135.1"/>
    <n v="46"/>
    <x v="264"/>
  </r>
  <r>
    <n v="347"/>
    <x v="217"/>
    <n v="3580433044"/>
    <s v="Empresa Z"/>
    <s v="Quito"/>
    <x v="9"/>
    <x v="5"/>
    <s v="Empresa de embarque C"/>
    <s v="Tarjeta de crédito"/>
    <s v="Carne de cangrejo"/>
    <x v="8"/>
    <n v="257.59999999999997"/>
    <n v="93"/>
    <x v="308"/>
  </r>
  <r>
    <n v="348"/>
    <x v="148"/>
    <n v="7020598503"/>
    <s v="Empresa CC"/>
    <s v="Guayaquil"/>
    <x v="3"/>
    <x v="3"/>
    <s v="Empresa de embarque B"/>
    <s v="Cheque"/>
    <s v="Cerveza"/>
    <x v="0"/>
    <n v="196"/>
    <n v="96"/>
    <x v="309"/>
  </r>
  <r>
    <n v="349"/>
    <x v="101"/>
    <n v="8040421717"/>
    <s v="Empresa F"/>
    <s v="Ibarra"/>
    <x v="5"/>
    <x v="4"/>
    <s v="Empresa de embarque C"/>
    <s v="Cheque"/>
    <s v="Chocolate"/>
    <x v="3"/>
    <n v="178.5"/>
    <n v="12"/>
    <x v="310"/>
  </r>
  <r>
    <n v="350"/>
    <x v="220"/>
    <n v="3654530055"/>
    <s v="Empresa D"/>
    <s v="Azogues"/>
    <x v="1"/>
    <x v="1"/>
    <s v="Empresa de embarque A"/>
    <s v="Tarjeta de crédito"/>
    <s v="Mermelada de zarzamora"/>
    <x v="6"/>
    <n v="1134"/>
    <n v="38"/>
    <x v="311"/>
  </r>
  <r>
    <n v="351"/>
    <x v="221"/>
    <n v="2061527783"/>
    <s v="Empresa D"/>
    <s v="Azogues"/>
    <x v="1"/>
    <x v="1"/>
    <s v="Empresa de embarque A"/>
    <s v="Tarjeta de crédito"/>
    <s v="Arroz de grano largo"/>
    <x v="14"/>
    <n v="98"/>
    <n v="42"/>
    <x v="109"/>
  </r>
  <r>
    <n v="352"/>
    <x v="220"/>
    <n v="7896754000"/>
    <s v="Empresa H"/>
    <s v="Riobamba"/>
    <x v="2"/>
    <x v="2"/>
    <s v="Empresa de embarque C"/>
    <s v="Tarjeta de crédito"/>
    <s v="Mozzarella"/>
    <x v="10"/>
    <n v="487.19999999999993"/>
    <n v="100"/>
    <x v="312"/>
  </r>
  <r>
    <n v="353"/>
    <x v="222"/>
    <n v="7608023281"/>
    <s v="Empresa C"/>
    <s v="Machala"/>
    <x v="4"/>
    <x v="0"/>
    <s v="Empresa de embarque B"/>
    <s v="Efectivo"/>
    <s v="Jarabe"/>
    <x v="7"/>
    <n v="140"/>
    <n v="89"/>
    <x v="313"/>
  </r>
  <r>
    <n v="354"/>
    <x v="8"/>
    <n v="1088259448"/>
    <s v="Empresa C"/>
    <s v="Machala"/>
    <x v="4"/>
    <x v="0"/>
    <s v="Empresa de embarque B"/>
    <s v="Efectivo"/>
    <s v="Salsa curry"/>
    <x v="5"/>
    <n v="560"/>
    <n v="12"/>
    <x v="61"/>
  </r>
  <r>
    <n v="355"/>
    <x v="223"/>
    <n v="8019968936"/>
    <s v="Empresa J"/>
    <s v="Esmeraldas"/>
    <x v="7"/>
    <x v="6"/>
    <s v="Empresa de embarque B"/>
    <s v="Tarjeta de crédito"/>
    <s v="Almendras"/>
    <x v="1"/>
    <n v="140"/>
    <n v="97"/>
    <x v="314"/>
  </r>
  <r>
    <n v="356"/>
    <x v="178"/>
    <n v="767630917"/>
    <s v="Empresa J"/>
    <s v="Esmeraldas"/>
    <x v="7"/>
    <x v="6"/>
    <s v="Empresa de embarque A"/>
    <m/>
    <s v="Ciruelas secas"/>
    <x v="1"/>
    <n v="49"/>
    <n v="53"/>
    <x v="315"/>
  </r>
  <r>
    <n v="357"/>
    <x v="224"/>
    <n v="8764802979"/>
    <s v="Empresa K"/>
    <s v="Quito"/>
    <x v="9"/>
    <x v="5"/>
    <s v="Empresa de embarque C"/>
    <m/>
    <s v="Salsa curry"/>
    <x v="5"/>
    <n v="560"/>
    <n v="61"/>
    <x v="316"/>
  </r>
  <r>
    <n v="358"/>
    <x v="225"/>
    <n v="1212476279"/>
    <s v="Empresa A"/>
    <s v="Ambato"/>
    <x v="10"/>
    <x v="2"/>
    <s v="Empresa de embarque C"/>
    <m/>
    <s v="Carne de cangrejo"/>
    <x v="8"/>
    <n v="257.59999999999997"/>
    <n v="45"/>
    <x v="317"/>
  </r>
  <r>
    <n v="359"/>
    <x v="201"/>
    <n v="8659179079"/>
    <s v="Empresa BB"/>
    <s v="Manta"/>
    <x v="6"/>
    <x v="5"/>
    <s v="Empresa de embarque C"/>
    <s v="Tarjeta de crédito"/>
    <s v="Café"/>
    <x v="0"/>
    <n v="644"/>
    <n v="43"/>
    <x v="318"/>
  </r>
  <r>
    <n v="360"/>
    <x v="226"/>
    <n v="4311827425"/>
    <s v="Empresa I"/>
    <s v="Guayaquil"/>
    <x v="3"/>
    <x v="7"/>
    <s v="Empresa de embarque A"/>
    <s v="Cheque"/>
    <s v="Almejas"/>
    <x v="4"/>
    <n v="135.1"/>
    <n v="18"/>
    <x v="319"/>
  </r>
  <r>
    <n v="361"/>
    <x v="65"/>
    <n v="7400116244"/>
    <s v="Empresa F"/>
    <s v="Ibarra"/>
    <x v="5"/>
    <x v="4"/>
    <s v="Empresa de embarque B"/>
    <s v="Tarjeta de crédito"/>
    <s v="Chocolate"/>
    <x v="3"/>
    <n v="178.5"/>
    <n v="41"/>
    <x v="88"/>
  </r>
  <r>
    <n v="362"/>
    <x v="128"/>
    <n v="8550780121"/>
    <s v="Empresa H"/>
    <s v="Riobamba"/>
    <x v="2"/>
    <x v="2"/>
    <s v="Empresa de embarque B"/>
    <s v="Cheque"/>
    <s v="Chocolate"/>
    <x v="3"/>
    <n v="178.5"/>
    <n v="19"/>
    <x v="110"/>
  </r>
  <r>
    <n v="363"/>
    <x v="106"/>
    <n v="9461451917"/>
    <s v="Empresa Y"/>
    <s v="Esmeraldas"/>
    <x v="7"/>
    <x v="6"/>
    <s v="Empresa de embarque A"/>
    <s v="Efectivo"/>
    <s v="Condimento cajún"/>
    <x v="7"/>
    <n v="308"/>
    <n v="65"/>
    <x v="320"/>
  </r>
  <r>
    <n v="364"/>
    <x v="141"/>
    <n v="3160888933"/>
    <s v="Empresa Z"/>
    <s v="Quito"/>
    <x v="9"/>
    <x v="5"/>
    <s v="Empresa de embarque C"/>
    <s v="Tarjeta de crédito"/>
    <s v="Jalea de fresa"/>
    <x v="6"/>
    <n v="350"/>
    <n v="13"/>
    <x v="321"/>
  </r>
  <r>
    <n v="365"/>
    <x v="125"/>
    <n v="6433254443"/>
    <s v="Empresa CC"/>
    <s v="Guayaquil"/>
    <x v="3"/>
    <x v="3"/>
    <s v="Empresa de embarque B"/>
    <s v="Cheque"/>
    <s v="Cóctel de frutas"/>
    <x v="12"/>
    <n v="546"/>
    <n v="54"/>
    <x v="322"/>
  </r>
  <r>
    <n v="366"/>
    <x v="116"/>
    <n v="8977261174"/>
    <s v="Empresa F"/>
    <s v="Ibarra"/>
    <x v="5"/>
    <x v="4"/>
    <s v="Empresa de embarque C"/>
    <s v="Cheque"/>
    <s v="Peras secas"/>
    <x v="1"/>
    <n v="420"/>
    <n v="33"/>
    <x v="83"/>
  </r>
  <r>
    <n v="367"/>
    <x v="67"/>
    <n v="7770716054"/>
    <s v="Empresa F"/>
    <s v="Ibarra"/>
    <x v="5"/>
    <x v="4"/>
    <s v="Empresa de embarque C"/>
    <s v="Cheque"/>
    <s v="Manzanas secas"/>
    <x v="1"/>
    <n v="742"/>
    <n v="34"/>
    <x v="323"/>
  </r>
  <r>
    <n v="368"/>
    <x v="227"/>
    <n v="2754807386"/>
    <s v="Empresa D"/>
    <s v="Azogues"/>
    <x v="1"/>
    <x v="1"/>
    <m/>
    <m/>
    <s v="Pasta penne"/>
    <x v="9"/>
    <n v="532"/>
    <n v="59"/>
    <x v="324"/>
  </r>
  <r>
    <n v="369"/>
    <x v="228"/>
    <n v="3873424489"/>
    <s v="Empresa C"/>
    <s v="Machala"/>
    <x v="4"/>
    <x v="0"/>
    <m/>
    <m/>
    <s v="Té verde"/>
    <x v="0"/>
    <n v="41.86"/>
    <n v="24"/>
    <x v="3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0">
  <r>
    <n v="1"/>
    <x v="0"/>
    <n v="9259377217"/>
    <s v="Empresa AA"/>
    <s v="Cuenca"/>
    <s v="Azuay"/>
    <s v="Mayra Aguilar Sepúlveda"/>
    <x v="0"/>
    <s v="Cheque"/>
    <s v="Cerveza"/>
    <s v="Bebidas"/>
    <x v="0"/>
    <n v="10"/>
    <n v="140"/>
  </r>
  <r>
    <n v="2"/>
    <x v="1"/>
    <n v="6185253419"/>
    <s v="Empresa AA"/>
    <s v="Cuenca"/>
    <s v="Azuay"/>
    <s v="Mayra Aguilar Sepúlveda"/>
    <x v="0"/>
    <s v="Cheque"/>
    <s v="Ciruelas secas"/>
    <s v="Frutas secas"/>
    <x v="1"/>
    <n v="1"/>
    <n v="34"/>
  </r>
  <r>
    <n v="3"/>
    <x v="2"/>
    <n v="2308885942"/>
    <s v="Empresa D"/>
    <s v="Azogues"/>
    <s v="Canar"/>
    <s v="Andrés González Rico"/>
    <x v="1"/>
    <s v="Tarjeta de crédito"/>
    <s v="Peras secas"/>
    <s v="Frutas secas"/>
    <x v="0"/>
    <n v="57"/>
    <n v="798"/>
  </r>
  <r>
    <n v="4"/>
    <x v="3"/>
    <n v="6199717898"/>
    <s v="Empresa D"/>
    <s v="Azogues"/>
    <s v="Canar"/>
    <s v="Andrés González Rico"/>
    <x v="1"/>
    <s v="Tarjeta de crédito"/>
    <s v="Manzanas secas"/>
    <s v="Frutas secas"/>
    <x v="2"/>
    <n v="72"/>
    <n v="1152"/>
  </r>
  <r>
    <n v="5"/>
    <x v="4"/>
    <n v="5540683029"/>
    <s v="Empresa D"/>
    <s v="Azogues"/>
    <s v="Canar"/>
    <s v="Andrés González Rico"/>
    <x v="1"/>
    <s v="Tarjeta de crédito"/>
    <s v="Ciruelas secas"/>
    <s v="Frutas secas"/>
    <x v="3"/>
    <n v="68"/>
    <n v="816"/>
  </r>
  <r>
    <n v="6"/>
    <x v="5"/>
    <n v="6343955045"/>
    <s v="Empresa L"/>
    <s v="Cuenca"/>
    <s v="Azuay"/>
    <s v="Mayra Aguilar Sepúlveda"/>
    <x v="0"/>
    <s v="Tarjeta de crédito"/>
    <s v="Té chai"/>
    <s v="Bebidas"/>
    <x v="4"/>
    <n v="29"/>
    <n v="638"/>
  </r>
  <r>
    <n v="7"/>
    <x v="6"/>
    <n v="1572125717"/>
    <s v="Empresa L"/>
    <s v="Cuenca"/>
    <s v="Azuay"/>
    <s v="Mayra Aguilar Sepúlveda"/>
    <x v="0"/>
    <s v="Tarjeta de crédito"/>
    <s v="Café"/>
    <s v="Bebidas"/>
    <x v="5"/>
    <n v="41"/>
    <n v="1722"/>
  </r>
  <r>
    <n v="8"/>
    <x v="7"/>
    <n v="3776895536"/>
    <s v="Empresa H"/>
    <s v="Riobamba"/>
    <s v="Chimborazo"/>
    <s v="Nancy Gil de la Peña"/>
    <x v="2"/>
    <s v="Tarjeta de crédito"/>
    <s v="Galletas de chocolate"/>
    <s v="Productos horneados"/>
    <x v="6"/>
    <n v="18"/>
    <n v="198"/>
  </r>
  <r>
    <n v="9"/>
    <x v="8"/>
    <n v="390733860"/>
    <s v="Empresa D"/>
    <s v="Azogues"/>
    <s v="Canar"/>
    <s v="Andrés González Rico"/>
    <x v="2"/>
    <s v="Cheque"/>
    <s v="Galletas de chocolate"/>
    <s v="Productos horneados"/>
    <x v="7"/>
    <n v="73"/>
    <n v="2117"/>
  </r>
  <r>
    <n v="10"/>
    <x v="7"/>
    <n v="2456709195"/>
    <s v="Empresa CC"/>
    <s v="Guayaquil"/>
    <s v="Guayas"/>
    <s v="José de Jesús Morales"/>
    <x v="0"/>
    <s v="Cheque"/>
    <s v="Chocolate"/>
    <s v="Dulces"/>
    <x v="3"/>
    <n v="79"/>
    <n v="948"/>
  </r>
  <r>
    <n v="11"/>
    <x v="9"/>
    <n v="5766090086"/>
    <s v="Empresa C"/>
    <s v="Machala"/>
    <s v="El Oro"/>
    <s v="Mayra Aguilar Sepúlveda"/>
    <x v="0"/>
    <s v="Efectivo"/>
    <s v="Almejas"/>
    <s v="Sopas"/>
    <x v="8"/>
    <n v="37"/>
    <n v="1036"/>
  </r>
  <r>
    <n v="12"/>
    <x v="10"/>
    <n v="4872781256"/>
    <s v="Empresa F"/>
    <s v="Ibarra"/>
    <s v="Imbabura"/>
    <s v="Luis Miguel Valdés Garza"/>
    <x v="0"/>
    <s v="Tarjeta de crédito"/>
    <s v="Salsa curry"/>
    <s v="Salsas"/>
    <x v="9"/>
    <n v="64"/>
    <n v="2112"/>
  </r>
  <r>
    <n v="13"/>
    <x v="11"/>
    <n v="4213140599"/>
    <s v="Empresa BB"/>
    <s v="Manta"/>
    <s v="Manabi"/>
    <s v="Ana del Valle Hinojosa"/>
    <x v="2"/>
    <s v="Cheque"/>
    <s v="Café"/>
    <s v="Bebidas"/>
    <x v="10"/>
    <n v="96"/>
    <n v="2016"/>
  </r>
  <r>
    <n v="14"/>
    <x v="12"/>
    <n v="9433063552"/>
    <s v="Empresa H"/>
    <s v="Riobamba"/>
    <s v="Chimborazo"/>
    <s v="Nancy Gil de la Peña"/>
    <x v="2"/>
    <s v="Cheque"/>
    <s v="Chocolate"/>
    <s v="Dulces"/>
    <x v="11"/>
    <n v="86"/>
    <n v="3956"/>
  </r>
  <r>
    <n v="15"/>
    <x v="13"/>
    <n v="8539365209"/>
    <s v="Empresa J"/>
    <s v="Esmeraldas"/>
    <s v="Esmeraldas"/>
    <s v="Laura Gutiérrez Saenz"/>
    <x v="0"/>
    <s v="Tarjeta de crédito"/>
    <s v="Té verde"/>
    <s v="Bebidas"/>
    <x v="12"/>
    <n v="96"/>
    <n v="3936"/>
  </r>
  <r>
    <n v="16"/>
    <x v="14"/>
    <n v="6983099686"/>
    <s v="Empresa G"/>
    <s v="Guaranda"/>
    <s v="Guaranda"/>
    <s v="Nancy Gil de la Peña"/>
    <x v="3"/>
    <s v="Empresa de embarque D"/>
    <s v="Café"/>
    <s v="Bebidas"/>
    <x v="13"/>
    <n v="97"/>
    <n v="4365"/>
  </r>
  <r>
    <n v="17"/>
    <x v="15"/>
    <n v="3008945605"/>
    <s v="Empresa J"/>
    <s v="Esmeraldas"/>
    <s v="Esmeraldas"/>
    <s v="Laura Gutiérrez Saenz"/>
    <x v="1"/>
    <s v="Empresa de embarque D"/>
    <s v="Jalea de fresa"/>
    <s v="Mermeladas y jaleas"/>
    <x v="14"/>
    <n v="65"/>
    <n v="1690"/>
  </r>
  <r>
    <n v="18"/>
    <x v="16"/>
    <n v="5388305959"/>
    <s v="Empresa J"/>
    <s v="Esmeraldas"/>
    <s v="Esmeraldas"/>
    <s v="Laura Gutiérrez Saenz"/>
    <x v="1"/>
    <s v="Empresa de embarque D"/>
    <s v="Condimento cajún"/>
    <s v="Condimentos"/>
    <x v="15"/>
    <n v="88"/>
    <n v="3520"/>
  </r>
  <r>
    <n v="19"/>
    <x v="17"/>
    <n v="438272084"/>
    <s v="Empresa J"/>
    <s v="Esmeraldas"/>
    <s v="Esmeraldas"/>
    <s v="Laura Gutiérrez Saenz"/>
    <x v="1"/>
    <s v="Empresa de embarque D"/>
    <s v="Galletas de chocolate"/>
    <s v="Productos horneados"/>
    <x v="3"/>
    <n v="60"/>
    <n v="720"/>
  </r>
  <r>
    <n v="20"/>
    <x v="18"/>
    <n v="2536792311"/>
    <s v="Empresa K"/>
    <s v="Quito"/>
    <s v="Pichincha"/>
    <s v="Ana del Valle Hinojosa"/>
    <x v="2"/>
    <s v="Empresa de embarque D"/>
    <s v="Ciruelas secas"/>
    <s v="Frutas secas"/>
    <x v="16"/>
    <n v="96"/>
    <n v="3360"/>
  </r>
  <r>
    <n v="21"/>
    <x v="19"/>
    <n v="7813757711"/>
    <s v="Empresa K"/>
    <s v="Quito"/>
    <s v="Pichincha"/>
    <s v="Ana del Valle Hinojosa"/>
    <x v="2"/>
    <s v="Empresa de embarque D"/>
    <s v="Té verde"/>
    <s v="Bebidas"/>
    <x v="17"/>
    <n v="50"/>
    <n v="1000"/>
  </r>
  <r>
    <n v="22"/>
    <x v="20"/>
    <n v="4786931679"/>
    <s v="Empresa A"/>
    <s v="Ambato"/>
    <s v="Tungurahua"/>
    <s v="Nancy Gil de la Peña"/>
    <x v="3"/>
    <s v="Empresa de embarque D"/>
    <s v="Té chai"/>
    <s v="Bebidas"/>
    <x v="18"/>
    <n v="75"/>
    <n v="3750"/>
  </r>
  <r>
    <n v="23"/>
    <x v="21"/>
    <n v="3021659728"/>
    <s v="Empresa A"/>
    <s v="Ambato"/>
    <s v="Tungurahua"/>
    <s v="Nancy Gil de la Peña"/>
    <x v="3"/>
    <s v="Empresa de embarque D"/>
    <s v="Café"/>
    <s v="Bebidas"/>
    <x v="10"/>
    <n v="4"/>
    <n v="84"/>
  </r>
  <r>
    <n v="24"/>
    <x v="22"/>
    <n v="2591950684"/>
    <s v="Empresa A"/>
    <s v="Ambato"/>
    <s v="Tungurahua"/>
    <s v="Nancy Gil de la Peña"/>
    <x v="3"/>
    <s v="Empresa de embarque D"/>
    <s v="Té verde"/>
    <s v="Bebidas"/>
    <x v="19"/>
    <n v="18"/>
    <n v="774"/>
  </r>
  <r>
    <n v="25"/>
    <x v="23"/>
    <n v="9326361454"/>
    <s v="Empresa BB"/>
    <s v="Manta"/>
    <s v="Manabi"/>
    <s v="Ana del Valle Hinojosa"/>
    <x v="2"/>
    <s v="Tarjeta de crédito"/>
    <s v="Almejas"/>
    <s v="Sopas"/>
    <x v="14"/>
    <n v="49"/>
    <n v="1274"/>
  </r>
  <r>
    <n v="26"/>
    <x v="24"/>
    <n v="3769138349"/>
    <s v="Empresa BB"/>
    <s v="Manta"/>
    <s v="Manabi"/>
    <s v="Ana del Valle Hinojosa"/>
    <x v="2"/>
    <s v="Tarjeta de crédito"/>
    <s v="Carne de cangrejo"/>
    <s v="Carne enlatada"/>
    <x v="20"/>
    <n v="21"/>
    <n v="819"/>
  </r>
  <r>
    <n v="27"/>
    <x v="2"/>
    <n v="5871657714"/>
    <s v="Empresa I"/>
    <s v="Guayaquil"/>
    <s v="Guayas"/>
    <s v="Robert Zárate Carrillo"/>
    <x v="1"/>
    <s v="Cheque"/>
    <s v="Ravioli"/>
    <s v="Pasta"/>
    <x v="9"/>
    <n v="8"/>
    <n v="264"/>
  </r>
  <r>
    <n v="28"/>
    <x v="25"/>
    <n v="1534553307"/>
    <s v="Empresa I"/>
    <s v="Guayaquil"/>
    <s v="Guayas"/>
    <s v="Robert Zárate Carrillo"/>
    <x v="1"/>
    <s v="Cheque"/>
    <s v="Mozzarella"/>
    <s v="Productos lácteos"/>
    <x v="11"/>
    <n v="82"/>
    <n v="3772"/>
  </r>
  <r>
    <n v="29"/>
    <x v="26"/>
    <n v="8474620707"/>
    <s v="Empresa F"/>
    <s v="Ibarra"/>
    <s v="Imbabura"/>
    <s v="Luis Miguel Valdés Garza"/>
    <x v="0"/>
    <s v="Tarjeta de crédito"/>
    <s v="Cerveza"/>
    <s v="Bebidas"/>
    <x v="21"/>
    <n v="75"/>
    <n v="2400"/>
  </r>
  <r>
    <n v="30"/>
    <x v="27"/>
    <n v="3530767380"/>
    <s v="Empresa H"/>
    <s v="Riobamba"/>
    <s v="Chimborazo"/>
    <s v="Nancy Gil de la Peña"/>
    <x v="0"/>
    <s v="Cheque"/>
    <s v="Salsa curry"/>
    <s v="Salsas"/>
    <x v="1"/>
    <n v="3"/>
    <n v="102"/>
  </r>
  <r>
    <n v="31"/>
    <x v="28"/>
    <n v="6673950624"/>
    <s v="Empresa C"/>
    <s v="Machala"/>
    <s v="El Oro"/>
    <s v="Mayra Aguilar Sepúlveda"/>
    <x v="0"/>
    <s v="Efectivo"/>
    <s v="Jarabe"/>
    <s v="Condimentos"/>
    <x v="22"/>
    <n v="33"/>
    <n v="792"/>
  </r>
  <r>
    <n v="32"/>
    <x v="29"/>
    <n v="7137547321"/>
    <s v="Empresa C"/>
    <s v="Machala"/>
    <s v="El Oro"/>
    <s v="Mayra Aguilar Sepúlveda"/>
    <x v="0"/>
    <s v="Efectivo"/>
    <s v="Salsa curry"/>
    <s v="Salsas"/>
    <x v="10"/>
    <n v="51"/>
    <n v="1071"/>
  </r>
  <r>
    <n v="33"/>
    <x v="30"/>
    <n v="9655985375"/>
    <s v="Empresa F"/>
    <s v="Ibarra"/>
    <s v="Imbabura"/>
    <s v="Luis Miguel Valdés Garza"/>
    <x v="0"/>
    <s v="Tarjeta de crédito"/>
    <s v="Empresa de embarque D"/>
    <s v="Tarifa de envío"/>
    <x v="23"/>
    <s v="Empresa de embarque D"/>
    <s v="Empresa de embarque D"/>
  </r>
  <r>
    <n v="34"/>
    <x v="31"/>
    <n v="299812367"/>
    <s v="Empresa BB"/>
    <s v="Manta"/>
    <s v="Manabi"/>
    <s v="Ana del Valle Hinojosa"/>
    <x v="2"/>
    <s v="Cheque"/>
    <s v="Empresa de embarque D"/>
    <s v="Tarifa de envío"/>
    <x v="23"/>
    <s v="Empresa de embarque D"/>
    <s v="Empresa de embarque D"/>
  </r>
  <r>
    <n v="35"/>
    <x v="32"/>
    <n v="7779151222"/>
    <s v="Empresa H"/>
    <s v="Riobamba"/>
    <s v="Chimborazo"/>
    <s v="Nancy Gil de la Peña"/>
    <x v="2"/>
    <s v="Cheque"/>
    <s v="Empresa de embarque D"/>
    <s v="Tarifa de envío"/>
    <x v="23"/>
    <s v="Empresa de embarque D"/>
    <s v="Empresa de embarque D"/>
  </r>
  <r>
    <n v="36"/>
    <x v="33"/>
    <n v="9282360094"/>
    <s v="Empresa J"/>
    <s v="Esmeraldas"/>
    <s v="Esmeraldas"/>
    <s v="Laura Gutiérrez Saenz"/>
    <x v="0"/>
    <s v="Tarjeta de crédito"/>
    <s v="Almendras"/>
    <s v="Frutas secas"/>
    <x v="24"/>
    <n v="47"/>
    <n v="6580"/>
  </r>
  <r>
    <n v="37"/>
    <x v="34"/>
    <n v="6935804403"/>
    <s v="Empresa J"/>
    <s v="Esmeraldas"/>
    <s v="Esmeraldas"/>
    <s v="Laura Gutiérrez Saenz"/>
    <x v="1"/>
    <s v="Empresa de embarque D"/>
    <s v="Ciruelas secas"/>
    <s v="Frutas secas"/>
    <x v="25"/>
    <n v="49"/>
    <n v="2401"/>
  </r>
  <r>
    <n v="38"/>
    <x v="35"/>
    <n v="3650322132"/>
    <s v="Empresa K"/>
    <s v="Quito"/>
    <s v="Pichincha"/>
    <s v="Ana del Valle Hinojosa"/>
    <x v="2"/>
    <s v="Empresa de embarque D"/>
    <s v="Salsa curry"/>
    <s v="Salsas"/>
    <x v="26"/>
    <n v="72"/>
    <n v="40320"/>
  </r>
  <r>
    <n v="39"/>
    <x v="25"/>
    <n v="1985754250"/>
    <s v="Empresa A"/>
    <s v="Ambato"/>
    <s v="Tungurahua"/>
    <s v="Nancy Gil de la Peña"/>
    <x v="2"/>
    <s v="Empresa de embarque D"/>
    <s v="Carne de cangrejo"/>
    <s v="Carne enlatada"/>
    <x v="27"/>
    <n v="13"/>
    <n v="3348.7999999999997"/>
  </r>
  <r>
    <n v="40"/>
    <x v="36"/>
    <n v="7293507918"/>
    <s v="Empresa BB"/>
    <s v="Manta"/>
    <s v="Manabi"/>
    <s v="Ana del Valle Hinojosa"/>
    <x v="2"/>
    <s v="Tarjeta de crédito"/>
    <s v="Café"/>
    <s v="Bebidas"/>
    <x v="28"/>
    <n v="32"/>
    <n v="20608"/>
  </r>
  <r>
    <n v="41"/>
    <x v="37"/>
    <n v="3459323228"/>
    <s v="Empresa I"/>
    <s v="Guayaquil"/>
    <s v="Guayas"/>
    <s v="Robert Zárate Carrillo"/>
    <x v="1"/>
    <s v="Cheque"/>
    <s v="Almejas"/>
    <s v="Sopas"/>
    <x v="29"/>
    <n v="27"/>
    <n v="3647.7"/>
  </r>
  <r>
    <n v="42"/>
    <x v="9"/>
    <n v="1144627655"/>
    <s v="Empresa F"/>
    <s v="Ibarra"/>
    <s v="Imbabura"/>
    <s v="Luis Miguel Valdés Garza"/>
    <x v="0"/>
    <s v="Tarjeta de crédito"/>
    <s v="Chocolate"/>
    <s v="Dulces"/>
    <x v="30"/>
    <n v="71"/>
    <n v="12673.5"/>
  </r>
  <r>
    <n v="43"/>
    <x v="38"/>
    <n v="3986713828"/>
    <s v="Empresa H"/>
    <s v="Riobamba"/>
    <s v="Chimborazo"/>
    <s v="Nancy Gil de la Peña"/>
    <x v="0"/>
    <s v="Cheque"/>
    <s v="Chocolate"/>
    <s v="Dulces"/>
    <x v="30"/>
    <n v="13"/>
    <n v="2320.5"/>
  </r>
  <r>
    <n v="44"/>
    <x v="39"/>
    <n v="9350633665"/>
    <s v="Empresa Y"/>
    <s v="Esmeraldas"/>
    <s v="Esmeraldas"/>
    <s v="Laura Gutiérrez Saenz"/>
    <x v="1"/>
    <s v="Efectivo"/>
    <s v="Condimento cajún"/>
    <s v="Condimentos"/>
    <x v="31"/>
    <n v="98"/>
    <n v="30184"/>
  </r>
  <r>
    <n v="45"/>
    <x v="40"/>
    <n v="4918639925"/>
    <s v="Empresa Z"/>
    <s v="Quito"/>
    <s v="Pichincha"/>
    <s v="Ana del Valle Hinojosa"/>
    <x v="2"/>
    <s v="Tarjeta de crédito"/>
    <s v="Jalea de fresa"/>
    <s v="Mermeladas y jaleas"/>
    <x v="32"/>
    <n v="21"/>
    <n v="7350"/>
  </r>
  <r>
    <n v="46"/>
    <x v="41"/>
    <n v="9630006862"/>
    <s v="Empresa CC"/>
    <s v="Guayaquil"/>
    <s v="Guayas"/>
    <s v="José de Jesús Morales"/>
    <x v="0"/>
    <s v="Cheque"/>
    <s v="Cóctel de frutas"/>
    <s v="Frutas y vegetales"/>
    <x v="33"/>
    <n v="26"/>
    <n v="14196"/>
  </r>
  <r>
    <n v="47"/>
    <x v="42"/>
    <n v="9029002933"/>
    <s v="Empresa F"/>
    <s v="Ibarra"/>
    <s v="Imbabura"/>
    <s v="Luis Miguel Valdés Garza"/>
    <x v="2"/>
    <s v="Cheque"/>
    <s v="Peras secas"/>
    <s v="Frutas secas"/>
    <x v="34"/>
    <n v="96"/>
    <n v="40320"/>
  </r>
  <r>
    <n v="48"/>
    <x v="43"/>
    <n v="5702300844"/>
    <s v="Empresa F"/>
    <s v="Ibarra"/>
    <s v="Imbabura"/>
    <s v="Luis Miguel Valdés Garza"/>
    <x v="2"/>
    <s v="Cheque"/>
    <s v="Manzanas secas"/>
    <s v="Frutas secas"/>
    <x v="35"/>
    <n v="16"/>
    <n v="11872"/>
  </r>
  <r>
    <n v="49"/>
    <x v="44"/>
    <n v="6885713027"/>
    <s v="Empresa D"/>
    <s v="Azogues"/>
    <s v="Canar"/>
    <s v="Andrés González Rico"/>
    <x v="3"/>
    <s v="Empresa de embarque D"/>
    <s v="Pasta penne"/>
    <s v="Pasta"/>
    <x v="36"/>
    <n v="96"/>
    <n v="51072"/>
  </r>
  <r>
    <n v="50"/>
    <x v="12"/>
    <n v="5156178317"/>
    <s v="Empresa C"/>
    <s v="Machala"/>
    <s v="El Oro"/>
    <s v="Mayra Aguilar Sepúlveda"/>
    <x v="3"/>
    <s v="Empresa de embarque D"/>
    <s v="Té verde"/>
    <s v="Bebidas"/>
    <x v="37"/>
    <n v="75"/>
    <n v="3139.5"/>
  </r>
  <r>
    <n v="51"/>
    <x v="45"/>
    <n v="9993785470"/>
    <s v="Empresa I"/>
    <s v="Guayaquil"/>
    <s v="Guayas"/>
    <s v="Robert Zárate Carrillo"/>
    <x v="1"/>
    <s v="Cheque"/>
    <s v="Ravioli"/>
    <s v="Pasta"/>
    <x v="38"/>
    <n v="55"/>
    <n v="15015"/>
  </r>
  <r>
    <n v="52"/>
    <x v="46"/>
    <n v="2344903076"/>
    <s v="Empresa I"/>
    <s v="Guayaquil"/>
    <s v="Guayas"/>
    <s v="Robert Zárate Carrillo"/>
    <x v="1"/>
    <s v="Cheque"/>
    <s v="Mozzarella"/>
    <s v="Productos lácteos"/>
    <x v="39"/>
    <n v="11"/>
    <n v="5359.1999999999989"/>
  </r>
  <r>
    <n v="53"/>
    <x v="47"/>
    <n v="5773601950"/>
    <s v="Empresa F"/>
    <s v="Ibarra"/>
    <s v="Imbabura"/>
    <s v="Luis Miguel Valdés Garza"/>
    <x v="0"/>
    <s v="Tarjeta de crédito"/>
    <s v="Cerveza"/>
    <s v="Bebidas"/>
    <x v="40"/>
    <n v="53"/>
    <n v="10388"/>
  </r>
  <r>
    <n v="54"/>
    <x v="48"/>
    <n v="4818078168"/>
    <s v="Empresa H"/>
    <s v="Riobamba"/>
    <s v="Chimborazo"/>
    <s v="Nancy Gil de la Peña"/>
    <x v="0"/>
    <s v="Cheque"/>
    <s v="Salsa curry"/>
    <s v="Salsas"/>
    <x v="26"/>
    <n v="85"/>
    <n v="47600"/>
  </r>
  <r>
    <n v="55"/>
    <x v="49"/>
    <n v="9107195581"/>
    <s v="Empresa H"/>
    <s v="Riobamba"/>
    <s v="Chimborazo"/>
    <s v="Nancy Gil de la Peña"/>
    <x v="0"/>
    <s v="Cheque"/>
    <s v="Galletas de chocolate"/>
    <s v="Productos horneados"/>
    <x v="41"/>
    <n v="97"/>
    <n v="12493.599999999999"/>
  </r>
  <r>
    <n v="56"/>
    <x v="50"/>
    <n v="5806733138"/>
    <s v="Empresa Y"/>
    <s v="Esmeraldas"/>
    <s v="Esmeraldas"/>
    <s v="Laura Gutiérrez Saenz"/>
    <x v="1"/>
    <s v="Efectivo"/>
    <s v="Bolillos"/>
    <s v="Productos horneados"/>
    <x v="24"/>
    <n v="46"/>
    <n v="6440"/>
  </r>
  <r>
    <n v="57"/>
    <x v="51"/>
    <n v="3059258597"/>
    <s v="Empresa Z"/>
    <s v="Quito"/>
    <s v="Pichincha"/>
    <s v="Ana del Valle Hinojosa"/>
    <x v="2"/>
    <s v="Tarjeta de crédito"/>
    <s v="Aceite de oliva"/>
    <s v="Aceite"/>
    <x v="42"/>
    <n v="97"/>
    <n v="28993.300000000003"/>
  </r>
  <r>
    <n v="58"/>
    <x v="52"/>
    <n v="586395005"/>
    <s v="Empresa Z"/>
    <s v="Quito"/>
    <s v="Pichincha"/>
    <s v="Ana del Valle Hinojosa"/>
    <x v="2"/>
    <s v="Tarjeta de crédito"/>
    <s v="Almejas"/>
    <s v="Sopas"/>
    <x v="29"/>
    <n v="97"/>
    <n v="13104.699999999999"/>
  </r>
  <r>
    <n v="59"/>
    <x v="53"/>
    <n v="9281389647"/>
    <s v="Empresa Z"/>
    <s v="Quito"/>
    <s v="Pichincha"/>
    <s v="Ana del Valle Hinojosa"/>
    <x v="2"/>
    <s v="Tarjeta de crédito"/>
    <s v="Carne de cangrejo"/>
    <s v="Carne enlatada"/>
    <x v="27"/>
    <n v="65"/>
    <n v="16743.999999999996"/>
  </r>
  <r>
    <n v="60"/>
    <x v="54"/>
    <n v="2230409971"/>
    <s v="Empresa CC"/>
    <s v="Guayaquil"/>
    <s v="Guayas"/>
    <s v="José de Jesús Morales"/>
    <x v="0"/>
    <s v="Cheque"/>
    <s v="Cerveza"/>
    <s v="Bebidas"/>
    <x v="40"/>
    <n v="72"/>
    <n v="14112"/>
  </r>
  <r>
    <n v="61"/>
    <x v="34"/>
    <n v="498762200"/>
    <s v="Empresa F"/>
    <s v="Ibarra"/>
    <s v="Imbabura"/>
    <s v="Luis Miguel Valdés Garza"/>
    <x v="2"/>
    <s v="Cheque"/>
    <s v="Chocolate"/>
    <s v="Dulces"/>
    <x v="30"/>
    <n v="16"/>
    <n v="2856"/>
  </r>
  <r>
    <n v="62"/>
    <x v="55"/>
    <n v="5059332572"/>
    <s v="Empresa D"/>
    <s v="Azogues"/>
    <s v="Canar"/>
    <s v="Andrés González Rico"/>
    <x v="1"/>
    <s v="Tarjeta de crédito"/>
    <s v="Mermelada de zarzamora"/>
    <s v="Mermeladas y jaleas"/>
    <x v="43"/>
    <n v="77"/>
    <n v="87318"/>
  </r>
  <r>
    <n v="63"/>
    <x v="56"/>
    <n v="807667000"/>
    <s v="Empresa D"/>
    <s v="Azogues"/>
    <s v="Canar"/>
    <s v="Andrés González Rico"/>
    <x v="1"/>
    <s v="Tarjeta de crédito"/>
    <s v="Arroz de grano largo"/>
    <s v="Granos"/>
    <x v="44"/>
    <n v="37"/>
    <n v="3626"/>
  </r>
  <r>
    <n v="64"/>
    <x v="57"/>
    <n v="4320869422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65"/>
    <x v="58"/>
    <n v="7227542762"/>
    <s v="Empresa C"/>
    <s v="Machala"/>
    <s v="El Oro"/>
    <s v="Mayra Aguilar Sepúlveda"/>
    <x v="0"/>
    <s v="Efectivo"/>
    <s v="Jarabe"/>
    <s v="Condimentos"/>
    <x v="24"/>
    <n v="48"/>
    <n v="6720"/>
  </r>
  <r>
    <n v="66"/>
    <x v="59"/>
    <n v="4844854212"/>
    <s v="Empresa C"/>
    <s v="Machala"/>
    <s v="El Oro"/>
    <s v="Mayra Aguilar Sepúlveda"/>
    <x v="0"/>
    <s v="Efectivo"/>
    <s v="Salsa curry"/>
    <s v="Salsas"/>
    <x v="26"/>
    <n v="71"/>
    <n v="39760"/>
  </r>
  <r>
    <n v="67"/>
    <x v="60"/>
    <n v="6476704094"/>
    <s v="Empresa J"/>
    <s v="Esmeraldas"/>
    <s v="Esmeraldas"/>
    <s v="Laura Gutiérrez Saenz"/>
    <x v="0"/>
    <s v="Tarjeta de crédito"/>
    <s v="Almendras"/>
    <s v="Frutas secas"/>
    <x v="24"/>
    <n v="55"/>
    <n v="7700"/>
  </r>
  <r>
    <n v="68"/>
    <x v="61"/>
    <n v="289513623"/>
    <s v="Empresa J"/>
    <s v="Esmeraldas"/>
    <s v="Esmeraldas"/>
    <s v="Laura Gutiérrez Saenz"/>
    <x v="1"/>
    <s v="Empresa de embarque D"/>
    <s v="Ciruelas secas"/>
    <s v="Frutas secas"/>
    <x v="25"/>
    <n v="21"/>
    <n v="1029"/>
  </r>
  <r>
    <n v="69"/>
    <x v="62"/>
    <n v="4360909288"/>
    <s v="Empresa K"/>
    <s v="Quito"/>
    <s v="Pichincha"/>
    <s v="Ana del Valle Hinojosa"/>
    <x v="2"/>
    <s v="Empresa de embarque D"/>
    <s v="Salsa curry"/>
    <s v="Salsas"/>
    <x v="26"/>
    <n v="67"/>
    <n v="37520"/>
  </r>
  <r>
    <n v="70"/>
    <x v="63"/>
    <n v="1569352924"/>
    <s v="Empresa A"/>
    <s v="Ambato"/>
    <s v="Tungurahua"/>
    <s v="Nancy Gil de la Peña"/>
    <x v="2"/>
    <s v="Empresa de embarque D"/>
    <s v="Carne de cangrejo"/>
    <s v="Carne enlatada"/>
    <x v="27"/>
    <n v="75"/>
    <n v="19319.999999999996"/>
  </r>
  <r>
    <n v="71"/>
    <x v="64"/>
    <n v="4417023777"/>
    <s v="Empresa BB"/>
    <s v="Manta"/>
    <s v="Manabi"/>
    <s v="Ana del Valle Hinojosa"/>
    <x v="2"/>
    <s v="Tarjeta de crédito"/>
    <s v="Café"/>
    <s v="Bebidas"/>
    <x v="28"/>
    <n v="17"/>
    <n v="10948"/>
  </r>
  <r>
    <n v="72"/>
    <x v="28"/>
    <n v="5213348963"/>
    <s v="Empresa D"/>
    <s v="Azogues"/>
    <s v="Canar"/>
    <s v="Andrés González Rico"/>
    <x v="1"/>
    <s v="Tarjeta de crédito"/>
    <s v="Ciruelas secas"/>
    <s v="Frutas secas"/>
    <x v="25"/>
    <n v="48"/>
    <n v="2352"/>
  </r>
  <r>
    <n v="73"/>
    <x v="65"/>
    <n v="6039525395"/>
    <s v="Empresa L"/>
    <s v="Cuenca"/>
    <s v="Azuay"/>
    <s v="Mayra Aguilar Sepúlveda"/>
    <x v="0"/>
    <s v="Tarjeta de crédito"/>
    <s v="Té chai"/>
    <s v="Bebidas"/>
    <x v="45"/>
    <n v="74"/>
    <n v="18648"/>
  </r>
  <r>
    <n v="74"/>
    <x v="47"/>
    <n v="7564866770"/>
    <s v="Empresa L"/>
    <s v="Cuenca"/>
    <s v="Azuay"/>
    <s v="Mayra Aguilar Sepúlveda"/>
    <x v="0"/>
    <s v="Tarjeta de crédito"/>
    <s v="Café"/>
    <s v="Bebidas"/>
    <x v="28"/>
    <n v="96"/>
    <n v="61824"/>
  </r>
  <r>
    <n v="75"/>
    <x v="66"/>
    <n v="9161740728"/>
    <s v="Empresa H"/>
    <s v="Riobamba"/>
    <s v="Chimborazo"/>
    <s v="Nancy Gil de la Peña"/>
    <x v="2"/>
    <s v="Tarjeta de crédito"/>
    <s v="Galletas de chocolate"/>
    <s v="Productos horneados"/>
    <x v="41"/>
    <n v="12"/>
    <n v="1545.6"/>
  </r>
  <r>
    <n v="76"/>
    <x v="67"/>
    <n v="5854661633"/>
    <s v="Empresa D"/>
    <s v="Azogues"/>
    <s v="Canar"/>
    <s v="Andrés González Rico"/>
    <x v="2"/>
    <s v="Cheque"/>
    <s v="Galletas de chocolate"/>
    <s v="Productos horneados"/>
    <x v="41"/>
    <n v="62"/>
    <n v="7985.5999999999985"/>
  </r>
  <r>
    <n v="77"/>
    <x v="68"/>
    <n v="9782824487"/>
    <s v="Empresa CC"/>
    <s v="Guayaquil"/>
    <s v="Guayas"/>
    <s v="José de Jesús Morales"/>
    <x v="0"/>
    <s v="Cheque"/>
    <s v="Chocolate"/>
    <s v="Dulces"/>
    <x v="30"/>
    <n v="35"/>
    <n v="6247.5"/>
  </r>
  <r>
    <n v="78"/>
    <x v="69"/>
    <n v="5368581132"/>
    <s v="Empresa C"/>
    <s v="Machala"/>
    <s v="El Oro"/>
    <s v="Mayra Aguilar Sepúlveda"/>
    <x v="0"/>
    <s v="Efectivo"/>
    <s v="Almejas"/>
    <s v="Sopas"/>
    <x v="29"/>
    <n v="95"/>
    <n v="12834.5"/>
  </r>
  <r>
    <n v="79"/>
    <x v="70"/>
    <n v="1972466220"/>
    <s v="Empresa F"/>
    <s v="Ibarra"/>
    <s v="Imbabura"/>
    <s v="Luis Miguel Valdés Garza"/>
    <x v="0"/>
    <s v="Tarjeta de crédito"/>
    <s v="Salsa curry"/>
    <s v="Salsas"/>
    <x v="26"/>
    <n v="17"/>
    <n v="9520"/>
  </r>
  <r>
    <n v="80"/>
    <x v="71"/>
    <n v="6835780904"/>
    <s v="Empresa BB"/>
    <s v="Manta"/>
    <s v="Manabi"/>
    <s v="Ana del Valle Hinojosa"/>
    <x v="2"/>
    <s v="Cheque"/>
    <s v="Café"/>
    <s v="Bebidas"/>
    <x v="28"/>
    <n v="96"/>
    <n v="61824"/>
  </r>
  <r>
    <n v="81"/>
    <x v="72"/>
    <n v="9361876990"/>
    <s v="Empresa H"/>
    <s v="Riobamba"/>
    <s v="Chimborazo"/>
    <s v="Nancy Gil de la Peña"/>
    <x v="2"/>
    <s v="Cheque"/>
    <s v="Chocolate"/>
    <s v="Dulces"/>
    <x v="30"/>
    <n v="83"/>
    <n v="14815.5"/>
  </r>
  <r>
    <n v="82"/>
    <x v="73"/>
    <n v="7655628230"/>
    <s v="Empresa J"/>
    <s v="Esmeraldas"/>
    <s v="Esmeraldas"/>
    <s v="Laura Gutiérrez Saenz"/>
    <x v="0"/>
    <s v="Tarjeta de crédito"/>
    <s v="Té verde"/>
    <s v="Bebidas"/>
    <x v="37"/>
    <n v="88"/>
    <n v="3683.68"/>
  </r>
  <r>
    <n v="83"/>
    <x v="35"/>
    <n v="6770397729"/>
    <s v="Empresa G"/>
    <s v="Guaranda"/>
    <s v="Guaranda"/>
    <s v="Nancy Gil de la Peña"/>
    <x v="3"/>
    <s v="Empresa de embarque D"/>
    <s v="Café"/>
    <s v="Bebidas"/>
    <x v="28"/>
    <n v="59"/>
    <n v="37996"/>
  </r>
  <r>
    <n v="84"/>
    <x v="74"/>
    <n v="6622149015"/>
    <s v="Empresa J"/>
    <s v="Esmeraldas"/>
    <s v="Esmeraldas"/>
    <s v="Laura Gutiérrez Saenz"/>
    <x v="1"/>
    <s v="Empresa de embarque D"/>
    <s v="Jalea de fresa"/>
    <s v="Mermeladas y jaleas"/>
    <x v="32"/>
    <n v="27"/>
    <n v="9450"/>
  </r>
  <r>
    <n v="85"/>
    <x v="75"/>
    <n v="8859429908"/>
    <s v="Empresa J"/>
    <s v="Esmeraldas"/>
    <s v="Esmeraldas"/>
    <s v="Laura Gutiérrez Saenz"/>
    <x v="1"/>
    <s v="Empresa de embarque D"/>
    <s v="Condimento cajún"/>
    <s v="Condimentos"/>
    <x v="31"/>
    <n v="37"/>
    <n v="11396"/>
  </r>
  <r>
    <n v="86"/>
    <x v="76"/>
    <n v="146252536"/>
    <s v="Empresa J"/>
    <s v="Esmeraldas"/>
    <s v="Esmeraldas"/>
    <s v="Laura Gutiérrez Saenz"/>
    <x v="1"/>
    <s v="Empresa de embarque D"/>
    <s v="Galletas de chocolate"/>
    <s v="Productos horneados"/>
    <x v="41"/>
    <n v="75"/>
    <n v="9659.9999999999982"/>
  </r>
  <r>
    <n v="87"/>
    <x v="77"/>
    <n v="9010865731"/>
    <s v="Empresa K"/>
    <s v="Quito"/>
    <s v="Pichincha"/>
    <s v="Ana del Valle Hinojosa"/>
    <x v="2"/>
    <s v="Empresa de embarque D"/>
    <s v="Ciruelas secas"/>
    <s v="Frutas secas"/>
    <x v="25"/>
    <n v="71"/>
    <n v="3479"/>
  </r>
  <r>
    <n v="88"/>
    <x v="78"/>
    <n v="9076170123"/>
    <s v="Empresa K"/>
    <s v="Quito"/>
    <s v="Pichincha"/>
    <s v="Ana del Valle Hinojosa"/>
    <x v="2"/>
    <s v="Empresa de embarque D"/>
    <s v="Té verde"/>
    <s v="Bebidas"/>
    <x v="37"/>
    <n v="88"/>
    <n v="3683.68"/>
  </r>
  <r>
    <n v="89"/>
    <x v="79"/>
    <n v="4412491838"/>
    <s v="Empresa A"/>
    <s v="Ambato"/>
    <s v="Tungurahua"/>
    <s v="Nancy Gil de la Peña"/>
    <x v="3"/>
    <s v="Empresa de embarque D"/>
    <s v="Té chai"/>
    <s v="Bebidas"/>
    <x v="45"/>
    <n v="55"/>
    <n v="13860"/>
  </r>
  <r>
    <n v="90"/>
    <x v="50"/>
    <n v="7223227521"/>
    <s v="Empresa CC"/>
    <s v="Guayaquil"/>
    <s v="Guayas"/>
    <s v="José de Jesús Morales"/>
    <x v="0"/>
    <s v="Cheque"/>
    <s v="Chocolate"/>
    <s v="Dulces"/>
    <x v="30"/>
    <n v="14"/>
    <n v="2499"/>
  </r>
  <r>
    <n v="91"/>
    <x v="80"/>
    <n v="9595973394"/>
    <s v="Empresa C"/>
    <s v="Machala"/>
    <s v="El Oro"/>
    <s v="Mayra Aguilar Sepúlveda"/>
    <x v="0"/>
    <s v="Efectivo"/>
    <s v="Almejas"/>
    <s v="Sopas"/>
    <x v="29"/>
    <n v="43"/>
    <n v="5809.3"/>
  </r>
  <r>
    <n v="92"/>
    <x v="81"/>
    <n v="2755531090"/>
    <s v="Empresa F"/>
    <s v="Ibarra"/>
    <s v="Imbabura"/>
    <s v="Luis Miguel Valdés Garza"/>
    <x v="0"/>
    <s v="Tarjeta de crédito"/>
    <s v="Salsa curry"/>
    <s v="Salsas"/>
    <x v="26"/>
    <n v="63"/>
    <n v="35280"/>
  </r>
  <r>
    <n v="93"/>
    <x v="82"/>
    <n v="5306800000"/>
    <s v="Empresa BB"/>
    <s v="Manta"/>
    <s v="Manabi"/>
    <s v="Ana del Valle Hinojosa"/>
    <x v="2"/>
    <s v="Cheque"/>
    <s v="Café"/>
    <s v="Bebidas"/>
    <x v="28"/>
    <n v="36"/>
    <n v="23184"/>
  </r>
  <r>
    <n v="94"/>
    <x v="54"/>
    <n v="6768826719"/>
    <s v="Empresa H"/>
    <s v="Riobamba"/>
    <s v="Chimborazo"/>
    <s v="Nancy Gil de la Peña"/>
    <x v="2"/>
    <s v="Cheque"/>
    <s v="Chocolate"/>
    <s v="Dulces"/>
    <x v="30"/>
    <n v="41"/>
    <n v="7318.5"/>
  </r>
  <r>
    <n v="95"/>
    <x v="83"/>
    <n v="7945500000"/>
    <s v="Empresa J"/>
    <s v="Esmeraldas"/>
    <s v="Esmeraldas"/>
    <s v="Laura Gutiérrez Saenz"/>
    <x v="0"/>
    <s v="Tarjeta de crédito"/>
    <s v="Té verde"/>
    <s v="Bebidas"/>
    <x v="37"/>
    <n v="35"/>
    <n v="1465.1"/>
  </r>
  <r>
    <n v="96"/>
    <x v="83"/>
    <n v="4671327569"/>
    <s v="Empresa G"/>
    <s v="Guaranda"/>
    <s v="Guaranda"/>
    <s v="Nancy Gil de la Peña"/>
    <x v="3"/>
    <s v="Empresa de embarque D"/>
    <s v="Café"/>
    <s v="Bebidas"/>
    <x v="28"/>
    <n v="31"/>
    <n v="19964"/>
  </r>
  <r>
    <n v="97"/>
    <x v="84"/>
    <n v="5750783013"/>
    <s v="Empresa J"/>
    <s v="Esmeraldas"/>
    <s v="Esmeraldas"/>
    <s v="Laura Gutiérrez Saenz"/>
    <x v="1"/>
    <s v="Empresa de embarque D"/>
    <s v="Jalea de fresa"/>
    <s v="Mermeladas y jaleas"/>
    <x v="32"/>
    <n v="52"/>
    <n v="18200"/>
  </r>
  <r>
    <n v="98"/>
    <x v="85"/>
    <n v="1216202808"/>
    <s v="Empresa J"/>
    <s v="Esmeraldas"/>
    <s v="Esmeraldas"/>
    <s v="Laura Gutiérrez Saenz"/>
    <x v="1"/>
    <s v="Empresa de embarque D"/>
    <s v="Condimento cajún"/>
    <s v="Condimentos"/>
    <x v="31"/>
    <n v="30"/>
    <n v="9240"/>
  </r>
  <r>
    <n v="99"/>
    <x v="86"/>
    <n v="7167041532"/>
    <s v="Empresa J"/>
    <s v="Esmeraldas"/>
    <s v="Esmeraldas"/>
    <s v="Laura Gutiérrez Saenz"/>
    <x v="1"/>
    <s v="Empresa de embarque D"/>
    <s v="Galletas de chocolate"/>
    <s v="Productos horneados"/>
    <x v="41"/>
    <n v="41"/>
    <n v="5280.7999999999993"/>
  </r>
  <r>
    <n v="100"/>
    <x v="87"/>
    <n v="2241191338"/>
    <s v="Empresa K"/>
    <s v="Quito"/>
    <s v="Pichincha"/>
    <s v="Ana del Valle Hinojosa"/>
    <x v="2"/>
    <s v="Empresa de embarque D"/>
    <s v="Ciruelas secas"/>
    <s v="Frutas secas"/>
    <x v="25"/>
    <n v="44"/>
    <n v="2156"/>
  </r>
  <r>
    <n v="101"/>
    <x v="88"/>
    <n v="806264266"/>
    <s v="Empresa K"/>
    <s v="Quito"/>
    <s v="Pichincha"/>
    <s v="Ana del Valle Hinojosa"/>
    <x v="2"/>
    <s v="Empresa de embarque D"/>
    <s v="Té verde"/>
    <s v="Bebidas"/>
    <x v="37"/>
    <n v="77"/>
    <n v="3223.22"/>
  </r>
  <r>
    <n v="102"/>
    <x v="89"/>
    <n v="3820174684"/>
    <s v="Empresa A"/>
    <s v="Ambato"/>
    <s v="Tungurahua"/>
    <s v="Nancy Gil de la Peña"/>
    <x v="3"/>
    <s v="Empresa de embarque D"/>
    <s v="Té chai"/>
    <s v="Bebidas"/>
    <x v="45"/>
    <n v="29"/>
    <n v="7308"/>
  </r>
  <r>
    <n v="103"/>
    <x v="90"/>
    <n v="5541796483"/>
    <s v="Empresa A"/>
    <s v="Ambato"/>
    <s v="Tungurahua"/>
    <s v="Nancy Gil de la Peña"/>
    <x v="3"/>
    <s v="Empresa de embarque D"/>
    <s v="Café"/>
    <s v="Bebidas"/>
    <x v="28"/>
    <n v="77"/>
    <n v="49588"/>
  </r>
  <r>
    <n v="104"/>
    <x v="91"/>
    <n v="7096714976"/>
    <s v="Empresa A"/>
    <s v="Ambato"/>
    <s v="Tungurahua"/>
    <s v="Nancy Gil de la Peña"/>
    <x v="3"/>
    <s v="Empresa de embarque D"/>
    <s v="Té verde"/>
    <s v="Bebidas"/>
    <x v="37"/>
    <n v="73"/>
    <n v="3055.7799999999997"/>
  </r>
  <r>
    <n v="105"/>
    <x v="92"/>
    <n v="2543114862"/>
    <s v="Empresa BB"/>
    <s v="Manta"/>
    <s v="Manabi"/>
    <s v="Ana del Valle Hinojosa"/>
    <x v="2"/>
    <s v="Tarjeta de crédito"/>
    <s v="Almejas"/>
    <s v="Sopas"/>
    <x v="29"/>
    <n v="74"/>
    <n v="9997.4"/>
  </r>
  <r>
    <n v="106"/>
    <x v="38"/>
    <n v="6501127347"/>
    <s v="Empresa BB"/>
    <s v="Manta"/>
    <s v="Manabi"/>
    <s v="Ana del Valle Hinojosa"/>
    <x v="2"/>
    <s v="Tarjeta de crédito"/>
    <s v="Carne de cangrejo"/>
    <s v="Carne enlatada"/>
    <x v="27"/>
    <n v="25"/>
    <n v="6439.9999999999991"/>
  </r>
  <r>
    <n v="107"/>
    <x v="93"/>
    <n v="1322296163"/>
    <s v="Empresa I"/>
    <s v="Guayaquil"/>
    <s v="Guayas"/>
    <s v="Robert Zárate Carrillo"/>
    <x v="1"/>
    <s v="Cheque"/>
    <s v="Ravioli"/>
    <s v="Pasta"/>
    <x v="38"/>
    <n v="82"/>
    <n v="22386"/>
  </r>
  <r>
    <n v="108"/>
    <x v="94"/>
    <n v="5162222472"/>
    <s v="Empresa I"/>
    <s v="Guayaquil"/>
    <s v="Guayas"/>
    <s v="Robert Zárate Carrillo"/>
    <x v="1"/>
    <s v="Cheque"/>
    <s v="Mozzarella"/>
    <s v="Productos lácteos"/>
    <x v="39"/>
    <n v="37"/>
    <n v="18026.399999999998"/>
  </r>
  <r>
    <n v="109"/>
    <x v="95"/>
    <n v="5752777715"/>
    <s v="Empresa F"/>
    <s v="Ibarra"/>
    <s v="Imbabura"/>
    <s v="Luis Miguel Valdés Garza"/>
    <x v="0"/>
    <s v="Tarjeta de crédito"/>
    <s v="Cerveza"/>
    <s v="Bebidas"/>
    <x v="40"/>
    <n v="84"/>
    <n v="16464"/>
  </r>
  <r>
    <n v="110"/>
    <x v="85"/>
    <n v="2261700341"/>
    <s v="Empresa H"/>
    <s v="Riobamba"/>
    <s v="Chimborazo"/>
    <s v="Nancy Gil de la Peña"/>
    <x v="0"/>
    <s v="Cheque"/>
    <s v="Salsa curry"/>
    <s v="Salsas"/>
    <x v="26"/>
    <n v="73"/>
    <n v="40880"/>
  </r>
  <r>
    <n v="111"/>
    <x v="96"/>
    <n v="9950546196"/>
    <s v="Empresa H"/>
    <s v="Riobamba"/>
    <s v="Chimborazo"/>
    <s v="Nancy Gil de la Peña"/>
    <x v="0"/>
    <s v="Cheque"/>
    <s v="Galletas de chocolate"/>
    <s v="Productos horneados"/>
    <x v="41"/>
    <n v="51"/>
    <n v="6568.7999999999993"/>
  </r>
  <r>
    <n v="112"/>
    <x v="97"/>
    <n v="9911266011"/>
    <s v="Empresa Y"/>
    <s v="Esmeraldas"/>
    <s v="Esmeraldas"/>
    <s v="Laura Gutiérrez Saenz"/>
    <x v="1"/>
    <s v="Efectivo"/>
    <s v="Bolillos"/>
    <s v="Productos horneados"/>
    <x v="24"/>
    <n v="66"/>
    <n v="9240"/>
  </r>
  <r>
    <n v="113"/>
    <x v="98"/>
    <n v="8455987495"/>
    <s v="Empresa Z"/>
    <s v="Quito"/>
    <s v="Pichincha"/>
    <s v="Ana del Valle Hinojosa"/>
    <x v="2"/>
    <s v="Tarjeta de crédito"/>
    <s v="Aceite de oliva"/>
    <s v="Aceite"/>
    <x v="42"/>
    <n v="36"/>
    <n v="10760.400000000001"/>
  </r>
  <r>
    <n v="114"/>
    <x v="63"/>
    <n v="6668567210"/>
    <s v="Empresa Z"/>
    <s v="Quito"/>
    <s v="Pichincha"/>
    <s v="Ana del Valle Hinojosa"/>
    <x v="2"/>
    <s v="Tarjeta de crédito"/>
    <s v="Almejas"/>
    <s v="Sopas"/>
    <x v="29"/>
    <n v="87"/>
    <n v="11753.699999999999"/>
  </r>
  <r>
    <n v="115"/>
    <x v="99"/>
    <n v="9528620750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116"/>
    <x v="100"/>
    <n v="1951835035"/>
    <s v="Empresa CC"/>
    <s v="Guayaquil"/>
    <s v="Guayas"/>
    <s v="José de Jesús Morales"/>
    <x v="0"/>
    <s v="Cheque"/>
    <s v="Cerveza"/>
    <s v="Bebidas"/>
    <x v="40"/>
    <n v="21"/>
    <n v="4116"/>
  </r>
  <r>
    <n v="117"/>
    <x v="101"/>
    <n v="8464805926"/>
    <s v="Empresa F"/>
    <s v="Ibarra"/>
    <s v="Imbabura"/>
    <s v="Luis Miguel Valdés Garza"/>
    <x v="2"/>
    <s v="Cheque"/>
    <s v="Chocolate"/>
    <s v="Dulces"/>
    <x v="30"/>
    <n v="19"/>
    <n v="3391.5"/>
  </r>
  <r>
    <n v="118"/>
    <x v="102"/>
    <n v="1040241832"/>
    <s v="Empresa D"/>
    <s v="Azogues"/>
    <s v="Canar"/>
    <s v="Andrés González Rico"/>
    <x v="1"/>
    <s v="Tarjeta de crédito"/>
    <s v="Mermelada de zarzamora"/>
    <s v="Mermeladas y jaleas"/>
    <x v="43"/>
    <n v="23"/>
    <n v="26082"/>
  </r>
  <r>
    <n v="119"/>
    <x v="103"/>
    <n v="5032769390"/>
    <s v="Empresa D"/>
    <s v="Azogues"/>
    <s v="Canar"/>
    <s v="Andrés González Rico"/>
    <x v="1"/>
    <s v="Tarjeta de crédito"/>
    <s v="Arroz de grano largo"/>
    <s v="Granos"/>
    <x v="44"/>
    <n v="72"/>
    <n v="7056"/>
  </r>
  <r>
    <n v="120"/>
    <x v="104"/>
    <n v="5375997402"/>
    <s v="Empresa H"/>
    <s v="Riobamba"/>
    <s v="Chimborazo"/>
    <s v="Nancy Gil de la Peña"/>
    <x v="2"/>
    <s v="Tarjeta de crédito"/>
    <s v="Mozzarella"/>
    <s v="Productos lácteos"/>
    <x v="39"/>
    <n v="22"/>
    <n v="10718.399999999998"/>
  </r>
  <r>
    <n v="121"/>
    <x v="105"/>
    <n v="967566383"/>
    <s v="Empresa C"/>
    <s v="Machala"/>
    <s v="El Oro"/>
    <s v="Mayra Aguilar Sepúlveda"/>
    <x v="0"/>
    <s v="Efectivo"/>
    <s v="Jarabe"/>
    <s v="Condimentos"/>
    <x v="24"/>
    <n v="82"/>
    <n v="11480"/>
  </r>
  <r>
    <n v="122"/>
    <x v="106"/>
    <n v="7607007457"/>
    <s v="Empresa C"/>
    <s v="Machala"/>
    <s v="El Oro"/>
    <s v="Mayra Aguilar Sepúlveda"/>
    <x v="0"/>
    <s v="Efectivo"/>
    <s v="Salsa curry"/>
    <s v="Salsas"/>
    <x v="26"/>
    <n v="98"/>
    <n v="54880"/>
  </r>
  <r>
    <n v="123"/>
    <x v="107"/>
    <n v="6139722497"/>
    <s v="Empresa G"/>
    <s v="Guaranda"/>
    <s v="Guaranda"/>
    <s v="Nancy Gil de la Peña"/>
    <x v="3"/>
    <s v="Empresa de embarque D"/>
    <s v="Café"/>
    <s v="Bebidas"/>
    <x v="28"/>
    <n v="71"/>
    <n v="45724"/>
  </r>
  <r>
    <n v="124"/>
    <x v="79"/>
    <n v="6071133871"/>
    <s v="Empresa J"/>
    <s v="Esmeraldas"/>
    <s v="Esmeraldas"/>
    <s v="Laura Gutiérrez Saenz"/>
    <x v="1"/>
    <s v="Empresa de embarque D"/>
    <s v="Jalea de fresa"/>
    <s v="Mermeladas y jaleas"/>
    <x v="32"/>
    <n v="40"/>
    <n v="14000"/>
  </r>
  <r>
    <n v="125"/>
    <x v="108"/>
    <n v="8634772142"/>
    <s v="Empresa J"/>
    <s v="Esmeraldas"/>
    <s v="Esmeraldas"/>
    <s v="Laura Gutiérrez Saenz"/>
    <x v="1"/>
    <s v="Empresa de embarque D"/>
    <s v="Condimento cajún"/>
    <s v="Condimentos"/>
    <x v="31"/>
    <n v="80"/>
    <n v="24640"/>
  </r>
  <r>
    <n v="126"/>
    <x v="109"/>
    <n v="5431718510"/>
    <s v="Empresa J"/>
    <s v="Esmeraldas"/>
    <s v="Esmeraldas"/>
    <s v="Laura Gutiérrez Saenz"/>
    <x v="1"/>
    <s v="Empresa de embarque D"/>
    <s v="Galletas de chocolate"/>
    <s v="Productos horneados"/>
    <x v="41"/>
    <n v="38"/>
    <n v="4894.3999999999996"/>
  </r>
  <r>
    <n v="127"/>
    <x v="110"/>
    <n v="7109276915"/>
    <s v="Empresa K"/>
    <s v="Quito"/>
    <s v="Pichincha"/>
    <s v="Ana del Valle Hinojosa"/>
    <x v="2"/>
    <s v="Empresa de embarque D"/>
    <s v="Ciruelas secas"/>
    <s v="Frutas secas"/>
    <x v="25"/>
    <n v="28"/>
    <n v="1372"/>
  </r>
  <r>
    <n v="128"/>
    <x v="111"/>
    <n v="8479136081"/>
    <s v="Empresa K"/>
    <s v="Quito"/>
    <s v="Pichincha"/>
    <s v="Ana del Valle Hinojosa"/>
    <x v="2"/>
    <s v="Empresa de embarque D"/>
    <s v="Té verde"/>
    <s v="Bebidas"/>
    <x v="37"/>
    <n v="60"/>
    <n v="2511.6"/>
  </r>
  <r>
    <n v="129"/>
    <x v="26"/>
    <n v="7132355278"/>
    <s v="Empresa A"/>
    <s v="Ambato"/>
    <s v="Tungurahua"/>
    <s v="Nancy Gil de la Peña"/>
    <x v="3"/>
    <s v="Empresa de embarque D"/>
    <s v="Té chai"/>
    <s v="Bebidas"/>
    <x v="45"/>
    <n v="33"/>
    <n v="8316"/>
  </r>
  <r>
    <n v="130"/>
    <x v="78"/>
    <n v="2885792785"/>
    <s v="Empresa A"/>
    <s v="Ambato"/>
    <s v="Tungurahua"/>
    <s v="Nancy Gil de la Peña"/>
    <x v="3"/>
    <s v="Empresa de embarque D"/>
    <s v="Café"/>
    <s v="Bebidas"/>
    <x v="28"/>
    <n v="22"/>
    <n v="14168"/>
  </r>
  <r>
    <n v="131"/>
    <x v="112"/>
    <n v="3723941023"/>
    <s v="Empresa A"/>
    <s v="Ambato"/>
    <s v="Tungurahua"/>
    <s v="Nancy Gil de la Peña"/>
    <x v="3"/>
    <s v="Empresa de embarque D"/>
    <s v="Té verde"/>
    <s v="Bebidas"/>
    <x v="37"/>
    <n v="51"/>
    <n v="2134.86"/>
  </r>
  <r>
    <n v="132"/>
    <x v="113"/>
    <n v="4827836337"/>
    <s v="Empresa BB"/>
    <s v="Manta"/>
    <s v="Manabi"/>
    <s v="Ana del Valle Hinojosa"/>
    <x v="2"/>
    <s v="Tarjeta de crédito"/>
    <s v="Almejas"/>
    <s v="Sopas"/>
    <x v="29"/>
    <n v="60"/>
    <n v="8106"/>
  </r>
  <r>
    <n v="133"/>
    <x v="114"/>
    <n v="2633840866"/>
    <s v="Empresa BB"/>
    <s v="Manta"/>
    <s v="Manabi"/>
    <s v="Ana del Valle Hinojosa"/>
    <x v="2"/>
    <s v="Tarjeta de crédito"/>
    <s v="Carne de cangrejo"/>
    <s v="Carne enlatada"/>
    <x v="27"/>
    <n v="98"/>
    <n v="25244.799999999996"/>
  </r>
  <r>
    <n v="134"/>
    <x v="115"/>
    <n v="2489359003"/>
    <s v="Empresa I"/>
    <s v="Guayaquil"/>
    <s v="Guayas"/>
    <s v="Robert Zárate Carrillo"/>
    <x v="1"/>
    <s v="Cheque"/>
    <s v="Ravioli"/>
    <s v="Pasta"/>
    <x v="38"/>
    <n v="27"/>
    <n v="7371"/>
  </r>
  <r>
    <n v="135"/>
    <x v="116"/>
    <n v="2347277376"/>
    <s v="Empresa I"/>
    <s v="Guayaquil"/>
    <s v="Guayas"/>
    <s v="Robert Zárate Carrillo"/>
    <x v="1"/>
    <s v="Cheque"/>
    <s v="Mozzarella"/>
    <s v="Productos lácteos"/>
    <x v="39"/>
    <n v="88"/>
    <n v="42873.599999999991"/>
  </r>
  <r>
    <n v="136"/>
    <x v="117"/>
    <n v="2071690973"/>
    <s v="Empresa F"/>
    <s v="Ibarra"/>
    <s v="Imbabura"/>
    <s v="Luis Miguel Valdés Garza"/>
    <x v="0"/>
    <s v="Tarjeta de crédito"/>
    <s v="Cerveza"/>
    <s v="Bebidas"/>
    <x v="40"/>
    <n v="65"/>
    <n v="12740"/>
  </r>
  <r>
    <n v="137"/>
    <x v="118"/>
    <n v="1196729221"/>
    <s v="Empresa H"/>
    <s v="Riobamba"/>
    <s v="Chimborazo"/>
    <s v="Nancy Gil de la Peña"/>
    <x v="0"/>
    <s v="Cheque"/>
    <s v="Salsa curry"/>
    <s v="Salsas"/>
    <x v="26"/>
    <n v="38"/>
    <n v="21280"/>
  </r>
  <r>
    <n v="138"/>
    <x v="119"/>
    <n v="9020365601"/>
    <s v="Empresa H"/>
    <s v="Riobamba"/>
    <s v="Chimborazo"/>
    <s v="Nancy Gil de la Peña"/>
    <x v="0"/>
    <s v="Cheque"/>
    <s v="Galletas de chocolate"/>
    <s v="Productos horneados"/>
    <x v="41"/>
    <n v="80"/>
    <n v="10303.999999999998"/>
  </r>
  <r>
    <n v="139"/>
    <x v="120"/>
    <n v="4818692078"/>
    <s v="Empresa Y"/>
    <s v="Esmeraldas"/>
    <s v="Esmeraldas"/>
    <s v="Laura Gutiérrez Saenz"/>
    <x v="1"/>
    <s v="Efectivo"/>
    <s v="Bolillos"/>
    <s v="Productos horneados"/>
    <x v="24"/>
    <n v="49"/>
    <n v="6860"/>
  </r>
  <r>
    <n v="140"/>
    <x v="121"/>
    <n v="6502762369"/>
    <s v="Empresa Z"/>
    <s v="Quito"/>
    <s v="Pichincha"/>
    <s v="Ana del Valle Hinojosa"/>
    <x v="2"/>
    <s v="Tarjeta de crédito"/>
    <s v="Aceite de oliva"/>
    <s v="Aceite"/>
    <x v="42"/>
    <n v="90"/>
    <n v="26901.000000000004"/>
  </r>
  <r>
    <n v="141"/>
    <x v="122"/>
    <n v="924402492"/>
    <s v="Empresa Z"/>
    <s v="Quito"/>
    <s v="Pichincha"/>
    <s v="Ana del Valle Hinojosa"/>
    <x v="2"/>
    <s v="Tarjeta de crédito"/>
    <s v="Almejas"/>
    <s v="Sopas"/>
    <x v="29"/>
    <n v="60"/>
    <n v="8106"/>
  </r>
  <r>
    <n v="142"/>
    <x v="123"/>
    <n v="5633857209"/>
    <s v="Empresa Z"/>
    <s v="Quito"/>
    <s v="Pichincha"/>
    <s v="Ana del Valle Hinojosa"/>
    <x v="2"/>
    <s v="Tarjeta de crédito"/>
    <s v="Carne de cangrejo"/>
    <s v="Carne enlatada"/>
    <x v="27"/>
    <n v="39"/>
    <n v="10046.399999999998"/>
  </r>
  <r>
    <n v="143"/>
    <x v="124"/>
    <n v="9715216432"/>
    <s v="Empresa CC"/>
    <s v="Guayaquil"/>
    <s v="Guayas"/>
    <s v="José de Jesús Morales"/>
    <x v="0"/>
    <s v="Cheque"/>
    <s v="Cerveza"/>
    <s v="Bebidas"/>
    <x v="40"/>
    <n v="79"/>
    <n v="15484"/>
  </r>
  <r>
    <n v="144"/>
    <x v="84"/>
    <n v="2808433382"/>
    <s v="Empresa F"/>
    <s v="Ibarra"/>
    <s v="Imbabura"/>
    <s v="Luis Miguel Valdés Garza"/>
    <x v="2"/>
    <s v="Cheque"/>
    <s v="Chocolate"/>
    <s v="Dulces"/>
    <x v="30"/>
    <n v="44"/>
    <n v="7854"/>
  </r>
  <r>
    <n v="145"/>
    <x v="125"/>
    <n v="5585231955"/>
    <s v="Empresa D"/>
    <s v="Azogues"/>
    <s v="Canar"/>
    <s v="Andrés González Rico"/>
    <x v="1"/>
    <s v="Tarjeta de crédito"/>
    <s v="Mermelada de zarzamora"/>
    <s v="Mermeladas y jaleas"/>
    <x v="43"/>
    <n v="98"/>
    <n v="111132"/>
  </r>
  <r>
    <n v="146"/>
    <x v="126"/>
    <n v="4338999814"/>
    <s v="Empresa D"/>
    <s v="Azogues"/>
    <s v="Canar"/>
    <s v="Andrés González Rico"/>
    <x v="1"/>
    <s v="Tarjeta de crédito"/>
    <s v="Arroz de grano largo"/>
    <s v="Granos"/>
    <x v="44"/>
    <n v="61"/>
    <n v="5978"/>
  </r>
  <r>
    <n v="147"/>
    <x v="127"/>
    <n v="3475726472"/>
    <s v="Empresa H"/>
    <s v="Riobamba"/>
    <s v="Chimborazo"/>
    <s v="Nancy Gil de la Peña"/>
    <x v="2"/>
    <s v="Tarjeta de crédito"/>
    <s v="Mozzarella"/>
    <s v="Productos lácteos"/>
    <x v="39"/>
    <n v="30"/>
    <n v="14615.999999999998"/>
  </r>
  <r>
    <n v="148"/>
    <x v="128"/>
    <n v="9727843310"/>
    <s v="Empresa C"/>
    <s v="Machala"/>
    <s v="El Oro"/>
    <s v="Mayra Aguilar Sepúlveda"/>
    <x v="0"/>
    <s v="Efectivo"/>
    <s v="Jarabe"/>
    <s v="Condimentos"/>
    <x v="24"/>
    <n v="24"/>
    <n v="3360"/>
  </r>
  <r>
    <n v="149"/>
    <x v="129"/>
    <n v="536031236"/>
    <s v="Empresa C"/>
    <s v="Machala"/>
    <s v="El Oro"/>
    <s v="Mayra Aguilar Sepúlveda"/>
    <x v="0"/>
    <s v="Efectivo"/>
    <s v="Salsa curry"/>
    <s v="Salsas"/>
    <x v="26"/>
    <n v="28"/>
    <n v="15680"/>
  </r>
  <r>
    <n v="150"/>
    <x v="21"/>
    <n v="1875435757"/>
    <s v="Empresa J"/>
    <s v="Esmeraldas"/>
    <s v="Esmeraldas"/>
    <s v="Laura Gutiérrez Saenz"/>
    <x v="0"/>
    <s v="Tarjeta de crédito"/>
    <s v="Almendras"/>
    <s v="Frutas secas"/>
    <x v="24"/>
    <n v="74"/>
    <n v="10360"/>
  </r>
  <r>
    <n v="151"/>
    <x v="130"/>
    <n v="8711973073"/>
    <s v="Empresa J"/>
    <s v="Esmeraldas"/>
    <s v="Esmeraldas"/>
    <s v="Laura Gutiérrez Saenz"/>
    <x v="1"/>
    <s v="Empresa de embarque D"/>
    <s v="Ciruelas secas"/>
    <s v="Frutas secas"/>
    <x v="25"/>
    <n v="90"/>
    <n v="4410"/>
  </r>
  <r>
    <n v="152"/>
    <x v="126"/>
    <n v="1214228285"/>
    <s v="Empresa K"/>
    <s v="Quito"/>
    <s v="Pichincha"/>
    <s v="Ana del Valle Hinojosa"/>
    <x v="2"/>
    <s v="Empresa de embarque D"/>
    <s v="Salsa curry"/>
    <s v="Salsas"/>
    <x v="26"/>
    <n v="27"/>
    <n v="15120"/>
  </r>
  <r>
    <n v="153"/>
    <x v="131"/>
    <n v="3447948983"/>
    <s v="Empresa A"/>
    <s v="Ambato"/>
    <s v="Tungurahua"/>
    <s v="Nancy Gil de la Peña"/>
    <x v="2"/>
    <s v="Empresa de embarque D"/>
    <s v="Carne de cangrejo"/>
    <s v="Carne enlatada"/>
    <x v="27"/>
    <n v="71"/>
    <n v="18289.599999999999"/>
  </r>
  <r>
    <n v="154"/>
    <x v="132"/>
    <n v="8753770178"/>
    <s v="Empresa BB"/>
    <s v="Manta"/>
    <s v="Manabi"/>
    <s v="Ana del Valle Hinojosa"/>
    <x v="2"/>
    <s v="Tarjeta de crédito"/>
    <s v="Café"/>
    <s v="Bebidas"/>
    <x v="28"/>
    <n v="74"/>
    <n v="47656"/>
  </r>
  <r>
    <n v="155"/>
    <x v="55"/>
    <n v="493013693"/>
    <s v="Empresa I"/>
    <s v="Guayaquil"/>
    <s v="Guayas"/>
    <s v="Robert Zárate Carrillo"/>
    <x v="1"/>
    <s v="Cheque"/>
    <s v="Almejas"/>
    <s v="Sopas"/>
    <x v="29"/>
    <n v="76"/>
    <n v="10267.6"/>
  </r>
  <r>
    <n v="156"/>
    <x v="133"/>
    <n v="4097578178"/>
    <s v="Empresa F"/>
    <s v="Ibarra"/>
    <s v="Imbabura"/>
    <s v="Luis Miguel Valdés Garza"/>
    <x v="0"/>
    <s v="Tarjeta de crédito"/>
    <s v="Chocolate"/>
    <s v="Dulces"/>
    <x v="30"/>
    <n v="96"/>
    <n v="17136"/>
  </r>
  <r>
    <n v="157"/>
    <x v="134"/>
    <n v="9949307477"/>
    <s v="Empresa H"/>
    <s v="Riobamba"/>
    <s v="Chimborazo"/>
    <s v="Nancy Gil de la Peña"/>
    <x v="0"/>
    <s v="Cheque"/>
    <s v="Chocolate"/>
    <s v="Dulces"/>
    <x v="30"/>
    <n v="92"/>
    <n v="16422"/>
  </r>
  <r>
    <n v="158"/>
    <x v="135"/>
    <n v="2521830520"/>
    <s v="Empresa Y"/>
    <s v="Esmeraldas"/>
    <s v="Esmeraldas"/>
    <s v="Laura Gutiérrez Saenz"/>
    <x v="1"/>
    <s v="Efectivo"/>
    <s v="Condimento cajún"/>
    <s v="Condimentos"/>
    <x v="31"/>
    <n v="93"/>
    <n v="28644"/>
  </r>
  <r>
    <n v="159"/>
    <x v="34"/>
    <n v="4224616034"/>
    <s v="Empresa Z"/>
    <s v="Quito"/>
    <s v="Pichincha"/>
    <s v="Ana del Valle Hinojosa"/>
    <x v="2"/>
    <s v="Tarjeta de crédito"/>
    <s v="Jalea de fresa"/>
    <s v="Mermeladas y jaleas"/>
    <x v="32"/>
    <n v="18"/>
    <n v="6300"/>
  </r>
  <r>
    <n v="160"/>
    <x v="136"/>
    <n v="7169314881"/>
    <s v="Empresa CC"/>
    <s v="Guayaquil"/>
    <s v="Guayas"/>
    <s v="José de Jesús Morales"/>
    <x v="0"/>
    <s v="Cheque"/>
    <s v="Cóctel de frutas"/>
    <s v="Frutas y vegetales"/>
    <x v="33"/>
    <n v="98"/>
    <n v="53508"/>
  </r>
  <r>
    <n v="161"/>
    <x v="134"/>
    <n v="8313545064"/>
    <s v="Empresa F"/>
    <s v="Ibarra"/>
    <s v="Imbabura"/>
    <s v="Luis Miguel Valdés Garza"/>
    <x v="2"/>
    <s v="Cheque"/>
    <s v="Peras secas"/>
    <s v="Frutas secas"/>
    <x v="34"/>
    <n v="46"/>
    <n v="19320"/>
  </r>
  <r>
    <n v="162"/>
    <x v="137"/>
    <n v="5739621013"/>
    <s v="Empresa F"/>
    <s v="Ibarra"/>
    <s v="Imbabura"/>
    <s v="Luis Miguel Valdés Garza"/>
    <x v="2"/>
    <s v="Cheque"/>
    <s v="Manzanas secas"/>
    <s v="Frutas secas"/>
    <x v="35"/>
    <n v="14"/>
    <n v="10388"/>
  </r>
  <r>
    <n v="163"/>
    <x v="138"/>
    <n v="1789830506"/>
    <s v="Empresa D"/>
    <s v="Azogues"/>
    <s v="Canar"/>
    <s v="Andrés González Rico"/>
    <x v="3"/>
    <s v="Empresa de embarque D"/>
    <s v="Pasta penne"/>
    <s v="Pasta"/>
    <x v="36"/>
    <n v="85"/>
    <n v="45220"/>
  </r>
  <r>
    <n v="164"/>
    <x v="139"/>
    <n v="6281652174"/>
    <s v="Empresa C"/>
    <s v="Machala"/>
    <s v="El Oro"/>
    <s v="Mayra Aguilar Sepúlveda"/>
    <x v="3"/>
    <s v="Empresa de embarque D"/>
    <s v="Té verde"/>
    <s v="Bebidas"/>
    <x v="37"/>
    <n v="88"/>
    <n v="3683.68"/>
  </r>
  <r>
    <n v="165"/>
    <x v="140"/>
    <n v="8126696083"/>
    <s v="Empresa A"/>
    <s v="Ambato"/>
    <s v="Tungurahua"/>
    <s v="Nancy Gil de la Peña"/>
    <x v="3"/>
    <s v="Empresa de embarque D"/>
    <s v="Té verde"/>
    <s v="Bebidas"/>
    <x v="37"/>
    <n v="81"/>
    <n v="3390.66"/>
  </r>
  <r>
    <n v="166"/>
    <x v="92"/>
    <n v="2706456269"/>
    <s v="Empresa BB"/>
    <s v="Manta"/>
    <s v="Manabi"/>
    <s v="Ana del Valle Hinojosa"/>
    <x v="2"/>
    <s v="Tarjeta de crédito"/>
    <s v="Almejas"/>
    <s v="Sopas"/>
    <x v="29"/>
    <n v="33"/>
    <n v="4458.3"/>
  </r>
  <r>
    <n v="167"/>
    <x v="31"/>
    <n v="6159315697"/>
    <s v="Empresa BB"/>
    <s v="Manta"/>
    <s v="Manabi"/>
    <s v="Ana del Valle Hinojosa"/>
    <x v="2"/>
    <s v="Tarjeta de crédito"/>
    <s v="Carne de cangrejo"/>
    <s v="Carne enlatada"/>
    <x v="27"/>
    <n v="47"/>
    <n v="12107.199999999999"/>
  </r>
  <r>
    <n v="168"/>
    <x v="141"/>
    <n v="2749029538"/>
    <s v="Empresa I"/>
    <s v="Guayaquil"/>
    <s v="Guayas"/>
    <s v="Robert Zárate Carrillo"/>
    <x v="1"/>
    <s v="Cheque"/>
    <s v="Ravioli"/>
    <s v="Pasta"/>
    <x v="38"/>
    <n v="61"/>
    <n v="16653"/>
  </r>
  <r>
    <n v="169"/>
    <x v="39"/>
    <n v="9017454158"/>
    <s v="Empresa I"/>
    <s v="Guayaquil"/>
    <s v="Guayas"/>
    <s v="Robert Zárate Carrillo"/>
    <x v="1"/>
    <s v="Cheque"/>
    <s v="Mozzarella"/>
    <s v="Productos lácteos"/>
    <x v="39"/>
    <n v="27"/>
    <n v="13154.399999999998"/>
  </r>
  <r>
    <n v="170"/>
    <x v="142"/>
    <n v="445300235"/>
    <s v="Empresa F"/>
    <s v="Ibarra"/>
    <s v="Imbabura"/>
    <s v="Luis Miguel Valdés Garza"/>
    <x v="0"/>
    <s v="Tarjeta de crédito"/>
    <s v="Cerveza"/>
    <s v="Bebidas"/>
    <x v="40"/>
    <n v="84"/>
    <n v="16464"/>
  </r>
  <r>
    <n v="171"/>
    <x v="143"/>
    <n v="3498781571"/>
    <s v="Empresa H"/>
    <s v="Riobamba"/>
    <s v="Chimborazo"/>
    <s v="Nancy Gil de la Peña"/>
    <x v="0"/>
    <s v="Cheque"/>
    <s v="Salsa curry"/>
    <s v="Salsas"/>
    <x v="26"/>
    <n v="91"/>
    <n v="50960"/>
  </r>
  <r>
    <n v="172"/>
    <x v="144"/>
    <n v="376477229"/>
    <s v="Empresa H"/>
    <s v="Riobamba"/>
    <s v="Chimborazo"/>
    <s v="Nancy Gil de la Peña"/>
    <x v="0"/>
    <s v="Cheque"/>
    <s v="Galletas de chocolate"/>
    <s v="Productos horneados"/>
    <x v="41"/>
    <n v="36"/>
    <n v="4636.7999999999993"/>
  </r>
  <r>
    <n v="173"/>
    <x v="111"/>
    <n v="1790721708"/>
    <s v="Empresa Y"/>
    <s v="Esmeraldas"/>
    <s v="Esmeraldas"/>
    <s v="Laura Gutiérrez Saenz"/>
    <x v="1"/>
    <s v="Efectivo"/>
    <s v="Bolillos"/>
    <s v="Productos horneados"/>
    <x v="24"/>
    <n v="34"/>
    <n v="4760"/>
  </r>
  <r>
    <n v="174"/>
    <x v="73"/>
    <n v="434033868"/>
    <s v="Empresa Z"/>
    <s v="Quito"/>
    <s v="Pichincha"/>
    <s v="Ana del Valle Hinojosa"/>
    <x v="2"/>
    <s v="Tarjeta de crédito"/>
    <s v="Aceite de oliva"/>
    <s v="Aceite"/>
    <x v="42"/>
    <n v="81"/>
    <n v="24210.9"/>
  </r>
  <r>
    <n v="175"/>
    <x v="120"/>
    <n v="3247684317"/>
    <s v="Empresa Z"/>
    <s v="Quito"/>
    <s v="Pichincha"/>
    <s v="Ana del Valle Hinojosa"/>
    <x v="2"/>
    <s v="Tarjeta de crédito"/>
    <s v="Almejas"/>
    <s v="Sopas"/>
    <x v="29"/>
    <n v="25"/>
    <n v="3377.5"/>
  </r>
  <r>
    <n v="176"/>
    <x v="145"/>
    <n v="6492121203"/>
    <s v="Empresa Z"/>
    <s v="Quito"/>
    <s v="Pichincha"/>
    <s v="Ana del Valle Hinojosa"/>
    <x v="2"/>
    <s v="Tarjeta de crédito"/>
    <s v="Carne de cangrejo"/>
    <s v="Carne enlatada"/>
    <x v="27"/>
    <n v="12"/>
    <n v="3091.2"/>
  </r>
  <r>
    <n v="177"/>
    <x v="140"/>
    <n v="1661667624"/>
    <s v="Empresa CC"/>
    <s v="Guayaquil"/>
    <s v="Guayas"/>
    <s v="José de Jesús Morales"/>
    <x v="0"/>
    <s v="Cheque"/>
    <s v="Cerveza"/>
    <s v="Bebidas"/>
    <x v="40"/>
    <n v="23"/>
    <n v="4508"/>
  </r>
  <r>
    <n v="178"/>
    <x v="146"/>
    <n v="1127190015"/>
    <s v="Empresa F"/>
    <s v="Ibarra"/>
    <s v="Imbabura"/>
    <s v="Luis Miguel Valdés Garza"/>
    <x v="2"/>
    <s v="Cheque"/>
    <s v="Chocolate"/>
    <s v="Dulces"/>
    <x v="30"/>
    <n v="76"/>
    <n v="13566"/>
  </r>
  <r>
    <n v="179"/>
    <x v="16"/>
    <n v="7862399002"/>
    <s v="Empresa D"/>
    <s v="Azogues"/>
    <s v="Canar"/>
    <s v="Andrés González Rico"/>
    <x v="1"/>
    <s v="Tarjeta de crédito"/>
    <s v="Mermelada de zarzamora"/>
    <s v="Mermeladas y jaleas"/>
    <x v="43"/>
    <n v="55"/>
    <n v="62370"/>
  </r>
  <r>
    <n v="180"/>
    <x v="131"/>
    <n v="9568142105"/>
    <s v="Empresa D"/>
    <s v="Azogues"/>
    <s v="Canar"/>
    <s v="Andrés González Rico"/>
    <x v="1"/>
    <s v="Tarjeta de crédito"/>
    <s v="Arroz de grano largo"/>
    <s v="Granos"/>
    <x v="44"/>
    <n v="19"/>
    <n v="1862"/>
  </r>
  <r>
    <n v="181"/>
    <x v="147"/>
    <n v="1181634254"/>
    <s v="Empresa H"/>
    <s v="Riobamba"/>
    <s v="Chimborazo"/>
    <s v="Nancy Gil de la Peña"/>
    <x v="2"/>
    <s v="Tarjeta de crédito"/>
    <s v="Mozzarella"/>
    <s v="Productos lácteos"/>
    <x v="39"/>
    <n v="27"/>
    <n v="13154.399999999998"/>
  </r>
  <r>
    <n v="182"/>
    <x v="61"/>
    <n v="5404968765"/>
    <s v="Empresa C"/>
    <s v="Machala"/>
    <s v="El Oro"/>
    <s v="Mayra Aguilar Sepúlveda"/>
    <x v="0"/>
    <s v="Efectivo"/>
    <s v="Jarabe"/>
    <s v="Condimentos"/>
    <x v="24"/>
    <n v="99"/>
    <n v="13860"/>
  </r>
  <r>
    <n v="183"/>
    <x v="148"/>
    <n v="2431996009"/>
    <s v="Empresa C"/>
    <s v="Machala"/>
    <s v="El Oro"/>
    <s v="Mayra Aguilar Sepúlveda"/>
    <x v="0"/>
    <s v="Efectivo"/>
    <s v="Salsa curry"/>
    <s v="Salsas"/>
    <x v="26"/>
    <n v="10"/>
    <n v="5600"/>
  </r>
  <r>
    <n v="184"/>
    <x v="101"/>
    <n v="6373385557"/>
    <s v="Empresa J"/>
    <s v="Esmeraldas"/>
    <s v="Esmeraldas"/>
    <s v="Laura Gutiérrez Saenz"/>
    <x v="0"/>
    <s v="Tarjeta de crédito"/>
    <s v="Almendras"/>
    <s v="Frutas secas"/>
    <x v="24"/>
    <n v="80"/>
    <n v="11200"/>
  </r>
  <r>
    <n v="185"/>
    <x v="82"/>
    <n v="5411926783"/>
    <s v="Empresa J"/>
    <s v="Esmeraldas"/>
    <s v="Esmeraldas"/>
    <s v="Laura Gutiérrez Saenz"/>
    <x v="1"/>
    <s v="Empresa de embarque D"/>
    <s v="Ciruelas secas"/>
    <s v="Frutas secas"/>
    <x v="25"/>
    <n v="27"/>
    <n v="1323"/>
  </r>
  <r>
    <n v="186"/>
    <x v="149"/>
    <n v="8397590471"/>
    <s v="Empresa K"/>
    <s v="Quito"/>
    <s v="Pichincha"/>
    <s v="Ana del Valle Hinojosa"/>
    <x v="2"/>
    <s v="Empresa de embarque D"/>
    <s v="Salsa curry"/>
    <s v="Salsas"/>
    <x v="26"/>
    <n v="97"/>
    <n v="54320"/>
  </r>
  <r>
    <n v="187"/>
    <x v="150"/>
    <n v="5905399576"/>
    <s v="Empresa A"/>
    <s v="Ambato"/>
    <s v="Tungurahua"/>
    <s v="Nancy Gil de la Peña"/>
    <x v="2"/>
    <s v="Empresa de embarque D"/>
    <s v="Carne de cangrejo"/>
    <s v="Carne enlatada"/>
    <x v="27"/>
    <n v="42"/>
    <n v="10819.199999999999"/>
  </r>
  <r>
    <n v="188"/>
    <x v="93"/>
    <n v="168682758"/>
    <s v="Empresa BB"/>
    <s v="Manta"/>
    <s v="Manabi"/>
    <s v="Ana del Valle Hinojosa"/>
    <x v="2"/>
    <s v="Tarjeta de crédito"/>
    <s v="Café"/>
    <s v="Bebidas"/>
    <x v="28"/>
    <n v="24"/>
    <n v="15456"/>
  </r>
  <r>
    <n v="189"/>
    <x v="151"/>
    <n v="4992553897"/>
    <s v="Empresa I"/>
    <s v="Guayaquil"/>
    <s v="Guayas"/>
    <s v="Robert Zárate Carrillo"/>
    <x v="1"/>
    <s v="Cheque"/>
    <s v="Almejas"/>
    <s v="Sopas"/>
    <x v="29"/>
    <n v="90"/>
    <n v="12159"/>
  </r>
  <r>
    <n v="190"/>
    <x v="92"/>
    <n v="9609810399"/>
    <s v="Empresa F"/>
    <s v="Ibarra"/>
    <s v="Imbabura"/>
    <s v="Luis Miguel Valdés Garza"/>
    <x v="0"/>
    <s v="Tarjeta de crédito"/>
    <s v="Chocolate"/>
    <s v="Dulces"/>
    <x v="30"/>
    <n v="28"/>
    <n v="4998"/>
  </r>
  <r>
    <n v="191"/>
    <x v="10"/>
    <n v="1537469039"/>
    <s v="Empresa BB"/>
    <s v="Manta"/>
    <s v="Manabi"/>
    <s v="Ana del Valle Hinojosa"/>
    <x v="2"/>
    <s v="Cheque"/>
    <s v="Café"/>
    <s v="Bebidas"/>
    <x v="28"/>
    <n v="28"/>
    <n v="18032"/>
  </r>
  <r>
    <n v="192"/>
    <x v="136"/>
    <n v="2018401595"/>
    <s v="Empresa H"/>
    <s v="Riobamba"/>
    <s v="Chimborazo"/>
    <s v="Nancy Gil de la Peña"/>
    <x v="2"/>
    <s v="Cheque"/>
    <s v="Chocolate"/>
    <s v="Dulces"/>
    <x v="30"/>
    <n v="57"/>
    <n v="10174.5"/>
  </r>
  <r>
    <n v="193"/>
    <x v="152"/>
    <n v="1129934476"/>
    <s v="Empresa J"/>
    <s v="Esmeraldas"/>
    <s v="Esmeraldas"/>
    <s v="Laura Gutiérrez Saenz"/>
    <x v="0"/>
    <s v="Tarjeta de crédito"/>
    <s v="Té verde"/>
    <s v="Bebidas"/>
    <x v="37"/>
    <n v="23"/>
    <n v="962.78"/>
  </r>
  <r>
    <n v="194"/>
    <x v="115"/>
    <n v="878400496"/>
    <s v="Empresa G"/>
    <s v="Guaranda"/>
    <s v="Guaranda"/>
    <s v="Nancy Gil de la Peña"/>
    <x v="3"/>
    <s v="Empresa de embarque D"/>
    <s v="Café"/>
    <s v="Bebidas"/>
    <x v="28"/>
    <n v="86"/>
    <n v="55384"/>
  </r>
  <r>
    <n v="195"/>
    <x v="153"/>
    <n v="6271764467"/>
    <s v="Empresa J"/>
    <s v="Esmeraldas"/>
    <s v="Esmeraldas"/>
    <s v="Laura Gutiérrez Saenz"/>
    <x v="1"/>
    <s v="Empresa de embarque D"/>
    <s v="Jalea de fresa"/>
    <s v="Mermeladas y jaleas"/>
    <x v="32"/>
    <n v="47"/>
    <n v="16450"/>
  </r>
  <r>
    <n v="196"/>
    <x v="154"/>
    <n v="5954546839"/>
    <s v="Empresa J"/>
    <s v="Esmeraldas"/>
    <s v="Esmeraldas"/>
    <s v="Laura Gutiérrez Saenz"/>
    <x v="1"/>
    <s v="Empresa de embarque D"/>
    <s v="Condimento cajún"/>
    <s v="Condimentos"/>
    <x v="31"/>
    <n v="97"/>
    <n v="29876"/>
  </r>
  <r>
    <n v="197"/>
    <x v="155"/>
    <n v="1007419194"/>
    <s v="Empresa J"/>
    <s v="Esmeraldas"/>
    <s v="Esmeraldas"/>
    <s v="Laura Gutiérrez Saenz"/>
    <x v="1"/>
    <s v="Empresa de embarque D"/>
    <s v="Galletas de chocolate"/>
    <s v="Productos horneados"/>
    <x v="41"/>
    <n v="96"/>
    <n v="12364.8"/>
  </r>
  <r>
    <n v="198"/>
    <x v="81"/>
    <n v="2749506386"/>
    <s v="Empresa K"/>
    <s v="Quito"/>
    <s v="Pichincha"/>
    <s v="Ana del Valle Hinojosa"/>
    <x v="2"/>
    <s v="Empresa de embarque D"/>
    <s v="Ciruelas secas"/>
    <s v="Frutas secas"/>
    <x v="25"/>
    <n v="31"/>
    <n v="1519"/>
  </r>
  <r>
    <n v="199"/>
    <x v="156"/>
    <n v="3279160134"/>
    <s v="Empresa K"/>
    <s v="Quito"/>
    <s v="Pichincha"/>
    <s v="Ana del Valle Hinojosa"/>
    <x v="2"/>
    <s v="Empresa de embarque D"/>
    <s v="Té verde"/>
    <s v="Bebidas"/>
    <x v="37"/>
    <n v="52"/>
    <n v="2176.7199999999998"/>
  </r>
  <r>
    <n v="200"/>
    <x v="80"/>
    <n v="6789089883"/>
    <s v="Empresa A"/>
    <s v="Ambato"/>
    <s v="Tungurahua"/>
    <s v="Nancy Gil de la Peña"/>
    <x v="3"/>
    <s v="Empresa de embarque D"/>
    <s v="Té chai"/>
    <s v="Bebidas"/>
    <x v="45"/>
    <n v="91"/>
    <n v="22932"/>
  </r>
  <r>
    <n v="201"/>
    <x v="157"/>
    <n v="7775981065"/>
    <s v="Empresa A"/>
    <s v="Ambato"/>
    <s v="Tungurahua"/>
    <s v="Nancy Gil de la Peña"/>
    <x v="3"/>
    <s v="Empresa de embarque D"/>
    <s v="Café"/>
    <s v="Bebidas"/>
    <x v="28"/>
    <n v="14"/>
    <n v="9016"/>
  </r>
  <r>
    <n v="202"/>
    <x v="83"/>
    <n v="5357417804"/>
    <s v="Empresa A"/>
    <s v="Ambato"/>
    <s v="Tungurahua"/>
    <s v="Nancy Gil de la Peña"/>
    <x v="3"/>
    <s v="Empresa de embarque D"/>
    <s v="Té verde"/>
    <s v="Bebidas"/>
    <x v="37"/>
    <n v="44"/>
    <n v="1841.84"/>
  </r>
  <r>
    <n v="203"/>
    <x v="158"/>
    <n v="4986720222"/>
    <s v="Empresa BB"/>
    <s v="Manta"/>
    <s v="Manabi"/>
    <s v="Ana del Valle Hinojosa"/>
    <x v="2"/>
    <s v="Tarjeta de crédito"/>
    <s v="Almejas"/>
    <s v="Sopas"/>
    <x v="29"/>
    <n v="97"/>
    <n v="13104.699999999999"/>
  </r>
  <r>
    <n v="204"/>
    <x v="159"/>
    <n v="9264353300"/>
    <s v="Empresa BB"/>
    <s v="Manta"/>
    <s v="Manabi"/>
    <s v="Ana del Valle Hinojosa"/>
    <x v="2"/>
    <s v="Tarjeta de crédito"/>
    <s v="Carne de cangrejo"/>
    <s v="Carne enlatada"/>
    <x v="27"/>
    <n v="80"/>
    <n v="20607.999999999996"/>
  </r>
  <r>
    <n v="205"/>
    <x v="160"/>
    <n v="4507840734"/>
    <s v="Empresa I"/>
    <s v="Guayaquil"/>
    <s v="Guayas"/>
    <s v="Robert Zárate Carrillo"/>
    <x v="1"/>
    <s v="Cheque"/>
    <s v="Ravioli"/>
    <s v="Pasta"/>
    <x v="38"/>
    <n v="66"/>
    <n v="18018"/>
  </r>
  <r>
    <n v="206"/>
    <x v="161"/>
    <n v="1926814553"/>
    <s v="Empresa I"/>
    <s v="Guayaquil"/>
    <s v="Guayas"/>
    <s v="Robert Zárate Carrillo"/>
    <x v="1"/>
    <s v="Cheque"/>
    <s v="Mozzarella"/>
    <s v="Productos lácteos"/>
    <x v="39"/>
    <n v="32"/>
    <n v="15590.399999999998"/>
  </r>
  <r>
    <n v="207"/>
    <x v="162"/>
    <n v="1115906573"/>
    <s v="Empresa F"/>
    <s v="Ibarra"/>
    <s v="Imbabura"/>
    <s v="Luis Miguel Valdés Garza"/>
    <x v="0"/>
    <s v="Tarjeta de crédito"/>
    <s v="Cerveza"/>
    <s v="Bebidas"/>
    <x v="40"/>
    <n v="52"/>
    <n v="10192"/>
  </r>
  <r>
    <n v="208"/>
    <x v="155"/>
    <n v="4298972271"/>
    <s v="Empresa H"/>
    <s v="Riobamba"/>
    <s v="Chimborazo"/>
    <s v="Nancy Gil de la Peña"/>
    <x v="0"/>
    <s v="Cheque"/>
    <s v="Salsa curry"/>
    <s v="Salsas"/>
    <x v="26"/>
    <n v="78"/>
    <n v="43680"/>
  </r>
  <r>
    <n v="209"/>
    <x v="163"/>
    <n v="1419202858"/>
    <s v="Empresa H"/>
    <s v="Riobamba"/>
    <s v="Chimborazo"/>
    <s v="Nancy Gil de la Peña"/>
    <x v="0"/>
    <s v="Cheque"/>
    <s v="Galletas de chocolate"/>
    <s v="Productos horneados"/>
    <x v="41"/>
    <n v="54"/>
    <n v="6955.1999999999989"/>
  </r>
  <r>
    <n v="210"/>
    <x v="52"/>
    <n v="3516608759"/>
    <s v="Empresa Y"/>
    <s v="Esmeraldas"/>
    <s v="Esmeraldas"/>
    <s v="Laura Gutiérrez Saenz"/>
    <x v="1"/>
    <s v="Efectivo"/>
    <s v="Bolillos"/>
    <s v="Productos horneados"/>
    <x v="24"/>
    <n v="55"/>
    <n v="7700"/>
  </r>
  <r>
    <n v="211"/>
    <x v="164"/>
    <n v="8191358442"/>
    <s v="Empresa Z"/>
    <s v="Quito"/>
    <s v="Pichincha"/>
    <s v="Ana del Valle Hinojosa"/>
    <x v="2"/>
    <s v="Tarjeta de crédito"/>
    <s v="Aceite de oliva"/>
    <s v="Aceite"/>
    <x v="42"/>
    <n v="60"/>
    <n v="17934.000000000004"/>
  </r>
  <r>
    <n v="212"/>
    <x v="165"/>
    <n v="8451227157"/>
    <s v="Empresa Z"/>
    <s v="Quito"/>
    <s v="Pichincha"/>
    <s v="Ana del Valle Hinojosa"/>
    <x v="2"/>
    <s v="Tarjeta de crédito"/>
    <s v="Almejas"/>
    <s v="Sopas"/>
    <x v="29"/>
    <n v="19"/>
    <n v="2566.9"/>
  </r>
  <r>
    <n v="213"/>
    <x v="166"/>
    <n v="9847155245"/>
    <s v="Empresa Z"/>
    <s v="Quito"/>
    <s v="Pichincha"/>
    <s v="Ana del Valle Hinojosa"/>
    <x v="2"/>
    <s v="Tarjeta de crédito"/>
    <s v="Carne de cangrejo"/>
    <s v="Carne enlatada"/>
    <x v="27"/>
    <n v="66"/>
    <n v="17001.599999999999"/>
  </r>
  <r>
    <n v="214"/>
    <x v="167"/>
    <n v="5189485028"/>
    <s v="Empresa CC"/>
    <s v="Guayaquil"/>
    <s v="Guayas"/>
    <s v="José de Jesús Morales"/>
    <x v="0"/>
    <s v="Cheque"/>
    <s v="Cerveza"/>
    <s v="Bebidas"/>
    <x v="40"/>
    <n v="42"/>
    <n v="8232"/>
  </r>
  <r>
    <n v="215"/>
    <x v="13"/>
    <n v="2367569858"/>
    <s v="Empresa F"/>
    <s v="Ibarra"/>
    <s v="Imbabura"/>
    <s v="Luis Miguel Valdés Garza"/>
    <x v="2"/>
    <s v="Cheque"/>
    <s v="Chocolate"/>
    <s v="Dulces"/>
    <x v="30"/>
    <n v="72"/>
    <n v="12852"/>
  </r>
  <r>
    <n v="216"/>
    <x v="168"/>
    <n v="1241520334"/>
    <s v="Empresa D"/>
    <s v="Azogues"/>
    <s v="Canar"/>
    <s v="Andrés González Rico"/>
    <x v="1"/>
    <s v="Tarjeta de crédito"/>
    <s v="Mermelada de zarzamora"/>
    <s v="Mermeladas y jaleas"/>
    <x v="43"/>
    <n v="32"/>
    <n v="36288"/>
  </r>
  <r>
    <n v="217"/>
    <x v="169"/>
    <n v="6999895697"/>
    <s v="Empresa D"/>
    <s v="Azogues"/>
    <s v="Canar"/>
    <s v="Andrés González Rico"/>
    <x v="1"/>
    <s v="Tarjeta de crédito"/>
    <s v="Arroz de grano largo"/>
    <s v="Granos"/>
    <x v="44"/>
    <n v="76"/>
    <n v="7448"/>
  </r>
  <r>
    <n v="218"/>
    <x v="141"/>
    <n v="2931440223"/>
    <s v="Empresa J"/>
    <s v="Esmeraldas"/>
    <s v="Esmeraldas"/>
    <s v="Laura Gutiérrez Saenz"/>
    <x v="1"/>
    <s v="Empresa de embarque D"/>
    <s v="Galletas de chocolate"/>
    <s v="Productos horneados"/>
    <x v="41"/>
    <n v="83"/>
    <n v="10690.399999999998"/>
  </r>
  <r>
    <n v="219"/>
    <x v="25"/>
    <n v="6045555436"/>
    <s v="Empresa K"/>
    <s v="Quito"/>
    <s v="Pichincha"/>
    <s v="Ana del Valle Hinojosa"/>
    <x v="2"/>
    <s v="Empresa de embarque D"/>
    <s v="Ciruelas secas"/>
    <s v="Frutas secas"/>
    <x v="25"/>
    <n v="91"/>
    <n v="4459"/>
  </r>
  <r>
    <n v="220"/>
    <x v="57"/>
    <n v="4985084204"/>
    <s v="Empresa K"/>
    <s v="Quito"/>
    <s v="Pichincha"/>
    <s v="Ana del Valle Hinojosa"/>
    <x v="2"/>
    <s v="Empresa de embarque D"/>
    <s v="Té verde"/>
    <s v="Bebidas"/>
    <x v="37"/>
    <n v="64"/>
    <n v="2679.04"/>
  </r>
  <r>
    <n v="221"/>
    <x v="99"/>
    <n v="8950774476"/>
    <s v="Empresa A"/>
    <s v="Ambato"/>
    <s v="Tungurahua"/>
    <s v="Nancy Gil de la Peña"/>
    <x v="3"/>
    <s v="Empresa de embarque D"/>
    <s v="Té chai"/>
    <s v="Bebidas"/>
    <x v="45"/>
    <n v="58"/>
    <n v="14616"/>
  </r>
  <r>
    <n v="222"/>
    <x v="170"/>
    <n v="4091794218"/>
    <s v="Empresa A"/>
    <s v="Ambato"/>
    <s v="Tungurahua"/>
    <s v="Nancy Gil de la Peña"/>
    <x v="3"/>
    <s v="Empresa de embarque D"/>
    <s v="Café"/>
    <s v="Bebidas"/>
    <x v="28"/>
    <n v="97"/>
    <n v="62468"/>
  </r>
  <r>
    <n v="223"/>
    <x v="153"/>
    <n v="2789876793"/>
    <s v="Empresa A"/>
    <s v="Ambato"/>
    <s v="Tungurahua"/>
    <s v="Nancy Gil de la Peña"/>
    <x v="3"/>
    <s v="Empresa de embarque D"/>
    <s v="Té verde"/>
    <s v="Bebidas"/>
    <x v="37"/>
    <n v="14"/>
    <n v="586.04"/>
  </r>
  <r>
    <n v="224"/>
    <x v="171"/>
    <n v="4338385582"/>
    <s v="Empresa BB"/>
    <s v="Manta"/>
    <s v="Manabi"/>
    <s v="Ana del Valle Hinojosa"/>
    <x v="2"/>
    <s v="Tarjeta de crédito"/>
    <s v="Almejas"/>
    <s v="Sopas"/>
    <x v="29"/>
    <n v="68"/>
    <n v="9186.7999999999993"/>
  </r>
  <r>
    <n v="225"/>
    <x v="144"/>
    <n v="9159410824"/>
    <s v="Empresa BB"/>
    <s v="Manta"/>
    <s v="Manabi"/>
    <s v="Ana del Valle Hinojosa"/>
    <x v="2"/>
    <s v="Tarjeta de crédito"/>
    <s v="Carne de cangrejo"/>
    <s v="Carne enlatada"/>
    <x v="27"/>
    <n v="32"/>
    <n v="8243.1999999999989"/>
  </r>
  <r>
    <n v="226"/>
    <x v="172"/>
    <n v="6562657766"/>
    <s v="Empresa I"/>
    <s v="Guayaquil"/>
    <s v="Guayas"/>
    <s v="Robert Zárate Carrillo"/>
    <x v="1"/>
    <s v="Cheque"/>
    <s v="Ravioli"/>
    <s v="Pasta"/>
    <x v="38"/>
    <n v="48"/>
    <n v="13104"/>
  </r>
  <r>
    <n v="227"/>
    <x v="173"/>
    <n v="4160634865"/>
    <s v="Empresa I"/>
    <s v="Guayaquil"/>
    <s v="Guayas"/>
    <s v="Robert Zárate Carrillo"/>
    <x v="1"/>
    <s v="Cheque"/>
    <s v="Mozzarella"/>
    <s v="Productos lácteos"/>
    <x v="39"/>
    <n v="57"/>
    <n v="27770.399999999998"/>
  </r>
  <r>
    <n v="228"/>
    <x v="147"/>
    <n v="142416687"/>
    <s v="Empresa F"/>
    <s v="Ibarra"/>
    <s v="Imbabura"/>
    <s v="Luis Miguel Valdés Garza"/>
    <x v="0"/>
    <s v="Tarjeta de crédito"/>
    <s v="Cerveza"/>
    <s v="Bebidas"/>
    <x v="40"/>
    <n v="67"/>
    <n v="13132"/>
  </r>
  <r>
    <n v="229"/>
    <x v="108"/>
    <n v="6114991349"/>
    <s v="Empresa H"/>
    <s v="Riobamba"/>
    <s v="Chimborazo"/>
    <s v="Nancy Gil de la Peña"/>
    <x v="0"/>
    <s v="Cheque"/>
    <s v="Salsa curry"/>
    <s v="Salsas"/>
    <x v="26"/>
    <n v="48"/>
    <n v="26880"/>
  </r>
  <r>
    <n v="230"/>
    <x v="174"/>
    <n v="6472352060"/>
    <s v="Empresa H"/>
    <s v="Riobamba"/>
    <s v="Chimborazo"/>
    <s v="Nancy Gil de la Peña"/>
    <x v="0"/>
    <s v="Cheque"/>
    <s v="Galletas de chocolate"/>
    <s v="Productos horneados"/>
    <x v="41"/>
    <n v="77"/>
    <n v="9917.5999999999985"/>
  </r>
  <r>
    <n v="231"/>
    <x v="138"/>
    <n v="5399077795"/>
    <s v="Empresa Y"/>
    <s v="Esmeraldas"/>
    <s v="Esmeraldas"/>
    <s v="Laura Gutiérrez Saenz"/>
    <x v="1"/>
    <s v="Efectivo"/>
    <s v="Bolillos"/>
    <s v="Productos horneados"/>
    <x v="24"/>
    <n v="94"/>
    <n v="13160"/>
  </r>
  <r>
    <n v="232"/>
    <x v="175"/>
    <n v="6275645168"/>
    <s v="Empresa Z"/>
    <s v="Quito"/>
    <s v="Pichincha"/>
    <s v="Ana del Valle Hinojosa"/>
    <x v="2"/>
    <s v="Tarjeta de crédito"/>
    <s v="Aceite de oliva"/>
    <s v="Aceite"/>
    <x v="42"/>
    <n v="54"/>
    <n v="16140.600000000002"/>
  </r>
  <r>
    <n v="233"/>
    <x v="51"/>
    <n v="597069969"/>
    <s v="Empresa Z"/>
    <s v="Quito"/>
    <s v="Pichincha"/>
    <s v="Ana del Valle Hinojosa"/>
    <x v="2"/>
    <s v="Tarjeta de crédito"/>
    <s v="Almejas"/>
    <s v="Sopas"/>
    <x v="29"/>
    <n v="43"/>
    <n v="5809.3"/>
  </r>
  <r>
    <n v="234"/>
    <x v="58"/>
    <n v="1323169656"/>
    <s v="Empresa Z"/>
    <s v="Quito"/>
    <s v="Pichincha"/>
    <s v="Ana del Valle Hinojosa"/>
    <x v="2"/>
    <s v="Tarjeta de crédito"/>
    <s v="Carne de cangrejo"/>
    <s v="Carne enlatada"/>
    <x v="27"/>
    <n v="71"/>
    <n v="18289.599999999999"/>
  </r>
  <r>
    <n v="235"/>
    <x v="176"/>
    <n v="2932971142"/>
    <s v="Empresa CC"/>
    <s v="Guayaquil"/>
    <s v="Guayas"/>
    <s v="José de Jesús Morales"/>
    <x v="0"/>
    <s v="Cheque"/>
    <s v="Cerveza"/>
    <s v="Bebidas"/>
    <x v="40"/>
    <n v="50"/>
    <n v="9800"/>
  </r>
  <r>
    <n v="236"/>
    <x v="177"/>
    <n v="3634141900"/>
    <s v="Empresa F"/>
    <s v="Ibarra"/>
    <s v="Imbabura"/>
    <s v="Luis Miguel Valdés Garza"/>
    <x v="2"/>
    <s v="Cheque"/>
    <s v="Chocolate"/>
    <s v="Dulces"/>
    <x v="30"/>
    <n v="96"/>
    <n v="17136"/>
  </r>
  <r>
    <n v="237"/>
    <x v="161"/>
    <n v="8872627168"/>
    <s v="Empresa D"/>
    <s v="Azogues"/>
    <s v="Canar"/>
    <s v="Andrés González Rico"/>
    <x v="1"/>
    <s v="Tarjeta de crédito"/>
    <s v="Mermelada de zarzamora"/>
    <s v="Mermeladas y jaleas"/>
    <x v="43"/>
    <n v="54"/>
    <n v="61236"/>
  </r>
  <r>
    <n v="238"/>
    <x v="178"/>
    <n v="5571010485"/>
    <s v="Empresa D"/>
    <s v="Azogues"/>
    <s v="Canar"/>
    <s v="Andrés González Rico"/>
    <x v="1"/>
    <s v="Tarjeta de crédito"/>
    <s v="Arroz de grano largo"/>
    <s v="Granos"/>
    <x v="44"/>
    <n v="39"/>
    <n v="3822"/>
  </r>
  <r>
    <n v="239"/>
    <x v="66"/>
    <n v="7703467924"/>
    <s v="Empresa H"/>
    <s v="Riobamba"/>
    <s v="Chimborazo"/>
    <s v="Nancy Gil de la Peña"/>
    <x v="2"/>
    <s v="Tarjeta de crédito"/>
    <s v="Mozzarella"/>
    <s v="Productos lácteos"/>
    <x v="39"/>
    <n v="63"/>
    <n v="30693.599999999995"/>
  </r>
  <r>
    <n v="240"/>
    <x v="143"/>
    <n v="7747820326"/>
    <s v="Empresa C"/>
    <s v="Machala"/>
    <s v="El Oro"/>
    <s v="Mayra Aguilar Sepúlveda"/>
    <x v="0"/>
    <s v="Efectivo"/>
    <s v="Jarabe"/>
    <s v="Condimentos"/>
    <x v="24"/>
    <n v="71"/>
    <n v="9940"/>
  </r>
  <r>
    <n v="241"/>
    <x v="179"/>
    <n v="5769101754"/>
    <s v="Empresa C"/>
    <s v="Machala"/>
    <s v="El Oro"/>
    <s v="Mayra Aguilar Sepúlveda"/>
    <x v="0"/>
    <s v="Efectivo"/>
    <s v="Salsa curry"/>
    <s v="Salsas"/>
    <x v="26"/>
    <n v="88"/>
    <n v="49280"/>
  </r>
  <r>
    <n v="242"/>
    <x v="81"/>
    <n v="7427615835"/>
    <s v="Empresa J"/>
    <s v="Esmeraldas"/>
    <s v="Esmeraldas"/>
    <s v="Laura Gutiérrez Saenz"/>
    <x v="0"/>
    <s v="Tarjeta de crédito"/>
    <s v="Almendras"/>
    <s v="Frutas secas"/>
    <x v="24"/>
    <n v="59"/>
    <n v="8260"/>
  </r>
  <r>
    <n v="243"/>
    <x v="180"/>
    <n v="242336558"/>
    <s v="Empresa F"/>
    <s v="Ibarra"/>
    <s v="Imbabura"/>
    <s v="Luis Miguel Valdés Garza"/>
    <x v="0"/>
    <s v="Tarjeta de crédito"/>
    <s v="Salsa curry"/>
    <s v="Salsas"/>
    <x v="26"/>
    <n v="94"/>
    <n v="52640"/>
  </r>
  <r>
    <n v="244"/>
    <x v="139"/>
    <n v="2520819737"/>
    <s v="Empresa BB"/>
    <s v="Manta"/>
    <s v="Manabi"/>
    <s v="Ana del Valle Hinojosa"/>
    <x v="2"/>
    <s v="Cheque"/>
    <s v="Café"/>
    <s v="Bebidas"/>
    <x v="28"/>
    <n v="86"/>
    <n v="55384"/>
  </r>
  <r>
    <n v="245"/>
    <x v="181"/>
    <n v="8828389188"/>
    <s v="Empresa H"/>
    <s v="Riobamba"/>
    <s v="Chimborazo"/>
    <s v="Nancy Gil de la Peña"/>
    <x v="2"/>
    <s v="Cheque"/>
    <s v="Chocolate"/>
    <s v="Dulces"/>
    <x v="30"/>
    <n v="61"/>
    <n v="10888.5"/>
  </r>
  <r>
    <n v="246"/>
    <x v="182"/>
    <n v="164422904"/>
    <s v="Empresa J"/>
    <s v="Esmeraldas"/>
    <s v="Esmeraldas"/>
    <s v="Laura Gutiérrez Saenz"/>
    <x v="0"/>
    <s v="Tarjeta de crédito"/>
    <s v="Té verde"/>
    <s v="Bebidas"/>
    <x v="37"/>
    <n v="32"/>
    <n v="1339.52"/>
  </r>
  <r>
    <n v="247"/>
    <x v="32"/>
    <n v="7991995786"/>
    <s v="Empresa G"/>
    <s v="Guaranda"/>
    <s v="Guaranda"/>
    <s v="Nancy Gil de la Peña"/>
    <x v="3"/>
    <s v="Empresa de embarque D"/>
    <s v="Café"/>
    <s v="Bebidas"/>
    <x v="28"/>
    <n v="62"/>
    <n v="39928"/>
  </r>
  <r>
    <n v="248"/>
    <x v="183"/>
    <n v="4149364306"/>
    <s v="Empresa J"/>
    <s v="Esmeraldas"/>
    <s v="Esmeraldas"/>
    <s v="Laura Gutiérrez Saenz"/>
    <x v="1"/>
    <s v="Empresa de embarque D"/>
    <s v="Jalea de fresa"/>
    <s v="Mermeladas y jaleas"/>
    <x v="32"/>
    <n v="60"/>
    <n v="21000"/>
  </r>
  <r>
    <n v="249"/>
    <x v="97"/>
    <n v="6397472642"/>
    <s v="Empresa J"/>
    <s v="Esmeraldas"/>
    <s v="Esmeraldas"/>
    <s v="Laura Gutiérrez Saenz"/>
    <x v="1"/>
    <s v="Empresa de embarque D"/>
    <s v="Condimento cajún"/>
    <s v="Condimentos"/>
    <x v="31"/>
    <n v="51"/>
    <n v="15708"/>
  </r>
  <r>
    <n v="250"/>
    <x v="73"/>
    <n v="1168651383"/>
    <s v="Empresa J"/>
    <s v="Esmeraldas"/>
    <s v="Esmeraldas"/>
    <s v="Laura Gutiérrez Saenz"/>
    <x v="1"/>
    <s v="Empresa de embarque D"/>
    <s v="Galletas de chocolate"/>
    <s v="Productos horneados"/>
    <x v="41"/>
    <n v="49"/>
    <n v="6311.1999999999989"/>
  </r>
  <r>
    <n v="251"/>
    <x v="184"/>
    <n v="1309311215"/>
    <s v="Empresa K"/>
    <s v="Quito"/>
    <s v="Pichincha"/>
    <s v="Ana del Valle Hinojosa"/>
    <x v="2"/>
    <s v="Empresa de embarque D"/>
    <s v="Ciruelas secas"/>
    <s v="Frutas secas"/>
    <x v="25"/>
    <n v="20"/>
    <n v="980"/>
  </r>
  <r>
    <n v="252"/>
    <x v="185"/>
    <n v="4552083877"/>
    <s v="Empresa K"/>
    <s v="Quito"/>
    <s v="Pichincha"/>
    <s v="Ana del Valle Hinojosa"/>
    <x v="2"/>
    <s v="Empresa de embarque D"/>
    <s v="Té verde"/>
    <s v="Bebidas"/>
    <x v="37"/>
    <n v="49"/>
    <n v="2051.14"/>
  </r>
  <r>
    <n v="253"/>
    <x v="186"/>
    <n v="6119453494"/>
    <s v="Empresa A"/>
    <s v="Ambato"/>
    <s v="Tungurahua"/>
    <s v="Nancy Gil de la Peña"/>
    <x v="3"/>
    <s v="Empresa de embarque D"/>
    <s v="Té chai"/>
    <s v="Bebidas"/>
    <x v="45"/>
    <n v="22"/>
    <n v="5544"/>
  </r>
  <r>
    <n v="254"/>
    <x v="55"/>
    <n v="8815781249"/>
    <s v="Empresa A"/>
    <s v="Ambato"/>
    <s v="Tungurahua"/>
    <s v="Nancy Gil de la Peña"/>
    <x v="3"/>
    <s v="Empresa de embarque D"/>
    <s v="Café"/>
    <s v="Bebidas"/>
    <x v="28"/>
    <n v="73"/>
    <n v="47012"/>
  </r>
  <r>
    <n v="255"/>
    <x v="180"/>
    <n v="5308869510"/>
    <s v="Empresa A"/>
    <s v="Ambato"/>
    <s v="Tungurahua"/>
    <s v="Nancy Gil de la Peña"/>
    <x v="3"/>
    <s v="Empresa de embarque D"/>
    <s v="Té verde"/>
    <s v="Bebidas"/>
    <x v="37"/>
    <n v="85"/>
    <n v="3558.1"/>
  </r>
  <r>
    <n v="256"/>
    <x v="187"/>
    <n v="9623390930"/>
    <s v="Empresa BB"/>
    <s v="Manta"/>
    <s v="Manabi"/>
    <s v="Ana del Valle Hinojosa"/>
    <x v="2"/>
    <s v="Tarjeta de crédito"/>
    <s v="Almejas"/>
    <s v="Sopas"/>
    <x v="29"/>
    <n v="44"/>
    <n v="5944.4"/>
  </r>
  <r>
    <n v="257"/>
    <x v="179"/>
    <n v="9925453816"/>
    <s v="Empresa BB"/>
    <s v="Manta"/>
    <s v="Manabi"/>
    <s v="Ana del Valle Hinojosa"/>
    <x v="2"/>
    <s v="Tarjeta de crédito"/>
    <s v="Carne de cangrejo"/>
    <s v="Carne enlatada"/>
    <x v="27"/>
    <n v="24"/>
    <n v="6182.4"/>
  </r>
  <r>
    <n v="258"/>
    <x v="172"/>
    <n v="6948053333"/>
    <s v="Empresa I"/>
    <s v="Guayaquil"/>
    <s v="Guayas"/>
    <s v="Robert Zárate Carrillo"/>
    <x v="1"/>
    <s v="Cheque"/>
    <s v="Ravioli"/>
    <s v="Pasta"/>
    <x v="38"/>
    <n v="64"/>
    <n v="17472"/>
  </r>
  <r>
    <n v="259"/>
    <x v="150"/>
    <n v="2060963898"/>
    <s v="Empresa I"/>
    <s v="Guayaquil"/>
    <s v="Guayas"/>
    <s v="Robert Zárate Carrillo"/>
    <x v="1"/>
    <s v="Cheque"/>
    <s v="Mozzarella"/>
    <s v="Productos lácteos"/>
    <x v="39"/>
    <n v="70"/>
    <n v="34103.999999999993"/>
  </r>
  <r>
    <n v="260"/>
    <x v="176"/>
    <n v="2582781913"/>
    <s v="Empresa F"/>
    <s v="Ibarra"/>
    <s v="Imbabura"/>
    <s v="Luis Miguel Valdés Garza"/>
    <x v="0"/>
    <s v="Tarjeta de crédito"/>
    <s v="Cerveza"/>
    <s v="Bebidas"/>
    <x v="40"/>
    <n v="98"/>
    <n v="19208"/>
  </r>
  <r>
    <n v="261"/>
    <x v="26"/>
    <n v="2732649952"/>
    <s v="Empresa H"/>
    <s v="Riobamba"/>
    <s v="Chimborazo"/>
    <s v="Nancy Gil de la Peña"/>
    <x v="0"/>
    <s v="Cheque"/>
    <s v="Salsa curry"/>
    <s v="Salsas"/>
    <x v="26"/>
    <n v="48"/>
    <n v="26880"/>
  </r>
  <r>
    <n v="262"/>
    <x v="142"/>
    <n v="4179453952"/>
    <s v="Empresa H"/>
    <s v="Riobamba"/>
    <s v="Chimborazo"/>
    <s v="Nancy Gil de la Peña"/>
    <x v="0"/>
    <s v="Cheque"/>
    <s v="Galletas de chocolate"/>
    <s v="Productos horneados"/>
    <x v="41"/>
    <n v="100"/>
    <n v="12879.999999999998"/>
  </r>
  <r>
    <n v="263"/>
    <x v="188"/>
    <n v="4339665341"/>
    <s v="Empresa Y"/>
    <s v="Esmeraldas"/>
    <s v="Esmeraldas"/>
    <s v="Laura Gutiérrez Saenz"/>
    <x v="1"/>
    <s v="Efectivo"/>
    <s v="Bolillos"/>
    <s v="Productos horneados"/>
    <x v="24"/>
    <n v="90"/>
    <n v="12600"/>
  </r>
  <r>
    <n v="264"/>
    <x v="189"/>
    <n v="9193900326"/>
    <s v="Empresa Z"/>
    <s v="Quito"/>
    <s v="Pichincha"/>
    <s v="Ana del Valle Hinojosa"/>
    <x v="2"/>
    <s v="Tarjeta de crédito"/>
    <s v="Aceite de oliva"/>
    <s v="Aceite"/>
    <x v="42"/>
    <n v="49"/>
    <n v="14646.100000000002"/>
  </r>
  <r>
    <n v="265"/>
    <x v="96"/>
    <n v="7474169055"/>
    <s v="Empresa Z"/>
    <s v="Quito"/>
    <s v="Pichincha"/>
    <s v="Ana del Valle Hinojosa"/>
    <x v="2"/>
    <s v="Tarjeta de crédito"/>
    <s v="Almejas"/>
    <s v="Sopas"/>
    <x v="29"/>
    <n v="71"/>
    <n v="9592.1"/>
  </r>
  <r>
    <n v="266"/>
    <x v="59"/>
    <n v="9750138179"/>
    <s v="Empresa Z"/>
    <s v="Quito"/>
    <s v="Pichincha"/>
    <s v="Ana del Valle Hinojosa"/>
    <x v="2"/>
    <s v="Tarjeta de crédito"/>
    <s v="Carne de cangrejo"/>
    <s v="Carne enlatada"/>
    <x v="27"/>
    <n v="10"/>
    <n v="2575.9999999999995"/>
  </r>
  <r>
    <n v="267"/>
    <x v="190"/>
    <n v="2294414293"/>
    <s v="Empresa CC"/>
    <s v="Guayaquil"/>
    <s v="Guayas"/>
    <s v="José de Jesús Morales"/>
    <x v="0"/>
    <s v="Cheque"/>
    <s v="Cerveza"/>
    <s v="Bebidas"/>
    <x v="40"/>
    <n v="78"/>
    <n v="15288"/>
  </r>
  <r>
    <n v="268"/>
    <x v="191"/>
    <n v="776426288"/>
    <s v="Empresa F"/>
    <s v="Ibarra"/>
    <s v="Imbabura"/>
    <s v="Luis Miguel Valdés Garza"/>
    <x v="2"/>
    <s v="Cheque"/>
    <s v="Chocolate"/>
    <s v="Dulces"/>
    <x v="30"/>
    <n v="44"/>
    <n v="7854"/>
  </r>
  <r>
    <n v="269"/>
    <x v="158"/>
    <n v="1245231958"/>
    <s v="Empresa D"/>
    <s v="Azogues"/>
    <s v="Canar"/>
    <s v="Andrés González Rico"/>
    <x v="1"/>
    <s v="Tarjeta de crédito"/>
    <s v="Mermelada de zarzamora"/>
    <s v="Mermeladas y jaleas"/>
    <x v="43"/>
    <n v="82"/>
    <n v="92988"/>
  </r>
  <r>
    <n v="270"/>
    <x v="192"/>
    <n v="2050724971"/>
    <s v="Empresa D"/>
    <s v="Azogues"/>
    <s v="Canar"/>
    <s v="Andrés González Rico"/>
    <x v="1"/>
    <s v="Tarjeta de crédito"/>
    <s v="Arroz de grano largo"/>
    <s v="Granos"/>
    <x v="44"/>
    <n v="29"/>
    <n v="2842"/>
  </r>
  <r>
    <n v="271"/>
    <x v="193"/>
    <n v="9478104719"/>
    <s v="Empresa H"/>
    <s v="Riobamba"/>
    <s v="Chimborazo"/>
    <s v="Nancy Gil de la Peña"/>
    <x v="2"/>
    <s v="Tarjeta de crédito"/>
    <s v="Mozzarella"/>
    <s v="Productos lácteos"/>
    <x v="39"/>
    <n v="93"/>
    <n v="45309.599999999991"/>
  </r>
  <r>
    <n v="272"/>
    <x v="160"/>
    <n v="7620759943"/>
    <s v="Empresa C"/>
    <s v="Machala"/>
    <s v="El Oro"/>
    <s v="Mayra Aguilar Sepúlveda"/>
    <x v="0"/>
    <s v="Efectivo"/>
    <s v="Jarabe"/>
    <s v="Condimentos"/>
    <x v="24"/>
    <n v="11"/>
    <n v="1540"/>
  </r>
  <r>
    <n v="273"/>
    <x v="194"/>
    <n v="9345003575"/>
    <s v="Empresa C"/>
    <s v="Machala"/>
    <s v="El Oro"/>
    <s v="Mayra Aguilar Sepúlveda"/>
    <x v="0"/>
    <s v="Efectivo"/>
    <s v="Salsa curry"/>
    <s v="Salsas"/>
    <x v="26"/>
    <n v="91"/>
    <n v="50960"/>
  </r>
  <r>
    <n v="274"/>
    <x v="47"/>
    <n v="5988072690"/>
    <s v="Empresa J"/>
    <s v="Esmeraldas"/>
    <s v="Esmeraldas"/>
    <s v="Laura Gutiérrez Saenz"/>
    <x v="0"/>
    <s v="Tarjeta de crédito"/>
    <s v="Almendras"/>
    <s v="Frutas secas"/>
    <x v="24"/>
    <n v="12"/>
    <n v="1680"/>
  </r>
  <r>
    <n v="275"/>
    <x v="195"/>
    <n v="5113488625"/>
    <s v="Empresa J"/>
    <s v="Esmeraldas"/>
    <s v="Esmeraldas"/>
    <s v="Laura Gutiérrez Saenz"/>
    <x v="1"/>
    <s v="Empresa de embarque D"/>
    <s v="Ciruelas secas"/>
    <s v="Frutas secas"/>
    <x v="25"/>
    <n v="78"/>
    <n v="3822"/>
  </r>
  <r>
    <n v="276"/>
    <x v="196"/>
    <n v="8021429259"/>
    <s v="Empresa K"/>
    <s v="Quito"/>
    <s v="Pichincha"/>
    <s v="Ana del Valle Hinojosa"/>
    <x v="2"/>
    <s v="Empresa de embarque D"/>
    <s v="Salsa curry"/>
    <s v="Salsas"/>
    <x v="26"/>
    <n v="60"/>
    <n v="33600"/>
  </r>
  <r>
    <n v="277"/>
    <x v="186"/>
    <n v="680211800"/>
    <s v="Empresa A"/>
    <s v="Ambato"/>
    <s v="Tungurahua"/>
    <s v="Nancy Gil de la Peña"/>
    <x v="2"/>
    <s v="Empresa de embarque D"/>
    <s v="Carne de cangrejo"/>
    <s v="Carne enlatada"/>
    <x v="27"/>
    <n v="23"/>
    <n v="5924.7999999999993"/>
  </r>
  <r>
    <n v="278"/>
    <x v="107"/>
    <n v="2635806056"/>
    <s v="Empresa BB"/>
    <s v="Manta"/>
    <s v="Manabi"/>
    <s v="Ana del Valle Hinojosa"/>
    <x v="2"/>
    <s v="Tarjeta de crédito"/>
    <s v="Café"/>
    <s v="Bebidas"/>
    <x v="28"/>
    <n v="34"/>
    <n v="21896"/>
  </r>
  <r>
    <n v="279"/>
    <x v="96"/>
    <n v="3338515953"/>
    <s v="Empresa I"/>
    <s v="Guayaquil"/>
    <s v="Guayas"/>
    <s v="Robert Zárate Carrillo"/>
    <x v="1"/>
    <s v="Cheque"/>
    <s v="Almejas"/>
    <s v="Sopas"/>
    <x v="29"/>
    <n v="89"/>
    <n v="12023.9"/>
  </r>
  <r>
    <n v="280"/>
    <x v="88"/>
    <n v="3075758565"/>
    <s v="Empresa F"/>
    <s v="Ibarra"/>
    <s v="Imbabura"/>
    <s v="Luis Miguel Valdés Garza"/>
    <x v="0"/>
    <s v="Tarjeta de crédito"/>
    <s v="Chocolate"/>
    <s v="Dulces"/>
    <x v="30"/>
    <n v="82"/>
    <n v="14637"/>
  </r>
  <r>
    <n v="281"/>
    <x v="92"/>
    <n v="5383209032"/>
    <s v="Empresa H"/>
    <s v="Riobamba"/>
    <s v="Chimborazo"/>
    <s v="Nancy Gil de la Peña"/>
    <x v="0"/>
    <s v="Cheque"/>
    <s v="Chocolate"/>
    <s v="Dulces"/>
    <x v="30"/>
    <n v="43"/>
    <n v="7675.5"/>
  </r>
  <r>
    <n v="282"/>
    <x v="1"/>
    <n v="9635546425"/>
    <s v="Empresa J"/>
    <s v="Esmeraldas"/>
    <s v="Esmeraldas"/>
    <s v="Laura Gutiérrez Saenz"/>
    <x v="1"/>
    <s v="Empresa de embarque D"/>
    <s v="Condimento cajún"/>
    <s v="Condimentos"/>
    <x v="31"/>
    <n v="96"/>
    <n v="29568"/>
  </r>
  <r>
    <n v="283"/>
    <x v="96"/>
    <n v="3501364052"/>
    <s v="Empresa J"/>
    <s v="Esmeraldas"/>
    <s v="Esmeraldas"/>
    <s v="Laura Gutiérrez Saenz"/>
    <x v="1"/>
    <s v="Empresa de embarque D"/>
    <s v="Galletas de chocolate"/>
    <s v="Productos horneados"/>
    <x v="41"/>
    <n v="34"/>
    <n v="4379.2"/>
  </r>
  <r>
    <n v="284"/>
    <x v="45"/>
    <n v="2226825043"/>
    <s v="Empresa K"/>
    <s v="Quito"/>
    <s v="Pichincha"/>
    <s v="Ana del Valle Hinojosa"/>
    <x v="2"/>
    <s v="Empresa de embarque D"/>
    <s v="Ciruelas secas"/>
    <s v="Frutas secas"/>
    <x v="25"/>
    <n v="42"/>
    <n v="2058"/>
  </r>
  <r>
    <n v="285"/>
    <x v="197"/>
    <n v="6321323029"/>
    <s v="Empresa K"/>
    <s v="Quito"/>
    <s v="Pichincha"/>
    <s v="Ana del Valle Hinojosa"/>
    <x v="2"/>
    <s v="Empresa de embarque D"/>
    <s v="Té verde"/>
    <s v="Bebidas"/>
    <x v="37"/>
    <n v="100"/>
    <n v="4186"/>
  </r>
  <r>
    <n v="286"/>
    <x v="172"/>
    <n v="3775524143"/>
    <s v="Empresa A"/>
    <s v="Ambato"/>
    <s v="Tungurahua"/>
    <s v="Nancy Gil de la Peña"/>
    <x v="3"/>
    <s v="Empresa de embarque D"/>
    <s v="Té chai"/>
    <s v="Bebidas"/>
    <x v="45"/>
    <n v="42"/>
    <n v="10584"/>
  </r>
  <r>
    <n v="287"/>
    <x v="198"/>
    <n v="9543041808"/>
    <s v="Empresa A"/>
    <s v="Ambato"/>
    <s v="Tungurahua"/>
    <s v="Nancy Gil de la Peña"/>
    <x v="3"/>
    <s v="Empresa de embarque D"/>
    <s v="Café"/>
    <s v="Bebidas"/>
    <x v="28"/>
    <n v="16"/>
    <n v="10304"/>
  </r>
  <r>
    <n v="288"/>
    <x v="199"/>
    <n v="547647770"/>
    <s v="Empresa A"/>
    <s v="Ambato"/>
    <s v="Tungurahua"/>
    <s v="Nancy Gil de la Peña"/>
    <x v="3"/>
    <s v="Empresa de embarque D"/>
    <s v="Té verde"/>
    <s v="Bebidas"/>
    <x v="37"/>
    <n v="22"/>
    <n v="920.92"/>
  </r>
  <r>
    <n v="289"/>
    <x v="88"/>
    <n v="7120228607"/>
    <s v="Empresa BB"/>
    <s v="Manta"/>
    <s v="Manabi"/>
    <s v="Ana del Valle Hinojosa"/>
    <x v="2"/>
    <s v="Tarjeta de crédito"/>
    <s v="Almejas"/>
    <s v="Sopas"/>
    <x v="29"/>
    <n v="46"/>
    <n v="6214.5999999999995"/>
  </r>
  <r>
    <n v="290"/>
    <x v="105"/>
    <n v="5554565190"/>
    <s v="Empresa BB"/>
    <s v="Manta"/>
    <s v="Manabi"/>
    <s v="Ana del Valle Hinojosa"/>
    <x v="2"/>
    <s v="Tarjeta de crédito"/>
    <s v="Carne de cangrejo"/>
    <s v="Carne enlatada"/>
    <x v="27"/>
    <n v="100"/>
    <n v="25759.999999999996"/>
  </r>
  <r>
    <n v="291"/>
    <x v="77"/>
    <n v="1644848787"/>
    <s v="Empresa I"/>
    <s v="Guayaquil"/>
    <s v="Guayas"/>
    <s v="Robert Zárate Carrillo"/>
    <x v="1"/>
    <s v="Cheque"/>
    <s v="Ravioli"/>
    <s v="Pasta"/>
    <x v="38"/>
    <n v="87"/>
    <n v="23751"/>
  </r>
  <r>
    <n v="292"/>
    <x v="83"/>
    <n v="8273786477"/>
    <s v="Empresa I"/>
    <s v="Guayaquil"/>
    <s v="Guayas"/>
    <s v="Robert Zárate Carrillo"/>
    <x v="1"/>
    <s v="Cheque"/>
    <s v="Mozzarella"/>
    <s v="Productos lácteos"/>
    <x v="39"/>
    <n v="58"/>
    <n v="28257.599999999995"/>
  </r>
  <r>
    <n v="293"/>
    <x v="200"/>
    <n v="1397118248"/>
    <s v="Empresa F"/>
    <s v="Ibarra"/>
    <s v="Imbabura"/>
    <s v="Luis Miguel Valdés Garza"/>
    <x v="0"/>
    <s v="Tarjeta de crédito"/>
    <s v="Cerveza"/>
    <s v="Bebidas"/>
    <x v="40"/>
    <n v="85"/>
    <n v="16660"/>
  </r>
  <r>
    <n v="294"/>
    <x v="148"/>
    <n v="4468604310"/>
    <s v="Empresa H"/>
    <s v="Riobamba"/>
    <s v="Chimborazo"/>
    <s v="Nancy Gil de la Peña"/>
    <x v="0"/>
    <s v="Cheque"/>
    <s v="Salsa curry"/>
    <s v="Salsas"/>
    <x v="26"/>
    <n v="28"/>
    <n v="15680"/>
  </r>
  <r>
    <n v="295"/>
    <x v="49"/>
    <n v="457458721"/>
    <s v="Empresa H"/>
    <s v="Riobamba"/>
    <s v="Chimborazo"/>
    <s v="Nancy Gil de la Peña"/>
    <x v="0"/>
    <s v="Cheque"/>
    <s v="Galletas de chocolate"/>
    <s v="Productos horneados"/>
    <x v="41"/>
    <n v="19"/>
    <n v="2447.1999999999998"/>
  </r>
  <r>
    <n v="296"/>
    <x v="201"/>
    <n v="7184663808"/>
    <s v="Empresa Y"/>
    <s v="Esmeraldas"/>
    <s v="Esmeraldas"/>
    <s v="Laura Gutiérrez Saenz"/>
    <x v="1"/>
    <s v="Efectivo"/>
    <s v="Bolillos"/>
    <s v="Productos horneados"/>
    <x v="24"/>
    <n v="99"/>
    <n v="13860"/>
  </r>
  <r>
    <n v="297"/>
    <x v="202"/>
    <n v="3449599231"/>
    <s v="Empresa Z"/>
    <s v="Quito"/>
    <s v="Pichincha"/>
    <s v="Ana del Valle Hinojosa"/>
    <x v="2"/>
    <s v="Tarjeta de crédito"/>
    <s v="Aceite de oliva"/>
    <s v="Aceite"/>
    <x v="42"/>
    <n v="69"/>
    <n v="20624.100000000002"/>
  </r>
  <r>
    <n v="298"/>
    <x v="172"/>
    <n v="3901461858"/>
    <s v="Empresa Z"/>
    <s v="Quito"/>
    <s v="Pichincha"/>
    <s v="Ana del Valle Hinojosa"/>
    <x v="2"/>
    <s v="Tarjeta de crédito"/>
    <s v="Almejas"/>
    <s v="Sopas"/>
    <x v="29"/>
    <n v="37"/>
    <n v="4998.7"/>
  </r>
  <r>
    <n v="299"/>
    <x v="44"/>
    <n v="6798892819"/>
    <s v="Empresa Z"/>
    <s v="Quito"/>
    <s v="Pichincha"/>
    <s v="Ana del Valle Hinojosa"/>
    <x v="2"/>
    <s v="Tarjeta de crédito"/>
    <s v="Carne de cangrejo"/>
    <s v="Carne enlatada"/>
    <x v="27"/>
    <n v="64"/>
    <n v="16486.399999999998"/>
  </r>
  <r>
    <n v="300"/>
    <x v="188"/>
    <n v="6897506437"/>
    <s v="Empresa CC"/>
    <s v="Guayaquil"/>
    <s v="Guayas"/>
    <s v="José de Jesús Morales"/>
    <x v="0"/>
    <s v="Cheque"/>
    <s v="Cerveza"/>
    <s v="Bebidas"/>
    <x v="40"/>
    <n v="38"/>
    <n v="7448"/>
  </r>
  <r>
    <n v="301"/>
    <x v="203"/>
    <n v="6298594113"/>
    <s v="Empresa F"/>
    <s v="Ibarra"/>
    <s v="Imbabura"/>
    <s v="Luis Miguel Valdés Garza"/>
    <x v="2"/>
    <s v="Cheque"/>
    <s v="Chocolate"/>
    <s v="Dulces"/>
    <x v="30"/>
    <n v="15"/>
    <n v="2677.5"/>
  </r>
  <r>
    <n v="302"/>
    <x v="180"/>
    <n v="6972691420"/>
    <s v="Empresa D"/>
    <s v="Azogues"/>
    <s v="Canar"/>
    <s v="Andrés González Rico"/>
    <x v="1"/>
    <s v="Tarjeta de crédito"/>
    <s v="Mermelada de zarzamora"/>
    <s v="Mermeladas y jaleas"/>
    <x v="43"/>
    <n v="52"/>
    <n v="58968"/>
  </r>
  <r>
    <n v="303"/>
    <x v="204"/>
    <n v="677992170"/>
    <s v="Empresa D"/>
    <s v="Azogues"/>
    <s v="Canar"/>
    <s v="Andrés González Rico"/>
    <x v="1"/>
    <s v="Tarjeta de crédito"/>
    <s v="Arroz de grano largo"/>
    <s v="Granos"/>
    <x v="44"/>
    <n v="37"/>
    <n v="3626"/>
  </r>
  <r>
    <n v="304"/>
    <x v="205"/>
    <n v="3501827064"/>
    <s v="Empresa H"/>
    <s v="Riobamba"/>
    <s v="Chimborazo"/>
    <s v="Nancy Gil de la Peña"/>
    <x v="2"/>
    <s v="Tarjeta de crédito"/>
    <s v="Mozzarella"/>
    <s v="Productos lácteos"/>
    <x v="39"/>
    <n v="24"/>
    <n v="11692.8"/>
  </r>
  <r>
    <n v="305"/>
    <x v="206"/>
    <n v="9140892367"/>
    <s v="Empresa C"/>
    <s v="Machala"/>
    <s v="El Oro"/>
    <s v="Mayra Aguilar Sepúlveda"/>
    <x v="0"/>
    <s v="Efectivo"/>
    <s v="Jarabe"/>
    <s v="Condimentos"/>
    <x v="24"/>
    <n v="36"/>
    <n v="5040"/>
  </r>
  <r>
    <n v="306"/>
    <x v="13"/>
    <n v="7570396760"/>
    <s v="Empresa C"/>
    <s v="Machala"/>
    <s v="El Oro"/>
    <s v="Mayra Aguilar Sepúlveda"/>
    <x v="0"/>
    <s v="Efectivo"/>
    <s v="Salsa curry"/>
    <s v="Salsas"/>
    <x v="26"/>
    <n v="24"/>
    <n v="13440"/>
  </r>
  <r>
    <n v="307"/>
    <x v="112"/>
    <n v="5368769086"/>
    <s v="Empresa J"/>
    <s v="Esmeraldas"/>
    <s v="Esmeraldas"/>
    <s v="Laura Gutiérrez Saenz"/>
    <x v="0"/>
    <s v="Tarjeta de crédito"/>
    <s v="Almendras"/>
    <s v="Frutas secas"/>
    <x v="24"/>
    <n v="20"/>
    <n v="2800"/>
  </r>
  <r>
    <n v="308"/>
    <x v="151"/>
    <n v="443042127"/>
    <s v="Empresa J"/>
    <s v="Esmeraldas"/>
    <s v="Esmeraldas"/>
    <s v="Laura Gutiérrez Saenz"/>
    <x v="1"/>
    <s v="Empresa de embarque D"/>
    <s v="Ciruelas secas"/>
    <s v="Frutas secas"/>
    <x v="25"/>
    <n v="11"/>
    <n v="539"/>
  </r>
  <r>
    <n v="309"/>
    <x v="207"/>
    <n v="3198859022"/>
    <s v="Empresa K"/>
    <s v="Quito"/>
    <s v="Pichincha"/>
    <s v="Ana del Valle Hinojosa"/>
    <x v="2"/>
    <s v="Empresa de embarque D"/>
    <s v="Salsa curry"/>
    <s v="Salsas"/>
    <x v="26"/>
    <n v="78"/>
    <n v="43680"/>
  </r>
  <r>
    <n v="310"/>
    <x v="153"/>
    <n v="2982674072"/>
    <s v="Empresa A"/>
    <s v="Ambato"/>
    <s v="Tungurahua"/>
    <s v="Nancy Gil de la Peña"/>
    <x v="2"/>
    <s v="Empresa de embarque D"/>
    <s v="Carne de cangrejo"/>
    <s v="Carne enlatada"/>
    <x v="27"/>
    <n v="76"/>
    <n v="19577.599999999999"/>
  </r>
  <r>
    <n v="311"/>
    <x v="149"/>
    <n v="1636086310"/>
    <s v="Empresa BB"/>
    <s v="Manta"/>
    <s v="Manabi"/>
    <s v="Ana del Valle Hinojosa"/>
    <x v="2"/>
    <s v="Tarjeta de crédito"/>
    <s v="Café"/>
    <s v="Bebidas"/>
    <x v="28"/>
    <n v="57"/>
    <n v="36708"/>
  </r>
  <r>
    <n v="312"/>
    <x v="82"/>
    <n v="9879315200"/>
    <s v="Empresa I"/>
    <s v="Guayaquil"/>
    <s v="Guayas"/>
    <s v="Robert Zárate Carrillo"/>
    <x v="1"/>
    <s v="Cheque"/>
    <s v="Almejas"/>
    <s v="Sopas"/>
    <x v="29"/>
    <n v="14"/>
    <n v="1891.3999999999999"/>
  </r>
  <r>
    <n v="313"/>
    <x v="208"/>
    <n v="3833780472"/>
    <s v="Empresa AA"/>
    <s v="Cuenca"/>
    <s v="Azuay"/>
    <s v="Mayra Aguilar Sepúlveda"/>
    <x v="0"/>
    <s v="Cheque"/>
    <s v="Cerveza"/>
    <s v="Bebidas"/>
    <x v="40"/>
    <n v="14"/>
    <n v="2744"/>
  </r>
  <r>
    <n v="314"/>
    <x v="209"/>
    <n v="1343389818"/>
    <s v="Empresa AA"/>
    <s v="Cuenca"/>
    <s v="Azuay"/>
    <s v="Mayra Aguilar Sepúlveda"/>
    <x v="0"/>
    <s v="Cheque"/>
    <s v="Ciruelas secas"/>
    <s v="Frutas secas"/>
    <x v="25"/>
    <n v="70"/>
    <n v="3430"/>
  </r>
  <r>
    <n v="315"/>
    <x v="210"/>
    <n v="3066920858"/>
    <s v="Empresa D"/>
    <s v="Azogues"/>
    <s v="Canar"/>
    <s v="Andrés González Rico"/>
    <x v="1"/>
    <s v="Tarjeta de crédito"/>
    <s v="Peras secas"/>
    <s v="Frutas secas"/>
    <x v="34"/>
    <n v="100"/>
    <n v="42000"/>
  </r>
  <r>
    <n v="316"/>
    <x v="53"/>
    <n v="3596038071"/>
    <s v="Empresa D"/>
    <s v="Azogues"/>
    <s v="Canar"/>
    <s v="Andrés González Rico"/>
    <x v="1"/>
    <s v="Tarjeta de crédito"/>
    <s v="Manzanas secas"/>
    <s v="Frutas secas"/>
    <x v="35"/>
    <n v="27"/>
    <n v="20034"/>
  </r>
  <r>
    <n v="317"/>
    <x v="24"/>
    <n v="8280434895"/>
    <s v="Empresa D"/>
    <s v="Azogues"/>
    <s v="Canar"/>
    <s v="Andrés González Rico"/>
    <x v="1"/>
    <s v="Tarjeta de crédito"/>
    <s v="Ciruelas secas"/>
    <s v="Frutas secas"/>
    <x v="25"/>
    <n v="70"/>
    <n v="3430"/>
  </r>
  <r>
    <n v="318"/>
    <x v="26"/>
    <n v="7983505639"/>
    <s v="Empresa L"/>
    <s v="Cuenca"/>
    <s v="Azuay"/>
    <s v="Mayra Aguilar Sepúlveda"/>
    <x v="0"/>
    <s v="Tarjeta de crédito"/>
    <s v="Té chai"/>
    <s v="Bebidas"/>
    <x v="45"/>
    <n v="57"/>
    <n v="14364"/>
  </r>
  <r>
    <n v="319"/>
    <x v="156"/>
    <n v="4943792001"/>
    <s v="Empresa L"/>
    <s v="Cuenca"/>
    <s v="Azuay"/>
    <s v="Mayra Aguilar Sepúlveda"/>
    <x v="0"/>
    <s v="Tarjeta de crédito"/>
    <s v="Café"/>
    <s v="Bebidas"/>
    <x v="28"/>
    <n v="83"/>
    <n v="53452"/>
  </r>
  <r>
    <n v="320"/>
    <x v="211"/>
    <n v="2679766092"/>
    <s v="Empresa H"/>
    <s v="Riobamba"/>
    <s v="Chimborazo"/>
    <s v="Nancy Gil de la Peña"/>
    <x v="2"/>
    <s v="Tarjeta de crédito"/>
    <s v="Galletas de chocolate"/>
    <s v="Productos horneados"/>
    <x v="41"/>
    <n v="76"/>
    <n v="9788.7999999999993"/>
  </r>
  <r>
    <n v="321"/>
    <x v="212"/>
    <n v="6256032641"/>
    <s v="Empresa D"/>
    <s v="Azogues"/>
    <s v="Canar"/>
    <s v="Andrés González Rico"/>
    <x v="2"/>
    <s v="Cheque"/>
    <s v="Galletas de chocolate"/>
    <s v="Productos horneados"/>
    <x v="41"/>
    <n v="80"/>
    <n v="10303.999999999998"/>
  </r>
  <r>
    <n v="322"/>
    <x v="213"/>
    <n v="8317306577"/>
    <s v="Empresa CC"/>
    <s v="Guayaquil"/>
    <s v="Guayas"/>
    <s v="José de Jesús Morales"/>
    <x v="0"/>
    <s v="Cheque"/>
    <s v="Chocolate"/>
    <s v="Dulces"/>
    <x v="30"/>
    <n v="47"/>
    <n v="8389.5"/>
  </r>
  <r>
    <n v="323"/>
    <x v="121"/>
    <n v="4952054948"/>
    <s v="Empresa C"/>
    <s v="Machala"/>
    <s v="El Oro"/>
    <s v="Mayra Aguilar Sepúlveda"/>
    <x v="0"/>
    <s v="Efectivo"/>
    <s v="Almejas"/>
    <s v="Sopas"/>
    <x v="29"/>
    <n v="96"/>
    <n v="12969.599999999999"/>
  </r>
  <r>
    <n v="324"/>
    <x v="214"/>
    <n v="7792270317"/>
    <s v="Empresa F"/>
    <s v="Ibarra"/>
    <s v="Imbabura"/>
    <s v="Luis Miguel Valdés Garza"/>
    <x v="0"/>
    <s v="Tarjeta de crédito"/>
    <s v="Salsa curry"/>
    <s v="Salsas"/>
    <x v="26"/>
    <n v="32"/>
    <n v="17920"/>
  </r>
  <r>
    <n v="325"/>
    <x v="10"/>
    <n v="8753687299"/>
    <s v="Empresa BB"/>
    <s v="Manta"/>
    <s v="Manabi"/>
    <s v="Ana del Valle Hinojosa"/>
    <x v="2"/>
    <s v="Cheque"/>
    <s v="Café"/>
    <s v="Bebidas"/>
    <x v="28"/>
    <n v="16"/>
    <n v="10304"/>
  </r>
  <r>
    <n v="326"/>
    <x v="213"/>
    <n v="3276376437"/>
    <s v="Empresa H"/>
    <s v="Riobamba"/>
    <s v="Chimborazo"/>
    <s v="Nancy Gil de la Peña"/>
    <x v="2"/>
    <s v="Cheque"/>
    <s v="Chocolate"/>
    <s v="Dulces"/>
    <x v="30"/>
    <n v="41"/>
    <n v="7318.5"/>
  </r>
  <r>
    <n v="327"/>
    <x v="202"/>
    <n v="6189400875"/>
    <s v="Empresa J"/>
    <s v="Esmeraldas"/>
    <s v="Esmeraldas"/>
    <s v="Laura Gutiérrez Saenz"/>
    <x v="0"/>
    <s v="Tarjeta de crédito"/>
    <s v="Té verde"/>
    <s v="Bebidas"/>
    <x v="37"/>
    <n v="41"/>
    <n v="1716.26"/>
  </r>
  <r>
    <n v="328"/>
    <x v="124"/>
    <n v="3440571177"/>
    <s v="Empresa G"/>
    <s v="Guaranda"/>
    <s v="Guaranda"/>
    <s v="Nancy Gil de la Peña"/>
    <x v="3"/>
    <s v="Empresa de embarque D"/>
    <s v="Café"/>
    <s v="Bebidas"/>
    <x v="28"/>
    <n v="41"/>
    <n v="26404"/>
  </r>
  <r>
    <n v="329"/>
    <x v="215"/>
    <n v="8874798513"/>
    <s v="Empresa J"/>
    <s v="Esmeraldas"/>
    <s v="Esmeraldas"/>
    <s v="Laura Gutiérrez Saenz"/>
    <x v="1"/>
    <s v="Empresa de embarque D"/>
    <s v="Jalea de fresa"/>
    <s v="Mermeladas y jaleas"/>
    <x v="32"/>
    <n v="94"/>
    <n v="32900"/>
  </r>
  <r>
    <n v="330"/>
    <x v="45"/>
    <n v="9730368433"/>
    <s v="Empresa J"/>
    <s v="Esmeraldas"/>
    <s v="Esmeraldas"/>
    <s v="Laura Gutiérrez Saenz"/>
    <x v="1"/>
    <s v="Empresa de embarque D"/>
    <s v="Condimento cajún"/>
    <s v="Condimentos"/>
    <x v="31"/>
    <n v="20"/>
    <n v="6160"/>
  </r>
  <r>
    <n v="331"/>
    <x v="32"/>
    <n v="6592275352"/>
    <s v="Empresa J"/>
    <s v="Esmeraldas"/>
    <s v="Esmeraldas"/>
    <s v="Laura Gutiérrez Saenz"/>
    <x v="1"/>
    <s v="Empresa de embarque D"/>
    <s v="Galletas de chocolate"/>
    <s v="Productos horneados"/>
    <x v="41"/>
    <n v="13"/>
    <n v="1674.3999999999999"/>
  </r>
  <r>
    <n v="332"/>
    <x v="51"/>
    <n v="9303282439"/>
    <s v="Empresa K"/>
    <s v="Quito"/>
    <s v="Pichincha"/>
    <s v="Ana del Valle Hinojosa"/>
    <x v="2"/>
    <s v="Empresa de embarque D"/>
    <s v="Ciruelas secas"/>
    <s v="Frutas secas"/>
    <x v="25"/>
    <n v="74"/>
    <n v="3626"/>
  </r>
  <r>
    <n v="333"/>
    <x v="171"/>
    <n v="8998167680"/>
    <s v="Empresa K"/>
    <s v="Quito"/>
    <s v="Pichincha"/>
    <s v="Ana del Valle Hinojosa"/>
    <x v="2"/>
    <s v="Empresa de embarque D"/>
    <s v="Té verde"/>
    <s v="Bebidas"/>
    <x v="37"/>
    <n v="53"/>
    <n v="2218.58"/>
  </r>
  <r>
    <n v="334"/>
    <x v="216"/>
    <n v="2058395697"/>
    <s v="Empresa A"/>
    <s v="Ambato"/>
    <s v="Tungurahua"/>
    <s v="Nancy Gil de la Peña"/>
    <x v="3"/>
    <s v="Empresa de embarque D"/>
    <s v="Té chai"/>
    <s v="Bebidas"/>
    <x v="45"/>
    <n v="99"/>
    <n v="24948"/>
  </r>
  <r>
    <n v="335"/>
    <x v="217"/>
    <n v="5534305664"/>
    <s v="Empresa A"/>
    <s v="Ambato"/>
    <s v="Tungurahua"/>
    <s v="Nancy Gil de la Peña"/>
    <x v="3"/>
    <s v="Empresa de embarque D"/>
    <s v="Café"/>
    <s v="Bebidas"/>
    <x v="28"/>
    <n v="89"/>
    <n v="57316"/>
  </r>
  <r>
    <n v="336"/>
    <x v="181"/>
    <n v="5417309832"/>
    <s v="Empresa A"/>
    <s v="Ambato"/>
    <s v="Tungurahua"/>
    <s v="Nancy Gil de la Peña"/>
    <x v="3"/>
    <s v="Empresa de embarque D"/>
    <s v="Té verde"/>
    <s v="Bebidas"/>
    <x v="37"/>
    <n v="64"/>
    <n v="2679.04"/>
  </r>
  <r>
    <n v="337"/>
    <x v="101"/>
    <n v="7626114952"/>
    <s v="Empresa BB"/>
    <s v="Manta"/>
    <s v="Manabi"/>
    <s v="Ana del Valle Hinojosa"/>
    <x v="2"/>
    <s v="Tarjeta de crédito"/>
    <s v="Almejas"/>
    <s v="Sopas"/>
    <x v="29"/>
    <n v="98"/>
    <n v="13239.8"/>
  </r>
  <r>
    <n v="338"/>
    <x v="218"/>
    <n v="7075151442"/>
    <s v="Empresa BB"/>
    <s v="Manta"/>
    <s v="Manabi"/>
    <s v="Ana del Valle Hinojosa"/>
    <x v="2"/>
    <s v="Tarjeta de crédito"/>
    <s v="Carne de cangrejo"/>
    <s v="Carne enlatada"/>
    <x v="27"/>
    <n v="86"/>
    <n v="22153.599999999999"/>
  </r>
  <r>
    <n v="339"/>
    <x v="31"/>
    <n v="4170346813"/>
    <s v="Empresa I"/>
    <s v="Guayaquil"/>
    <s v="Guayas"/>
    <s v="Robert Zárate Carrillo"/>
    <x v="1"/>
    <s v="Cheque"/>
    <s v="Ravioli"/>
    <s v="Pasta"/>
    <x v="38"/>
    <n v="20"/>
    <n v="5460"/>
  </r>
  <r>
    <n v="340"/>
    <x v="34"/>
    <n v="7181884746"/>
    <s v="Empresa I"/>
    <s v="Guayaquil"/>
    <s v="Guayas"/>
    <s v="Robert Zárate Carrillo"/>
    <x v="1"/>
    <s v="Cheque"/>
    <s v="Mozzarella"/>
    <s v="Productos lácteos"/>
    <x v="39"/>
    <n v="69"/>
    <n v="33616.799999999996"/>
  </r>
  <r>
    <n v="341"/>
    <x v="219"/>
    <n v="654398232"/>
    <s v="Empresa F"/>
    <s v="Ibarra"/>
    <s v="Imbabura"/>
    <s v="Luis Miguel Valdés Garza"/>
    <x v="0"/>
    <s v="Tarjeta de crédito"/>
    <s v="Cerveza"/>
    <s v="Bebidas"/>
    <x v="40"/>
    <n v="68"/>
    <n v="13328"/>
  </r>
  <r>
    <n v="342"/>
    <x v="81"/>
    <n v="6559752885"/>
    <s v="Empresa H"/>
    <s v="Riobamba"/>
    <s v="Chimborazo"/>
    <s v="Nancy Gil de la Peña"/>
    <x v="0"/>
    <s v="Cheque"/>
    <s v="Salsa curry"/>
    <s v="Salsas"/>
    <x v="26"/>
    <n v="52"/>
    <n v="29120"/>
  </r>
  <r>
    <n v="343"/>
    <x v="191"/>
    <n v="9428165637"/>
    <s v="Empresa H"/>
    <s v="Riobamba"/>
    <s v="Chimborazo"/>
    <s v="Nancy Gil de la Peña"/>
    <x v="0"/>
    <s v="Cheque"/>
    <s v="Galletas de chocolate"/>
    <s v="Productos horneados"/>
    <x v="41"/>
    <n v="40"/>
    <n v="5151.9999999999991"/>
  </r>
  <r>
    <n v="344"/>
    <x v="11"/>
    <n v="9902612158"/>
    <s v="Empresa Y"/>
    <s v="Esmeraldas"/>
    <s v="Esmeraldas"/>
    <s v="Laura Gutiérrez Saenz"/>
    <x v="1"/>
    <s v="Efectivo"/>
    <s v="Bolillos"/>
    <s v="Productos horneados"/>
    <x v="24"/>
    <n v="100"/>
    <n v="14000"/>
  </r>
  <r>
    <n v="345"/>
    <x v="56"/>
    <n v="9601886174"/>
    <s v="Empresa Z"/>
    <s v="Quito"/>
    <s v="Pichincha"/>
    <s v="Ana del Valle Hinojosa"/>
    <x v="2"/>
    <s v="Tarjeta de crédito"/>
    <s v="Aceite de oliva"/>
    <s v="Aceite"/>
    <x v="42"/>
    <n v="88"/>
    <n v="26303.200000000004"/>
  </r>
  <r>
    <n v="346"/>
    <x v="220"/>
    <n v="9194823962"/>
    <s v="Empresa Z"/>
    <s v="Quito"/>
    <s v="Pichincha"/>
    <s v="Ana del Valle Hinojosa"/>
    <x v="2"/>
    <s v="Tarjeta de crédito"/>
    <s v="Almejas"/>
    <s v="Sopas"/>
    <x v="29"/>
    <n v="46"/>
    <n v="6214.5999999999995"/>
  </r>
  <r>
    <n v="347"/>
    <x v="217"/>
    <n v="3580433044"/>
    <s v="Empresa Z"/>
    <s v="Quito"/>
    <s v="Pichincha"/>
    <s v="Ana del Valle Hinojosa"/>
    <x v="2"/>
    <s v="Tarjeta de crédito"/>
    <s v="Carne de cangrejo"/>
    <s v="Carne enlatada"/>
    <x v="27"/>
    <n v="93"/>
    <n v="23956.799999999996"/>
  </r>
  <r>
    <n v="348"/>
    <x v="148"/>
    <n v="7020598503"/>
    <s v="Empresa CC"/>
    <s v="Guayaquil"/>
    <s v="Guayas"/>
    <s v="José de Jesús Morales"/>
    <x v="0"/>
    <s v="Cheque"/>
    <s v="Cerveza"/>
    <s v="Bebidas"/>
    <x v="40"/>
    <n v="96"/>
    <n v="18816"/>
  </r>
  <r>
    <n v="349"/>
    <x v="101"/>
    <n v="8040421717"/>
    <s v="Empresa F"/>
    <s v="Ibarra"/>
    <s v="Imbabura"/>
    <s v="Luis Miguel Valdés Garza"/>
    <x v="2"/>
    <s v="Cheque"/>
    <s v="Chocolate"/>
    <s v="Dulces"/>
    <x v="30"/>
    <n v="12"/>
    <n v="2142"/>
  </r>
  <r>
    <n v="350"/>
    <x v="220"/>
    <n v="3654530055"/>
    <s v="Empresa D"/>
    <s v="Azogues"/>
    <s v="Canar"/>
    <s v="Andrés González Rico"/>
    <x v="1"/>
    <s v="Tarjeta de crédito"/>
    <s v="Mermelada de zarzamora"/>
    <s v="Mermeladas y jaleas"/>
    <x v="43"/>
    <n v="38"/>
    <n v="43092"/>
  </r>
  <r>
    <n v="351"/>
    <x v="221"/>
    <n v="2061527783"/>
    <s v="Empresa D"/>
    <s v="Azogues"/>
    <s v="Canar"/>
    <s v="Andrés González Rico"/>
    <x v="1"/>
    <s v="Tarjeta de crédito"/>
    <s v="Arroz de grano largo"/>
    <s v="Granos"/>
    <x v="44"/>
    <n v="42"/>
    <n v="4116"/>
  </r>
  <r>
    <n v="352"/>
    <x v="220"/>
    <n v="7896754000"/>
    <s v="Empresa H"/>
    <s v="Riobamba"/>
    <s v="Chimborazo"/>
    <s v="Nancy Gil de la Peña"/>
    <x v="2"/>
    <s v="Tarjeta de crédito"/>
    <s v="Mozzarella"/>
    <s v="Productos lácteos"/>
    <x v="39"/>
    <n v="100"/>
    <n v="48719.999999999993"/>
  </r>
  <r>
    <n v="353"/>
    <x v="222"/>
    <n v="7608023281"/>
    <s v="Empresa C"/>
    <s v="Machala"/>
    <s v="El Oro"/>
    <s v="Mayra Aguilar Sepúlveda"/>
    <x v="0"/>
    <s v="Efectivo"/>
    <s v="Jarabe"/>
    <s v="Condimentos"/>
    <x v="24"/>
    <n v="89"/>
    <n v="12460"/>
  </r>
  <r>
    <n v="354"/>
    <x v="8"/>
    <n v="1088259448"/>
    <s v="Empresa C"/>
    <s v="Machala"/>
    <s v="El Oro"/>
    <s v="Mayra Aguilar Sepúlveda"/>
    <x v="0"/>
    <s v="Efectivo"/>
    <s v="Salsa curry"/>
    <s v="Salsas"/>
    <x v="26"/>
    <n v="12"/>
    <n v="6720"/>
  </r>
  <r>
    <n v="355"/>
    <x v="223"/>
    <n v="8019968936"/>
    <s v="Empresa J"/>
    <s v="Esmeraldas"/>
    <s v="Esmeraldas"/>
    <s v="Laura Gutiérrez Saenz"/>
    <x v="0"/>
    <s v="Tarjeta de crédito"/>
    <s v="Almendras"/>
    <s v="Frutas secas"/>
    <x v="24"/>
    <n v="97"/>
    <n v="13580"/>
  </r>
  <r>
    <n v="356"/>
    <x v="178"/>
    <n v="767630917"/>
    <s v="Empresa J"/>
    <s v="Esmeraldas"/>
    <s v="Esmeraldas"/>
    <s v="Laura Gutiérrez Saenz"/>
    <x v="1"/>
    <s v="Empresa de embarque D"/>
    <s v="Ciruelas secas"/>
    <s v="Frutas secas"/>
    <x v="25"/>
    <n v="53"/>
    <n v="2597"/>
  </r>
  <r>
    <n v="357"/>
    <x v="224"/>
    <n v="8764802979"/>
    <s v="Empresa K"/>
    <s v="Quito"/>
    <s v="Pichincha"/>
    <s v="Ana del Valle Hinojosa"/>
    <x v="2"/>
    <s v="Empresa de embarque D"/>
    <s v="Salsa curry"/>
    <s v="Salsas"/>
    <x v="26"/>
    <n v="61"/>
    <n v="34160"/>
  </r>
  <r>
    <n v="358"/>
    <x v="225"/>
    <n v="1212476279"/>
    <s v="Empresa A"/>
    <s v="Ambato"/>
    <s v="Tungurahua"/>
    <s v="Nancy Gil de la Peña"/>
    <x v="2"/>
    <s v="Empresa de embarque D"/>
    <s v="Carne de cangrejo"/>
    <s v="Carne enlatada"/>
    <x v="27"/>
    <n v="45"/>
    <n v="11591.999999999998"/>
  </r>
  <r>
    <n v="359"/>
    <x v="201"/>
    <n v="8659179079"/>
    <s v="Empresa BB"/>
    <s v="Manta"/>
    <s v="Manabi"/>
    <s v="Ana del Valle Hinojosa"/>
    <x v="2"/>
    <s v="Tarjeta de crédito"/>
    <s v="Café"/>
    <s v="Bebidas"/>
    <x v="28"/>
    <n v="43"/>
    <n v="27692"/>
  </r>
  <r>
    <n v="360"/>
    <x v="226"/>
    <n v="4311827425"/>
    <s v="Empresa I"/>
    <s v="Guayaquil"/>
    <s v="Guayas"/>
    <s v="Robert Zárate Carrillo"/>
    <x v="1"/>
    <s v="Cheque"/>
    <s v="Almejas"/>
    <s v="Sopas"/>
    <x v="29"/>
    <n v="18"/>
    <n v="2431.7999999999997"/>
  </r>
  <r>
    <n v="361"/>
    <x v="65"/>
    <n v="7400116244"/>
    <s v="Empresa F"/>
    <s v="Ibarra"/>
    <s v="Imbabura"/>
    <s v="Luis Miguel Valdés Garza"/>
    <x v="0"/>
    <s v="Tarjeta de crédito"/>
    <s v="Chocolate"/>
    <s v="Dulces"/>
    <x v="30"/>
    <n v="41"/>
    <n v="7318.5"/>
  </r>
  <r>
    <n v="362"/>
    <x v="128"/>
    <n v="8550780121"/>
    <s v="Empresa H"/>
    <s v="Riobamba"/>
    <s v="Chimborazo"/>
    <s v="Nancy Gil de la Peña"/>
    <x v="0"/>
    <s v="Cheque"/>
    <s v="Chocolate"/>
    <s v="Dulces"/>
    <x v="30"/>
    <n v="19"/>
    <n v="3391.5"/>
  </r>
  <r>
    <n v="363"/>
    <x v="106"/>
    <n v="9461451917"/>
    <s v="Empresa Y"/>
    <s v="Esmeraldas"/>
    <s v="Esmeraldas"/>
    <s v="Laura Gutiérrez Saenz"/>
    <x v="1"/>
    <s v="Efectivo"/>
    <s v="Condimento cajún"/>
    <s v="Condimentos"/>
    <x v="31"/>
    <n v="65"/>
    <n v="20020"/>
  </r>
  <r>
    <n v="364"/>
    <x v="141"/>
    <n v="3160888933"/>
    <s v="Empresa Z"/>
    <s v="Quito"/>
    <s v="Pichincha"/>
    <s v="Ana del Valle Hinojosa"/>
    <x v="2"/>
    <s v="Tarjeta de crédito"/>
    <s v="Jalea de fresa"/>
    <s v="Mermeladas y jaleas"/>
    <x v="32"/>
    <n v="13"/>
    <n v="4550"/>
  </r>
  <r>
    <n v="365"/>
    <x v="125"/>
    <n v="6433254443"/>
    <s v="Empresa CC"/>
    <s v="Guayaquil"/>
    <s v="Guayas"/>
    <s v="José de Jesús Morales"/>
    <x v="0"/>
    <s v="Cheque"/>
    <s v="Cóctel de frutas"/>
    <s v="Frutas y vegetales"/>
    <x v="33"/>
    <n v="54"/>
    <n v="29484"/>
  </r>
  <r>
    <n v="366"/>
    <x v="116"/>
    <n v="8977261174"/>
    <s v="Empresa F"/>
    <s v="Ibarra"/>
    <s v="Imbabura"/>
    <s v="Luis Miguel Valdés Garza"/>
    <x v="2"/>
    <s v="Cheque"/>
    <s v="Peras secas"/>
    <s v="Frutas secas"/>
    <x v="34"/>
    <n v="33"/>
    <n v="13860"/>
  </r>
  <r>
    <n v="367"/>
    <x v="67"/>
    <n v="7770716054"/>
    <s v="Empresa F"/>
    <s v="Ibarra"/>
    <s v="Imbabura"/>
    <s v="Luis Miguel Valdés Garza"/>
    <x v="2"/>
    <s v="Cheque"/>
    <s v="Manzanas secas"/>
    <s v="Frutas secas"/>
    <x v="35"/>
    <n v="34"/>
    <n v="25228"/>
  </r>
  <r>
    <n v="368"/>
    <x v="227"/>
    <n v="2754807386"/>
    <s v="Empresa D"/>
    <s v="Azogues"/>
    <s v="Canar"/>
    <s v="Andrés González Rico"/>
    <x v="3"/>
    <s v="Empresa de embarque D"/>
    <s v="Pasta penne"/>
    <s v="Pasta"/>
    <x v="36"/>
    <n v="59"/>
    <n v="31388"/>
  </r>
  <r>
    <n v="369"/>
    <x v="228"/>
    <n v="3873424489"/>
    <s v="Empresa C"/>
    <s v="Machala"/>
    <s v="El Oro"/>
    <s v="Mayra Aguilar Sepúlveda"/>
    <x v="3"/>
    <s v="Empresa de embarque D"/>
    <s v="Té verde"/>
    <s v="Bebidas"/>
    <x v="37"/>
    <n v="24"/>
    <n v="1004.64"/>
  </r>
  <r>
    <n v="370"/>
    <x v="134"/>
    <n v="3823774876"/>
    <s v="Empresa A"/>
    <s v="Cuenca"/>
    <s v="Guayas"/>
    <s v="Laura Gutiérrez Saenz"/>
    <x v="2"/>
    <s v="Tarjeta de crédito"/>
    <s v="Almejas"/>
    <s v="Sopas"/>
    <x v="3"/>
    <n v="23"/>
    <n v="2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9C7216-6072-4311-A472-D24DC0546361}" name="TablaDinámica2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18:B2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axis="axisRow"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6"/>
  </rowFields>
  <rowItems count="2">
    <i>
      <x/>
    </i>
    <i t="grand">
      <x/>
    </i>
  </rowItems>
  <colItems count="1">
    <i/>
  </colItems>
  <dataFields count="1">
    <dataField name="Suma de Ventas" fld="13" baseField="0" baseItem="0"/>
  </dataField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0A6210-5439-4EFE-B45A-AF0820B70CD8}" name="TablaDinámica1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1:B14" firstHeaderRow="1" firstDataRow="1" firstDataCol="1"/>
  <pivotFields count="15">
    <pivotField showAll="0"/>
    <pivotField axis="axisRow"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4"/>
    <field x="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2825D-EC47-47F1-A29D-2D00F3277952}" name="TablaDinámica5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>
  <location ref="A64:B67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axis="axisRow"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5"/>
  </rowFields>
  <rowItems count="3">
    <i>
      <x v="8"/>
    </i>
    <i>
      <x v="9"/>
    </i>
    <i t="grand">
      <x/>
    </i>
  </rowItems>
  <colItems count="1">
    <i/>
  </colItems>
  <dataFields count="1">
    <dataField name="Cuenta de Ventas" fld="1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34924F-3D43-4D06-BBD0-8175945560C8}" name="TablaDiná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6">
  <location ref="A51:B56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axis="axisRow" dataField="1" showAll="0">
      <items count="9">
        <item h="1"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3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Ventas" fld="13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  <chartFormat chart="3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5"/>
          </reference>
        </references>
      </pivotArea>
    </chartFormat>
    <chartFormat chart="3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6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4D607-8028-4049-BDA2-6D942AA7952D}" name="TablaDinámica3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5">
  <location ref="A31:B40" firstHeaderRow="1" firstDataRow="1" firstDataCol="1"/>
  <pivotFields count="15">
    <pivotField showAll="0"/>
    <pivotField numFmtId="165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>
      <items count="12">
        <item x="0"/>
        <item x="1"/>
        <item x="2"/>
        <item x="4"/>
        <item x="7"/>
        <item x="8"/>
        <item x="3"/>
        <item x="5"/>
        <item x="6"/>
        <item x="9"/>
        <item x="10"/>
        <item t="default"/>
      </items>
    </pivotField>
    <pivotField showAll="0">
      <items count="9">
        <item x="5"/>
        <item h="1" x="1"/>
        <item h="1" x="3"/>
        <item h="1" x="6"/>
        <item h="1" x="4"/>
        <item h="1" x="0"/>
        <item h="1" x="2"/>
        <item h="1" x="7"/>
        <item t="default"/>
      </items>
    </pivotField>
    <pivotField showAll="0"/>
    <pivotField showAll="0"/>
    <pivotField showAll="0"/>
    <pivotField axis="axisRow" showAll="0">
      <items count="16">
        <item x="13"/>
        <item x="0"/>
        <item x="8"/>
        <item x="7"/>
        <item x="3"/>
        <item x="1"/>
        <item x="12"/>
        <item x="14"/>
        <item x="6"/>
        <item x="9"/>
        <item x="2"/>
        <item x="10"/>
        <item x="5"/>
        <item x="4"/>
        <item x="11"/>
        <item t="default"/>
      </items>
    </pivotField>
    <pivotField showAll="0"/>
    <pivotField showAll="0"/>
    <pivotField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efaultSubtotal="0"/>
  </pivotFields>
  <rowFields count="1">
    <field x="10"/>
  </rowFields>
  <rowItems count="9">
    <i>
      <x/>
    </i>
    <i>
      <x v="1"/>
    </i>
    <i>
      <x v="2"/>
    </i>
    <i>
      <x v="5"/>
    </i>
    <i>
      <x v="8"/>
    </i>
    <i>
      <x v="12"/>
    </i>
    <i>
      <x v="13"/>
    </i>
    <i>
      <x v="14"/>
    </i>
    <i t="grand">
      <x/>
    </i>
  </rowItems>
  <colItems count="1">
    <i/>
  </colItems>
  <dataFields count="1">
    <dataField name="Suma de Ventas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F6D02D-A37A-481E-AB3A-832DE33863CE}" name="Tabla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2:F20" firstHeaderRow="1" firstDataRow="2" firstDataCol="1"/>
  <pivotFields count="16"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0"/>
        <item x="2"/>
        <item x="3"/>
        <item m="1" x="4"/>
        <item t="default"/>
      </items>
    </pivotField>
    <pivotField showAll="0"/>
    <pivotField showAll="0"/>
    <pivotField showAll="0"/>
    <pivotField showAll="0">
      <items count="47">
        <item x="6"/>
        <item x="3"/>
        <item x="0"/>
        <item x="2"/>
        <item x="17"/>
        <item x="10"/>
        <item x="4"/>
        <item x="22"/>
        <item x="14"/>
        <item x="8"/>
        <item x="7"/>
        <item x="21"/>
        <item x="9"/>
        <item x="1"/>
        <item x="16"/>
        <item x="20"/>
        <item x="15"/>
        <item x="12"/>
        <item x="37"/>
        <item x="5"/>
        <item x="19"/>
        <item x="13"/>
        <item x="11"/>
        <item x="25"/>
        <item x="18"/>
        <item x="44"/>
        <item x="41"/>
        <item x="29"/>
        <item x="24"/>
        <item x="30"/>
        <item x="40"/>
        <item x="45"/>
        <item x="27"/>
        <item x="38"/>
        <item x="42"/>
        <item x="31"/>
        <item x="32"/>
        <item x="34"/>
        <item x="39"/>
        <item x="36"/>
        <item x="33"/>
        <item x="26"/>
        <item x="28"/>
        <item x="35"/>
        <item x="43"/>
        <item x="23"/>
        <item t="default"/>
      </items>
    </pivotField>
    <pivotField showAll="0"/>
    <pivotField dataField="1" showAll="0"/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3">
    <field x="15"/>
    <field x="14"/>
    <field x="1"/>
  </rowFields>
  <rowItems count="17">
    <i>
      <x v="1"/>
    </i>
    <i r="1">
      <x v="1"/>
    </i>
    <i r="1">
      <x v="2"/>
    </i>
    <i r="1">
      <x v="3"/>
    </i>
    <i>
      <x v="2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>
      <x v="4"/>
    </i>
    <i r="1">
      <x v="10"/>
    </i>
    <i r="1">
      <x v="11"/>
    </i>
    <i r="1">
      <x v="12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Suma de Ventas" fld="13" baseField="15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vincia" xr10:uid="{83D1BB63-2542-4352-A571-10E61E3176A4}" sourceName="Provinci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1">
        <i x="6" s="1"/>
        <i x="9" s="1"/>
        <i x="0" s="1" nd="1"/>
        <i x="1" s="1" nd="1"/>
        <i x="2" s="1" nd="1"/>
        <i x="4" s="1" nd="1"/>
        <i x="7" s="1" nd="1"/>
        <i x="8" s="1" nd="1"/>
        <i x="3" s="1" nd="1"/>
        <i x="5" s="1" nd="1"/>
        <i x="1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Vendedor" xr10:uid="{2C69D981-A622-4972-B366-487EF6F5B174}" sourceName="Vendedor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8">
        <i x="5" s="1"/>
        <i x="1"/>
        <i x="3"/>
        <i x="6"/>
        <i x="4"/>
        <i x="0"/>
        <i x="2"/>
        <i x="7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50D798C1-FD75-4D28-8B16-0CAC0C8995F5}" sourceName="Categorí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15">
        <i x="13" s="1"/>
        <i x="0" s="1"/>
        <i x="8" s="1"/>
        <i x="1" s="1"/>
        <i x="6" s="1"/>
        <i x="5" s="1"/>
        <i x="4" s="1"/>
        <i x="11" s="1"/>
        <i x="7" s="1" nd="1"/>
        <i x="3" s="1" nd="1"/>
        <i x="12" s="1" nd="1"/>
        <i x="14" s="1" nd="1"/>
        <i x="9" s="1" nd="1"/>
        <i x="2" s="1" nd="1"/>
        <i x="1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50B4C40A-AC0B-47AB-BB4A-8EE103CC570E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data>
    <tabular pivotCacheId="153937183">
      <items count="368">
        <i x="10" s="1"/>
        <i x="162" s="1"/>
        <i x="102" s="1"/>
        <i x="224" s="1"/>
        <i x="132" s="1"/>
        <i x="285" s="1"/>
        <i x="103" s="1"/>
        <i x="225" s="1"/>
        <i x="133" s="1"/>
        <i x="13" s="1"/>
        <i x="318" s="1"/>
        <i x="287" s="1"/>
        <i x="257" s="1"/>
        <i x="227" s="1"/>
        <i x="45" s="1"/>
        <i x="196" s="1"/>
        <i x="135" s="1"/>
        <i x="319" s="1"/>
        <i x="288" s="1"/>
        <i x="167" s="1"/>
        <i x="136" s="1"/>
        <i x="289" s="1"/>
        <i x="16" s="1"/>
        <i x="47" s="1"/>
        <i x="290" s="1"/>
        <i x="260" s="1"/>
        <i x="48" s="1"/>
        <i x="353" s="1"/>
        <i x="49" s="1"/>
        <i x="170" s="1"/>
        <i x="262" s="1"/>
        <i x="110" s="1"/>
        <i x="171" s="1"/>
        <i x="324" s="1"/>
        <i x="263" s="1"/>
        <i x="92" s="1"/>
        <i x="1" s="1"/>
        <i x="61" s="1"/>
        <i x="122" s="1"/>
        <i x="245" s="1"/>
        <i x="21" s="1"/>
        <i x="52" s="1"/>
        <i x="113" s="1"/>
        <i x="53" s="1"/>
        <i x="204" s="1"/>
        <i x="266" s="1"/>
        <i x="55" s="1"/>
        <i x="268" s="1"/>
        <i x="85" s="1"/>
        <i x="330" s="1"/>
        <i x="299" s="1"/>
        <i x="117" s="1"/>
        <i x="239" s="1"/>
        <i x="178" s="1"/>
        <i x="240" s="1"/>
        <i x="271" s="1"/>
        <i x="28" s="1"/>
        <i x="60" s="1"/>
        <i x="215" s="1"/>
        <i x="337" s="1"/>
        <i x="2" s="1"/>
        <i x="276" s="1"/>
        <i x="246" s="1"/>
        <i x="243" s="1"/>
        <i x="152" s="1"/>
        <i x="338" s="1"/>
        <i x="308" s="1"/>
        <i x="247" s="1"/>
        <i x="339" s="1"/>
        <i x="36" s="1"/>
        <i x="187" s="1"/>
        <i x="279" s="1"/>
        <i x="249" s="1"/>
        <i x="7" s="1"/>
        <i x="189" s="1"/>
        <i x="128" s="1"/>
        <i x="160" s="1"/>
        <i x="313" s="1"/>
        <i x="344" s="1"/>
        <i x="0" s="1" nd="1"/>
        <i x="367" s="1" nd="1"/>
        <i x="101" s="1" nd="1"/>
        <i x="223" s="1" nd="1"/>
        <i x="345" s="1" nd="1"/>
        <i x="41" s="1" nd="1"/>
        <i x="192" s="1" nd="1"/>
        <i x="70" s="1" nd="1"/>
        <i x="131" s="1" nd="1"/>
        <i x="315" s="1" nd="1"/>
        <i x="284" s="1" nd="1"/>
        <i x="254" s="1" nd="1"/>
        <i x="346" s="1" nd="1"/>
        <i x="11" s="1" nd="1"/>
        <i x="42" s="1" nd="1"/>
        <i x="193" s="1" nd="1"/>
        <i x="163" s="1" nd="1"/>
        <i x="71" s="1" nd="1"/>
        <i x="316" s="1" nd="1"/>
        <i x="255" s="1" nd="1"/>
        <i x="347" s="1" nd="1"/>
        <i x="12" s="1" nd="1"/>
        <i x="43" s="1" nd="1"/>
        <i x="194" s="1" nd="1"/>
        <i x="164" s="1" nd="1"/>
        <i x="72" s="1" nd="1"/>
        <i x="317" s="1" nd="1"/>
        <i x="286" s="1" nd="1"/>
        <i x="256" s="1" nd="1"/>
        <i x="104" s="1" nd="1"/>
        <i x="226" s="1" nd="1"/>
        <i x="348" s="1" nd="1"/>
        <i x="44" s="1" nd="1"/>
        <i x="195" s="1" nd="1"/>
        <i x="165" s="1" nd="1"/>
        <i x="73" s="1" nd="1"/>
        <i x="134" s="1" nd="1"/>
        <i x="105" s="1" nd="1"/>
        <i x="349" s="1" nd="1"/>
        <i x="14" s="1" nd="1"/>
        <i x="166" s="1" nd="1"/>
        <i x="74" s="1" nd="1"/>
        <i x="258" s="1" nd="1"/>
        <i x="106" s="1" nd="1"/>
        <i x="228" s="1" nd="1"/>
        <i x="350" s="1" nd="1"/>
        <i x="15" s="1" nd="1"/>
        <i x="46" s="1" nd="1"/>
        <i x="197" s="1" nd="1"/>
        <i x="75" s="1" nd="1"/>
        <i x="320" s="1" nd="1"/>
        <i x="259" s="1" nd="1"/>
        <i x="107" s="1" nd="1"/>
        <i x="229" s="1" nd="1"/>
        <i x="351" s="1" nd="1"/>
        <i x="198" s="1" nd="1"/>
        <i x="168" s="1" nd="1"/>
        <i x="76" s="1" nd="1"/>
        <i x="137" s="1" nd="1"/>
        <i x="321" s="1" nd="1"/>
        <i x="108" s="1" nd="1"/>
        <i x="230" s="1" nd="1"/>
        <i x="352" s="1" nd="1"/>
        <i x="17" s="1" nd="1"/>
        <i x="199" s="1" nd="1"/>
        <i x="169" s="1" nd="1"/>
        <i x="77" s="1" nd="1"/>
        <i x="138" s="1" nd="1"/>
        <i x="322" s="1" nd="1"/>
        <i x="291" s="1" nd="1"/>
        <i x="261" s="1" nd="1"/>
        <i x="109" s="1" nd="1"/>
        <i x="231" s="1" nd="1"/>
        <i x="18" s="1" nd="1"/>
        <i x="200" s="1" nd="1"/>
        <i x="78" s="1" nd="1"/>
        <i x="139" s="1" nd="1"/>
        <i x="323" s="1" nd="1"/>
        <i x="292" s="1" nd="1"/>
        <i x="232" s="1" nd="1"/>
        <i x="354" s="1" nd="1"/>
        <i x="19" s="1" nd="1"/>
        <i x="50" s="1" nd="1"/>
        <i x="201" s="1" nd="1"/>
        <i x="79" s="1" nd="1"/>
        <i x="140" s="1" nd="1"/>
        <i x="293" s="1" nd="1"/>
        <i x="214" s="1" nd="1"/>
        <i x="336" s="1" nd="1"/>
        <i x="32" s="1" nd="1"/>
        <i x="183" s="1" nd="1"/>
        <i x="153" s="1" nd="1"/>
        <i x="306" s="1" nd="1"/>
        <i x="275" s="1" nd="1"/>
        <i x="111" s="1" nd="1"/>
        <i x="233" s="1" nd="1"/>
        <i x="355" s="1" nd="1"/>
        <i x="20" s="1" nd="1"/>
        <i x="51" s="1" nd="1"/>
        <i x="202" s="1" nd="1"/>
        <i x="172" s="1" nd="1"/>
        <i x="80" s="1" nd="1"/>
        <i x="141" s="1" nd="1"/>
        <i x="325" s="1" nd="1"/>
        <i x="294" s="1" nd="1"/>
        <i x="264" s="1" nd="1"/>
        <i x="112" s="1" nd="1"/>
        <i x="234" s="1" nd="1"/>
        <i x="356" s="1" nd="1"/>
        <i x="203" s="1" nd="1"/>
        <i x="173" s="1" nd="1"/>
        <i x="81" s="1" nd="1"/>
        <i x="142" s="1" nd="1"/>
        <i x="326" s="1" nd="1"/>
        <i x="295" s="1" nd="1"/>
        <i x="265" s="1" nd="1"/>
        <i x="235" s="1" nd="1"/>
        <i x="357" s="1" nd="1"/>
        <i x="22" s="1" nd="1"/>
        <i x="174" s="1" nd="1"/>
        <i x="82" s="1" nd="1"/>
        <i x="143" s="1" nd="1"/>
        <i x="327" s="1" nd="1"/>
        <i x="296" s="1" nd="1"/>
        <i x="114" s="1" nd="1"/>
        <i x="236" s="1" nd="1"/>
        <i x="358" s="1" nd="1"/>
        <i x="23" s="1" nd="1"/>
        <i x="54" s="1" nd="1"/>
        <i x="205" s="1" nd="1"/>
        <i x="175" s="1" nd="1"/>
        <i x="83" s="1" nd="1"/>
        <i x="144" s="1" nd="1"/>
        <i x="328" s="1" nd="1"/>
        <i x="297" s="1" nd="1"/>
        <i x="267" s="1" nd="1"/>
        <i x="115" s="1" nd="1"/>
        <i x="237" s="1" nd="1"/>
        <i x="359" s="1" nd="1"/>
        <i x="24" s="1" nd="1"/>
        <i x="206" s="1" nd="1"/>
        <i x="176" s="1" nd="1"/>
        <i x="84" s="1" nd="1"/>
        <i x="145" s="1" nd="1"/>
        <i x="329" s="1" nd="1"/>
        <i x="298" s="1" nd="1"/>
        <i x="116" s="1" nd="1"/>
        <i x="238" s="1" nd="1"/>
        <i x="360" s="1" nd="1"/>
        <i x="25" s="1" nd="1"/>
        <i x="56" s="1" nd="1"/>
        <i x="207" s="1" nd="1"/>
        <i x="177" s="1" nd="1"/>
        <i x="146" s="1" nd="1"/>
        <i x="269" s="1" nd="1"/>
        <i x="361" s="1" nd="1"/>
        <i x="26" s="1" nd="1"/>
        <i x="57" s="1" nd="1"/>
        <i x="208" s="1" nd="1"/>
        <i x="86" s="1" nd="1"/>
        <i x="147" s="1" nd="1"/>
        <i x="331" s="1" nd="1"/>
        <i x="300" s="1" nd="1"/>
        <i x="270" s="1" nd="1"/>
        <i x="118" s="1" nd="1"/>
        <i x="362" s="1" nd="1"/>
        <i x="27" s="1" nd="1"/>
        <i x="58" s="1" nd="1"/>
        <i x="209" s="1" nd="1"/>
        <i x="179" s="1" nd="1"/>
        <i x="87" s="1" nd="1"/>
        <i x="148" s="1" nd="1"/>
        <i x="332" s="1" nd="1"/>
        <i x="301" s="1" nd="1"/>
        <i x="119" s="1" nd="1"/>
        <i x="241" s="1" nd="1"/>
        <i x="363" s="1" nd="1"/>
        <i x="59" s="1" nd="1"/>
        <i x="210" s="1" nd="1"/>
        <i x="180" s="1" nd="1"/>
        <i x="88" s="1" nd="1"/>
        <i x="149" s="1" nd="1"/>
        <i x="333" s="1" nd="1"/>
        <i x="302" s="1" nd="1"/>
        <i x="272" s="1" nd="1"/>
        <i x="120" s="1" nd="1"/>
        <i x="242" s="1" nd="1"/>
        <i x="364" s="1" nd="1"/>
        <i x="29" s="1" nd="1"/>
        <i x="211" s="1" nd="1"/>
        <i x="181" s="1" nd="1"/>
        <i x="89" s="1" nd="1"/>
        <i x="150" s="1" nd="1"/>
        <i x="334" s="1" nd="1"/>
        <i x="303" s="1" nd="1"/>
        <i x="273" s="1" nd="1"/>
        <i x="93" s="1" nd="1"/>
        <i x="33" s="1" nd="1"/>
        <i x="184" s="1" nd="1"/>
        <i x="154" s="1" nd="1"/>
        <i x="62" s="1" nd="1"/>
        <i x="123" s="1" nd="1"/>
        <i x="307" s="1" nd="1"/>
        <i x="121" s="1" nd="1"/>
        <i x="365" s="1" nd="1"/>
        <i x="30" s="1" nd="1"/>
        <i x="212" s="1" nd="1"/>
        <i x="182" s="1" nd="1"/>
        <i x="90" s="1" nd="1"/>
        <i x="151" s="1" nd="1"/>
        <i x="335" s="1" nd="1"/>
        <i x="304" s="1" nd="1"/>
        <i x="274" s="1" nd="1"/>
        <i x="244" s="1" nd="1"/>
        <i x="366" s="1" nd="1"/>
        <i x="31" s="1" nd="1"/>
        <i x="213" s="1" nd="1"/>
        <i x="91" s="1" nd="1"/>
        <i x="305" s="1" nd="1"/>
        <i x="94" s="1" nd="1"/>
        <i x="216" s="1" nd="1"/>
        <i x="3" s="1" nd="1"/>
        <i x="34" s="1" nd="1"/>
        <i x="185" s="1" nd="1"/>
        <i x="155" s="1" nd="1"/>
        <i x="63" s="1" nd="1"/>
        <i x="124" s="1" nd="1"/>
        <i x="277" s="1" nd="1"/>
        <i x="95" s="1" nd="1"/>
        <i x="217" s="1" nd="1"/>
        <i x="4" s="1" nd="1"/>
        <i x="35" s="1" nd="1"/>
        <i x="186" s="1" nd="1"/>
        <i x="156" s="1" nd="1"/>
        <i x="64" s="1" nd="1"/>
        <i x="125" s="1" nd="1"/>
        <i x="309" s="1" nd="1"/>
        <i x="278" s="1" nd="1"/>
        <i x="248" s="1" nd="1"/>
        <i x="96" s="1" nd="1"/>
        <i x="218" s="1" nd="1"/>
        <i x="340" s="1" nd="1"/>
        <i x="5" s="1" nd="1"/>
        <i x="157" s="1" nd="1"/>
        <i x="65" s="1" nd="1"/>
        <i x="126" s="1" nd="1"/>
        <i x="310" s="1" nd="1"/>
        <i x="97" s="1" nd="1"/>
        <i x="219" s="1" nd="1"/>
        <i x="341" s="1" nd="1"/>
        <i x="6" s="1" nd="1"/>
        <i x="37" s="1" nd="1"/>
        <i x="188" s="1" nd="1"/>
        <i x="158" s="1" nd="1"/>
        <i x="66" s="1" nd="1"/>
        <i x="127" s="1" nd="1"/>
        <i x="311" s="1" nd="1"/>
        <i x="280" s="1" nd="1"/>
        <i x="250" s="1" nd="1"/>
        <i x="98" s="1" nd="1"/>
        <i x="220" s="1" nd="1"/>
        <i x="342" s="1" nd="1"/>
        <i x="38" s="1" nd="1"/>
        <i x="159" s="1" nd="1"/>
        <i x="67" s="1" nd="1"/>
        <i x="312" s="1" nd="1"/>
        <i x="281" s="1" nd="1"/>
        <i x="251" s="1" nd="1"/>
        <i x="99" s="1" nd="1"/>
        <i x="221" s="1" nd="1"/>
        <i x="343" s="1" nd="1"/>
        <i x="8" s="1" nd="1"/>
        <i x="39" s="1" nd="1"/>
        <i x="190" s="1" nd="1"/>
        <i x="68" s="1" nd="1"/>
        <i x="129" s="1" nd="1"/>
        <i x="282" s="1" nd="1"/>
        <i x="252" s="1" nd="1"/>
        <i x="100" s="1" nd="1"/>
        <i x="222" s="1" nd="1"/>
        <i x="9" s="1" nd="1"/>
        <i x="40" s="1" nd="1"/>
        <i x="191" s="1" nd="1"/>
        <i x="161" s="1" nd="1"/>
        <i x="69" s="1" nd="1"/>
        <i x="130" s="1" nd="1"/>
        <i x="314" s="1" nd="1"/>
        <i x="283" s="1" nd="1"/>
        <i x="25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vincia" xr10:uid="{882DA3F5-BF8E-4F07-8ACA-A67844A9AA10}" cache="SegmentaciónDeDatos_Provincia" caption="Provincia" style="SlicerStyleDark1" rowHeight="241300"/>
  <slicer name="Vendedor" xr10:uid="{3834331F-6E7B-40D3-BB79-D55169B4EE27}" cache="SegmentaciónDeDatos_Vendedor" caption="Vendedor" style="SlicerStyleDark1" rowHeight="241300"/>
  <slicer name="Categoría" xr10:uid="{61644130-BA66-4234-9213-B2BD13858E5E}" cache="SegmentaciónDeDatos_Categoría" caption="Categoría" style="SlicerStyleDark1" rowHeight="241300"/>
  <slicer name="Fecha 1" xr10:uid="{96229E8E-39A6-4AF3-87B5-7CE49BC6B4F9}" cache="SegmentaciónDeDatos_Fecha" caption="Fecha" style="SlicerStyleDark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0B3582-3397-41A4-A177-D4618167160F}" name="Tabla2" displayName="Tabla2" ref="A1:P370" totalsRowShown="0">
  <autoFilter ref="A1:P370" xr:uid="{EC936EDA-6408-4437-917A-E2FB89AFC79D}"/>
  <sortState xmlns:xlrd2="http://schemas.microsoft.com/office/spreadsheetml/2017/richdata2" caseSensitive="1" ref="A2:P370">
    <sortCondition ref="A2:A370"/>
  </sortState>
  <tableColumns count="16">
    <tableColumn id="1" xr3:uid="{12B129D9-2902-4154-8913-A00DF4A06D83}" name="Documento"/>
    <tableColumn id="2" xr3:uid="{75AF0FAA-C8F8-4B05-B40A-0EDC46C50CB5}" name="Fecha"/>
    <tableColumn id="3" xr3:uid="{5885ED47-6193-4B8F-A008-2E89D41B56E2}" name="Id Cliente"/>
    <tableColumn id="4" xr3:uid="{320F90AD-EEE8-40B2-872C-7CB92B4D324C}" name="Cliente"/>
    <tableColumn id="5" xr3:uid="{8530D838-6299-4A0D-AF65-783898A7D9FF}" name="Ciudad"/>
    <tableColumn id="6" xr3:uid="{BC3AD459-0620-47C7-AF64-E62919A20421}" name="Provincia"/>
    <tableColumn id="7" xr3:uid="{4CC06A87-B64E-4F81-94B4-8B12FDFA05A2}" name="Vendedor"/>
    <tableColumn id="8" xr3:uid="{7A545C06-1389-406A-9B1C-96ED99AAC78E}" name="Empresa"/>
    <tableColumn id="9" xr3:uid="{EF4BD55F-D72C-452D-AA14-03F8B4664807}" name="Forma de pago"/>
    <tableColumn id="10" xr3:uid="{9D056D8C-E689-4384-835B-6B6BEBB89D62}" name="Producto"/>
    <tableColumn id="11" xr3:uid="{BA18B2C4-D548-4E80-8C50-587A28777F21}" name="Categoría"/>
    <tableColumn id="12" xr3:uid="{5C062326-E6C8-4506-9002-58EBE74C7519}" name="Precio"/>
    <tableColumn id="13" xr3:uid="{BFA60843-41A9-4516-B169-B0AB3AE898D8}" name="Cantidad"/>
    <tableColumn id="14" xr3:uid="{BB6C8558-EA8B-4DFD-ACE1-B19C2AF058F7}" name="Ventas"/>
    <tableColumn id="15" xr3:uid="{6DA3C854-00C9-4B5B-9668-CF6ACE184417}" name="dias">
      <calculatedColumnFormula>PROPER(TEXT(B2,"ddd."))</calculatedColumnFormula>
    </tableColumn>
    <tableColumn id="16" xr3:uid="{8F31F959-34DC-445B-BCE2-24D79CBF99AA}" name="mes">
      <calculatedColumnFormula>TEXT(B2,"mmmm")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425A72-4825-4302-A370-87701AAD6776}" name="Tabla1" displayName="Tabla1" ref="A1:N372" totalsRowShown="0" headerRowDxfId="12" dataDxfId="11" headerRowCellStyle="Millares" dataCellStyle="Millares">
  <autoFilter ref="A1:N372" xr:uid="{B824E5A0-EDC9-48A3-BA93-972324DF256C}"/>
  <tableColumns count="14">
    <tableColumn id="1" xr3:uid="{A81714CF-DC94-4E9D-B1D1-664DDCB01177}" name="Documento"/>
    <tableColumn id="2" xr3:uid="{906E13B9-8C97-4950-A582-C177D19BBB7E}" name="Fecha" dataDxfId="10"/>
    <tableColumn id="3" xr3:uid="{BCF4333D-940F-49D0-B47C-79C03868E5AB}" name="Id Cliente"/>
    <tableColumn id="4" xr3:uid="{C4691AD3-545E-4E6D-BE25-F2FC3CC2417E}" name="Cliente"/>
    <tableColumn id="5" xr3:uid="{E8A80C22-62D8-4E58-B566-2B8E2B5AC26A}" name="Ciudad"/>
    <tableColumn id="6" xr3:uid="{1369FD5B-03B2-4345-8E75-2B66A1A3A649}" name="Provincia"/>
    <tableColumn id="7" xr3:uid="{B919F6E9-5706-4CE7-8BFE-7BB54B97C2E8}" name="Vendedor"/>
    <tableColumn id="8" xr3:uid="{B0D2DCFD-CCDE-49DE-90F5-BCE81778E4DC}" name="Empresa"/>
    <tableColumn id="9" xr3:uid="{4D1C7265-7CF9-43D9-97AE-3F14A7CF47AF}" name="Forma de pago"/>
    <tableColumn id="10" xr3:uid="{94E242BF-5CDA-49E7-9C22-85293598FAA8}" name="Producto"/>
    <tableColumn id="11" xr3:uid="{8112DF7C-E6AB-45BA-9B12-A5DBBC172459}" name="Categoría"/>
    <tableColumn id="12" xr3:uid="{0C9323BD-48AE-47DB-8255-A5A11B64DC6D}" name="Precio" dataDxfId="9" dataCellStyle="Millares"/>
    <tableColumn id="13" xr3:uid="{4AD6AA6F-FE81-40FE-817D-2B96EBD8123F}" name="Cantidad" dataDxfId="8" dataCellStyle="Millares"/>
    <tableColumn id="14" xr3:uid="{9770B028-9868-4DE4-9D36-1D31F70617FD}" name="Ventas" dataDxfId="7" dataCellStyle="Millares">
      <calculatedColumnFormula>normalizar!$L2*normalizar!$M2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F2F38FDD-67CB-4BC7-89AA-DF9F55929D35}" sourceName="Fecha">
  <pivotTables>
    <pivotTable tabId="9" name="TablaDinámica1"/>
    <pivotTable tabId="9" name="TablaDinámica3"/>
    <pivotTable tabId="9" name="TablaDinámica2"/>
    <pivotTable tabId="9" name="TablaDinámica4"/>
    <pivotTable tabId="9" name="TablaDinámica5"/>
  </pivotTables>
  <state minimalRefreshVersion="6" lastRefreshVersion="6" pivotCacheId="153937183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D8637915-F3D5-476F-9A10-648C9894443F}" cache="NativeTimeline_Fecha" caption="Fecha" level="2" selectionLevel="2" scrollPosition="2020-01-01T00:00:00" style="TimeSlicerStyleLight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microsoft.com/office/2011/relationships/timeline" Target="../timelines/timelin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96CF9-529E-4DE2-818A-23E9635F26D7}">
  <sheetPr codeName="Hoja3">
    <tabColor rgb="FFFF0000"/>
  </sheetPr>
  <dimension ref="C1:AE371"/>
  <sheetViews>
    <sheetView topLeftCell="A2" workbookViewId="0">
      <selection activeCell="B2" sqref="B2:Q371"/>
    </sheetView>
  </sheetViews>
  <sheetFormatPr baseColWidth="10" defaultColWidth="10.85546875" defaultRowHeight="15" x14ac:dyDescent="0.25"/>
  <cols>
    <col min="1" max="1" width="4.28515625" customWidth="1"/>
    <col min="2" max="2" width="13.5703125" customWidth="1"/>
    <col min="3" max="3" width="10.7109375" style="1" bestFit="1" customWidth="1"/>
    <col min="4" max="4" width="12" customWidth="1"/>
    <col min="5" max="5" width="11.5703125" bestFit="1" customWidth="1"/>
    <col min="6" max="6" width="11" bestFit="1" customWidth="1"/>
    <col min="7" max="7" width="11.7109375" customWidth="1"/>
    <col min="8" max="8" width="23.140625" bestFit="1" customWidth="1"/>
    <col min="9" max="9" width="22.85546875" bestFit="1" customWidth="1"/>
    <col min="10" max="10" width="16.7109375" bestFit="1" customWidth="1"/>
    <col min="11" max="11" width="23.5703125" bestFit="1" customWidth="1"/>
    <col min="12" max="12" width="19.85546875" bestFit="1" customWidth="1"/>
    <col min="13" max="13" width="9.5703125" style="2" bestFit="1" customWidth="1"/>
    <col min="14" max="14" width="11.5703125" style="2" customWidth="1"/>
    <col min="15" max="15" width="11.5703125" style="2" bestFit="1" customWidth="1"/>
    <col min="16" max="17" width="11.5703125" style="2" customWidth="1"/>
    <col min="18" max="18" width="11.5703125" customWidth="1"/>
    <col min="19" max="19" width="13.28515625" style="2" bestFit="1" customWidth="1"/>
    <col min="20" max="20" width="15.85546875" bestFit="1" customWidth="1"/>
    <col min="21" max="21" width="3.85546875" customWidth="1"/>
    <col min="23" max="23" width="4.140625" customWidth="1"/>
    <col min="24" max="24" width="12.42578125" customWidth="1"/>
    <col min="25" max="25" width="4.42578125" customWidth="1"/>
    <col min="26" max="26" width="12.7109375" bestFit="1" customWidth="1"/>
    <col min="29" max="29" width="15.5703125" customWidth="1"/>
  </cols>
  <sheetData>
    <row r="1" spans="18:31" x14ac:dyDescent="0.25">
      <c r="AB1" t="s">
        <v>76</v>
      </c>
      <c r="AD1" t="s">
        <v>133</v>
      </c>
      <c r="AE1" t="s">
        <v>146</v>
      </c>
    </row>
    <row r="2" spans="18:31" s="3" customFormat="1" ht="30" customHeight="1" x14ac:dyDescent="0.25">
      <c r="R2"/>
      <c r="S2" s="5"/>
    </row>
    <row r="3" spans="18:31" x14ac:dyDescent="0.25">
      <c r="S3" s="2" t="b">
        <f>AND(Hoja4!$P2="abril",Hoja4!$O2="Jue.")</f>
        <v>1</v>
      </c>
      <c r="T3" t="str">
        <f>IF(AND(Hoja4!H2="Empresa de embarque B",Hoja4!I2="Cheque"),"dale","vaaa")</f>
        <v>dale</v>
      </c>
      <c r="V3" t="str">
        <f>IF(AND(Hoja4!H2="Empresa de embarque B",Hoja4!I2="Cheque",Hoja4!J2="Cerveza"),"dale","vaaa")</f>
        <v>dale</v>
      </c>
      <c r="X3" t="str">
        <f>IF(OR(Hoja4!H2="Empresa de embarque B",Hoja4!I2="Cheque",Hoja4!J2="cerveza"),"dale","vaaa")</f>
        <v>dale</v>
      </c>
      <c r="Z3" t="str">
        <f>IF(NOT(OR(Hoja4!I2="Cheque",Hoja4!J2="Cerveza")),"Aprobado","No Aprobado")</f>
        <v>No Aprobado</v>
      </c>
    </row>
    <row r="4" spans="18:31" x14ac:dyDescent="0.25">
      <c r="S4" s="2" t="b">
        <f>AND(Hoja4!$P3="abril",Hoja4!$O3="Jue.")</f>
        <v>0</v>
      </c>
      <c r="T4" t="str">
        <f>IF(AND(Hoja4!H3="Empresa de embarque B",Hoja4!I3="Cheque"),"dale","vaaa")</f>
        <v>dale</v>
      </c>
      <c r="V4" t="str">
        <f>IF(AND(Hoja4!H3="Empresa de embarque B",Hoja4!I3="Cheque",Hoja4!J3="Cerveza"),"dale","vaaa")</f>
        <v>vaaa</v>
      </c>
      <c r="X4" t="str">
        <f>IF(OR(Hoja4!H3="Empresa de embarque B",Hoja4!I3="Cheque",Hoja4!J3="cerveza"),"dale","vaaa")</f>
        <v>dale</v>
      </c>
      <c r="Z4" t="str">
        <f>IF(NOT(OR(Hoja4!I3="Cheque",Hoja4!J3="Cerveza")),"Aprobado","No Aprobado")</f>
        <v>No Aprobado</v>
      </c>
      <c r="AB4" s="3" t="s">
        <v>76</v>
      </c>
      <c r="AD4" s="5" t="s">
        <v>133</v>
      </c>
      <c r="AE4" s="5" t="s">
        <v>146</v>
      </c>
    </row>
    <row r="5" spans="18:31" x14ac:dyDescent="0.25">
      <c r="S5" s="2" t="b">
        <f>AND(Hoja4!$P4="abril",Hoja4!$O4="Jue.")</f>
        <v>0</v>
      </c>
      <c r="T5" t="str">
        <f>IF(AND(Hoja4!H4="Empresa de embarque B",Hoja4!I4="Cheque"),"dale","vaaa")</f>
        <v>vaaa</v>
      </c>
      <c r="V5" t="str">
        <f>IF(AND(Hoja4!H4="Empresa de embarque B",Hoja4!I4="Cheque",Hoja4!J4="Cerveza"),"dale","vaaa")</f>
        <v>vaaa</v>
      </c>
      <c r="X5" t="str">
        <f>IF(OR(Hoja4!H4="Empresa de embarque B",Hoja4!I4="Cheque",Hoja4!J4="cerveza"),"dale","vaaa")</f>
        <v>vaaa</v>
      </c>
      <c r="Z5" t="str">
        <f>IF(NOT(OR(Hoja4!I4="Cheque",Hoja4!J4="Cerveza")),"Aprobado","No Aprobado")</f>
        <v>Aprobado</v>
      </c>
      <c r="AB5" t="s">
        <v>8</v>
      </c>
      <c r="AD5" t="s">
        <v>134</v>
      </c>
      <c r="AE5" s="2" t="s">
        <v>152</v>
      </c>
    </row>
    <row r="6" spans="18:31" x14ac:dyDescent="0.25">
      <c r="S6" s="2" t="b">
        <f>AND(Hoja4!$P5="abril",Hoja4!$O5="Jue.")</f>
        <v>0</v>
      </c>
      <c r="T6" t="str">
        <f>IF(AND(Hoja4!H5="Empresa de embarque B",Hoja4!I5="Cheque"),"dale","vaaa")</f>
        <v>vaaa</v>
      </c>
      <c r="V6" t="str">
        <f>IF(AND(Hoja4!H5="Empresa de embarque B",Hoja4!I5="Cheque",Hoja4!J5="Cerveza"),"dale","vaaa")</f>
        <v>vaaa</v>
      </c>
      <c r="X6" t="str">
        <f>IF(OR(Hoja4!H5="Empresa de embarque B",Hoja4!I5="Cheque",Hoja4!J5="cerveza"),"dale","vaaa")</f>
        <v>vaaa</v>
      </c>
      <c r="Z6" t="str">
        <f>IF(NOT(OR(Hoja4!I5="Cheque",Hoja4!J5="Cerveza")),"Aprobado","No Aprobado")</f>
        <v>Aprobado</v>
      </c>
      <c r="AB6" t="s">
        <v>16</v>
      </c>
      <c r="AD6" t="s">
        <v>135</v>
      </c>
      <c r="AE6" s="2" t="s">
        <v>153</v>
      </c>
    </row>
    <row r="7" spans="18:31" x14ac:dyDescent="0.25">
      <c r="S7" s="2" t="b">
        <f>AND(Hoja4!$P6="abril",Hoja4!$O6="Jue.")</f>
        <v>1</v>
      </c>
      <c r="T7" t="str">
        <f>IF(AND(Hoja4!H6="Empresa de embarque B",Hoja4!I6="Cheque"),"dale","vaaa")</f>
        <v>vaaa</v>
      </c>
      <c r="V7" t="str">
        <f>IF(AND(Hoja4!H6="Empresa de embarque B",Hoja4!I6="Cheque",Hoja4!J6="Cerveza"),"dale","vaaa")</f>
        <v>vaaa</v>
      </c>
      <c r="X7" t="str">
        <f>IF(OR(Hoja4!H6="Empresa de embarque B",Hoja4!I6="Cheque",Hoja4!J6="cerveza"),"dale","vaaa")</f>
        <v>vaaa</v>
      </c>
      <c r="Z7" t="str">
        <f>IF(NOT(OR(Hoja4!I6="Cheque",Hoja4!J6="Cerveza")),"Aprobado","No Aprobado")</f>
        <v>Aprobado</v>
      </c>
      <c r="AB7" t="s">
        <v>25</v>
      </c>
      <c r="AD7" t="s">
        <v>136</v>
      </c>
      <c r="AE7" s="2" t="s">
        <v>149</v>
      </c>
    </row>
    <row r="8" spans="18:31" x14ac:dyDescent="0.25">
      <c r="S8" s="2" t="b">
        <f>AND(Hoja4!$P7="abril",Hoja4!$O7="Jue.")</f>
        <v>0</v>
      </c>
      <c r="T8" t="str">
        <f>IF(AND(Hoja4!H7="Empresa de embarque B",Hoja4!I7="Cheque"),"dale","vaaa")</f>
        <v>vaaa</v>
      </c>
      <c r="V8" t="str">
        <f>IF(AND(Hoja4!H7="Empresa de embarque B",Hoja4!I7="Cheque",Hoja4!J7="Cerveza"),"dale","vaaa")</f>
        <v>vaaa</v>
      </c>
      <c r="X8" t="str">
        <f>IF(OR(Hoja4!H7="Empresa de embarque B",Hoja4!I7="Cheque",Hoja4!J7="cerveza"),"dale","vaaa")</f>
        <v>dale</v>
      </c>
      <c r="Z8" t="str">
        <f>IF(NOT(OR(Hoja4!I7="Cheque",Hoja4!J7="Cerveza")),"Aprobado","No Aprobado")</f>
        <v>Aprobado</v>
      </c>
      <c r="AD8" t="s">
        <v>137</v>
      </c>
      <c r="AE8" s="2" t="s">
        <v>148</v>
      </c>
    </row>
    <row r="9" spans="18:31" x14ac:dyDescent="0.25">
      <c r="S9" s="2" t="b">
        <f>AND(Hoja4!$P8="abril",Hoja4!$O8="Jue.")</f>
        <v>0</v>
      </c>
      <c r="T9" t="str">
        <f>IF(AND(Hoja4!H8="Empresa de embarque B",Hoja4!I8="Cheque"),"dale","vaaa")</f>
        <v>vaaa</v>
      </c>
      <c r="V9" t="str">
        <f>IF(AND(Hoja4!H8="Empresa de embarque B",Hoja4!I8="Cheque",Hoja4!J8="Cerveza"),"dale","vaaa")</f>
        <v>vaaa</v>
      </c>
      <c r="X9" t="str">
        <f>IF(OR(Hoja4!H8="Empresa de embarque B",Hoja4!I8="Cheque",Hoja4!J8="cerveza"),"dale","vaaa")</f>
        <v>dale</v>
      </c>
      <c r="Z9" t="str">
        <f>IF(NOT(OR(Hoja4!I8="Cheque",Hoja4!J8="Cerveza")),"Aprobado","No Aprobado")</f>
        <v>Aprobado</v>
      </c>
      <c r="AD9" t="s">
        <v>138</v>
      </c>
      <c r="AE9" s="2" t="s">
        <v>150</v>
      </c>
    </row>
    <row r="10" spans="18:31" x14ac:dyDescent="0.25">
      <c r="S10" s="2" t="b">
        <f>AND(Hoja4!$P9="abril",Hoja4!$O9="Jue.")</f>
        <v>0</v>
      </c>
      <c r="T10" t="str">
        <f>IF(AND(Hoja4!H9="Empresa de embarque B",Hoja4!I9="Cheque"),"dale","vaaa")</f>
        <v>vaaa</v>
      </c>
      <c r="V10" t="str">
        <f>IF(AND(Hoja4!H9="Empresa de embarque B",Hoja4!I9="Cheque",Hoja4!J9="Cerveza"),"dale","vaaa")</f>
        <v>vaaa</v>
      </c>
      <c r="X10" t="str">
        <f>IF(OR(Hoja4!H9="Empresa de embarque B",Hoja4!I9="Cheque",Hoja4!J9="cerveza"),"dale","vaaa")</f>
        <v>vaaa</v>
      </c>
      <c r="Z10" t="str">
        <f>IF(NOT(OR(Hoja4!I9="Cheque",Hoja4!J9="Cerveza")),"Aprobado","No Aprobado")</f>
        <v>Aprobado</v>
      </c>
      <c r="AD10" t="s">
        <v>139</v>
      </c>
      <c r="AE10" s="2" t="s">
        <v>151</v>
      </c>
    </row>
    <row r="11" spans="18:31" x14ac:dyDescent="0.25">
      <c r="S11" s="2" t="b">
        <f>AND(Hoja4!$P10="abril",Hoja4!$O10="Jue.")</f>
        <v>0</v>
      </c>
      <c r="T11" t="str">
        <f>IF(AND(Hoja4!H10="Empresa de embarque B",Hoja4!I10="Cheque"),"dale","vaaa")</f>
        <v>vaaa</v>
      </c>
      <c r="V11" t="str">
        <f>IF(AND(Hoja4!H10="Empresa de embarque B",Hoja4!I10="Cheque",Hoja4!J10="Cerveza"),"dale","vaaa")</f>
        <v>vaaa</v>
      </c>
      <c r="X11" t="str">
        <f>IF(OR(Hoja4!H10="Empresa de embarque B",Hoja4!I10="Cheque",Hoja4!J10="cerveza"),"dale","vaaa")</f>
        <v>dale</v>
      </c>
      <c r="Z11" t="str">
        <f>IF(NOT(OR(Hoja4!I10="Cheque",Hoja4!J10="Cerveza")),"Aprobado","No Aprobado")</f>
        <v>No Aprobado</v>
      </c>
      <c r="AD11" t="s">
        <v>140</v>
      </c>
      <c r="AE11" s="2" t="s">
        <v>147</v>
      </c>
    </row>
    <row r="12" spans="18:31" x14ac:dyDescent="0.25">
      <c r="S12" s="2" t="b">
        <f>AND(Hoja4!$P11="abril",Hoja4!$O11="Jue.")</f>
        <v>0</v>
      </c>
      <c r="T12" t="str">
        <f>IF(AND(Hoja4!H11="Empresa de embarque B",Hoja4!I11="Cheque"),"dale","vaaa")</f>
        <v>dale</v>
      </c>
      <c r="V12" t="str">
        <f>IF(AND(Hoja4!H11="Empresa de embarque B",Hoja4!I11="Cheque",Hoja4!J11="Cerveza"),"dale","vaaa")</f>
        <v>vaaa</v>
      </c>
      <c r="X12" t="str">
        <f>IF(OR(Hoja4!H11="Empresa de embarque B",Hoja4!I11="Cheque",Hoja4!J11="cerveza"),"dale","vaaa")</f>
        <v>dale</v>
      </c>
      <c r="Z12" t="str">
        <f>IF(NOT(OR(Hoja4!I11="Cheque",Hoja4!J11="Cerveza")),"Aprobado","No Aprobado")</f>
        <v>No Aprobado</v>
      </c>
      <c r="AD12" t="s">
        <v>141</v>
      </c>
    </row>
    <row r="13" spans="18:31" x14ac:dyDescent="0.25">
      <c r="S13" s="2" t="b">
        <f>AND(Hoja4!$P12="abril",Hoja4!$O12="Jue.")</f>
        <v>0</v>
      </c>
      <c r="T13" t="str">
        <f>IF(AND(Hoja4!H12="Empresa de embarque B",Hoja4!I12="Cheque"),"dale","vaaa")</f>
        <v>vaaa</v>
      </c>
      <c r="V13" t="str">
        <f>IF(AND(Hoja4!H12="Empresa de embarque B",Hoja4!I12="Cheque",Hoja4!J12="Cerveza"),"dale","vaaa")</f>
        <v>vaaa</v>
      </c>
      <c r="X13" t="str">
        <f>IF(OR(Hoja4!H12="Empresa de embarque B",Hoja4!I12="Cheque",Hoja4!J12="cerveza"),"dale","vaaa")</f>
        <v>dale</v>
      </c>
      <c r="Z13" t="str">
        <f>IF(NOT(OR(Hoja4!I12="Cheque",Hoja4!J12="Cerveza")),"Aprobado","No Aprobado")</f>
        <v>Aprobado</v>
      </c>
      <c r="AD13" t="s">
        <v>142</v>
      </c>
    </row>
    <row r="14" spans="18:31" x14ac:dyDescent="0.25">
      <c r="S14" s="2" t="b">
        <f>AND(Hoja4!$P13="abril",Hoja4!$O13="Jue.")</f>
        <v>0</v>
      </c>
      <c r="T14" t="str">
        <f>IF(AND(Hoja4!H13="Empresa de embarque B",Hoja4!I13="Cheque"),"dale","vaaa")</f>
        <v>vaaa</v>
      </c>
      <c r="V14" t="str">
        <f>IF(AND(Hoja4!H13="Empresa de embarque B",Hoja4!I13="Cheque",Hoja4!J13="Cerveza"),"dale","vaaa")</f>
        <v>vaaa</v>
      </c>
      <c r="X14" t="str">
        <f>IF(OR(Hoja4!H13="Empresa de embarque B",Hoja4!I13="Cheque",Hoja4!J13="cerveza"),"dale","vaaa")</f>
        <v>dale</v>
      </c>
      <c r="Z14" t="str">
        <f>IF(NOT(OR(Hoja4!I13="Cheque",Hoja4!J13="Cerveza")),"Aprobado","No Aprobado")</f>
        <v>Aprobado</v>
      </c>
      <c r="AD14" t="s">
        <v>143</v>
      </c>
    </row>
    <row r="15" spans="18:31" x14ac:dyDescent="0.25">
      <c r="S15" s="2" t="b">
        <f>AND(Hoja4!$P14="abril",Hoja4!$O14="Jue.")</f>
        <v>0</v>
      </c>
      <c r="T15" t="str">
        <f>IF(AND(Hoja4!H14="Empresa de embarque B",Hoja4!I14="Cheque"),"dale","vaaa")</f>
        <v>vaaa</v>
      </c>
      <c r="V15" t="str">
        <f>IF(AND(Hoja4!H14="Empresa de embarque B",Hoja4!I14="Cheque",Hoja4!J14="Cerveza"),"dale","vaaa")</f>
        <v>vaaa</v>
      </c>
      <c r="X15" t="str">
        <f>IF(OR(Hoja4!H14="Empresa de embarque B",Hoja4!I14="Cheque",Hoja4!J14="cerveza"),"dale","vaaa")</f>
        <v>dale</v>
      </c>
      <c r="Z15" t="str">
        <f>IF(NOT(OR(Hoja4!I14="Cheque",Hoja4!J14="Cerveza")),"Aprobado","No Aprobado")</f>
        <v>No Aprobado</v>
      </c>
      <c r="AD15" t="s">
        <v>144</v>
      </c>
    </row>
    <row r="16" spans="18:31" x14ac:dyDescent="0.25">
      <c r="S16" s="2" t="b">
        <f>AND(Hoja4!$P15="abril",Hoja4!$O15="Jue.")</f>
        <v>0</v>
      </c>
      <c r="T16" t="str">
        <f>IF(AND(Hoja4!H15="Empresa de embarque B",Hoja4!I15="Cheque"),"dale","vaaa")</f>
        <v>vaaa</v>
      </c>
      <c r="V16" t="str">
        <f>IF(AND(Hoja4!H15="Empresa de embarque B",Hoja4!I15="Cheque",Hoja4!J15="Cerveza"),"dale","vaaa")</f>
        <v>vaaa</v>
      </c>
      <c r="X16" t="str">
        <f>IF(OR(Hoja4!H15="Empresa de embarque B",Hoja4!I15="Cheque",Hoja4!J15="cerveza"),"dale","vaaa")</f>
        <v>dale</v>
      </c>
      <c r="Z16" t="str">
        <f>IF(NOT(OR(Hoja4!I15="Cheque",Hoja4!J15="Cerveza")),"Aprobado","No Aprobado")</f>
        <v>No Aprobado</v>
      </c>
      <c r="AD16" t="s">
        <v>145</v>
      </c>
    </row>
    <row r="17" spans="19:26" x14ac:dyDescent="0.25">
      <c r="S17" s="2" t="b">
        <f>AND(Hoja4!$P16="abril",Hoja4!$O16="Jue.")</f>
        <v>0</v>
      </c>
      <c r="T17" t="str">
        <f>IF(AND(Hoja4!H16="Empresa de embarque B",Hoja4!I16="Cheque"),"dale","vaaa")</f>
        <v>vaaa</v>
      </c>
      <c r="V17" t="str">
        <f>IF(AND(Hoja4!H16="Empresa de embarque B",Hoja4!I16="Cheque",Hoja4!J16="Cerveza"),"dale","vaaa")</f>
        <v>vaaa</v>
      </c>
      <c r="X17" t="str">
        <f>IF(OR(Hoja4!H16="Empresa de embarque B",Hoja4!I16="Cheque",Hoja4!J16="cerveza"),"dale","vaaa")</f>
        <v>dale</v>
      </c>
      <c r="Z17" t="str">
        <f>IF(NOT(OR(Hoja4!I16="Cheque",Hoja4!J16="Cerveza")),"Aprobado","No Aprobado")</f>
        <v>Aprobado</v>
      </c>
    </row>
    <row r="18" spans="19:26" x14ac:dyDescent="0.25">
      <c r="S18" s="2" t="b">
        <f>AND(Hoja4!$P17="abril",Hoja4!$O17="Jue.")</f>
        <v>0</v>
      </c>
      <c r="T18" t="str">
        <f>IF(AND(Hoja4!H17="Empresa de embarque B",Hoja4!I17="Cheque"),"dale","vaaa")</f>
        <v>vaaa</v>
      </c>
      <c r="V18" t="str">
        <f>IF(AND(Hoja4!H17="Empresa de embarque B",Hoja4!I17="Cheque",Hoja4!J17="Cerveza"),"dale","vaaa")</f>
        <v>vaaa</v>
      </c>
      <c r="X18" t="str">
        <f>IF(OR(Hoja4!H17="Empresa de embarque B",Hoja4!I17="Cheque",Hoja4!J17="cerveza"),"dale","vaaa")</f>
        <v>vaaa</v>
      </c>
      <c r="Z18" t="str">
        <f>IF(NOT(OR(Hoja4!I17="Cheque",Hoja4!J17="Cerveza")),"Aprobado","No Aprobado")</f>
        <v>Aprobado</v>
      </c>
    </row>
    <row r="19" spans="19:26" x14ac:dyDescent="0.25">
      <c r="S19" s="2" t="b">
        <f>AND(Hoja4!$P18="abril",Hoja4!$O18="Jue.")</f>
        <v>0</v>
      </c>
      <c r="T19" t="str">
        <f>IF(AND(Hoja4!H18="Empresa de embarque B",Hoja4!I18="Cheque"),"dale","vaaa")</f>
        <v>vaaa</v>
      </c>
      <c r="V19" t="str">
        <f>IF(AND(Hoja4!H18="Empresa de embarque B",Hoja4!I18="Cheque",Hoja4!J18="Cerveza"),"dale","vaaa")</f>
        <v>vaaa</v>
      </c>
      <c r="X19" t="str">
        <f>IF(OR(Hoja4!H18="Empresa de embarque B",Hoja4!I18="Cheque",Hoja4!J18="cerveza"),"dale","vaaa")</f>
        <v>vaaa</v>
      </c>
      <c r="Z19" t="str">
        <f>IF(NOT(OR(Hoja4!I18="Cheque",Hoja4!J18="Cerveza")),"Aprobado","No Aprobado")</f>
        <v>Aprobado</v>
      </c>
    </row>
    <row r="20" spans="19:26" x14ac:dyDescent="0.25">
      <c r="S20" s="2" t="b">
        <f>AND(Hoja4!$P19="abril",Hoja4!$O19="Jue.")</f>
        <v>1</v>
      </c>
      <c r="T20" t="str">
        <f>IF(AND(Hoja4!H19="Empresa de embarque B",Hoja4!I19="Cheque"),"dale","vaaa")</f>
        <v>vaaa</v>
      </c>
      <c r="V20" t="str">
        <f>IF(AND(Hoja4!H19="Empresa de embarque B",Hoja4!I19="Cheque",Hoja4!J19="Cerveza"),"dale","vaaa")</f>
        <v>vaaa</v>
      </c>
      <c r="X20" t="str">
        <f>IF(OR(Hoja4!H19="Empresa de embarque B",Hoja4!I19="Cheque",Hoja4!J19="cerveza"),"dale","vaaa")</f>
        <v>vaaa</v>
      </c>
      <c r="Z20" t="str">
        <f>IF(NOT(OR(Hoja4!I19="Cheque",Hoja4!J19="Cerveza")),"Aprobado","No Aprobado")</f>
        <v>Aprobado</v>
      </c>
    </row>
    <row r="21" spans="19:26" x14ac:dyDescent="0.25">
      <c r="S21" s="2" t="b">
        <f>AND(Hoja4!$P20="abril",Hoja4!$O20="Jue.")</f>
        <v>0</v>
      </c>
      <c r="T21" t="str">
        <f>IF(AND(Hoja4!H20="Empresa de embarque B",Hoja4!I20="Cheque"),"dale","vaaa")</f>
        <v>vaaa</v>
      </c>
      <c r="V21" t="str">
        <f>IF(AND(Hoja4!H20="Empresa de embarque B",Hoja4!I20="Cheque",Hoja4!J20="Cerveza"),"dale","vaaa")</f>
        <v>vaaa</v>
      </c>
      <c r="X21" t="str">
        <f>IF(OR(Hoja4!H20="Empresa de embarque B",Hoja4!I20="Cheque",Hoja4!J20="cerveza"),"dale","vaaa")</f>
        <v>vaaa</v>
      </c>
      <c r="Z21" t="str">
        <f>IF(NOT(OR(Hoja4!I20="Cheque",Hoja4!J20="Cerveza")),"Aprobado","No Aprobado")</f>
        <v>Aprobado</v>
      </c>
    </row>
    <row r="22" spans="19:26" x14ac:dyDescent="0.25">
      <c r="S22" s="2" t="b">
        <f>AND(Hoja4!$P21="abril",Hoja4!$O21="Jue.")</f>
        <v>0</v>
      </c>
      <c r="T22" t="str">
        <f>IF(AND(Hoja4!H21="Empresa de embarque B",Hoja4!I21="Cheque"),"dale","vaaa")</f>
        <v>vaaa</v>
      </c>
      <c r="V22" t="str">
        <f>IF(AND(Hoja4!H21="Empresa de embarque B",Hoja4!I21="Cheque",Hoja4!J21="Cerveza"),"dale","vaaa")</f>
        <v>vaaa</v>
      </c>
      <c r="X22" t="str">
        <f>IF(OR(Hoja4!H21="Empresa de embarque B",Hoja4!I21="Cheque",Hoja4!J21="cerveza"),"dale","vaaa")</f>
        <v>vaaa</v>
      </c>
      <c r="Z22" t="str">
        <f>IF(NOT(OR(Hoja4!I21="Cheque",Hoja4!J21="Cerveza")),"Aprobado","No Aprobado")</f>
        <v>Aprobado</v>
      </c>
    </row>
    <row r="23" spans="19:26" x14ac:dyDescent="0.25">
      <c r="S23" s="2" t="b">
        <f>AND(Hoja4!$P22="abril",Hoja4!$O22="Jue.")</f>
        <v>0</v>
      </c>
      <c r="T23" t="str">
        <f>IF(AND(Hoja4!H22="Empresa de embarque B",Hoja4!I22="Cheque"),"dale","vaaa")</f>
        <v>vaaa</v>
      </c>
      <c r="V23" t="str">
        <f>IF(AND(Hoja4!H22="Empresa de embarque B",Hoja4!I22="Cheque",Hoja4!J22="Cerveza"),"dale","vaaa")</f>
        <v>vaaa</v>
      </c>
      <c r="X23" t="str">
        <f>IF(OR(Hoja4!H22="Empresa de embarque B",Hoja4!I22="Cheque",Hoja4!J22="cerveza"),"dale","vaaa")</f>
        <v>vaaa</v>
      </c>
      <c r="Z23" t="str">
        <f>IF(NOT(OR(Hoja4!I22="Cheque",Hoja4!J22="Cerveza")),"Aprobado","No Aprobado")</f>
        <v>Aprobado</v>
      </c>
    </row>
    <row r="24" spans="19:26" x14ac:dyDescent="0.25">
      <c r="S24" s="2" t="b">
        <f>AND(Hoja4!$P23="abril",Hoja4!$O23="Jue.")</f>
        <v>0</v>
      </c>
      <c r="T24" t="str">
        <f>IF(AND(Hoja4!H23="Empresa de embarque B",Hoja4!I23="Cheque"),"dale","vaaa")</f>
        <v>vaaa</v>
      </c>
      <c r="V24" t="str">
        <f>IF(AND(Hoja4!H23="Empresa de embarque B",Hoja4!I23="Cheque",Hoja4!J23="Cerveza"),"dale","vaaa")</f>
        <v>vaaa</v>
      </c>
      <c r="X24" t="str">
        <f>IF(OR(Hoja4!H23="Empresa de embarque B",Hoja4!I23="Cheque",Hoja4!J23="cerveza"),"dale","vaaa")</f>
        <v>vaaa</v>
      </c>
      <c r="Z24" t="str">
        <f>IF(NOT(OR(Hoja4!I23="Cheque",Hoja4!J23="Cerveza")),"Aprobado","No Aprobado")</f>
        <v>Aprobado</v>
      </c>
    </row>
    <row r="25" spans="19:26" x14ac:dyDescent="0.25">
      <c r="S25" s="2" t="b">
        <f>AND(Hoja4!$P24="abril",Hoja4!$O24="Jue.")</f>
        <v>0</v>
      </c>
      <c r="T25" t="str">
        <f>IF(AND(Hoja4!H24="Empresa de embarque B",Hoja4!I24="Cheque"),"dale","vaaa")</f>
        <v>vaaa</v>
      </c>
      <c r="V25" t="str">
        <f>IF(AND(Hoja4!H24="Empresa de embarque B",Hoja4!I24="Cheque",Hoja4!J24="Cerveza"),"dale","vaaa")</f>
        <v>vaaa</v>
      </c>
      <c r="X25" t="str">
        <f>IF(OR(Hoja4!H24="Empresa de embarque B",Hoja4!I24="Cheque",Hoja4!J24="cerveza"),"dale","vaaa")</f>
        <v>vaaa</v>
      </c>
      <c r="Z25" t="str">
        <f>IF(NOT(OR(Hoja4!I24="Cheque",Hoja4!J24="Cerveza")),"Aprobado","No Aprobado")</f>
        <v>Aprobado</v>
      </c>
    </row>
    <row r="26" spans="19:26" x14ac:dyDescent="0.25">
      <c r="S26" s="2" t="b">
        <f>AND(Hoja4!$P25="abril",Hoja4!$O25="Jue.")</f>
        <v>0</v>
      </c>
      <c r="T26" t="str">
        <f>IF(AND(Hoja4!H25="Empresa de embarque B",Hoja4!I25="Cheque"),"dale","vaaa")</f>
        <v>vaaa</v>
      </c>
      <c r="V26" t="str">
        <f>IF(AND(Hoja4!H25="Empresa de embarque B",Hoja4!I25="Cheque",Hoja4!J25="Cerveza"),"dale","vaaa")</f>
        <v>vaaa</v>
      </c>
      <c r="X26" t="str">
        <f>IF(OR(Hoja4!H25="Empresa de embarque B",Hoja4!I25="Cheque",Hoja4!J25="cerveza"),"dale","vaaa")</f>
        <v>vaaa</v>
      </c>
      <c r="Z26" t="str">
        <f>IF(NOT(OR(Hoja4!I25="Cheque",Hoja4!J25="Cerveza")),"Aprobado","No Aprobado")</f>
        <v>Aprobado</v>
      </c>
    </row>
    <row r="27" spans="19:26" x14ac:dyDescent="0.25">
      <c r="S27" s="2" t="b">
        <f>AND(Hoja4!$P26="abril",Hoja4!$O26="Jue.")</f>
        <v>0</v>
      </c>
      <c r="T27" t="str">
        <f>IF(AND(Hoja4!H26="Empresa de embarque B",Hoja4!I26="Cheque"),"dale","vaaa")</f>
        <v>vaaa</v>
      </c>
      <c r="V27" t="str">
        <f>IF(AND(Hoja4!H26="Empresa de embarque B",Hoja4!I26="Cheque",Hoja4!J26="Cerveza"),"dale","vaaa")</f>
        <v>vaaa</v>
      </c>
      <c r="X27" t="str">
        <f>IF(OR(Hoja4!H26="Empresa de embarque B",Hoja4!I26="Cheque",Hoja4!J26="cerveza"),"dale","vaaa")</f>
        <v>vaaa</v>
      </c>
      <c r="Z27" t="str">
        <f>IF(NOT(OR(Hoja4!I26="Cheque",Hoja4!J26="Cerveza")),"Aprobado","No Aprobado")</f>
        <v>Aprobado</v>
      </c>
    </row>
    <row r="28" spans="19:26" x14ac:dyDescent="0.25">
      <c r="S28" s="2" t="b">
        <f>AND(Hoja4!$P27="abril",Hoja4!$O27="Jue.")</f>
        <v>0</v>
      </c>
      <c r="T28" t="str">
        <f>IF(AND(Hoja4!H27="Empresa de embarque B",Hoja4!I27="Cheque"),"dale","vaaa")</f>
        <v>vaaa</v>
      </c>
      <c r="V28" t="str">
        <f>IF(AND(Hoja4!H27="Empresa de embarque B",Hoja4!I27="Cheque",Hoja4!J27="Cerveza"),"dale","vaaa")</f>
        <v>vaaa</v>
      </c>
      <c r="X28" t="str">
        <f>IF(OR(Hoja4!H27="Empresa de embarque B",Hoja4!I27="Cheque",Hoja4!J27="cerveza"),"dale","vaaa")</f>
        <v>vaaa</v>
      </c>
      <c r="Z28" t="str">
        <f>IF(NOT(OR(Hoja4!I27="Cheque",Hoja4!J27="Cerveza")),"Aprobado","No Aprobado")</f>
        <v>Aprobado</v>
      </c>
    </row>
    <row r="29" spans="19:26" x14ac:dyDescent="0.25">
      <c r="S29" s="2" t="b">
        <f>AND(Hoja4!$P28="abril",Hoja4!$O28="Jue.")</f>
        <v>0</v>
      </c>
      <c r="T29" t="str">
        <f>IF(AND(Hoja4!H28="Empresa de embarque B",Hoja4!I28="Cheque"),"dale","vaaa")</f>
        <v>vaaa</v>
      </c>
      <c r="V29" t="str">
        <f>IF(AND(Hoja4!H28="Empresa de embarque B",Hoja4!I28="Cheque",Hoja4!J28="Cerveza"),"dale","vaaa")</f>
        <v>vaaa</v>
      </c>
      <c r="X29" t="str">
        <f>IF(OR(Hoja4!H28="Empresa de embarque B",Hoja4!I28="Cheque",Hoja4!J28="cerveza"),"dale","vaaa")</f>
        <v>dale</v>
      </c>
      <c r="Z29" t="str">
        <f>IF(NOT(OR(Hoja4!I28="Cheque",Hoja4!J28="Cerveza")),"Aprobado","No Aprobado")</f>
        <v>No Aprobado</v>
      </c>
    </row>
    <row r="30" spans="19:26" x14ac:dyDescent="0.25">
      <c r="S30" s="2" t="b">
        <f>AND(Hoja4!$P29="abril",Hoja4!$O29="Jue.")</f>
        <v>0</v>
      </c>
      <c r="T30" t="str">
        <f>IF(AND(Hoja4!H29="Empresa de embarque B",Hoja4!I29="Cheque"),"dale","vaaa")</f>
        <v>vaaa</v>
      </c>
      <c r="V30" t="str">
        <f>IF(AND(Hoja4!H29="Empresa de embarque B",Hoja4!I29="Cheque",Hoja4!J29="Cerveza"),"dale","vaaa")</f>
        <v>vaaa</v>
      </c>
      <c r="X30" t="str">
        <f>IF(OR(Hoja4!H29="Empresa de embarque B",Hoja4!I29="Cheque",Hoja4!J29="cerveza"),"dale","vaaa")</f>
        <v>dale</v>
      </c>
      <c r="Z30" t="str">
        <f>IF(NOT(OR(Hoja4!I29="Cheque",Hoja4!J29="Cerveza")),"Aprobado","No Aprobado")</f>
        <v>No Aprobado</v>
      </c>
    </row>
    <row r="31" spans="19:26" x14ac:dyDescent="0.25">
      <c r="S31" s="2" t="b">
        <f>AND(Hoja4!$P30="abril",Hoja4!$O30="Jue.")</f>
        <v>0</v>
      </c>
      <c r="T31" t="str">
        <f>IF(AND(Hoja4!H30="Empresa de embarque B",Hoja4!I30="Cheque"),"dale","vaaa")</f>
        <v>vaaa</v>
      </c>
      <c r="V31" t="str">
        <f>IF(AND(Hoja4!H30="Empresa de embarque B",Hoja4!I30="Cheque",Hoja4!J30="Cerveza"),"dale","vaaa")</f>
        <v>vaaa</v>
      </c>
      <c r="X31" t="str">
        <f>IF(OR(Hoja4!H30="Empresa de embarque B",Hoja4!I30="Cheque",Hoja4!J30="cerveza"),"dale","vaaa")</f>
        <v>dale</v>
      </c>
      <c r="Z31" t="str">
        <f>IF(NOT(OR(Hoja4!I30="Cheque",Hoja4!J30="Cerveza")),"Aprobado","No Aprobado")</f>
        <v>No Aprobado</v>
      </c>
    </row>
    <row r="32" spans="19:26" x14ac:dyDescent="0.25">
      <c r="S32" s="2" t="b">
        <f>AND(Hoja4!$P31="abril",Hoja4!$O31="Jue.")</f>
        <v>0</v>
      </c>
      <c r="T32" t="str">
        <f>IF(AND(Hoja4!H31="Empresa de embarque B",Hoja4!I31="Cheque"),"dale","vaaa")</f>
        <v>dale</v>
      </c>
      <c r="V32" t="str">
        <f>IF(AND(Hoja4!H31="Empresa de embarque B",Hoja4!I31="Cheque",Hoja4!J31="Cerveza"),"dale","vaaa")</f>
        <v>vaaa</v>
      </c>
      <c r="X32" t="str">
        <f>IF(OR(Hoja4!H31="Empresa de embarque B",Hoja4!I31="Cheque",Hoja4!J31="cerveza"),"dale","vaaa")</f>
        <v>dale</v>
      </c>
      <c r="Z32" t="str">
        <f>IF(NOT(OR(Hoja4!I31="Cheque",Hoja4!J31="Cerveza")),"Aprobado","No Aprobado")</f>
        <v>No Aprobado</v>
      </c>
    </row>
    <row r="33" spans="19:26" x14ac:dyDescent="0.25">
      <c r="S33" s="2" t="b">
        <f>AND(Hoja4!$P32="abril",Hoja4!$O32="Jue.")</f>
        <v>0</v>
      </c>
      <c r="T33" t="str">
        <f>IF(AND(Hoja4!H32="Empresa de embarque B",Hoja4!I32="Cheque"),"dale","vaaa")</f>
        <v>vaaa</v>
      </c>
      <c r="V33" t="str">
        <f>IF(AND(Hoja4!H32="Empresa de embarque B",Hoja4!I32="Cheque",Hoja4!J32="Cerveza"),"dale","vaaa")</f>
        <v>vaaa</v>
      </c>
      <c r="X33" t="str">
        <f>IF(OR(Hoja4!H32="Empresa de embarque B",Hoja4!I32="Cheque",Hoja4!J32="cerveza"),"dale","vaaa")</f>
        <v>dale</v>
      </c>
      <c r="Z33" t="str">
        <f>IF(NOT(OR(Hoja4!I32="Cheque",Hoja4!J32="Cerveza")),"Aprobado","No Aprobado")</f>
        <v>Aprobado</v>
      </c>
    </row>
    <row r="34" spans="19:26" x14ac:dyDescent="0.25">
      <c r="S34" s="2" t="b">
        <f>AND(Hoja4!$P33="abril",Hoja4!$O33="Jue.")</f>
        <v>0</v>
      </c>
      <c r="T34" t="str">
        <f>IF(AND(Hoja4!H33="Empresa de embarque B",Hoja4!I33="Cheque"),"dale","vaaa")</f>
        <v>vaaa</v>
      </c>
      <c r="V34" t="str">
        <f>IF(AND(Hoja4!H33="Empresa de embarque B",Hoja4!I33="Cheque",Hoja4!J33="Cerveza"),"dale","vaaa")</f>
        <v>vaaa</v>
      </c>
      <c r="X34" t="str">
        <f>IF(OR(Hoja4!H33="Empresa de embarque B",Hoja4!I33="Cheque",Hoja4!J33="cerveza"),"dale","vaaa")</f>
        <v>dale</v>
      </c>
      <c r="Z34" t="str">
        <f>IF(NOT(OR(Hoja4!I33="Cheque",Hoja4!J33="Cerveza")),"Aprobado","No Aprobado")</f>
        <v>Aprobado</v>
      </c>
    </row>
    <row r="35" spans="19:26" x14ac:dyDescent="0.25">
      <c r="S35" s="2" t="b">
        <f>AND(Hoja4!$P34="abril",Hoja4!$O34="Jue.")</f>
        <v>0</v>
      </c>
      <c r="T35" t="str">
        <f>IF(AND(Hoja4!H34="Empresa de embarque B",Hoja4!I34="Cheque"),"dale","vaaa")</f>
        <v>vaaa</v>
      </c>
      <c r="V35" t="str">
        <f>IF(AND(Hoja4!H34="Empresa de embarque B",Hoja4!I34="Cheque",Hoja4!J34="Cerveza"),"dale","vaaa")</f>
        <v>vaaa</v>
      </c>
      <c r="X35" t="str">
        <f>IF(OR(Hoja4!H34="Empresa de embarque B",Hoja4!I34="Cheque",Hoja4!J34="cerveza"),"dale","vaaa")</f>
        <v>dale</v>
      </c>
      <c r="Z35" t="str">
        <f>IF(NOT(OR(Hoja4!I34="Cheque",Hoja4!J34="Cerveza")),"Aprobado","No Aprobado")</f>
        <v>Aprobado</v>
      </c>
    </row>
    <row r="36" spans="19:26" x14ac:dyDescent="0.25">
      <c r="S36" s="2" t="b">
        <f>AND(Hoja4!$P35="abril",Hoja4!$O35="Jue.")</f>
        <v>0</v>
      </c>
      <c r="T36" t="str">
        <f>IF(AND(Hoja4!H35="Empresa de embarque B",Hoja4!I35="Cheque"),"dale","vaaa")</f>
        <v>vaaa</v>
      </c>
      <c r="V36" t="str">
        <f>IF(AND(Hoja4!H35="Empresa de embarque B",Hoja4!I35="Cheque",Hoja4!J35="Cerveza"),"dale","vaaa")</f>
        <v>vaaa</v>
      </c>
      <c r="X36" t="str">
        <f>IF(OR(Hoja4!H35="Empresa de embarque B",Hoja4!I35="Cheque",Hoja4!J35="cerveza"),"dale","vaaa")</f>
        <v>dale</v>
      </c>
      <c r="Z36" t="str">
        <f>IF(NOT(OR(Hoja4!I35="Cheque",Hoja4!J35="Cerveza")),"Aprobado","No Aprobado")</f>
        <v>No Aprobado</v>
      </c>
    </row>
    <row r="37" spans="19:26" x14ac:dyDescent="0.25">
      <c r="S37" s="2" t="b">
        <f>AND(Hoja4!$P36="abril",Hoja4!$O36="Jue.")</f>
        <v>0</v>
      </c>
      <c r="T37" t="str">
        <f>IF(AND(Hoja4!H36="Empresa de embarque B",Hoja4!I36="Cheque"),"dale","vaaa")</f>
        <v>vaaa</v>
      </c>
      <c r="V37" t="str">
        <f>IF(AND(Hoja4!H36="Empresa de embarque B",Hoja4!I36="Cheque",Hoja4!J36="Cerveza"),"dale","vaaa")</f>
        <v>vaaa</v>
      </c>
      <c r="X37" t="str">
        <f>IF(OR(Hoja4!H36="Empresa de embarque B",Hoja4!I36="Cheque",Hoja4!J36="cerveza"),"dale","vaaa")</f>
        <v>dale</v>
      </c>
      <c r="Z37" t="str">
        <f>IF(NOT(OR(Hoja4!I36="Cheque",Hoja4!J36="Cerveza")),"Aprobado","No Aprobado")</f>
        <v>No Aprobado</v>
      </c>
    </row>
    <row r="38" spans="19:26" x14ac:dyDescent="0.25">
      <c r="S38" s="2" t="b">
        <f>AND(Hoja4!$P37="abril",Hoja4!$O37="Jue.")</f>
        <v>0</v>
      </c>
      <c r="T38" t="str">
        <f>IF(AND(Hoja4!H37="Empresa de embarque B",Hoja4!I37="Cheque"),"dale","vaaa")</f>
        <v>vaaa</v>
      </c>
      <c r="V38" t="str">
        <f>IF(AND(Hoja4!H37="Empresa de embarque B",Hoja4!I37="Cheque",Hoja4!J37="Cerveza"),"dale","vaaa")</f>
        <v>vaaa</v>
      </c>
      <c r="X38" t="str">
        <f>IF(OR(Hoja4!H37="Empresa de embarque B",Hoja4!I37="Cheque",Hoja4!J37="cerveza"),"dale","vaaa")</f>
        <v>dale</v>
      </c>
      <c r="Z38" t="str">
        <f>IF(NOT(OR(Hoja4!I37="Cheque",Hoja4!J37="Cerveza")),"Aprobado","No Aprobado")</f>
        <v>Aprobado</v>
      </c>
    </row>
    <row r="39" spans="19:26" x14ac:dyDescent="0.25">
      <c r="S39" s="2" t="b">
        <f>AND(Hoja4!$P38="abril",Hoja4!$O38="Jue.")</f>
        <v>0</v>
      </c>
      <c r="T39" t="str">
        <f>IF(AND(Hoja4!H38="Empresa de embarque B",Hoja4!I38="Cheque"),"dale","vaaa")</f>
        <v>vaaa</v>
      </c>
      <c r="V39" t="str">
        <f>IF(AND(Hoja4!H38="Empresa de embarque B",Hoja4!I38="Cheque",Hoja4!J38="Cerveza"),"dale","vaaa")</f>
        <v>vaaa</v>
      </c>
      <c r="X39" t="str">
        <f>IF(OR(Hoja4!H38="Empresa de embarque B",Hoja4!I38="Cheque",Hoja4!J38="cerveza"),"dale","vaaa")</f>
        <v>vaaa</v>
      </c>
      <c r="Z39" t="str">
        <f>IF(NOT(OR(Hoja4!I38="Cheque",Hoja4!J38="Cerveza")),"Aprobado","No Aprobado")</f>
        <v>Aprobado</v>
      </c>
    </row>
    <row r="40" spans="19:26" x14ac:dyDescent="0.25">
      <c r="S40" s="2" t="b">
        <f>AND(Hoja4!$P39="abril",Hoja4!$O39="Jue.")</f>
        <v>0</v>
      </c>
      <c r="T40" t="str">
        <f>IF(AND(Hoja4!H39="Empresa de embarque B",Hoja4!I39="Cheque"),"dale","vaaa")</f>
        <v>vaaa</v>
      </c>
      <c r="V40" t="str">
        <f>IF(AND(Hoja4!H39="Empresa de embarque B",Hoja4!I39="Cheque",Hoja4!J39="Cerveza"),"dale","vaaa")</f>
        <v>vaaa</v>
      </c>
      <c r="X40" t="str">
        <f>IF(OR(Hoja4!H39="Empresa de embarque B",Hoja4!I39="Cheque",Hoja4!J39="cerveza"),"dale","vaaa")</f>
        <v>vaaa</v>
      </c>
      <c r="Z40" t="str">
        <f>IF(NOT(OR(Hoja4!I39="Cheque",Hoja4!J39="Cerveza")),"Aprobado","No Aprobado")</f>
        <v>Aprobado</v>
      </c>
    </row>
    <row r="41" spans="19:26" x14ac:dyDescent="0.25">
      <c r="S41" s="2" t="b">
        <f>AND(Hoja4!$P40="abril",Hoja4!$O40="Jue.")</f>
        <v>0</v>
      </c>
      <c r="T41" t="str">
        <f>IF(AND(Hoja4!H40="Empresa de embarque B",Hoja4!I40="Cheque"),"dale","vaaa")</f>
        <v>vaaa</v>
      </c>
      <c r="V41" t="str">
        <f>IF(AND(Hoja4!H40="Empresa de embarque B",Hoja4!I40="Cheque",Hoja4!J40="Cerveza"),"dale","vaaa")</f>
        <v>vaaa</v>
      </c>
      <c r="X41" t="str">
        <f>IF(OR(Hoja4!H40="Empresa de embarque B",Hoja4!I40="Cheque",Hoja4!J40="cerveza"),"dale","vaaa")</f>
        <v>vaaa</v>
      </c>
      <c r="Z41" t="str">
        <f>IF(NOT(OR(Hoja4!I40="Cheque",Hoja4!J40="Cerveza")),"Aprobado","No Aprobado")</f>
        <v>Aprobado</v>
      </c>
    </row>
    <row r="42" spans="19:26" x14ac:dyDescent="0.25">
      <c r="S42" s="2" t="b">
        <f>AND(Hoja4!$P41="abril",Hoja4!$O41="Jue.")</f>
        <v>0</v>
      </c>
      <c r="T42" t="str">
        <f>IF(AND(Hoja4!H41="Empresa de embarque B",Hoja4!I41="Cheque"),"dale","vaaa")</f>
        <v>vaaa</v>
      </c>
      <c r="V42" t="str">
        <f>IF(AND(Hoja4!H41="Empresa de embarque B",Hoja4!I41="Cheque",Hoja4!J41="Cerveza"),"dale","vaaa")</f>
        <v>vaaa</v>
      </c>
      <c r="X42" t="str">
        <f>IF(OR(Hoja4!H41="Empresa de embarque B",Hoja4!I41="Cheque",Hoja4!J41="cerveza"),"dale","vaaa")</f>
        <v>vaaa</v>
      </c>
      <c r="Z42" t="str">
        <f>IF(NOT(OR(Hoja4!I41="Cheque",Hoja4!J41="Cerveza")),"Aprobado","No Aprobado")</f>
        <v>Aprobado</v>
      </c>
    </row>
    <row r="43" spans="19:26" x14ac:dyDescent="0.25">
      <c r="S43" s="2" t="b">
        <f>AND(Hoja4!$P42="abril",Hoja4!$O42="Jue.")</f>
        <v>0</v>
      </c>
      <c r="T43" t="str">
        <f>IF(AND(Hoja4!H42="Empresa de embarque B",Hoja4!I42="Cheque"),"dale","vaaa")</f>
        <v>vaaa</v>
      </c>
      <c r="V43" t="str">
        <f>IF(AND(Hoja4!H42="Empresa de embarque B",Hoja4!I42="Cheque",Hoja4!J42="Cerveza"),"dale","vaaa")</f>
        <v>vaaa</v>
      </c>
      <c r="X43" t="str">
        <f>IF(OR(Hoja4!H42="Empresa de embarque B",Hoja4!I42="Cheque",Hoja4!J42="cerveza"),"dale","vaaa")</f>
        <v>dale</v>
      </c>
      <c r="Z43" t="str">
        <f>IF(NOT(OR(Hoja4!I42="Cheque",Hoja4!J42="Cerveza")),"Aprobado","No Aprobado")</f>
        <v>No Aprobado</v>
      </c>
    </row>
    <row r="44" spans="19:26" x14ac:dyDescent="0.25">
      <c r="S44" s="2" t="b">
        <f>AND(Hoja4!$P43="abril",Hoja4!$O43="Jue.")</f>
        <v>0</v>
      </c>
      <c r="T44" t="str">
        <f>IF(AND(Hoja4!H43="Empresa de embarque B",Hoja4!I43="Cheque"),"dale","vaaa")</f>
        <v>vaaa</v>
      </c>
      <c r="V44" t="str">
        <f>IF(AND(Hoja4!H43="Empresa de embarque B",Hoja4!I43="Cheque",Hoja4!J43="Cerveza"),"dale","vaaa")</f>
        <v>vaaa</v>
      </c>
      <c r="X44" t="str">
        <f>IF(OR(Hoja4!H43="Empresa de embarque B",Hoja4!I43="Cheque",Hoja4!J43="cerveza"),"dale","vaaa")</f>
        <v>dale</v>
      </c>
      <c r="Z44" t="str">
        <f>IF(NOT(OR(Hoja4!I43="Cheque",Hoja4!J43="Cerveza")),"Aprobado","No Aprobado")</f>
        <v>Aprobado</v>
      </c>
    </row>
    <row r="45" spans="19:26" x14ac:dyDescent="0.25">
      <c r="S45" s="2" t="b">
        <f>AND(Hoja4!$P44="abril",Hoja4!$O44="Jue.")</f>
        <v>0</v>
      </c>
      <c r="T45" t="str">
        <f>IF(AND(Hoja4!H44="Empresa de embarque B",Hoja4!I44="Cheque"),"dale","vaaa")</f>
        <v>dale</v>
      </c>
      <c r="V45" t="str">
        <f>IF(AND(Hoja4!H44="Empresa de embarque B",Hoja4!I44="Cheque",Hoja4!J44="Cerveza"),"dale","vaaa")</f>
        <v>vaaa</v>
      </c>
      <c r="X45" t="str">
        <f>IF(OR(Hoja4!H44="Empresa de embarque B",Hoja4!I44="Cheque",Hoja4!J44="cerveza"),"dale","vaaa")</f>
        <v>dale</v>
      </c>
      <c r="Z45" t="str">
        <f>IF(NOT(OR(Hoja4!I44="Cheque",Hoja4!J44="Cerveza")),"Aprobado","No Aprobado")</f>
        <v>No Aprobado</v>
      </c>
    </row>
    <row r="46" spans="19:26" x14ac:dyDescent="0.25">
      <c r="S46" s="2" t="b">
        <f>AND(Hoja4!$P45="abril",Hoja4!$O45="Jue.")</f>
        <v>0</v>
      </c>
      <c r="T46" t="str">
        <f>IF(AND(Hoja4!H45="Empresa de embarque B",Hoja4!I45="Cheque"),"dale","vaaa")</f>
        <v>vaaa</v>
      </c>
      <c r="V46" t="str">
        <f>IF(AND(Hoja4!H45="Empresa de embarque B",Hoja4!I45="Cheque",Hoja4!J45="Cerveza"),"dale","vaaa")</f>
        <v>vaaa</v>
      </c>
      <c r="X46" t="str">
        <f>IF(OR(Hoja4!H45="Empresa de embarque B",Hoja4!I45="Cheque",Hoja4!J45="cerveza"),"dale","vaaa")</f>
        <v>vaaa</v>
      </c>
      <c r="Z46" t="str">
        <f>IF(NOT(OR(Hoja4!I45="Cheque",Hoja4!J45="Cerveza")),"Aprobado","No Aprobado")</f>
        <v>Aprobado</v>
      </c>
    </row>
    <row r="47" spans="19:26" x14ac:dyDescent="0.25">
      <c r="S47" s="2" t="b">
        <f>AND(Hoja4!$P46="abril",Hoja4!$O46="Jue.")</f>
        <v>0</v>
      </c>
      <c r="T47" t="str">
        <f>IF(AND(Hoja4!H46="Empresa de embarque B",Hoja4!I46="Cheque"),"dale","vaaa")</f>
        <v>vaaa</v>
      </c>
      <c r="V47" t="str">
        <f>IF(AND(Hoja4!H46="Empresa de embarque B",Hoja4!I46="Cheque",Hoja4!J46="Cerveza"),"dale","vaaa")</f>
        <v>vaaa</v>
      </c>
      <c r="X47" t="str">
        <f>IF(OR(Hoja4!H46="Empresa de embarque B",Hoja4!I46="Cheque",Hoja4!J46="cerveza"),"dale","vaaa")</f>
        <v>vaaa</v>
      </c>
      <c r="Z47" t="str">
        <f>IF(NOT(OR(Hoja4!I46="Cheque",Hoja4!J46="Cerveza")),"Aprobado","No Aprobado")</f>
        <v>Aprobado</v>
      </c>
    </row>
    <row r="48" spans="19:26" x14ac:dyDescent="0.25">
      <c r="S48" s="2" t="b">
        <f>AND(Hoja4!$P47="abril",Hoja4!$O47="Jue.")</f>
        <v>0</v>
      </c>
      <c r="T48" t="str">
        <f>IF(AND(Hoja4!H47="Empresa de embarque B",Hoja4!I47="Cheque"),"dale","vaaa")</f>
        <v>dale</v>
      </c>
      <c r="V48" t="str">
        <f>IF(AND(Hoja4!H47="Empresa de embarque B",Hoja4!I47="Cheque",Hoja4!J47="Cerveza"),"dale","vaaa")</f>
        <v>vaaa</v>
      </c>
      <c r="X48" t="str">
        <f>IF(OR(Hoja4!H47="Empresa de embarque B",Hoja4!I47="Cheque",Hoja4!J47="cerveza"),"dale","vaaa")</f>
        <v>dale</v>
      </c>
      <c r="Z48" t="str">
        <f>IF(NOT(OR(Hoja4!I47="Cheque",Hoja4!J47="Cerveza")),"Aprobado","No Aprobado")</f>
        <v>No Aprobado</v>
      </c>
    </row>
    <row r="49" spans="19:26" x14ac:dyDescent="0.25">
      <c r="S49" s="2" t="b">
        <f>AND(Hoja4!$P48="abril",Hoja4!$O48="Jue.")</f>
        <v>0</v>
      </c>
      <c r="T49" t="str">
        <f>IF(AND(Hoja4!H48="Empresa de embarque B",Hoja4!I48="Cheque"),"dale","vaaa")</f>
        <v>vaaa</v>
      </c>
      <c r="V49" t="str">
        <f>IF(AND(Hoja4!H48="Empresa de embarque B",Hoja4!I48="Cheque",Hoja4!J48="Cerveza"),"dale","vaaa")</f>
        <v>vaaa</v>
      </c>
      <c r="X49" t="str">
        <f>IF(OR(Hoja4!H48="Empresa de embarque B",Hoja4!I48="Cheque",Hoja4!J48="cerveza"),"dale","vaaa")</f>
        <v>dale</v>
      </c>
      <c r="Z49" t="str">
        <f>IF(NOT(OR(Hoja4!I48="Cheque",Hoja4!J48="Cerveza")),"Aprobado","No Aprobado")</f>
        <v>No Aprobado</v>
      </c>
    </row>
    <row r="50" spans="19:26" x14ac:dyDescent="0.25">
      <c r="S50" s="2" t="b">
        <f>AND(Hoja4!$P49="abril",Hoja4!$O49="Jue.")</f>
        <v>0</v>
      </c>
      <c r="T50" t="str">
        <f>IF(AND(Hoja4!H49="Empresa de embarque B",Hoja4!I49="Cheque"),"dale","vaaa")</f>
        <v>vaaa</v>
      </c>
      <c r="V50" t="str">
        <f>IF(AND(Hoja4!H49="Empresa de embarque B",Hoja4!I49="Cheque",Hoja4!J49="Cerveza"),"dale","vaaa")</f>
        <v>vaaa</v>
      </c>
      <c r="X50" t="str">
        <f>IF(OR(Hoja4!H49="Empresa de embarque B",Hoja4!I49="Cheque",Hoja4!J49="cerveza"),"dale","vaaa")</f>
        <v>dale</v>
      </c>
      <c r="Z50" t="str">
        <f>IF(NOT(OR(Hoja4!I49="Cheque",Hoja4!J49="Cerveza")),"Aprobado","No Aprobado")</f>
        <v>No Aprobado</v>
      </c>
    </row>
    <row r="51" spans="19:26" x14ac:dyDescent="0.25">
      <c r="S51" s="2" t="b">
        <f>AND(Hoja4!$P50="abril",Hoja4!$O50="Jue.")</f>
        <v>0</v>
      </c>
      <c r="T51" t="str">
        <f>IF(AND(Hoja4!H50="Empresa de embarque B",Hoja4!I50="Cheque"),"dale","vaaa")</f>
        <v>vaaa</v>
      </c>
      <c r="V51" t="str">
        <f>IF(AND(Hoja4!H50="Empresa de embarque B",Hoja4!I50="Cheque",Hoja4!J50="Cerveza"),"dale","vaaa")</f>
        <v>vaaa</v>
      </c>
      <c r="X51" t="str">
        <f>IF(OR(Hoja4!H50="Empresa de embarque B",Hoja4!I50="Cheque",Hoja4!J50="cerveza"),"dale","vaaa")</f>
        <v>vaaa</v>
      </c>
      <c r="Z51" t="str">
        <f>IF(NOT(OR(Hoja4!I50="Cheque",Hoja4!J50="Cerveza")),"Aprobado","No Aprobado")</f>
        <v>Aprobado</v>
      </c>
    </row>
    <row r="52" spans="19:26" x14ac:dyDescent="0.25">
      <c r="S52" s="2" t="b">
        <f>AND(Hoja4!$P51="abril",Hoja4!$O51="Jue.")</f>
        <v>0</v>
      </c>
      <c r="T52" t="str">
        <f>IF(AND(Hoja4!H51="Empresa de embarque B",Hoja4!I51="Cheque"),"dale","vaaa")</f>
        <v>vaaa</v>
      </c>
      <c r="V52" t="str">
        <f>IF(AND(Hoja4!H51="Empresa de embarque B",Hoja4!I51="Cheque",Hoja4!J51="Cerveza"),"dale","vaaa")</f>
        <v>vaaa</v>
      </c>
      <c r="X52" t="str">
        <f>IF(OR(Hoja4!H51="Empresa de embarque B",Hoja4!I51="Cheque",Hoja4!J51="cerveza"),"dale","vaaa")</f>
        <v>vaaa</v>
      </c>
      <c r="Z52" t="str">
        <f>IF(NOT(OR(Hoja4!I51="Cheque",Hoja4!J51="Cerveza")),"Aprobado","No Aprobado")</f>
        <v>Aprobado</v>
      </c>
    </row>
    <row r="53" spans="19:26" x14ac:dyDescent="0.25">
      <c r="S53" s="2" t="b">
        <f>AND(Hoja4!$P52="abril",Hoja4!$O52="Jue.")</f>
        <v>0</v>
      </c>
      <c r="T53" t="str">
        <f>IF(AND(Hoja4!H52="Empresa de embarque B",Hoja4!I52="Cheque"),"dale","vaaa")</f>
        <v>vaaa</v>
      </c>
      <c r="V53" t="str">
        <f>IF(AND(Hoja4!H52="Empresa de embarque B",Hoja4!I52="Cheque",Hoja4!J52="Cerveza"),"dale","vaaa")</f>
        <v>vaaa</v>
      </c>
      <c r="X53" t="str">
        <f>IF(OR(Hoja4!H52="Empresa de embarque B",Hoja4!I52="Cheque",Hoja4!J52="cerveza"),"dale","vaaa")</f>
        <v>dale</v>
      </c>
      <c r="Z53" t="str">
        <f>IF(NOT(OR(Hoja4!I52="Cheque",Hoja4!J52="Cerveza")),"Aprobado","No Aprobado")</f>
        <v>No Aprobado</v>
      </c>
    </row>
    <row r="54" spans="19:26" x14ac:dyDescent="0.25">
      <c r="S54" s="2" t="b">
        <f>AND(Hoja4!$P53="abril",Hoja4!$O53="Jue.")</f>
        <v>0</v>
      </c>
      <c r="T54" t="str">
        <f>IF(AND(Hoja4!H53="Empresa de embarque B",Hoja4!I53="Cheque"),"dale","vaaa")</f>
        <v>vaaa</v>
      </c>
      <c r="V54" t="str">
        <f>IF(AND(Hoja4!H53="Empresa de embarque B",Hoja4!I53="Cheque",Hoja4!J53="Cerveza"),"dale","vaaa")</f>
        <v>vaaa</v>
      </c>
      <c r="X54" t="str">
        <f>IF(OR(Hoja4!H53="Empresa de embarque B",Hoja4!I53="Cheque",Hoja4!J53="cerveza"),"dale","vaaa")</f>
        <v>dale</v>
      </c>
      <c r="Z54" t="str">
        <f>IF(NOT(OR(Hoja4!I53="Cheque",Hoja4!J53="Cerveza")),"Aprobado","No Aprobado")</f>
        <v>No Aprobado</v>
      </c>
    </row>
    <row r="55" spans="19:26" x14ac:dyDescent="0.25">
      <c r="S55" s="2" t="b">
        <f>AND(Hoja4!$P54="abril",Hoja4!$O54="Jue.")</f>
        <v>0</v>
      </c>
      <c r="T55" t="str">
        <f>IF(AND(Hoja4!H54="Empresa de embarque B",Hoja4!I54="Cheque"),"dale","vaaa")</f>
        <v>vaaa</v>
      </c>
      <c r="V55" t="str">
        <f>IF(AND(Hoja4!H54="Empresa de embarque B",Hoja4!I54="Cheque",Hoja4!J54="Cerveza"),"dale","vaaa")</f>
        <v>vaaa</v>
      </c>
      <c r="X55" t="str">
        <f>IF(OR(Hoja4!H54="Empresa de embarque B",Hoja4!I54="Cheque",Hoja4!J54="cerveza"),"dale","vaaa")</f>
        <v>dale</v>
      </c>
      <c r="Z55" t="str">
        <f>IF(NOT(OR(Hoja4!I54="Cheque",Hoja4!J54="Cerveza")),"Aprobado","No Aprobado")</f>
        <v>No Aprobado</v>
      </c>
    </row>
    <row r="56" spans="19:26" x14ac:dyDescent="0.25">
      <c r="S56" s="2" t="b">
        <f>AND(Hoja4!$P55="abril",Hoja4!$O55="Jue.")</f>
        <v>0</v>
      </c>
      <c r="T56" t="str">
        <f>IF(AND(Hoja4!H55="Empresa de embarque B",Hoja4!I55="Cheque"),"dale","vaaa")</f>
        <v>dale</v>
      </c>
      <c r="V56" t="str">
        <f>IF(AND(Hoja4!H55="Empresa de embarque B",Hoja4!I55="Cheque",Hoja4!J55="Cerveza"),"dale","vaaa")</f>
        <v>vaaa</v>
      </c>
      <c r="X56" t="str">
        <f>IF(OR(Hoja4!H55="Empresa de embarque B",Hoja4!I55="Cheque",Hoja4!J55="cerveza"),"dale","vaaa")</f>
        <v>dale</v>
      </c>
      <c r="Z56" t="str">
        <f>IF(NOT(OR(Hoja4!I55="Cheque",Hoja4!J55="Cerveza")),"Aprobado","No Aprobado")</f>
        <v>No Aprobado</v>
      </c>
    </row>
    <row r="57" spans="19:26" x14ac:dyDescent="0.25">
      <c r="S57" s="2" t="b">
        <f>AND(Hoja4!$P56="abril",Hoja4!$O56="Jue.")</f>
        <v>0</v>
      </c>
      <c r="T57" t="str">
        <f>IF(AND(Hoja4!H56="Empresa de embarque B",Hoja4!I56="Cheque"),"dale","vaaa")</f>
        <v>dale</v>
      </c>
      <c r="V57" t="str">
        <f>IF(AND(Hoja4!H56="Empresa de embarque B",Hoja4!I56="Cheque",Hoja4!J56="Cerveza"),"dale","vaaa")</f>
        <v>vaaa</v>
      </c>
      <c r="X57" t="str">
        <f>IF(OR(Hoja4!H56="Empresa de embarque B",Hoja4!I56="Cheque",Hoja4!J56="cerveza"),"dale","vaaa")</f>
        <v>dale</v>
      </c>
      <c r="Z57" t="str">
        <f>IF(NOT(OR(Hoja4!I56="Cheque",Hoja4!J56="Cerveza")),"Aprobado","No Aprobado")</f>
        <v>No Aprobado</v>
      </c>
    </row>
    <row r="58" spans="19:26" x14ac:dyDescent="0.25">
      <c r="S58" s="2" t="b">
        <f>AND(Hoja4!$P57="abril",Hoja4!$O57="Jue.")</f>
        <v>0</v>
      </c>
      <c r="T58" t="str">
        <f>IF(AND(Hoja4!H57="Empresa de embarque B",Hoja4!I57="Cheque"),"dale","vaaa")</f>
        <v>vaaa</v>
      </c>
      <c r="V58" t="str">
        <f>IF(AND(Hoja4!H57="Empresa de embarque B",Hoja4!I57="Cheque",Hoja4!J57="Cerveza"),"dale","vaaa")</f>
        <v>vaaa</v>
      </c>
      <c r="X58" t="str">
        <f>IF(OR(Hoja4!H57="Empresa de embarque B",Hoja4!I57="Cheque",Hoja4!J57="cerveza"),"dale","vaaa")</f>
        <v>vaaa</v>
      </c>
      <c r="Z58" t="str">
        <f>IF(NOT(OR(Hoja4!I57="Cheque",Hoja4!J57="Cerveza")),"Aprobado","No Aprobado")</f>
        <v>Aprobado</v>
      </c>
    </row>
    <row r="59" spans="19:26" x14ac:dyDescent="0.25">
      <c r="S59" s="2" t="b">
        <f>AND(Hoja4!$P58="abril",Hoja4!$O58="Jue.")</f>
        <v>0</v>
      </c>
      <c r="T59" t="str">
        <f>IF(AND(Hoja4!H58="Empresa de embarque B",Hoja4!I58="Cheque"),"dale","vaaa")</f>
        <v>vaaa</v>
      </c>
      <c r="V59" t="str">
        <f>IF(AND(Hoja4!H58="Empresa de embarque B",Hoja4!I58="Cheque",Hoja4!J58="Cerveza"),"dale","vaaa")</f>
        <v>vaaa</v>
      </c>
      <c r="X59" t="str">
        <f>IF(OR(Hoja4!H58="Empresa de embarque B",Hoja4!I58="Cheque",Hoja4!J58="cerveza"),"dale","vaaa")</f>
        <v>vaaa</v>
      </c>
      <c r="Z59" t="str">
        <f>IF(NOT(OR(Hoja4!I58="Cheque",Hoja4!J58="Cerveza")),"Aprobado","No Aprobado")</f>
        <v>Aprobado</v>
      </c>
    </row>
    <row r="60" spans="19:26" x14ac:dyDescent="0.25">
      <c r="S60" s="2" t="b">
        <f>AND(Hoja4!$P59="abril",Hoja4!$O59="Jue.")</f>
        <v>0</v>
      </c>
      <c r="T60" t="str">
        <f>IF(AND(Hoja4!H59="Empresa de embarque B",Hoja4!I59="Cheque"),"dale","vaaa")</f>
        <v>vaaa</v>
      </c>
      <c r="V60" t="str">
        <f>IF(AND(Hoja4!H59="Empresa de embarque B",Hoja4!I59="Cheque",Hoja4!J59="Cerveza"),"dale","vaaa")</f>
        <v>vaaa</v>
      </c>
      <c r="X60" t="str">
        <f>IF(OR(Hoja4!H59="Empresa de embarque B",Hoja4!I59="Cheque",Hoja4!J59="cerveza"),"dale","vaaa")</f>
        <v>vaaa</v>
      </c>
      <c r="Z60" t="str">
        <f>IF(NOT(OR(Hoja4!I59="Cheque",Hoja4!J59="Cerveza")),"Aprobado","No Aprobado")</f>
        <v>Aprobado</v>
      </c>
    </row>
    <row r="61" spans="19:26" x14ac:dyDescent="0.25">
      <c r="S61" s="2" t="b">
        <f>AND(Hoja4!$P60="abril",Hoja4!$O60="Jue.")</f>
        <v>0</v>
      </c>
      <c r="T61" t="str">
        <f>IF(AND(Hoja4!H60="Empresa de embarque B",Hoja4!I60="Cheque"),"dale","vaaa")</f>
        <v>vaaa</v>
      </c>
      <c r="V61" t="str">
        <f>IF(AND(Hoja4!H60="Empresa de embarque B",Hoja4!I60="Cheque",Hoja4!J60="Cerveza"),"dale","vaaa")</f>
        <v>vaaa</v>
      </c>
      <c r="X61" t="str">
        <f>IF(OR(Hoja4!H60="Empresa de embarque B",Hoja4!I60="Cheque",Hoja4!J60="cerveza"),"dale","vaaa")</f>
        <v>vaaa</v>
      </c>
      <c r="Z61" t="str">
        <f>IF(NOT(OR(Hoja4!I60="Cheque",Hoja4!J60="Cerveza")),"Aprobado","No Aprobado")</f>
        <v>Aprobado</v>
      </c>
    </row>
    <row r="62" spans="19:26" x14ac:dyDescent="0.25">
      <c r="S62" s="2" t="b">
        <f>AND(Hoja4!$P61="abril",Hoja4!$O61="Jue.")</f>
        <v>0</v>
      </c>
      <c r="T62" t="str">
        <f>IF(AND(Hoja4!H61="Empresa de embarque B",Hoja4!I61="Cheque"),"dale","vaaa")</f>
        <v>dale</v>
      </c>
      <c r="V62" t="str">
        <f>IF(AND(Hoja4!H61="Empresa de embarque B",Hoja4!I61="Cheque",Hoja4!J61="Cerveza"),"dale","vaaa")</f>
        <v>dale</v>
      </c>
      <c r="X62" t="str">
        <f>IF(OR(Hoja4!H61="Empresa de embarque B",Hoja4!I61="Cheque",Hoja4!J61="cerveza"),"dale","vaaa")</f>
        <v>dale</v>
      </c>
      <c r="Z62" t="str">
        <f>IF(NOT(OR(Hoja4!I61="Cheque",Hoja4!J61="Cerveza")),"Aprobado","No Aprobado")</f>
        <v>No Aprobado</v>
      </c>
    </row>
    <row r="63" spans="19:26" x14ac:dyDescent="0.25">
      <c r="S63" s="2" t="b">
        <f>AND(Hoja4!$P62="abril",Hoja4!$O62="Jue.")</f>
        <v>0</v>
      </c>
      <c r="T63" t="str">
        <f>IF(AND(Hoja4!H62="Empresa de embarque B",Hoja4!I62="Cheque"),"dale","vaaa")</f>
        <v>vaaa</v>
      </c>
      <c r="V63" t="str">
        <f>IF(AND(Hoja4!H62="Empresa de embarque B",Hoja4!I62="Cheque",Hoja4!J62="Cerveza"),"dale","vaaa")</f>
        <v>vaaa</v>
      </c>
      <c r="X63" t="str">
        <f>IF(OR(Hoja4!H62="Empresa de embarque B",Hoja4!I62="Cheque",Hoja4!J62="cerveza"),"dale","vaaa")</f>
        <v>dale</v>
      </c>
      <c r="Z63" t="str">
        <f>IF(NOT(OR(Hoja4!I62="Cheque",Hoja4!J62="Cerveza")),"Aprobado","No Aprobado")</f>
        <v>No Aprobado</v>
      </c>
    </row>
    <row r="64" spans="19:26" x14ac:dyDescent="0.25">
      <c r="S64" s="2" t="b">
        <f>AND(Hoja4!$P63="abril",Hoja4!$O63="Jue.")</f>
        <v>0</v>
      </c>
      <c r="T64" t="str">
        <f>IF(AND(Hoja4!H63="Empresa de embarque B",Hoja4!I63="Cheque"),"dale","vaaa")</f>
        <v>vaaa</v>
      </c>
      <c r="V64" t="str">
        <f>IF(AND(Hoja4!H63="Empresa de embarque B",Hoja4!I63="Cheque",Hoja4!J63="Cerveza"),"dale","vaaa")</f>
        <v>vaaa</v>
      </c>
      <c r="X64" t="str">
        <f>IF(OR(Hoja4!H63="Empresa de embarque B",Hoja4!I63="Cheque",Hoja4!J63="cerveza"),"dale","vaaa")</f>
        <v>vaaa</v>
      </c>
      <c r="Z64" t="str">
        <f>IF(NOT(OR(Hoja4!I63="Cheque",Hoja4!J63="Cerveza")),"Aprobado","No Aprobado")</f>
        <v>Aprobado</v>
      </c>
    </row>
    <row r="65" spans="19:26" x14ac:dyDescent="0.25">
      <c r="S65" s="2" t="b">
        <f>AND(Hoja4!$P64="abril",Hoja4!$O64="Jue.")</f>
        <v>0</v>
      </c>
      <c r="T65" t="str">
        <f>IF(AND(Hoja4!H64="Empresa de embarque B",Hoja4!I64="Cheque"),"dale","vaaa")</f>
        <v>vaaa</v>
      </c>
      <c r="V65" t="str">
        <f>IF(AND(Hoja4!H64="Empresa de embarque B",Hoja4!I64="Cheque",Hoja4!J64="Cerveza"),"dale","vaaa")</f>
        <v>vaaa</v>
      </c>
      <c r="X65" t="str">
        <f>IF(OR(Hoja4!H64="Empresa de embarque B",Hoja4!I64="Cheque",Hoja4!J64="cerveza"),"dale","vaaa")</f>
        <v>vaaa</v>
      </c>
      <c r="Z65" t="str">
        <f>IF(NOT(OR(Hoja4!I64="Cheque",Hoja4!J64="Cerveza")),"Aprobado","No Aprobado")</f>
        <v>Aprobado</v>
      </c>
    </row>
    <row r="66" spans="19:26" x14ac:dyDescent="0.25">
      <c r="S66" s="2" t="b">
        <f>AND(Hoja4!$P65="abril",Hoja4!$O65="Jue.")</f>
        <v>0</v>
      </c>
      <c r="T66" t="str">
        <f>IF(AND(Hoja4!H65="Empresa de embarque B",Hoja4!I65="Cheque"),"dale","vaaa")</f>
        <v>vaaa</v>
      </c>
      <c r="V66" t="str">
        <f>IF(AND(Hoja4!H65="Empresa de embarque B",Hoja4!I65="Cheque",Hoja4!J65="Cerveza"),"dale","vaaa")</f>
        <v>vaaa</v>
      </c>
      <c r="X66" t="str">
        <f>IF(OR(Hoja4!H65="Empresa de embarque B",Hoja4!I65="Cheque",Hoja4!J65="cerveza"),"dale","vaaa")</f>
        <v>vaaa</v>
      </c>
      <c r="Z66" t="str">
        <f>IF(NOT(OR(Hoja4!I65="Cheque",Hoja4!J65="Cerveza")),"Aprobado","No Aprobado")</f>
        <v>Aprobado</v>
      </c>
    </row>
    <row r="67" spans="19:26" x14ac:dyDescent="0.25">
      <c r="S67" s="2" t="b">
        <f>AND(Hoja4!$P66="abril",Hoja4!$O66="Jue.")</f>
        <v>0</v>
      </c>
      <c r="T67" t="str">
        <f>IF(AND(Hoja4!H66="Empresa de embarque B",Hoja4!I66="Cheque"),"dale","vaaa")</f>
        <v>vaaa</v>
      </c>
      <c r="V67" t="str">
        <f>IF(AND(Hoja4!H66="Empresa de embarque B",Hoja4!I66="Cheque",Hoja4!J66="Cerveza"),"dale","vaaa")</f>
        <v>vaaa</v>
      </c>
      <c r="X67" t="str">
        <f>IF(OR(Hoja4!H66="Empresa de embarque B",Hoja4!I66="Cheque",Hoja4!J66="cerveza"),"dale","vaaa")</f>
        <v>dale</v>
      </c>
      <c r="Z67" t="str">
        <f>IF(NOT(OR(Hoja4!I66="Cheque",Hoja4!J66="Cerveza")),"Aprobado","No Aprobado")</f>
        <v>Aprobado</v>
      </c>
    </row>
    <row r="68" spans="19:26" x14ac:dyDescent="0.25">
      <c r="S68" s="2" t="b">
        <f>AND(Hoja4!$P67="abril",Hoja4!$O67="Jue.")</f>
        <v>0</v>
      </c>
      <c r="T68" t="str">
        <f>IF(AND(Hoja4!H67="Empresa de embarque B",Hoja4!I67="Cheque"),"dale","vaaa")</f>
        <v>vaaa</v>
      </c>
      <c r="V68" t="str">
        <f>IF(AND(Hoja4!H67="Empresa de embarque B",Hoja4!I67="Cheque",Hoja4!J67="Cerveza"),"dale","vaaa")</f>
        <v>vaaa</v>
      </c>
      <c r="X68" t="str">
        <f>IF(OR(Hoja4!H67="Empresa de embarque B",Hoja4!I67="Cheque",Hoja4!J67="cerveza"),"dale","vaaa")</f>
        <v>dale</v>
      </c>
      <c r="Z68" t="str">
        <f>IF(NOT(OR(Hoja4!I67="Cheque",Hoja4!J67="Cerveza")),"Aprobado","No Aprobado")</f>
        <v>Aprobado</v>
      </c>
    </row>
    <row r="69" spans="19:26" x14ac:dyDescent="0.25">
      <c r="S69" s="2" t="b">
        <f>AND(Hoja4!$P68="abril",Hoja4!$O68="Jue.")</f>
        <v>0</v>
      </c>
      <c r="T69" t="str">
        <f>IF(AND(Hoja4!H68="Empresa de embarque B",Hoja4!I68="Cheque"),"dale","vaaa")</f>
        <v>vaaa</v>
      </c>
      <c r="V69" t="str">
        <f>IF(AND(Hoja4!H68="Empresa de embarque B",Hoja4!I68="Cheque",Hoja4!J68="Cerveza"),"dale","vaaa")</f>
        <v>vaaa</v>
      </c>
      <c r="X69" t="str">
        <f>IF(OR(Hoja4!H68="Empresa de embarque B",Hoja4!I68="Cheque",Hoja4!J68="cerveza"),"dale","vaaa")</f>
        <v>dale</v>
      </c>
      <c r="Z69" t="str">
        <f>IF(NOT(OR(Hoja4!I68="Cheque",Hoja4!J68="Cerveza")),"Aprobado","No Aprobado")</f>
        <v>Aprobado</v>
      </c>
    </row>
    <row r="70" spans="19:26" x14ac:dyDescent="0.25">
      <c r="S70" s="2" t="b">
        <f>AND(Hoja4!$P69="abril",Hoja4!$O69="Jue.")</f>
        <v>0</v>
      </c>
      <c r="T70" t="str">
        <f>IF(AND(Hoja4!H69="Empresa de embarque B",Hoja4!I69="Cheque"),"dale","vaaa")</f>
        <v>vaaa</v>
      </c>
      <c r="V70" t="str">
        <f>IF(AND(Hoja4!H69="Empresa de embarque B",Hoja4!I69="Cheque",Hoja4!J69="Cerveza"),"dale","vaaa")</f>
        <v>vaaa</v>
      </c>
      <c r="X70" t="str">
        <f>IF(OR(Hoja4!H69="Empresa de embarque B",Hoja4!I69="Cheque",Hoja4!J69="cerveza"),"dale","vaaa")</f>
        <v>vaaa</v>
      </c>
      <c r="Z70" t="str">
        <f>IF(NOT(OR(Hoja4!I69="Cheque",Hoja4!J69="Cerveza")),"Aprobado","No Aprobado")</f>
        <v>Aprobado</v>
      </c>
    </row>
    <row r="71" spans="19:26" x14ac:dyDescent="0.25">
      <c r="S71" s="2" t="b">
        <f>AND(Hoja4!$P70="abril",Hoja4!$O70="Jue.")</f>
        <v>0</v>
      </c>
      <c r="T71" t="str">
        <f>IF(AND(Hoja4!H70="Empresa de embarque B",Hoja4!I70="Cheque"),"dale","vaaa")</f>
        <v>vaaa</v>
      </c>
      <c r="V71" t="str">
        <f>IF(AND(Hoja4!H70="Empresa de embarque B",Hoja4!I70="Cheque",Hoja4!J70="Cerveza"),"dale","vaaa")</f>
        <v>vaaa</v>
      </c>
      <c r="X71" t="str">
        <f>IF(OR(Hoja4!H70="Empresa de embarque B",Hoja4!I70="Cheque",Hoja4!J70="cerveza"),"dale","vaaa")</f>
        <v>vaaa</v>
      </c>
      <c r="Z71" t="str">
        <f>IF(NOT(OR(Hoja4!I70="Cheque",Hoja4!J70="Cerveza")),"Aprobado","No Aprobado")</f>
        <v>Aprobado</v>
      </c>
    </row>
    <row r="72" spans="19:26" x14ac:dyDescent="0.25">
      <c r="S72" s="2" t="b">
        <f>AND(Hoja4!$P71="abril",Hoja4!$O71="Jue.")</f>
        <v>0</v>
      </c>
      <c r="T72" t="str">
        <f>IF(AND(Hoja4!H71="Empresa de embarque B",Hoja4!I71="Cheque"),"dale","vaaa")</f>
        <v>vaaa</v>
      </c>
      <c r="V72" t="str">
        <f>IF(AND(Hoja4!H71="Empresa de embarque B",Hoja4!I71="Cheque",Hoja4!J71="Cerveza"),"dale","vaaa")</f>
        <v>vaaa</v>
      </c>
      <c r="X72" t="str">
        <f>IF(OR(Hoja4!H71="Empresa de embarque B",Hoja4!I71="Cheque",Hoja4!J71="cerveza"),"dale","vaaa")</f>
        <v>vaaa</v>
      </c>
      <c r="Z72" t="str">
        <f>IF(NOT(OR(Hoja4!I71="Cheque",Hoja4!J71="Cerveza")),"Aprobado","No Aprobado")</f>
        <v>Aprobado</v>
      </c>
    </row>
    <row r="73" spans="19:26" x14ac:dyDescent="0.25">
      <c r="S73" s="2" t="b">
        <f>AND(Hoja4!$P72="abril",Hoja4!$O72="Jue.")</f>
        <v>0</v>
      </c>
      <c r="T73" t="str">
        <f>IF(AND(Hoja4!H72="Empresa de embarque B",Hoja4!I72="Cheque"),"dale","vaaa")</f>
        <v>vaaa</v>
      </c>
      <c r="V73" t="str">
        <f>IF(AND(Hoja4!H72="Empresa de embarque B",Hoja4!I72="Cheque",Hoja4!J72="Cerveza"),"dale","vaaa")</f>
        <v>vaaa</v>
      </c>
      <c r="X73" t="str">
        <f>IF(OR(Hoja4!H72="Empresa de embarque B",Hoja4!I72="Cheque",Hoja4!J72="cerveza"),"dale","vaaa")</f>
        <v>vaaa</v>
      </c>
      <c r="Z73" t="str">
        <f>IF(NOT(OR(Hoja4!I72="Cheque",Hoja4!J72="Cerveza")),"Aprobado","No Aprobado")</f>
        <v>Aprobado</v>
      </c>
    </row>
    <row r="74" spans="19:26" x14ac:dyDescent="0.25">
      <c r="S74" s="2" t="b">
        <f>AND(Hoja4!$P73="abril",Hoja4!$O73="Jue.")</f>
        <v>0</v>
      </c>
      <c r="T74" t="str">
        <f>IF(AND(Hoja4!H73="Empresa de embarque B",Hoja4!I73="Cheque"),"dale","vaaa")</f>
        <v>vaaa</v>
      </c>
      <c r="V74" t="str">
        <f>IF(AND(Hoja4!H73="Empresa de embarque B",Hoja4!I73="Cheque",Hoja4!J73="Cerveza"),"dale","vaaa")</f>
        <v>vaaa</v>
      </c>
      <c r="X74" t="str">
        <f>IF(OR(Hoja4!H73="Empresa de embarque B",Hoja4!I73="Cheque",Hoja4!J73="cerveza"),"dale","vaaa")</f>
        <v>vaaa</v>
      </c>
      <c r="Z74" t="str">
        <f>IF(NOT(OR(Hoja4!I73="Cheque",Hoja4!J73="Cerveza")),"Aprobado","No Aprobado")</f>
        <v>Aprobado</v>
      </c>
    </row>
    <row r="75" spans="19:26" x14ac:dyDescent="0.25">
      <c r="S75" s="2" t="b">
        <f>AND(Hoja4!$P74="abril",Hoja4!$O74="Jue.")</f>
        <v>0</v>
      </c>
      <c r="T75" t="str">
        <f>IF(AND(Hoja4!H74="Empresa de embarque B",Hoja4!I74="Cheque"),"dale","vaaa")</f>
        <v>vaaa</v>
      </c>
      <c r="V75" t="str">
        <f>IF(AND(Hoja4!H74="Empresa de embarque B",Hoja4!I74="Cheque",Hoja4!J74="Cerveza"),"dale","vaaa")</f>
        <v>vaaa</v>
      </c>
      <c r="X75" t="str">
        <f>IF(OR(Hoja4!H74="Empresa de embarque B",Hoja4!I74="Cheque",Hoja4!J74="cerveza"),"dale","vaaa")</f>
        <v>dale</v>
      </c>
      <c r="Z75" t="str">
        <f>IF(NOT(OR(Hoja4!I74="Cheque",Hoja4!J74="Cerveza")),"Aprobado","No Aprobado")</f>
        <v>Aprobado</v>
      </c>
    </row>
    <row r="76" spans="19:26" x14ac:dyDescent="0.25">
      <c r="S76" s="2" t="b">
        <f>AND(Hoja4!$P75="abril",Hoja4!$O75="Jue.")</f>
        <v>0</v>
      </c>
      <c r="T76" t="str">
        <f>IF(AND(Hoja4!H75="Empresa de embarque B",Hoja4!I75="Cheque"),"dale","vaaa")</f>
        <v>vaaa</v>
      </c>
      <c r="V76" t="str">
        <f>IF(AND(Hoja4!H75="Empresa de embarque B",Hoja4!I75="Cheque",Hoja4!J75="Cerveza"),"dale","vaaa")</f>
        <v>vaaa</v>
      </c>
      <c r="X76" t="str">
        <f>IF(OR(Hoja4!H75="Empresa de embarque B",Hoja4!I75="Cheque",Hoja4!J75="cerveza"),"dale","vaaa")</f>
        <v>dale</v>
      </c>
      <c r="Z76" t="str">
        <f>IF(NOT(OR(Hoja4!I75="Cheque",Hoja4!J75="Cerveza")),"Aprobado","No Aprobado")</f>
        <v>Aprobado</v>
      </c>
    </row>
    <row r="77" spans="19:26" x14ac:dyDescent="0.25">
      <c r="S77" s="2" t="b">
        <f>AND(Hoja4!$P76="abril",Hoja4!$O76="Jue.")</f>
        <v>0</v>
      </c>
      <c r="T77" t="str">
        <f>IF(AND(Hoja4!H76="Empresa de embarque B",Hoja4!I76="Cheque"),"dale","vaaa")</f>
        <v>vaaa</v>
      </c>
      <c r="V77" t="str">
        <f>IF(AND(Hoja4!H76="Empresa de embarque B",Hoja4!I76="Cheque",Hoja4!J76="Cerveza"),"dale","vaaa")</f>
        <v>vaaa</v>
      </c>
      <c r="X77" t="str">
        <f>IF(OR(Hoja4!H76="Empresa de embarque B",Hoja4!I76="Cheque",Hoja4!J76="cerveza"),"dale","vaaa")</f>
        <v>vaaa</v>
      </c>
      <c r="Z77" t="str">
        <f>IF(NOT(OR(Hoja4!I76="Cheque",Hoja4!J76="Cerveza")),"Aprobado","No Aprobado")</f>
        <v>Aprobado</v>
      </c>
    </row>
    <row r="78" spans="19:26" x14ac:dyDescent="0.25">
      <c r="S78" s="2" t="b">
        <f>AND(Hoja4!$P77="abril",Hoja4!$O77="Jue.")</f>
        <v>0</v>
      </c>
      <c r="T78" t="str">
        <f>IF(AND(Hoja4!H77="Empresa de embarque B",Hoja4!I77="Cheque"),"dale","vaaa")</f>
        <v>vaaa</v>
      </c>
      <c r="V78" t="str">
        <f>IF(AND(Hoja4!H77="Empresa de embarque B",Hoja4!I77="Cheque",Hoja4!J77="Cerveza"),"dale","vaaa")</f>
        <v>vaaa</v>
      </c>
      <c r="X78" t="str">
        <f>IF(OR(Hoja4!H77="Empresa de embarque B",Hoja4!I77="Cheque",Hoja4!J77="cerveza"),"dale","vaaa")</f>
        <v>dale</v>
      </c>
      <c r="Z78" t="str">
        <f>IF(NOT(OR(Hoja4!I77="Cheque",Hoja4!J77="Cerveza")),"Aprobado","No Aprobado")</f>
        <v>No Aprobado</v>
      </c>
    </row>
    <row r="79" spans="19:26" x14ac:dyDescent="0.25">
      <c r="S79" s="2" t="b">
        <f>AND(Hoja4!$P78="abril",Hoja4!$O78="Jue.")</f>
        <v>0</v>
      </c>
      <c r="T79" t="str">
        <f>IF(AND(Hoja4!H78="Empresa de embarque B",Hoja4!I78="Cheque"),"dale","vaaa")</f>
        <v>dale</v>
      </c>
      <c r="V79" t="str">
        <f>IF(AND(Hoja4!H78="Empresa de embarque B",Hoja4!I78="Cheque",Hoja4!J78="Cerveza"),"dale","vaaa")</f>
        <v>vaaa</v>
      </c>
      <c r="X79" t="str">
        <f>IF(OR(Hoja4!H78="Empresa de embarque B",Hoja4!I78="Cheque",Hoja4!J78="cerveza"),"dale","vaaa")</f>
        <v>dale</v>
      </c>
      <c r="Z79" t="str">
        <f>IF(NOT(OR(Hoja4!I78="Cheque",Hoja4!J78="Cerveza")),"Aprobado","No Aprobado")</f>
        <v>No Aprobado</v>
      </c>
    </row>
    <row r="80" spans="19:26" x14ac:dyDescent="0.25">
      <c r="S80" s="2" t="b">
        <f>AND(Hoja4!$P79="abril",Hoja4!$O79="Jue.")</f>
        <v>0</v>
      </c>
      <c r="T80" t="str">
        <f>IF(AND(Hoja4!H79="Empresa de embarque B",Hoja4!I79="Cheque"),"dale","vaaa")</f>
        <v>vaaa</v>
      </c>
      <c r="V80" t="str">
        <f>IF(AND(Hoja4!H79="Empresa de embarque B",Hoja4!I79="Cheque",Hoja4!J79="Cerveza"),"dale","vaaa")</f>
        <v>vaaa</v>
      </c>
      <c r="X80" t="str">
        <f>IF(OR(Hoja4!H79="Empresa de embarque B",Hoja4!I79="Cheque",Hoja4!J79="cerveza"),"dale","vaaa")</f>
        <v>dale</v>
      </c>
      <c r="Z80" t="str">
        <f>IF(NOT(OR(Hoja4!I79="Cheque",Hoja4!J79="Cerveza")),"Aprobado","No Aprobado")</f>
        <v>Aprobado</v>
      </c>
    </row>
    <row r="81" spans="19:26" x14ac:dyDescent="0.25">
      <c r="S81" s="2" t="b">
        <f>AND(Hoja4!$P80="abril",Hoja4!$O80="Jue.")</f>
        <v>0</v>
      </c>
      <c r="T81" t="str">
        <f>IF(AND(Hoja4!H80="Empresa de embarque B",Hoja4!I80="Cheque"),"dale","vaaa")</f>
        <v>vaaa</v>
      </c>
      <c r="V81" t="str">
        <f>IF(AND(Hoja4!H80="Empresa de embarque B",Hoja4!I80="Cheque",Hoja4!J80="Cerveza"),"dale","vaaa")</f>
        <v>vaaa</v>
      </c>
      <c r="X81" t="str">
        <f>IF(OR(Hoja4!H80="Empresa de embarque B",Hoja4!I80="Cheque",Hoja4!J80="cerveza"),"dale","vaaa")</f>
        <v>dale</v>
      </c>
      <c r="Z81" t="str">
        <f>IF(NOT(OR(Hoja4!I80="Cheque",Hoja4!J80="Cerveza")),"Aprobado","No Aprobado")</f>
        <v>Aprobado</v>
      </c>
    </row>
    <row r="82" spans="19:26" x14ac:dyDescent="0.25">
      <c r="S82" s="2" t="b">
        <f>AND(Hoja4!$P81="abril",Hoja4!$O81="Jue.")</f>
        <v>0</v>
      </c>
      <c r="T82" t="str">
        <f>IF(AND(Hoja4!H81="Empresa de embarque B",Hoja4!I81="Cheque"),"dale","vaaa")</f>
        <v>vaaa</v>
      </c>
      <c r="V82" t="str">
        <f>IF(AND(Hoja4!H81="Empresa de embarque B",Hoja4!I81="Cheque",Hoja4!J81="Cerveza"),"dale","vaaa")</f>
        <v>vaaa</v>
      </c>
      <c r="X82" t="str">
        <f>IF(OR(Hoja4!H81="Empresa de embarque B",Hoja4!I81="Cheque",Hoja4!J81="cerveza"),"dale","vaaa")</f>
        <v>dale</v>
      </c>
      <c r="Z82" t="str">
        <f>IF(NOT(OR(Hoja4!I81="Cheque",Hoja4!J81="Cerveza")),"Aprobado","No Aprobado")</f>
        <v>No Aprobado</v>
      </c>
    </row>
    <row r="83" spans="19:26" x14ac:dyDescent="0.25">
      <c r="S83" s="2" t="b">
        <f>AND(Hoja4!$P82="abril",Hoja4!$O82="Jue.")</f>
        <v>0</v>
      </c>
      <c r="T83" t="str">
        <f>IF(AND(Hoja4!H82="Empresa de embarque B",Hoja4!I82="Cheque"),"dale","vaaa")</f>
        <v>vaaa</v>
      </c>
      <c r="V83" t="str">
        <f>IF(AND(Hoja4!H82="Empresa de embarque B",Hoja4!I82="Cheque",Hoja4!J82="Cerveza"),"dale","vaaa")</f>
        <v>vaaa</v>
      </c>
      <c r="X83" t="str">
        <f>IF(OR(Hoja4!H82="Empresa de embarque B",Hoja4!I82="Cheque",Hoja4!J82="cerveza"),"dale","vaaa")</f>
        <v>dale</v>
      </c>
      <c r="Z83" t="str">
        <f>IF(NOT(OR(Hoja4!I82="Cheque",Hoja4!J82="Cerveza")),"Aprobado","No Aprobado")</f>
        <v>No Aprobado</v>
      </c>
    </row>
    <row r="84" spans="19:26" x14ac:dyDescent="0.25">
      <c r="S84" s="2" t="b">
        <f>AND(Hoja4!$P83="abril",Hoja4!$O83="Jue.")</f>
        <v>0</v>
      </c>
      <c r="T84" t="str">
        <f>IF(AND(Hoja4!H83="Empresa de embarque B",Hoja4!I83="Cheque"),"dale","vaaa")</f>
        <v>vaaa</v>
      </c>
      <c r="V84" t="str">
        <f>IF(AND(Hoja4!H83="Empresa de embarque B",Hoja4!I83="Cheque",Hoja4!J83="Cerveza"),"dale","vaaa")</f>
        <v>vaaa</v>
      </c>
      <c r="X84" t="str">
        <f>IF(OR(Hoja4!H83="Empresa de embarque B",Hoja4!I83="Cheque",Hoja4!J83="cerveza"),"dale","vaaa")</f>
        <v>dale</v>
      </c>
      <c r="Z84" t="str">
        <f>IF(NOT(OR(Hoja4!I83="Cheque",Hoja4!J83="Cerveza")),"Aprobado","No Aprobado")</f>
        <v>Aprobado</v>
      </c>
    </row>
    <row r="85" spans="19:26" x14ac:dyDescent="0.25">
      <c r="S85" s="2" t="b">
        <f>AND(Hoja4!$P84="abril",Hoja4!$O84="Jue.")</f>
        <v>0</v>
      </c>
      <c r="T85" t="str">
        <f>IF(AND(Hoja4!H84="Empresa de embarque B",Hoja4!I84="Cheque"),"dale","vaaa")</f>
        <v>vaaa</v>
      </c>
      <c r="V85" t="str">
        <f>IF(AND(Hoja4!H84="Empresa de embarque B",Hoja4!I84="Cheque",Hoja4!J84="Cerveza"),"dale","vaaa")</f>
        <v>vaaa</v>
      </c>
      <c r="X85" t="str">
        <f>IF(OR(Hoja4!H84="Empresa de embarque B",Hoja4!I84="Cheque",Hoja4!J84="cerveza"),"dale","vaaa")</f>
        <v>vaaa</v>
      </c>
      <c r="Z85" t="str">
        <f>IF(NOT(OR(Hoja4!I84="Cheque",Hoja4!J84="Cerveza")),"Aprobado","No Aprobado")</f>
        <v>Aprobado</v>
      </c>
    </row>
    <row r="86" spans="19:26" x14ac:dyDescent="0.25">
      <c r="S86" s="2" t="b">
        <f>AND(Hoja4!$P85="abril",Hoja4!$O85="Jue.")</f>
        <v>0</v>
      </c>
      <c r="T86" t="str">
        <f>IF(AND(Hoja4!H85="Empresa de embarque B",Hoja4!I85="Cheque"),"dale","vaaa")</f>
        <v>vaaa</v>
      </c>
      <c r="V86" t="str">
        <f>IF(AND(Hoja4!H85="Empresa de embarque B",Hoja4!I85="Cheque",Hoja4!J85="Cerveza"),"dale","vaaa")</f>
        <v>vaaa</v>
      </c>
      <c r="X86" t="str">
        <f>IF(OR(Hoja4!H85="Empresa de embarque B",Hoja4!I85="Cheque",Hoja4!J85="cerveza"),"dale","vaaa")</f>
        <v>vaaa</v>
      </c>
      <c r="Z86" t="str">
        <f>IF(NOT(OR(Hoja4!I85="Cheque",Hoja4!J85="Cerveza")),"Aprobado","No Aprobado")</f>
        <v>Aprobado</v>
      </c>
    </row>
    <row r="87" spans="19:26" x14ac:dyDescent="0.25">
      <c r="S87" s="2" t="b">
        <f>AND(Hoja4!$P86="abril",Hoja4!$O86="Jue.")</f>
        <v>0</v>
      </c>
      <c r="T87" t="str">
        <f>IF(AND(Hoja4!H86="Empresa de embarque B",Hoja4!I86="Cheque"),"dale","vaaa")</f>
        <v>vaaa</v>
      </c>
      <c r="V87" t="str">
        <f>IF(AND(Hoja4!H86="Empresa de embarque B",Hoja4!I86="Cheque",Hoja4!J86="Cerveza"),"dale","vaaa")</f>
        <v>vaaa</v>
      </c>
      <c r="X87" t="str">
        <f>IF(OR(Hoja4!H86="Empresa de embarque B",Hoja4!I86="Cheque",Hoja4!J86="cerveza"),"dale","vaaa")</f>
        <v>vaaa</v>
      </c>
      <c r="Z87" t="str">
        <f>IF(NOT(OR(Hoja4!I86="Cheque",Hoja4!J86="Cerveza")),"Aprobado","No Aprobado")</f>
        <v>Aprobado</v>
      </c>
    </row>
    <row r="88" spans="19:26" x14ac:dyDescent="0.25">
      <c r="S88" s="2" t="b">
        <f>AND(Hoja4!$P87="abril",Hoja4!$O87="Jue.")</f>
        <v>0</v>
      </c>
      <c r="T88" t="str">
        <f>IF(AND(Hoja4!H87="Empresa de embarque B",Hoja4!I87="Cheque"),"dale","vaaa")</f>
        <v>vaaa</v>
      </c>
      <c r="V88" t="str">
        <f>IF(AND(Hoja4!H87="Empresa de embarque B",Hoja4!I87="Cheque",Hoja4!J87="Cerveza"),"dale","vaaa")</f>
        <v>vaaa</v>
      </c>
      <c r="X88" t="str">
        <f>IF(OR(Hoja4!H87="Empresa de embarque B",Hoja4!I87="Cheque",Hoja4!J87="cerveza"),"dale","vaaa")</f>
        <v>vaaa</v>
      </c>
      <c r="Z88" t="str">
        <f>IF(NOT(OR(Hoja4!I87="Cheque",Hoja4!J87="Cerveza")),"Aprobado","No Aprobado")</f>
        <v>Aprobado</v>
      </c>
    </row>
    <row r="89" spans="19:26" x14ac:dyDescent="0.25">
      <c r="S89" s="2" t="b">
        <f>AND(Hoja4!$P88="abril",Hoja4!$O88="Jue.")</f>
        <v>0</v>
      </c>
      <c r="T89" t="str">
        <f>IF(AND(Hoja4!H88="Empresa de embarque B",Hoja4!I88="Cheque"),"dale","vaaa")</f>
        <v>vaaa</v>
      </c>
      <c r="V89" t="str">
        <f>IF(AND(Hoja4!H88="Empresa de embarque B",Hoja4!I88="Cheque",Hoja4!J88="Cerveza"),"dale","vaaa")</f>
        <v>vaaa</v>
      </c>
      <c r="X89" t="str">
        <f>IF(OR(Hoja4!H88="Empresa de embarque B",Hoja4!I88="Cheque",Hoja4!J88="cerveza"),"dale","vaaa")</f>
        <v>vaaa</v>
      </c>
      <c r="Z89" t="str">
        <f>IF(NOT(OR(Hoja4!I88="Cheque",Hoja4!J88="Cerveza")),"Aprobado","No Aprobado")</f>
        <v>Aprobado</v>
      </c>
    </row>
    <row r="90" spans="19:26" x14ac:dyDescent="0.25">
      <c r="S90" s="2" t="b">
        <f>AND(Hoja4!$P89="abril",Hoja4!$O89="Jue.")</f>
        <v>0</v>
      </c>
      <c r="T90" t="str">
        <f>IF(AND(Hoja4!H89="Empresa de embarque B",Hoja4!I89="Cheque"),"dale","vaaa")</f>
        <v>vaaa</v>
      </c>
      <c r="V90" t="str">
        <f>IF(AND(Hoja4!H89="Empresa de embarque B",Hoja4!I89="Cheque",Hoja4!J89="Cerveza"),"dale","vaaa")</f>
        <v>vaaa</v>
      </c>
      <c r="X90" t="str">
        <f>IF(OR(Hoja4!H89="Empresa de embarque B",Hoja4!I89="Cheque",Hoja4!J89="cerveza"),"dale","vaaa")</f>
        <v>vaaa</v>
      </c>
      <c r="Z90" t="str">
        <f>IF(NOT(OR(Hoja4!I89="Cheque",Hoja4!J89="Cerveza")),"Aprobado","No Aprobado")</f>
        <v>Aprobado</v>
      </c>
    </row>
    <row r="91" spans="19:26" x14ac:dyDescent="0.25">
      <c r="S91" s="2" t="b">
        <f>AND(Hoja4!$P90="abril",Hoja4!$O90="Jue.")</f>
        <v>0</v>
      </c>
      <c r="T91" t="str">
        <f>IF(AND(Hoja4!H90="Empresa de embarque B",Hoja4!I90="Cheque"),"dale","vaaa")</f>
        <v>vaaa</v>
      </c>
      <c r="V91" t="str">
        <f>IF(AND(Hoja4!H90="Empresa de embarque B",Hoja4!I90="Cheque",Hoja4!J90="Cerveza"),"dale","vaaa")</f>
        <v>vaaa</v>
      </c>
      <c r="X91" t="str">
        <f>IF(OR(Hoja4!H90="Empresa de embarque B",Hoja4!I90="Cheque",Hoja4!J90="cerveza"),"dale","vaaa")</f>
        <v>vaaa</v>
      </c>
      <c r="Z91" t="str">
        <f>IF(NOT(OR(Hoja4!I90="Cheque",Hoja4!J90="Cerveza")),"Aprobado","No Aprobado")</f>
        <v>Aprobado</v>
      </c>
    </row>
    <row r="92" spans="19:26" x14ac:dyDescent="0.25">
      <c r="S92" s="2" t="b">
        <f>AND(Hoja4!$P91="abril",Hoja4!$O91="Jue.")</f>
        <v>0</v>
      </c>
      <c r="T92" t="str">
        <f>IF(AND(Hoja4!H91="Empresa de embarque B",Hoja4!I91="Cheque"),"dale","vaaa")</f>
        <v>dale</v>
      </c>
      <c r="V92" t="str">
        <f>IF(AND(Hoja4!H91="Empresa de embarque B",Hoja4!I91="Cheque",Hoja4!J91="Cerveza"),"dale","vaaa")</f>
        <v>vaaa</v>
      </c>
      <c r="X92" t="str">
        <f>IF(OR(Hoja4!H91="Empresa de embarque B",Hoja4!I91="Cheque",Hoja4!J91="cerveza"),"dale","vaaa")</f>
        <v>dale</v>
      </c>
      <c r="Z92" t="str">
        <f>IF(NOT(OR(Hoja4!I91="Cheque",Hoja4!J91="Cerveza")),"Aprobado","No Aprobado")</f>
        <v>No Aprobado</v>
      </c>
    </row>
    <row r="93" spans="19:26" x14ac:dyDescent="0.25">
      <c r="S93" s="2" t="b">
        <f>AND(Hoja4!$P92="abril",Hoja4!$O92="Jue.")</f>
        <v>0</v>
      </c>
      <c r="T93" t="str">
        <f>IF(AND(Hoja4!H92="Empresa de embarque B",Hoja4!I92="Cheque"),"dale","vaaa")</f>
        <v>vaaa</v>
      </c>
      <c r="V93" t="str">
        <f>IF(AND(Hoja4!H92="Empresa de embarque B",Hoja4!I92="Cheque",Hoja4!J92="Cerveza"),"dale","vaaa")</f>
        <v>vaaa</v>
      </c>
      <c r="X93" t="str">
        <f>IF(OR(Hoja4!H92="Empresa de embarque B",Hoja4!I92="Cheque",Hoja4!J92="cerveza"),"dale","vaaa")</f>
        <v>dale</v>
      </c>
      <c r="Z93" t="str">
        <f>IF(NOT(OR(Hoja4!I92="Cheque",Hoja4!J92="Cerveza")),"Aprobado","No Aprobado")</f>
        <v>Aprobado</v>
      </c>
    </row>
    <row r="94" spans="19:26" x14ac:dyDescent="0.25">
      <c r="S94" s="2" t="b">
        <f>AND(Hoja4!$P93="abril",Hoja4!$O93="Jue.")</f>
        <v>0</v>
      </c>
      <c r="T94" t="str">
        <f>IF(AND(Hoja4!H93="Empresa de embarque B",Hoja4!I93="Cheque"),"dale","vaaa")</f>
        <v>vaaa</v>
      </c>
      <c r="V94" t="str">
        <f>IF(AND(Hoja4!H93="Empresa de embarque B",Hoja4!I93="Cheque",Hoja4!J93="Cerveza"),"dale","vaaa")</f>
        <v>vaaa</v>
      </c>
      <c r="X94" t="str">
        <f>IF(OR(Hoja4!H93="Empresa de embarque B",Hoja4!I93="Cheque",Hoja4!J93="cerveza"),"dale","vaaa")</f>
        <v>dale</v>
      </c>
      <c r="Z94" t="str">
        <f>IF(NOT(OR(Hoja4!I93="Cheque",Hoja4!J93="Cerveza")),"Aprobado","No Aprobado")</f>
        <v>Aprobado</v>
      </c>
    </row>
    <row r="95" spans="19:26" x14ac:dyDescent="0.25">
      <c r="S95" s="2" t="b">
        <f>AND(Hoja4!$P94="abril",Hoja4!$O94="Jue.")</f>
        <v>0</v>
      </c>
      <c r="T95" t="str">
        <f>IF(AND(Hoja4!H94="Empresa de embarque B",Hoja4!I94="Cheque"),"dale","vaaa")</f>
        <v>vaaa</v>
      </c>
      <c r="V95" t="str">
        <f>IF(AND(Hoja4!H94="Empresa de embarque B",Hoja4!I94="Cheque",Hoja4!J94="Cerveza"),"dale","vaaa")</f>
        <v>vaaa</v>
      </c>
      <c r="X95" t="str">
        <f>IF(OR(Hoja4!H94="Empresa de embarque B",Hoja4!I94="Cheque",Hoja4!J94="cerveza"),"dale","vaaa")</f>
        <v>dale</v>
      </c>
      <c r="Z95" t="str">
        <f>IF(NOT(OR(Hoja4!I94="Cheque",Hoja4!J94="Cerveza")),"Aprobado","No Aprobado")</f>
        <v>No Aprobado</v>
      </c>
    </row>
    <row r="96" spans="19:26" x14ac:dyDescent="0.25">
      <c r="S96" s="2" t="b">
        <f>AND(Hoja4!$P95="abril",Hoja4!$O95="Jue.")</f>
        <v>0</v>
      </c>
      <c r="T96" t="str">
        <f>IF(AND(Hoja4!H95="Empresa de embarque B",Hoja4!I95="Cheque"),"dale","vaaa")</f>
        <v>vaaa</v>
      </c>
      <c r="V96" t="str">
        <f>IF(AND(Hoja4!H95="Empresa de embarque B",Hoja4!I95="Cheque",Hoja4!J95="Cerveza"),"dale","vaaa")</f>
        <v>vaaa</v>
      </c>
      <c r="X96" t="str">
        <f>IF(OR(Hoja4!H95="Empresa de embarque B",Hoja4!I95="Cheque",Hoja4!J95="cerveza"),"dale","vaaa")</f>
        <v>dale</v>
      </c>
      <c r="Z96" t="str">
        <f>IF(NOT(OR(Hoja4!I95="Cheque",Hoja4!J95="Cerveza")),"Aprobado","No Aprobado")</f>
        <v>No Aprobado</v>
      </c>
    </row>
    <row r="97" spans="19:26" x14ac:dyDescent="0.25">
      <c r="S97" s="2" t="b">
        <f>AND(Hoja4!$P96="abril",Hoja4!$O96="Jue.")</f>
        <v>1</v>
      </c>
      <c r="T97" t="str">
        <f>IF(AND(Hoja4!H96="Empresa de embarque B",Hoja4!I96="Cheque"),"dale","vaaa")</f>
        <v>vaaa</v>
      </c>
      <c r="V97" t="str">
        <f>IF(AND(Hoja4!H96="Empresa de embarque B",Hoja4!I96="Cheque",Hoja4!J96="Cerveza"),"dale","vaaa")</f>
        <v>vaaa</v>
      </c>
      <c r="X97" t="str">
        <f>IF(OR(Hoja4!H96="Empresa de embarque B",Hoja4!I96="Cheque",Hoja4!J96="cerveza"),"dale","vaaa")</f>
        <v>dale</v>
      </c>
      <c r="Z97" t="str">
        <f>IF(NOT(OR(Hoja4!I96="Cheque",Hoja4!J96="Cerveza")),"Aprobado","No Aprobado")</f>
        <v>Aprobado</v>
      </c>
    </row>
    <row r="98" spans="19:26" x14ac:dyDescent="0.25">
      <c r="S98" s="2" t="b">
        <f>AND(Hoja4!$P97="abril",Hoja4!$O97="Jue.")</f>
        <v>1</v>
      </c>
      <c r="T98" t="str">
        <f>IF(AND(Hoja4!H97="Empresa de embarque B",Hoja4!I97="Cheque"),"dale","vaaa")</f>
        <v>vaaa</v>
      </c>
      <c r="V98" t="str">
        <f>IF(AND(Hoja4!H97="Empresa de embarque B",Hoja4!I97="Cheque",Hoja4!J97="Cerveza"),"dale","vaaa")</f>
        <v>vaaa</v>
      </c>
      <c r="X98" t="str">
        <f>IF(OR(Hoja4!H97="Empresa de embarque B",Hoja4!I97="Cheque",Hoja4!J97="cerveza"),"dale","vaaa")</f>
        <v>vaaa</v>
      </c>
      <c r="Z98" t="str">
        <f>IF(NOT(OR(Hoja4!I97="Cheque",Hoja4!J97="Cerveza")),"Aprobado","No Aprobado")</f>
        <v>Aprobado</v>
      </c>
    </row>
    <row r="99" spans="19:26" x14ac:dyDescent="0.25">
      <c r="S99" s="2" t="b">
        <f>AND(Hoja4!$P98="abril",Hoja4!$O98="Jue.")</f>
        <v>0</v>
      </c>
      <c r="T99" t="str">
        <f>IF(AND(Hoja4!H98="Empresa de embarque B",Hoja4!I98="Cheque"),"dale","vaaa")</f>
        <v>vaaa</v>
      </c>
      <c r="V99" t="str">
        <f>IF(AND(Hoja4!H98="Empresa de embarque B",Hoja4!I98="Cheque",Hoja4!J98="Cerveza"),"dale","vaaa")</f>
        <v>vaaa</v>
      </c>
      <c r="X99" t="str">
        <f>IF(OR(Hoja4!H98="Empresa de embarque B",Hoja4!I98="Cheque",Hoja4!J98="cerveza"),"dale","vaaa")</f>
        <v>vaaa</v>
      </c>
      <c r="Z99" t="str">
        <f>IF(NOT(OR(Hoja4!I98="Cheque",Hoja4!J98="Cerveza")),"Aprobado","No Aprobado")</f>
        <v>Aprobado</v>
      </c>
    </row>
    <row r="100" spans="19:26" x14ac:dyDescent="0.25">
      <c r="S100" s="2" t="b">
        <f>AND(Hoja4!$P99="abril",Hoja4!$O99="Jue.")</f>
        <v>0</v>
      </c>
      <c r="T100" t="str">
        <f>IF(AND(Hoja4!H99="Empresa de embarque B",Hoja4!I99="Cheque"),"dale","vaaa")</f>
        <v>vaaa</v>
      </c>
      <c r="V100" t="str">
        <f>IF(AND(Hoja4!H99="Empresa de embarque B",Hoja4!I99="Cheque",Hoja4!J99="Cerveza"),"dale","vaaa")</f>
        <v>vaaa</v>
      </c>
      <c r="X100" t="str">
        <f>IF(OR(Hoja4!H99="Empresa de embarque B",Hoja4!I99="Cheque",Hoja4!J99="cerveza"),"dale","vaaa")</f>
        <v>vaaa</v>
      </c>
      <c r="Z100" t="str">
        <f>IF(NOT(OR(Hoja4!I99="Cheque",Hoja4!J99="Cerveza")),"Aprobado","No Aprobado")</f>
        <v>Aprobado</v>
      </c>
    </row>
    <row r="101" spans="19:26" x14ac:dyDescent="0.25">
      <c r="S101" s="2" t="b">
        <f>AND(Hoja4!$P100="abril",Hoja4!$O100="Jue.")</f>
        <v>0</v>
      </c>
      <c r="T101" t="str">
        <f>IF(AND(Hoja4!H100="Empresa de embarque B",Hoja4!I100="Cheque"),"dale","vaaa")</f>
        <v>vaaa</v>
      </c>
      <c r="V101" t="str">
        <f>IF(AND(Hoja4!H100="Empresa de embarque B",Hoja4!I100="Cheque",Hoja4!J100="Cerveza"),"dale","vaaa")</f>
        <v>vaaa</v>
      </c>
      <c r="X101" t="str">
        <f>IF(OR(Hoja4!H100="Empresa de embarque B",Hoja4!I100="Cheque",Hoja4!J100="cerveza"),"dale","vaaa")</f>
        <v>vaaa</v>
      </c>
      <c r="Z101" t="str">
        <f>IF(NOT(OR(Hoja4!I100="Cheque",Hoja4!J100="Cerveza")),"Aprobado","No Aprobado")</f>
        <v>Aprobado</v>
      </c>
    </row>
    <row r="102" spans="19:26" x14ac:dyDescent="0.25">
      <c r="S102" s="2" t="b">
        <f>AND(Hoja4!$P101="abril",Hoja4!$O101="Jue.")</f>
        <v>0</v>
      </c>
      <c r="T102" t="str">
        <f>IF(AND(Hoja4!H101="Empresa de embarque B",Hoja4!I101="Cheque"),"dale","vaaa")</f>
        <v>vaaa</v>
      </c>
      <c r="V102" t="str">
        <f>IF(AND(Hoja4!H101="Empresa de embarque B",Hoja4!I101="Cheque",Hoja4!J101="Cerveza"),"dale","vaaa")</f>
        <v>vaaa</v>
      </c>
      <c r="X102" t="str">
        <f>IF(OR(Hoja4!H101="Empresa de embarque B",Hoja4!I101="Cheque",Hoja4!J101="cerveza"),"dale","vaaa")</f>
        <v>vaaa</v>
      </c>
      <c r="Z102" t="str">
        <f>IF(NOT(OR(Hoja4!I101="Cheque",Hoja4!J101="Cerveza")),"Aprobado","No Aprobado")</f>
        <v>Aprobado</v>
      </c>
    </row>
    <row r="103" spans="19:26" x14ac:dyDescent="0.25">
      <c r="S103" s="2" t="b">
        <f>AND(Hoja4!$P102="abril",Hoja4!$O102="Jue.")</f>
        <v>0</v>
      </c>
      <c r="T103" t="str">
        <f>IF(AND(Hoja4!H102="Empresa de embarque B",Hoja4!I102="Cheque"),"dale","vaaa")</f>
        <v>vaaa</v>
      </c>
      <c r="V103" t="str">
        <f>IF(AND(Hoja4!H102="Empresa de embarque B",Hoja4!I102="Cheque",Hoja4!J102="Cerveza"),"dale","vaaa")</f>
        <v>vaaa</v>
      </c>
      <c r="X103" t="str">
        <f>IF(OR(Hoja4!H102="Empresa de embarque B",Hoja4!I102="Cheque",Hoja4!J102="cerveza"),"dale","vaaa")</f>
        <v>vaaa</v>
      </c>
      <c r="Z103" t="str">
        <f>IF(NOT(OR(Hoja4!I102="Cheque",Hoja4!J102="Cerveza")),"Aprobado","No Aprobado")</f>
        <v>Aprobado</v>
      </c>
    </row>
    <row r="104" spans="19:26" x14ac:dyDescent="0.25">
      <c r="S104" s="2" t="b">
        <f>AND(Hoja4!$P103="abril",Hoja4!$O103="Jue.")</f>
        <v>0</v>
      </c>
      <c r="T104" t="str">
        <f>IF(AND(Hoja4!H103="Empresa de embarque B",Hoja4!I103="Cheque"),"dale","vaaa")</f>
        <v>vaaa</v>
      </c>
      <c r="V104" t="str">
        <f>IF(AND(Hoja4!H103="Empresa de embarque B",Hoja4!I103="Cheque",Hoja4!J103="Cerveza"),"dale","vaaa")</f>
        <v>vaaa</v>
      </c>
      <c r="X104" t="str">
        <f>IF(OR(Hoja4!H103="Empresa de embarque B",Hoja4!I103="Cheque",Hoja4!J103="cerveza"),"dale","vaaa")</f>
        <v>vaaa</v>
      </c>
      <c r="Z104" t="str">
        <f>IF(NOT(OR(Hoja4!I103="Cheque",Hoja4!J103="Cerveza")),"Aprobado","No Aprobado")</f>
        <v>Aprobado</v>
      </c>
    </row>
    <row r="105" spans="19:26" x14ac:dyDescent="0.25">
      <c r="S105" s="2" t="b">
        <f>AND(Hoja4!$P104="abril",Hoja4!$O104="Jue.")</f>
        <v>0</v>
      </c>
      <c r="T105" t="str">
        <f>IF(AND(Hoja4!H104="Empresa de embarque B",Hoja4!I104="Cheque"),"dale","vaaa")</f>
        <v>vaaa</v>
      </c>
      <c r="V105" t="str">
        <f>IF(AND(Hoja4!H104="Empresa de embarque B",Hoja4!I104="Cheque",Hoja4!J104="Cerveza"),"dale","vaaa")</f>
        <v>vaaa</v>
      </c>
      <c r="X105" t="str">
        <f>IF(OR(Hoja4!H104="Empresa de embarque B",Hoja4!I104="Cheque",Hoja4!J104="cerveza"),"dale","vaaa")</f>
        <v>vaaa</v>
      </c>
      <c r="Z105" t="str">
        <f>IF(NOT(OR(Hoja4!I104="Cheque",Hoja4!J104="Cerveza")),"Aprobado","No Aprobado")</f>
        <v>Aprobado</v>
      </c>
    </row>
    <row r="106" spans="19:26" x14ac:dyDescent="0.25">
      <c r="S106" s="2" t="b">
        <f>AND(Hoja4!$P105="abril",Hoja4!$O105="Jue.")</f>
        <v>0</v>
      </c>
      <c r="T106" t="str">
        <f>IF(AND(Hoja4!H105="Empresa de embarque B",Hoja4!I105="Cheque"),"dale","vaaa")</f>
        <v>vaaa</v>
      </c>
      <c r="V106" t="str">
        <f>IF(AND(Hoja4!H105="Empresa de embarque B",Hoja4!I105="Cheque",Hoja4!J105="Cerveza"),"dale","vaaa")</f>
        <v>vaaa</v>
      </c>
      <c r="X106" t="str">
        <f>IF(OR(Hoja4!H105="Empresa de embarque B",Hoja4!I105="Cheque",Hoja4!J105="cerveza"),"dale","vaaa")</f>
        <v>vaaa</v>
      </c>
      <c r="Z106" t="str">
        <f>IF(NOT(OR(Hoja4!I105="Cheque",Hoja4!J105="Cerveza")),"Aprobado","No Aprobado")</f>
        <v>Aprobado</v>
      </c>
    </row>
    <row r="107" spans="19:26" x14ac:dyDescent="0.25">
      <c r="S107" s="2" t="b">
        <f>AND(Hoja4!$P106="abril",Hoja4!$O106="Jue.")</f>
        <v>0</v>
      </c>
      <c r="T107" t="str">
        <f>IF(AND(Hoja4!H106="Empresa de embarque B",Hoja4!I106="Cheque"),"dale","vaaa")</f>
        <v>vaaa</v>
      </c>
      <c r="V107" t="str">
        <f>IF(AND(Hoja4!H106="Empresa de embarque B",Hoja4!I106="Cheque",Hoja4!J106="Cerveza"),"dale","vaaa")</f>
        <v>vaaa</v>
      </c>
      <c r="X107" t="str">
        <f>IF(OR(Hoja4!H106="Empresa de embarque B",Hoja4!I106="Cheque",Hoja4!J106="cerveza"),"dale","vaaa")</f>
        <v>vaaa</v>
      </c>
      <c r="Z107" t="str">
        <f>IF(NOT(OR(Hoja4!I106="Cheque",Hoja4!J106="Cerveza")),"Aprobado","No Aprobado")</f>
        <v>Aprobado</v>
      </c>
    </row>
    <row r="108" spans="19:26" x14ac:dyDescent="0.25">
      <c r="S108" s="2" t="b">
        <f>AND(Hoja4!$P107="abril",Hoja4!$O107="Jue.")</f>
        <v>0</v>
      </c>
      <c r="T108" t="str">
        <f>IF(AND(Hoja4!H107="Empresa de embarque B",Hoja4!I107="Cheque"),"dale","vaaa")</f>
        <v>vaaa</v>
      </c>
      <c r="V108" t="str">
        <f>IF(AND(Hoja4!H107="Empresa de embarque B",Hoja4!I107="Cheque",Hoja4!J107="Cerveza"),"dale","vaaa")</f>
        <v>vaaa</v>
      </c>
      <c r="X108" t="str">
        <f>IF(OR(Hoja4!H107="Empresa de embarque B",Hoja4!I107="Cheque",Hoja4!J107="cerveza"),"dale","vaaa")</f>
        <v>vaaa</v>
      </c>
      <c r="Z108" t="str">
        <f>IF(NOT(OR(Hoja4!I107="Cheque",Hoja4!J107="Cerveza")),"Aprobado","No Aprobado")</f>
        <v>Aprobado</v>
      </c>
    </row>
    <row r="109" spans="19:26" x14ac:dyDescent="0.25">
      <c r="S109" s="2" t="b">
        <f>AND(Hoja4!$P108="abril",Hoja4!$O108="Jue.")</f>
        <v>0</v>
      </c>
      <c r="T109" t="str">
        <f>IF(AND(Hoja4!H108="Empresa de embarque B",Hoja4!I108="Cheque"),"dale","vaaa")</f>
        <v>vaaa</v>
      </c>
      <c r="V109" t="str">
        <f>IF(AND(Hoja4!H108="Empresa de embarque B",Hoja4!I108="Cheque",Hoja4!J108="Cerveza"),"dale","vaaa")</f>
        <v>vaaa</v>
      </c>
      <c r="X109" t="str">
        <f>IF(OR(Hoja4!H108="Empresa de embarque B",Hoja4!I108="Cheque",Hoja4!J108="cerveza"),"dale","vaaa")</f>
        <v>dale</v>
      </c>
      <c r="Z109" t="str">
        <f>IF(NOT(OR(Hoja4!I108="Cheque",Hoja4!J108="Cerveza")),"Aprobado","No Aprobado")</f>
        <v>No Aprobado</v>
      </c>
    </row>
    <row r="110" spans="19:26" x14ac:dyDescent="0.25">
      <c r="S110" s="2" t="b">
        <f>AND(Hoja4!$P109="abril",Hoja4!$O109="Jue.")</f>
        <v>0</v>
      </c>
      <c r="T110" t="str">
        <f>IF(AND(Hoja4!H109="Empresa de embarque B",Hoja4!I109="Cheque"),"dale","vaaa")</f>
        <v>vaaa</v>
      </c>
      <c r="V110" t="str">
        <f>IF(AND(Hoja4!H109="Empresa de embarque B",Hoja4!I109="Cheque",Hoja4!J109="Cerveza"),"dale","vaaa")</f>
        <v>vaaa</v>
      </c>
      <c r="X110" t="str">
        <f>IF(OR(Hoja4!H109="Empresa de embarque B",Hoja4!I109="Cheque",Hoja4!J109="cerveza"),"dale","vaaa")</f>
        <v>dale</v>
      </c>
      <c r="Z110" t="str">
        <f>IF(NOT(OR(Hoja4!I109="Cheque",Hoja4!J109="Cerveza")),"Aprobado","No Aprobado")</f>
        <v>No Aprobado</v>
      </c>
    </row>
    <row r="111" spans="19:26" x14ac:dyDescent="0.25">
      <c r="S111" s="2" t="b">
        <f>AND(Hoja4!$P110="abril",Hoja4!$O110="Jue.")</f>
        <v>0</v>
      </c>
      <c r="T111" t="str">
        <f>IF(AND(Hoja4!H110="Empresa de embarque B",Hoja4!I110="Cheque"),"dale","vaaa")</f>
        <v>vaaa</v>
      </c>
      <c r="V111" t="str">
        <f>IF(AND(Hoja4!H110="Empresa de embarque B",Hoja4!I110="Cheque",Hoja4!J110="Cerveza"),"dale","vaaa")</f>
        <v>vaaa</v>
      </c>
      <c r="X111" t="str">
        <f>IF(OR(Hoja4!H110="Empresa de embarque B",Hoja4!I110="Cheque",Hoja4!J110="cerveza"),"dale","vaaa")</f>
        <v>dale</v>
      </c>
      <c r="Z111" t="str">
        <f>IF(NOT(OR(Hoja4!I110="Cheque",Hoja4!J110="Cerveza")),"Aprobado","No Aprobado")</f>
        <v>No Aprobado</v>
      </c>
    </row>
    <row r="112" spans="19:26" x14ac:dyDescent="0.25">
      <c r="S112" s="2" t="b">
        <f>AND(Hoja4!$P111="abril",Hoja4!$O111="Jue.")</f>
        <v>0</v>
      </c>
      <c r="T112" t="str">
        <f>IF(AND(Hoja4!H111="Empresa de embarque B",Hoja4!I111="Cheque"),"dale","vaaa")</f>
        <v>dale</v>
      </c>
      <c r="V112" t="str">
        <f>IF(AND(Hoja4!H111="Empresa de embarque B",Hoja4!I111="Cheque",Hoja4!J111="Cerveza"),"dale","vaaa")</f>
        <v>vaaa</v>
      </c>
      <c r="X112" t="str">
        <f>IF(OR(Hoja4!H111="Empresa de embarque B",Hoja4!I111="Cheque",Hoja4!J111="cerveza"),"dale","vaaa")</f>
        <v>dale</v>
      </c>
      <c r="Z112" t="str">
        <f>IF(NOT(OR(Hoja4!I111="Cheque",Hoja4!J111="Cerveza")),"Aprobado","No Aprobado")</f>
        <v>No Aprobado</v>
      </c>
    </row>
    <row r="113" spans="19:26" x14ac:dyDescent="0.25">
      <c r="S113" s="2" t="b">
        <f>AND(Hoja4!$P112="abril",Hoja4!$O112="Jue.")</f>
        <v>0</v>
      </c>
      <c r="T113" t="str">
        <f>IF(AND(Hoja4!H112="Empresa de embarque B",Hoja4!I112="Cheque"),"dale","vaaa")</f>
        <v>dale</v>
      </c>
      <c r="V113" t="str">
        <f>IF(AND(Hoja4!H112="Empresa de embarque B",Hoja4!I112="Cheque",Hoja4!J112="Cerveza"),"dale","vaaa")</f>
        <v>vaaa</v>
      </c>
      <c r="X113" t="str">
        <f>IF(OR(Hoja4!H112="Empresa de embarque B",Hoja4!I112="Cheque",Hoja4!J112="cerveza"),"dale","vaaa")</f>
        <v>dale</v>
      </c>
      <c r="Z113" t="str">
        <f>IF(NOT(OR(Hoja4!I112="Cheque",Hoja4!J112="Cerveza")),"Aprobado","No Aprobado")</f>
        <v>No Aprobado</v>
      </c>
    </row>
    <row r="114" spans="19:26" x14ac:dyDescent="0.25">
      <c r="S114" s="2" t="b">
        <f>AND(Hoja4!$P113="abril",Hoja4!$O113="Jue.")</f>
        <v>0</v>
      </c>
      <c r="T114" t="str">
        <f>IF(AND(Hoja4!H113="Empresa de embarque B",Hoja4!I113="Cheque"),"dale","vaaa")</f>
        <v>vaaa</v>
      </c>
      <c r="V114" t="str">
        <f>IF(AND(Hoja4!H113="Empresa de embarque B",Hoja4!I113="Cheque",Hoja4!J113="Cerveza"),"dale","vaaa")</f>
        <v>vaaa</v>
      </c>
      <c r="X114" t="str">
        <f>IF(OR(Hoja4!H113="Empresa de embarque B",Hoja4!I113="Cheque",Hoja4!J113="cerveza"),"dale","vaaa")</f>
        <v>vaaa</v>
      </c>
      <c r="Z114" t="str">
        <f>IF(NOT(OR(Hoja4!I113="Cheque",Hoja4!J113="Cerveza")),"Aprobado","No Aprobado")</f>
        <v>Aprobado</v>
      </c>
    </row>
    <row r="115" spans="19:26" x14ac:dyDescent="0.25">
      <c r="S115" s="2" t="b">
        <f>AND(Hoja4!$P114="abril",Hoja4!$O114="Jue.")</f>
        <v>0</v>
      </c>
      <c r="T115" t="str">
        <f>IF(AND(Hoja4!H114="Empresa de embarque B",Hoja4!I114="Cheque"),"dale","vaaa")</f>
        <v>vaaa</v>
      </c>
      <c r="V115" t="str">
        <f>IF(AND(Hoja4!H114="Empresa de embarque B",Hoja4!I114="Cheque",Hoja4!J114="Cerveza"),"dale","vaaa")</f>
        <v>vaaa</v>
      </c>
      <c r="X115" t="str">
        <f>IF(OR(Hoja4!H114="Empresa de embarque B",Hoja4!I114="Cheque",Hoja4!J114="cerveza"),"dale","vaaa")</f>
        <v>vaaa</v>
      </c>
      <c r="Z115" t="str">
        <f>IF(NOT(OR(Hoja4!I114="Cheque",Hoja4!J114="Cerveza")),"Aprobado","No Aprobado")</f>
        <v>Aprobado</v>
      </c>
    </row>
    <row r="116" spans="19:26" x14ac:dyDescent="0.25">
      <c r="S116" s="2" t="b">
        <f>AND(Hoja4!$P115="abril",Hoja4!$O115="Jue.")</f>
        <v>0</v>
      </c>
      <c r="T116" t="str">
        <f>IF(AND(Hoja4!H115="Empresa de embarque B",Hoja4!I115="Cheque"),"dale","vaaa")</f>
        <v>vaaa</v>
      </c>
      <c r="V116" t="str">
        <f>IF(AND(Hoja4!H115="Empresa de embarque B",Hoja4!I115="Cheque",Hoja4!J115="Cerveza"),"dale","vaaa")</f>
        <v>vaaa</v>
      </c>
      <c r="X116" t="str">
        <f>IF(OR(Hoja4!H115="Empresa de embarque B",Hoja4!I115="Cheque",Hoja4!J115="cerveza"),"dale","vaaa")</f>
        <v>vaaa</v>
      </c>
      <c r="Z116" t="str">
        <f>IF(NOT(OR(Hoja4!I115="Cheque",Hoja4!J115="Cerveza")),"Aprobado","No Aprobado")</f>
        <v>Aprobado</v>
      </c>
    </row>
    <row r="117" spans="19:26" x14ac:dyDescent="0.25">
      <c r="S117" s="2" t="b">
        <f>AND(Hoja4!$P116="abril",Hoja4!$O116="Jue.")</f>
        <v>0</v>
      </c>
      <c r="T117" t="str">
        <f>IF(AND(Hoja4!H116="Empresa de embarque B",Hoja4!I116="Cheque"),"dale","vaaa")</f>
        <v>vaaa</v>
      </c>
      <c r="V117" t="str">
        <f>IF(AND(Hoja4!H116="Empresa de embarque B",Hoja4!I116="Cheque",Hoja4!J116="Cerveza"),"dale","vaaa")</f>
        <v>vaaa</v>
      </c>
      <c r="X117" t="str">
        <f>IF(OR(Hoja4!H116="Empresa de embarque B",Hoja4!I116="Cheque",Hoja4!J116="cerveza"),"dale","vaaa")</f>
        <v>vaaa</v>
      </c>
      <c r="Z117" t="str">
        <f>IF(NOT(OR(Hoja4!I116="Cheque",Hoja4!J116="Cerveza")),"Aprobado","No Aprobado")</f>
        <v>Aprobado</v>
      </c>
    </row>
    <row r="118" spans="19:26" x14ac:dyDescent="0.25">
      <c r="S118" s="2" t="b">
        <f>AND(Hoja4!$P117="abril",Hoja4!$O117="Jue.")</f>
        <v>0</v>
      </c>
      <c r="T118" t="str">
        <f>IF(AND(Hoja4!H117="Empresa de embarque B",Hoja4!I117="Cheque"),"dale","vaaa")</f>
        <v>dale</v>
      </c>
      <c r="V118" t="str">
        <f>IF(AND(Hoja4!H117="Empresa de embarque B",Hoja4!I117="Cheque",Hoja4!J117="Cerveza"),"dale","vaaa")</f>
        <v>dale</v>
      </c>
      <c r="X118" t="str">
        <f>IF(OR(Hoja4!H117="Empresa de embarque B",Hoja4!I117="Cheque",Hoja4!J117="cerveza"),"dale","vaaa")</f>
        <v>dale</v>
      </c>
      <c r="Z118" t="str">
        <f>IF(NOT(OR(Hoja4!I117="Cheque",Hoja4!J117="Cerveza")),"Aprobado","No Aprobado")</f>
        <v>No Aprobado</v>
      </c>
    </row>
    <row r="119" spans="19:26" x14ac:dyDescent="0.25">
      <c r="S119" s="2" t="b">
        <f>AND(Hoja4!$P118="abril",Hoja4!$O118="Jue.")</f>
        <v>0</v>
      </c>
      <c r="T119" t="str">
        <f>IF(AND(Hoja4!H118="Empresa de embarque B",Hoja4!I118="Cheque"),"dale","vaaa")</f>
        <v>vaaa</v>
      </c>
      <c r="V119" t="str">
        <f>IF(AND(Hoja4!H118="Empresa de embarque B",Hoja4!I118="Cheque",Hoja4!J118="Cerveza"),"dale","vaaa")</f>
        <v>vaaa</v>
      </c>
      <c r="X119" t="str">
        <f>IF(OR(Hoja4!H118="Empresa de embarque B",Hoja4!I118="Cheque",Hoja4!J118="cerveza"),"dale","vaaa")</f>
        <v>dale</v>
      </c>
      <c r="Z119" t="str">
        <f>IF(NOT(OR(Hoja4!I118="Cheque",Hoja4!J118="Cerveza")),"Aprobado","No Aprobado")</f>
        <v>No Aprobado</v>
      </c>
    </row>
    <row r="120" spans="19:26" x14ac:dyDescent="0.25">
      <c r="S120" s="2" t="b">
        <f>AND(Hoja4!$P119="abril",Hoja4!$O119="Jue.")</f>
        <v>0</v>
      </c>
      <c r="T120" t="str">
        <f>IF(AND(Hoja4!H119="Empresa de embarque B",Hoja4!I119="Cheque"),"dale","vaaa")</f>
        <v>vaaa</v>
      </c>
      <c r="V120" t="str">
        <f>IF(AND(Hoja4!H119="Empresa de embarque B",Hoja4!I119="Cheque",Hoja4!J119="Cerveza"),"dale","vaaa")</f>
        <v>vaaa</v>
      </c>
      <c r="X120" t="str">
        <f>IF(OR(Hoja4!H119="Empresa de embarque B",Hoja4!I119="Cheque",Hoja4!J119="cerveza"),"dale","vaaa")</f>
        <v>vaaa</v>
      </c>
      <c r="Z120" t="str">
        <f>IF(NOT(OR(Hoja4!I119="Cheque",Hoja4!J119="Cerveza")),"Aprobado","No Aprobado")</f>
        <v>Aprobado</v>
      </c>
    </row>
    <row r="121" spans="19:26" x14ac:dyDescent="0.25">
      <c r="S121" s="2" t="b">
        <f>AND(Hoja4!$P120="abril",Hoja4!$O120="Jue.")</f>
        <v>0</v>
      </c>
      <c r="T121" t="str">
        <f>IF(AND(Hoja4!H120="Empresa de embarque B",Hoja4!I120="Cheque"),"dale","vaaa")</f>
        <v>vaaa</v>
      </c>
      <c r="V121" t="str">
        <f>IF(AND(Hoja4!H120="Empresa de embarque B",Hoja4!I120="Cheque",Hoja4!J120="Cerveza"),"dale","vaaa")</f>
        <v>vaaa</v>
      </c>
      <c r="X121" t="str">
        <f>IF(OR(Hoja4!H120="Empresa de embarque B",Hoja4!I120="Cheque",Hoja4!J120="cerveza"),"dale","vaaa")</f>
        <v>vaaa</v>
      </c>
      <c r="Z121" t="str">
        <f>IF(NOT(OR(Hoja4!I120="Cheque",Hoja4!J120="Cerveza")),"Aprobado","No Aprobado")</f>
        <v>Aprobado</v>
      </c>
    </row>
    <row r="122" spans="19:26" x14ac:dyDescent="0.25">
      <c r="S122" s="2" t="b">
        <f>AND(Hoja4!$P121="abril",Hoja4!$O121="Jue.")</f>
        <v>0</v>
      </c>
      <c r="T122" t="str">
        <f>IF(AND(Hoja4!H121="Empresa de embarque B",Hoja4!I121="Cheque"),"dale","vaaa")</f>
        <v>vaaa</v>
      </c>
      <c r="V122" t="str">
        <f>IF(AND(Hoja4!H121="Empresa de embarque B",Hoja4!I121="Cheque",Hoja4!J121="Cerveza"),"dale","vaaa")</f>
        <v>vaaa</v>
      </c>
      <c r="X122" t="str">
        <f>IF(OR(Hoja4!H121="Empresa de embarque B",Hoja4!I121="Cheque",Hoja4!J121="cerveza"),"dale","vaaa")</f>
        <v>vaaa</v>
      </c>
      <c r="Z122" t="str">
        <f>IF(NOT(OR(Hoja4!I121="Cheque",Hoja4!J121="Cerveza")),"Aprobado","No Aprobado")</f>
        <v>Aprobado</v>
      </c>
    </row>
    <row r="123" spans="19:26" x14ac:dyDescent="0.25">
      <c r="S123" s="2" t="b">
        <f>AND(Hoja4!$P122="abril",Hoja4!$O122="Jue.")</f>
        <v>0</v>
      </c>
      <c r="T123" t="str">
        <f>IF(AND(Hoja4!H122="Empresa de embarque B",Hoja4!I122="Cheque"),"dale","vaaa")</f>
        <v>vaaa</v>
      </c>
      <c r="V123" t="str">
        <f>IF(AND(Hoja4!H122="Empresa de embarque B",Hoja4!I122="Cheque",Hoja4!J122="Cerveza"),"dale","vaaa")</f>
        <v>vaaa</v>
      </c>
      <c r="X123" t="str">
        <f>IF(OR(Hoja4!H122="Empresa de embarque B",Hoja4!I122="Cheque",Hoja4!J122="cerveza"),"dale","vaaa")</f>
        <v>dale</v>
      </c>
      <c r="Z123" t="str">
        <f>IF(NOT(OR(Hoja4!I122="Cheque",Hoja4!J122="Cerveza")),"Aprobado","No Aprobado")</f>
        <v>Aprobado</v>
      </c>
    </row>
    <row r="124" spans="19:26" x14ac:dyDescent="0.25">
      <c r="S124" s="2" t="b">
        <f>AND(Hoja4!$P123="abril",Hoja4!$O123="Jue.")</f>
        <v>0</v>
      </c>
      <c r="T124" t="str">
        <f>IF(AND(Hoja4!H123="Empresa de embarque B",Hoja4!I123="Cheque"),"dale","vaaa")</f>
        <v>vaaa</v>
      </c>
      <c r="V124" t="str">
        <f>IF(AND(Hoja4!H123="Empresa de embarque B",Hoja4!I123="Cheque",Hoja4!J123="Cerveza"),"dale","vaaa")</f>
        <v>vaaa</v>
      </c>
      <c r="X124" t="str">
        <f>IF(OR(Hoja4!H123="Empresa de embarque B",Hoja4!I123="Cheque",Hoja4!J123="cerveza"),"dale","vaaa")</f>
        <v>dale</v>
      </c>
      <c r="Z124" t="str">
        <f>IF(NOT(OR(Hoja4!I123="Cheque",Hoja4!J123="Cerveza")),"Aprobado","No Aprobado")</f>
        <v>Aprobado</v>
      </c>
    </row>
    <row r="125" spans="19:26" x14ac:dyDescent="0.25">
      <c r="S125" s="2" t="b">
        <f>AND(Hoja4!$P124="abril",Hoja4!$O124="Jue.")</f>
        <v>0</v>
      </c>
      <c r="T125" t="str">
        <f>IF(AND(Hoja4!H124="Empresa de embarque B",Hoja4!I124="Cheque"),"dale","vaaa")</f>
        <v>vaaa</v>
      </c>
      <c r="V125" t="str">
        <f>IF(AND(Hoja4!H124="Empresa de embarque B",Hoja4!I124="Cheque",Hoja4!J124="Cerveza"),"dale","vaaa")</f>
        <v>vaaa</v>
      </c>
      <c r="X125" t="str">
        <f>IF(OR(Hoja4!H124="Empresa de embarque B",Hoja4!I124="Cheque",Hoja4!J124="cerveza"),"dale","vaaa")</f>
        <v>vaaa</v>
      </c>
      <c r="Z125" t="str">
        <f>IF(NOT(OR(Hoja4!I124="Cheque",Hoja4!J124="Cerveza")),"Aprobado","No Aprobado")</f>
        <v>Aprobado</v>
      </c>
    </row>
    <row r="126" spans="19:26" x14ac:dyDescent="0.25">
      <c r="S126" s="2" t="b">
        <f>AND(Hoja4!$P125="abril",Hoja4!$O125="Jue.")</f>
        <v>0</v>
      </c>
      <c r="T126" t="str">
        <f>IF(AND(Hoja4!H125="Empresa de embarque B",Hoja4!I125="Cheque"),"dale","vaaa")</f>
        <v>vaaa</v>
      </c>
      <c r="V126" t="str">
        <f>IF(AND(Hoja4!H125="Empresa de embarque B",Hoja4!I125="Cheque",Hoja4!J125="Cerveza"),"dale","vaaa")</f>
        <v>vaaa</v>
      </c>
      <c r="X126" t="str">
        <f>IF(OR(Hoja4!H125="Empresa de embarque B",Hoja4!I125="Cheque",Hoja4!J125="cerveza"),"dale","vaaa")</f>
        <v>vaaa</v>
      </c>
      <c r="Z126" t="str">
        <f>IF(NOT(OR(Hoja4!I125="Cheque",Hoja4!J125="Cerveza")),"Aprobado","No Aprobado")</f>
        <v>Aprobado</v>
      </c>
    </row>
    <row r="127" spans="19:26" x14ac:dyDescent="0.25">
      <c r="S127" s="2" t="b">
        <f>AND(Hoja4!$P126="abril",Hoja4!$O126="Jue.")</f>
        <v>0</v>
      </c>
      <c r="T127" t="str">
        <f>IF(AND(Hoja4!H126="Empresa de embarque B",Hoja4!I126="Cheque"),"dale","vaaa")</f>
        <v>vaaa</v>
      </c>
      <c r="V127" t="str">
        <f>IF(AND(Hoja4!H126="Empresa de embarque B",Hoja4!I126="Cheque",Hoja4!J126="Cerveza"),"dale","vaaa")</f>
        <v>vaaa</v>
      </c>
      <c r="X127" t="str">
        <f>IF(OR(Hoja4!H126="Empresa de embarque B",Hoja4!I126="Cheque",Hoja4!J126="cerveza"),"dale","vaaa")</f>
        <v>vaaa</v>
      </c>
      <c r="Z127" t="str">
        <f>IF(NOT(OR(Hoja4!I126="Cheque",Hoja4!J126="Cerveza")),"Aprobado","No Aprobado")</f>
        <v>Aprobado</v>
      </c>
    </row>
    <row r="128" spans="19:26" x14ac:dyDescent="0.25">
      <c r="S128" s="2" t="b">
        <f>AND(Hoja4!$P127="abril",Hoja4!$O127="Jue.")</f>
        <v>0</v>
      </c>
      <c r="T128" t="str">
        <f>IF(AND(Hoja4!H127="Empresa de embarque B",Hoja4!I127="Cheque"),"dale","vaaa")</f>
        <v>vaaa</v>
      </c>
      <c r="V128" t="str">
        <f>IF(AND(Hoja4!H127="Empresa de embarque B",Hoja4!I127="Cheque",Hoja4!J127="Cerveza"),"dale","vaaa")</f>
        <v>vaaa</v>
      </c>
      <c r="X128" t="str">
        <f>IF(OR(Hoja4!H127="Empresa de embarque B",Hoja4!I127="Cheque",Hoja4!J127="cerveza"),"dale","vaaa")</f>
        <v>vaaa</v>
      </c>
      <c r="Z128" t="str">
        <f>IF(NOT(OR(Hoja4!I127="Cheque",Hoja4!J127="Cerveza")),"Aprobado","No Aprobado")</f>
        <v>Aprobado</v>
      </c>
    </row>
    <row r="129" spans="19:26" x14ac:dyDescent="0.25">
      <c r="S129" s="2" t="b">
        <f>AND(Hoja4!$P128="abril",Hoja4!$O128="Jue.")</f>
        <v>0</v>
      </c>
      <c r="T129" t="str">
        <f>IF(AND(Hoja4!H128="Empresa de embarque B",Hoja4!I128="Cheque"),"dale","vaaa")</f>
        <v>vaaa</v>
      </c>
      <c r="V129" t="str">
        <f>IF(AND(Hoja4!H128="Empresa de embarque B",Hoja4!I128="Cheque",Hoja4!J128="Cerveza"),"dale","vaaa")</f>
        <v>vaaa</v>
      </c>
      <c r="X129" t="str">
        <f>IF(OR(Hoja4!H128="Empresa de embarque B",Hoja4!I128="Cheque",Hoja4!J128="cerveza"),"dale","vaaa")</f>
        <v>vaaa</v>
      </c>
      <c r="Z129" t="str">
        <f>IF(NOT(OR(Hoja4!I128="Cheque",Hoja4!J128="Cerveza")),"Aprobado","No Aprobado")</f>
        <v>Aprobado</v>
      </c>
    </row>
    <row r="130" spans="19:26" x14ac:dyDescent="0.25">
      <c r="S130" s="2" t="b">
        <f>AND(Hoja4!$P129="abril",Hoja4!$O129="Jue.")</f>
        <v>0</v>
      </c>
      <c r="T130" t="str">
        <f>IF(AND(Hoja4!H129="Empresa de embarque B",Hoja4!I129="Cheque"),"dale","vaaa")</f>
        <v>vaaa</v>
      </c>
      <c r="V130" t="str">
        <f>IF(AND(Hoja4!H129="Empresa de embarque B",Hoja4!I129="Cheque",Hoja4!J129="Cerveza"),"dale","vaaa")</f>
        <v>vaaa</v>
      </c>
      <c r="X130" t="str">
        <f>IF(OR(Hoja4!H129="Empresa de embarque B",Hoja4!I129="Cheque",Hoja4!J129="cerveza"),"dale","vaaa")</f>
        <v>vaaa</v>
      </c>
      <c r="Z130" t="str">
        <f>IF(NOT(OR(Hoja4!I129="Cheque",Hoja4!J129="Cerveza")),"Aprobado","No Aprobado")</f>
        <v>Aprobado</v>
      </c>
    </row>
    <row r="131" spans="19:26" x14ac:dyDescent="0.25">
      <c r="S131" s="2" t="b">
        <f>AND(Hoja4!$P130="abril",Hoja4!$O130="Jue.")</f>
        <v>0</v>
      </c>
      <c r="T131" t="str">
        <f>IF(AND(Hoja4!H130="Empresa de embarque B",Hoja4!I130="Cheque"),"dale","vaaa")</f>
        <v>vaaa</v>
      </c>
      <c r="V131" t="str">
        <f>IF(AND(Hoja4!H130="Empresa de embarque B",Hoja4!I130="Cheque",Hoja4!J130="Cerveza"),"dale","vaaa")</f>
        <v>vaaa</v>
      </c>
      <c r="X131" t="str">
        <f>IF(OR(Hoja4!H130="Empresa de embarque B",Hoja4!I130="Cheque",Hoja4!J130="cerveza"),"dale","vaaa")</f>
        <v>vaaa</v>
      </c>
      <c r="Z131" t="str">
        <f>IF(NOT(OR(Hoja4!I130="Cheque",Hoja4!J130="Cerveza")),"Aprobado","No Aprobado")</f>
        <v>Aprobado</v>
      </c>
    </row>
    <row r="132" spans="19:26" x14ac:dyDescent="0.25">
      <c r="S132" s="2" t="b">
        <f>AND(Hoja4!$P131="abril",Hoja4!$O131="Jue.")</f>
        <v>0</v>
      </c>
      <c r="T132" t="str">
        <f>IF(AND(Hoja4!H131="Empresa de embarque B",Hoja4!I131="Cheque"),"dale","vaaa")</f>
        <v>vaaa</v>
      </c>
      <c r="V132" t="str">
        <f>IF(AND(Hoja4!H131="Empresa de embarque B",Hoja4!I131="Cheque",Hoja4!J131="Cerveza"),"dale","vaaa")</f>
        <v>vaaa</v>
      </c>
      <c r="X132" t="str">
        <f>IF(OR(Hoja4!H131="Empresa de embarque B",Hoja4!I131="Cheque",Hoja4!J131="cerveza"),"dale","vaaa")</f>
        <v>vaaa</v>
      </c>
      <c r="Z132" t="str">
        <f>IF(NOT(OR(Hoja4!I131="Cheque",Hoja4!J131="Cerveza")),"Aprobado","No Aprobado")</f>
        <v>Aprobado</v>
      </c>
    </row>
    <row r="133" spans="19:26" x14ac:dyDescent="0.25">
      <c r="S133" s="2" t="b">
        <f>AND(Hoja4!$P132="abril",Hoja4!$O132="Jue.")</f>
        <v>0</v>
      </c>
      <c r="T133" t="str">
        <f>IF(AND(Hoja4!H132="Empresa de embarque B",Hoja4!I132="Cheque"),"dale","vaaa")</f>
        <v>vaaa</v>
      </c>
      <c r="V133" t="str">
        <f>IF(AND(Hoja4!H132="Empresa de embarque B",Hoja4!I132="Cheque",Hoja4!J132="Cerveza"),"dale","vaaa")</f>
        <v>vaaa</v>
      </c>
      <c r="X133" t="str">
        <f>IF(OR(Hoja4!H132="Empresa de embarque B",Hoja4!I132="Cheque",Hoja4!J132="cerveza"),"dale","vaaa")</f>
        <v>vaaa</v>
      </c>
      <c r="Z133" t="str">
        <f>IF(NOT(OR(Hoja4!I132="Cheque",Hoja4!J132="Cerveza")),"Aprobado","No Aprobado")</f>
        <v>Aprobado</v>
      </c>
    </row>
    <row r="134" spans="19:26" x14ac:dyDescent="0.25">
      <c r="S134" s="2" t="b">
        <f>AND(Hoja4!$P133="abril",Hoja4!$O133="Jue.")</f>
        <v>0</v>
      </c>
      <c r="T134" t="str">
        <f>IF(AND(Hoja4!H133="Empresa de embarque B",Hoja4!I133="Cheque"),"dale","vaaa")</f>
        <v>vaaa</v>
      </c>
      <c r="V134" t="str">
        <f>IF(AND(Hoja4!H133="Empresa de embarque B",Hoja4!I133="Cheque",Hoja4!J133="Cerveza"),"dale","vaaa")</f>
        <v>vaaa</v>
      </c>
      <c r="X134" t="str">
        <f>IF(OR(Hoja4!H133="Empresa de embarque B",Hoja4!I133="Cheque",Hoja4!J133="cerveza"),"dale","vaaa")</f>
        <v>vaaa</v>
      </c>
      <c r="Z134" t="str">
        <f>IF(NOT(OR(Hoja4!I133="Cheque",Hoja4!J133="Cerveza")),"Aprobado","No Aprobado")</f>
        <v>Aprobado</v>
      </c>
    </row>
    <row r="135" spans="19:26" x14ac:dyDescent="0.25">
      <c r="S135" s="2" t="b">
        <f>AND(Hoja4!$P134="abril",Hoja4!$O134="Jue.")</f>
        <v>0</v>
      </c>
      <c r="T135" t="str">
        <f>IF(AND(Hoja4!H134="Empresa de embarque B",Hoja4!I134="Cheque"),"dale","vaaa")</f>
        <v>vaaa</v>
      </c>
      <c r="V135" t="str">
        <f>IF(AND(Hoja4!H134="Empresa de embarque B",Hoja4!I134="Cheque",Hoja4!J134="Cerveza"),"dale","vaaa")</f>
        <v>vaaa</v>
      </c>
      <c r="X135" t="str">
        <f>IF(OR(Hoja4!H134="Empresa de embarque B",Hoja4!I134="Cheque",Hoja4!J134="cerveza"),"dale","vaaa")</f>
        <v>vaaa</v>
      </c>
      <c r="Z135" t="str">
        <f>IF(NOT(OR(Hoja4!I134="Cheque",Hoja4!J134="Cerveza")),"Aprobado","No Aprobado")</f>
        <v>Aprobado</v>
      </c>
    </row>
    <row r="136" spans="19:26" x14ac:dyDescent="0.25">
      <c r="S136" s="2" t="b">
        <f>AND(Hoja4!$P135="abril",Hoja4!$O135="Jue.")</f>
        <v>0</v>
      </c>
      <c r="T136" t="str">
        <f>IF(AND(Hoja4!H135="Empresa de embarque B",Hoja4!I135="Cheque"),"dale","vaaa")</f>
        <v>vaaa</v>
      </c>
      <c r="V136" t="str">
        <f>IF(AND(Hoja4!H135="Empresa de embarque B",Hoja4!I135="Cheque",Hoja4!J135="Cerveza"),"dale","vaaa")</f>
        <v>vaaa</v>
      </c>
      <c r="X136" t="str">
        <f>IF(OR(Hoja4!H135="Empresa de embarque B",Hoja4!I135="Cheque",Hoja4!J135="cerveza"),"dale","vaaa")</f>
        <v>dale</v>
      </c>
      <c r="Z136" t="str">
        <f>IF(NOT(OR(Hoja4!I135="Cheque",Hoja4!J135="Cerveza")),"Aprobado","No Aprobado")</f>
        <v>No Aprobado</v>
      </c>
    </row>
    <row r="137" spans="19:26" x14ac:dyDescent="0.25">
      <c r="S137" s="2" t="b">
        <f>AND(Hoja4!$P136="abril",Hoja4!$O136="Jue.")</f>
        <v>0</v>
      </c>
      <c r="T137" t="str">
        <f>IF(AND(Hoja4!H136="Empresa de embarque B",Hoja4!I136="Cheque"),"dale","vaaa")</f>
        <v>vaaa</v>
      </c>
      <c r="V137" t="str">
        <f>IF(AND(Hoja4!H136="Empresa de embarque B",Hoja4!I136="Cheque",Hoja4!J136="Cerveza"),"dale","vaaa")</f>
        <v>vaaa</v>
      </c>
      <c r="X137" t="str">
        <f>IF(OR(Hoja4!H136="Empresa de embarque B",Hoja4!I136="Cheque",Hoja4!J136="cerveza"),"dale","vaaa")</f>
        <v>dale</v>
      </c>
      <c r="Z137" t="str">
        <f>IF(NOT(OR(Hoja4!I136="Cheque",Hoja4!J136="Cerveza")),"Aprobado","No Aprobado")</f>
        <v>No Aprobado</v>
      </c>
    </row>
    <row r="138" spans="19:26" x14ac:dyDescent="0.25">
      <c r="S138" s="2" t="b">
        <f>AND(Hoja4!$P137="abril",Hoja4!$O137="Jue.")</f>
        <v>0</v>
      </c>
      <c r="T138" t="str">
        <f>IF(AND(Hoja4!H137="Empresa de embarque B",Hoja4!I137="Cheque"),"dale","vaaa")</f>
        <v>vaaa</v>
      </c>
      <c r="V138" t="str">
        <f>IF(AND(Hoja4!H137="Empresa de embarque B",Hoja4!I137="Cheque",Hoja4!J137="Cerveza"),"dale","vaaa")</f>
        <v>vaaa</v>
      </c>
      <c r="X138" t="str">
        <f>IF(OR(Hoja4!H137="Empresa de embarque B",Hoja4!I137="Cheque",Hoja4!J137="cerveza"),"dale","vaaa")</f>
        <v>dale</v>
      </c>
      <c r="Z138" t="str">
        <f>IF(NOT(OR(Hoja4!I137="Cheque",Hoja4!J137="Cerveza")),"Aprobado","No Aprobado")</f>
        <v>No Aprobado</v>
      </c>
    </row>
    <row r="139" spans="19:26" x14ac:dyDescent="0.25">
      <c r="S139" s="2" t="b">
        <f>AND(Hoja4!$P138="abril",Hoja4!$O138="Jue.")</f>
        <v>0</v>
      </c>
      <c r="T139" t="str">
        <f>IF(AND(Hoja4!H138="Empresa de embarque B",Hoja4!I138="Cheque"),"dale","vaaa")</f>
        <v>dale</v>
      </c>
      <c r="V139" t="str">
        <f>IF(AND(Hoja4!H138="Empresa de embarque B",Hoja4!I138="Cheque",Hoja4!J138="Cerveza"),"dale","vaaa")</f>
        <v>vaaa</v>
      </c>
      <c r="X139" t="str">
        <f>IF(OR(Hoja4!H138="Empresa de embarque B",Hoja4!I138="Cheque",Hoja4!J138="cerveza"),"dale","vaaa")</f>
        <v>dale</v>
      </c>
      <c r="Z139" t="str">
        <f>IF(NOT(OR(Hoja4!I138="Cheque",Hoja4!J138="Cerveza")),"Aprobado","No Aprobado")</f>
        <v>No Aprobado</v>
      </c>
    </row>
    <row r="140" spans="19:26" x14ac:dyDescent="0.25">
      <c r="S140" s="2" t="b">
        <f>AND(Hoja4!$P139="abril",Hoja4!$O139="Jue.")</f>
        <v>0</v>
      </c>
      <c r="T140" t="str">
        <f>IF(AND(Hoja4!H139="Empresa de embarque B",Hoja4!I139="Cheque"),"dale","vaaa")</f>
        <v>dale</v>
      </c>
      <c r="V140" t="str">
        <f>IF(AND(Hoja4!H139="Empresa de embarque B",Hoja4!I139="Cheque",Hoja4!J139="Cerveza"),"dale","vaaa")</f>
        <v>vaaa</v>
      </c>
      <c r="X140" t="str">
        <f>IF(OR(Hoja4!H139="Empresa de embarque B",Hoja4!I139="Cheque",Hoja4!J139="cerveza"),"dale","vaaa")</f>
        <v>dale</v>
      </c>
      <c r="Z140" t="str">
        <f>IF(NOT(OR(Hoja4!I139="Cheque",Hoja4!J139="Cerveza")),"Aprobado","No Aprobado")</f>
        <v>No Aprobado</v>
      </c>
    </row>
    <row r="141" spans="19:26" x14ac:dyDescent="0.25">
      <c r="S141" s="2" t="b">
        <f>AND(Hoja4!$P140="abril",Hoja4!$O140="Jue.")</f>
        <v>0</v>
      </c>
      <c r="T141" t="str">
        <f>IF(AND(Hoja4!H140="Empresa de embarque B",Hoja4!I140="Cheque"),"dale","vaaa")</f>
        <v>vaaa</v>
      </c>
      <c r="V141" t="str">
        <f>IF(AND(Hoja4!H140="Empresa de embarque B",Hoja4!I140="Cheque",Hoja4!J140="Cerveza"),"dale","vaaa")</f>
        <v>vaaa</v>
      </c>
      <c r="X141" t="str">
        <f>IF(OR(Hoja4!H140="Empresa de embarque B",Hoja4!I140="Cheque",Hoja4!J140="cerveza"),"dale","vaaa")</f>
        <v>vaaa</v>
      </c>
      <c r="Z141" t="str">
        <f>IF(NOT(OR(Hoja4!I140="Cheque",Hoja4!J140="Cerveza")),"Aprobado","No Aprobado")</f>
        <v>Aprobado</v>
      </c>
    </row>
    <row r="142" spans="19:26" x14ac:dyDescent="0.25">
      <c r="S142" s="2" t="b">
        <f>AND(Hoja4!$P141="abril",Hoja4!$O141="Jue.")</f>
        <v>0</v>
      </c>
      <c r="T142" t="str">
        <f>IF(AND(Hoja4!H141="Empresa de embarque B",Hoja4!I141="Cheque"),"dale","vaaa")</f>
        <v>vaaa</v>
      </c>
      <c r="V142" t="str">
        <f>IF(AND(Hoja4!H141="Empresa de embarque B",Hoja4!I141="Cheque",Hoja4!J141="Cerveza"),"dale","vaaa")</f>
        <v>vaaa</v>
      </c>
      <c r="X142" t="str">
        <f>IF(OR(Hoja4!H141="Empresa de embarque B",Hoja4!I141="Cheque",Hoja4!J141="cerveza"),"dale","vaaa")</f>
        <v>vaaa</v>
      </c>
      <c r="Z142" t="str">
        <f>IF(NOT(OR(Hoja4!I141="Cheque",Hoja4!J141="Cerveza")),"Aprobado","No Aprobado")</f>
        <v>Aprobado</v>
      </c>
    </row>
    <row r="143" spans="19:26" x14ac:dyDescent="0.25">
      <c r="S143" s="2" t="b">
        <f>AND(Hoja4!$P142="abril",Hoja4!$O142="Jue.")</f>
        <v>0</v>
      </c>
      <c r="T143" t="str">
        <f>IF(AND(Hoja4!H142="Empresa de embarque B",Hoja4!I142="Cheque"),"dale","vaaa")</f>
        <v>vaaa</v>
      </c>
      <c r="V143" t="str">
        <f>IF(AND(Hoja4!H142="Empresa de embarque B",Hoja4!I142="Cheque",Hoja4!J142="Cerveza"),"dale","vaaa")</f>
        <v>vaaa</v>
      </c>
      <c r="X143" t="str">
        <f>IF(OR(Hoja4!H142="Empresa de embarque B",Hoja4!I142="Cheque",Hoja4!J142="cerveza"),"dale","vaaa")</f>
        <v>vaaa</v>
      </c>
      <c r="Z143" t="str">
        <f>IF(NOT(OR(Hoja4!I142="Cheque",Hoja4!J142="Cerveza")),"Aprobado","No Aprobado")</f>
        <v>Aprobado</v>
      </c>
    </row>
    <row r="144" spans="19:26" x14ac:dyDescent="0.25">
      <c r="S144" s="2" t="b">
        <f>AND(Hoja4!$P143="abril",Hoja4!$O143="Jue.")</f>
        <v>0</v>
      </c>
      <c r="T144" t="str">
        <f>IF(AND(Hoja4!H143="Empresa de embarque B",Hoja4!I143="Cheque"),"dale","vaaa")</f>
        <v>vaaa</v>
      </c>
      <c r="V144" t="str">
        <f>IF(AND(Hoja4!H143="Empresa de embarque B",Hoja4!I143="Cheque",Hoja4!J143="Cerveza"),"dale","vaaa")</f>
        <v>vaaa</v>
      </c>
      <c r="X144" t="str">
        <f>IF(OR(Hoja4!H143="Empresa de embarque B",Hoja4!I143="Cheque",Hoja4!J143="cerveza"),"dale","vaaa")</f>
        <v>vaaa</v>
      </c>
      <c r="Z144" t="str">
        <f>IF(NOT(OR(Hoja4!I143="Cheque",Hoja4!J143="Cerveza")),"Aprobado","No Aprobado")</f>
        <v>Aprobado</v>
      </c>
    </row>
    <row r="145" spans="19:26" x14ac:dyDescent="0.25">
      <c r="S145" s="2" t="b">
        <f>AND(Hoja4!$P144="abril",Hoja4!$O144="Jue.")</f>
        <v>0</v>
      </c>
      <c r="T145" t="str">
        <f>IF(AND(Hoja4!H144="Empresa de embarque B",Hoja4!I144="Cheque"),"dale","vaaa")</f>
        <v>dale</v>
      </c>
      <c r="V145" t="str">
        <f>IF(AND(Hoja4!H144="Empresa de embarque B",Hoja4!I144="Cheque",Hoja4!J144="Cerveza"),"dale","vaaa")</f>
        <v>dale</v>
      </c>
      <c r="X145" t="str">
        <f>IF(OR(Hoja4!H144="Empresa de embarque B",Hoja4!I144="Cheque",Hoja4!J144="cerveza"),"dale","vaaa")</f>
        <v>dale</v>
      </c>
      <c r="Z145" t="str">
        <f>IF(NOT(OR(Hoja4!I144="Cheque",Hoja4!J144="Cerveza")),"Aprobado","No Aprobado")</f>
        <v>No Aprobado</v>
      </c>
    </row>
    <row r="146" spans="19:26" x14ac:dyDescent="0.25">
      <c r="S146" s="2" t="b">
        <f>AND(Hoja4!$P145="abril",Hoja4!$O145="Jue.")</f>
        <v>0</v>
      </c>
      <c r="T146" t="str">
        <f>IF(AND(Hoja4!H145="Empresa de embarque B",Hoja4!I145="Cheque"),"dale","vaaa")</f>
        <v>vaaa</v>
      </c>
      <c r="V146" t="str">
        <f>IF(AND(Hoja4!H145="Empresa de embarque B",Hoja4!I145="Cheque",Hoja4!J145="Cerveza"),"dale","vaaa")</f>
        <v>vaaa</v>
      </c>
      <c r="X146" t="str">
        <f>IF(OR(Hoja4!H145="Empresa de embarque B",Hoja4!I145="Cheque",Hoja4!J145="cerveza"),"dale","vaaa")</f>
        <v>dale</v>
      </c>
      <c r="Z146" t="str">
        <f>IF(NOT(OR(Hoja4!I145="Cheque",Hoja4!J145="Cerveza")),"Aprobado","No Aprobado")</f>
        <v>No Aprobado</v>
      </c>
    </row>
    <row r="147" spans="19:26" x14ac:dyDescent="0.25">
      <c r="S147" s="2" t="b">
        <f>AND(Hoja4!$P146="abril",Hoja4!$O146="Jue.")</f>
        <v>0</v>
      </c>
      <c r="T147" t="str">
        <f>IF(AND(Hoja4!H146="Empresa de embarque B",Hoja4!I146="Cheque"),"dale","vaaa")</f>
        <v>vaaa</v>
      </c>
      <c r="V147" t="str">
        <f>IF(AND(Hoja4!H146="Empresa de embarque B",Hoja4!I146="Cheque",Hoja4!J146="Cerveza"),"dale","vaaa")</f>
        <v>vaaa</v>
      </c>
      <c r="X147" t="str">
        <f>IF(OR(Hoja4!H146="Empresa de embarque B",Hoja4!I146="Cheque",Hoja4!J146="cerveza"),"dale","vaaa")</f>
        <v>vaaa</v>
      </c>
      <c r="Z147" t="str">
        <f>IF(NOT(OR(Hoja4!I146="Cheque",Hoja4!J146="Cerveza")),"Aprobado","No Aprobado")</f>
        <v>Aprobado</v>
      </c>
    </row>
    <row r="148" spans="19:26" x14ac:dyDescent="0.25">
      <c r="S148" s="2" t="b">
        <f>AND(Hoja4!$P147="abril",Hoja4!$O147="Jue.")</f>
        <v>0</v>
      </c>
      <c r="T148" t="str">
        <f>IF(AND(Hoja4!H147="Empresa de embarque B",Hoja4!I147="Cheque"),"dale","vaaa")</f>
        <v>vaaa</v>
      </c>
      <c r="V148" t="str">
        <f>IF(AND(Hoja4!H147="Empresa de embarque B",Hoja4!I147="Cheque",Hoja4!J147="Cerveza"),"dale","vaaa")</f>
        <v>vaaa</v>
      </c>
      <c r="X148" t="str">
        <f>IF(OR(Hoja4!H147="Empresa de embarque B",Hoja4!I147="Cheque",Hoja4!J147="cerveza"),"dale","vaaa")</f>
        <v>vaaa</v>
      </c>
      <c r="Z148" t="str">
        <f>IF(NOT(OR(Hoja4!I147="Cheque",Hoja4!J147="Cerveza")),"Aprobado","No Aprobado")</f>
        <v>Aprobado</v>
      </c>
    </row>
    <row r="149" spans="19:26" x14ac:dyDescent="0.25">
      <c r="S149" s="2" t="b">
        <f>AND(Hoja4!$P148="abril",Hoja4!$O148="Jue.")</f>
        <v>0</v>
      </c>
      <c r="T149" t="str">
        <f>IF(AND(Hoja4!H148="Empresa de embarque B",Hoja4!I148="Cheque"),"dale","vaaa")</f>
        <v>vaaa</v>
      </c>
      <c r="V149" t="str">
        <f>IF(AND(Hoja4!H148="Empresa de embarque B",Hoja4!I148="Cheque",Hoja4!J148="Cerveza"),"dale","vaaa")</f>
        <v>vaaa</v>
      </c>
      <c r="X149" t="str">
        <f>IF(OR(Hoja4!H148="Empresa de embarque B",Hoja4!I148="Cheque",Hoja4!J148="cerveza"),"dale","vaaa")</f>
        <v>vaaa</v>
      </c>
      <c r="Z149" t="str">
        <f>IF(NOT(OR(Hoja4!I148="Cheque",Hoja4!J148="Cerveza")),"Aprobado","No Aprobado")</f>
        <v>Aprobado</v>
      </c>
    </row>
    <row r="150" spans="19:26" x14ac:dyDescent="0.25">
      <c r="S150" s="2" t="b">
        <f>AND(Hoja4!$P149="abril",Hoja4!$O149="Jue.")</f>
        <v>0</v>
      </c>
      <c r="T150" t="str">
        <f>IF(AND(Hoja4!H149="Empresa de embarque B",Hoja4!I149="Cheque"),"dale","vaaa")</f>
        <v>vaaa</v>
      </c>
      <c r="V150" t="str">
        <f>IF(AND(Hoja4!H149="Empresa de embarque B",Hoja4!I149="Cheque",Hoja4!J149="Cerveza"),"dale","vaaa")</f>
        <v>vaaa</v>
      </c>
      <c r="X150" t="str">
        <f>IF(OR(Hoja4!H149="Empresa de embarque B",Hoja4!I149="Cheque",Hoja4!J149="cerveza"),"dale","vaaa")</f>
        <v>dale</v>
      </c>
      <c r="Z150" t="str">
        <f>IF(NOT(OR(Hoja4!I149="Cheque",Hoja4!J149="Cerveza")),"Aprobado","No Aprobado")</f>
        <v>Aprobado</v>
      </c>
    </row>
    <row r="151" spans="19:26" x14ac:dyDescent="0.25">
      <c r="S151" s="2" t="b">
        <f>AND(Hoja4!$P150="abril",Hoja4!$O150="Jue.")</f>
        <v>1</v>
      </c>
      <c r="T151" t="str">
        <f>IF(AND(Hoja4!H150="Empresa de embarque B",Hoja4!I150="Cheque"),"dale","vaaa")</f>
        <v>vaaa</v>
      </c>
      <c r="V151" t="str">
        <f>IF(AND(Hoja4!H150="Empresa de embarque B",Hoja4!I150="Cheque",Hoja4!J150="Cerveza"),"dale","vaaa")</f>
        <v>vaaa</v>
      </c>
      <c r="X151" t="str">
        <f>IF(OR(Hoja4!H150="Empresa de embarque B",Hoja4!I150="Cheque",Hoja4!J150="cerveza"),"dale","vaaa")</f>
        <v>dale</v>
      </c>
      <c r="Z151" t="str">
        <f>IF(NOT(OR(Hoja4!I150="Cheque",Hoja4!J150="Cerveza")),"Aprobado","No Aprobado")</f>
        <v>Aprobado</v>
      </c>
    </row>
    <row r="152" spans="19:26" x14ac:dyDescent="0.25">
      <c r="S152" s="2" t="b">
        <f>AND(Hoja4!$P151="abril",Hoja4!$O151="Jue.")</f>
        <v>0</v>
      </c>
      <c r="T152" t="str">
        <f>IF(AND(Hoja4!H151="Empresa de embarque B",Hoja4!I151="Cheque"),"dale","vaaa")</f>
        <v>vaaa</v>
      </c>
      <c r="V152" t="str">
        <f>IF(AND(Hoja4!H151="Empresa de embarque B",Hoja4!I151="Cheque",Hoja4!J151="Cerveza"),"dale","vaaa")</f>
        <v>vaaa</v>
      </c>
      <c r="X152" t="str">
        <f>IF(OR(Hoja4!H151="Empresa de embarque B",Hoja4!I151="Cheque",Hoja4!J151="cerveza"),"dale","vaaa")</f>
        <v>dale</v>
      </c>
      <c r="Z152" t="str">
        <f>IF(NOT(OR(Hoja4!I151="Cheque",Hoja4!J151="Cerveza")),"Aprobado","No Aprobado")</f>
        <v>Aprobado</v>
      </c>
    </row>
    <row r="153" spans="19:26" x14ac:dyDescent="0.25">
      <c r="S153" s="2" t="b">
        <f>AND(Hoja4!$P152="abril",Hoja4!$O152="Jue.")</f>
        <v>0</v>
      </c>
      <c r="T153" t="str">
        <f>IF(AND(Hoja4!H152="Empresa de embarque B",Hoja4!I152="Cheque"),"dale","vaaa")</f>
        <v>vaaa</v>
      </c>
      <c r="V153" t="str">
        <f>IF(AND(Hoja4!H152="Empresa de embarque B",Hoja4!I152="Cheque",Hoja4!J152="Cerveza"),"dale","vaaa")</f>
        <v>vaaa</v>
      </c>
      <c r="X153" t="str">
        <f>IF(OR(Hoja4!H152="Empresa de embarque B",Hoja4!I152="Cheque",Hoja4!J152="cerveza"),"dale","vaaa")</f>
        <v>vaaa</v>
      </c>
      <c r="Z153" t="str">
        <f>IF(NOT(OR(Hoja4!I152="Cheque",Hoja4!J152="Cerveza")),"Aprobado","No Aprobado")</f>
        <v>Aprobado</v>
      </c>
    </row>
    <row r="154" spans="19:26" x14ac:dyDescent="0.25">
      <c r="S154" s="2" t="b">
        <f>AND(Hoja4!$P153="abril",Hoja4!$O153="Jue.")</f>
        <v>0</v>
      </c>
      <c r="T154" t="str">
        <f>IF(AND(Hoja4!H153="Empresa de embarque B",Hoja4!I153="Cheque"),"dale","vaaa")</f>
        <v>vaaa</v>
      </c>
      <c r="V154" t="str">
        <f>IF(AND(Hoja4!H153="Empresa de embarque B",Hoja4!I153="Cheque",Hoja4!J153="Cerveza"),"dale","vaaa")</f>
        <v>vaaa</v>
      </c>
      <c r="X154" t="str">
        <f>IF(OR(Hoja4!H153="Empresa de embarque B",Hoja4!I153="Cheque",Hoja4!J153="cerveza"),"dale","vaaa")</f>
        <v>vaaa</v>
      </c>
      <c r="Z154" t="str">
        <f>IF(NOT(OR(Hoja4!I153="Cheque",Hoja4!J153="Cerveza")),"Aprobado","No Aprobado")</f>
        <v>Aprobado</v>
      </c>
    </row>
    <row r="155" spans="19:26" x14ac:dyDescent="0.25">
      <c r="S155" s="2" t="b">
        <f>AND(Hoja4!$P154="abril",Hoja4!$O154="Jue.")</f>
        <v>0</v>
      </c>
      <c r="T155" t="str">
        <f>IF(AND(Hoja4!H154="Empresa de embarque B",Hoja4!I154="Cheque"),"dale","vaaa")</f>
        <v>vaaa</v>
      </c>
      <c r="V155" t="str">
        <f>IF(AND(Hoja4!H154="Empresa de embarque B",Hoja4!I154="Cheque",Hoja4!J154="Cerveza"),"dale","vaaa")</f>
        <v>vaaa</v>
      </c>
      <c r="X155" t="str">
        <f>IF(OR(Hoja4!H154="Empresa de embarque B",Hoja4!I154="Cheque",Hoja4!J154="cerveza"),"dale","vaaa")</f>
        <v>vaaa</v>
      </c>
      <c r="Z155" t="str">
        <f>IF(NOT(OR(Hoja4!I154="Cheque",Hoja4!J154="Cerveza")),"Aprobado","No Aprobado")</f>
        <v>Aprobado</v>
      </c>
    </row>
    <row r="156" spans="19:26" x14ac:dyDescent="0.25">
      <c r="S156" s="2" t="b">
        <f>AND(Hoja4!$P155="abril",Hoja4!$O155="Jue.")</f>
        <v>0</v>
      </c>
      <c r="T156" t="str">
        <f>IF(AND(Hoja4!H155="Empresa de embarque B",Hoja4!I155="Cheque"),"dale","vaaa")</f>
        <v>vaaa</v>
      </c>
      <c r="V156" t="str">
        <f>IF(AND(Hoja4!H155="Empresa de embarque B",Hoja4!I155="Cheque",Hoja4!J155="Cerveza"),"dale","vaaa")</f>
        <v>vaaa</v>
      </c>
      <c r="X156" t="str">
        <f>IF(OR(Hoja4!H155="Empresa de embarque B",Hoja4!I155="Cheque",Hoja4!J155="cerveza"),"dale","vaaa")</f>
        <v>vaaa</v>
      </c>
      <c r="Z156" t="str">
        <f>IF(NOT(OR(Hoja4!I155="Cheque",Hoja4!J155="Cerveza")),"Aprobado","No Aprobado")</f>
        <v>Aprobado</v>
      </c>
    </row>
    <row r="157" spans="19:26" x14ac:dyDescent="0.25">
      <c r="S157" s="2" t="b">
        <f>AND(Hoja4!$P156="abril",Hoja4!$O156="Jue.")</f>
        <v>0</v>
      </c>
      <c r="T157" t="str">
        <f>IF(AND(Hoja4!H156="Empresa de embarque B",Hoja4!I156="Cheque"),"dale","vaaa")</f>
        <v>vaaa</v>
      </c>
      <c r="V157" t="str">
        <f>IF(AND(Hoja4!H156="Empresa de embarque B",Hoja4!I156="Cheque",Hoja4!J156="Cerveza"),"dale","vaaa")</f>
        <v>vaaa</v>
      </c>
      <c r="X157" t="str">
        <f>IF(OR(Hoja4!H156="Empresa de embarque B",Hoja4!I156="Cheque",Hoja4!J156="cerveza"),"dale","vaaa")</f>
        <v>dale</v>
      </c>
      <c r="Z157" t="str">
        <f>IF(NOT(OR(Hoja4!I156="Cheque",Hoja4!J156="Cerveza")),"Aprobado","No Aprobado")</f>
        <v>No Aprobado</v>
      </c>
    </row>
    <row r="158" spans="19:26" x14ac:dyDescent="0.25">
      <c r="S158" s="2" t="b">
        <f>AND(Hoja4!$P157="abril",Hoja4!$O157="Jue.")</f>
        <v>0</v>
      </c>
      <c r="T158" t="str">
        <f>IF(AND(Hoja4!H157="Empresa de embarque B",Hoja4!I157="Cheque"),"dale","vaaa")</f>
        <v>vaaa</v>
      </c>
      <c r="V158" t="str">
        <f>IF(AND(Hoja4!H157="Empresa de embarque B",Hoja4!I157="Cheque",Hoja4!J157="Cerveza"),"dale","vaaa")</f>
        <v>vaaa</v>
      </c>
      <c r="X158" t="str">
        <f>IF(OR(Hoja4!H157="Empresa de embarque B",Hoja4!I157="Cheque",Hoja4!J157="cerveza"),"dale","vaaa")</f>
        <v>dale</v>
      </c>
      <c r="Z158" t="str">
        <f>IF(NOT(OR(Hoja4!I157="Cheque",Hoja4!J157="Cerveza")),"Aprobado","No Aprobado")</f>
        <v>Aprobado</v>
      </c>
    </row>
    <row r="159" spans="19:26" x14ac:dyDescent="0.25">
      <c r="S159" s="2" t="b">
        <f>AND(Hoja4!$P158="abril",Hoja4!$O158="Jue.")</f>
        <v>0</v>
      </c>
      <c r="T159" t="str">
        <f>IF(AND(Hoja4!H158="Empresa de embarque B",Hoja4!I158="Cheque"),"dale","vaaa")</f>
        <v>dale</v>
      </c>
      <c r="V159" t="str">
        <f>IF(AND(Hoja4!H158="Empresa de embarque B",Hoja4!I158="Cheque",Hoja4!J158="Cerveza"),"dale","vaaa")</f>
        <v>vaaa</v>
      </c>
      <c r="X159" t="str">
        <f>IF(OR(Hoja4!H158="Empresa de embarque B",Hoja4!I158="Cheque",Hoja4!J158="cerveza"),"dale","vaaa")</f>
        <v>dale</v>
      </c>
      <c r="Z159" t="str">
        <f>IF(NOT(OR(Hoja4!I158="Cheque",Hoja4!J158="Cerveza")),"Aprobado","No Aprobado")</f>
        <v>No Aprobado</v>
      </c>
    </row>
    <row r="160" spans="19:26" x14ac:dyDescent="0.25">
      <c r="S160" s="2" t="b">
        <f>AND(Hoja4!$P159="abril",Hoja4!$O159="Jue.")</f>
        <v>0</v>
      </c>
      <c r="T160" t="str">
        <f>IF(AND(Hoja4!H159="Empresa de embarque B",Hoja4!I159="Cheque"),"dale","vaaa")</f>
        <v>vaaa</v>
      </c>
      <c r="V160" t="str">
        <f>IF(AND(Hoja4!H159="Empresa de embarque B",Hoja4!I159="Cheque",Hoja4!J159="Cerveza"),"dale","vaaa")</f>
        <v>vaaa</v>
      </c>
      <c r="X160" t="str">
        <f>IF(OR(Hoja4!H159="Empresa de embarque B",Hoja4!I159="Cheque",Hoja4!J159="cerveza"),"dale","vaaa")</f>
        <v>vaaa</v>
      </c>
      <c r="Z160" t="str">
        <f>IF(NOT(OR(Hoja4!I159="Cheque",Hoja4!J159="Cerveza")),"Aprobado","No Aprobado")</f>
        <v>Aprobado</v>
      </c>
    </row>
    <row r="161" spans="19:26" x14ac:dyDescent="0.25">
      <c r="S161" s="2" t="b">
        <f>AND(Hoja4!$P160="abril",Hoja4!$O160="Jue.")</f>
        <v>0</v>
      </c>
      <c r="T161" t="str">
        <f>IF(AND(Hoja4!H160="Empresa de embarque B",Hoja4!I160="Cheque"),"dale","vaaa")</f>
        <v>vaaa</v>
      </c>
      <c r="V161" t="str">
        <f>IF(AND(Hoja4!H160="Empresa de embarque B",Hoja4!I160="Cheque",Hoja4!J160="Cerveza"),"dale","vaaa")</f>
        <v>vaaa</v>
      </c>
      <c r="X161" t="str">
        <f>IF(OR(Hoja4!H160="Empresa de embarque B",Hoja4!I160="Cheque",Hoja4!J160="cerveza"),"dale","vaaa")</f>
        <v>vaaa</v>
      </c>
      <c r="Z161" t="str">
        <f>IF(NOT(OR(Hoja4!I160="Cheque",Hoja4!J160="Cerveza")),"Aprobado","No Aprobado")</f>
        <v>Aprobado</v>
      </c>
    </row>
    <row r="162" spans="19:26" x14ac:dyDescent="0.25">
      <c r="S162" s="2" t="b">
        <f>AND(Hoja4!$P161="abril",Hoja4!$O161="Jue.")</f>
        <v>0</v>
      </c>
      <c r="T162" t="str">
        <f>IF(AND(Hoja4!H161="Empresa de embarque B",Hoja4!I161="Cheque"),"dale","vaaa")</f>
        <v>dale</v>
      </c>
      <c r="V162" t="str">
        <f>IF(AND(Hoja4!H161="Empresa de embarque B",Hoja4!I161="Cheque",Hoja4!J161="Cerveza"),"dale","vaaa")</f>
        <v>vaaa</v>
      </c>
      <c r="X162" t="str">
        <f>IF(OR(Hoja4!H161="Empresa de embarque B",Hoja4!I161="Cheque",Hoja4!J161="cerveza"),"dale","vaaa")</f>
        <v>dale</v>
      </c>
      <c r="Z162" t="str">
        <f>IF(NOT(OR(Hoja4!I161="Cheque",Hoja4!J161="Cerveza")),"Aprobado","No Aprobado")</f>
        <v>No Aprobado</v>
      </c>
    </row>
    <row r="163" spans="19:26" x14ac:dyDescent="0.25">
      <c r="S163" s="2" t="b">
        <f>AND(Hoja4!$P162="abril",Hoja4!$O162="Jue.")</f>
        <v>0</v>
      </c>
      <c r="T163" t="str">
        <f>IF(AND(Hoja4!H162="Empresa de embarque B",Hoja4!I162="Cheque"),"dale","vaaa")</f>
        <v>vaaa</v>
      </c>
      <c r="V163" t="str">
        <f>IF(AND(Hoja4!H162="Empresa de embarque B",Hoja4!I162="Cheque",Hoja4!J162="Cerveza"),"dale","vaaa")</f>
        <v>vaaa</v>
      </c>
      <c r="X163" t="str">
        <f>IF(OR(Hoja4!H162="Empresa de embarque B",Hoja4!I162="Cheque",Hoja4!J162="cerveza"),"dale","vaaa")</f>
        <v>dale</v>
      </c>
      <c r="Z163" t="str">
        <f>IF(NOT(OR(Hoja4!I162="Cheque",Hoja4!J162="Cerveza")),"Aprobado","No Aprobado")</f>
        <v>No Aprobado</v>
      </c>
    </row>
    <row r="164" spans="19:26" x14ac:dyDescent="0.25">
      <c r="S164" s="2" t="b">
        <f>AND(Hoja4!$P163="abril",Hoja4!$O163="Jue.")</f>
        <v>0</v>
      </c>
      <c r="T164" t="str">
        <f>IF(AND(Hoja4!H163="Empresa de embarque B",Hoja4!I163="Cheque"),"dale","vaaa")</f>
        <v>vaaa</v>
      </c>
      <c r="V164" t="str">
        <f>IF(AND(Hoja4!H163="Empresa de embarque B",Hoja4!I163="Cheque",Hoja4!J163="Cerveza"),"dale","vaaa")</f>
        <v>vaaa</v>
      </c>
      <c r="X164" t="str">
        <f>IF(OR(Hoja4!H163="Empresa de embarque B",Hoja4!I163="Cheque",Hoja4!J163="cerveza"),"dale","vaaa")</f>
        <v>dale</v>
      </c>
      <c r="Z164" t="str">
        <f>IF(NOT(OR(Hoja4!I163="Cheque",Hoja4!J163="Cerveza")),"Aprobado","No Aprobado")</f>
        <v>No Aprobado</v>
      </c>
    </row>
    <row r="165" spans="19:26" x14ac:dyDescent="0.25">
      <c r="S165" s="2" t="b">
        <f>AND(Hoja4!$P164="abril",Hoja4!$O164="Jue.")</f>
        <v>0</v>
      </c>
      <c r="T165" t="str">
        <f>IF(AND(Hoja4!H164="Empresa de embarque B",Hoja4!I164="Cheque"),"dale","vaaa")</f>
        <v>vaaa</v>
      </c>
      <c r="V165" t="str">
        <f>IF(AND(Hoja4!H164="Empresa de embarque B",Hoja4!I164="Cheque",Hoja4!J164="Cerveza"),"dale","vaaa")</f>
        <v>vaaa</v>
      </c>
      <c r="X165" t="str">
        <f>IF(OR(Hoja4!H164="Empresa de embarque B",Hoja4!I164="Cheque",Hoja4!J164="cerveza"),"dale","vaaa")</f>
        <v>vaaa</v>
      </c>
      <c r="Z165" t="str">
        <f>IF(NOT(OR(Hoja4!I164="Cheque",Hoja4!J164="Cerveza")),"Aprobado","No Aprobado")</f>
        <v>Aprobado</v>
      </c>
    </row>
    <row r="166" spans="19:26" x14ac:dyDescent="0.25">
      <c r="S166" s="2" t="b">
        <f>AND(Hoja4!$P165="abril",Hoja4!$O165="Jue.")</f>
        <v>0</v>
      </c>
      <c r="T166" t="str">
        <f>IF(AND(Hoja4!H165="Empresa de embarque B",Hoja4!I165="Cheque"),"dale","vaaa")</f>
        <v>vaaa</v>
      </c>
      <c r="V166" t="str">
        <f>IF(AND(Hoja4!H165="Empresa de embarque B",Hoja4!I165="Cheque",Hoja4!J165="Cerveza"),"dale","vaaa")</f>
        <v>vaaa</v>
      </c>
      <c r="X166" t="str">
        <f>IF(OR(Hoja4!H165="Empresa de embarque B",Hoja4!I165="Cheque",Hoja4!J165="cerveza"),"dale","vaaa")</f>
        <v>vaaa</v>
      </c>
      <c r="Z166" t="str">
        <f>IF(NOT(OR(Hoja4!I165="Cheque",Hoja4!J165="Cerveza")),"Aprobado","No Aprobado")</f>
        <v>Aprobado</v>
      </c>
    </row>
    <row r="167" spans="19:26" x14ac:dyDescent="0.25">
      <c r="S167" s="2" t="b">
        <f>AND(Hoja4!$P166="abril",Hoja4!$O166="Jue.")</f>
        <v>0</v>
      </c>
      <c r="T167" t="str">
        <f>IF(AND(Hoja4!H166="Empresa de embarque B",Hoja4!I166="Cheque"),"dale","vaaa")</f>
        <v>vaaa</v>
      </c>
      <c r="V167" t="str">
        <f>IF(AND(Hoja4!H166="Empresa de embarque B",Hoja4!I166="Cheque",Hoja4!J166="Cerveza"),"dale","vaaa")</f>
        <v>vaaa</v>
      </c>
      <c r="X167" t="str">
        <f>IF(OR(Hoja4!H166="Empresa de embarque B",Hoja4!I166="Cheque",Hoja4!J166="cerveza"),"dale","vaaa")</f>
        <v>vaaa</v>
      </c>
      <c r="Z167" t="str">
        <f>IF(NOT(OR(Hoja4!I166="Cheque",Hoja4!J166="Cerveza")),"Aprobado","No Aprobado")</f>
        <v>Aprobado</v>
      </c>
    </row>
    <row r="168" spans="19:26" x14ac:dyDescent="0.25">
      <c r="S168" s="2" t="b">
        <f>AND(Hoja4!$P167="abril",Hoja4!$O167="Jue.")</f>
        <v>0</v>
      </c>
      <c r="T168" t="str">
        <f>IF(AND(Hoja4!H167="Empresa de embarque B",Hoja4!I167="Cheque"),"dale","vaaa")</f>
        <v>vaaa</v>
      </c>
      <c r="V168" t="str">
        <f>IF(AND(Hoja4!H167="Empresa de embarque B",Hoja4!I167="Cheque",Hoja4!J167="Cerveza"),"dale","vaaa")</f>
        <v>vaaa</v>
      </c>
      <c r="X168" t="str">
        <f>IF(OR(Hoja4!H167="Empresa de embarque B",Hoja4!I167="Cheque",Hoja4!J167="cerveza"),"dale","vaaa")</f>
        <v>vaaa</v>
      </c>
      <c r="Z168" t="str">
        <f>IF(NOT(OR(Hoja4!I167="Cheque",Hoja4!J167="Cerveza")),"Aprobado","No Aprobado")</f>
        <v>Aprobado</v>
      </c>
    </row>
    <row r="169" spans="19:26" x14ac:dyDescent="0.25">
      <c r="S169" s="2" t="b">
        <f>AND(Hoja4!$P168="abril",Hoja4!$O168="Jue.")</f>
        <v>0</v>
      </c>
      <c r="T169" t="str">
        <f>IF(AND(Hoja4!H168="Empresa de embarque B",Hoja4!I168="Cheque"),"dale","vaaa")</f>
        <v>vaaa</v>
      </c>
      <c r="V169" t="str">
        <f>IF(AND(Hoja4!H168="Empresa de embarque B",Hoja4!I168="Cheque",Hoja4!J168="Cerveza"),"dale","vaaa")</f>
        <v>vaaa</v>
      </c>
      <c r="X169" t="str">
        <f>IF(OR(Hoja4!H168="Empresa de embarque B",Hoja4!I168="Cheque",Hoja4!J168="cerveza"),"dale","vaaa")</f>
        <v>vaaa</v>
      </c>
      <c r="Z169" t="str">
        <f>IF(NOT(OR(Hoja4!I168="Cheque",Hoja4!J168="Cerveza")),"Aprobado","No Aprobado")</f>
        <v>Aprobado</v>
      </c>
    </row>
    <row r="170" spans="19:26" x14ac:dyDescent="0.25">
      <c r="S170" s="2" t="b">
        <f>AND(Hoja4!$P169="abril",Hoja4!$O169="Jue.")</f>
        <v>0</v>
      </c>
      <c r="T170" t="str">
        <f>IF(AND(Hoja4!H169="Empresa de embarque B",Hoja4!I169="Cheque"),"dale","vaaa")</f>
        <v>vaaa</v>
      </c>
      <c r="V170" t="str">
        <f>IF(AND(Hoja4!H169="Empresa de embarque B",Hoja4!I169="Cheque",Hoja4!J169="Cerveza"),"dale","vaaa")</f>
        <v>vaaa</v>
      </c>
      <c r="X170" t="str">
        <f>IF(OR(Hoja4!H169="Empresa de embarque B",Hoja4!I169="Cheque",Hoja4!J169="cerveza"),"dale","vaaa")</f>
        <v>dale</v>
      </c>
      <c r="Z170" t="str">
        <f>IF(NOT(OR(Hoja4!I169="Cheque",Hoja4!J169="Cerveza")),"Aprobado","No Aprobado")</f>
        <v>No Aprobado</v>
      </c>
    </row>
    <row r="171" spans="19:26" x14ac:dyDescent="0.25">
      <c r="S171" s="2" t="b">
        <f>AND(Hoja4!$P170="abril",Hoja4!$O170="Jue.")</f>
        <v>0</v>
      </c>
      <c r="T171" t="str">
        <f>IF(AND(Hoja4!H170="Empresa de embarque B",Hoja4!I170="Cheque"),"dale","vaaa")</f>
        <v>vaaa</v>
      </c>
      <c r="V171" t="str">
        <f>IF(AND(Hoja4!H170="Empresa de embarque B",Hoja4!I170="Cheque",Hoja4!J170="Cerveza"),"dale","vaaa")</f>
        <v>vaaa</v>
      </c>
      <c r="X171" t="str">
        <f>IF(OR(Hoja4!H170="Empresa de embarque B",Hoja4!I170="Cheque",Hoja4!J170="cerveza"),"dale","vaaa")</f>
        <v>dale</v>
      </c>
      <c r="Z171" t="str">
        <f>IF(NOT(OR(Hoja4!I170="Cheque",Hoja4!J170="Cerveza")),"Aprobado","No Aprobado")</f>
        <v>No Aprobado</v>
      </c>
    </row>
    <row r="172" spans="19:26" x14ac:dyDescent="0.25">
      <c r="S172" s="2" t="b">
        <f>AND(Hoja4!$P171="abril",Hoja4!$O171="Jue.")</f>
        <v>0</v>
      </c>
      <c r="T172" t="str">
        <f>IF(AND(Hoja4!H171="Empresa de embarque B",Hoja4!I171="Cheque"),"dale","vaaa")</f>
        <v>vaaa</v>
      </c>
      <c r="V172" t="str">
        <f>IF(AND(Hoja4!H171="Empresa de embarque B",Hoja4!I171="Cheque",Hoja4!J171="Cerveza"),"dale","vaaa")</f>
        <v>vaaa</v>
      </c>
      <c r="X172" t="str">
        <f>IF(OR(Hoja4!H171="Empresa de embarque B",Hoja4!I171="Cheque",Hoja4!J171="cerveza"),"dale","vaaa")</f>
        <v>dale</v>
      </c>
      <c r="Z172" t="str">
        <f>IF(NOT(OR(Hoja4!I171="Cheque",Hoja4!J171="Cerveza")),"Aprobado","No Aprobado")</f>
        <v>No Aprobado</v>
      </c>
    </row>
    <row r="173" spans="19:26" x14ac:dyDescent="0.25">
      <c r="S173" s="2" t="b">
        <f>AND(Hoja4!$P172="abril",Hoja4!$O172="Jue.")</f>
        <v>0</v>
      </c>
      <c r="T173" t="str">
        <f>IF(AND(Hoja4!H172="Empresa de embarque B",Hoja4!I172="Cheque"),"dale","vaaa")</f>
        <v>dale</v>
      </c>
      <c r="V173" t="str">
        <f>IF(AND(Hoja4!H172="Empresa de embarque B",Hoja4!I172="Cheque",Hoja4!J172="Cerveza"),"dale","vaaa")</f>
        <v>vaaa</v>
      </c>
      <c r="X173" t="str">
        <f>IF(OR(Hoja4!H172="Empresa de embarque B",Hoja4!I172="Cheque",Hoja4!J172="cerveza"),"dale","vaaa")</f>
        <v>dale</v>
      </c>
      <c r="Z173" t="str">
        <f>IF(NOT(OR(Hoja4!I172="Cheque",Hoja4!J172="Cerveza")),"Aprobado","No Aprobado")</f>
        <v>No Aprobado</v>
      </c>
    </row>
    <row r="174" spans="19:26" x14ac:dyDescent="0.25">
      <c r="S174" s="2" t="b">
        <f>AND(Hoja4!$P173="abril",Hoja4!$O173="Jue.")</f>
        <v>0</v>
      </c>
      <c r="T174" t="str">
        <f>IF(AND(Hoja4!H173="Empresa de embarque B",Hoja4!I173="Cheque"),"dale","vaaa")</f>
        <v>dale</v>
      </c>
      <c r="V174" t="str">
        <f>IF(AND(Hoja4!H173="Empresa de embarque B",Hoja4!I173="Cheque",Hoja4!J173="Cerveza"),"dale","vaaa")</f>
        <v>vaaa</v>
      </c>
      <c r="X174" t="str">
        <f>IF(OR(Hoja4!H173="Empresa de embarque B",Hoja4!I173="Cheque",Hoja4!J173="cerveza"),"dale","vaaa")</f>
        <v>dale</v>
      </c>
      <c r="Z174" t="str">
        <f>IF(NOT(OR(Hoja4!I173="Cheque",Hoja4!J173="Cerveza")),"Aprobado","No Aprobado")</f>
        <v>No Aprobado</v>
      </c>
    </row>
    <row r="175" spans="19:26" x14ac:dyDescent="0.25">
      <c r="S175" s="2" t="b">
        <f>AND(Hoja4!$P174="abril",Hoja4!$O174="Jue.")</f>
        <v>0</v>
      </c>
      <c r="T175" t="str">
        <f>IF(AND(Hoja4!H174="Empresa de embarque B",Hoja4!I174="Cheque"),"dale","vaaa")</f>
        <v>vaaa</v>
      </c>
      <c r="V175" t="str">
        <f>IF(AND(Hoja4!H174="Empresa de embarque B",Hoja4!I174="Cheque",Hoja4!J174="Cerveza"),"dale","vaaa")</f>
        <v>vaaa</v>
      </c>
      <c r="X175" t="str">
        <f>IF(OR(Hoja4!H174="Empresa de embarque B",Hoja4!I174="Cheque",Hoja4!J174="cerveza"),"dale","vaaa")</f>
        <v>vaaa</v>
      </c>
      <c r="Z175" t="str">
        <f>IF(NOT(OR(Hoja4!I174="Cheque",Hoja4!J174="Cerveza")),"Aprobado","No Aprobado")</f>
        <v>Aprobado</v>
      </c>
    </row>
    <row r="176" spans="19:26" x14ac:dyDescent="0.25">
      <c r="S176" s="2" t="b">
        <f>AND(Hoja4!$P175="abril",Hoja4!$O175="Jue.")</f>
        <v>0</v>
      </c>
      <c r="T176" t="str">
        <f>IF(AND(Hoja4!H175="Empresa de embarque B",Hoja4!I175="Cheque"),"dale","vaaa")</f>
        <v>vaaa</v>
      </c>
      <c r="V176" t="str">
        <f>IF(AND(Hoja4!H175="Empresa de embarque B",Hoja4!I175="Cheque",Hoja4!J175="Cerveza"),"dale","vaaa")</f>
        <v>vaaa</v>
      </c>
      <c r="X176" t="str">
        <f>IF(OR(Hoja4!H175="Empresa de embarque B",Hoja4!I175="Cheque",Hoja4!J175="cerveza"),"dale","vaaa")</f>
        <v>vaaa</v>
      </c>
      <c r="Z176" t="str">
        <f>IF(NOT(OR(Hoja4!I175="Cheque",Hoja4!J175="Cerveza")),"Aprobado","No Aprobado")</f>
        <v>Aprobado</v>
      </c>
    </row>
    <row r="177" spans="19:26" x14ac:dyDescent="0.25">
      <c r="S177" s="2" t="b">
        <f>AND(Hoja4!$P176="abril",Hoja4!$O176="Jue.")</f>
        <v>0</v>
      </c>
      <c r="T177" t="str">
        <f>IF(AND(Hoja4!H176="Empresa de embarque B",Hoja4!I176="Cheque"),"dale","vaaa")</f>
        <v>vaaa</v>
      </c>
      <c r="V177" t="str">
        <f>IF(AND(Hoja4!H176="Empresa de embarque B",Hoja4!I176="Cheque",Hoja4!J176="Cerveza"),"dale","vaaa")</f>
        <v>vaaa</v>
      </c>
      <c r="X177" t="str">
        <f>IF(OR(Hoja4!H176="Empresa de embarque B",Hoja4!I176="Cheque",Hoja4!J176="cerveza"),"dale","vaaa")</f>
        <v>vaaa</v>
      </c>
      <c r="Z177" t="str">
        <f>IF(NOT(OR(Hoja4!I176="Cheque",Hoja4!J176="Cerveza")),"Aprobado","No Aprobado")</f>
        <v>Aprobado</v>
      </c>
    </row>
    <row r="178" spans="19:26" x14ac:dyDescent="0.25">
      <c r="S178" s="2" t="b">
        <f>AND(Hoja4!$P177="abril",Hoja4!$O177="Jue.")</f>
        <v>0</v>
      </c>
      <c r="T178" t="str">
        <f>IF(AND(Hoja4!H177="Empresa de embarque B",Hoja4!I177="Cheque"),"dale","vaaa")</f>
        <v>vaaa</v>
      </c>
      <c r="V178" t="str">
        <f>IF(AND(Hoja4!H177="Empresa de embarque B",Hoja4!I177="Cheque",Hoja4!J177="Cerveza"),"dale","vaaa")</f>
        <v>vaaa</v>
      </c>
      <c r="X178" t="str">
        <f>IF(OR(Hoja4!H177="Empresa de embarque B",Hoja4!I177="Cheque",Hoja4!J177="cerveza"),"dale","vaaa")</f>
        <v>vaaa</v>
      </c>
      <c r="Z178" t="str">
        <f>IF(NOT(OR(Hoja4!I177="Cheque",Hoja4!J177="Cerveza")),"Aprobado","No Aprobado")</f>
        <v>Aprobado</v>
      </c>
    </row>
    <row r="179" spans="19:26" x14ac:dyDescent="0.25">
      <c r="S179" s="2" t="b">
        <f>AND(Hoja4!$P178="abril",Hoja4!$O178="Jue.")</f>
        <v>0</v>
      </c>
      <c r="T179" t="str">
        <f>IF(AND(Hoja4!H178="Empresa de embarque B",Hoja4!I178="Cheque"),"dale","vaaa")</f>
        <v>dale</v>
      </c>
      <c r="V179" t="str">
        <f>IF(AND(Hoja4!H178="Empresa de embarque B",Hoja4!I178="Cheque",Hoja4!J178="Cerveza"),"dale","vaaa")</f>
        <v>dale</v>
      </c>
      <c r="X179" t="str">
        <f>IF(OR(Hoja4!H178="Empresa de embarque B",Hoja4!I178="Cheque",Hoja4!J178="cerveza"),"dale","vaaa")</f>
        <v>dale</v>
      </c>
      <c r="Z179" t="str">
        <f>IF(NOT(OR(Hoja4!I178="Cheque",Hoja4!J178="Cerveza")),"Aprobado","No Aprobado")</f>
        <v>No Aprobado</v>
      </c>
    </row>
    <row r="180" spans="19:26" x14ac:dyDescent="0.25">
      <c r="S180" s="2" t="b">
        <f>AND(Hoja4!$P179="abril",Hoja4!$O179="Jue.")</f>
        <v>0</v>
      </c>
      <c r="T180" t="str">
        <f>IF(AND(Hoja4!H179="Empresa de embarque B",Hoja4!I179="Cheque"),"dale","vaaa")</f>
        <v>vaaa</v>
      </c>
      <c r="V180" t="str">
        <f>IF(AND(Hoja4!H179="Empresa de embarque B",Hoja4!I179="Cheque",Hoja4!J179="Cerveza"),"dale","vaaa")</f>
        <v>vaaa</v>
      </c>
      <c r="X180" t="str">
        <f>IF(OR(Hoja4!H179="Empresa de embarque B",Hoja4!I179="Cheque",Hoja4!J179="cerveza"),"dale","vaaa")</f>
        <v>dale</v>
      </c>
      <c r="Z180" t="str">
        <f>IF(NOT(OR(Hoja4!I179="Cheque",Hoja4!J179="Cerveza")),"Aprobado","No Aprobado")</f>
        <v>No Aprobado</v>
      </c>
    </row>
    <row r="181" spans="19:26" x14ac:dyDescent="0.25">
      <c r="S181" s="2" t="b">
        <f>AND(Hoja4!$P180="abril",Hoja4!$O180="Jue.")</f>
        <v>1</v>
      </c>
      <c r="T181" t="str">
        <f>IF(AND(Hoja4!H180="Empresa de embarque B",Hoja4!I180="Cheque"),"dale","vaaa")</f>
        <v>vaaa</v>
      </c>
      <c r="V181" t="str">
        <f>IF(AND(Hoja4!H180="Empresa de embarque B",Hoja4!I180="Cheque",Hoja4!J180="Cerveza"),"dale","vaaa")</f>
        <v>vaaa</v>
      </c>
      <c r="X181" t="str">
        <f>IF(OR(Hoja4!H180="Empresa de embarque B",Hoja4!I180="Cheque",Hoja4!J180="cerveza"),"dale","vaaa")</f>
        <v>vaaa</v>
      </c>
      <c r="Z181" t="str">
        <f>IF(NOT(OR(Hoja4!I180="Cheque",Hoja4!J180="Cerveza")),"Aprobado","No Aprobado")</f>
        <v>Aprobado</v>
      </c>
    </row>
    <row r="182" spans="19:26" x14ac:dyDescent="0.25">
      <c r="S182" s="2" t="b">
        <f>AND(Hoja4!$P181="abril",Hoja4!$O181="Jue.")</f>
        <v>0</v>
      </c>
      <c r="T182" t="str">
        <f>IF(AND(Hoja4!H181="Empresa de embarque B",Hoja4!I181="Cheque"),"dale","vaaa")</f>
        <v>vaaa</v>
      </c>
      <c r="V182" t="str">
        <f>IF(AND(Hoja4!H181="Empresa de embarque B",Hoja4!I181="Cheque",Hoja4!J181="Cerveza"),"dale","vaaa")</f>
        <v>vaaa</v>
      </c>
      <c r="X182" t="str">
        <f>IF(OR(Hoja4!H181="Empresa de embarque B",Hoja4!I181="Cheque",Hoja4!J181="cerveza"),"dale","vaaa")</f>
        <v>vaaa</v>
      </c>
      <c r="Z182" t="str">
        <f>IF(NOT(OR(Hoja4!I181="Cheque",Hoja4!J181="Cerveza")),"Aprobado","No Aprobado")</f>
        <v>Aprobado</v>
      </c>
    </row>
    <row r="183" spans="19:26" x14ac:dyDescent="0.25">
      <c r="S183" s="2" t="b">
        <f>AND(Hoja4!$P182="abril",Hoja4!$O182="Jue.")</f>
        <v>0</v>
      </c>
      <c r="T183" t="str">
        <f>IF(AND(Hoja4!H182="Empresa de embarque B",Hoja4!I182="Cheque"),"dale","vaaa")</f>
        <v>vaaa</v>
      </c>
      <c r="V183" t="str">
        <f>IF(AND(Hoja4!H182="Empresa de embarque B",Hoja4!I182="Cheque",Hoja4!J182="Cerveza"),"dale","vaaa")</f>
        <v>vaaa</v>
      </c>
      <c r="X183" t="str">
        <f>IF(OR(Hoja4!H182="Empresa de embarque B",Hoja4!I182="Cheque",Hoja4!J182="cerveza"),"dale","vaaa")</f>
        <v>vaaa</v>
      </c>
      <c r="Z183" t="str">
        <f>IF(NOT(OR(Hoja4!I182="Cheque",Hoja4!J182="Cerveza")),"Aprobado","No Aprobado")</f>
        <v>Aprobado</v>
      </c>
    </row>
    <row r="184" spans="19:26" x14ac:dyDescent="0.25">
      <c r="S184" s="2" t="b">
        <f>AND(Hoja4!$P183="abril",Hoja4!$O183="Jue.")</f>
        <v>0</v>
      </c>
      <c r="T184" t="str">
        <f>IF(AND(Hoja4!H183="Empresa de embarque B",Hoja4!I183="Cheque"),"dale","vaaa")</f>
        <v>vaaa</v>
      </c>
      <c r="V184" t="str">
        <f>IF(AND(Hoja4!H183="Empresa de embarque B",Hoja4!I183="Cheque",Hoja4!J183="Cerveza"),"dale","vaaa")</f>
        <v>vaaa</v>
      </c>
      <c r="X184" t="str">
        <f>IF(OR(Hoja4!H183="Empresa de embarque B",Hoja4!I183="Cheque",Hoja4!J183="cerveza"),"dale","vaaa")</f>
        <v>dale</v>
      </c>
      <c r="Z184" t="str">
        <f>IF(NOT(OR(Hoja4!I183="Cheque",Hoja4!J183="Cerveza")),"Aprobado","No Aprobado")</f>
        <v>Aprobado</v>
      </c>
    </row>
    <row r="185" spans="19:26" x14ac:dyDescent="0.25">
      <c r="S185" s="2" t="b">
        <f>AND(Hoja4!$P184="abril",Hoja4!$O184="Jue.")</f>
        <v>0</v>
      </c>
      <c r="T185" t="str">
        <f>IF(AND(Hoja4!H184="Empresa de embarque B",Hoja4!I184="Cheque"),"dale","vaaa")</f>
        <v>vaaa</v>
      </c>
      <c r="V185" t="str">
        <f>IF(AND(Hoja4!H184="Empresa de embarque B",Hoja4!I184="Cheque",Hoja4!J184="Cerveza"),"dale","vaaa")</f>
        <v>vaaa</v>
      </c>
      <c r="X185" t="str">
        <f>IF(OR(Hoja4!H184="Empresa de embarque B",Hoja4!I184="Cheque",Hoja4!J184="cerveza"),"dale","vaaa")</f>
        <v>dale</v>
      </c>
      <c r="Z185" t="str">
        <f>IF(NOT(OR(Hoja4!I184="Cheque",Hoja4!J184="Cerveza")),"Aprobado","No Aprobado")</f>
        <v>Aprobado</v>
      </c>
    </row>
    <row r="186" spans="19:26" x14ac:dyDescent="0.25">
      <c r="S186" s="2" t="b">
        <f>AND(Hoja4!$P185="abril",Hoja4!$O185="Jue.")</f>
        <v>0</v>
      </c>
      <c r="T186" t="str">
        <f>IF(AND(Hoja4!H185="Empresa de embarque B",Hoja4!I185="Cheque"),"dale","vaaa")</f>
        <v>vaaa</v>
      </c>
      <c r="V186" t="str">
        <f>IF(AND(Hoja4!H185="Empresa de embarque B",Hoja4!I185="Cheque",Hoja4!J185="Cerveza"),"dale","vaaa")</f>
        <v>vaaa</v>
      </c>
      <c r="X186" t="str">
        <f>IF(OR(Hoja4!H185="Empresa de embarque B",Hoja4!I185="Cheque",Hoja4!J185="cerveza"),"dale","vaaa")</f>
        <v>dale</v>
      </c>
      <c r="Z186" t="str">
        <f>IF(NOT(OR(Hoja4!I185="Cheque",Hoja4!J185="Cerveza")),"Aprobado","No Aprobado")</f>
        <v>Aprobado</v>
      </c>
    </row>
    <row r="187" spans="19:26" x14ac:dyDescent="0.25">
      <c r="S187" s="2" t="b">
        <f>AND(Hoja4!$P186="abril",Hoja4!$O186="Jue.")</f>
        <v>0</v>
      </c>
      <c r="T187" t="str">
        <f>IF(AND(Hoja4!H186="Empresa de embarque B",Hoja4!I186="Cheque"),"dale","vaaa")</f>
        <v>vaaa</v>
      </c>
      <c r="V187" t="str">
        <f>IF(AND(Hoja4!H186="Empresa de embarque B",Hoja4!I186="Cheque",Hoja4!J186="Cerveza"),"dale","vaaa")</f>
        <v>vaaa</v>
      </c>
      <c r="X187" t="str">
        <f>IF(OR(Hoja4!H186="Empresa de embarque B",Hoja4!I186="Cheque",Hoja4!J186="cerveza"),"dale","vaaa")</f>
        <v>vaaa</v>
      </c>
      <c r="Z187" t="str">
        <f>IF(NOT(OR(Hoja4!I186="Cheque",Hoja4!J186="Cerveza")),"Aprobado","No Aprobado")</f>
        <v>Aprobado</v>
      </c>
    </row>
    <row r="188" spans="19:26" x14ac:dyDescent="0.25">
      <c r="S188" s="2" t="b">
        <f>AND(Hoja4!$P187="abril",Hoja4!$O187="Jue.")</f>
        <v>0</v>
      </c>
      <c r="T188" t="str">
        <f>IF(AND(Hoja4!H187="Empresa de embarque B",Hoja4!I187="Cheque"),"dale","vaaa")</f>
        <v>vaaa</v>
      </c>
      <c r="V188" t="str">
        <f>IF(AND(Hoja4!H187="Empresa de embarque B",Hoja4!I187="Cheque",Hoja4!J187="Cerveza"),"dale","vaaa")</f>
        <v>vaaa</v>
      </c>
      <c r="X188" t="str">
        <f>IF(OR(Hoja4!H187="Empresa de embarque B",Hoja4!I187="Cheque",Hoja4!J187="cerveza"),"dale","vaaa")</f>
        <v>vaaa</v>
      </c>
      <c r="Z188" t="str">
        <f>IF(NOT(OR(Hoja4!I187="Cheque",Hoja4!J187="Cerveza")),"Aprobado","No Aprobado")</f>
        <v>Aprobado</v>
      </c>
    </row>
    <row r="189" spans="19:26" x14ac:dyDescent="0.25">
      <c r="S189" s="2" t="b">
        <f>AND(Hoja4!$P188="abril",Hoja4!$O188="Jue.")</f>
        <v>0</v>
      </c>
      <c r="T189" t="str">
        <f>IF(AND(Hoja4!H188="Empresa de embarque B",Hoja4!I188="Cheque"),"dale","vaaa")</f>
        <v>vaaa</v>
      </c>
      <c r="V189" t="str">
        <f>IF(AND(Hoja4!H188="Empresa de embarque B",Hoja4!I188="Cheque",Hoja4!J188="Cerveza"),"dale","vaaa")</f>
        <v>vaaa</v>
      </c>
      <c r="X189" t="str">
        <f>IF(OR(Hoja4!H188="Empresa de embarque B",Hoja4!I188="Cheque",Hoja4!J188="cerveza"),"dale","vaaa")</f>
        <v>vaaa</v>
      </c>
      <c r="Z189" t="str">
        <f>IF(NOT(OR(Hoja4!I188="Cheque",Hoja4!J188="Cerveza")),"Aprobado","No Aprobado")</f>
        <v>Aprobado</v>
      </c>
    </row>
    <row r="190" spans="19:26" x14ac:dyDescent="0.25">
      <c r="S190" s="2" t="b">
        <f>AND(Hoja4!$P189="abril",Hoja4!$O189="Jue.")</f>
        <v>0</v>
      </c>
      <c r="T190" t="str">
        <f>IF(AND(Hoja4!H189="Empresa de embarque B",Hoja4!I189="Cheque"),"dale","vaaa")</f>
        <v>vaaa</v>
      </c>
      <c r="V190" t="str">
        <f>IF(AND(Hoja4!H189="Empresa de embarque B",Hoja4!I189="Cheque",Hoja4!J189="Cerveza"),"dale","vaaa")</f>
        <v>vaaa</v>
      </c>
      <c r="X190" t="str">
        <f>IF(OR(Hoja4!H189="Empresa de embarque B",Hoja4!I189="Cheque",Hoja4!J189="cerveza"),"dale","vaaa")</f>
        <v>vaaa</v>
      </c>
      <c r="Z190" t="str">
        <f>IF(NOT(OR(Hoja4!I189="Cheque",Hoja4!J189="Cerveza")),"Aprobado","No Aprobado")</f>
        <v>Aprobado</v>
      </c>
    </row>
    <row r="191" spans="19:26" x14ac:dyDescent="0.25">
      <c r="S191" s="2" t="b">
        <f>AND(Hoja4!$P190="abril",Hoja4!$O190="Jue.")</f>
        <v>0</v>
      </c>
      <c r="T191" t="str">
        <f>IF(AND(Hoja4!H190="Empresa de embarque B",Hoja4!I190="Cheque"),"dale","vaaa")</f>
        <v>vaaa</v>
      </c>
      <c r="V191" t="str">
        <f>IF(AND(Hoja4!H190="Empresa de embarque B",Hoja4!I190="Cheque",Hoja4!J190="Cerveza"),"dale","vaaa")</f>
        <v>vaaa</v>
      </c>
      <c r="X191" t="str">
        <f>IF(OR(Hoja4!H190="Empresa de embarque B",Hoja4!I190="Cheque",Hoja4!J190="cerveza"),"dale","vaaa")</f>
        <v>dale</v>
      </c>
      <c r="Z191" t="str">
        <f>IF(NOT(OR(Hoja4!I190="Cheque",Hoja4!J190="Cerveza")),"Aprobado","No Aprobado")</f>
        <v>No Aprobado</v>
      </c>
    </row>
    <row r="192" spans="19:26" x14ac:dyDescent="0.25">
      <c r="S192" s="2" t="b">
        <f>AND(Hoja4!$P191="abril",Hoja4!$O191="Jue.")</f>
        <v>0</v>
      </c>
      <c r="T192" t="str">
        <f>IF(AND(Hoja4!H191="Empresa de embarque B",Hoja4!I191="Cheque"),"dale","vaaa")</f>
        <v>vaaa</v>
      </c>
      <c r="V192" t="str">
        <f>IF(AND(Hoja4!H191="Empresa de embarque B",Hoja4!I191="Cheque",Hoja4!J191="Cerveza"),"dale","vaaa")</f>
        <v>vaaa</v>
      </c>
      <c r="X192" t="str">
        <f>IF(OR(Hoja4!H191="Empresa de embarque B",Hoja4!I191="Cheque",Hoja4!J191="cerveza"),"dale","vaaa")</f>
        <v>dale</v>
      </c>
      <c r="Z192" t="str">
        <f>IF(NOT(OR(Hoja4!I191="Cheque",Hoja4!J191="Cerveza")),"Aprobado","No Aprobado")</f>
        <v>Aprobado</v>
      </c>
    </row>
    <row r="193" spans="19:26" x14ac:dyDescent="0.25">
      <c r="S193" s="2" t="b">
        <f>AND(Hoja4!$P192="abril",Hoja4!$O192="Jue.")</f>
        <v>0</v>
      </c>
      <c r="T193" t="str">
        <f>IF(AND(Hoja4!H192="Empresa de embarque B",Hoja4!I192="Cheque"),"dale","vaaa")</f>
        <v>vaaa</v>
      </c>
      <c r="V193" t="str">
        <f>IF(AND(Hoja4!H192="Empresa de embarque B",Hoja4!I192="Cheque",Hoja4!J192="Cerveza"),"dale","vaaa")</f>
        <v>vaaa</v>
      </c>
      <c r="X193" t="str">
        <f>IF(OR(Hoja4!H192="Empresa de embarque B",Hoja4!I192="Cheque",Hoja4!J192="cerveza"),"dale","vaaa")</f>
        <v>dale</v>
      </c>
      <c r="Z193" t="str">
        <f>IF(NOT(OR(Hoja4!I192="Cheque",Hoja4!J192="Cerveza")),"Aprobado","No Aprobado")</f>
        <v>No Aprobado</v>
      </c>
    </row>
    <row r="194" spans="19:26" x14ac:dyDescent="0.25">
      <c r="S194" s="2" t="b">
        <f>AND(Hoja4!$P193="abril",Hoja4!$O193="Jue.")</f>
        <v>0</v>
      </c>
      <c r="T194" t="str">
        <f>IF(AND(Hoja4!H193="Empresa de embarque B",Hoja4!I193="Cheque"),"dale","vaaa")</f>
        <v>vaaa</v>
      </c>
      <c r="V194" t="str">
        <f>IF(AND(Hoja4!H193="Empresa de embarque B",Hoja4!I193="Cheque",Hoja4!J193="Cerveza"),"dale","vaaa")</f>
        <v>vaaa</v>
      </c>
      <c r="X194" t="str">
        <f>IF(OR(Hoja4!H193="Empresa de embarque B",Hoja4!I193="Cheque",Hoja4!J193="cerveza"),"dale","vaaa")</f>
        <v>dale</v>
      </c>
      <c r="Z194" t="str">
        <f>IF(NOT(OR(Hoja4!I193="Cheque",Hoja4!J193="Cerveza")),"Aprobado","No Aprobado")</f>
        <v>No Aprobado</v>
      </c>
    </row>
    <row r="195" spans="19:26" x14ac:dyDescent="0.25">
      <c r="S195" s="2" t="b">
        <f>AND(Hoja4!$P194="abril",Hoja4!$O194="Jue.")</f>
        <v>0</v>
      </c>
      <c r="T195" t="str">
        <f>IF(AND(Hoja4!H194="Empresa de embarque B",Hoja4!I194="Cheque"),"dale","vaaa")</f>
        <v>vaaa</v>
      </c>
      <c r="V195" t="str">
        <f>IF(AND(Hoja4!H194="Empresa de embarque B",Hoja4!I194="Cheque",Hoja4!J194="Cerveza"),"dale","vaaa")</f>
        <v>vaaa</v>
      </c>
      <c r="X195" t="str">
        <f>IF(OR(Hoja4!H194="Empresa de embarque B",Hoja4!I194="Cheque",Hoja4!J194="cerveza"),"dale","vaaa")</f>
        <v>dale</v>
      </c>
      <c r="Z195" t="str">
        <f>IF(NOT(OR(Hoja4!I194="Cheque",Hoja4!J194="Cerveza")),"Aprobado","No Aprobado")</f>
        <v>Aprobado</v>
      </c>
    </row>
    <row r="196" spans="19:26" x14ac:dyDescent="0.25">
      <c r="S196" s="2" t="b">
        <f>AND(Hoja4!$P195="abril",Hoja4!$O195="Jue.")</f>
        <v>0</v>
      </c>
      <c r="T196" t="str">
        <f>IF(AND(Hoja4!H195="Empresa de embarque B",Hoja4!I195="Cheque"),"dale","vaaa")</f>
        <v>vaaa</v>
      </c>
      <c r="V196" t="str">
        <f>IF(AND(Hoja4!H195="Empresa de embarque B",Hoja4!I195="Cheque",Hoja4!J195="Cerveza"),"dale","vaaa")</f>
        <v>vaaa</v>
      </c>
      <c r="X196" t="str">
        <f>IF(OR(Hoja4!H195="Empresa de embarque B",Hoja4!I195="Cheque",Hoja4!J195="cerveza"),"dale","vaaa")</f>
        <v>vaaa</v>
      </c>
      <c r="Z196" t="str">
        <f>IF(NOT(OR(Hoja4!I195="Cheque",Hoja4!J195="Cerveza")),"Aprobado","No Aprobado")</f>
        <v>Aprobado</v>
      </c>
    </row>
    <row r="197" spans="19:26" x14ac:dyDescent="0.25">
      <c r="S197" s="2" t="b">
        <f>AND(Hoja4!$P196="abril",Hoja4!$O196="Jue.")</f>
        <v>0</v>
      </c>
      <c r="T197" t="str">
        <f>IF(AND(Hoja4!H196="Empresa de embarque B",Hoja4!I196="Cheque"),"dale","vaaa")</f>
        <v>vaaa</v>
      </c>
      <c r="V197" t="str">
        <f>IF(AND(Hoja4!H196="Empresa de embarque B",Hoja4!I196="Cheque",Hoja4!J196="Cerveza"),"dale","vaaa")</f>
        <v>vaaa</v>
      </c>
      <c r="X197" t="str">
        <f>IF(OR(Hoja4!H196="Empresa de embarque B",Hoja4!I196="Cheque",Hoja4!J196="cerveza"),"dale","vaaa")</f>
        <v>vaaa</v>
      </c>
      <c r="Z197" t="str">
        <f>IF(NOT(OR(Hoja4!I196="Cheque",Hoja4!J196="Cerveza")),"Aprobado","No Aprobado")</f>
        <v>Aprobado</v>
      </c>
    </row>
    <row r="198" spans="19:26" x14ac:dyDescent="0.25">
      <c r="S198" s="2" t="b">
        <f>AND(Hoja4!$P197="abril",Hoja4!$O197="Jue.")</f>
        <v>0</v>
      </c>
      <c r="T198" t="str">
        <f>IF(AND(Hoja4!H197="Empresa de embarque B",Hoja4!I197="Cheque"),"dale","vaaa")</f>
        <v>vaaa</v>
      </c>
      <c r="V198" t="str">
        <f>IF(AND(Hoja4!H197="Empresa de embarque B",Hoja4!I197="Cheque",Hoja4!J197="Cerveza"),"dale","vaaa")</f>
        <v>vaaa</v>
      </c>
      <c r="X198" t="str">
        <f>IF(OR(Hoja4!H197="Empresa de embarque B",Hoja4!I197="Cheque",Hoja4!J197="cerveza"),"dale","vaaa")</f>
        <v>vaaa</v>
      </c>
      <c r="Z198" t="str">
        <f>IF(NOT(OR(Hoja4!I197="Cheque",Hoja4!J197="Cerveza")),"Aprobado","No Aprobado")</f>
        <v>Aprobado</v>
      </c>
    </row>
    <row r="199" spans="19:26" x14ac:dyDescent="0.25">
      <c r="S199" s="2" t="b">
        <f>AND(Hoja4!$P198="abril",Hoja4!$O198="Jue.")</f>
        <v>0</v>
      </c>
      <c r="T199" t="str">
        <f>IF(AND(Hoja4!H198="Empresa de embarque B",Hoja4!I198="Cheque"),"dale","vaaa")</f>
        <v>vaaa</v>
      </c>
      <c r="V199" t="str">
        <f>IF(AND(Hoja4!H198="Empresa de embarque B",Hoja4!I198="Cheque",Hoja4!J198="Cerveza"),"dale","vaaa")</f>
        <v>vaaa</v>
      </c>
      <c r="X199" t="str">
        <f>IF(OR(Hoja4!H198="Empresa de embarque B",Hoja4!I198="Cheque",Hoja4!J198="cerveza"),"dale","vaaa")</f>
        <v>vaaa</v>
      </c>
      <c r="Z199" t="str">
        <f>IF(NOT(OR(Hoja4!I198="Cheque",Hoja4!J198="Cerveza")),"Aprobado","No Aprobado")</f>
        <v>Aprobado</v>
      </c>
    </row>
    <row r="200" spans="19:26" x14ac:dyDescent="0.25">
      <c r="S200" s="2" t="b">
        <f>AND(Hoja4!$P199="abril",Hoja4!$O199="Jue.")</f>
        <v>0</v>
      </c>
      <c r="T200" t="str">
        <f>IF(AND(Hoja4!H199="Empresa de embarque B",Hoja4!I199="Cheque"),"dale","vaaa")</f>
        <v>vaaa</v>
      </c>
      <c r="V200" t="str">
        <f>IF(AND(Hoja4!H199="Empresa de embarque B",Hoja4!I199="Cheque",Hoja4!J199="Cerveza"),"dale","vaaa")</f>
        <v>vaaa</v>
      </c>
      <c r="X200" t="str">
        <f>IF(OR(Hoja4!H199="Empresa de embarque B",Hoja4!I199="Cheque",Hoja4!J199="cerveza"),"dale","vaaa")</f>
        <v>vaaa</v>
      </c>
      <c r="Z200" t="str">
        <f>IF(NOT(OR(Hoja4!I199="Cheque",Hoja4!J199="Cerveza")),"Aprobado","No Aprobado")</f>
        <v>Aprobado</v>
      </c>
    </row>
    <row r="201" spans="19:26" x14ac:dyDescent="0.25">
      <c r="S201" s="2" t="b">
        <f>AND(Hoja4!$P200="abril",Hoja4!$O200="Jue.")</f>
        <v>0</v>
      </c>
      <c r="T201" t="str">
        <f>IF(AND(Hoja4!H200="Empresa de embarque B",Hoja4!I200="Cheque"),"dale","vaaa")</f>
        <v>vaaa</v>
      </c>
      <c r="V201" t="str">
        <f>IF(AND(Hoja4!H200="Empresa de embarque B",Hoja4!I200="Cheque",Hoja4!J200="Cerveza"),"dale","vaaa")</f>
        <v>vaaa</v>
      </c>
      <c r="X201" t="str">
        <f>IF(OR(Hoja4!H200="Empresa de embarque B",Hoja4!I200="Cheque",Hoja4!J200="cerveza"),"dale","vaaa")</f>
        <v>vaaa</v>
      </c>
      <c r="Z201" t="str">
        <f>IF(NOT(OR(Hoja4!I200="Cheque",Hoja4!J200="Cerveza")),"Aprobado","No Aprobado")</f>
        <v>Aprobado</v>
      </c>
    </row>
    <row r="202" spans="19:26" x14ac:dyDescent="0.25">
      <c r="S202" s="2" t="b">
        <f>AND(Hoja4!$P201="abril",Hoja4!$O201="Jue.")</f>
        <v>0</v>
      </c>
      <c r="T202" t="str">
        <f>IF(AND(Hoja4!H201="Empresa de embarque B",Hoja4!I201="Cheque"),"dale","vaaa")</f>
        <v>vaaa</v>
      </c>
      <c r="V202" t="str">
        <f>IF(AND(Hoja4!H201="Empresa de embarque B",Hoja4!I201="Cheque",Hoja4!J201="Cerveza"),"dale","vaaa")</f>
        <v>vaaa</v>
      </c>
      <c r="X202" t="str">
        <f>IF(OR(Hoja4!H201="Empresa de embarque B",Hoja4!I201="Cheque",Hoja4!J201="cerveza"),"dale","vaaa")</f>
        <v>vaaa</v>
      </c>
      <c r="Z202" t="str">
        <f>IF(NOT(OR(Hoja4!I201="Cheque",Hoja4!J201="Cerveza")),"Aprobado","No Aprobado")</f>
        <v>Aprobado</v>
      </c>
    </row>
    <row r="203" spans="19:26" x14ac:dyDescent="0.25">
      <c r="S203" s="2" t="b">
        <f>AND(Hoja4!$P202="abril",Hoja4!$O202="Jue.")</f>
        <v>0</v>
      </c>
      <c r="T203" t="str">
        <f>IF(AND(Hoja4!H202="Empresa de embarque B",Hoja4!I202="Cheque"),"dale","vaaa")</f>
        <v>vaaa</v>
      </c>
      <c r="V203" t="str">
        <f>IF(AND(Hoja4!H202="Empresa de embarque B",Hoja4!I202="Cheque",Hoja4!J202="Cerveza"),"dale","vaaa")</f>
        <v>vaaa</v>
      </c>
      <c r="X203" t="str">
        <f>IF(OR(Hoja4!H202="Empresa de embarque B",Hoja4!I202="Cheque",Hoja4!J202="cerveza"),"dale","vaaa")</f>
        <v>vaaa</v>
      </c>
      <c r="Z203" t="str">
        <f>IF(NOT(OR(Hoja4!I202="Cheque",Hoja4!J202="Cerveza")),"Aprobado","No Aprobado")</f>
        <v>Aprobado</v>
      </c>
    </row>
    <row r="204" spans="19:26" x14ac:dyDescent="0.25">
      <c r="S204" s="2" t="b">
        <f>AND(Hoja4!$P203="abril",Hoja4!$O203="Jue.")</f>
        <v>1</v>
      </c>
      <c r="T204" t="str">
        <f>IF(AND(Hoja4!H203="Empresa de embarque B",Hoja4!I203="Cheque"),"dale","vaaa")</f>
        <v>vaaa</v>
      </c>
      <c r="V204" t="str">
        <f>IF(AND(Hoja4!H203="Empresa de embarque B",Hoja4!I203="Cheque",Hoja4!J203="Cerveza"),"dale","vaaa")</f>
        <v>vaaa</v>
      </c>
      <c r="X204" t="str">
        <f>IF(OR(Hoja4!H203="Empresa de embarque B",Hoja4!I203="Cheque",Hoja4!J203="cerveza"),"dale","vaaa")</f>
        <v>vaaa</v>
      </c>
      <c r="Z204" t="str">
        <f>IF(NOT(OR(Hoja4!I203="Cheque",Hoja4!J203="Cerveza")),"Aprobado","No Aprobado")</f>
        <v>Aprobado</v>
      </c>
    </row>
    <row r="205" spans="19:26" x14ac:dyDescent="0.25">
      <c r="S205" s="2" t="b">
        <f>AND(Hoja4!$P204="abril",Hoja4!$O204="Jue.")</f>
        <v>0</v>
      </c>
      <c r="T205" t="str">
        <f>IF(AND(Hoja4!H204="Empresa de embarque B",Hoja4!I204="Cheque"),"dale","vaaa")</f>
        <v>vaaa</v>
      </c>
      <c r="V205" t="str">
        <f>IF(AND(Hoja4!H204="Empresa de embarque B",Hoja4!I204="Cheque",Hoja4!J204="Cerveza"),"dale","vaaa")</f>
        <v>vaaa</v>
      </c>
      <c r="X205" t="str">
        <f>IF(OR(Hoja4!H204="Empresa de embarque B",Hoja4!I204="Cheque",Hoja4!J204="cerveza"),"dale","vaaa")</f>
        <v>vaaa</v>
      </c>
      <c r="Z205" t="str">
        <f>IF(NOT(OR(Hoja4!I204="Cheque",Hoja4!J204="Cerveza")),"Aprobado","No Aprobado")</f>
        <v>Aprobado</v>
      </c>
    </row>
    <row r="206" spans="19:26" x14ac:dyDescent="0.25">
      <c r="S206" s="2" t="b">
        <f>AND(Hoja4!$P205="abril",Hoja4!$O205="Jue.")</f>
        <v>0</v>
      </c>
      <c r="T206" t="str">
        <f>IF(AND(Hoja4!H205="Empresa de embarque B",Hoja4!I205="Cheque"),"dale","vaaa")</f>
        <v>vaaa</v>
      </c>
      <c r="V206" t="str">
        <f>IF(AND(Hoja4!H205="Empresa de embarque B",Hoja4!I205="Cheque",Hoja4!J205="Cerveza"),"dale","vaaa")</f>
        <v>vaaa</v>
      </c>
      <c r="X206" t="str">
        <f>IF(OR(Hoja4!H205="Empresa de embarque B",Hoja4!I205="Cheque",Hoja4!J205="cerveza"),"dale","vaaa")</f>
        <v>vaaa</v>
      </c>
      <c r="Z206" t="str">
        <f>IF(NOT(OR(Hoja4!I205="Cheque",Hoja4!J205="Cerveza")),"Aprobado","No Aprobado")</f>
        <v>Aprobado</v>
      </c>
    </row>
    <row r="207" spans="19:26" x14ac:dyDescent="0.25">
      <c r="S207" s="2" t="b">
        <f>AND(Hoja4!$P206="abril",Hoja4!$O206="Jue.")</f>
        <v>0</v>
      </c>
      <c r="T207" t="str">
        <f>IF(AND(Hoja4!H206="Empresa de embarque B",Hoja4!I206="Cheque"),"dale","vaaa")</f>
        <v>vaaa</v>
      </c>
      <c r="V207" t="str">
        <f>IF(AND(Hoja4!H206="Empresa de embarque B",Hoja4!I206="Cheque",Hoja4!J206="Cerveza"),"dale","vaaa")</f>
        <v>vaaa</v>
      </c>
      <c r="X207" t="str">
        <f>IF(OR(Hoja4!H206="Empresa de embarque B",Hoja4!I206="Cheque",Hoja4!J206="cerveza"),"dale","vaaa")</f>
        <v>dale</v>
      </c>
      <c r="Z207" t="str">
        <f>IF(NOT(OR(Hoja4!I206="Cheque",Hoja4!J206="Cerveza")),"Aprobado","No Aprobado")</f>
        <v>No Aprobado</v>
      </c>
    </row>
    <row r="208" spans="19:26" x14ac:dyDescent="0.25">
      <c r="S208" s="2" t="b">
        <f>AND(Hoja4!$P207="abril",Hoja4!$O207="Jue.")</f>
        <v>0</v>
      </c>
      <c r="T208" t="str">
        <f>IF(AND(Hoja4!H207="Empresa de embarque B",Hoja4!I207="Cheque"),"dale","vaaa")</f>
        <v>vaaa</v>
      </c>
      <c r="V208" t="str">
        <f>IF(AND(Hoja4!H207="Empresa de embarque B",Hoja4!I207="Cheque",Hoja4!J207="Cerveza"),"dale","vaaa")</f>
        <v>vaaa</v>
      </c>
      <c r="X208" t="str">
        <f>IF(OR(Hoja4!H207="Empresa de embarque B",Hoja4!I207="Cheque",Hoja4!J207="cerveza"),"dale","vaaa")</f>
        <v>dale</v>
      </c>
      <c r="Z208" t="str">
        <f>IF(NOT(OR(Hoja4!I207="Cheque",Hoja4!J207="Cerveza")),"Aprobado","No Aprobado")</f>
        <v>No Aprobado</v>
      </c>
    </row>
    <row r="209" spans="19:26" x14ac:dyDescent="0.25">
      <c r="S209" s="2" t="b">
        <f>AND(Hoja4!$P208="abril",Hoja4!$O208="Jue.")</f>
        <v>0</v>
      </c>
      <c r="T209" t="str">
        <f>IF(AND(Hoja4!H208="Empresa de embarque B",Hoja4!I208="Cheque"),"dale","vaaa")</f>
        <v>vaaa</v>
      </c>
      <c r="V209" t="str">
        <f>IF(AND(Hoja4!H208="Empresa de embarque B",Hoja4!I208="Cheque",Hoja4!J208="Cerveza"),"dale","vaaa")</f>
        <v>vaaa</v>
      </c>
      <c r="X209" t="str">
        <f>IF(OR(Hoja4!H208="Empresa de embarque B",Hoja4!I208="Cheque",Hoja4!J208="cerveza"),"dale","vaaa")</f>
        <v>dale</v>
      </c>
      <c r="Z209" t="str">
        <f>IF(NOT(OR(Hoja4!I208="Cheque",Hoja4!J208="Cerveza")),"Aprobado","No Aprobado")</f>
        <v>No Aprobado</v>
      </c>
    </row>
    <row r="210" spans="19:26" x14ac:dyDescent="0.25">
      <c r="S210" s="2" t="b">
        <f>AND(Hoja4!$P209="abril",Hoja4!$O209="Jue.")</f>
        <v>0</v>
      </c>
      <c r="T210" t="str">
        <f>IF(AND(Hoja4!H209="Empresa de embarque B",Hoja4!I209="Cheque"),"dale","vaaa")</f>
        <v>dale</v>
      </c>
      <c r="V210" t="str">
        <f>IF(AND(Hoja4!H209="Empresa de embarque B",Hoja4!I209="Cheque",Hoja4!J209="Cerveza"),"dale","vaaa")</f>
        <v>vaaa</v>
      </c>
      <c r="X210" t="str">
        <f>IF(OR(Hoja4!H209="Empresa de embarque B",Hoja4!I209="Cheque",Hoja4!J209="cerveza"),"dale","vaaa")</f>
        <v>dale</v>
      </c>
      <c r="Z210" t="str">
        <f>IF(NOT(OR(Hoja4!I209="Cheque",Hoja4!J209="Cerveza")),"Aprobado","No Aprobado")</f>
        <v>No Aprobado</v>
      </c>
    </row>
    <row r="211" spans="19:26" x14ac:dyDescent="0.25">
      <c r="S211" s="2" t="b">
        <f>AND(Hoja4!$P210="abril",Hoja4!$O210="Jue.")</f>
        <v>0</v>
      </c>
      <c r="T211" t="str">
        <f>IF(AND(Hoja4!H210="Empresa de embarque B",Hoja4!I210="Cheque"),"dale","vaaa")</f>
        <v>dale</v>
      </c>
      <c r="V211" t="str">
        <f>IF(AND(Hoja4!H210="Empresa de embarque B",Hoja4!I210="Cheque",Hoja4!J210="Cerveza"),"dale","vaaa")</f>
        <v>vaaa</v>
      </c>
      <c r="X211" t="str">
        <f>IF(OR(Hoja4!H210="Empresa de embarque B",Hoja4!I210="Cheque",Hoja4!J210="cerveza"),"dale","vaaa")</f>
        <v>dale</v>
      </c>
      <c r="Z211" t="str">
        <f>IF(NOT(OR(Hoja4!I210="Cheque",Hoja4!J210="Cerveza")),"Aprobado","No Aprobado")</f>
        <v>No Aprobado</v>
      </c>
    </row>
    <row r="212" spans="19:26" x14ac:dyDescent="0.25">
      <c r="S212" s="2" t="b">
        <f>AND(Hoja4!$P211="abril",Hoja4!$O211="Jue.")</f>
        <v>0</v>
      </c>
      <c r="T212" t="str">
        <f>IF(AND(Hoja4!H211="Empresa de embarque B",Hoja4!I211="Cheque"),"dale","vaaa")</f>
        <v>vaaa</v>
      </c>
      <c r="V212" t="str">
        <f>IF(AND(Hoja4!H211="Empresa de embarque B",Hoja4!I211="Cheque",Hoja4!J211="Cerveza"),"dale","vaaa")</f>
        <v>vaaa</v>
      </c>
      <c r="X212" t="str">
        <f>IF(OR(Hoja4!H211="Empresa de embarque B",Hoja4!I211="Cheque",Hoja4!J211="cerveza"),"dale","vaaa")</f>
        <v>vaaa</v>
      </c>
      <c r="Z212" t="str">
        <f>IF(NOT(OR(Hoja4!I211="Cheque",Hoja4!J211="Cerveza")),"Aprobado","No Aprobado")</f>
        <v>Aprobado</v>
      </c>
    </row>
    <row r="213" spans="19:26" x14ac:dyDescent="0.25">
      <c r="S213" s="2" t="b">
        <f>AND(Hoja4!$P212="abril",Hoja4!$O212="Jue.")</f>
        <v>0</v>
      </c>
      <c r="T213" t="str">
        <f>IF(AND(Hoja4!H212="Empresa de embarque B",Hoja4!I212="Cheque"),"dale","vaaa")</f>
        <v>vaaa</v>
      </c>
      <c r="V213" t="str">
        <f>IF(AND(Hoja4!H212="Empresa de embarque B",Hoja4!I212="Cheque",Hoja4!J212="Cerveza"),"dale","vaaa")</f>
        <v>vaaa</v>
      </c>
      <c r="X213" t="str">
        <f>IF(OR(Hoja4!H212="Empresa de embarque B",Hoja4!I212="Cheque",Hoja4!J212="cerveza"),"dale","vaaa")</f>
        <v>vaaa</v>
      </c>
      <c r="Z213" t="str">
        <f>IF(NOT(OR(Hoja4!I212="Cheque",Hoja4!J212="Cerveza")),"Aprobado","No Aprobado")</f>
        <v>Aprobado</v>
      </c>
    </row>
    <row r="214" spans="19:26" x14ac:dyDescent="0.25">
      <c r="S214" s="2" t="b">
        <f>AND(Hoja4!$P213="abril",Hoja4!$O213="Jue.")</f>
        <v>0</v>
      </c>
      <c r="T214" t="str">
        <f>IF(AND(Hoja4!H213="Empresa de embarque B",Hoja4!I213="Cheque"),"dale","vaaa")</f>
        <v>vaaa</v>
      </c>
      <c r="V214" t="str">
        <f>IF(AND(Hoja4!H213="Empresa de embarque B",Hoja4!I213="Cheque",Hoja4!J213="Cerveza"),"dale","vaaa")</f>
        <v>vaaa</v>
      </c>
      <c r="X214" t="str">
        <f>IF(OR(Hoja4!H213="Empresa de embarque B",Hoja4!I213="Cheque",Hoja4!J213="cerveza"),"dale","vaaa")</f>
        <v>vaaa</v>
      </c>
      <c r="Z214" t="str">
        <f>IF(NOT(OR(Hoja4!I213="Cheque",Hoja4!J213="Cerveza")),"Aprobado","No Aprobado")</f>
        <v>Aprobado</v>
      </c>
    </row>
    <row r="215" spans="19:26" x14ac:dyDescent="0.25">
      <c r="S215" s="2" t="b">
        <f>AND(Hoja4!$P214="abril",Hoja4!$O214="Jue.")</f>
        <v>0</v>
      </c>
      <c r="T215" t="str">
        <f>IF(AND(Hoja4!H214="Empresa de embarque B",Hoja4!I214="Cheque"),"dale","vaaa")</f>
        <v>vaaa</v>
      </c>
      <c r="V215" t="str">
        <f>IF(AND(Hoja4!H214="Empresa de embarque B",Hoja4!I214="Cheque",Hoja4!J214="Cerveza"),"dale","vaaa")</f>
        <v>vaaa</v>
      </c>
      <c r="X215" t="str">
        <f>IF(OR(Hoja4!H214="Empresa de embarque B",Hoja4!I214="Cheque",Hoja4!J214="cerveza"),"dale","vaaa")</f>
        <v>vaaa</v>
      </c>
      <c r="Z215" t="str">
        <f>IF(NOT(OR(Hoja4!I214="Cheque",Hoja4!J214="Cerveza")),"Aprobado","No Aprobado")</f>
        <v>Aprobado</v>
      </c>
    </row>
    <row r="216" spans="19:26" x14ac:dyDescent="0.25">
      <c r="S216" s="2" t="b">
        <f>AND(Hoja4!$P215="abril",Hoja4!$O215="Jue.")</f>
        <v>0</v>
      </c>
      <c r="T216" t="str">
        <f>IF(AND(Hoja4!H215="Empresa de embarque B",Hoja4!I215="Cheque"),"dale","vaaa")</f>
        <v>dale</v>
      </c>
      <c r="V216" t="str">
        <f>IF(AND(Hoja4!H215="Empresa de embarque B",Hoja4!I215="Cheque",Hoja4!J215="Cerveza"),"dale","vaaa")</f>
        <v>dale</v>
      </c>
      <c r="X216" t="str">
        <f>IF(OR(Hoja4!H215="Empresa de embarque B",Hoja4!I215="Cheque",Hoja4!J215="cerveza"),"dale","vaaa")</f>
        <v>dale</v>
      </c>
      <c r="Z216" t="str">
        <f>IF(NOT(OR(Hoja4!I215="Cheque",Hoja4!J215="Cerveza")),"Aprobado","No Aprobado")</f>
        <v>No Aprobado</v>
      </c>
    </row>
    <row r="217" spans="19:26" x14ac:dyDescent="0.25">
      <c r="S217" s="2" t="b">
        <f>AND(Hoja4!$P216="abril",Hoja4!$O216="Jue.")</f>
        <v>0</v>
      </c>
      <c r="T217" t="str">
        <f>IF(AND(Hoja4!H216="Empresa de embarque B",Hoja4!I216="Cheque"),"dale","vaaa")</f>
        <v>vaaa</v>
      </c>
      <c r="V217" t="str">
        <f>IF(AND(Hoja4!H216="Empresa de embarque B",Hoja4!I216="Cheque",Hoja4!J216="Cerveza"),"dale","vaaa")</f>
        <v>vaaa</v>
      </c>
      <c r="X217" t="str">
        <f>IF(OR(Hoja4!H216="Empresa de embarque B",Hoja4!I216="Cheque",Hoja4!J216="cerveza"),"dale","vaaa")</f>
        <v>dale</v>
      </c>
      <c r="Z217" t="str">
        <f>IF(NOT(OR(Hoja4!I216="Cheque",Hoja4!J216="Cerveza")),"Aprobado","No Aprobado")</f>
        <v>No Aprobado</v>
      </c>
    </row>
    <row r="218" spans="19:26" x14ac:dyDescent="0.25">
      <c r="S218" s="2" t="b">
        <f>AND(Hoja4!$P217="abril",Hoja4!$O217="Jue.")</f>
        <v>0</v>
      </c>
      <c r="T218" t="str">
        <f>IF(AND(Hoja4!H217="Empresa de embarque B",Hoja4!I217="Cheque"),"dale","vaaa")</f>
        <v>vaaa</v>
      </c>
      <c r="V218" t="str">
        <f>IF(AND(Hoja4!H217="Empresa de embarque B",Hoja4!I217="Cheque",Hoja4!J217="Cerveza"),"dale","vaaa")</f>
        <v>vaaa</v>
      </c>
      <c r="X218" t="str">
        <f>IF(OR(Hoja4!H217="Empresa de embarque B",Hoja4!I217="Cheque",Hoja4!J217="cerveza"),"dale","vaaa")</f>
        <v>vaaa</v>
      </c>
      <c r="Z218" t="str">
        <f>IF(NOT(OR(Hoja4!I217="Cheque",Hoja4!J217="Cerveza")),"Aprobado","No Aprobado")</f>
        <v>Aprobado</v>
      </c>
    </row>
    <row r="219" spans="19:26" x14ac:dyDescent="0.25">
      <c r="S219" s="2" t="b">
        <f>AND(Hoja4!$P218="abril",Hoja4!$O218="Jue.")</f>
        <v>0</v>
      </c>
      <c r="T219" t="str">
        <f>IF(AND(Hoja4!H218="Empresa de embarque B",Hoja4!I218="Cheque"),"dale","vaaa")</f>
        <v>vaaa</v>
      </c>
      <c r="V219" t="str">
        <f>IF(AND(Hoja4!H218="Empresa de embarque B",Hoja4!I218="Cheque",Hoja4!J218="Cerveza"),"dale","vaaa")</f>
        <v>vaaa</v>
      </c>
      <c r="X219" t="str">
        <f>IF(OR(Hoja4!H218="Empresa de embarque B",Hoja4!I218="Cheque",Hoja4!J218="cerveza"),"dale","vaaa")</f>
        <v>vaaa</v>
      </c>
      <c r="Z219" t="str">
        <f>IF(NOT(OR(Hoja4!I218="Cheque",Hoja4!J218="Cerveza")),"Aprobado","No Aprobado")</f>
        <v>Aprobado</v>
      </c>
    </row>
    <row r="220" spans="19:26" x14ac:dyDescent="0.25">
      <c r="S220" s="2" t="b">
        <f>AND(Hoja4!$P219="abril",Hoja4!$O219="Jue.")</f>
        <v>0</v>
      </c>
      <c r="T220" t="str">
        <f>IF(AND(Hoja4!H219="Empresa de embarque B",Hoja4!I219="Cheque"),"dale","vaaa")</f>
        <v>vaaa</v>
      </c>
      <c r="V220" t="str">
        <f>IF(AND(Hoja4!H219="Empresa de embarque B",Hoja4!I219="Cheque",Hoja4!J219="Cerveza"),"dale","vaaa")</f>
        <v>vaaa</v>
      </c>
      <c r="X220" t="str">
        <f>IF(OR(Hoja4!H219="Empresa de embarque B",Hoja4!I219="Cheque",Hoja4!J219="cerveza"),"dale","vaaa")</f>
        <v>vaaa</v>
      </c>
      <c r="Z220" t="str">
        <f>IF(NOT(OR(Hoja4!I219="Cheque",Hoja4!J219="Cerveza")),"Aprobado","No Aprobado")</f>
        <v>Aprobado</v>
      </c>
    </row>
    <row r="221" spans="19:26" x14ac:dyDescent="0.25">
      <c r="S221" s="2" t="b">
        <f>AND(Hoja4!$P220="abril",Hoja4!$O220="Jue.")</f>
        <v>0</v>
      </c>
      <c r="T221" t="str">
        <f>IF(AND(Hoja4!H220="Empresa de embarque B",Hoja4!I220="Cheque"),"dale","vaaa")</f>
        <v>vaaa</v>
      </c>
      <c r="V221" t="str">
        <f>IF(AND(Hoja4!H220="Empresa de embarque B",Hoja4!I220="Cheque",Hoja4!J220="Cerveza"),"dale","vaaa")</f>
        <v>vaaa</v>
      </c>
      <c r="X221" t="str">
        <f>IF(OR(Hoja4!H220="Empresa de embarque B",Hoja4!I220="Cheque",Hoja4!J220="cerveza"),"dale","vaaa")</f>
        <v>vaaa</v>
      </c>
      <c r="Z221" t="str">
        <f>IF(NOT(OR(Hoja4!I220="Cheque",Hoja4!J220="Cerveza")),"Aprobado","No Aprobado")</f>
        <v>Aprobado</v>
      </c>
    </row>
    <row r="222" spans="19:26" x14ac:dyDescent="0.25">
      <c r="S222" s="2" t="b">
        <f>AND(Hoja4!$P221="abril",Hoja4!$O221="Jue.")</f>
        <v>0</v>
      </c>
      <c r="T222" t="str">
        <f>IF(AND(Hoja4!H221="Empresa de embarque B",Hoja4!I221="Cheque"),"dale","vaaa")</f>
        <v>vaaa</v>
      </c>
      <c r="V222" t="str">
        <f>IF(AND(Hoja4!H221="Empresa de embarque B",Hoja4!I221="Cheque",Hoja4!J221="Cerveza"),"dale","vaaa")</f>
        <v>vaaa</v>
      </c>
      <c r="X222" t="str">
        <f>IF(OR(Hoja4!H221="Empresa de embarque B",Hoja4!I221="Cheque",Hoja4!J221="cerveza"),"dale","vaaa")</f>
        <v>vaaa</v>
      </c>
      <c r="Z222" t="str">
        <f>IF(NOT(OR(Hoja4!I221="Cheque",Hoja4!J221="Cerveza")),"Aprobado","No Aprobado")</f>
        <v>Aprobado</v>
      </c>
    </row>
    <row r="223" spans="19:26" x14ac:dyDescent="0.25">
      <c r="S223" s="2" t="b">
        <f>AND(Hoja4!$P222="abril",Hoja4!$O222="Jue.")</f>
        <v>0</v>
      </c>
      <c r="T223" t="str">
        <f>IF(AND(Hoja4!H222="Empresa de embarque B",Hoja4!I222="Cheque"),"dale","vaaa")</f>
        <v>vaaa</v>
      </c>
      <c r="V223" t="str">
        <f>IF(AND(Hoja4!H222="Empresa de embarque B",Hoja4!I222="Cheque",Hoja4!J222="Cerveza"),"dale","vaaa")</f>
        <v>vaaa</v>
      </c>
      <c r="X223" t="str">
        <f>IF(OR(Hoja4!H222="Empresa de embarque B",Hoja4!I222="Cheque",Hoja4!J222="cerveza"),"dale","vaaa")</f>
        <v>vaaa</v>
      </c>
      <c r="Z223" t="str">
        <f>IF(NOT(OR(Hoja4!I222="Cheque",Hoja4!J222="Cerveza")),"Aprobado","No Aprobado")</f>
        <v>Aprobado</v>
      </c>
    </row>
    <row r="224" spans="19:26" x14ac:dyDescent="0.25">
      <c r="S224" s="2" t="b">
        <f>AND(Hoja4!$P223="abril",Hoja4!$O223="Jue.")</f>
        <v>0</v>
      </c>
      <c r="T224" t="str">
        <f>IF(AND(Hoja4!H223="Empresa de embarque B",Hoja4!I223="Cheque"),"dale","vaaa")</f>
        <v>vaaa</v>
      </c>
      <c r="V224" t="str">
        <f>IF(AND(Hoja4!H223="Empresa de embarque B",Hoja4!I223="Cheque",Hoja4!J223="Cerveza"),"dale","vaaa")</f>
        <v>vaaa</v>
      </c>
      <c r="X224" t="str">
        <f>IF(OR(Hoja4!H223="Empresa de embarque B",Hoja4!I223="Cheque",Hoja4!J223="cerveza"),"dale","vaaa")</f>
        <v>vaaa</v>
      </c>
      <c r="Z224" t="str">
        <f>IF(NOT(OR(Hoja4!I223="Cheque",Hoja4!J223="Cerveza")),"Aprobado","No Aprobado")</f>
        <v>Aprobado</v>
      </c>
    </row>
    <row r="225" spans="19:26" x14ac:dyDescent="0.25">
      <c r="S225" s="2" t="b">
        <f>AND(Hoja4!$P224="abril",Hoja4!$O224="Jue.")</f>
        <v>0</v>
      </c>
      <c r="T225" t="str">
        <f>IF(AND(Hoja4!H224="Empresa de embarque B",Hoja4!I224="Cheque"),"dale","vaaa")</f>
        <v>vaaa</v>
      </c>
      <c r="V225" t="str">
        <f>IF(AND(Hoja4!H224="Empresa de embarque B",Hoja4!I224="Cheque",Hoja4!J224="Cerveza"),"dale","vaaa")</f>
        <v>vaaa</v>
      </c>
      <c r="X225" t="str">
        <f>IF(OR(Hoja4!H224="Empresa de embarque B",Hoja4!I224="Cheque",Hoja4!J224="cerveza"),"dale","vaaa")</f>
        <v>vaaa</v>
      </c>
      <c r="Z225" t="str">
        <f>IF(NOT(OR(Hoja4!I224="Cheque",Hoja4!J224="Cerveza")),"Aprobado","No Aprobado")</f>
        <v>Aprobado</v>
      </c>
    </row>
    <row r="226" spans="19:26" x14ac:dyDescent="0.25">
      <c r="S226" s="2" t="b">
        <f>AND(Hoja4!$P225="abril",Hoja4!$O225="Jue.")</f>
        <v>0</v>
      </c>
      <c r="T226" t="str">
        <f>IF(AND(Hoja4!H225="Empresa de embarque B",Hoja4!I225="Cheque"),"dale","vaaa")</f>
        <v>vaaa</v>
      </c>
      <c r="V226" t="str">
        <f>IF(AND(Hoja4!H225="Empresa de embarque B",Hoja4!I225="Cheque",Hoja4!J225="Cerveza"),"dale","vaaa")</f>
        <v>vaaa</v>
      </c>
      <c r="X226" t="str">
        <f>IF(OR(Hoja4!H225="Empresa de embarque B",Hoja4!I225="Cheque",Hoja4!J225="cerveza"),"dale","vaaa")</f>
        <v>vaaa</v>
      </c>
      <c r="Z226" t="str">
        <f>IF(NOT(OR(Hoja4!I225="Cheque",Hoja4!J225="Cerveza")),"Aprobado","No Aprobado")</f>
        <v>Aprobado</v>
      </c>
    </row>
    <row r="227" spans="19:26" x14ac:dyDescent="0.25">
      <c r="S227" s="2" t="b">
        <f>AND(Hoja4!$P226="abril",Hoja4!$O226="Jue.")</f>
        <v>0</v>
      </c>
      <c r="T227" t="str">
        <f>IF(AND(Hoja4!H226="Empresa de embarque B",Hoja4!I226="Cheque"),"dale","vaaa")</f>
        <v>vaaa</v>
      </c>
      <c r="V227" t="str">
        <f>IF(AND(Hoja4!H226="Empresa de embarque B",Hoja4!I226="Cheque",Hoja4!J226="Cerveza"),"dale","vaaa")</f>
        <v>vaaa</v>
      </c>
      <c r="X227" t="str">
        <f>IF(OR(Hoja4!H226="Empresa de embarque B",Hoja4!I226="Cheque",Hoja4!J226="cerveza"),"dale","vaaa")</f>
        <v>vaaa</v>
      </c>
      <c r="Z227" t="str">
        <f>IF(NOT(OR(Hoja4!I226="Cheque",Hoja4!J226="Cerveza")),"Aprobado","No Aprobado")</f>
        <v>Aprobado</v>
      </c>
    </row>
    <row r="228" spans="19:26" x14ac:dyDescent="0.25">
      <c r="S228" s="2" t="b">
        <f>AND(Hoja4!$P227="abril",Hoja4!$O227="Jue.")</f>
        <v>0</v>
      </c>
      <c r="T228" t="str">
        <f>IF(AND(Hoja4!H227="Empresa de embarque B",Hoja4!I227="Cheque"),"dale","vaaa")</f>
        <v>vaaa</v>
      </c>
      <c r="V228" t="str">
        <f>IF(AND(Hoja4!H227="Empresa de embarque B",Hoja4!I227="Cheque",Hoja4!J227="Cerveza"),"dale","vaaa")</f>
        <v>vaaa</v>
      </c>
      <c r="X228" t="str">
        <f>IF(OR(Hoja4!H227="Empresa de embarque B",Hoja4!I227="Cheque",Hoja4!J227="cerveza"),"dale","vaaa")</f>
        <v>dale</v>
      </c>
      <c r="Z228" t="str">
        <f>IF(NOT(OR(Hoja4!I227="Cheque",Hoja4!J227="Cerveza")),"Aprobado","No Aprobado")</f>
        <v>No Aprobado</v>
      </c>
    </row>
    <row r="229" spans="19:26" x14ac:dyDescent="0.25">
      <c r="S229" s="2" t="b">
        <f>AND(Hoja4!$P228="abril",Hoja4!$O228="Jue.")</f>
        <v>0</v>
      </c>
      <c r="T229" t="str">
        <f>IF(AND(Hoja4!H228="Empresa de embarque B",Hoja4!I228="Cheque"),"dale","vaaa")</f>
        <v>vaaa</v>
      </c>
      <c r="V229" t="str">
        <f>IF(AND(Hoja4!H228="Empresa de embarque B",Hoja4!I228="Cheque",Hoja4!J228="Cerveza"),"dale","vaaa")</f>
        <v>vaaa</v>
      </c>
      <c r="X229" t="str">
        <f>IF(OR(Hoja4!H228="Empresa de embarque B",Hoja4!I228="Cheque",Hoja4!J228="cerveza"),"dale","vaaa")</f>
        <v>dale</v>
      </c>
      <c r="Z229" t="str">
        <f>IF(NOT(OR(Hoja4!I228="Cheque",Hoja4!J228="Cerveza")),"Aprobado","No Aprobado")</f>
        <v>No Aprobado</v>
      </c>
    </row>
    <row r="230" spans="19:26" x14ac:dyDescent="0.25">
      <c r="S230" s="2" t="b">
        <f>AND(Hoja4!$P229="abril",Hoja4!$O229="Jue.")</f>
        <v>0</v>
      </c>
      <c r="T230" t="str">
        <f>IF(AND(Hoja4!H229="Empresa de embarque B",Hoja4!I229="Cheque"),"dale","vaaa")</f>
        <v>vaaa</v>
      </c>
      <c r="V230" t="str">
        <f>IF(AND(Hoja4!H229="Empresa de embarque B",Hoja4!I229="Cheque",Hoja4!J229="Cerveza"),"dale","vaaa")</f>
        <v>vaaa</v>
      </c>
      <c r="X230" t="str">
        <f>IF(OR(Hoja4!H229="Empresa de embarque B",Hoja4!I229="Cheque",Hoja4!J229="cerveza"),"dale","vaaa")</f>
        <v>dale</v>
      </c>
      <c r="Z230" t="str">
        <f>IF(NOT(OR(Hoja4!I229="Cheque",Hoja4!J229="Cerveza")),"Aprobado","No Aprobado")</f>
        <v>No Aprobado</v>
      </c>
    </row>
    <row r="231" spans="19:26" x14ac:dyDescent="0.25">
      <c r="S231" s="2" t="b">
        <f>AND(Hoja4!$P230="abril",Hoja4!$O230="Jue.")</f>
        <v>0</v>
      </c>
      <c r="T231" t="str">
        <f>IF(AND(Hoja4!H230="Empresa de embarque B",Hoja4!I230="Cheque"),"dale","vaaa")</f>
        <v>dale</v>
      </c>
      <c r="V231" t="str">
        <f>IF(AND(Hoja4!H230="Empresa de embarque B",Hoja4!I230="Cheque",Hoja4!J230="Cerveza"),"dale","vaaa")</f>
        <v>vaaa</v>
      </c>
      <c r="X231" t="str">
        <f>IF(OR(Hoja4!H230="Empresa de embarque B",Hoja4!I230="Cheque",Hoja4!J230="cerveza"),"dale","vaaa")</f>
        <v>dale</v>
      </c>
      <c r="Z231" t="str">
        <f>IF(NOT(OR(Hoja4!I230="Cheque",Hoja4!J230="Cerveza")),"Aprobado","No Aprobado")</f>
        <v>No Aprobado</v>
      </c>
    </row>
    <row r="232" spans="19:26" x14ac:dyDescent="0.25">
      <c r="S232" s="2" t="b">
        <f>AND(Hoja4!$P231="abril",Hoja4!$O231="Jue.")</f>
        <v>0</v>
      </c>
      <c r="T232" t="str">
        <f>IF(AND(Hoja4!H231="Empresa de embarque B",Hoja4!I231="Cheque"),"dale","vaaa")</f>
        <v>dale</v>
      </c>
      <c r="V232" t="str">
        <f>IF(AND(Hoja4!H231="Empresa de embarque B",Hoja4!I231="Cheque",Hoja4!J231="Cerveza"),"dale","vaaa")</f>
        <v>vaaa</v>
      </c>
      <c r="X232" t="str">
        <f>IF(OR(Hoja4!H231="Empresa de embarque B",Hoja4!I231="Cheque",Hoja4!J231="cerveza"),"dale","vaaa")</f>
        <v>dale</v>
      </c>
      <c r="Z232" t="str">
        <f>IF(NOT(OR(Hoja4!I231="Cheque",Hoja4!J231="Cerveza")),"Aprobado","No Aprobado")</f>
        <v>No Aprobado</v>
      </c>
    </row>
    <row r="233" spans="19:26" x14ac:dyDescent="0.25">
      <c r="S233" s="2" t="b">
        <f>AND(Hoja4!$P232="abril",Hoja4!$O232="Jue.")</f>
        <v>0</v>
      </c>
      <c r="T233" t="str">
        <f>IF(AND(Hoja4!H232="Empresa de embarque B",Hoja4!I232="Cheque"),"dale","vaaa")</f>
        <v>vaaa</v>
      </c>
      <c r="V233" t="str">
        <f>IF(AND(Hoja4!H232="Empresa de embarque B",Hoja4!I232="Cheque",Hoja4!J232="Cerveza"),"dale","vaaa")</f>
        <v>vaaa</v>
      </c>
      <c r="X233" t="str">
        <f>IF(OR(Hoja4!H232="Empresa de embarque B",Hoja4!I232="Cheque",Hoja4!J232="cerveza"),"dale","vaaa")</f>
        <v>vaaa</v>
      </c>
      <c r="Z233" t="str">
        <f>IF(NOT(OR(Hoja4!I232="Cheque",Hoja4!J232="Cerveza")),"Aprobado","No Aprobado")</f>
        <v>Aprobado</v>
      </c>
    </row>
    <row r="234" spans="19:26" x14ac:dyDescent="0.25">
      <c r="S234" s="2" t="b">
        <f>AND(Hoja4!$P233="abril",Hoja4!$O233="Jue.")</f>
        <v>0</v>
      </c>
      <c r="T234" t="str">
        <f>IF(AND(Hoja4!H233="Empresa de embarque B",Hoja4!I233="Cheque"),"dale","vaaa")</f>
        <v>vaaa</v>
      </c>
      <c r="V234" t="str">
        <f>IF(AND(Hoja4!H233="Empresa de embarque B",Hoja4!I233="Cheque",Hoja4!J233="Cerveza"),"dale","vaaa")</f>
        <v>vaaa</v>
      </c>
      <c r="X234" t="str">
        <f>IF(OR(Hoja4!H233="Empresa de embarque B",Hoja4!I233="Cheque",Hoja4!J233="cerveza"),"dale","vaaa")</f>
        <v>vaaa</v>
      </c>
      <c r="Z234" t="str">
        <f>IF(NOT(OR(Hoja4!I233="Cheque",Hoja4!J233="Cerveza")),"Aprobado","No Aprobado")</f>
        <v>Aprobado</v>
      </c>
    </row>
    <row r="235" spans="19:26" x14ac:dyDescent="0.25">
      <c r="S235" s="2" t="b">
        <f>AND(Hoja4!$P234="abril",Hoja4!$O234="Jue.")</f>
        <v>0</v>
      </c>
      <c r="T235" t="str">
        <f>IF(AND(Hoja4!H234="Empresa de embarque B",Hoja4!I234="Cheque"),"dale","vaaa")</f>
        <v>vaaa</v>
      </c>
      <c r="V235" t="str">
        <f>IF(AND(Hoja4!H234="Empresa de embarque B",Hoja4!I234="Cheque",Hoja4!J234="Cerveza"),"dale","vaaa")</f>
        <v>vaaa</v>
      </c>
      <c r="X235" t="str">
        <f>IF(OR(Hoja4!H234="Empresa de embarque B",Hoja4!I234="Cheque",Hoja4!J234="cerveza"),"dale","vaaa")</f>
        <v>vaaa</v>
      </c>
      <c r="Z235" t="str">
        <f>IF(NOT(OR(Hoja4!I234="Cheque",Hoja4!J234="Cerveza")),"Aprobado","No Aprobado")</f>
        <v>Aprobado</v>
      </c>
    </row>
    <row r="236" spans="19:26" x14ac:dyDescent="0.25">
      <c r="S236" s="2" t="b">
        <f>AND(Hoja4!$P235="abril",Hoja4!$O235="Jue.")</f>
        <v>0</v>
      </c>
      <c r="T236" t="str">
        <f>IF(AND(Hoja4!H235="Empresa de embarque B",Hoja4!I235="Cheque"),"dale","vaaa")</f>
        <v>vaaa</v>
      </c>
      <c r="V236" t="str">
        <f>IF(AND(Hoja4!H235="Empresa de embarque B",Hoja4!I235="Cheque",Hoja4!J235="Cerveza"),"dale","vaaa")</f>
        <v>vaaa</v>
      </c>
      <c r="X236" t="str">
        <f>IF(OR(Hoja4!H235="Empresa de embarque B",Hoja4!I235="Cheque",Hoja4!J235="cerveza"),"dale","vaaa")</f>
        <v>vaaa</v>
      </c>
      <c r="Z236" t="str">
        <f>IF(NOT(OR(Hoja4!I235="Cheque",Hoja4!J235="Cerveza")),"Aprobado","No Aprobado")</f>
        <v>Aprobado</v>
      </c>
    </row>
    <row r="237" spans="19:26" x14ac:dyDescent="0.25">
      <c r="S237" s="2" t="b">
        <f>AND(Hoja4!$P236="abril",Hoja4!$O236="Jue.")</f>
        <v>0</v>
      </c>
      <c r="T237" t="str">
        <f>IF(AND(Hoja4!H236="Empresa de embarque B",Hoja4!I236="Cheque"),"dale","vaaa")</f>
        <v>dale</v>
      </c>
      <c r="V237" t="str">
        <f>IF(AND(Hoja4!H236="Empresa de embarque B",Hoja4!I236="Cheque",Hoja4!J236="Cerveza"),"dale","vaaa")</f>
        <v>dale</v>
      </c>
      <c r="X237" t="str">
        <f>IF(OR(Hoja4!H236="Empresa de embarque B",Hoja4!I236="Cheque",Hoja4!J236="cerveza"),"dale","vaaa")</f>
        <v>dale</v>
      </c>
      <c r="Z237" t="str">
        <f>IF(NOT(OR(Hoja4!I236="Cheque",Hoja4!J236="Cerveza")),"Aprobado","No Aprobado")</f>
        <v>No Aprobado</v>
      </c>
    </row>
    <row r="238" spans="19:26" x14ac:dyDescent="0.25">
      <c r="S238" s="2" t="b">
        <f>AND(Hoja4!$P237="abril",Hoja4!$O237="Jue.")</f>
        <v>0</v>
      </c>
      <c r="T238" t="str">
        <f>IF(AND(Hoja4!H237="Empresa de embarque B",Hoja4!I237="Cheque"),"dale","vaaa")</f>
        <v>vaaa</v>
      </c>
      <c r="V238" t="str">
        <f>IF(AND(Hoja4!H237="Empresa de embarque B",Hoja4!I237="Cheque",Hoja4!J237="Cerveza"),"dale","vaaa")</f>
        <v>vaaa</v>
      </c>
      <c r="X238" t="str">
        <f>IF(OR(Hoja4!H237="Empresa de embarque B",Hoja4!I237="Cheque",Hoja4!J237="cerveza"),"dale","vaaa")</f>
        <v>dale</v>
      </c>
      <c r="Z238" t="str">
        <f>IF(NOT(OR(Hoja4!I237="Cheque",Hoja4!J237="Cerveza")),"Aprobado","No Aprobado")</f>
        <v>No Aprobado</v>
      </c>
    </row>
    <row r="239" spans="19:26" x14ac:dyDescent="0.25">
      <c r="S239" s="2" t="b">
        <f>AND(Hoja4!$P238="abril",Hoja4!$O238="Jue.")</f>
        <v>0</v>
      </c>
      <c r="T239" t="str">
        <f>IF(AND(Hoja4!H238="Empresa de embarque B",Hoja4!I238="Cheque"),"dale","vaaa")</f>
        <v>vaaa</v>
      </c>
      <c r="V239" t="str">
        <f>IF(AND(Hoja4!H238="Empresa de embarque B",Hoja4!I238="Cheque",Hoja4!J238="Cerveza"),"dale","vaaa")</f>
        <v>vaaa</v>
      </c>
      <c r="X239" t="str">
        <f>IF(OR(Hoja4!H238="Empresa de embarque B",Hoja4!I238="Cheque",Hoja4!J238="cerveza"),"dale","vaaa")</f>
        <v>vaaa</v>
      </c>
      <c r="Z239" t="str">
        <f>IF(NOT(OR(Hoja4!I238="Cheque",Hoja4!J238="Cerveza")),"Aprobado","No Aprobado")</f>
        <v>Aprobado</v>
      </c>
    </row>
    <row r="240" spans="19:26" x14ac:dyDescent="0.25">
      <c r="S240" s="2" t="b">
        <f>AND(Hoja4!$P239="abril",Hoja4!$O239="Jue.")</f>
        <v>0</v>
      </c>
      <c r="T240" t="str">
        <f>IF(AND(Hoja4!H239="Empresa de embarque B",Hoja4!I239="Cheque"),"dale","vaaa")</f>
        <v>vaaa</v>
      </c>
      <c r="V240" t="str">
        <f>IF(AND(Hoja4!H239="Empresa de embarque B",Hoja4!I239="Cheque",Hoja4!J239="Cerveza"),"dale","vaaa")</f>
        <v>vaaa</v>
      </c>
      <c r="X240" t="str">
        <f>IF(OR(Hoja4!H239="Empresa de embarque B",Hoja4!I239="Cheque",Hoja4!J239="cerveza"),"dale","vaaa")</f>
        <v>vaaa</v>
      </c>
      <c r="Z240" t="str">
        <f>IF(NOT(OR(Hoja4!I239="Cheque",Hoja4!J239="Cerveza")),"Aprobado","No Aprobado")</f>
        <v>Aprobado</v>
      </c>
    </row>
    <row r="241" spans="19:26" x14ac:dyDescent="0.25">
      <c r="S241" s="2" t="b">
        <f>AND(Hoja4!$P240="abril",Hoja4!$O240="Jue.")</f>
        <v>0</v>
      </c>
      <c r="T241" t="str">
        <f>IF(AND(Hoja4!H240="Empresa de embarque B",Hoja4!I240="Cheque"),"dale","vaaa")</f>
        <v>vaaa</v>
      </c>
      <c r="V241" t="str">
        <f>IF(AND(Hoja4!H240="Empresa de embarque B",Hoja4!I240="Cheque",Hoja4!J240="Cerveza"),"dale","vaaa")</f>
        <v>vaaa</v>
      </c>
      <c r="X241" t="str">
        <f>IF(OR(Hoja4!H240="Empresa de embarque B",Hoja4!I240="Cheque",Hoja4!J240="cerveza"),"dale","vaaa")</f>
        <v>vaaa</v>
      </c>
      <c r="Z241" t="str">
        <f>IF(NOT(OR(Hoja4!I240="Cheque",Hoja4!J240="Cerveza")),"Aprobado","No Aprobado")</f>
        <v>Aprobado</v>
      </c>
    </row>
    <row r="242" spans="19:26" x14ac:dyDescent="0.25">
      <c r="S242" s="2" t="b">
        <f>AND(Hoja4!$P241="abril",Hoja4!$O241="Jue.")</f>
        <v>0</v>
      </c>
      <c r="T242" t="str">
        <f>IF(AND(Hoja4!H241="Empresa de embarque B",Hoja4!I241="Cheque"),"dale","vaaa")</f>
        <v>vaaa</v>
      </c>
      <c r="V242" t="str">
        <f>IF(AND(Hoja4!H241="Empresa de embarque B",Hoja4!I241="Cheque",Hoja4!J241="Cerveza"),"dale","vaaa")</f>
        <v>vaaa</v>
      </c>
      <c r="X242" t="str">
        <f>IF(OR(Hoja4!H241="Empresa de embarque B",Hoja4!I241="Cheque",Hoja4!J241="cerveza"),"dale","vaaa")</f>
        <v>dale</v>
      </c>
      <c r="Z242" t="str">
        <f>IF(NOT(OR(Hoja4!I241="Cheque",Hoja4!J241="Cerveza")),"Aprobado","No Aprobado")</f>
        <v>Aprobado</v>
      </c>
    </row>
    <row r="243" spans="19:26" x14ac:dyDescent="0.25">
      <c r="S243" s="2" t="b">
        <f>AND(Hoja4!$P242="abril",Hoja4!$O242="Jue.")</f>
        <v>0</v>
      </c>
      <c r="T243" t="str">
        <f>IF(AND(Hoja4!H242="Empresa de embarque B",Hoja4!I242="Cheque"),"dale","vaaa")</f>
        <v>vaaa</v>
      </c>
      <c r="V243" t="str">
        <f>IF(AND(Hoja4!H242="Empresa de embarque B",Hoja4!I242="Cheque",Hoja4!J242="Cerveza"),"dale","vaaa")</f>
        <v>vaaa</v>
      </c>
      <c r="X243" t="str">
        <f>IF(OR(Hoja4!H242="Empresa de embarque B",Hoja4!I242="Cheque",Hoja4!J242="cerveza"),"dale","vaaa")</f>
        <v>dale</v>
      </c>
      <c r="Z243" t="str">
        <f>IF(NOT(OR(Hoja4!I242="Cheque",Hoja4!J242="Cerveza")),"Aprobado","No Aprobado")</f>
        <v>Aprobado</v>
      </c>
    </row>
    <row r="244" spans="19:26" x14ac:dyDescent="0.25">
      <c r="S244" s="2" t="b">
        <f>AND(Hoja4!$P243="abril",Hoja4!$O243="Jue.")</f>
        <v>0</v>
      </c>
      <c r="T244" t="str">
        <f>IF(AND(Hoja4!H243="Empresa de embarque B",Hoja4!I243="Cheque"),"dale","vaaa")</f>
        <v>vaaa</v>
      </c>
      <c r="V244" t="str">
        <f>IF(AND(Hoja4!H243="Empresa de embarque B",Hoja4!I243="Cheque",Hoja4!J243="Cerveza"),"dale","vaaa")</f>
        <v>vaaa</v>
      </c>
      <c r="X244" t="str">
        <f>IF(OR(Hoja4!H243="Empresa de embarque B",Hoja4!I243="Cheque",Hoja4!J243="cerveza"),"dale","vaaa")</f>
        <v>dale</v>
      </c>
      <c r="Z244" t="str">
        <f>IF(NOT(OR(Hoja4!I243="Cheque",Hoja4!J243="Cerveza")),"Aprobado","No Aprobado")</f>
        <v>Aprobado</v>
      </c>
    </row>
    <row r="245" spans="19:26" x14ac:dyDescent="0.25">
      <c r="S245" s="2" t="b">
        <f>AND(Hoja4!$P244="abril",Hoja4!$O244="Jue.")</f>
        <v>0</v>
      </c>
      <c r="T245" t="str">
        <f>IF(AND(Hoja4!H244="Empresa de embarque B",Hoja4!I244="Cheque"),"dale","vaaa")</f>
        <v>vaaa</v>
      </c>
      <c r="V245" t="str">
        <f>IF(AND(Hoja4!H244="Empresa de embarque B",Hoja4!I244="Cheque",Hoja4!J244="Cerveza"),"dale","vaaa")</f>
        <v>vaaa</v>
      </c>
      <c r="X245" t="str">
        <f>IF(OR(Hoja4!H244="Empresa de embarque B",Hoja4!I244="Cheque",Hoja4!J244="cerveza"),"dale","vaaa")</f>
        <v>dale</v>
      </c>
      <c r="Z245" t="str">
        <f>IF(NOT(OR(Hoja4!I244="Cheque",Hoja4!J244="Cerveza")),"Aprobado","No Aprobado")</f>
        <v>Aprobado</v>
      </c>
    </row>
    <row r="246" spans="19:26" x14ac:dyDescent="0.25">
      <c r="S246" s="2" t="b">
        <f>AND(Hoja4!$P245="abril",Hoja4!$O245="Jue.")</f>
        <v>0</v>
      </c>
      <c r="T246" t="str">
        <f>IF(AND(Hoja4!H245="Empresa de embarque B",Hoja4!I245="Cheque"),"dale","vaaa")</f>
        <v>vaaa</v>
      </c>
      <c r="V246" t="str">
        <f>IF(AND(Hoja4!H245="Empresa de embarque B",Hoja4!I245="Cheque",Hoja4!J245="Cerveza"),"dale","vaaa")</f>
        <v>vaaa</v>
      </c>
      <c r="X246" t="str">
        <f>IF(OR(Hoja4!H245="Empresa de embarque B",Hoja4!I245="Cheque",Hoja4!J245="cerveza"),"dale","vaaa")</f>
        <v>dale</v>
      </c>
      <c r="Z246" t="str">
        <f>IF(NOT(OR(Hoja4!I245="Cheque",Hoja4!J245="Cerveza")),"Aprobado","No Aprobado")</f>
        <v>No Aprobado</v>
      </c>
    </row>
    <row r="247" spans="19:26" x14ac:dyDescent="0.25">
      <c r="S247" s="2" t="b">
        <f>AND(Hoja4!$P246="abril",Hoja4!$O246="Jue.")</f>
        <v>0</v>
      </c>
      <c r="T247" t="str">
        <f>IF(AND(Hoja4!H246="Empresa de embarque B",Hoja4!I246="Cheque"),"dale","vaaa")</f>
        <v>vaaa</v>
      </c>
      <c r="V247" t="str">
        <f>IF(AND(Hoja4!H246="Empresa de embarque B",Hoja4!I246="Cheque",Hoja4!J246="Cerveza"),"dale","vaaa")</f>
        <v>vaaa</v>
      </c>
      <c r="X247" t="str">
        <f>IF(OR(Hoja4!H246="Empresa de embarque B",Hoja4!I246="Cheque",Hoja4!J246="cerveza"),"dale","vaaa")</f>
        <v>dale</v>
      </c>
      <c r="Z247" t="str">
        <f>IF(NOT(OR(Hoja4!I246="Cheque",Hoja4!J246="Cerveza")),"Aprobado","No Aprobado")</f>
        <v>No Aprobado</v>
      </c>
    </row>
    <row r="248" spans="19:26" x14ac:dyDescent="0.25">
      <c r="S248" s="2" t="b">
        <f>AND(Hoja4!$P247="abril",Hoja4!$O247="Jue.")</f>
        <v>0</v>
      </c>
      <c r="T248" t="str">
        <f>IF(AND(Hoja4!H247="Empresa de embarque B",Hoja4!I247="Cheque"),"dale","vaaa")</f>
        <v>vaaa</v>
      </c>
      <c r="V248" t="str">
        <f>IF(AND(Hoja4!H247="Empresa de embarque B",Hoja4!I247="Cheque",Hoja4!J247="Cerveza"),"dale","vaaa")</f>
        <v>vaaa</v>
      </c>
      <c r="X248" t="str">
        <f>IF(OR(Hoja4!H247="Empresa de embarque B",Hoja4!I247="Cheque",Hoja4!J247="cerveza"),"dale","vaaa")</f>
        <v>dale</v>
      </c>
      <c r="Z248" t="str">
        <f>IF(NOT(OR(Hoja4!I247="Cheque",Hoja4!J247="Cerveza")),"Aprobado","No Aprobado")</f>
        <v>Aprobado</v>
      </c>
    </row>
    <row r="249" spans="19:26" x14ac:dyDescent="0.25">
      <c r="S249" s="2" t="b">
        <f>AND(Hoja4!$P248="abril",Hoja4!$O248="Jue.")</f>
        <v>0</v>
      </c>
      <c r="T249" t="str">
        <f>IF(AND(Hoja4!H248="Empresa de embarque B",Hoja4!I248="Cheque"),"dale","vaaa")</f>
        <v>vaaa</v>
      </c>
      <c r="V249" t="str">
        <f>IF(AND(Hoja4!H248="Empresa de embarque B",Hoja4!I248="Cheque",Hoja4!J248="Cerveza"),"dale","vaaa")</f>
        <v>vaaa</v>
      </c>
      <c r="X249" t="str">
        <f>IF(OR(Hoja4!H248="Empresa de embarque B",Hoja4!I248="Cheque",Hoja4!J248="cerveza"),"dale","vaaa")</f>
        <v>vaaa</v>
      </c>
      <c r="Z249" t="str">
        <f>IF(NOT(OR(Hoja4!I248="Cheque",Hoja4!J248="Cerveza")),"Aprobado","No Aprobado")</f>
        <v>Aprobado</v>
      </c>
    </row>
    <row r="250" spans="19:26" x14ac:dyDescent="0.25">
      <c r="S250" s="2" t="b">
        <f>AND(Hoja4!$P249="abril",Hoja4!$O249="Jue.")</f>
        <v>0</v>
      </c>
      <c r="T250" t="str">
        <f>IF(AND(Hoja4!H249="Empresa de embarque B",Hoja4!I249="Cheque"),"dale","vaaa")</f>
        <v>vaaa</v>
      </c>
      <c r="V250" t="str">
        <f>IF(AND(Hoja4!H249="Empresa de embarque B",Hoja4!I249="Cheque",Hoja4!J249="Cerveza"),"dale","vaaa")</f>
        <v>vaaa</v>
      </c>
      <c r="X250" t="str">
        <f>IF(OR(Hoja4!H249="Empresa de embarque B",Hoja4!I249="Cheque",Hoja4!J249="cerveza"),"dale","vaaa")</f>
        <v>vaaa</v>
      </c>
      <c r="Z250" t="str">
        <f>IF(NOT(OR(Hoja4!I249="Cheque",Hoja4!J249="Cerveza")),"Aprobado","No Aprobado")</f>
        <v>Aprobado</v>
      </c>
    </row>
    <row r="251" spans="19:26" x14ac:dyDescent="0.25">
      <c r="S251" s="2" t="b">
        <f>AND(Hoja4!$P250="abril",Hoja4!$O250="Jue.")</f>
        <v>0</v>
      </c>
      <c r="T251" t="str">
        <f>IF(AND(Hoja4!H250="Empresa de embarque B",Hoja4!I250="Cheque"),"dale","vaaa")</f>
        <v>vaaa</v>
      </c>
      <c r="V251" t="str">
        <f>IF(AND(Hoja4!H250="Empresa de embarque B",Hoja4!I250="Cheque",Hoja4!J250="Cerveza"),"dale","vaaa")</f>
        <v>vaaa</v>
      </c>
      <c r="X251" t="str">
        <f>IF(OR(Hoja4!H250="Empresa de embarque B",Hoja4!I250="Cheque",Hoja4!J250="cerveza"),"dale","vaaa")</f>
        <v>vaaa</v>
      </c>
      <c r="Z251" t="str">
        <f>IF(NOT(OR(Hoja4!I250="Cheque",Hoja4!J250="Cerveza")),"Aprobado","No Aprobado")</f>
        <v>Aprobado</v>
      </c>
    </row>
    <row r="252" spans="19:26" x14ac:dyDescent="0.25">
      <c r="S252" s="2" t="b">
        <f>AND(Hoja4!$P251="abril",Hoja4!$O251="Jue.")</f>
        <v>0</v>
      </c>
      <c r="T252" t="str">
        <f>IF(AND(Hoja4!H251="Empresa de embarque B",Hoja4!I251="Cheque"),"dale","vaaa")</f>
        <v>vaaa</v>
      </c>
      <c r="V252" t="str">
        <f>IF(AND(Hoja4!H251="Empresa de embarque B",Hoja4!I251="Cheque",Hoja4!J251="Cerveza"),"dale","vaaa")</f>
        <v>vaaa</v>
      </c>
      <c r="X252" t="str">
        <f>IF(OR(Hoja4!H251="Empresa de embarque B",Hoja4!I251="Cheque",Hoja4!J251="cerveza"),"dale","vaaa")</f>
        <v>vaaa</v>
      </c>
      <c r="Z252" t="str">
        <f>IF(NOT(OR(Hoja4!I251="Cheque",Hoja4!J251="Cerveza")),"Aprobado","No Aprobado")</f>
        <v>Aprobado</v>
      </c>
    </row>
    <row r="253" spans="19:26" x14ac:dyDescent="0.25">
      <c r="S253" s="2" t="b">
        <f>AND(Hoja4!$P252="abril",Hoja4!$O252="Jue.")</f>
        <v>0</v>
      </c>
      <c r="T253" t="str">
        <f>IF(AND(Hoja4!H252="Empresa de embarque B",Hoja4!I252="Cheque"),"dale","vaaa")</f>
        <v>vaaa</v>
      </c>
      <c r="V253" t="str">
        <f>IF(AND(Hoja4!H252="Empresa de embarque B",Hoja4!I252="Cheque",Hoja4!J252="Cerveza"),"dale","vaaa")</f>
        <v>vaaa</v>
      </c>
      <c r="X253" t="str">
        <f>IF(OR(Hoja4!H252="Empresa de embarque B",Hoja4!I252="Cheque",Hoja4!J252="cerveza"),"dale","vaaa")</f>
        <v>vaaa</v>
      </c>
      <c r="Z253" t="str">
        <f>IF(NOT(OR(Hoja4!I252="Cheque",Hoja4!J252="Cerveza")),"Aprobado","No Aprobado")</f>
        <v>Aprobado</v>
      </c>
    </row>
    <row r="254" spans="19:26" x14ac:dyDescent="0.25">
      <c r="S254" s="2" t="b">
        <f>AND(Hoja4!$P253="abril",Hoja4!$O253="Jue.")</f>
        <v>0</v>
      </c>
      <c r="T254" t="str">
        <f>IF(AND(Hoja4!H253="Empresa de embarque B",Hoja4!I253="Cheque"),"dale","vaaa")</f>
        <v>vaaa</v>
      </c>
      <c r="V254" t="str">
        <f>IF(AND(Hoja4!H253="Empresa de embarque B",Hoja4!I253="Cheque",Hoja4!J253="Cerveza"),"dale","vaaa")</f>
        <v>vaaa</v>
      </c>
      <c r="X254" t="str">
        <f>IF(OR(Hoja4!H253="Empresa de embarque B",Hoja4!I253="Cheque",Hoja4!J253="cerveza"),"dale","vaaa")</f>
        <v>vaaa</v>
      </c>
      <c r="Z254" t="str">
        <f>IF(NOT(OR(Hoja4!I253="Cheque",Hoja4!J253="Cerveza")),"Aprobado","No Aprobado")</f>
        <v>Aprobado</v>
      </c>
    </row>
    <row r="255" spans="19:26" x14ac:dyDescent="0.25">
      <c r="S255" s="2" t="b">
        <f>AND(Hoja4!$P254="abril",Hoja4!$O254="Jue.")</f>
        <v>0</v>
      </c>
      <c r="T255" t="str">
        <f>IF(AND(Hoja4!H254="Empresa de embarque B",Hoja4!I254="Cheque"),"dale","vaaa")</f>
        <v>vaaa</v>
      </c>
      <c r="V255" t="str">
        <f>IF(AND(Hoja4!H254="Empresa de embarque B",Hoja4!I254="Cheque",Hoja4!J254="Cerveza"),"dale","vaaa")</f>
        <v>vaaa</v>
      </c>
      <c r="X255" t="str">
        <f>IF(OR(Hoja4!H254="Empresa de embarque B",Hoja4!I254="Cheque",Hoja4!J254="cerveza"),"dale","vaaa")</f>
        <v>vaaa</v>
      </c>
      <c r="Z255" t="str">
        <f>IF(NOT(OR(Hoja4!I254="Cheque",Hoja4!J254="Cerveza")),"Aprobado","No Aprobado")</f>
        <v>Aprobado</v>
      </c>
    </row>
    <row r="256" spans="19:26" x14ac:dyDescent="0.25">
      <c r="S256" s="2" t="b">
        <f>AND(Hoja4!$P255="abril",Hoja4!$O255="Jue.")</f>
        <v>0</v>
      </c>
      <c r="T256" t="str">
        <f>IF(AND(Hoja4!H255="Empresa de embarque B",Hoja4!I255="Cheque"),"dale","vaaa")</f>
        <v>vaaa</v>
      </c>
      <c r="V256" t="str">
        <f>IF(AND(Hoja4!H255="Empresa de embarque B",Hoja4!I255="Cheque",Hoja4!J255="Cerveza"),"dale","vaaa")</f>
        <v>vaaa</v>
      </c>
      <c r="X256" t="str">
        <f>IF(OR(Hoja4!H255="Empresa de embarque B",Hoja4!I255="Cheque",Hoja4!J255="cerveza"),"dale","vaaa")</f>
        <v>vaaa</v>
      </c>
      <c r="Z256" t="str">
        <f>IF(NOT(OR(Hoja4!I255="Cheque",Hoja4!J255="Cerveza")),"Aprobado","No Aprobado")</f>
        <v>Aprobado</v>
      </c>
    </row>
    <row r="257" spans="19:26" x14ac:dyDescent="0.25">
      <c r="S257" s="2" t="b">
        <f>AND(Hoja4!$P256="abril",Hoja4!$O256="Jue.")</f>
        <v>0</v>
      </c>
      <c r="T257" t="str">
        <f>IF(AND(Hoja4!H256="Empresa de embarque B",Hoja4!I256="Cheque"),"dale","vaaa")</f>
        <v>vaaa</v>
      </c>
      <c r="V257" t="str">
        <f>IF(AND(Hoja4!H256="Empresa de embarque B",Hoja4!I256="Cheque",Hoja4!J256="Cerveza"),"dale","vaaa")</f>
        <v>vaaa</v>
      </c>
      <c r="X257" t="str">
        <f>IF(OR(Hoja4!H256="Empresa de embarque B",Hoja4!I256="Cheque",Hoja4!J256="cerveza"),"dale","vaaa")</f>
        <v>vaaa</v>
      </c>
      <c r="Z257" t="str">
        <f>IF(NOT(OR(Hoja4!I256="Cheque",Hoja4!J256="Cerveza")),"Aprobado","No Aprobado")</f>
        <v>Aprobado</v>
      </c>
    </row>
    <row r="258" spans="19:26" x14ac:dyDescent="0.25">
      <c r="S258" s="2" t="b">
        <f>AND(Hoja4!$P257="abril",Hoja4!$O257="Jue.")</f>
        <v>0</v>
      </c>
      <c r="T258" t="str">
        <f>IF(AND(Hoja4!H257="Empresa de embarque B",Hoja4!I257="Cheque"),"dale","vaaa")</f>
        <v>vaaa</v>
      </c>
      <c r="V258" t="str">
        <f>IF(AND(Hoja4!H257="Empresa de embarque B",Hoja4!I257="Cheque",Hoja4!J257="Cerveza"),"dale","vaaa")</f>
        <v>vaaa</v>
      </c>
      <c r="X258" t="str">
        <f>IF(OR(Hoja4!H257="Empresa de embarque B",Hoja4!I257="Cheque",Hoja4!J257="cerveza"),"dale","vaaa")</f>
        <v>vaaa</v>
      </c>
      <c r="Z258" t="str">
        <f>IF(NOT(OR(Hoja4!I257="Cheque",Hoja4!J257="Cerveza")),"Aprobado","No Aprobado")</f>
        <v>Aprobado</v>
      </c>
    </row>
    <row r="259" spans="19:26" x14ac:dyDescent="0.25">
      <c r="S259" s="2" t="b">
        <f>AND(Hoja4!$P258="abril",Hoja4!$O258="Jue.")</f>
        <v>0</v>
      </c>
      <c r="T259" t="str">
        <f>IF(AND(Hoja4!H258="Empresa de embarque B",Hoja4!I258="Cheque"),"dale","vaaa")</f>
        <v>vaaa</v>
      </c>
      <c r="V259" t="str">
        <f>IF(AND(Hoja4!H258="Empresa de embarque B",Hoja4!I258="Cheque",Hoja4!J258="Cerveza"),"dale","vaaa")</f>
        <v>vaaa</v>
      </c>
      <c r="X259" t="str">
        <f>IF(OR(Hoja4!H258="Empresa de embarque B",Hoja4!I258="Cheque",Hoja4!J258="cerveza"),"dale","vaaa")</f>
        <v>vaaa</v>
      </c>
      <c r="Z259" t="str">
        <f>IF(NOT(OR(Hoja4!I258="Cheque",Hoja4!J258="Cerveza")),"Aprobado","No Aprobado")</f>
        <v>Aprobado</v>
      </c>
    </row>
    <row r="260" spans="19:26" x14ac:dyDescent="0.25">
      <c r="S260" s="2" t="b">
        <f>AND(Hoja4!$P259="abril",Hoja4!$O259="Jue.")</f>
        <v>0</v>
      </c>
      <c r="T260" t="str">
        <f>IF(AND(Hoja4!H259="Empresa de embarque B",Hoja4!I259="Cheque"),"dale","vaaa")</f>
        <v>vaaa</v>
      </c>
      <c r="V260" t="str">
        <f>IF(AND(Hoja4!H259="Empresa de embarque B",Hoja4!I259="Cheque",Hoja4!J259="Cerveza"),"dale","vaaa")</f>
        <v>vaaa</v>
      </c>
      <c r="X260" t="str">
        <f>IF(OR(Hoja4!H259="Empresa de embarque B",Hoja4!I259="Cheque",Hoja4!J259="cerveza"),"dale","vaaa")</f>
        <v>dale</v>
      </c>
      <c r="Z260" t="str">
        <f>IF(NOT(OR(Hoja4!I259="Cheque",Hoja4!J259="Cerveza")),"Aprobado","No Aprobado")</f>
        <v>No Aprobado</v>
      </c>
    </row>
    <row r="261" spans="19:26" x14ac:dyDescent="0.25">
      <c r="S261" s="2" t="b">
        <f>AND(Hoja4!$P260="abril",Hoja4!$O260="Jue.")</f>
        <v>0</v>
      </c>
      <c r="T261" t="str">
        <f>IF(AND(Hoja4!H260="Empresa de embarque B",Hoja4!I260="Cheque"),"dale","vaaa")</f>
        <v>vaaa</v>
      </c>
      <c r="V261" t="str">
        <f>IF(AND(Hoja4!H260="Empresa de embarque B",Hoja4!I260="Cheque",Hoja4!J260="Cerveza"),"dale","vaaa")</f>
        <v>vaaa</v>
      </c>
      <c r="X261" t="str">
        <f>IF(OR(Hoja4!H260="Empresa de embarque B",Hoja4!I260="Cheque",Hoja4!J260="cerveza"),"dale","vaaa")</f>
        <v>dale</v>
      </c>
      <c r="Z261" t="str">
        <f>IF(NOT(OR(Hoja4!I260="Cheque",Hoja4!J260="Cerveza")),"Aprobado","No Aprobado")</f>
        <v>No Aprobado</v>
      </c>
    </row>
    <row r="262" spans="19:26" x14ac:dyDescent="0.25">
      <c r="S262" s="2" t="b">
        <f>AND(Hoja4!$P261="abril",Hoja4!$O261="Jue.")</f>
        <v>0</v>
      </c>
      <c r="T262" t="str">
        <f>IF(AND(Hoja4!H261="Empresa de embarque B",Hoja4!I261="Cheque"),"dale","vaaa")</f>
        <v>vaaa</v>
      </c>
      <c r="V262" t="str">
        <f>IF(AND(Hoja4!H261="Empresa de embarque B",Hoja4!I261="Cheque",Hoja4!J261="Cerveza"),"dale","vaaa")</f>
        <v>vaaa</v>
      </c>
      <c r="X262" t="str">
        <f>IF(OR(Hoja4!H261="Empresa de embarque B",Hoja4!I261="Cheque",Hoja4!J261="cerveza"),"dale","vaaa")</f>
        <v>dale</v>
      </c>
      <c r="Z262" t="str">
        <f>IF(NOT(OR(Hoja4!I261="Cheque",Hoja4!J261="Cerveza")),"Aprobado","No Aprobado")</f>
        <v>No Aprobado</v>
      </c>
    </row>
    <row r="263" spans="19:26" x14ac:dyDescent="0.25">
      <c r="S263" s="2" t="b">
        <f>AND(Hoja4!$P262="abril",Hoja4!$O262="Jue.")</f>
        <v>0</v>
      </c>
      <c r="T263" t="str">
        <f>IF(AND(Hoja4!H262="Empresa de embarque B",Hoja4!I262="Cheque"),"dale","vaaa")</f>
        <v>dale</v>
      </c>
      <c r="V263" t="str">
        <f>IF(AND(Hoja4!H262="Empresa de embarque B",Hoja4!I262="Cheque",Hoja4!J262="Cerveza"),"dale","vaaa")</f>
        <v>vaaa</v>
      </c>
      <c r="X263" t="str">
        <f>IF(OR(Hoja4!H262="Empresa de embarque B",Hoja4!I262="Cheque",Hoja4!J262="cerveza"),"dale","vaaa")</f>
        <v>dale</v>
      </c>
      <c r="Z263" t="str">
        <f>IF(NOT(OR(Hoja4!I262="Cheque",Hoja4!J262="Cerveza")),"Aprobado","No Aprobado")</f>
        <v>No Aprobado</v>
      </c>
    </row>
    <row r="264" spans="19:26" x14ac:dyDescent="0.25">
      <c r="S264" s="2" t="b">
        <f>AND(Hoja4!$P263="abril",Hoja4!$O263="Jue.")</f>
        <v>0</v>
      </c>
      <c r="T264" t="str">
        <f>IF(AND(Hoja4!H263="Empresa de embarque B",Hoja4!I263="Cheque"),"dale","vaaa")</f>
        <v>dale</v>
      </c>
      <c r="V264" t="str">
        <f>IF(AND(Hoja4!H263="Empresa de embarque B",Hoja4!I263="Cheque",Hoja4!J263="Cerveza"),"dale","vaaa")</f>
        <v>vaaa</v>
      </c>
      <c r="X264" t="str">
        <f>IF(OR(Hoja4!H263="Empresa de embarque B",Hoja4!I263="Cheque",Hoja4!J263="cerveza"),"dale","vaaa")</f>
        <v>dale</v>
      </c>
      <c r="Z264" t="str">
        <f>IF(NOT(OR(Hoja4!I263="Cheque",Hoja4!J263="Cerveza")),"Aprobado","No Aprobado")</f>
        <v>No Aprobado</v>
      </c>
    </row>
    <row r="265" spans="19:26" x14ac:dyDescent="0.25">
      <c r="S265" s="2" t="b">
        <f>AND(Hoja4!$P264="abril",Hoja4!$O264="Jue.")</f>
        <v>0</v>
      </c>
      <c r="T265" t="str">
        <f>IF(AND(Hoja4!H264="Empresa de embarque B",Hoja4!I264="Cheque"),"dale","vaaa")</f>
        <v>vaaa</v>
      </c>
      <c r="V265" t="str">
        <f>IF(AND(Hoja4!H264="Empresa de embarque B",Hoja4!I264="Cheque",Hoja4!J264="Cerveza"),"dale","vaaa")</f>
        <v>vaaa</v>
      </c>
      <c r="X265" t="str">
        <f>IF(OR(Hoja4!H264="Empresa de embarque B",Hoja4!I264="Cheque",Hoja4!J264="cerveza"),"dale","vaaa")</f>
        <v>vaaa</v>
      </c>
      <c r="Z265" t="str">
        <f>IF(NOT(OR(Hoja4!I264="Cheque",Hoja4!J264="Cerveza")),"Aprobado","No Aprobado")</f>
        <v>Aprobado</v>
      </c>
    </row>
    <row r="266" spans="19:26" x14ac:dyDescent="0.25">
      <c r="S266" s="2" t="b">
        <f>AND(Hoja4!$P265="abril",Hoja4!$O265="Jue.")</f>
        <v>0</v>
      </c>
      <c r="T266" t="str">
        <f>IF(AND(Hoja4!H265="Empresa de embarque B",Hoja4!I265="Cheque"),"dale","vaaa")</f>
        <v>vaaa</v>
      </c>
      <c r="V266" t="str">
        <f>IF(AND(Hoja4!H265="Empresa de embarque B",Hoja4!I265="Cheque",Hoja4!J265="Cerveza"),"dale","vaaa")</f>
        <v>vaaa</v>
      </c>
      <c r="X266" t="str">
        <f>IF(OR(Hoja4!H265="Empresa de embarque B",Hoja4!I265="Cheque",Hoja4!J265="cerveza"),"dale","vaaa")</f>
        <v>vaaa</v>
      </c>
      <c r="Z266" t="str">
        <f>IF(NOT(OR(Hoja4!I265="Cheque",Hoja4!J265="Cerveza")),"Aprobado","No Aprobado")</f>
        <v>Aprobado</v>
      </c>
    </row>
    <row r="267" spans="19:26" x14ac:dyDescent="0.25">
      <c r="S267" s="2" t="b">
        <f>AND(Hoja4!$P266="abril",Hoja4!$O266="Jue.")</f>
        <v>0</v>
      </c>
      <c r="T267" t="str">
        <f>IF(AND(Hoja4!H266="Empresa de embarque B",Hoja4!I266="Cheque"),"dale","vaaa")</f>
        <v>vaaa</v>
      </c>
      <c r="V267" t="str">
        <f>IF(AND(Hoja4!H266="Empresa de embarque B",Hoja4!I266="Cheque",Hoja4!J266="Cerveza"),"dale","vaaa")</f>
        <v>vaaa</v>
      </c>
      <c r="X267" t="str">
        <f>IF(OR(Hoja4!H266="Empresa de embarque B",Hoja4!I266="Cheque",Hoja4!J266="cerveza"),"dale","vaaa")</f>
        <v>vaaa</v>
      </c>
      <c r="Z267" t="str">
        <f>IF(NOT(OR(Hoja4!I266="Cheque",Hoja4!J266="Cerveza")),"Aprobado","No Aprobado")</f>
        <v>Aprobado</v>
      </c>
    </row>
    <row r="268" spans="19:26" x14ac:dyDescent="0.25">
      <c r="S268" s="2" t="b">
        <f>AND(Hoja4!$P267="abril",Hoja4!$O267="Jue.")</f>
        <v>0</v>
      </c>
      <c r="T268" t="str">
        <f>IF(AND(Hoja4!H267="Empresa de embarque B",Hoja4!I267="Cheque"),"dale","vaaa")</f>
        <v>vaaa</v>
      </c>
      <c r="V268" t="str">
        <f>IF(AND(Hoja4!H267="Empresa de embarque B",Hoja4!I267="Cheque",Hoja4!J267="Cerveza"),"dale","vaaa")</f>
        <v>vaaa</v>
      </c>
      <c r="X268" t="str">
        <f>IF(OR(Hoja4!H267="Empresa de embarque B",Hoja4!I267="Cheque",Hoja4!J267="cerveza"),"dale","vaaa")</f>
        <v>vaaa</v>
      </c>
      <c r="Z268" t="str">
        <f>IF(NOT(OR(Hoja4!I267="Cheque",Hoja4!J267="Cerveza")),"Aprobado","No Aprobado")</f>
        <v>Aprobado</v>
      </c>
    </row>
    <row r="269" spans="19:26" x14ac:dyDescent="0.25">
      <c r="S269" s="2" t="b">
        <f>AND(Hoja4!$P268="abril",Hoja4!$O268="Jue.")</f>
        <v>0</v>
      </c>
      <c r="T269" t="str">
        <f>IF(AND(Hoja4!H268="Empresa de embarque B",Hoja4!I268="Cheque"),"dale","vaaa")</f>
        <v>dale</v>
      </c>
      <c r="V269" t="str">
        <f>IF(AND(Hoja4!H268="Empresa de embarque B",Hoja4!I268="Cheque",Hoja4!J268="Cerveza"),"dale","vaaa")</f>
        <v>dale</v>
      </c>
      <c r="X269" t="str">
        <f>IF(OR(Hoja4!H268="Empresa de embarque B",Hoja4!I268="Cheque",Hoja4!J268="cerveza"),"dale","vaaa")</f>
        <v>dale</v>
      </c>
      <c r="Z269" t="str">
        <f>IF(NOT(OR(Hoja4!I268="Cheque",Hoja4!J268="Cerveza")),"Aprobado","No Aprobado")</f>
        <v>No Aprobado</v>
      </c>
    </row>
    <row r="270" spans="19:26" x14ac:dyDescent="0.25">
      <c r="S270" s="2" t="b">
        <f>AND(Hoja4!$P269="abril",Hoja4!$O269="Jue.")</f>
        <v>0</v>
      </c>
      <c r="T270" t="str">
        <f>IF(AND(Hoja4!H269="Empresa de embarque B",Hoja4!I269="Cheque"),"dale","vaaa")</f>
        <v>vaaa</v>
      </c>
      <c r="V270" t="str">
        <f>IF(AND(Hoja4!H269="Empresa de embarque B",Hoja4!I269="Cheque",Hoja4!J269="Cerveza"),"dale","vaaa")</f>
        <v>vaaa</v>
      </c>
      <c r="X270" t="str">
        <f>IF(OR(Hoja4!H269="Empresa de embarque B",Hoja4!I269="Cheque",Hoja4!J269="cerveza"),"dale","vaaa")</f>
        <v>dale</v>
      </c>
      <c r="Z270" t="str">
        <f>IF(NOT(OR(Hoja4!I269="Cheque",Hoja4!J269="Cerveza")),"Aprobado","No Aprobado")</f>
        <v>No Aprobado</v>
      </c>
    </row>
    <row r="271" spans="19:26" x14ac:dyDescent="0.25">
      <c r="S271" s="2" t="b">
        <f>AND(Hoja4!$P270="abril",Hoja4!$O270="Jue.")</f>
        <v>0</v>
      </c>
      <c r="T271" t="str">
        <f>IF(AND(Hoja4!H270="Empresa de embarque B",Hoja4!I270="Cheque"),"dale","vaaa")</f>
        <v>vaaa</v>
      </c>
      <c r="V271" t="str">
        <f>IF(AND(Hoja4!H270="Empresa de embarque B",Hoja4!I270="Cheque",Hoja4!J270="Cerveza"),"dale","vaaa")</f>
        <v>vaaa</v>
      </c>
      <c r="X271" t="str">
        <f>IF(OR(Hoja4!H270="Empresa de embarque B",Hoja4!I270="Cheque",Hoja4!J270="cerveza"),"dale","vaaa")</f>
        <v>vaaa</v>
      </c>
      <c r="Z271" t="str">
        <f>IF(NOT(OR(Hoja4!I270="Cheque",Hoja4!J270="Cerveza")),"Aprobado","No Aprobado")</f>
        <v>Aprobado</v>
      </c>
    </row>
    <row r="272" spans="19:26" x14ac:dyDescent="0.25">
      <c r="S272" s="2" t="b">
        <f>AND(Hoja4!$P271="abril",Hoja4!$O271="Jue.")</f>
        <v>0</v>
      </c>
      <c r="T272" t="str">
        <f>IF(AND(Hoja4!H271="Empresa de embarque B",Hoja4!I271="Cheque"),"dale","vaaa")</f>
        <v>vaaa</v>
      </c>
      <c r="V272" t="str">
        <f>IF(AND(Hoja4!H271="Empresa de embarque B",Hoja4!I271="Cheque",Hoja4!J271="Cerveza"),"dale","vaaa")</f>
        <v>vaaa</v>
      </c>
      <c r="X272" t="str">
        <f>IF(OR(Hoja4!H271="Empresa de embarque B",Hoja4!I271="Cheque",Hoja4!J271="cerveza"),"dale","vaaa")</f>
        <v>vaaa</v>
      </c>
      <c r="Z272" t="str">
        <f>IF(NOT(OR(Hoja4!I271="Cheque",Hoja4!J271="Cerveza")),"Aprobado","No Aprobado")</f>
        <v>Aprobado</v>
      </c>
    </row>
    <row r="273" spans="19:26" x14ac:dyDescent="0.25">
      <c r="S273" s="2" t="b">
        <f>AND(Hoja4!$P272="abril",Hoja4!$O272="Jue.")</f>
        <v>0</v>
      </c>
      <c r="T273" t="str">
        <f>IF(AND(Hoja4!H272="Empresa de embarque B",Hoja4!I272="Cheque"),"dale","vaaa")</f>
        <v>vaaa</v>
      </c>
      <c r="V273" t="str">
        <f>IF(AND(Hoja4!H272="Empresa de embarque B",Hoja4!I272="Cheque",Hoja4!J272="Cerveza"),"dale","vaaa")</f>
        <v>vaaa</v>
      </c>
      <c r="X273" t="str">
        <f>IF(OR(Hoja4!H272="Empresa de embarque B",Hoja4!I272="Cheque",Hoja4!J272="cerveza"),"dale","vaaa")</f>
        <v>vaaa</v>
      </c>
      <c r="Z273" t="str">
        <f>IF(NOT(OR(Hoja4!I272="Cheque",Hoja4!J272="Cerveza")),"Aprobado","No Aprobado")</f>
        <v>Aprobado</v>
      </c>
    </row>
    <row r="274" spans="19:26" x14ac:dyDescent="0.25">
      <c r="S274" s="2" t="b">
        <f>AND(Hoja4!$P273="abril",Hoja4!$O273="Jue.")</f>
        <v>0</v>
      </c>
      <c r="T274" t="str">
        <f>IF(AND(Hoja4!H273="Empresa de embarque B",Hoja4!I273="Cheque"),"dale","vaaa")</f>
        <v>vaaa</v>
      </c>
      <c r="V274" t="str">
        <f>IF(AND(Hoja4!H273="Empresa de embarque B",Hoja4!I273="Cheque",Hoja4!J273="Cerveza"),"dale","vaaa")</f>
        <v>vaaa</v>
      </c>
      <c r="X274" t="str">
        <f>IF(OR(Hoja4!H273="Empresa de embarque B",Hoja4!I273="Cheque",Hoja4!J273="cerveza"),"dale","vaaa")</f>
        <v>dale</v>
      </c>
      <c r="Z274" t="str">
        <f>IF(NOT(OR(Hoja4!I273="Cheque",Hoja4!J273="Cerveza")),"Aprobado","No Aprobado")</f>
        <v>Aprobado</v>
      </c>
    </row>
    <row r="275" spans="19:26" x14ac:dyDescent="0.25">
      <c r="S275" s="2" t="b">
        <f>AND(Hoja4!$P274="abril",Hoja4!$O274="Jue.")</f>
        <v>0</v>
      </c>
      <c r="T275" t="str">
        <f>IF(AND(Hoja4!H274="Empresa de embarque B",Hoja4!I274="Cheque"),"dale","vaaa")</f>
        <v>vaaa</v>
      </c>
      <c r="V275" t="str">
        <f>IF(AND(Hoja4!H274="Empresa de embarque B",Hoja4!I274="Cheque",Hoja4!J274="Cerveza"),"dale","vaaa")</f>
        <v>vaaa</v>
      </c>
      <c r="X275" t="str">
        <f>IF(OR(Hoja4!H274="Empresa de embarque B",Hoja4!I274="Cheque",Hoja4!J274="cerveza"),"dale","vaaa")</f>
        <v>dale</v>
      </c>
      <c r="Z275" t="str">
        <f>IF(NOT(OR(Hoja4!I274="Cheque",Hoja4!J274="Cerveza")),"Aprobado","No Aprobado")</f>
        <v>Aprobado</v>
      </c>
    </row>
    <row r="276" spans="19:26" x14ac:dyDescent="0.25">
      <c r="S276" s="2" t="b">
        <f>AND(Hoja4!$P275="abril",Hoja4!$O275="Jue.")</f>
        <v>0</v>
      </c>
      <c r="T276" t="str">
        <f>IF(AND(Hoja4!H275="Empresa de embarque B",Hoja4!I275="Cheque"),"dale","vaaa")</f>
        <v>vaaa</v>
      </c>
      <c r="V276" t="str">
        <f>IF(AND(Hoja4!H275="Empresa de embarque B",Hoja4!I275="Cheque",Hoja4!J275="Cerveza"),"dale","vaaa")</f>
        <v>vaaa</v>
      </c>
      <c r="X276" t="str">
        <f>IF(OR(Hoja4!H275="Empresa de embarque B",Hoja4!I275="Cheque",Hoja4!J275="cerveza"),"dale","vaaa")</f>
        <v>dale</v>
      </c>
      <c r="Z276" t="str">
        <f>IF(NOT(OR(Hoja4!I275="Cheque",Hoja4!J275="Cerveza")),"Aprobado","No Aprobado")</f>
        <v>Aprobado</v>
      </c>
    </row>
    <row r="277" spans="19:26" x14ac:dyDescent="0.25">
      <c r="S277" s="2" t="b">
        <f>AND(Hoja4!$P276="abril",Hoja4!$O276="Jue.")</f>
        <v>0</v>
      </c>
      <c r="T277" t="str">
        <f>IF(AND(Hoja4!H276="Empresa de embarque B",Hoja4!I276="Cheque"),"dale","vaaa")</f>
        <v>vaaa</v>
      </c>
      <c r="V277" t="str">
        <f>IF(AND(Hoja4!H276="Empresa de embarque B",Hoja4!I276="Cheque",Hoja4!J276="Cerveza"),"dale","vaaa")</f>
        <v>vaaa</v>
      </c>
      <c r="X277" t="str">
        <f>IF(OR(Hoja4!H276="Empresa de embarque B",Hoja4!I276="Cheque",Hoja4!J276="cerveza"),"dale","vaaa")</f>
        <v>vaaa</v>
      </c>
      <c r="Z277" t="str">
        <f>IF(NOT(OR(Hoja4!I276="Cheque",Hoja4!J276="Cerveza")),"Aprobado","No Aprobado")</f>
        <v>Aprobado</v>
      </c>
    </row>
    <row r="278" spans="19:26" x14ac:dyDescent="0.25">
      <c r="S278" s="2" t="b">
        <f>AND(Hoja4!$P277="abril",Hoja4!$O277="Jue.")</f>
        <v>0</v>
      </c>
      <c r="T278" t="str">
        <f>IF(AND(Hoja4!H277="Empresa de embarque B",Hoja4!I277="Cheque"),"dale","vaaa")</f>
        <v>vaaa</v>
      </c>
      <c r="V278" t="str">
        <f>IF(AND(Hoja4!H277="Empresa de embarque B",Hoja4!I277="Cheque",Hoja4!J277="Cerveza"),"dale","vaaa")</f>
        <v>vaaa</v>
      </c>
      <c r="X278" t="str">
        <f>IF(OR(Hoja4!H277="Empresa de embarque B",Hoja4!I277="Cheque",Hoja4!J277="cerveza"),"dale","vaaa")</f>
        <v>vaaa</v>
      </c>
      <c r="Z278" t="str">
        <f>IF(NOT(OR(Hoja4!I277="Cheque",Hoja4!J277="Cerveza")),"Aprobado","No Aprobado")</f>
        <v>Aprobado</v>
      </c>
    </row>
    <row r="279" spans="19:26" x14ac:dyDescent="0.25">
      <c r="S279" s="2" t="b">
        <f>AND(Hoja4!$P278="abril",Hoja4!$O278="Jue.")</f>
        <v>0</v>
      </c>
      <c r="T279" t="str">
        <f>IF(AND(Hoja4!H278="Empresa de embarque B",Hoja4!I278="Cheque"),"dale","vaaa")</f>
        <v>vaaa</v>
      </c>
      <c r="V279" t="str">
        <f>IF(AND(Hoja4!H278="Empresa de embarque B",Hoja4!I278="Cheque",Hoja4!J278="Cerveza"),"dale","vaaa")</f>
        <v>vaaa</v>
      </c>
      <c r="X279" t="str">
        <f>IF(OR(Hoja4!H278="Empresa de embarque B",Hoja4!I278="Cheque",Hoja4!J278="cerveza"),"dale","vaaa")</f>
        <v>vaaa</v>
      </c>
      <c r="Z279" t="str">
        <f>IF(NOT(OR(Hoja4!I278="Cheque",Hoja4!J278="Cerveza")),"Aprobado","No Aprobado")</f>
        <v>Aprobado</v>
      </c>
    </row>
    <row r="280" spans="19:26" x14ac:dyDescent="0.25">
      <c r="S280" s="2" t="b">
        <f>AND(Hoja4!$P279="abril",Hoja4!$O279="Jue.")</f>
        <v>0</v>
      </c>
      <c r="T280" t="str">
        <f>IF(AND(Hoja4!H279="Empresa de embarque B",Hoja4!I279="Cheque"),"dale","vaaa")</f>
        <v>vaaa</v>
      </c>
      <c r="V280" t="str">
        <f>IF(AND(Hoja4!H279="Empresa de embarque B",Hoja4!I279="Cheque",Hoja4!J279="Cerveza"),"dale","vaaa")</f>
        <v>vaaa</v>
      </c>
      <c r="X280" t="str">
        <f>IF(OR(Hoja4!H279="Empresa de embarque B",Hoja4!I279="Cheque",Hoja4!J279="cerveza"),"dale","vaaa")</f>
        <v>vaaa</v>
      </c>
      <c r="Z280" t="str">
        <f>IF(NOT(OR(Hoja4!I279="Cheque",Hoja4!J279="Cerveza")),"Aprobado","No Aprobado")</f>
        <v>Aprobado</v>
      </c>
    </row>
    <row r="281" spans="19:26" x14ac:dyDescent="0.25">
      <c r="S281" s="2" t="b">
        <f>AND(Hoja4!$P280="abril",Hoja4!$O280="Jue.")</f>
        <v>0</v>
      </c>
      <c r="T281" t="str">
        <f>IF(AND(Hoja4!H280="Empresa de embarque B",Hoja4!I280="Cheque"),"dale","vaaa")</f>
        <v>vaaa</v>
      </c>
      <c r="V281" t="str">
        <f>IF(AND(Hoja4!H280="Empresa de embarque B",Hoja4!I280="Cheque",Hoja4!J280="Cerveza"),"dale","vaaa")</f>
        <v>vaaa</v>
      </c>
      <c r="X281" t="str">
        <f>IF(OR(Hoja4!H280="Empresa de embarque B",Hoja4!I280="Cheque",Hoja4!J280="cerveza"),"dale","vaaa")</f>
        <v>dale</v>
      </c>
      <c r="Z281" t="str">
        <f>IF(NOT(OR(Hoja4!I280="Cheque",Hoja4!J280="Cerveza")),"Aprobado","No Aprobado")</f>
        <v>No Aprobado</v>
      </c>
    </row>
    <row r="282" spans="19:26" x14ac:dyDescent="0.25">
      <c r="S282" s="2" t="b">
        <f>AND(Hoja4!$P281="abril",Hoja4!$O281="Jue.")</f>
        <v>0</v>
      </c>
      <c r="T282" t="str">
        <f>IF(AND(Hoja4!H281="Empresa de embarque B",Hoja4!I281="Cheque"),"dale","vaaa")</f>
        <v>vaaa</v>
      </c>
      <c r="V282" t="str">
        <f>IF(AND(Hoja4!H281="Empresa de embarque B",Hoja4!I281="Cheque",Hoja4!J281="Cerveza"),"dale","vaaa")</f>
        <v>vaaa</v>
      </c>
      <c r="X282" t="str">
        <f>IF(OR(Hoja4!H281="Empresa de embarque B",Hoja4!I281="Cheque",Hoja4!J281="cerveza"),"dale","vaaa")</f>
        <v>dale</v>
      </c>
      <c r="Z282" t="str">
        <f>IF(NOT(OR(Hoja4!I281="Cheque",Hoja4!J281="Cerveza")),"Aprobado","No Aprobado")</f>
        <v>Aprobado</v>
      </c>
    </row>
    <row r="283" spans="19:26" x14ac:dyDescent="0.25">
      <c r="S283" s="2" t="b">
        <f>AND(Hoja4!$P282="abril",Hoja4!$O282="Jue.")</f>
        <v>0</v>
      </c>
      <c r="T283" t="str">
        <f>IF(AND(Hoja4!H282="Empresa de embarque B",Hoja4!I282="Cheque"),"dale","vaaa")</f>
        <v>dale</v>
      </c>
      <c r="V283" t="str">
        <f>IF(AND(Hoja4!H282="Empresa de embarque B",Hoja4!I282="Cheque",Hoja4!J282="Cerveza"),"dale","vaaa")</f>
        <v>vaaa</v>
      </c>
      <c r="X283" t="str">
        <f>IF(OR(Hoja4!H282="Empresa de embarque B",Hoja4!I282="Cheque",Hoja4!J282="cerveza"),"dale","vaaa")</f>
        <v>dale</v>
      </c>
      <c r="Z283" t="str">
        <f>IF(NOT(OR(Hoja4!I282="Cheque",Hoja4!J282="Cerveza")),"Aprobado","No Aprobado")</f>
        <v>No Aprobado</v>
      </c>
    </row>
    <row r="284" spans="19:26" x14ac:dyDescent="0.25">
      <c r="S284" s="2" t="b">
        <f>AND(Hoja4!$P283="abril",Hoja4!$O283="Jue.")</f>
        <v>0</v>
      </c>
      <c r="T284" t="str">
        <f>IF(AND(Hoja4!H283="Empresa de embarque B",Hoja4!I283="Cheque"),"dale","vaaa")</f>
        <v>vaaa</v>
      </c>
      <c r="V284" t="str">
        <f>IF(AND(Hoja4!H283="Empresa de embarque B",Hoja4!I283="Cheque",Hoja4!J283="Cerveza"),"dale","vaaa")</f>
        <v>vaaa</v>
      </c>
      <c r="X284" t="str">
        <f>IF(OR(Hoja4!H283="Empresa de embarque B",Hoja4!I283="Cheque",Hoja4!J283="cerveza"),"dale","vaaa")</f>
        <v>vaaa</v>
      </c>
      <c r="Z284" t="str">
        <f>IF(NOT(OR(Hoja4!I283="Cheque",Hoja4!J283="Cerveza")),"Aprobado","No Aprobado")</f>
        <v>Aprobado</v>
      </c>
    </row>
    <row r="285" spans="19:26" x14ac:dyDescent="0.25">
      <c r="S285" s="2" t="b">
        <f>AND(Hoja4!$P284="abril",Hoja4!$O284="Jue.")</f>
        <v>0</v>
      </c>
      <c r="T285" t="str">
        <f>IF(AND(Hoja4!H284="Empresa de embarque B",Hoja4!I284="Cheque"),"dale","vaaa")</f>
        <v>vaaa</v>
      </c>
      <c r="V285" t="str">
        <f>IF(AND(Hoja4!H284="Empresa de embarque B",Hoja4!I284="Cheque",Hoja4!J284="Cerveza"),"dale","vaaa")</f>
        <v>vaaa</v>
      </c>
      <c r="X285" t="str">
        <f>IF(OR(Hoja4!H284="Empresa de embarque B",Hoja4!I284="Cheque",Hoja4!J284="cerveza"),"dale","vaaa")</f>
        <v>vaaa</v>
      </c>
      <c r="Z285" t="str">
        <f>IF(NOT(OR(Hoja4!I284="Cheque",Hoja4!J284="Cerveza")),"Aprobado","No Aprobado")</f>
        <v>Aprobado</v>
      </c>
    </row>
    <row r="286" spans="19:26" x14ac:dyDescent="0.25">
      <c r="S286" s="2" t="b">
        <f>AND(Hoja4!$P285="abril",Hoja4!$O285="Jue.")</f>
        <v>0</v>
      </c>
      <c r="T286" t="str">
        <f>IF(AND(Hoja4!H285="Empresa de embarque B",Hoja4!I285="Cheque"),"dale","vaaa")</f>
        <v>vaaa</v>
      </c>
      <c r="V286" t="str">
        <f>IF(AND(Hoja4!H285="Empresa de embarque B",Hoja4!I285="Cheque",Hoja4!J285="Cerveza"),"dale","vaaa")</f>
        <v>vaaa</v>
      </c>
      <c r="X286" t="str">
        <f>IF(OR(Hoja4!H285="Empresa de embarque B",Hoja4!I285="Cheque",Hoja4!J285="cerveza"),"dale","vaaa")</f>
        <v>vaaa</v>
      </c>
      <c r="Z286" t="str">
        <f>IF(NOT(OR(Hoja4!I285="Cheque",Hoja4!J285="Cerveza")),"Aprobado","No Aprobado")</f>
        <v>Aprobado</v>
      </c>
    </row>
    <row r="287" spans="19:26" x14ac:dyDescent="0.25">
      <c r="S287" s="2" t="b">
        <f>AND(Hoja4!$P286="abril",Hoja4!$O286="Jue.")</f>
        <v>0</v>
      </c>
      <c r="T287" t="str">
        <f>IF(AND(Hoja4!H286="Empresa de embarque B",Hoja4!I286="Cheque"),"dale","vaaa")</f>
        <v>vaaa</v>
      </c>
      <c r="V287" t="str">
        <f>IF(AND(Hoja4!H286="Empresa de embarque B",Hoja4!I286="Cheque",Hoja4!J286="Cerveza"),"dale","vaaa")</f>
        <v>vaaa</v>
      </c>
      <c r="X287" t="str">
        <f>IF(OR(Hoja4!H286="Empresa de embarque B",Hoja4!I286="Cheque",Hoja4!J286="cerveza"),"dale","vaaa")</f>
        <v>vaaa</v>
      </c>
      <c r="Z287" t="str">
        <f>IF(NOT(OR(Hoja4!I286="Cheque",Hoja4!J286="Cerveza")),"Aprobado","No Aprobado")</f>
        <v>Aprobado</v>
      </c>
    </row>
    <row r="288" spans="19:26" x14ac:dyDescent="0.25">
      <c r="S288" s="2" t="b">
        <f>AND(Hoja4!$P287="abril",Hoja4!$O287="Jue.")</f>
        <v>0</v>
      </c>
      <c r="T288" t="str">
        <f>IF(AND(Hoja4!H287="Empresa de embarque B",Hoja4!I287="Cheque"),"dale","vaaa")</f>
        <v>vaaa</v>
      </c>
      <c r="V288" t="str">
        <f>IF(AND(Hoja4!H287="Empresa de embarque B",Hoja4!I287="Cheque",Hoja4!J287="Cerveza"),"dale","vaaa")</f>
        <v>vaaa</v>
      </c>
      <c r="X288" t="str">
        <f>IF(OR(Hoja4!H287="Empresa de embarque B",Hoja4!I287="Cheque",Hoja4!J287="cerveza"),"dale","vaaa")</f>
        <v>vaaa</v>
      </c>
      <c r="Z288" t="str">
        <f>IF(NOT(OR(Hoja4!I287="Cheque",Hoja4!J287="Cerveza")),"Aprobado","No Aprobado")</f>
        <v>Aprobado</v>
      </c>
    </row>
    <row r="289" spans="19:26" x14ac:dyDescent="0.25">
      <c r="S289" s="2" t="b">
        <f>AND(Hoja4!$P288="abril",Hoja4!$O288="Jue.")</f>
        <v>0</v>
      </c>
      <c r="T289" t="str">
        <f>IF(AND(Hoja4!H288="Empresa de embarque B",Hoja4!I288="Cheque"),"dale","vaaa")</f>
        <v>vaaa</v>
      </c>
      <c r="V289" t="str">
        <f>IF(AND(Hoja4!H288="Empresa de embarque B",Hoja4!I288="Cheque",Hoja4!J288="Cerveza"),"dale","vaaa")</f>
        <v>vaaa</v>
      </c>
      <c r="X289" t="str">
        <f>IF(OR(Hoja4!H288="Empresa de embarque B",Hoja4!I288="Cheque",Hoja4!J288="cerveza"),"dale","vaaa")</f>
        <v>vaaa</v>
      </c>
      <c r="Z289" t="str">
        <f>IF(NOT(OR(Hoja4!I288="Cheque",Hoja4!J288="Cerveza")),"Aprobado","No Aprobado")</f>
        <v>Aprobado</v>
      </c>
    </row>
    <row r="290" spans="19:26" x14ac:dyDescent="0.25">
      <c r="S290" s="2" t="b">
        <f>AND(Hoja4!$P289="abril",Hoja4!$O289="Jue.")</f>
        <v>0</v>
      </c>
      <c r="T290" t="str">
        <f>IF(AND(Hoja4!H289="Empresa de embarque B",Hoja4!I289="Cheque"),"dale","vaaa")</f>
        <v>vaaa</v>
      </c>
      <c r="V290" t="str">
        <f>IF(AND(Hoja4!H289="Empresa de embarque B",Hoja4!I289="Cheque",Hoja4!J289="Cerveza"),"dale","vaaa")</f>
        <v>vaaa</v>
      </c>
      <c r="X290" t="str">
        <f>IF(OR(Hoja4!H289="Empresa de embarque B",Hoja4!I289="Cheque",Hoja4!J289="cerveza"),"dale","vaaa")</f>
        <v>vaaa</v>
      </c>
      <c r="Z290" t="str">
        <f>IF(NOT(OR(Hoja4!I289="Cheque",Hoja4!J289="Cerveza")),"Aprobado","No Aprobado")</f>
        <v>Aprobado</v>
      </c>
    </row>
    <row r="291" spans="19:26" x14ac:dyDescent="0.25">
      <c r="S291" s="2" t="b">
        <f>AND(Hoja4!$P290="abril",Hoja4!$O290="Jue.")</f>
        <v>0</v>
      </c>
      <c r="T291" t="str">
        <f>IF(AND(Hoja4!H290="Empresa de embarque B",Hoja4!I290="Cheque"),"dale","vaaa")</f>
        <v>vaaa</v>
      </c>
      <c r="V291" t="str">
        <f>IF(AND(Hoja4!H290="Empresa de embarque B",Hoja4!I290="Cheque",Hoja4!J290="Cerveza"),"dale","vaaa")</f>
        <v>vaaa</v>
      </c>
      <c r="X291" t="str">
        <f>IF(OR(Hoja4!H290="Empresa de embarque B",Hoja4!I290="Cheque",Hoja4!J290="cerveza"),"dale","vaaa")</f>
        <v>vaaa</v>
      </c>
      <c r="Z291" t="str">
        <f>IF(NOT(OR(Hoja4!I290="Cheque",Hoja4!J290="Cerveza")),"Aprobado","No Aprobado")</f>
        <v>Aprobado</v>
      </c>
    </row>
    <row r="292" spans="19:26" x14ac:dyDescent="0.25">
      <c r="S292" s="2" t="b">
        <f>AND(Hoja4!$P291="abril",Hoja4!$O291="Jue.")</f>
        <v>0</v>
      </c>
      <c r="T292" t="str">
        <f>IF(AND(Hoja4!H291="Empresa de embarque B",Hoja4!I291="Cheque"),"dale","vaaa")</f>
        <v>vaaa</v>
      </c>
      <c r="V292" t="str">
        <f>IF(AND(Hoja4!H291="Empresa de embarque B",Hoja4!I291="Cheque",Hoja4!J291="Cerveza"),"dale","vaaa")</f>
        <v>vaaa</v>
      </c>
      <c r="X292" t="str">
        <f>IF(OR(Hoja4!H291="Empresa de embarque B",Hoja4!I291="Cheque",Hoja4!J291="cerveza"),"dale","vaaa")</f>
        <v>vaaa</v>
      </c>
      <c r="Z292" t="str">
        <f>IF(NOT(OR(Hoja4!I291="Cheque",Hoja4!J291="Cerveza")),"Aprobado","No Aprobado")</f>
        <v>Aprobado</v>
      </c>
    </row>
    <row r="293" spans="19:26" x14ac:dyDescent="0.25">
      <c r="S293" s="2" t="b">
        <f>AND(Hoja4!$P292="abril",Hoja4!$O292="Jue.")</f>
        <v>0</v>
      </c>
      <c r="T293" t="str">
        <f>IF(AND(Hoja4!H292="Empresa de embarque B",Hoja4!I292="Cheque"),"dale","vaaa")</f>
        <v>vaaa</v>
      </c>
      <c r="V293" t="str">
        <f>IF(AND(Hoja4!H292="Empresa de embarque B",Hoja4!I292="Cheque",Hoja4!J292="Cerveza"),"dale","vaaa")</f>
        <v>vaaa</v>
      </c>
      <c r="X293" t="str">
        <f>IF(OR(Hoja4!H292="Empresa de embarque B",Hoja4!I292="Cheque",Hoja4!J292="cerveza"),"dale","vaaa")</f>
        <v>dale</v>
      </c>
      <c r="Z293" t="str">
        <f>IF(NOT(OR(Hoja4!I292="Cheque",Hoja4!J292="Cerveza")),"Aprobado","No Aprobado")</f>
        <v>No Aprobado</v>
      </c>
    </row>
    <row r="294" spans="19:26" x14ac:dyDescent="0.25">
      <c r="S294" s="2" t="b">
        <f>AND(Hoja4!$P293="abril",Hoja4!$O293="Jue.")</f>
        <v>1</v>
      </c>
      <c r="T294" t="str">
        <f>IF(AND(Hoja4!H293="Empresa de embarque B",Hoja4!I293="Cheque"),"dale","vaaa")</f>
        <v>vaaa</v>
      </c>
      <c r="V294" t="str">
        <f>IF(AND(Hoja4!H293="Empresa de embarque B",Hoja4!I293="Cheque",Hoja4!J293="Cerveza"),"dale","vaaa")</f>
        <v>vaaa</v>
      </c>
      <c r="X294" t="str">
        <f>IF(OR(Hoja4!H293="Empresa de embarque B",Hoja4!I293="Cheque",Hoja4!J293="cerveza"),"dale","vaaa")</f>
        <v>dale</v>
      </c>
      <c r="Z294" t="str">
        <f>IF(NOT(OR(Hoja4!I293="Cheque",Hoja4!J293="Cerveza")),"Aprobado","No Aprobado")</f>
        <v>No Aprobado</v>
      </c>
    </row>
    <row r="295" spans="19:26" x14ac:dyDescent="0.25">
      <c r="S295" s="2" t="b">
        <f>AND(Hoja4!$P294="abril",Hoja4!$O294="Jue.")</f>
        <v>0</v>
      </c>
      <c r="T295" t="str">
        <f>IF(AND(Hoja4!H294="Empresa de embarque B",Hoja4!I294="Cheque"),"dale","vaaa")</f>
        <v>vaaa</v>
      </c>
      <c r="V295" t="str">
        <f>IF(AND(Hoja4!H294="Empresa de embarque B",Hoja4!I294="Cheque",Hoja4!J294="Cerveza"),"dale","vaaa")</f>
        <v>vaaa</v>
      </c>
      <c r="X295" t="str">
        <f>IF(OR(Hoja4!H294="Empresa de embarque B",Hoja4!I294="Cheque",Hoja4!J294="cerveza"),"dale","vaaa")</f>
        <v>dale</v>
      </c>
      <c r="Z295" t="str">
        <f>IF(NOT(OR(Hoja4!I294="Cheque",Hoja4!J294="Cerveza")),"Aprobado","No Aprobado")</f>
        <v>No Aprobado</v>
      </c>
    </row>
    <row r="296" spans="19:26" x14ac:dyDescent="0.25">
      <c r="S296" s="2" t="b">
        <f>AND(Hoja4!$P295="abril",Hoja4!$O295="Jue.")</f>
        <v>0</v>
      </c>
      <c r="T296" t="str">
        <f>IF(AND(Hoja4!H295="Empresa de embarque B",Hoja4!I295="Cheque"),"dale","vaaa")</f>
        <v>dale</v>
      </c>
      <c r="V296" t="str">
        <f>IF(AND(Hoja4!H295="Empresa de embarque B",Hoja4!I295="Cheque",Hoja4!J295="Cerveza"),"dale","vaaa")</f>
        <v>vaaa</v>
      </c>
      <c r="X296" t="str">
        <f>IF(OR(Hoja4!H295="Empresa de embarque B",Hoja4!I295="Cheque",Hoja4!J295="cerveza"),"dale","vaaa")</f>
        <v>dale</v>
      </c>
      <c r="Z296" t="str">
        <f>IF(NOT(OR(Hoja4!I295="Cheque",Hoja4!J295="Cerveza")),"Aprobado","No Aprobado")</f>
        <v>No Aprobado</v>
      </c>
    </row>
    <row r="297" spans="19:26" x14ac:dyDescent="0.25">
      <c r="S297" s="2" t="b">
        <f>AND(Hoja4!$P296="abril",Hoja4!$O296="Jue.")</f>
        <v>0</v>
      </c>
      <c r="T297" t="str">
        <f>IF(AND(Hoja4!H296="Empresa de embarque B",Hoja4!I296="Cheque"),"dale","vaaa")</f>
        <v>dale</v>
      </c>
      <c r="V297" t="str">
        <f>IF(AND(Hoja4!H296="Empresa de embarque B",Hoja4!I296="Cheque",Hoja4!J296="Cerveza"),"dale","vaaa")</f>
        <v>vaaa</v>
      </c>
      <c r="X297" t="str">
        <f>IF(OR(Hoja4!H296="Empresa de embarque B",Hoja4!I296="Cheque",Hoja4!J296="cerveza"),"dale","vaaa")</f>
        <v>dale</v>
      </c>
      <c r="Z297" t="str">
        <f>IF(NOT(OR(Hoja4!I296="Cheque",Hoja4!J296="Cerveza")),"Aprobado","No Aprobado")</f>
        <v>No Aprobado</v>
      </c>
    </row>
    <row r="298" spans="19:26" x14ac:dyDescent="0.25">
      <c r="S298" s="2" t="b">
        <f>AND(Hoja4!$P297="abril",Hoja4!$O297="Jue.")</f>
        <v>0</v>
      </c>
      <c r="T298" t="str">
        <f>IF(AND(Hoja4!H297="Empresa de embarque B",Hoja4!I297="Cheque"),"dale","vaaa")</f>
        <v>vaaa</v>
      </c>
      <c r="V298" t="str">
        <f>IF(AND(Hoja4!H297="Empresa de embarque B",Hoja4!I297="Cheque",Hoja4!J297="Cerveza"),"dale","vaaa")</f>
        <v>vaaa</v>
      </c>
      <c r="X298" t="str">
        <f>IF(OR(Hoja4!H297="Empresa de embarque B",Hoja4!I297="Cheque",Hoja4!J297="cerveza"),"dale","vaaa")</f>
        <v>vaaa</v>
      </c>
      <c r="Z298" t="str">
        <f>IF(NOT(OR(Hoja4!I297="Cheque",Hoja4!J297="Cerveza")),"Aprobado","No Aprobado")</f>
        <v>Aprobado</v>
      </c>
    </row>
    <row r="299" spans="19:26" x14ac:dyDescent="0.25">
      <c r="S299" s="2" t="b">
        <f>AND(Hoja4!$P298="abril",Hoja4!$O298="Jue.")</f>
        <v>0</v>
      </c>
      <c r="T299" t="str">
        <f>IF(AND(Hoja4!H298="Empresa de embarque B",Hoja4!I298="Cheque"),"dale","vaaa")</f>
        <v>vaaa</v>
      </c>
      <c r="V299" t="str">
        <f>IF(AND(Hoja4!H298="Empresa de embarque B",Hoja4!I298="Cheque",Hoja4!J298="Cerveza"),"dale","vaaa")</f>
        <v>vaaa</v>
      </c>
      <c r="X299" t="str">
        <f>IF(OR(Hoja4!H298="Empresa de embarque B",Hoja4!I298="Cheque",Hoja4!J298="cerveza"),"dale","vaaa")</f>
        <v>vaaa</v>
      </c>
      <c r="Z299" t="str">
        <f>IF(NOT(OR(Hoja4!I298="Cheque",Hoja4!J298="Cerveza")),"Aprobado","No Aprobado")</f>
        <v>Aprobado</v>
      </c>
    </row>
    <row r="300" spans="19:26" x14ac:dyDescent="0.25">
      <c r="S300" s="2" t="b">
        <f>AND(Hoja4!$P299="abril",Hoja4!$O299="Jue.")</f>
        <v>0</v>
      </c>
      <c r="T300" t="str">
        <f>IF(AND(Hoja4!H299="Empresa de embarque B",Hoja4!I299="Cheque"),"dale","vaaa")</f>
        <v>vaaa</v>
      </c>
      <c r="V300" t="str">
        <f>IF(AND(Hoja4!H299="Empresa de embarque B",Hoja4!I299="Cheque",Hoja4!J299="Cerveza"),"dale","vaaa")</f>
        <v>vaaa</v>
      </c>
      <c r="X300" t="str">
        <f>IF(OR(Hoja4!H299="Empresa de embarque B",Hoja4!I299="Cheque",Hoja4!J299="cerveza"),"dale","vaaa")</f>
        <v>vaaa</v>
      </c>
      <c r="Z300" t="str">
        <f>IF(NOT(OR(Hoja4!I299="Cheque",Hoja4!J299="Cerveza")),"Aprobado","No Aprobado")</f>
        <v>Aprobado</v>
      </c>
    </row>
    <row r="301" spans="19:26" x14ac:dyDescent="0.25">
      <c r="S301" s="2" t="b">
        <f>AND(Hoja4!$P300="abril",Hoja4!$O300="Jue.")</f>
        <v>0</v>
      </c>
      <c r="T301" t="str">
        <f>IF(AND(Hoja4!H300="Empresa de embarque B",Hoja4!I300="Cheque"),"dale","vaaa")</f>
        <v>vaaa</v>
      </c>
      <c r="V301" t="str">
        <f>IF(AND(Hoja4!H300="Empresa de embarque B",Hoja4!I300="Cheque",Hoja4!J300="Cerveza"),"dale","vaaa")</f>
        <v>vaaa</v>
      </c>
      <c r="X301" t="str">
        <f>IF(OR(Hoja4!H300="Empresa de embarque B",Hoja4!I300="Cheque",Hoja4!J300="cerveza"),"dale","vaaa")</f>
        <v>vaaa</v>
      </c>
      <c r="Z301" t="str">
        <f>IF(NOT(OR(Hoja4!I300="Cheque",Hoja4!J300="Cerveza")),"Aprobado","No Aprobado")</f>
        <v>Aprobado</v>
      </c>
    </row>
    <row r="302" spans="19:26" x14ac:dyDescent="0.25">
      <c r="S302" s="2" t="b">
        <f>AND(Hoja4!$P301="abril",Hoja4!$O301="Jue.")</f>
        <v>0</v>
      </c>
      <c r="T302" t="str">
        <f>IF(AND(Hoja4!H301="Empresa de embarque B",Hoja4!I301="Cheque"),"dale","vaaa")</f>
        <v>dale</v>
      </c>
      <c r="V302" t="str">
        <f>IF(AND(Hoja4!H301="Empresa de embarque B",Hoja4!I301="Cheque",Hoja4!J301="Cerveza"),"dale","vaaa")</f>
        <v>dale</v>
      </c>
      <c r="X302" t="str">
        <f>IF(OR(Hoja4!H301="Empresa de embarque B",Hoja4!I301="Cheque",Hoja4!J301="cerveza"),"dale","vaaa")</f>
        <v>dale</v>
      </c>
      <c r="Z302" t="str">
        <f>IF(NOT(OR(Hoja4!I301="Cheque",Hoja4!J301="Cerveza")),"Aprobado","No Aprobado")</f>
        <v>No Aprobado</v>
      </c>
    </row>
    <row r="303" spans="19:26" x14ac:dyDescent="0.25">
      <c r="S303" s="2" t="b">
        <f>AND(Hoja4!$P302="abril",Hoja4!$O302="Jue.")</f>
        <v>0</v>
      </c>
      <c r="T303" t="str">
        <f>IF(AND(Hoja4!H302="Empresa de embarque B",Hoja4!I302="Cheque"),"dale","vaaa")</f>
        <v>vaaa</v>
      </c>
      <c r="V303" t="str">
        <f>IF(AND(Hoja4!H302="Empresa de embarque B",Hoja4!I302="Cheque",Hoja4!J302="Cerveza"),"dale","vaaa")</f>
        <v>vaaa</v>
      </c>
      <c r="X303" t="str">
        <f>IF(OR(Hoja4!H302="Empresa de embarque B",Hoja4!I302="Cheque",Hoja4!J302="cerveza"),"dale","vaaa")</f>
        <v>dale</v>
      </c>
      <c r="Z303" t="str">
        <f>IF(NOT(OR(Hoja4!I302="Cheque",Hoja4!J302="Cerveza")),"Aprobado","No Aprobado")</f>
        <v>No Aprobado</v>
      </c>
    </row>
    <row r="304" spans="19:26" x14ac:dyDescent="0.25">
      <c r="S304" s="2" t="b">
        <f>AND(Hoja4!$P303="abril",Hoja4!$O303="Jue.")</f>
        <v>0</v>
      </c>
      <c r="T304" t="str">
        <f>IF(AND(Hoja4!H303="Empresa de embarque B",Hoja4!I303="Cheque"),"dale","vaaa")</f>
        <v>vaaa</v>
      </c>
      <c r="V304" t="str">
        <f>IF(AND(Hoja4!H303="Empresa de embarque B",Hoja4!I303="Cheque",Hoja4!J303="Cerveza"),"dale","vaaa")</f>
        <v>vaaa</v>
      </c>
      <c r="X304" t="str">
        <f>IF(OR(Hoja4!H303="Empresa de embarque B",Hoja4!I303="Cheque",Hoja4!J303="cerveza"),"dale","vaaa")</f>
        <v>vaaa</v>
      </c>
      <c r="Z304" t="str">
        <f>IF(NOT(OR(Hoja4!I303="Cheque",Hoja4!J303="Cerveza")),"Aprobado","No Aprobado")</f>
        <v>Aprobado</v>
      </c>
    </row>
    <row r="305" spans="19:26" x14ac:dyDescent="0.25">
      <c r="S305" s="2" t="b">
        <f>AND(Hoja4!$P304="abril",Hoja4!$O304="Jue.")</f>
        <v>0</v>
      </c>
      <c r="T305" t="str">
        <f>IF(AND(Hoja4!H304="Empresa de embarque B",Hoja4!I304="Cheque"),"dale","vaaa")</f>
        <v>vaaa</v>
      </c>
      <c r="V305" t="str">
        <f>IF(AND(Hoja4!H304="Empresa de embarque B",Hoja4!I304="Cheque",Hoja4!J304="Cerveza"),"dale","vaaa")</f>
        <v>vaaa</v>
      </c>
      <c r="X305" t="str">
        <f>IF(OR(Hoja4!H304="Empresa de embarque B",Hoja4!I304="Cheque",Hoja4!J304="cerveza"),"dale","vaaa")</f>
        <v>vaaa</v>
      </c>
      <c r="Z305" t="str">
        <f>IF(NOT(OR(Hoja4!I304="Cheque",Hoja4!J304="Cerveza")),"Aprobado","No Aprobado")</f>
        <v>Aprobado</v>
      </c>
    </row>
    <row r="306" spans="19:26" x14ac:dyDescent="0.25">
      <c r="S306" s="2" t="b">
        <f>AND(Hoja4!$P305="abril",Hoja4!$O305="Jue.")</f>
        <v>0</v>
      </c>
      <c r="T306" t="str">
        <f>IF(AND(Hoja4!H305="Empresa de embarque B",Hoja4!I305="Cheque"),"dale","vaaa")</f>
        <v>vaaa</v>
      </c>
      <c r="V306" t="str">
        <f>IF(AND(Hoja4!H305="Empresa de embarque B",Hoja4!I305="Cheque",Hoja4!J305="Cerveza"),"dale","vaaa")</f>
        <v>vaaa</v>
      </c>
      <c r="X306" t="str">
        <f>IF(OR(Hoja4!H305="Empresa de embarque B",Hoja4!I305="Cheque",Hoja4!J305="cerveza"),"dale","vaaa")</f>
        <v>vaaa</v>
      </c>
      <c r="Z306" t="str">
        <f>IF(NOT(OR(Hoja4!I305="Cheque",Hoja4!J305="Cerveza")),"Aprobado","No Aprobado")</f>
        <v>Aprobado</v>
      </c>
    </row>
    <row r="307" spans="19:26" x14ac:dyDescent="0.25">
      <c r="S307" s="2" t="b">
        <f>AND(Hoja4!$P306="abril",Hoja4!$O306="Jue.")</f>
        <v>0</v>
      </c>
      <c r="T307" t="str">
        <f>IF(AND(Hoja4!H306="Empresa de embarque B",Hoja4!I306="Cheque"),"dale","vaaa")</f>
        <v>vaaa</v>
      </c>
      <c r="V307" t="str">
        <f>IF(AND(Hoja4!H306="Empresa de embarque B",Hoja4!I306="Cheque",Hoja4!J306="Cerveza"),"dale","vaaa")</f>
        <v>vaaa</v>
      </c>
      <c r="X307" t="str">
        <f>IF(OR(Hoja4!H306="Empresa de embarque B",Hoja4!I306="Cheque",Hoja4!J306="cerveza"),"dale","vaaa")</f>
        <v>dale</v>
      </c>
      <c r="Z307" t="str">
        <f>IF(NOT(OR(Hoja4!I306="Cheque",Hoja4!J306="Cerveza")),"Aprobado","No Aprobado")</f>
        <v>Aprobado</v>
      </c>
    </row>
    <row r="308" spans="19:26" x14ac:dyDescent="0.25">
      <c r="S308" s="2" t="b">
        <f>AND(Hoja4!$P307="abril",Hoja4!$O307="Jue.")</f>
        <v>0</v>
      </c>
      <c r="T308" t="str">
        <f>IF(AND(Hoja4!H307="Empresa de embarque B",Hoja4!I307="Cheque"),"dale","vaaa")</f>
        <v>vaaa</v>
      </c>
      <c r="V308" t="str">
        <f>IF(AND(Hoja4!H307="Empresa de embarque B",Hoja4!I307="Cheque",Hoja4!J307="Cerveza"),"dale","vaaa")</f>
        <v>vaaa</v>
      </c>
      <c r="X308" t="str">
        <f>IF(OR(Hoja4!H307="Empresa de embarque B",Hoja4!I307="Cheque",Hoja4!J307="cerveza"),"dale","vaaa")</f>
        <v>dale</v>
      </c>
      <c r="Z308" t="str">
        <f>IF(NOT(OR(Hoja4!I307="Cheque",Hoja4!J307="Cerveza")),"Aprobado","No Aprobado")</f>
        <v>Aprobado</v>
      </c>
    </row>
    <row r="309" spans="19:26" x14ac:dyDescent="0.25">
      <c r="S309" s="2" t="b">
        <f>AND(Hoja4!$P308="abril",Hoja4!$O308="Jue.")</f>
        <v>0</v>
      </c>
      <c r="T309" t="str">
        <f>IF(AND(Hoja4!H308="Empresa de embarque B",Hoja4!I308="Cheque"),"dale","vaaa")</f>
        <v>vaaa</v>
      </c>
      <c r="V309" t="str">
        <f>IF(AND(Hoja4!H308="Empresa de embarque B",Hoja4!I308="Cheque",Hoja4!J308="Cerveza"),"dale","vaaa")</f>
        <v>vaaa</v>
      </c>
      <c r="X309" t="str">
        <f>IF(OR(Hoja4!H308="Empresa de embarque B",Hoja4!I308="Cheque",Hoja4!J308="cerveza"),"dale","vaaa")</f>
        <v>dale</v>
      </c>
      <c r="Z309" t="str">
        <f>IF(NOT(OR(Hoja4!I308="Cheque",Hoja4!J308="Cerveza")),"Aprobado","No Aprobado")</f>
        <v>Aprobado</v>
      </c>
    </row>
    <row r="310" spans="19:26" x14ac:dyDescent="0.25">
      <c r="S310" s="2" t="b">
        <f>AND(Hoja4!$P309="abril",Hoja4!$O309="Jue.")</f>
        <v>0</v>
      </c>
      <c r="T310" t="str">
        <f>IF(AND(Hoja4!H309="Empresa de embarque B",Hoja4!I309="Cheque"),"dale","vaaa")</f>
        <v>vaaa</v>
      </c>
      <c r="V310" t="str">
        <f>IF(AND(Hoja4!H309="Empresa de embarque B",Hoja4!I309="Cheque",Hoja4!J309="Cerveza"),"dale","vaaa")</f>
        <v>vaaa</v>
      </c>
      <c r="X310" t="str">
        <f>IF(OR(Hoja4!H309="Empresa de embarque B",Hoja4!I309="Cheque",Hoja4!J309="cerveza"),"dale","vaaa")</f>
        <v>vaaa</v>
      </c>
      <c r="Z310" t="str">
        <f>IF(NOT(OR(Hoja4!I309="Cheque",Hoja4!J309="Cerveza")),"Aprobado","No Aprobado")</f>
        <v>Aprobado</v>
      </c>
    </row>
    <row r="311" spans="19:26" x14ac:dyDescent="0.25">
      <c r="S311" s="2" t="b">
        <f>AND(Hoja4!$P310="abril",Hoja4!$O310="Jue.")</f>
        <v>0</v>
      </c>
      <c r="T311" t="str">
        <f>IF(AND(Hoja4!H310="Empresa de embarque B",Hoja4!I310="Cheque"),"dale","vaaa")</f>
        <v>vaaa</v>
      </c>
      <c r="V311" t="str">
        <f>IF(AND(Hoja4!H310="Empresa de embarque B",Hoja4!I310="Cheque",Hoja4!J310="Cerveza"),"dale","vaaa")</f>
        <v>vaaa</v>
      </c>
      <c r="X311" t="str">
        <f>IF(OR(Hoja4!H310="Empresa de embarque B",Hoja4!I310="Cheque",Hoja4!J310="cerveza"),"dale","vaaa")</f>
        <v>vaaa</v>
      </c>
      <c r="Z311" t="str">
        <f>IF(NOT(OR(Hoja4!I310="Cheque",Hoja4!J310="Cerveza")),"Aprobado","No Aprobado")</f>
        <v>Aprobado</v>
      </c>
    </row>
    <row r="312" spans="19:26" x14ac:dyDescent="0.25">
      <c r="S312" s="2" t="b">
        <f>AND(Hoja4!$P311="abril",Hoja4!$O311="Jue.")</f>
        <v>0</v>
      </c>
      <c r="T312" t="str">
        <f>IF(AND(Hoja4!H311="Empresa de embarque B",Hoja4!I311="Cheque"),"dale","vaaa")</f>
        <v>vaaa</v>
      </c>
      <c r="V312" t="str">
        <f>IF(AND(Hoja4!H311="Empresa de embarque B",Hoja4!I311="Cheque",Hoja4!J311="Cerveza"),"dale","vaaa")</f>
        <v>vaaa</v>
      </c>
      <c r="X312" t="str">
        <f>IF(OR(Hoja4!H311="Empresa de embarque B",Hoja4!I311="Cheque",Hoja4!J311="cerveza"),"dale","vaaa")</f>
        <v>vaaa</v>
      </c>
      <c r="Z312" t="str">
        <f>IF(NOT(OR(Hoja4!I311="Cheque",Hoja4!J311="Cerveza")),"Aprobado","No Aprobado")</f>
        <v>Aprobado</v>
      </c>
    </row>
    <row r="313" spans="19:26" x14ac:dyDescent="0.25">
      <c r="S313" s="2" t="b">
        <f>AND(Hoja4!$P312="abril",Hoja4!$O312="Jue.")</f>
        <v>0</v>
      </c>
      <c r="T313" t="str">
        <f>IF(AND(Hoja4!H312="Empresa de embarque B",Hoja4!I312="Cheque"),"dale","vaaa")</f>
        <v>vaaa</v>
      </c>
      <c r="V313" t="str">
        <f>IF(AND(Hoja4!H312="Empresa de embarque B",Hoja4!I312="Cheque",Hoja4!J312="Cerveza"),"dale","vaaa")</f>
        <v>vaaa</v>
      </c>
      <c r="X313" t="str">
        <f>IF(OR(Hoja4!H312="Empresa de embarque B",Hoja4!I312="Cheque",Hoja4!J312="cerveza"),"dale","vaaa")</f>
        <v>vaaa</v>
      </c>
      <c r="Z313" t="str">
        <f>IF(NOT(OR(Hoja4!I312="Cheque",Hoja4!J312="Cerveza")),"Aprobado","No Aprobado")</f>
        <v>Aprobado</v>
      </c>
    </row>
    <row r="314" spans="19:26" x14ac:dyDescent="0.25">
      <c r="S314" s="2" t="b">
        <f>AND(Hoja4!$P313="abril",Hoja4!$O313="Jue.")</f>
        <v>0</v>
      </c>
      <c r="T314" t="str">
        <f>IF(AND(Hoja4!H313="Empresa de embarque B",Hoja4!I313="Cheque"),"dale","vaaa")</f>
        <v>vaaa</v>
      </c>
      <c r="V314" t="str">
        <f>IF(AND(Hoja4!H313="Empresa de embarque B",Hoja4!I313="Cheque",Hoja4!J313="Cerveza"),"dale","vaaa")</f>
        <v>vaaa</v>
      </c>
      <c r="X314" t="str">
        <f>IF(OR(Hoja4!H313="Empresa de embarque B",Hoja4!I313="Cheque",Hoja4!J313="cerveza"),"dale","vaaa")</f>
        <v>dale</v>
      </c>
      <c r="Z314" t="str">
        <f>IF(NOT(OR(Hoja4!I313="Cheque",Hoja4!J313="Cerveza")),"Aprobado","No Aprobado")</f>
        <v>No Aprobado</v>
      </c>
    </row>
    <row r="315" spans="19:26" x14ac:dyDescent="0.25">
      <c r="S315" s="2" t="b">
        <f>AND(Hoja4!$P314="abril",Hoja4!$O314="Jue.")</f>
        <v>0</v>
      </c>
      <c r="T315" t="str">
        <f>IF(AND(Hoja4!H314="Empresa de embarque B",Hoja4!I314="Cheque"),"dale","vaaa")</f>
        <v>dale</v>
      </c>
      <c r="V315" t="str">
        <f>IF(AND(Hoja4!H314="Empresa de embarque B",Hoja4!I314="Cheque",Hoja4!J314="Cerveza"),"dale","vaaa")</f>
        <v>dale</v>
      </c>
      <c r="X315" t="str">
        <f>IF(OR(Hoja4!H314="Empresa de embarque B",Hoja4!I314="Cheque",Hoja4!J314="cerveza"),"dale","vaaa")</f>
        <v>dale</v>
      </c>
      <c r="Z315" t="str">
        <f>IF(NOT(OR(Hoja4!I314="Cheque",Hoja4!J314="Cerveza")),"Aprobado","No Aprobado")</f>
        <v>No Aprobado</v>
      </c>
    </row>
    <row r="316" spans="19:26" x14ac:dyDescent="0.25">
      <c r="S316" s="2" t="b">
        <f>AND(Hoja4!$P315="abril",Hoja4!$O315="Jue.")</f>
        <v>0</v>
      </c>
      <c r="T316" t="str">
        <f>IF(AND(Hoja4!H315="Empresa de embarque B",Hoja4!I315="Cheque"),"dale","vaaa")</f>
        <v>dale</v>
      </c>
      <c r="V316" t="str">
        <f>IF(AND(Hoja4!H315="Empresa de embarque B",Hoja4!I315="Cheque",Hoja4!J315="Cerveza"),"dale","vaaa")</f>
        <v>vaaa</v>
      </c>
      <c r="X316" t="str">
        <f>IF(OR(Hoja4!H315="Empresa de embarque B",Hoja4!I315="Cheque",Hoja4!J315="cerveza"),"dale","vaaa")</f>
        <v>dale</v>
      </c>
      <c r="Z316" t="str">
        <f>IF(NOT(OR(Hoja4!I315="Cheque",Hoja4!J315="Cerveza")),"Aprobado","No Aprobado")</f>
        <v>No Aprobado</v>
      </c>
    </row>
    <row r="317" spans="19:26" x14ac:dyDescent="0.25">
      <c r="S317" s="2" t="b">
        <f>AND(Hoja4!$P316="abril",Hoja4!$O316="Jue.")</f>
        <v>0</v>
      </c>
      <c r="T317" t="str">
        <f>IF(AND(Hoja4!H316="Empresa de embarque B",Hoja4!I316="Cheque"),"dale","vaaa")</f>
        <v>vaaa</v>
      </c>
      <c r="V317" t="str">
        <f>IF(AND(Hoja4!H316="Empresa de embarque B",Hoja4!I316="Cheque",Hoja4!J316="Cerveza"),"dale","vaaa")</f>
        <v>vaaa</v>
      </c>
      <c r="X317" t="str">
        <f>IF(OR(Hoja4!H316="Empresa de embarque B",Hoja4!I316="Cheque",Hoja4!J316="cerveza"),"dale","vaaa")</f>
        <v>vaaa</v>
      </c>
      <c r="Z317" t="str">
        <f>IF(NOT(OR(Hoja4!I316="Cheque",Hoja4!J316="Cerveza")),"Aprobado","No Aprobado")</f>
        <v>Aprobado</v>
      </c>
    </row>
    <row r="318" spans="19:26" x14ac:dyDescent="0.25">
      <c r="S318" s="2" t="b">
        <f>AND(Hoja4!$P317="abril",Hoja4!$O317="Jue.")</f>
        <v>0</v>
      </c>
      <c r="T318" t="str">
        <f>IF(AND(Hoja4!H317="Empresa de embarque B",Hoja4!I317="Cheque"),"dale","vaaa")</f>
        <v>vaaa</v>
      </c>
      <c r="V318" t="str">
        <f>IF(AND(Hoja4!H317="Empresa de embarque B",Hoja4!I317="Cheque",Hoja4!J317="Cerveza"),"dale","vaaa")</f>
        <v>vaaa</v>
      </c>
      <c r="X318" t="str">
        <f>IF(OR(Hoja4!H317="Empresa de embarque B",Hoja4!I317="Cheque",Hoja4!J317="cerveza"),"dale","vaaa")</f>
        <v>vaaa</v>
      </c>
      <c r="Z318" t="str">
        <f>IF(NOT(OR(Hoja4!I317="Cheque",Hoja4!J317="Cerveza")),"Aprobado","No Aprobado")</f>
        <v>Aprobado</v>
      </c>
    </row>
    <row r="319" spans="19:26" x14ac:dyDescent="0.25">
      <c r="S319" s="2" t="b">
        <f>AND(Hoja4!$P318="abril",Hoja4!$O318="Jue.")</f>
        <v>0</v>
      </c>
      <c r="T319" t="str">
        <f>IF(AND(Hoja4!H318="Empresa de embarque B",Hoja4!I318="Cheque"),"dale","vaaa")</f>
        <v>vaaa</v>
      </c>
      <c r="V319" t="str">
        <f>IF(AND(Hoja4!H318="Empresa de embarque B",Hoja4!I318="Cheque",Hoja4!J318="Cerveza"),"dale","vaaa")</f>
        <v>vaaa</v>
      </c>
      <c r="X319" t="str">
        <f>IF(OR(Hoja4!H318="Empresa de embarque B",Hoja4!I318="Cheque",Hoja4!J318="cerveza"),"dale","vaaa")</f>
        <v>vaaa</v>
      </c>
      <c r="Z319" t="str">
        <f>IF(NOT(OR(Hoja4!I318="Cheque",Hoja4!J318="Cerveza")),"Aprobado","No Aprobado")</f>
        <v>Aprobado</v>
      </c>
    </row>
    <row r="320" spans="19:26" x14ac:dyDescent="0.25">
      <c r="S320" s="2" t="b">
        <f>AND(Hoja4!$P319="abril",Hoja4!$O319="Jue.")</f>
        <v>0</v>
      </c>
      <c r="T320" t="str">
        <f>IF(AND(Hoja4!H319="Empresa de embarque B",Hoja4!I319="Cheque"),"dale","vaaa")</f>
        <v>vaaa</v>
      </c>
      <c r="V320" t="str">
        <f>IF(AND(Hoja4!H319="Empresa de embarque B",Hoja4!I319="Cheque",Hoja4!J319="Cerveza"),"dale","vaaa")</f>
        <v>vaaa</v>
      </c>
      <c r="X320" t="str">
        <f>IF(OR(Hoja4!H319="Empresa de embarque B",Hoja4!I319="Cheque",Hoja4!J319="cerveza"),"dale","vaaa")</f>
        <v>dale</v>
      </c>
      <c r="Z320" t="str">
        <f>IF(NOT(OR(Hoja4!I319="Cheque",Hoja4!J319="Cerveza")),"Aprobado","No Aprobado")</f>
        <v>Aprobado</v>
      </c>
    </row>
    <row r="321" spans="19:26" x14ac:dyDescent="0.25">
      <c r="S321" s="2" t="b">
        <f>AND(Hoja4!$P320="abril",Hoja4!$O320="Jue.")</f>
        <v>0</v>
      </c>
      <c r="T321" t="str">
        <f>IF(AND(Hoja4!H320="Empresa de embarque B",Hoja4!I320="Cheque"),"dale","vaaa")</f>
        <v>vaaa</v>
      </c>
      <c r="V321" t="str">
        <f>IF(AND(Hoja4!H320="Empresa de embarque B",Hoja4!I320="Cheque",Hoja4!J320="Cerveza"),"dale","vaaa")</f>
        <v>vaaa</v>
      </c>
      <c r="X321" t="str">
        <f>IF(OR(Hoja4!H320="Empresa de embarque B",Hoja4!I320="Cheque",Hoja4!J320="cerveza"),"dale","vaaa")</f>
        <v>dale</v>
      </c>
      <c r="Z321" t="str">
        <f>IF(NOT(OR(Hoja4!I320="Cheque",Hoja4!J320="Cerveza")),"Aprobado","No Aprobado")</f>
        <v>Aprobado</v>
      </c>
    </row>
    <row r="322" spans="19:26" x14ac:dyDescent="0.25">
      <c r="S322" s="2" t="b">
        <f>AND(Hoja4!$P321="abril",Hoja4!$O321="Jue.")</f>
        <v>0</v>
      </c>
      <c r="T322" t="str">
        <f>IF(AND(Hoja4!H321="Empresa de embarque B",Hoja4!I321="Cheque"),"dale","vaaa")</f>
        <v>vaaa</v>
      </c>
      <c r="V322" t="str">
        <f>IF(AND(Hoja4!H321="Empresa de embarque B",Hoja4!I321="Cheque",Hoja4!J321="Cerveza"),"dale","vaaa")</f>
        <v>vaaa</v>
      </c>
      <c r="X322" t="str">
        <f>IF(OR(Hoja4!H321="Empresa de embarque B",Hoja4!I321="Cheque",Hoja4!J321="cerveza"),"dale","vaaa")</f>
        <v>vaaa</v>
      </c>
      <c r="Z322" t="str">
        <f>IF(NOT(OR(Hoja4!I321="Cheque",Hoja4!J321="Cerveza")),"Aprobado","No Aprobado")</f>
        <v>Aprobado</v>
      </c>
    </row>
    <row r="323" spans="19:26" x14ac:dyDescent="0.25">
      <c r="S323" s="2" t="b">
        <f>AND(Hoja4!$P322="abril",Hoja4!$O322="Jue.")</f>
        <v>0</v>
      </c>
      <c r="T323" t="str">
        <f>IF(AND(Hoja4!H322="Empresa de embarque B",Hoja4!I322="Cheque"),"dale","vaaa")</f>
        <v>vaaa</v>
      </c>
      <c r="V323" t="str">
        <f>IF(AND(Hoja4!H322="Empresa de embarque B",Hoja4!I322="Cheque",Hoja4!J322="Cerveza"),"dale","vaaa")</f>
        <v>vaaa</v>
      </c>
      <c r="X323" t="str">
        <f>IF(OR(Hoja4!H322="Empresa de embarque B",Hoja4!I322="Cheque",Hoja4!J322="cerveza"),"dale","vaaa")</f>
        <v>dale</v>
      </c>
      <c r="Z323" t="str">
        <f>IF(NOT(OR(Hoja4!I322="Cheque",Hoja4!J322="Cerveza")),"Aprobado","No Aprobado")</f>
        <v>No Aprobado</v>
      </c>
    </row>
    <row r="324" spans="19:26" x14ac:dyDescent="0.25">
      <c r="S324" s="2" t="b">
        <f>AND(Hoja4!$P323="abril",Hoja4!$O323="Jue.")</f>
        <v>0</v>
      </c>
      <c r="T324" t="str">
        <f>IF(AND(Hoja4!H323="Empresa de embarque B",Hoja4!I323="Cheque"),"dale","vaaa")</f>
        <v>dale</v>
      </c>
      <c r="V324" t="str">
        <f>IF(AND(Hoja4!H323="Empresa de embarque B",Hoja4!I323="Cheque",Hoja4!J323="Cerveza"),"dale","vaaa")</f>
        <v>vaaa</v>
      </c>
      <c r="X324" t="str">
        <f>IF(OR(Hoja4!H323="Empresa de embarque B",Hoja4!I323="Cheque",Hoja4!J323="cerveza"),"dale","vaaa")</f>
        <v>dale</v>
      </c>
      <c r="Z324" t="str">
        <f>IF(NOT(OR(Hoja4!I323="Cheque",Hoja4!J323="Cerveza")),"Aprobado","No Aprobado")</f>
        <v>No Aprobado</v>
      </c>
    </row>
    <row r="325" spans="19:26" x14ac:dyDescent="0.25">
      <c r="S325" s="2" t="b">
        <f>AND(Hoja4!$P324="abril",Hoja4!$O324="Jue.")</f>
        <v>0</v>
      </c>
      <c r="T325" t="str">
        <f>IF(AND(Hoja4!H324="Empresa de embarque B",Hoja4!I324="Cheque"),"dale","vaaa")</f>
        <v>vaaa</v>
      </c>
      <c r="V325" t="str">
        <f>IF(AND(Hoja4!H324="Empresa de embarque B",Hoja4!I324="Cheque",Hoja4!J324="Cerveza"),"dale","vaaa")</f>
        <v>vaaa</v>
      </c>
      <c r="X325" t="str">
        <f>IF(OR(Hoja4!H324="Empresa de embarque B",Hoja4!I324="Cheque",Hoja4!J324="cerveza"),"dale","vaaa")</f>
        <v>dale</v>
      </c>
      <c r="Z325" t="str">
        <f>IF(NOT(OR(Hoja4!I324="Cheque",Hoja4!J324="Cerveza")),"Aprobado","No Aprobado")</f>
        <v>Aprobado</v>
      </c>
    </row>
    <row r="326" spans="19:26" x14ac:dyDescent="0.25">
      <c r="S326" s="2" t="b">
        <f>AND(Hoja4!$P325="abril",Hoja4!$O325="Jue.")</f>
        <v>0</v>
      </c>
      <c r="T326" t="str">
        <f>IF(AND(Hoja4!H325="Empresa de embarque B",Hoja4!I325="Cheque"),"dale","vaaa")</f>
        <v>vaaa</v>
      </c>
      <c r="V326" t="str">
        <f>IF(AND(Hoja4!H325="Empresa de embarque B",Hoja4!I325="Cheque",Hoja4!J325="Cerveza"),"dale","vaaa")</f>
        <v>vaaa</v>
      </c>
      <c r="X326" t="str">
        <f>IF(OR(Hoja4!H325="Empresa de embarque B",Hoja4!I325="Cheque",Hoja4!J325="cerveza"),"dale","vaaa")</f>
        <v>dale</v>
      </c>
      <c r="Z326" t="str">
        <f>IF(NOT(OR(Hoja4!I325="Cheque",Hoja4!J325="Cerveza")),"Aprobado","No Aprobado")</f>
        <v>Aprobado</v>
      </c>
    </row>
    <row r="327" spans="19:26" x14ac:dyDescent="0.25">
      <c r="S327" s="2" t="b">
        <f>AND(Hoja4!$P326="abril",Hoja4!$O326="Jue.")</f>
        <v>0</v>
      </c>
      <c r="T327" t="str">
        <f>IF(AND(Hoja4!H326="Empresa de embarque B",Hoja4!I326="Cheque"),"dale","vaaa")</f>
        <v>vaaa</v>
      </c>
      <c r="V327" t="str">
        <f>IF(AND(Hoja4!H326="Empresa de embarque B",Hoja4!I326="Cheque",Hoja4!J326="Cerveza"),"dale","vaaa")</f>
        <v>vaaa</v>
      </c>
      <c r="X327" t="str">
        <f>IF(OR(Hoja4!H326="Empresa de embarque B",Hoja4!I326="Cheque",Hoja4!J326="cerveza"),"dale","vaaa")</f>
        <v>dale</v>
      </c>
      <c r="Z327" t="str">
        <f>IF(NOT(OR(Hoja4!I326="Cheque",Hoja4!J326="Cerveza")),"Aprobado","No Aprobado")</f>
        <v>No Aprobado</v>
      </c>
    </row>
    <row r="328" spans="19:26" x14ac:dyDescent="0.25">
      <c r="S328" s="2" t="b">
        <f>AND(Hoja4!$P327="abril",Hoja4!$O327="Jue.")</f>
        <v>0</v>
      </c>
      <c r="T328" t="str">
        <f>IF(AND(Hoja4!H327="Empresa de embarque B",Hoja4!I327="Cheque"),"dale","vaaa")</f>
        <v>vaaa</v>
      </c>
      <c r="V328" t="str">
        <f>IF(AND(Hoja4!H327="Empresa de embarque B",Hoja4!I327="Cheque",Hoja4!J327="Cerveza"),"dale","vaaa")</f>
        <v>vaaa</v>
      </c>
      <c r="X328" t="str">
        <f>IF(OR(Hoja4!H327="Empresa de embarque B",Hoja4!I327="Cheque",Hoja4!J327="cerveza"),"dale","vaaa")</f>
        <v>dale</v>
      </c>
      <c r="Z328" t="str">
        <f>IF(NOT(OR(Hoja4!I327="Cheque",Hoja4!J327="Cerveza")),"Aprobado","No Aprobado")</f>
        <v>No Aprobado</v>
      </c>
    </row>
    <row r="329" spans="19:26" x14ac:dyDescent="0.25">
      <c r="S329" s="2" t="b">
        <f>AND(Hoja4!$P328="abril",Hoja4!$O328="Jue.")</f>
        <v>0</v>
      </c>
      <c r="T329" t="str">
        <f>IF(AND(Hoja4!H328="Empresa de embarque B",Hoja4!I328="Cheque"),"dale","vaaa")</f>
        <v>vaaa</v>
      </c>
      <c r="V329" t="str">
        <f>IF(AND(Hoja4!H328="Empresa de embarque B",Hoja4!I328="Cheque",Hoja4!J328="Cerveza"),"dale","vaaa")</f>
        <v>vaaa</v>
      </c>
      <c r="X329" t="str">
        <f>IF(OR(Hoja4!H328="Empresa de embarque B",Hoja4!I328="Cheque",Hoja4!J328="cerveza"),"dale","vaaa")</f>
        <v>dale</v>
      </c>
      <c r="Z329" t="str">
        <f>IF(NOT(OR(Hoja4!I328="Cheque",Hoja4!J328="Cerveza")),"Aprobado","No Aprobado")</f>
        <v>Aprobado</v>
      </c>
    </row>
    <row r="330" spans="19:26" x14ac:dyDescent="0.25">
      <c r="S330" s="2" t="b">
        <f>AND(Hoja4!$P329="abril",Hoja4!$O329="Jue.")</f>
        <v>0</v>
      </c>
      <c r="T330" t="str">
        <f>IF(AND(Hoja4!H329="Empresa de embarque B",Hoja4!I329="Cheque"),"dale","vaaa")</f>
        <v>vaaa</v>
      </c>
      <c r="V330" t="str">
        <f>IF(AND(Hoja4!H329="Empresa de embarque B",Hoja4!I329="Cheque",Hoja4!J329="Cerveza"),"dale","vaaa")</f>
        <v>vaaa</v>
      </c>
      <c r="X330" t="str">
        <f>IF(OR(Hoja4!H329="Empresa de embarque B",Hoja4!I329="Cheque",Hoja4!J329="cerveza"),"dale","vaaa")</f>
        <v>vaaa</v>
      </c>
      <c r="Z330" t="str">
        <f>IF(NOT(OR(Hoja4!I329="Cheque",Hoja4!J329="Cerveza")),"Aprobado","No Aprobado")</f>
        <v>Aprobado</v>
      </c>
    </row>
    <row r="331" spans="19:26" x14ac:dyDescent="0.25">
      <c r="S331" s="2" t="b">
        <f>AND(Hoja4!$P330="abril",Hoja4!$O330="Jue.")</f>
        <v>0</v>
      </c>
      <c r="T331" t="str">
        <f>IF(AND(Hoja4!H330="Empresa de embarque B",Hoja4!I330="Cheque"),"dale","vaaa")</f>
        <v>vaaa</v>
      </c>
      <c r="V331" t="str">
        <f>IF(AND(Hoja4!H330="Empresa de embarque B",Hoja4!I330="Cheque",Hoja4!J330="Cerveza"),"dale","vaaa")</f>
        <v>vaaa</v>
      </c>
      <c r="X331" t="str">
        <f>IF(OR(Hoja4!H330="Empresa de embarque B",Hoja4!I330="Cheque",Hoja4!J330="cerveza"),"dale","vaaa")</f>
        <v>vaaa</v>
      </c>
      <c r="Z331" t="str">
        <f>IF(NOT(OR(Hoja4!I330="Cheque",Hoja4!J330="Cerveza")),"Aprobado","No Aprobado")</f>
        <v>Aprobado</v>
      </c>
    </row>
    <row r="332" spans="19:26" x14ac:dyDescent="0.25">
      <c r="S332" s="2" t="b">
        <f>AND(Hoja4!$P331="abril",Hoja4!$O331="Jue.")</f>
        <v>0</v>
      </c>
      <c r="T332" t="str">
        <f>IF(AND(Hoja4!H331="Empresa de embarque B",Hoja4!I331="Cheque"),"dale","vaaa")</f>
        <v>vaaa</v>
      </c>
      <c r="V332" t="str">
        <f>IF(AND(Hoja4!H331="Empresa de embarque B",Hoja4!I331="Cheque",Hoja4!J331="Cerveza"),"dale","vaaa")</f>
        <v>vaaa</v>
      </c>
      <c r="X332" t="str">
        <f>IF(OR(Hoja4!H331="Empresa de embarque B",Hoja4!I331="Cheque",Hoja4!J331="cerveza"),"dale","vaaa")</f>
        <v>vaaa</v>
      </c>
      <c r="Z332" t="str">
        <f>IF(NOT(OR(Hoja4!I331="Cheque",Hoja4!J331="Cerveza")),"Aprobado","No Aprobado")</f>
        <v>Aprobado</v>
      </c>
    </row>
    <row r="333" spans="19:26" x14ac:dyDescent="0.25">
      <c r="S333" s="2" t="b">
        <f>AND(Hoja4!$P332="abril",Hoja4!$O332="Jue.")</f>
        <v>0</v>
      </c>
      <c r="T333" t="str">
        <f>IF(AND(Hoja4!H332="Empresa de embarque B",Hoja4!I332="Cheque"),"dale","vaaa")</f>
        <v>vaaa</v>
      </c>
      <c r="V333" t="str">
        <f>IF(AND(Hoja4!H332="Empresa de embarque B",Hoja4!I332="Cheque",Hoja4!J332="Cerveza"),"dale","vaaa")</f>
        <v>vaaa</v>
      </c>
      <c r="X333" t="str">
        <f>IF(OR(Hoja4!H332="Empresa de embarque B",Hoja4!I332="Cheque",Hoja4!J332="cerveza"),"dale","vaaa")</f>
        <v>vaaa</v>
      </c>
      <c r="Z333" t="str">
        <f>IF(NOT(OR(Hoja4!I332="Cheque",Hoja4!J332="Cerveza")),"Aprobado","No Aprobado")</f>
        <v>Aprobado</v>
      </c>
    </row>
    <row r="334" spans="19:26" x14ac:dyDescent="0.25">
      <c r="S334" s="2" t="b">
        <f>AND(Hoja4!$P333="abril",Hoja4!$O333="Jue.")</f>
        <v>0</v>
      </c>
      <c r="T334" t="str">
        <f>IF(AND(Hoja4!H333="Empresa de embarque B",Hoja4!I333="Cheque"),"dale","vaaa")</f>
        <v>vaaa</v>
      </c>
      <c r="V334" t="str">
        <f>IF(AND(Hoja4!H333="Empresa de embarque B",Hoja4!I333="Cheque",Hoja4!J333="Cerveza"),"dale","vaaa")</f>
        <v>vaaa</v>
      </c>
      <c r="X334" t="str">
        <f>IF(OR(Hoja4!H333="Empresa de embarque B",Hoja4!I333="Cheque",Hoja4!J333="cerveza"),"dale","vaaa")</f>
        <v>vaaa</v>
      </c>
      <c r="Z334" t="str">
        <f>IF(NOT(OR(Hoja4!I333="Cheque",Hoja4!J333="Cerveza")),"Aprobado","No Aprobado")</f>
        <v>Aprobado</v>
      </c>
    </row>
    <row r="335" spans="19:26" x14ac:dyDescent="0.25">
      <c r="S335" s="2" t="b">
        <f>AND(Hoja4!$P334="abril",Hoja4!$O334="Jue.")</f>
        <v>0</v>
      </c>
      <c r="T335" t="str">
        <f>IF(AND(Hoja4!H334="Empresa de embarque B",Hoja4!I334="Cheque"),"dale","vaaa")</f>
        <v>vaaa</v>
      </c>
      <c r="V335" t="str">
        <f>IF(AND(Hoja4!H334="Empresa de embarque B",Hoja4!I334="Cheque",Hoja4!J334="Cerveza"),"dale","vaaa")</f>
        <v>vaaa</v>
      </c>
      <c r="X335" t="str">
        <f>IF(OR(Hoja4!H334="Empresa de embarque B",Hoja4!I334="Cheque",Hoja4!J334="cerveza"),"dale","vaaa")</f>
        <v>vaaa</v>
      </c>
      <c r="Z335" t="str">
        <f>IF(NOT(OR(Hoja4!I334="Cheque",Hoja4!J334="Cerveza")),"Aprobado","No Aprobado")</f>
        <v>Aprobado</v>
      </c>
    </row>
    <row r="336" spans="19:26" x14ac:dyDescent="0.25">
      <c r="S336" s="2" t="b">
        <f>AND(Hoja4!$P335="abril",Hoja4!$O335="Jue.")</f>
        <v>0</v>
      </c>
      <c r="T336" t="str">
        <f>IF(AND(Hoja4!H335="Empresa de embarque B",Hoja4!I335="Cheque"),"dale","vaaa")</f>
        <v>vaaa</v>
      </c>
      <c r="V336" t="str">
        <f>IF(AND(Hoja4!H335="Empresa de embarque B",Hoja4!I335="Cheque",Hoja4!J335="Cerveza"),"dale","vaaa")</f>
        <v>vaaa</v>
      </c>
      <c r="X336" t="str">
        <f>IF(OR(Hoja4!H335="Empresa de embarque B",Hoja4!I335="Cheque",Hoja4!J335="cerveza"),"dale","vaaa")</f>
        <v>vaaa</v>
      </c>
      <c r="Z336" t="str">
        <f>IF(NOT(OR(Hoja4!I335="Cheque",Hoja4!J335="Cerveza")),"Aprobado","No Aprobado")</f>
        <v>Aprobado</v>
      </c>
    </row>
    <row r="337" spans="19:26" x14ac:dyDescent="0.25">
      <c r="S337" s="2" t="b">
        <f>AND(Hoja4!$P336="abril",Hoja4!$O336="Jue.")</f>
        <v>0</v>
      </c>
      <c r="T337" t="str">
        <f>IF(AND(Hoja4!H336="Empresa de embarque B",Hoja4!I336="Cheque"),"dale","vaaa")</f>
        <v>vaaa</v>
      </c>
      <c r="V337" t="str">
        <f>IF(AND(Hoja4!H336="Empresa de embarque B",Hoja4!I336="Cheque",Hoja4!J336="Cerveza"),"dale","vaaa")</f>
        <v>vaaa</v>
      </c>
      <c r="X337" t="str">
        <f>IF(OR(Hoja4!H336="Empresa de embarque B",Hoja4!I336="Cheque",Hoja4!J336="cerveza"),"dale","vaaa")</f>
        <v>vaaa</v>
      </c>
      <c r="Z337" t="str">
        <f>IF(NOT(OR(Hoja4!I336="Cheque",Hoja4!J336="Cerveza")),"Aprobado","No Aprobado")</f>
        <v>Aprobado</v>
      </c>
    </row>
    <row r="338" spans="19:26" x14ac:dyDescent="0.25">
      <c r="S338" s="2" t="b">
        <f>AND(Hoja4!$P337="abril",Hoja4!$O337="Jue.")</f>
        <v>0</v>
      </c>
      <c r="T338" t="str">
        <f>IF(AND(Hoja4!H337="Empresa de embarque B",Hoja4!I337="Cheque"),"dale","vaaa")</f>
        <v>vaaa</v>
      </c>
      <c r="V338" t="str">
        <f>IF(AND(Hoja4!H337="Empresa de embarque B",Hoja4!I337="Cheque",Hoja4!J337="Cerveza"),"dale","vaaa")</f>
        <v>vaaa</v>
      </c>
      <c r="X338" t="str">
        <f>IF(OR(Hoja4!H337="Empresa de embarque B",Hoja4!I337="Cheque",Hoja4!J337="cerveza"),"dale","vaaa")</f>
        <v>vaaa</v>
      </c>
      <c r="Z338" t="str">
        <f>IF(NOT(OR(Hoja4!I337="Cheque",Hoja4!J337="Cerveza")),"Aprobado","No Aprobado")</f>
        <v>Aprobado</v>
      </c>
    </row>
    <row r="339" spans="19:26" x14ac:dyDescent="0.25">
      <c r="S339" s="2" t="b">
        <f>AND(Hoja4!$P338="abril",Hoja4!$O338="Jue.")</f>
        <v>0</v>
      </c>
      <c r="T339" t="str">
        <f>IF(AND(Hoja4!H338="Empresa de embarque B",Hoja4!I338="Cheque"),"dale","vaaa")</f>
        <v>vaaa</v>
      </c>
      <c r="V339" t="str">
        <f>IF(AND(Hoja4!H338="Empresa de embarque B",Hoja4!I338="Cheque",Hoja4!J338="Cerveza"),"dale","vaaa")</f>
        <v>vaaa</v>
      </c>
      <c r="X339" t="str">
        <f>IF(OR(Hoja4!H338="Empresa de embarque B",Hoja4!I338="Cheque",Hoja4!J338="cerveza"),"dale","vaaa")</f>
        <v>vaaa</v>
      </c>
      <c r="Z339" t="str">
        <f>IF(NOT(OR(Hoja4!I338="Cheque",Hoja4!J338="Cerveza")),"Aprobado","No Aprobado")</f>
        <v>Aprobado</v>
      </c>
    </row>
    <row r="340" spans="19:26" x14ac:dyDescent="0.25">
      <c r="S340" s="2" t="b">
        <f>AND(Hoja4!$P339="abril",Hoja4!$O339="Jue.")</f>
        <v>0</v>
      </c>
      <c r="T340" t="str">
        <f>IF(AND(Hoja4!H339="Empresa de embarque B",Hoja4!I339="Cheque"),"dale","vaaa")</f>
        <v>vaaa</v>
      </c>
      <c r="V340" t="str">
        <f>IF(AND(Hoja4!H339="Empresa de embarque B",Hoja4!I339="Cheque",Hoja4!J339="Cerveza"),"dale","vaaa")</f>
        <v>vaaa</v>
      </c>
      <c r="X340" t="str">
        <f>IF(OR(Hoja4!H339="Empresa de embarque B",Hoja4!I339="Cheque",Hoja4!J339="cerveza"),"dale","vaaa")</f>
        <v>vaaa</v>
      </c>
      <c r="Z340" t="str">
        <f>IF(NOT(OR(Hoja4!I339="Cheque",Hoja4!J339="Cerveza")),"Aprobado","No Aprobado")</f>
        <v>Aprobado</v>
      </c>
    </row>
    <row r="341" spans="19:26" x14ac:dyDescent="0.25">
      <c r="S341" s="2" t="b">
        <f>AND(Hoja4!$P340="abril",Hoja4!$O340="Jue.")</f>
        <v>0</v>
      </c>
      <c r="T341" t="str">
        <f>IF(AND(Hoja4!H340="Empresa de embarque B",Hoja4!I340="Cheque"),"dale","vaaa")</f>
        <v>vaaa</v>
      </c>
      <c r="V341" t="str">
        <f>IF(AND(Hoja4!H340="Empresa de embarque B",Hoja4!I340="Cheque",Hoja4!J340="Cerveza"),"dale","vaaa")</f>
        <v>vaaa</v>
      </c>
      <c r="X341" t="str">
        <f>IF(OR(Hoja4!H340="Empresa de embarque B",Hoja4!I340="Cheque",Hoja4!J340="cerveza"),"dale","vaaa")</f>
        <v>dale</v>
      </c>
      <c r="Z341" t="str">
        <f>IF(NOT(OR(Hoja4!I340="Cheque",Hoja4!J340="Cerveza")),"Aprobado","No Aprobado")</f>
        <v>No Aprobado</v>
      </c>
    </row>
    <row r="342" spans="19:26" x14ac:dyDescent="0.25">
      <c r="S342" s="2" t="b">
        <f>AND(Hoja4!$P341="abril",Hoja4!$O341="Jue.")</f>
        <v>0</v>
      </c>
      <c r="T342" t="str">
        <f>IF(AND(Hoja4!H341="Empresa de embarque B",Hoja4!I341="Cheque"),"dale","vaaa")</f>
        <v>vaaa</v>
      </c>
      <c r="V342" t="str">
        <f>IF(AND(Hoja4!H341="Empresa de embarque B",Hoja4!I341="Cheque",Hoja4!J341="Cerveza"),"dale","vaaa")</f>
        <v>vaaa</v>
      </c>
      <c r="X342" t="str">
        <f>IF(OR(Hoja4!H341="Empresa de embarque B",Hoja4!I341="Cheque",Hoja4!J341="cerveza"),"dale","vaaa")</f>
        <v>dale</v>
      </c>
      <c r="Z342" t="str">
        <f>IF(NOT(OR(Hoja4!I341="Cheque",Hoja4!J341="Cerveza")),"Aprobado","No Aprobado")</f>
        <v>No Aprobado</v>
      </c>
    </row>
    <row r="343" spans="19:26" x14ac:dyDescent="0.25">
      <c r="S343" s="2" t="b">
        <f>AND(Hoja4!$P342="abril",Hoja4!$O342="Jue.")</f>
        <v>0</v>
      </c>
      <c r="T343" t="str">
        <f>IF(AND(Hoja4!H342="Empresa de embarque B",Hoja4!I342="Cheque"),"dale","vaaa")</f>
        <v>vaaa</v>
      </c>
      <c r="V343" t="str">
        <f>IF(AND(Hoja4!H342="Empresa de embarque B",Hoja4!I342="Cheque",Hoja4!J342="Cerveza"),"dale","vaaa")</f>
        <v>vaaa</v>
      </c>
      <c r="X343" t="str">
        <f>IF(OR(Hoja4!H342="Empresa de embarque B",Hoja4!I342="Cheque",Hoja4!J342="cerveza"),"dale","vaaa")</f>
        <v>dale</v>
      </c>
      <c r="Z343" t="str">
        <f>IF(NOT(OR(Hoja4!I342="Cheque",Hoja4!J342="Cerveza")),"Aprobado","No Aprobado")</f>
        <v>No Aprobado</v>
      </c>
    </row>
    <row r="344" spans="19:26" x14ac:dyDescent="0.25">
      <c r="S344" s="2" t="b">
        <f>AND(Hoja4!$P343="abril",Hoja4!$O343="Jue.")</f>
        <v>0</v>
      </c>
      <c r="T344" t="str">
        <f>IF(AND(Hoja4!H343="Empresa de embarque B",Hoja4!I343="Cheque"),"dale","vaaa")</f>
        <v>dale</v>
      </c>
      <c r="V344" t="str">
        <f>IF(AND(Hoja4!H343="Empresa de embarque B",Hoja4!I343="Cheque",Hoja4!J343="Cerveza"),"dale","vaaa")</f>
        <v>vaaa</v>
      </c>
      <c r="X344" t="str">
        <f>IF(OR(Hoja4!H343="Empresa de embarque B",Hoja4!I343="Cheque",Hoja4!J343="cerveza"),"dale","vaaa")</f>
        <v>dale</v>
      </c>
      <c r="Z344" t="str">
        <f>IF(NOT(OR(Hoja4!I343="Cheque",Hoja4!J343="Cerveza")),"Aprobado","No Aprobado")</f>
        <v>No Aprobado</v>
      </c>
    </row>
    <row r="345" spans="19:26" x14ac:dyDescent="0.25">
      <c r="S345" s="2" t="b">
        <f>AND(Hoja4!$P344="abril",Hoja4!$O344="Jue.")</f>
        <v>0</v>
      </c>
      <c r="T345" t="str">
        <f>IF(AND(Hoja4!H344="Empresa de embarque B",Hoja4!I344="Cheque"),"dale","vaaa")</f>
        <v>dale</v>
      </c>
      <c r="V345" t="str">
        <f>IF(AND(Hoja4!H344="Empresa de embarque B",Hoja4!I344="Cheque",Hoja4!J344="Cerveza"),"dale","vaaa")</f>
        <v>vaaa</v>
      </c>
      <c r="X345" t="str">
        <f>IF(OR(Hoja4!H344="Empresa de embarque B",Hoja4!I344="Cheque",Hoja4!J344="cerveza"),"dale","vaaa")</f>
        <v>dale</v>
      </c>
      <c r="Z345" t="str">
        <f>IF(NOT(OR(Hoja4!I344="Cheque",Hoja4!J344="Cerveza")),"Aprobado","No Aprobado")</f>
        <v>No Aprobado</v>
      </c>
    </row>
    <row r="346" spans="19:26" x14ac:dyDescent="0.25">
      <c r="S346" s="2" t="b">
        <f>AND(Hoja4!$P345="abril",Hoja4!$O345="Jue.")</f>
        <v>0</v>
      </c>
      <c r="T346" t="str">
        <f>IF(AND(Hoja4!H345="Empresa de embarque B",Hoja4!I345="Cheque"),"dale","vaaa")</f>
        <v>vaaa</v>
      </c>
      <c r="V346" t="str">
        <f>IF(AND(Hoja4!H345="Empresa de embarque B",Hoja4!I345="Cheque",Hoja4!J345="Cerveza"),"dale","vaaa")</f>
        <v>vaaa</v>
      </c>
      <c r="X346" t="str">
        <f>IF(OR(Hoja4!H345="Empresa de embarque B",Hoja4!I345="Cheque",Hoja4!J345="cerveza"),"dale","vaaa")</f>
        <v>vaaa</v>
      </c>
      <c r="Z346" t="str">
        <f>IF(NOT(OR(Hoja4!I345="Cheque",Hoja4!J345="Cerveza")),"Aprobado","No Aprobado")</f>
        <v>Aprobado</v>
      </c>
    </row>
    <row r="347" spans="19:26" x14ac:dyDescent="0.25">
      <c r="S347" s="2" t="b">
        <f>AND(Hoja4!$P346="abril",Hoja4!$O346="Jue.")</f>
        <v>0</v>
      </c>
      <c r="T347" t="str">
        <f>IF(AND(Hoja4!H346="Empresa de embarque B",Hoja4!I346="Cheque"),"dale","vaaa")</f>
        <v>vaaa</v>
      </c>
      <c r="V347" t="str">
        <f>IF(AND(Hoja4!H346="Empresa de embarque B",Hoja4!I346="Cheque",Hoja4!J346="Cerveza"),"dale","vaaa")</f>
        <v>vaaa</v>
      </c>
      <c r="X347" t="str">
        <f>IF(OR(Hoja4!H346="Empresa de embarque B",Hoja4!I346="Cheque",Hoja4!J346="cerveza"),"dale","vaaa")</f>
        <v>vaaa</v>
      </c>
      <c r="Z347" t="str">
        <f>IF(NOT(OR(Hoja4!I346="Cheque",Hoja4!J346="Cerveza")),"Aprobado","No Aprobado")</f>
        <v>Aprobado</v>
      </c>
    </row>
    <row r="348" spans="19:26" x14ac:dyDescent="0.25">
      <c r="S348" s="2" t="b">
        <f>AND(Hoja4!$P347="abril",Hoja4!$O347="Jue.")</f>
        <v>0</v>
      </c>
      <c r="T348" t="str">
        <f>IF(AND(Hoja4!H347="Empresa de embarque B",Hoja4!I347="Cheque"),"dale","vaaa")</f>
        <v>vaaa</v>
      </c>
      <c r="V348" t="str">
        <f>IF(AND(Hoja4!H347="Empresa de embarque B",Hoja4!I347="Cheque",Hoja4!J347="Cerveza"),"dale","vaaa")</f>
        <v>vaaa</v>
      </c>
      <c r="X348" t="str">
        <f>IF(OR(Hoja4!H347="Empresa de embarque B",Hoja4!I347="Cheque",Hoja4!J347="cerveza"),"dale","vaaa")</f>
        <v>vaaa</v>
      </c>
      <c r="Z348" t="str">
        <f>IF(NOT(OR(Hoja4!I347="Cheque",Hoja4!J347="Cerveza")),"Aprobado","No Aprobado")</f>
        <v>Aprobado</v>
      </c>
    </row>
    <row r="349" spans="19:26" x14ac:dyDescent="0.25">
      <c r="S349" s="2" t="b">
        <f>AND(Hoja4!$P348="abril",Hoja4!$O348="Jue.")</f>
        <v>0</v>
      </c>
      <c r="T349" t="str">
        <f>IF(AND(Hoja4!H348="Empresa de embarque B",Hoja4!I348="Cheque"),"dale","vaaa")</f>
        <v>vaaa</v>
      </c>
      <c r="V349" t="str">
        <f>IF(AND(Hoja4!H348="Empresa de embarque B",Hoja4!I348="Cheque",Hoja4!J348="Cerveza"),"dale","vaaa")</f>
        <v>vaaa</v>
      </c>
      <c r="X349" t="str">
        <f>IF(OR(Hoja4!H348="Empresa de embarque B",Hoja4!I348="Cheque",Hoja4!J348="cerveza"),"dale","vaaa")</f>
        <v>vaaa</v>
      </c>
      <c r="Z349" t="str">
        <f>IF(NOT(OR(Hoja4!I348="Cheque",Hoja4!J348="Cerveza")),"Aprobado","No Aprobado")</f>
        <v>Aprobado</v>
      </c>
    </row>
    <row r="350" spans="19:26" x14ac:dyDescent="0.25">
      <c r="S350" s="2" t="b">
        <f>AND(Hoja4!$P349="abril",Hoja4!$O349="Jue.")</f>
        <v>0</v>
      </c>
      <c r="T350" t="str">
        <f>IF(AND(Hoja4!H349="Empresa de embarque B",Hoja4!I349="Cheque"),"dale","vaaa")</f>
        <v>dale</v>
      </c>
      <c r="V350" t="str">
        <f>IF(AND(Hoja4!H349="Empresa de embarque B",Hoja4!I349="Cheque",Hoja4!J349="Cerveza"),"dale","vaaa")</f>
        <v>dale</v>
      </c>
      <c r="X350" t="str">
        <f>IF(OR(Hoja4!H349="Empresa de embarque B",Hoja4!I349="Cheque",Hoja4!J349="cerveza"),"dale","vaaa")</f>
        <v>dale</v>
      </c>
      <c r="Z350" t="str">
        <f>IF(NOT(OR(Hoja4!I349="Cheque",Hoja4!J349="Cerveza")),"Aprobado","No Aprobado")</f>
        <v>No Aprobado</v>
      </c>
    </row>
    <row r="351" spans="19:26" x14ac:dyDescent="0.25">
      <c r="S351" s="2" t="b">
        <f>AND(Hoja4!$P350="abril",Hoja4!$O350="Jue.")</f>
        <v>0</v>
      </c>
      <c r="T351" t="str">
        <f>IF(AND(Hoja4!H350="Empresa de embarque B",Hoja4!I350="Cheque"),"dale","vaaa")</f>
        <v>vaaa</v>
      </c>
      <c r="V351" t="str">
        <f>IF(AND(Hoja4!H350="Empresa de embarque B",Hoja4!I350="Cheque",Hoja4!J350="Cerveza"),"dale","vaaa")</f>
        <v>vaaa</v>
      </c>
      <c r="X351" t="str">
        <f>IF(OR(Hoja4!H350="Empresa de embarque B",Hoja4!I350="Cheque",Hoja4!J350="cerveza"),"dale","vaaa")</f>
        <v>dale</v>
      </c>
      <c r="Z351" t="str">
        <f>IF(NOT(OR(Hoja4!I350="Cheque",Hoja4!J350="Cerveza")),"Aprobado","No Aprobado")</f>
        <v>No Aprobado</v>
      </c>
    </row>
    <row r="352" spans="19:26" x14ac:dyDescent="0.25">
      <c r="S352" s="2" t="b">
        <f>AND(Hoja4!$P351="abril",Hoja4!$O351="Jue.")</f>
        <v>0</v>
      </c>
      <c r="T352" t="str">
        <f>IF(AND(Hoja4!H351="Empresa de embarque B",Hoja4!I351="Cheque"),"dale","vaaa")</f>
        <v>vaaa</v>
      </c>
      <c r="V352" t="str">
        <f>IF(AND(Hoja4!H351="Empresa de embarque B",Hoja4!I351="Cheque",Hoja4!J351="Cerveza"),"dale","vaaa")</f>
        <v>vaaa</v>
      </c>
      <c r="X352" t="str">
        <f>IF(OR(Hoja4!H351="Empresa de embarque B",Hoja4!I351="Cheque",Hoja4!J351="cerveza"),"dale","vaaa")</f>
        <v>vaaa</v>
      </c>
      <c r="Z352" t="str">
        <f>IF(NOT(OR(Hoja4!I351="Cheque",Hoja4!J351="Cerveza")),"Aprobado","No Aprobado")</f>
        <v>Aprobado</v>
      </c>
    </row>
    <row r="353" spans="19:26" x14ac:dyDescent="0.25">
      <c r="S353" s="2" t="b">
        <f>AND(Hoja4!$P352="abril",Hoja4!$O352="Jue.")</f>
        <v>0</v>
      </c>
      <c r="T353" t="str">
        <f>IF(AND(Hoja4!H352="Empresa de embarque B",Hoja4!I352="Cheque"),"dale","vaaa")</f>
        <v>vaaa</v>
      </c>
      <c r="V353" t="str">
        <f>IF(AND(Hoja4!H352="Empresa de embarque B",Hoja4!I352="Cheque",Hoja4!J352="Cerveza"),"dale","vaaa")</f>
        <v>vaaa</v>
      </c>
      <c r="X353" t="str">
        <f>IF(OR(Hoja4!H352="Empresa de embarque B",Hoja4!I352="Cheque",Hoja4!J352="cerveza"),"dale","vaaa")</f>
        <v>vaaa</v>
      </c>
      <c r="Z353" t="str">
        <f>IF(NOT(OR(Hoja4!I352="Cheque",Hoja4!J352="Cerveza")),"Aprobado","No Aprobado")</f>
        <v>Aprobado</v>
      </c>
    </row>
    <row r="354" spans="19:26" x14ac:dyDescent="0.25">
      <c r="S354" s="2" t="b">
        <f>AND(Hoja4!$P353="abril",Hoja4!$O353="Jue.")</f>
        <v>0</v>
      </c>
      <c r="T354" t="str">
        <f>IF(AND(Hoja4!H353="Empresa de embarque B",Hoja4!I353="Cheque"),"dale","vaaa")</f>
        <v>vaaa</v>
      </c>
      <c r="V354" t="str">
        <f>IF(AND(Hoja4!H353="Empresa de embarque B",Hoja4!I353="Cheque",Hoja4!J353="Cerveza"),"dale","vaaa")</f>
        <v>vaaa</v>
      </c>
      <c r="X354" t="str">
        <f>IF(OR(Hoja4!H353="Empresa de embarque B",Hoja4!I353="Cheque",Hoja4!J353="cerveza"),"dale","vaaa")</f>
        <v>vaaa</v>
      </c>
      <c r="Z354" t="str">
        <f>IF(NOT(OR(Hoja4!I353="Cheque",Hoja4!J353="Cerveza")),"Aprobado","No Aprobado")</f>
        <v>Aprobado</v>
      </c>
    </row>
    <row r="355" spans="19:26" x14ac:dyDescent="0.25">
      <c r="S355" s="2" t="b">
        <f>AND(Hoja4!$P354="abril",Hoja4!$O354="Jue.")</f>
        <v>0</v>
      </c>
      <c r="T355" t="str">
        <f>IF(AND(Hoja4!H354="Empresa de embarque B",Hoja4!I354="Cheque"),"dale","vaaa")</f>
        <v>vaaa</v>
      </c>
      <c r="V355" t="str">
        <f>IF(AND(Hoja4!H354="Empresa de embarque B",Hoja4!I354="Cheque",Hoja4!J354="Cerveza"),"dale","vaaa")</f>
        <v>vaaa</v>
      </c>
      <c r="X355" t="str">
        <f>IF(OR(Hoja4!H354="Empresa de embarque B",Hoja4!I354="Cheque",Hoja4!J354="cerveza"),"dale","vaaa")</f>
        <v>dale</v>
      </c>
      <c r="Z355" t="str">
        <f>IF(NOT(OR(Hoja4!I354="Cheque",Hoja4!J354="Cerveza")),"Aprobado","No Aprobado")</f>
        <v>Aprobado</v>
      </c>
    </row>
    <row r="356" spans="19:26" x14ac:dyDescent="0.25">
      <c r="S356" s="2" t="b">
        <f>AND(Hoja4!$P355="abril",Hoja4!$O355="Jue.")</f>
        <v>0</v>
      </c>
      <c r="T356" t="str">
        <f>IF(AND(Hoja4!H355="Empresa de embarque B",Hoja4!I355="Cheque"),"dale","vaaa")</f>
        <v>vaaa</v>
      </c>
      <c r="V356" t="str">
        <f>IF(AND(Hoja4!H355="Empresa de embarque B",Hoja4!I355="Cheque",Hoja4!J355="Cerveza"),"dale","vaaa")</f>
        <v>vaaa</v>
      </c>
      <c r="X356" t="str">
        <f>IF(OR(Hoja4!H355="Empresa de embarque B",Hoja4!I355="Cheque",Hoja4!J355="cerveza"),"dale","vaaa")</f>
        <v>dale</v>
      </c>
      <c r="Z356" t="str">
        <f>IF(NOT(OR(Hoja4!I355="Cheque",Hoja4!J355="Cerveza")),"Aprobado","No Aprobado")</f>
        <v>Aprobado</v>
      </c>
    </row>
    <row r="357" spans="19:26" x14ac:dyDescent="0.25">
      <c r="S357" s="2" t="b">
        <f>AND(Hoja4!$P356="abril",Hoja4!$O356="Jue.")</f>
        <v>0</v>
      </c>
      <c r="T357" t="str">
        <f>IF(AND(Hoja4!H356="Empresa de embarque B",Hoja4!I356="Cheque"),"dale","vaaa")</f>
        <v>vaaa</v>
      </c>
      <c r="V357" t="str">
        <f>IF(AND(Hoja4!H356="Empresa de embarque B",Hoja4!I356="Cheque",Hoja4!J356="Cerveza"),"dale","vaaa")</f>
        <v>vaaa</v>
      </c>
      <c r="X357" t="str">
        <f>IF(OR(Hoja4!H356="Empresa de embarque B",Hoja4!I356="Cheque",Hoja4!J356="cerveza"),"dale","vaaa")</f>
        <v>dale</v>
      </c>
      <c r="Z357" t="str">
        <f>IF(NOT(OR(Hoja4!I356="Cheque",Hoja4!J356="Cerveza")),"Aprobado","No Aprobado")</f>
        <v>Aprobado</v>
      </c>
    </row>
    <row r="358" spans="19:26" x14ac:dyDescent="0.25">
      <c r="S358" s="2" t="b">
        <f>AND(Hoja4!$P357="abril",Hoja4!$O357="Jue.")</f>
        <v>0</v>
      </c>
      <c r="T358" t="str">
        <f>IF(AND(Hoja4!H357="Empresa de embarque B",Hoja4!I357="Cheque"),"dale","vaaa")</f>
        <v>vaaa</v>
      </c>
      <c r="V358" t="str">
        <f>IF(AND(Hoja4!H357="Empresa de embarque B",Hoja4!I357="Cheque",Hoja4!J357="Cerveza"),"dale","vaaa")</f>
        <v>vaaa</v>
      </c>
      <c r="X358" t="str">
        <f>IF(OR(Hoja4!H357="Empresa de embarque B",Hoja4!I357="Cheque",Hoja4!J357="cerveza"),"dale","vaaa")</f>
        <v>vaaa</v>
      </c>
      <c r="Z358" t="str">
        <f>IF(NOT(OR(Hoja4!I357="Cheque",Hoja4!J357="Cerveza")),"Aprobado","No Aprobado")</f>
        <v>Aprobado</v>
      </c>
    </row>
    <row r="359" spans="19:26" x14ac:dyDescent="0.25">
      <c r="S359" s="2" t="b">
        <f>AND(Hoja4!$P358="abril",Hoja4!$O358="Jue.")</f>
        <v>0</v>
      </c>
      <c r="T359" t="str">
        <f>IF(AND(Hoja4!H358="Empresa de embarque B",Hoja4!I358="Cheque"),"dale","vaaa")</f>
        <v>vaaa</v>
      </c>
      <c r="V359" t="str">
        <f>IF(AND(Hoja4!H358="Empresa de embarque B",Hoja4!I358="Cheque",Hoja4!J358="Cerveza"),"dale","vaaa")</f>
        <v>vaaa</v>
      </c>
      <c r="X359" t="str">
        <f>IF(OR(Hoja4!H358="Empresa de embarque B",Hoja4!I358="Cheque",Hoja4!J358="cerveza"),"dale","vaaa")</f>
        <v>vaaa</v>
      </c>
      <c r="Z359" t="str">
        <f>IF(NOT(OR(Hoja4!I358="Cheque",Hoja4!J358="Cerveza")),"Aprobado","No Aprobado")</f>
        <v>Aprobado</v>
      </c>
    </row>
    <row r="360" spans="19:26" x14ac:dyDescent="0.25">
      <c r="S360" s="2" t="b">
        <f>AND(Hoja4!$P359="abril",Hoja4!$O359="Jue.")</f>
        <v>0</v>
      </c>
      <c r="T360" t="str">
        <f>IF(AND(Hoja4!H359="Empresa de embarque B",Hoja4!I359="Cheque"),"dale","vaaa")</f>
        <v>vaaa</v>
      </c>
      <c r="V360" t="str">
        <f>IF(AND(Hoja4!H359="Empresa de embarque B",Hoja4!I359="Cheque",Hoja4!J359="Cerveza"),"dale","vaaa")</f>
        <v>vaaa</v>
      </c>
      <c r="X360" t="str">
        <f>IF(OR(Hoja4!H359="Empresa de embarque B",Hoja4!I359="Cheque",Hoja4!J359="cerveza"),"dale","vaaa")</f>
        <v>vaaa</v>
      </c>
      <c r="Z360" t="str">
        <f>IF(NOT(OR(Hoja4!I359="Cheque",Hoja4!J359="Cerveza")),"Aprobado","No Aprobado")</f>
        <v>Aprobado</v>
      </c>
    </row>
    <row r="361" spans="19:26" x14ac:dyDescent="0.25">
      <c r="S361" s="2" t="b">
        <f>AND(Hoja4!$P360="abril",Hoja4!$O360="Jue.")</f>
        <v>0</v>
      </c>
      <c r="T361" t="str">
        <f>IF(AND(Hoja4!H360="Empresa de embarque B",Hoja4!I360="Cheque"),"dale","vaaa")</f>
        <v>vaaa</v>
      </c>
      <c r="V361" t="str">
        <f>IF(AND(Hoja4!H360="Empresa de embarque B",Hoja4!I360="Cheque",Hoja4!J360="Cerveza"),"dale","vaaa")</f>
        <v>vaaa</v>
      </c>
      <c r="X361" t="str">
        <f>IF(OR(Hoja4!H360="Empresa de embarque B",Hoja4!I360="Cheque",Hoja4!J360="cerveza"),"dale","vaaa")</f>
        <v>vaaa</v>
      </c>
      <c r="Z361" t="str">
        <f>IF(NOT(OR(Hoja4!I360="Cheque",Hoja4!J360="Cerveza")),"Aprobado","No Aprobado")</f>
        <v>Aprobado</v>
      </c>
    </row>
    <row r="362" spans="19:26" x14ac:dyDescent="0.25">
      <c r="S362" s="2" t="b">
        <f>AND(Hoja4!$P361="abril",Hoja4!$O361="Jue.")</f>
        <v>0</v>
      </c>
      <c r="T362" t="str">
        <f>IF(AND(Hoja4!H361="Empresa de embarque B",Hoja4!I361="Cheque"),"dale","vaaa")</f>
        <v>vaaa</v>
      </c>
      <c r="V362" t="str">
        <f>IF(AND(Hoja4!H361="Empresa de embarque B",Hoja4!I361="Cheque",Hoja4!J361="Cerveza"),"dale","vaaa")</f>
        <v>vaaa</v>
      </c>
      <c r="X362" t="str">
        <f>IF(OR(Hoja4!H361="Empresa de embarque B",Hoja4!I361="Cheque",Hoja4!J361="cerveza"),"dale","vaaa")</f>
        <v>dale</v>
      </c>
      <c r="Z362" t="str">
        <f>IF(NOT(OR(Hoja4!I361="Cheque",Hoja4!J361="Cerveza")),"Aprobado","No Aprobado")</f>
        <v>No Aprobado</v>
      </c>
    </row>
    <row r="363" spans="19:26" x14ac:dyDescent="0.25">
      <c r="S363" s="2" t="b">
        <f>AND(Hoja4!$P362="abril",Hoja4!$O362="Jue.")</f>
        <v>0</v>
      </c>
      <c r="T363" t="str">
        <f>IF(AND(Hoja4!H362="Empresa de embarque B",Hoja4!I362="Cheque"),"dale","vaaa")</f>
        <v>vaaa</v>
      </c>
      <c r="V363" t="str">
        <f>IF(AND(Hoja4!H362="Empresa de embarque B",Hoja4!I362="Cheque",Hoja4!J362="Cerveza"),"dale","vaaa")</f>
        <v>vaaa</v>
      </c>
      <c r="X363" t="str">
        <f>IF(OR(Hoja4!H362="Empresa de embarque B",Hoja4!I362="Cheque",Hoja4!J362="cerveza"),"dale","vaaa")</f>
        <v>dale</v>
      </c>
      <c r="Z363" t="str">
        <f>IF(NOT(OR(Hoja4!I362="Cheque",Hoja4!J362="Cerveza")),"Aprobado","No Aprobado")</f>
        <v>Aprobado</v>
      </c>
    </row>
    <row r="364" spans="19:26" x14ac:dyDescent="0.25">
      <c r="S364" s="2" t="b">
        <f>AND(Hoja4!$P363="abril",Hoja4!$O363="Jue.")</f>
        <v>0</v>
      </c>
      <c r="T364" t="str">
        <f>IF(AND(Hoja4!H363="Empresa de embarque B",Hoja4!I363="Cheque"),"dale","vaaa")</f>
        <v>dale</v>
      </c>
      <c r="V364" t="str">
        <f>IF(AND(Hoja4!H363="Empresa de embarque B",Hoja4!I363="Cheque",Hoja4!J363="Cerveza"),"dale","vaaa")</f>
        <v>vaaa</v>
      </c>
      <c r="X364" t="str">
        <f>IF(OR(Hoja4!H363="Empresa de embarque B",Hoja4!I363="Cheque",Hoja4!J363="cerveza"),"dale","vaaa")</f>
        <v>dale</v>
      </c>
      <c r="Z364" t="str">
        <f>IF(NOT(OR(Hoja4!I363="Cheque",Hoja4!J363="Cerveza")),"Aprobado","No Aprobado")</f>
        <v>No Aprobado</v>
      </c>
    </row>
    <row r="365" spans="19:26" x14ac:dyDescent="0.25">
      <c r="S365" s="2" t="b">
        <f>AND(Hoja4!$P364="abril",Hoja4!$O364="Jue.")</f>
        <v>0</v>
      </c>
      <c r="T365" t="str">
        <f>IF(AND(Hoja4!H364="Empresa de embarque B",Hoja4!I364="Cheque"),"dale","vaaa")</f>
        <v>vaaa</v>
      </c>
      <c r="V365" t="str">
        <f>IF(AND(Hoja4!H364="Empresa de embarque B",Hoja4!I364="Cheque",Hoja4!J364="Cerveza"),"dale","vaaa")</f>
        <v>vaaa</v>
      </c>
      <c r="X365" t="str">
        <f>IF(OR(Hoja4!H364="Empresa de embarque B",Hoja4!I364="Cheque",Hoja4!J364="cerveza"),"dale","vaaa")</f>
        <v>vaaa</v>
      </c>
      <c r="Z365" t="str">
        <f>IF(NOT(OR(Hoja4!I364="Cheque",Hoja4!J364="Cerveza")),"Aprobado","No Aprobado")</f>
        <v>Aprobado</v>
      </c>
    </row>
    <row r="366" spans="19:26" x14ac:dyDescent="0.25">
      <c r="S366" s="2" t="b">
        <f>AND(Hoja4!$P365="abril",Hoja4!$O365="Jue.")</f>
        <v>0</v>
      </c>
      <c r="T366" t="str">
        <f>IF(AND(Hoja4!H365="Empresa de embarque B",Hoja4!I365="Cheque"),"dale","vaaa")</f>
        <v>vaaa</v>
      </c>
      <c r="V366" t="str">
        <f>IF(AND(Hoja4!H365="Empresa de embarque B",Hoja4!I365="Cheque",Hoja4!J365="Cerveza"),"dale","vaaa")</f>
        <v>vaaa</v>
      </c>
      <c r="X366" t="str">
        <f>IF(OR(Hoja4!H365="Empresa de embarque B",Hoja4!I365="Cheque",Hoja4!J365="cerveza"),"dale","vaaa")</f>
        <v>vaaa</v>
      </c>
      <c r="Z366" t="str">
        <f>IF(NOT(OR(Hoja4!I365="Cheque",Hoja4!J365="Cerveza")),"Aprobado","No Aprobado")</f>
        <v>Aprobado</v>
      </c>
    </row>
    <row r="367" spans="19:26" x14ac:dyDescent="0.25">
      <c r="S367" s="2" t="b">
        <f>AND(Hoja4!$P366="abril",Hoja4!$O366="Jue.")</f>
        <v>0</v>
      </c>
      <c r="T367" t="str">
        <f>IF(AND(Hoja4!H366="Empresa de embarque B",Hoja4!I366="Cheque"),"dale","vaaa")</f>
        <v>dale</v>
      </c>
      <c r="V367" t="str">
        <f>IF(AND(Hoja4!H366="Empresa de embarque B",Hoja4!I366="Cheque",Hoja4!J366="Cerveza"),"dale","vaaa")</f>
        <v>vaaa</v>
      </c>
      <c r="X367" t="str">
        <f>IF(OR(Hoja4!H366="Empresa de embarque B",Hoja4!I366="Cheque",Hoja4!J366="cerveza"),"dale","vaaa")</f>
        <v>dale</v>
      </c>
      <c r="Z367" t="str">
        <f>IF(NOT(OR(Hoja4!I366="Cheque",Hoja4!J366="Cerveza")),"Aprobado","No Aprobado")</f>
        <v>No Aprobado</v>
      </c>
    </row>
    <row r="368" spans="19:26" x14ac:dyDescent="0.25">
      <c r="S368" s="2" t="b">
        <f>AND(Hoja4!$P367="abril",Hoja4!$O367="Jue.")</f>
        <v>0</v>
      </c>
      <c r="T368" t="str">
        <f>IF(AND(Hoja4!H367="Empresa de embarque B",Hoja4!I367="Cheque"),"dale","vaaa")</f>
        <v>vaaa</v>
      </c>
      <c r="V368" t="str">
        <f>IF(AND(Hoja4!H367="Empresa de embarque B",Hoja4!I367="Cheque",Hoja4!J367="Cerveza"),"dale","vaaa")</f>
        <v>vaaa</v>
      </c>
      <c r="X368" t="str">
        <f>IF(OR(Hoja4!H367="Empresa de embarque B",Hoja4!I367="Cheque",Hoja4!J367="cerveza"),"dale","vaaa")</f>
        <v>dale</v>
      </c>
      <c r="Z368" t="str">
        <f>IF(NOT(OR(Hoja4!I367="Cheque",Hoja4!J367="Cerveza")),"Aprobado","No Aprobado")</f>
        <v>No Aprobado</v>
      </c>
    </row>
    <row r="369" spans="19:26" x14ac:dyDescent="0.25">
      <c r="S369" s="2" t="b">
        <f>AND(Hoja4!$P368="abril",Hoja4!$O368="Jue.")</f>
        <v>0</v>
      </c>
      <c r="T369" t="str">
        <f>IF(AND(Hoja4!H368="Empresa de embarque B",Hoja4!I368="Cheque"),"dale","vaaa")</f>
        <v>vaaa</v>
      </c>
      <c r="V369" t="str">
        <f>IF(AND(Hoja4!H368="Empresa de embarque B",Hoja4!I368="Cheque",Hoja4!J368="Cerveza"),"dale","vaaa")</f>
        <v>vaaa</v>
      </c>
      <c r="X369" t="str">
        <f>IF(OR(Hoja4!H368="Empresa de embarque B",Hoja4!I368="Cheque",Hoja4!J368="cerveza"),"dale","vaaa")</f>
        <v>dale</v>
      </c>
      <c r="Z369" t="str">
        <f>IF(NOT(OR(Hoja4!I368="Cheque",Hoja4!J368="Cerveza")),"Aprobado","No Aprobado")</f>
        <v>No Aprobado</v>
      </c>
    </row>
    <row r="370" spans="19:26" x14ac:dyDescent="0.25">
      <c r="S370" s="2" t="b">
        <f>AND(Hoja4!$P369="abril",Hoja4!$O369="Jue.")</f>
        <v>0</v>
      </c>
      <c r="T370" t="str">
        <f>IF(AND(Hoja4!H369="Empresa de embarque B",Hoja4!I369="Cheque"),"dale","vaaa")</f>
        <v>vaaa</v>
      </c>
      <c r="V370" t="str">
        <f>IF(AND(Hoja4!H369="Empresa de embarque B",Hoja4!I369="Cheque",Hoja4!J369="Cerveza"),"dale","vaaa")</f>
        <v>vaaa</v>
      </c>
      <c r="X370" t="str">
        <f>IF(OR(Hoja4!H369="Empresa de embarque B",Hoja4!I369="Cheque",Hoja4!J369="cerveza"),"dale","vaaa")</f>
        <v>vaaa</v>
      </c>
      <c r="Z370" t="str">
        <f>IF(NOT(OR(Hoja4!I369="Cheque",Hoja4!J369="Cerveza")),"Aprobado","No Aprobado")</f>
        <v>Aprobado</v>
      </c>
    </row>
    <row r="371" spans="19:26" x14ac:dyDescent="0.25">
      <c r="S371" s="2" t="b">
        <f>AND(Hoja4!$P370="abril",Hoja4!$O370="Jue.")</f>
        <v>0</v>
      </c>
      <c r="T371" t="str">
        <f>IF(AND(Hoja4!H370="Empresa de embarque B",Hoja4!I370="Cheque"),"dale","vaaa")</f>
        <v>vaaa</v>
      </c>
      <c r="V371" t="str">
        <f>IF(AND(Hoja4!H370="Empresa de embarque B",Hoja4!I370="Cheque",Hoja4!J370="Cerveza"),"dale","vaaa")</f>
        <v>vaaa</v>
      </c>
      <c r="X371" t="str">
        <f>IF(OR(Hoja4!H370="Empresa de embarque B",Hoja4!I370="Cheque",Hoja4!J370="cerveza"),"dale","vaaa")</f>
        <v>vaaa</v>
      </c>
      <c r="Z371" t="str">
        <f>IF(NOT(OR(Hoja4!I370="Cheque",Hoja4!J370="Cerveza")),"Aprobado","No Aprobado")</f>
        <v>Aprobado</v>
      </c>
    </row>
  </sheetData>
  <sortState xmlns:xlrd2="http://schemas.microsoft.com/office/spreadsheetml/2017/richdata2" ref="B3:Q371">
    <sortCondition ref="B3:B371" customList="enero,febrero,marzo,abril,mayo,junio,julio,agosto,septiembre,octubre,noviembre,diciembre"/>
  </sortState>
  <conditionalFormatting sqref="T3:T371">
    <cfRule type="expression" dxfId="6" priority="11">
      <formula>$T3="dale"</formula>
    </cfRule>
  </conditionalFormatting>
  <conditionalFormatting sqref="V3:V371">
    <cfRule type="cellIs" dxfId="5" priority="10" operator="equal">
      <formula>"dale"</formula>
    </cfRule>
  </conditionalFormatting>
  <conditionalFormatting sqref="X3:X371">
    <cfRule type="cellIs" dxfId="4" priority="8" operator="equal">
      <formula>"dale"</formula>
    </cfRule>
    <cfRule type="iconSet" priority="9">
      <iconSet iconSet="3Symbols2">
        <cfvo type="percent" val="0"/>
        <cfvo type="percent" val="33"/>
        <cfvo type="percent" val="67"/>
      </iconSet>
    </cfRule>
  </conditionalFormatting>
  <conditionalFormatting sqref="Z3:Z371">
    <cfRule type="cellIs" dxfId="3" priority="5" operator="equal">
      <formula>"No Aprobado"</formula>
    </cfRule>
    <cfRule type="cellIs" dxfId="2" priority="6" operator="equal">
      <formula>"Aprobado"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AC212-799F-4CC5-AEF5-759F3DAF3283}">
  <dimension ref="A1:AX370"/>
  <sheetViews>
    <sheetView tabSelected="1" topLeftCell="AG1" workbookViewId="0">
      <selection activeCell="AJ10" sqref="AJ10"/>
    </sheetView>
  </sheetViews>
  <sheetFormatPr baseColWidth="10" defaultRowHeight="15" x14ac:dyDescent="0.25"/>
  <cols>
    <col min="1" max="1" width="13.42578125" customWidth="1"/>
    <col min="3" max="3" width="11.7109375" customWidth="1"/>
    <col min="7" max="7" width="12" customWidth="1"/>
    <col min="9" max="9" width="16.140625" customWidth="1"/>
    <col min="11" max="11" width="11.5703125" customWidth="1"/>
    <col min="32" max="32" width="20.28515625" bestFit="1" customWidth="1"/>
    <col min="49" max="49" width="0" hidden="1" customWidth="1"/>
    <col min="50" max="50" width="11.85546875" hidden="1" customWidth="1"/>
  </cols>
  <sheetData>
    <row r="1" spans="1:50" x14ac:dyDescent="0.25">
      <c r="A1" t="s">
        <v>73</v>
      </c>
      <c r="B1" t="s">
        <v>74</v>
      </c>
      <c r="C1" t="s">
        <v>79</v>
      </c>
      <c r="D1" t="s">
        <v>100</v>
      </c>
      <c r="E1" t="s">
        <v>0</v>
      </c>
      <c r="F1" t="s">
        <v>75</v>
      </c>
      <c r="G1" t="s">
        <v>1</v>
      </c>
      <c r="H1" t="s">
        <v>76</v>
      </c>
      <c r="I1" t="s">
        <v>2</v>
      </c>
      <c r="J1" t="s">
        <v>77</v>
      </c>
      <c r="K1" t="s">
        <v>3</v>
      </c>
      <c r="L1" t="s">
        <v>78</v>
      </c>
      <c r="M1" t="s">
        <v>4</v>
      </c>
      <c r="N1" t="s">
        <v>115</v>
      </c>
      <c r="O1" t="s">
        <v>146</v>
      </c>
      <c r="P1" t="s">
        <v>133</v>
      </c>
      <c r="S1" t="s">
        <v>162</v>
      </c>
      <c r="T1" t="s">
        <v>73</v>
      </c>
      <c r="U1" cm="1">
        <f t="array" ref="U1">_xlfn.IFS(T1=S9,1,T1=T9,2,T1=U9,3,T1=V9,4,T1=W9,5,T1=X9,6,T1=Y9,7,T1=Z9,8,T1=AA9,9,T1=AB9,10,T1=AC9,11,T1=AD9,12,T1=AE9,13,T1=AF9,14,T1=AG9,15,T1=AH9,16)</f>
        <v>1</v>
      </c>
      <c r="AL1">
        <v>2</v>
      </c>
      <c r="AM1">
        <v>1</v>
      </c>
      <c r="AO1" cm="1">
        <f t="array" ref="AO1:AO5">FREQUENCY(AL1:AL6,AM1:AM4)</f>
        <v>1</v>
      </c>
      <c r="AW1" t="s">
        <v>156</v>
      </c>
      <c r="AX1" t="str" cm="1">
        <f t="array" ref="AX1:AX12">_xlfn._xlws.SORT(_xlfn.UNIQUE(Tabla2[mes]))</f>
        <v>abril</v>
      </c>
    </row>
    <row r="2" spans="1:50" x14ac:dyDescent="0.25">
      <c r="A2" s="8">
        <v>1</v>
      </c>
      <c r="B2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>
        <v>14</v>
      </c>
      <c r="M2">
        <v>10</v>
      </c>
      <c r="N2">
        <f>Hoja4!$L2*Hoja4!$M2</f>
        <v>140</v>
      </c>
      <c r="O2" t="str">
        <f t="shared" ref="O2:O65" si="0">PROPER(TEXT(B2,"ddd."))</f>
        <v>Jue.</v>
      </c>
      <c r="P2" t="str">
        <f t="shared" ref="P2:P65" si="1">TEXT(B2,"mmmm")</f>
        <v>abril</v>
      </c>
      <c r="AL2">
        <v>2</v>
      </c>
      <c r="AM2">
        <v>2</v>
      </c>
      <c r="AO2">
        <v>3</v>
      </c>
      <c r="AW2" t="s">
        <v>157</v>
      </c>
      <c r="AX2" t="str">
        <v>agosto</v>
      </c>
    </row>
    <row r="3" spans="1:50" x14ac:dyDescent="0.25">
      <c r="A3">
        <v>2</v>
      </c>
      <c r="B3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>
        <v>34</v>
      </c>
      <c r="M3">
        <v>1</v>
      </c>
      <c r="N3">
        <f>Hoja4!$L3*Hoja4!$M3</f>
        <v>34</v>
      </c>
      <c r="O3" t="str">
        <f t="shared" si="0"/>
        <v>Mar.</v>
      </c>
      <c r="P3" t="str">
        <f t="shared" si="1"/>
        <v>agosto</v>
      </c>
      <c r="AL3">
        <v>1</v>
      </c>
      <c r="AM3">
        <v>3</v>
      </c>
      <c r="AO3">
        <v>1</v>
      </c>
      <c r="AW3" t="s">
        <v>158</v>
      </c>
      <c r="AX3" t="str">
        <v>diciembre</v>
      </c>
    </row>
    <row r="4" spans="1:50" x14ac:dyDescent="0.25">
      <c r="A4">
        <v>3</v>
      </c>
      <c r="B4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>
        <v>14</v>
      </c>
      <c r="M4">
        <v>57</v>
      </c>
      <c r="N4">
        <f>Hoja4!$L4*Hoja4!$M4</f>
        <v>798</v>
      </c>
      <c r="O4" t="str">
        <f t="shared" si="0"/>
        <v>Mié.</v>
      </c>
      <c r="P4" t="str">
        <f t="shared" si="1"/>
        <v>marzo</v>
      </c>
      <c r="AL4">
        <v>2</v>
      </c>
      <c r="AM4">
        <v>4</v>
      </c>
      <c r="AO4">
        <v>1</v>
      </c>
      <c r="AW4" t="s">
        <v>155</v>
      </c>
      <c r="AX4" t="str">
        <v>enero</v>
      </c>
    </row>
    <row r="5" spans="1:50" x14ac:dyDescent="0.25">
      <c r="A5">
        <v>4</v>
      </c>
      <c r="B5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>
        <v>16</v>
      </c>
      <c r="M5">
        <v>72</v>
      </c>
      <c r="N5">
        <f>Hoja4!$L5*Hoja4!$M5</f>
        <v>1152</v>
      </c>
      <c r="O5" t="str">
        <f t="shared" si="0"/>
        <v>Sáb.</v>
      </c>
      <c r="P5" t="str">
        <f t="shared" si="1"/>
        <v>mayo</v>
      </c>
      <c r="AL5">
        <v>4</v>
      </c>
      <c r="AO5">
        <v>0</v>
      </c>
      <c r="AW5" t="s">
        <v>159</v>
      </c>
      <c r="AX5" t="str">
        <v>febrero</v>
      </c>
    </row>
    <row r="6" spans="1:50" x14ac:dyDescent="0.25">
      <c r="A6">
        <v>5</v>
      </c>
      <c r="B6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>
        <v>12</v>
      </c>
      <c r="M6">
        <v>68</v>
      </c>
      <c r="N6">
        <f>Hoja4!$L6*Hoja4!$M6</f>
        <v>816</v>
      </c>
      <c r="O6" t="str">
        <f t="shared" si="0"/>
        <v>Jue.</v>
      </c>
      <c r="P6" t="str">
        <f t="shared" si="1"/>
        <v>abril</v>
      </c>
      <c r="AL6">
        <v>3</v>
      </c>
      <c r="AW6" t="s">
        <v>160</v>
      </c>
      <c r="AX6" t="str">
        <v>julio</v>
      </c>
    </row>
    <row r="7" spans="1:50" x14ac:dyDescent="0.25">
      <c r="A7">
        <v>6</v>
      </c>
      <c r="B7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>
        <v>22</v>
      </c>
      <c r="M7">
        <v>29</v>
      </c>
      <c r="N7">
        <f>Hoja4!$L7*Hoja4!$M7</f>
        <v>638</v>
      </c>
      <c r="O7" t="str">
        <f t="shared" si="0"/>
        <v>Sáb.</v>
      </c>
      <c r="P7" t="str">
        <f t="shared" si="1"/>
        <v>diciembre</v>
      </c>
      <c r="AW7" t="s">
        <v>161</v>
      </c>
      <c r="AX7" t="str">
        <v>junio</v>
      </c>
    </row>
    <row r="8" spans="1:50" x14ac:dyDescent="0.25">
      <c r="A8">
        <v>7</v>
      </c>
      <c r="B8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>
        <v>42</v>
      </c>
      <c r="M8">
        <v>41</v>
      </c>
      <c r="N8">
        <f>Hoja4!$L8*Hoja4!$M8</f>
        <v>1722</v>
      </c>
      <c r="O8" t="str">
        <f t="shared" si="0"/>
        <v>Jue.</v>
      </c>
      <c r="P8" t="str">
        <f t="shared" si="1"/>
        <v>octubre</v>
      </c>
      <c r="AJ8" t="s">
        <v>167</v>
      </c>
      <c r="AW8" t="s">
        <v>162</v>
      </c>
      <c r="AX8" t="str">
        <v>marzo</v>
      </c>
    </row>
    <row r="9" spans="1:50" x14ac:dyDescent="0.25">
      <c r="A9">
        <v>8</v>
      </c>
      <c r="B9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>
        <v>11</v>
      </c>
      <c r="M9">
        <v>18</v>
      </c>
      <c r="N9">
        <f>Hoja4!$L9*Hoja4!$M9</f>
        <v>198</v>
      </c>
      <c r="O9" t="str">
        <f t="shared" si="0"/>
        <v>Dom.</v>
      </c>
      <c r="P9" t="str">
        <f t="shared" si="1"/>
        <v>febrero</v>
      </c>
      <c r="S9" t="str" cm="1">
        <f t="array" ref="S9:AH9">A1:P1</f>
        <v>Documento</v>
      </c>
      <c r="T9" t="str">
        <v>Fecha</v>
      </c>
      <c r="U9" t="str">
        <v>Id Cliente</v>
      </c>
      <c r="V9" t="str">
        <v>Cliente</v>
      </c>
      <c r="W9" t="str">
        <v>Ciudad</v>
      </c>
      <c r="X9" t="str">
        <v>Provincia</v>
      </c>
      <c r="Y9" t="str">
        <v>Vendedor</v>
      </c>
      <c r="Z9" t="str">
        <v>Empresa</v>
      </c>
      <c r="AA9" t="str">
        <v>Forma de pago</v>
      </c>
      <c r="AB9" t="str">
        <v>Producto</v>
      </c>
      <c r="AC9" t="str">
        <v>Categoría</v>
      </c>
      <c r="AD9" t="str">
        <v>Precio</v>
      </c>
      <c r="AE9" t="str">
        <v>Cantidad</v>
      </c>
      <c r="AF9" t="str">
        <v>Ventas</v>
      </c>
      <c r="AG9" t="str">
        <v>dias</v>
      </c>
      <c r="AH9" t="str">
        <v>mes</v>
      </c>
      <c r="AW9" t="s">
        <v>163</v>
      </c>
      <c r="AX9" t="str">
        <v>mayo</v>
      </c>
    </row>
    <row r="10" spans="1:50" x14ac:dyDescent="0.25">
      <c r="A10">
        <v>9</v>
      </c>
      <c r="B10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>
        <v>29</v>
      </c>
      <c r="M10">
        <v>73</v>
      </c>
      <c r="N10">
        <f>Hoja4!$L10*Hoja4!$M10</f>
        <v>2117</v>
      </c>
      <c r="O10" t="str">
        <f t="shared" si="0"/>
        <v>Lun.</v>
      </c>
      <c r="P10" t="str">
        <f t="shared" si="1"/>
        <v>noviembre</v>
      </c>
      <c r="S10" cm="1">
        <f t="array" ref="S10:AH45">_xlfn._xlws.SORT(_xlfn._xlws.FILTER(datos,date=$S$1),U1,1)</f>
        <v>2</v>
      </c>
      <c r="T10" s="19">
        <v>44068</v>
      </c>
      <c r="U10">
        <v>6185253419</v>
      </c>
      <c r="V10" t="str">
        <v>Empresa AA</v>
      </c>
      <c r="W10" t="str">
        <v>Cuenca</v>
      </c>
      <c r="X10" t="str">
        <v>Azuay</v>
      </c>
      <c r="Y10" t="str">
        <v>Mayra Aguilar Sepúlveda</v>
      </c>
      <c r="Z10" t="str">
        <v>Empresa de embarque B</v>
      </c>
      <c r="AA10" t="str">
        <v>Cheque</v>
      </c>
      <c r="AB10" t="str">
        <v>Ciruelas secas</v>
      </c>
      <c r="AC10" t="str">
        <v>Frutas secas</v>
      </c>
      <c r="AD10">
        <v>34</v>
      </c>
      <c r="AE10">
        <v>1</v>
      </c>
      <c r="AF10">
        <v>34</v>
      </c>
      <c r="AG10" t="str">
        <v>Mar.</v>
      </c>
      <c r="AH10" t="str">
        <v>agosto</v>
      </c>
      <c r="AJ10">
        <f>MATCH(AJ8,AC10:AC12,0)</f>
        <v>2</v>
      </c>
      <c r="AW10" t="s">
        <v>164</v>
      </c>
      <c r="AX10" t="str">
        <v>noviembre</v>
      </c>
    </row>
    <row r="11" spans="1:50" x14ac:dyDescent="0.25">
      <c r="A11">
        <v>10</v>
      </c>
      <c r="B1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>
        <v>12</v>
      </c>
      <c r="M11">
        <v>79</v>
      </c>
      <c r="N11">
        <f>Hoja4!$L11*Hoja4!$M11</f>
        <v>948</v>
      </c>
      <c r="O11" t="str">
        <f t="shared" si="0"/>
        <v>Dom.</v>
      </c>
      <c r="P11" t="str">
        <f t="shared" si="1"/>
        <v>febrero</v>
      </c>
      <c r="S11">
        <v>12</v>
      </c>
      <c r="T11" s="19">
        <v>44045</v>
      </c>
      <c r="U11">
        <v>4872781256</v>
      </c>
      <c r="V11" t="str">
        <v>Empresa F</v>
      </c>
      <c r="W11" t="str">
        <v>Ibarra</v>
      </c>
      <c r="X11" t="str">
        <v>Imbabura</v>
      </c>
      <c r="Y11" t="str">
        <v>Luis Miguel Valdés Garza</v>
      </c>
      <c r="Z11" t="str">
        <v>Empresa de embarque B</v>
      </c>
      <c r="AA11" t="str">
        <v>Tarjeta de crédito</v>
      </c>
      <c r="AB11" t="str">
        <v>Salsa curry</v>
      </c>
      <c r="AC11" t="str">
        <v>Salsas</v>
      </c>
      <c r="AD11">
        <v>33</v>
      </c>
      <c r="AE11">
        <v>64</v>
      </c>
      <c r="AF11">
        <v>2112</v>
      </c>
      <c r="AG11" t="str">
        <v>Dom.</v>
      </c>
      <c r="AH11" t="str">
        <v>agosto</v>
      </c>
      <c r="AW11" t="s">
        <v>165</v>
      </c>
      <c r="AX11" t="str">
        <v>octubre</v>
      </c>
    </row>
    <row r="12" spans="1:50" x14ac:dyDescent="0.25">
      <c r="A12">
        <v>11</v>
      </c>
      <c r="B12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>
        <v>28</v>
      </c>
      <c r="M12">
        <v>37</v>
      </c>
      <c r="N12">
        <f>Hoja4!$L12*Hoja4!$M12</f>
        <v>1036</v>
      </c>
      <c r="O12" t="str">
        <f t="shared" si="0"/>
        <v>Mié.</v>
      </c>
      <c r="P12" t="str">
        <f t="shared" si="1"/>
        <v>junio</v>
      </c>
      <c r="S12">
        <v>17</v>
      </c>
      <c r="T12" s="19">
        <v>44065</v>
      </c>
      <c r="U12">
        <v>3008945605</v>
      </c>
      <c r="V12" t="str">
        <v>Empresa J</v>
      </c>
      <c r="W12" t="str">
        <v>Esmeraldas</v>
      </c>
      <c r="X12" t="str">
        <v>Esmeraldas</v>
      </c>
      <c r="Y12" t="str">
        <v>Laura Gutiérrez Saenz</v>
      </c>
      <c r="Z12" t="str">
        <v>Empresa de embarque A</v>
      </c>
      <c r="AA12">
        <v>0</v>
      </c>
      <c r="AB12" t="str">
        <v>Jalea de fresa</v>
      </c>
      <c r="AC12" t="str">
        <v>Mermeladas y jaleas</v>
      </c>
      <c r="AD12">
        <v>26</v>
      </c>
      <c r="AE12">
        <v>65</v>
      </c>
      <c r="AF12">
        <v>1690</v>
      </c>
      <c r="AG12" t="str">
        <v>Sáb.</v>
      </c>
      <c r="AH12" t="str">
        <v>agosto</v>
      </c>
      <c r="AN12">
        <f>COUNTIF($AL$1:$AL$6,AM1)</f>
        <v>1</v>
      </c>
      <c r="AW12" t="s">
        <v>166</v>
      </c>
      <c r="AX12" t="str">
        <v>septiembre</v>
      </c>
    </row>
    <row r="13" spans="1:50" x14ac:dyDescent="0.25">
      <c r="A13">
        <v>12</v>
      </c>
      <c r="B13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>
        <v>33</v>
      </c>
      <c r="M13">
        <v>64</v>
      </c>
      <c r="N13">
        <f>Hoja4!$L13*Hoja4!$M13</f>
        <v>2112</v>
      </c>
      <c r="O13" t="str">
        <f t="shared" si="0"/>
        <v>Dom.</v>
      </c>
      <c r="P13" t="str">
        <f t="shared" si="1"/>
        <v>agosto</v>
      </c>
      <c r="S13">
        <v>26</v>
      </c>
      <c r="T13" s="19">
        <v>44055</v>
      </c>
      <c r="U13">
        <v>3769138349</v>
      </c>
      <c r="V13" t="str">
        <v>Empresa BB</v>
      </c>
      <c r="W13" t="str">
        <v>Manta</v>
      </c>
      <c r="X13" t="str">
        <v>Manabi</v>
      </c>
      <c r="Y13" t="str">
        <v>Ana del Valle Hinojosa</v>
      </c>
      <c r="Z13" t="str">
        <v>Empresa de embarque C</v>
      </c>
      <c r="AA13" t="str">
        <v>Tarjeta de crédito</v>
      </c>
      <c r="AB13" t="str">
        <v>Carne de cangrejo</v>
      </c>
      <c r="AC13" t="str">
        <v>Carne enlatada</v>
      </c>
      <c r="AD13">
        <v>39</v>
      </c>
      <c r="AE13">
        <v>21</v>
      </c>
      <c r="AF13">
        <v>819</v>
      </c>
      <c r="AG13" t="str">
        <v>Mié.</v>
      </c>
      <c r="AH13" t="str">
        <v>agosto</v>
      </c>
      <c r="AN13">
        <f t="shared" ref="AN13:AN15" si="2">COUNTIF($AL$1:$AL$6,AM2)</f>
        <v>3</v>
      </c>
    </row>
    <row r="14" spans="1:50" x14ac:dyDescent="0.25">
      <c r="A14">
        <v>13</v>
      </c>
      <c r="B14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s="12" t="s">
        <v>11</v>
      </c>
      <c r="L14">
        <v>21</v>
      </c>
      <c r="M14">
        <v>96</v>
      </c>
      <c r="N14">
        <f>Hoja4!$L14*Hoja4!$M14</f>
        <v>2016</v>
      </c>
      <c r="O14" t="str">
        <f t="shared" si="0"/>
        <v>Lun.</v>
      </c>
      <c r="P14" t="str">
        <f t="shared" si="1"/>
        <v>enero</v>
      </c>
      <c r="S14">
        <v>43</v>
      </c>
      <c r="T14" s="19">
        <v>44070</v>
      </c>
      <c r="U14">
        <v>3986713828</v>
      </c>
      <c r="V14" t="str">
        <v>Empresa H</v>
      </c>
      <c r="W14" t="str">
        <v>Riobamba</v>
      </c>
      <c r="X14" t="str">
        <v>Chimborazo</v>
      </c>
      <c r="Y14" t="str">
        <v>Nancy Gil de la Peña</v>
      </c>
      <c r="Z14" t="str">
        <v>Empresa de embarque B</v>
      </c>
      <c r="AA14" t="str">
        <v>Cheque</v>
      </c>
      <c r="AB14" t="str">
        <v>Chocolate</v>
      </c>
      <c r="AC14" t="str">
        <v>Dulces</v>
      </c>
      <c r="AD14">
        <v>178.5</v>
      </c>
      <c r="AE14">
        <v>13</v>
      </c>
      <c r="AF14">
        <v>2320.5</v>
      </c>
      <c r="AG14" t="str">
        <v>Jue.</v>
      </c>
      <c r="AH14" t="str">
        <v>agosto</v>
      </c>
      <c r="AN14">
        <f t="shared" si="2"/>
        <v>1</v>
      </c>
    </row>
    <row r="15" spans="1:50" x14ac:dyDescent="0.25">
      <c r="A15">
        <v>14</v>
      </c>
      <c r="B15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>
        <v>46</v>
      </c>
      <c r="M15">
        <v>86</v>
      </c>
      <c r="N15">
        <f>Hoja4!$L15*Hoja4!$M15</f>
        <v>3956</v>
      </c>
      <c r="O15" t="str">
        <f t="shared" si="0"/>
        <v>Vie.</v>
      </c>
      <c r="P15" t="str">
        <f t="shared" si="1"/>
        <v>enero</v>
      </c>
      <c r="S15">
        <v>68</v>
      </c>
      <c r="T15" s="19">
        <v>44052</v>
      </c>
      <c r="U15">
        <v>289513623</v>
      </c>
      <c r="V15" t="str">
        <v>Empresa J</v>
      </c>
      <c r="W15" t="str">
        <v>Esmeraldas</v>
      </c>
      <c r="X15" t="str">
        <v>Esmeraldas</v>
      </c>
      <c r="Y15" t="str">
        <v>Laura Gutiérrez Saenz</v>
      </c>
      <c r="Z15" t="str">
        <v>Empresa de embarque A</v>
      </c>
      <c r="AA15">
        <v>0</v>
      </c>
      <c r="AB15" t="str">
        <v>Ciruelas secas</v>
      </c>
      <c r="AC15" t="str">
        <v>Frutas secas</v>
      </c>
      <c r="AD15">
        <v>49</v>
      </c>
      <c r="AE15">
        <v>21</v>
      </c>
      <c r="AF15">
        <v>1029</v>
      </c>
      <c r="AG15" t="str">
        <v>Dom.</v>
      </c>
      <c r="AH15" t="str">
        <v>agosto</v>
      </c>
      <c r="AN15">
        <f t="shared" si="2"/>
        <v>1</v>
      </c>
    </row>
    <row r="16" spans="1:50" x14ac:dyDescent="0.25">
      <c r="A16">
        <v>15</v>
      </c>
      <c r="B16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>
        <v>41</v>
      </c>
      <c r="M16">
        <v>96</v>
      </c>
      <c r="N16">
        <f>Hoja4!$L16*Hoja4!$M16</f>
        <v>3936</v>
      </c>
      <c r="O16" t="str">
        <f t="shared" si="0"/>
        <v>Sáb.</v>
      </c>
      <c r="P16" t="str">
        <f t="shared" si="1"/>
        <v>julio</v>
      </c>
      <c r="S16">
        <v>85</v>
      </c>
      <c r="T16" s="19">
        <v>44071</v>
      </c>
      <c r="U16">
        <v>8859429908</v>
      </c>
      <c r="V16" t="str">
        <v>Empresa J</v>
      </c>
      <c r="W16" t="str">
        <v>Esmeraldas</v>
      </c>
      <c r="X16" t="str">
        <v>Esmeraldas</v>
      </c>
      <c r="Y16" t="str">
        <v>Laura Gutiérrez Saenz</v>
      </c>
      <c r="Z16" t="str">
        <v>Empresa de embarque A</v>
      </c>
      <c r="AA16">
        <v>0</v>
      </c>
      <c r="AB16" t="str">
        <v>Condimento cajún</v>
      </c>
      <c r="AC16" t="str">
        <v>Condimentos</v>
      </c>
      <c r="AD16">
        <v>308</v>
      </c>
      <c r="AE16">
        <v>37</v>
      </c>
      <c r="AF16">
        <v>11396</v>
      </c>
      <c r="AG16" t="str">
        <v>Vie.</v>
      </c>
      <c r="AH16" t="str">
        <v>agosto</v>
      </c>
    </row>
    <row r="17" spans="1:34" x14ac:dyDescent="0.25">
      <c r="A17">
        <v>16</v>
      </c>
      <c r="B17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J17" t="s">
        <v>22</v>
      </c>
      <c r="K17" t="s">
        <v>11</v>
      </c>
      <c r="L17">
        <v>45</v>
      </c>
      <c r="M17">
        <v>97</v>
      </c>
      <c r="N17">
        <f>Hoja4!$L17*Hoja4!$M17</f>
        <v>4365</v>
      </c>
      <c r="O17" t="str">
        <f t="shared" si="0"/>
        <v>Sáb.</v>
      </c>
      <c r="P17" t="str">
        <f t="shared" si="1"/>
        <v>junio</v>
      </c>
      <c r="S17">
        <v>93</v>
      </c>
      <c r="T17" s="19">
        <v>44069</v>
      </c>
      <c r="U17">
        <v>5306800000</v>
      </c>
      <c r="V17" t="str">
        <v>Empresa BB</v>
      </c>
      <c r="W17" t="str">
        <v>Manta</v>
      </c>
      <c r="X17" t="str">
        <v>Manabi</v>
      </c>
      <c r="Y17" t="str">
        <v>Ana del Valle Hinojosa</v>
      </c>
      <c r="Z17" t="str">
        <v>Empresa de embarque C</v>
      </c>
      <c r="AA17" t="str">
        <v>Cheque</v>
      </c>
      <c r="AB17" t="str">
        <v>Café</v>
      </c>
      <c r="AC17" t="str">
        <v>Bebidas</v>
      </c>
      <c r="AD17">
        <v>644</v>
      </c>
      <c r="AE17">
        <v>36</v>
      </c>
      <c r="AF17">
        <v>23184</v>
      </c>
      <c r="AG17" t="str">
        <v>Mié.</v>
      </c>
      <c r="AH17" t="str">
        <v>agosto</v>
      </c>
    </row>
    <row r="18" spans="1:34" x14ac:dyDescent="0.25">
      <c r="A18">
        <v>17</v>
      </c>
      <c r="B18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J18" t="s">
        <v>46</v>
      </c>
      <c r="K18" t="s">
        <v>47</v>
      </c>
      <c r="L18">
        <v>26</v>
      </c>
      <c r="M18">
        <v>65</v>
      </c>
      <c r="N18">
        <f>Hoja4!$L18*Hoja4!$M18</f>
        <v>1690</v>
      </c>
      <c r="O18" t="str">
        <f t="shared" si="0"/>
        <v>Sáb.</v>
      </c>
      <c r="P18" t="str">
        <f t="shared" si="1"/>
        <v>agosto</v>
      </c>
      <c r="S18">
        <v>103</v>
      </c>
      <c r="T18" s="19">
        <v>44074</v>
      </c>
      <c r="U18">
        <v>5541796483</v>
      </c>
      <c r="V18" t="str">
        <v>Empresa A</v>
      </c>
      <c r="W18" t="str">
        <v>Ambato</v>
      </c>
      <c r="X18" t="str">
        <v>Tungurahua</v>
      </c>
      <c r="Y18" t="str">
        <v>Nancy Gil de la Peña</v>
      </c>
      <c r="Z18">
        <v>0</v>
      </c>
      <c r="AA18">
        <v>0</v>
      </c>
      <c r="AB18" t="str">
        <v>Café</v>
      </c>
      <c r="AC18" t="str">
        <v>Bebidas</v>
      </c>
      <c r="AD18">
        <v>644</v>
      </c>
      <c r="AE18">
        <v>77</v>
      </c>
      <c r="AF18">
        <v>49588</v>
      </c>
      <c r="AG18" t="str">
        <v>Lun.</v>
      </c>
      <c r="AH18" t="str">
        <v>agosto</v>
      </c>
    </row>
    <row r="19" spans="1:34" x14ac:dyDescent="0.25">
      <c r="A19">
        <v>18</v>
      </c>
      <c r="B19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J19" t="s">
        <v>48</v>
      </c>
      <c r="K19" t="s">
        <v>49</v>
      </c>
      <c r="L19">
        <v>40</v>
      </c>
      <c r="M19">
        <v>88</v>
      </c>
      <c r="N19">
        <f>Hoja4!$L19*Hoja4!$M19</f>
        <v>3520</v>
      </c>
      <c r="O19" t="str">
        <f t="shared" si="0"/>
        <v>Jue.</v>
      </c>
      <c r="P19" t="str">
        <f t="shared" si="1"/>
        <v>abril</v>
      </c>
      <c r="S19">
        <v>106</v>
      </c>
      <c r="T19" s="19">
        <v>44070</v>
      </c>
      <c r="U19">
        <v>6501127347</v>
      </c>
      <c r="V19" t="str">
        <v>Empresa BB</v>
      </c>
      <c r="W19" t="str">
        <v>Manta</v>
      </c>
      <c r="X19" t="str">
        <v>Manabi</v>
      </c>
      <c r="Y19" t="str">
        <v>Ana del Valle Hinojosa</v>
      </c>
      <c r="Z19" t="str">
        <v>Empresa de embarque C</v>
      </c>
      <c r="AA19" t="str">
        <v>Tarjeta de crédito</v>
      </c>
      <c r="AB19" t="str">
        <v>Carne de cangrejo</v>
      </c>
      <c r="AC19" t="str">
        <v>Carne enlatada</v>
      </c>
      <c r="AD19">
        <v>257.59999999999997</v>
      </c>
      <c r="AE19">
        <v>25</v>
      </c>
      <c r="AF19">
        <v>6439.9999999999991</v>
      </c>
      <c r="AG19" t="str">
        <v>Jue.</v>
      </c>
      <c r="AH19" t="str">
        <v>agosto</v>
      </c>
    </row>
    <row r="20" spans="1:34" x14ac:dyDescent="0.25">
      <c r="A20">
        <v>19</v>
      </c>
      <c r="B20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J20" t="s">
        <v>26</v>
      </c>
      <c r="K20" t="s">
        <v>27</v>
      </c>
      <c r="L20">
        <v>12</v>
      </c>
      <c r="M20">
        <v>60</v>
      </c>
      <c r="N20">
        <f>Hoja4!$L20*Hoja4!$M20</f>
        <v>720</v>
      </c>
      <c r="O20" t="str">
        <f t="shared" si="0"/>
        <v>Lun.</v>
      </c>
      <c r="P20" t="str">
        <f t="shared" si="1"/>
        <v>diciembre</v>
      </c>
      <c r="S20">
        <v>111</v>
      </c>
      <c r="T20" s="19">
        <v>44073</v>
      </c>
      <c r="U20">
        <v>9950546196</v>
      </c>
      <c r="V20" t="str">
        <v>Empresa H</v>
      </c>
      <c r="W20" t="str">
        <v>Riobamba</v>
      </c>
      <c r="X20" t="str">
        <v>Chimborazo</v>
      </c>
      <c r="Y20" t="str">
        <v>Nancy Gil de la Peña</v>
      </c>
      <c r="Z20" t="str">
        <v>Empresa de embarque B</v>
      </c>
      <c r="AA20" t="str">
        <v>Cheque</v>
      </c>
      <c r="AB20" t="str">
        <v>Galletas de chocolate</v>
      </c>
      <c r="AC20" t="str">
        <v>Productos horneados</v>
      </c>
      <c r="AD20">
        <v>128.79999999999998</v>
      </c>
      <c r="AE20">
        <v>51</v>
      </c>
      <c r="AF20">
        <v>6568.7999999999993</v>
      </c>
      <c r="AG20" t="str">
        <v>Dom.</v>
      </c>
      <c r="AH20" t="str">
        <v>agosto</v>
      </c>
    </row>
    <row r="21" spans="1:34" x14ac:dyDescent="0.25">
      <c r="A21">
        <v>20</v>
      </c>
      <c r="B2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J21" t="s">
        <v>12</v>
      </c>
      <c r="K21" t="s">
        <v>13</v>
      </c>
      <c r="L21">
        <v>35</v>
      </c>
      <c r="M21">
        <v>96</v>
      </c>
      <c r="N21">
        <f>Hoja4!$L21*Hoja4!$M21</f>
        <v>3360</v>
      </c>
      <c r="O21" t="str">
        <f t="shared" si="0"/>
        <v>Vie.</v>
      </c>
      <c r="P21" t="str">
        <f t="shared" si="1"/>
        <v>febrero</v>
      </c>
      <c r="S21">
        <v>133</v>
      </c>
      <c r="T21" s="19">
        <v>44057</v>
      </c>
      <c r="U21">
        <v>2633840866</v>
      </c>
      <c r="V21" t="str">
        <v>Empresa BB</v>
      </c>
      <c r="W21" t="str">
        <v>Manta</v>
      </c>
      <c r="X21" t="str">
        <v>Manabi</v>
      </c>
      <c r="Y21" t="str">
        <v>Ana del Valle Hinojosa</v>
      </c>
      <c r="Z21" t="str">
        <v>Empresa de embarque C</v>
      </c>
      <c r="AA21" t="str">
        <v>Tarjeta de crédito</v>
      </c>
      <c r="AB21" t="str">
        <v>Carne de cangrejo</v>
      </c>
      <c r="AC21" t="str">
        <v>Carne enlatada</v>
      </c>
      <c r="AD21">
        <v>257.59999999999997</v>
      </c>
      <c r="AE21">
        <v>98</v>
      </c>
      <c r="AF21">
        <v>25244.799999999996</v>
      </c>
      <c r="AG21" t="str">
        <v>Vie.</v>
      </c>
      <c r="AH21" t="str">
        <v>agosto</v>
      </c>
    </row>
    <row r="22" spans="1:34" x14ac:dyDescent="0.25">
      <c r="A22">
        <v>21</v>
      </c>
      <c r="B22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J22" t="s">
        <v>44</v>
      </c>
      <c r="K22" t="s">
        <v>11</v>
      </c>
      <c r="L22">
        <v>20</v>
      </c>
      <c r="M22">
        <v>50</v>
      </c>
      <c r="N22">
        <f>Hoja4!$L22*Hoja4!$M22</f>
        <v>1000</v>
      </c>
      <c r="O22" t="str">
        <f t="shared" si="0"/>
        <v>Mar.</v>
      </c>
      <c r="P22" t="str">
        <f t="shared" si="1"/>
        <v>noviembre</v>
      </c>
      <c r="S22">
        <v>136</v>
      </c>
      <c r="T22" s="19">
        <v>44058</v>
      </c>
      <c r="U22">
        <v>2071690973</v>
      </c>
      <c r="V22" t="str">
        <v>Empresa F</v>
      </c>
      <c r="W22" t="str">
        <v>Ibarra</v>
      </c>
      <c r="X22" t="str">
        <v>Imbabura</v>
      </c>
      <c r="Y22" t="str">
        <v>Luis Miguel Valdés Garza</v>
      </c>
      <c r="Z22" t="str">
        <v>Empresa de embarque B</v>
      </c>
      <c r="AA22" t="str">
        <v>Tarjeta de crédito</v>
      </c>
      <c r="AB22" t="str">
        <v>Cerveza</v>
      </c>
      <c r="AC22" t="str">
        <v>Bebidas</v>
      </c>
      <c r="AD22">
        <v>196</v>
      </c>
      <c r="AE22">
        <v>65</v>
      </c>
      <c r="AF22">
        <v>12740</v>
      </c>
      <c r="AG22" t="str">
        <v>Sáb.</v>
      </c>
      <c r="AH22" t="str">
        <v>agosto</v>
      </c>
    </row>
    <row r="23" spans="1:34" x14ac:dyDescent="0.25">
      <c r="A23">
        <v>22</v>
      </c>
      <c r="B23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J23" t="s">
        <v>21</v>
      </c>
      <c r="K23" t="s">
        <v>11</v>
      </c>
      <c r="L23">
        <v>50</v>
      </c>
      <c r="M23">
        <v>75</v>
      </c>
      <c r="N23">
        <f>Hoja4!$L23*Hoja4!$M23</f>
        <v>3750</v>
      </c>
      <c r="O23" t="str">
        <f t="shared" si="0"/>
        <v>Sáb.</v>
      </c>
      <c r="P23" t="str">
        <f t="shared" si="1"/>
        <v>marzo</v>
      </c>
      <c r="S23">
        <v>137</v>
      </c>
      <c r="T23" s="19">
        <v>44047</v>
      </c>
      <c r="U23">
        <v>1196729221</v>
      </c>
      <c r="V23" t="str">
        <v>Empresa H</v>
      </c>
      <c r="W23" t="str">
        <v>Riobamba</v>
      </c>
      <c r="X23" t="str">
        <v>Chimborazo</v>
      </c>
      <c r="Y23" t="str">
        <v>Nancy Gil de la Peña</v>
      </c>
      <c r="Z23" t="str">
        <v>Empresa de embarque B</v>
      </c>
      <c r="AA23" t="str">
        <v>Cheque</v>
      </c>
      <c r="AB23" t="str">
        <v>Salsa curry</v>
      </c>
      <c r="AC23" t="str">
        <v>Salsas</v>
      </c>
      <c r="AD23">
        <v>560</v>
      </c>
      <c r="AE23">
        <v>38</v>
      </c>
      <c r="AF23">
        <v>21280</v>
      </c>
      <c r="AG23" t="str">
        <v>Mar.</v>
      </c>
      <c r="AH23" t="str">
        <v>agosto</v>
      </c>
    </row>
    <row r="24" spans="1:34" x14ac:dyDescent="0.25">
      <c r="A24">
        <v>23</v>
      </c>
      <c r="B24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J24" t="s">
        <v>22</v>
      </c>
      <c r="K24" t="s">
        <v>11</v>
      </c>
      <c r="L24">
        <v>21</v>
      </c>
      <c r="M24">
        <v>4</v>
      </c>
      <c r="N24">
        <f>Hoja4!$L24*Hoja4!$M24</f>
        <v>84</v>
      </c>
      <c r="O24" t="str">
        <f t="shared" si="0"/>
        <v>Lun.</v>
      </c>
      <c r="P24" t="str">
        <f t="shared" si="1"/>
        <v>julio</v>
      </c>
      <c r="S24">
        <v>139</v>
      </c>
      <c r="T24" s="19">
        <v>44054</v>
      </c>
      <c r="U24">
        <v>4818692078</v>
      </c>
      <c r="V24" t="str">
        <v>Empresa Y</v>
      </c>
      <c r="W24" t="str">
        <v>Esmeraldas</v>
      </c>
      <c r="X24" t="str">
        <v>Esmeraldas</v>
      </c>
      <c r="Y24" t="str">
        <v>Laura Gutiérrez Saenz</v>
      </c>
      <c r="Z24" t="str">
        <v>Empresa de embarque A</v>
      </c>
      <c r="AA24" t="str">
        <v>Efectivo</v>
      </c>
      <c r="AB24" t="str">
        <v>Bolillos</v>
      </c>
      <c r="AC24" t="str">
        <v>Productos horneados</v>
      </c>
      <c r="AD24">
        <v>140</v>
      </c>
      <c r="AE24">
        <v>49</v>
      </c>
      <c r="AF24">
        <v>6860</v>
      </c>
      <c r="AG24" t="str">
        <v>Mar.</v>
      </c>
      <c r="AH24" t="str">
        <v>agosto</v>
      </c>
    </row>
    <row r="25" spans="1:34" x14ac:dyDescent="0.25">
      <c r="A25">
        <v>24</v>
      </c>
      <c r="B25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J25" t="s">
        <v>44</v>
      </c>
      <c r="K25" t="s">
        <v>11</v>
      </c>
      <c r="L25">
        <v>43</v>
      </c>
      <c r="M25">
        <v>18</v>
      </c>
      <c r="N25">
        <f>Hoja4!$L25*Hoja4!$M25</f>
        <v>774</v>
      </c>
      <c r="O25" t="str">
        <f t="shared" si="0"/>
        <v>Jue.</v>
      </c>
      <c r="P25" t="str">
        <f t="shared" si="1"/>
        <v>junio</v>
      </c>
      <c r="S25">
        <v>145</v>
      </c>
      <c r="T25" s="19">
        <v>44046</v>
      </c>
      <c r="U25">
        <v>5585231955</v>
      </c>
      <c r="V25" t="str">
        <v>Empresa D</v>
      </c>
      <c r="W25" t="str">
        <v>Azogues</v>
      </c>
      <c r="X25" t="str">
        <v>Canar</v>
      </c>
      <c r="Y25" t="str">
        <v>Andrés González Rico</v>
      </c>
      <c r="Z25" t="str">
        <v>Empresa de embarque A</v>
      </c>
      <c r="AA25" t="str">
        <v>Tarjeta de crédito</v>
      </c>
      <c r="AB25" t="str">
        <v>Mermelada de zarzamora</v>
      </c>
      <c r="AC25" t="str">
        <v>Mermeladas y jaleas</v>
      </c>
      <c r="AD25">
        <v>1134</v>
      </c>
      <c r="AE25">
        <v>98</v>
      </c>
      <c r="AF25">
        <v>111132</v>
      </c>
      <c r="AG25" t="str">
        <v>Lun.</v>
      </c>
      <c r="AH25" t="str">
        <v>agosto</v>
      </c>
    </row>
    <row r="26" spans="1:34" x14ac:dyDescent="0.25">
      <c r="A26">
        <v>25</v>
      </c>
      <c r="B26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>
        <v>26</v>
      </c>
      <c r="M26">
        <v>49</v>
      </c>
      <c r="N26">
        <f>Hoja4!$L26*Hoja4!$M26</f>
        <v>1274</v>
      </c>
      <c r="O26" t="str">
        <f t="shared" si="0"/>
        <v>Lun.</v>
      </c>
      <c r="P26" t="str">
        <f t="shared" si="1"/>
        <v>febrero</v>
      </c>
      <c r="S26">
        <v>147</v>
      </c>
      <c r="T26" s="19">
        <v>44056</v>
      </c>
      <c r="U26">
        <v>3475726472</v>
      </c>
      <c r="V26" t="str">
        <v>Empresa H</v>
      </c>
      <c r="W26" t="str">
        <v>Riobamba</v>
      </c>
      <c r="X26" t="str">
        <v>Chimborazo</v>
      </c>
      <c r="Y26" t="str">
        <v>Nancy Gil de la Peña</v>
      </c>
      <c r="Z26" t="str">
        <v>Empresa de embarque C</v>
      </c>
      <c r="AA26" t="str">
        <v>Tarjeta de crédito</v>
      </c>
      <c r="AB26" t="str">
        <v>Mozzarella</v>
      </c>
      <c r="AC26" t="str">
        <v>Productos lácteos</v>
      </c>
      <c r="AD26">
        <v>487.19999999999993</v>
      </c>
      <c r="AE26">
        <v>30</v>
      </c>
      <c r="AF26">
        <v>14615.999999999998</v>
      </c>
      <c r="AG26" t="str">
        <v>Jue.</v>
      </c>
      <c r="AH26" t="str">
        <v>agosto</v>
      </c>
    </row>
    <row r="27" spans="1:34" x14ac:dyDescent="0.25">
      <c r="A27">
        <v>26</v>
      </c>
      <c r="B27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>
        <v>39</v>
      </c>
      <c r="M27">
        <v>21</v>
      </c>
      <c r="N27">
        <f>Hoja4!$L27*Hoja4!$M27</f>
        <v>819</v>
      </c>
      <c r="O27" t="str">
        <f t="shared" si="0"/>
        <v>Mié.</v>
      </c>
      <c r="P27" t="str">
        <f t="shared" si="1"/>
        <v>agosto</v>
      </c>
      <c r="S27">
        <v>160</v>
      </c>
      <c r="T27" s="19">
        <v>44049</v>
      </c>
      <c r="U27">
        <v>7169314881</v>
      </c>
      <c r="V27" t="str">
        <v>Empresa CC</v>
      </c>
      <c r="W27" t="str">
        <v>Guayaquil</v>
      </c>
      <c r="X27" t="str">
        <v>Guayas</v>
      </c>
      <c r="Y27" t="str">
        <v>José de Jesús Morales</v>
      </c>
      <c r="Z27" t="str">
        <v>Empresa de embarque B</v>
      </c>
      <c r="AA27" t="str">
        <v>Cheque</v>
      </c>
      <c r="AB27" t="str">
        <v>Cóctel de frutas</v>
      </c>
      <c r="AC27" t="str">
        <v>Frutas y vegetales</v>
      </c>
      <c r="AD27">
        <v>546</v>
      </c>
      <c r="AE27">
        <v>98</v>
      </c>
      <c r="AF27">
        <v>53508</v>
      </c>
      <c r="AG27" t="str">
        <v>Jue.</v>
      </c>
      <c r="AH27" t="str">
        <v>agosto</v>
      </c>
    </row>
    <row r="28" spans="1:34" x14ac:dyDescent="0.25">
      <c r="A28">
        <v>27</v>
      </c>
      <c r="B28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>
        <v>33</v>
      </c>
      <c r="M28">
        <v>8</v>
      </c>
      <c r="N28">
        <f>Hoja4!$L28*Hoja4!$M28</f>
        <v>264</v>
      </c>
      <c r="O28" t="str">
        <f t="shared" si="0"/>
        <v>Mié.</v>
      </c>
      <c r="P28" t="str">
        <f t="shared" si="1"/>
        <v>marzo</v>
      </c>
      <c r="S28">
        <v>162</v>
      </c>
      <c r="T28" s="19">
        <v>44064</v>
      </c>
      <c r="U28">
        <v>5739621013</v>
      </c>
      <c r="V28" t="str">
        <v>Empresa F</v>
      </c>
      <c r="W28" t="str">
        <v>Ibarra</v>
      </c>
      <c r="X28" t="str">
        <v>Imbabura</v>
      </c>
      <c r="Y28" t="str">
        <v>Luis Miguel Valdés Garza</v>
      </c>
      <c r="Z28" t="str">
        <v>Empresa de embarque C</v>
      </c>
      <c r="AA28" t="str">
        <v>Cheque</v>
      </c>
      <c r="AB28" t="str">
        <v>Manzanas secas</v>
      </c>
      <c r="AC28" t="str">
        <v>Frutas secas</v>
      </c>
      <c r="AD28">
        <v>742</v>
      </c>
      <c r="AE28">
        <v>14</v>
      </c>
      <c r="AF28">
        <v>10388</v>
      </c>
      <c r="AG28" t="str">
        <v>Vie.</v>
      </c>
      <c r="AH28" t="str">
        <v>agosto</v>
      </c>
    </row>
    <row r="29" spans="1:34" x14ac:dyDescent="0.25">
      <c r="A29">
        <v>28</v>
      </c>
      <c r="B29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>
        <v>46</v>
      </c>
      <c r="M29">
        <v>82</v>
      </c>
      <c r="N29">
        <f>Hoja4!$L29*Hoja4!$M29</f>
        <v>3772</v>
      </c>
      <c r="O29" t="str">
        <f t="shared" si="0"/>
        <v>Jue.</v>
      </c>
      <c r="P29" t="str">
        <f t="shared" si="1"/>
        <v>mayo</v>
      </c>
      <c r="S29">
        <v>175</v>
      </c>
      <c r="T29" s="19">
        <v>44054</v>
      </c>
      <c r="U29">
        <v>3247684317</v>
      </c>
      <c r="V29" t="str">
        <v>Empresa Z</v>
      </c>
      <c r="W29" t="str">
        <v>Quito</v>
      </c>
      <c r="X29" t="str">
        <v>Pichincha</v>
      </c>
      <c r="Y29" t="str">
        <v>Ana del Valle Hinojosa</v>
      </c>
      <c r="Z29" t="str">
        <v>Empresa de embarque C</v>
      </c>
      <c r="AA29" t="str">
        <v>Tarjeta de crédito</v>
      </c>
      <c r="AB29" t="str">
        <v>Almejas</v>
      </c>
      <c r="AC29" t="str">
        <v>Sopas</v>
      </c>
      <c r="AD29">
        <v>135.1</v>
      </c>
      <c r="AE29">
        <v>25</v>
      </c>
      <c r="AF29">
        <v>3377.5</v>
      </c>
      <c r="AG29" t="str">
        <v>Mar.</v>
      </c>
      <c r="AH29" t="str">
        <v>agosto</v>
      </c>
    </row>
    <row r="30" spans="1:34" x14ac:dyDescent="0.25">
      <c r="A30">
        <v>29</v>
      </c>
      <c r="B30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>
        <v>32</v>
      </c>
      <c r="M30">
        <v>75</v>
      </c>
      <c r="N30">
        <f>Hoja4!$L30*Hoja4!$M30</f>
        <v>2400</v>
      </c>
      <c r="O30" t="str">
        <f t="shared" si="0"/>
        <v>Mié.</v>
      </c>
      <c r="P30" t="str">
        <f t="shared" si="1"/>
        <v>noviembre</v>
      </c>
      <c r="S30">
        <v>182</v>
      </c>
      <c r="T30" s="19">
        <v>44052</v>
      </c>
      <c r="U30">
        <v>5404968765</v>
      </c>
      <c r="V30" t="str">
        <v>Empresa C</v>
      </c>
      <c r="W30" t="str">
        <v>Machala</v>
      </c>
      <c r="X30" t="str">
        <v>El Oro</v>
      </c>
      <c r="Y30" t="str">
        <v>Mayra Aguilar Sepúlveda</v>
      </c>
      <c r="Z30" t="str">
        <v>Empresa de embarque B</v>
      </c>
      <c r="AA30" t="str">
        <v>Efectivo</v>
      </c>
      <c r="AB30" t="str">
        <v>Jarabe</v>
      </c>
      <c r="AC30" t="str">
        <v>Condimentos</v>
      </c>
      <c r="AD30">
        <v>140</v>
      </c>
      <c r="AE30">
        <v>99</v>
      </c>
      <c r="AF30">
        <v>13860</v>
      </c>
      <c r="AG30" t="str">
        <v>Dom.</v>
      </c>
      <c r="AH30" t="str">
        <v>agosto</v>
      </c>
    </row>
    <row r="31" spans="1:34" x14ac:dyDescent="0.25">
      <c r="A31">
        <v>30</v>
      </c>
      <c r="B3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>
        <v>34</v>
      </c>
      <c r="M31">
        <v>3</v>
      </c>
      <c r="N31">
        <f>Hoja4!$L31*Hoja4!$M31</f>
        <v>102</v>
      </c>
      <c r="O31" t="str">
        <f t="shared" si="0"/>
        <v>Lun.</v>
      </c>
      <c r="P31" t="str">
        <f t="shared" si="1"/>
        <v>noviembre</v>
      </c>
      <c r="S31">
        <v>185</v>
      </c>
      <c r="T31" s="19">
        <v>44069</v>
      </c>
      <c r="U31">
        <v>5411926783</v>
      </c>
      <c r="V31" t="str">
        <v>Empresa J</v>
      </c>
      <c r="W31" t="str">
        <v>Esmeraldas</v>
      </c>
      <c r="X31" t="str">
        <v>Esmeraldas</v>
      </c>
      <c r="Y31" t="str">
        <v>Laura Gutiérrez Saenz</v>
      </c>
      <c r="Z31" t="str">
        <v>Empresa de embarque A</v>
      </c>
      <c r="AA31">
        <v>0</v>
      </c>
      <c r="AB31" t="str">
        <v>Ciruelas secas</v>
      </c>
      <c r="AC31" t="str">
        <v>Frutas secas</v>
      </c>
      <c r="AD31">
        <v>49</v>
      </c>
      <c r="AE31">
        <v>27</v>
      </c>
      <c r="AF31">
        <v>1323</v>
      </c>
      <c r="AG31" t="str">
        <v>Mié.</v>
      </c>
      <c r="AH31" t="str">
        <v>agosto</v>
      </c>
    </row>
    <row r="32" spans="1:34" x14ac:dyDescent="0.25">
      <c r="A32">
        <v>31</v>
      </c>
      <c r="B32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>
        <v>24</v>
      </c>
      <c r="M32">
        <v>33</v>
      </c>
      <c r="N32">
        <f>Hoja4!$L32*Hoja4!$M32</f>
        <v>792</v>
      </c>
      <c r="O32" t="str">
        <f t="shared" si="0"/>
        <v>Mié.</v>
      </c>
      <c r="P32" t="str">
        <f t="shared" si="1"/>
        <v>enero</v>
      </c>
      <c r="S32">
        <v>191</v>
      </c>
      <c r="T32" s="19">
        <v>44045</v>
      </c>
      <c r="U32">
        <v>1537469039</v>
      </c>
      <c r="V32" t="str">
        <v>Empresa BB</v>
      </c>
      <c r="W32" t="str">
        <v>Manta</v>
      </c>
      <c r="X32" t="str">
        <v>Manabi</v>
      </c>
      <c r="Y32" t="str">
        <v>Ana del Valle Hinojosa</v>
      </c>
      <c r="Z32" t="str">
        <v>Empresa de embarque C</v>
      </c>
      <c r="AA32" t="str">
        <v>Cheque</v>
      </c>
      <c r="AB32" t="str">
        <v>Café</v>
      </c>
      <c r="AC32" t="str">
        <v>Bebidas</v>
      </c>
      <c r="AD32">
        <v>644</v>
      </c>
      <c r="AE32">
        <v>28</v>
      </c>
      <c r="AF32">
        <v>18032</v>
      </c>
      <c r="AG32" t="str">
        <v>Dom.</v>
      </c>
      <c r="AH32" t="str">
        <v>agosto</v>
      </c>
    </row>
    <row r="33" spans="1:34" x14ac:dyDescent="0.25">
      <c r="A33">
        <v>32</v>
      </c>
      <c r="B33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L33">
        <v>21</v>
      </c>
      <c r="M33">
        <v>51</v>
      </c>
      <c r="N33">
        <f>Hoja4!$L33*Hoja4!$M33</f>
        <v>1071</v>
      </c>
      <c r="O33" t="str">
        <f t="shared" si="0"/>
        <v>Sáb.</v>
      </c>
      <c r="P33" t="str">
        <f t="shared" si="1"/>
        <v>mayo</v>
      </c>
      <c r="S33">
        <v>192</v>
      </c>
      <c r="T33" s="19">
        <v>44049</v>
      </c>
      <c r="U33">
        <v>2018401595</v>
      </c>
      <c r="V33" t="str">
        <v>Empresa H</v>
      </c>
      <c r="W33" t="str">
        <v>Riobamba</v>
      </c>
      <c r="X33" t="str">
        <v>Chimborazo</v>
      </c>
      <c r="Y33" t="str">
        <v>Nancy Gil de la Peña</v>
      </c>
      <c r="Z33" t="str">
        <v>Empresa de embarque C</v>
      </c>
      <c r="AA33" t="str">
        <v>Cheque</v>
      </c>
      <c r="AB33" t="str">
        <v>Chocolate</v>
      </c>
      <c r="AC33" t="str">
        <v>Dulces</v>
      </c>
      <c r="AD33">
        <v>178.5</v>
      </c>
      <c r="AE33">
        <v>57</v>
      </c>
      <c r="AF33">
        <v>10174.5</v>
      </c>
      <c r="AG33" t="str">
        <v>Jue.</v>
      </c>
      <c r="AH33" t="str">
        <v>agosto</v>
      </c>
    </row>
    <row r="34" spans="1:34" x14ac:dyDescent="0.25">
      <c r="A34">
        <v>33</v>
      </c>
      <c r="B34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K34" t="s">
        <v>5</v>
      </c>
      <c r="O34" t="str">
        <f t="shared" si="0"/>
        <v>Sáb.</v>
      </c>
      <c r="P34" t="str">
        <f t="shared" si="1"/>
        <v>febrero</v>
      </c>
      <c r="S34">
        <v>265</v>
      </c>
      <c r="T34" s="19">
        <v>44073</v>
      </c>
      <c r="U34">
        <v>7474169055</v>
      </c>
      <c r="V34" t="str">
        <v>Empresa Z</v>
      </c>
      <c r="W34" t="str">
        <v>Quito</v>
      </c>
      <c r="X34" t="str">
        <v>Pichincha</v>
      </c>
      <c r="Y34" t="str">
        <v>Ana del Valle Hinojosa</v>
      </c>
      <c r="Z34" t="str">
        <v>Empresa de embarque C</v>
      </c>
      <c r="AA34" t="str">
        <v>Tarjeta de crédito</v>
      </c>
      <c r="AB34" t="str">
        <v>Almejas</v>
      </c>
      <c r="AC34" t="str">
        <v>Sopas</v>
      </c>
      <c r="AD34">
        <v>135.1</v>
      </c>
      <c r="AE34">
        <v>71</v>
      </c>
      <c r="AF34">
        <v>9592.1</v>
      </c>
      <c r="AG34" t="str">
        <v>Dom.</v>
      </c>
      <c r="AH34" t="str">
        <v>agosto</v>
      </c>
    </row>
    <row r="35" spans="1:34" x14ac:dyDescent="0.25">
      <c r="A35">
        <v>34</v>
      </c>
      <c r="B35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K35" t="s">
        <v>5</v>
      </c>
      <c r="O35" t="str">
        <f t="shared" si="0"/>
        <v>Mié.</v>
      </c>
      <c r="P35" t="str">
        <f t="shared" si="1"/>
        <v>diciembre</v>
      </c>
      <c r="S35">
        <v>279</v>
      </c>
      <c r="T35" s="19">
        <v>44073</v>
      </c>
      <c r="U35">
        <v>3338515953</v>
      </c>
      <c r="V35" t="str">
        <v>Empresa I</v>
      </c>
      <c r="W35" t="str">
        <v>Guayaquil</v>
      </c>
      <c r="X35" t="str">
        <v>Guayas</v>
      </c>
      <c r="Y35" t="str">
        <v>Robert Zárate Carrillo</v>
      </c>
      <c r="Z35" t="str">
        <v>Empresa de embarque A</v>
      </c>
      <c r="AA35" t="str">
        <v>Cheque</v>
      </c>
      <c r="AB35" t="str">
        <v>Almejas</v>
      </c>
      <c r="AC35" t="str">
        <v>Sopas</v>
      </c>
      <c r="AD35">
        <v>135.1</v>
      </c>
      <c r="AE35">
        <v>89</v>
      </c>
      <c r="AF35">
        <v>12023.9</v>
      </c>
      <c r="AG35" t="str">
        <v>Dom.</v>
      </c>
      <c r="AH35" t="str">
        <v>agosto</v>
      </c>
    </row>
    <row r="36" spans="1:34" x14ac:dyDescent="0.25">
      <c r="A36">
        <v>35</v>
      </c>
      <c r="B36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K36" t="s">
        <v>5</v>
      </c>
      <c r="O36" t="str">
        <f t="shared" si="0"/>
        <v>Dom.</v>
      </c>
      <c r="P36" t="str">
        <f t="shared" si="1"/>
        <v>febrero</v>
      </c>
      <c r="S36">
        <v>282</v>
      </c>
      <c r="T36" s="19">
        <v>44068</v>
      </c>
      <c r="U36">
        <v>9635546425</v>
      </c>
      <c r="V36" t="str">
        <v>Empresa J</v>
      </c>
      <c r="W36" t="str">
        <v>Esmeraldas</v>
      </c>
      <c r="X36" t="str">
        <v>Esmeraldas</v>
      </c>
      <c r="Y36" t="str">
        <v>Laura Gutiérrez Saenz</v>
      </c>
      <c r="Z36" t="str">
        <v>Empresa de embarque A</v>
      </c>
      <c r="AA36">
        <v>0</v>
      </c>
      <c r="AB36" t="str">
        <v>Condimento cajún</v>
      </c>
      <c r="AC36" t="str">
        <v>Condimentos</v>
      </c>
      <c r="AD36">
        <v>308</v>
      </c>
      <c r="AE36">
        <v>96</v>
      </c>
      <c r="AF36">
        <v>29568</v>
      </c>
      <c r="AG36" t="str">
        <v>Mar.</v>
      </c>
      <c r="AH36" t="str">
        <v>agosto</v>
      </c>
    </row>
    <row r="37" spans="1:34" x14ac:dyDescent="0.25">
      <c r="A37">
        <v>36</v>
      </c>
      <c r="B37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>
        <v>140</v>
      </c>
      <c r="M37">
        <v>47</v>
      </c>
      <c r="N37">
        <f>Hoja4!$L37*Hoja4!$M37</f>
        <v>6580</v>
      </c>
      <c r="O37" t="str">
        <f t="shared" si="0"/>
        <v>Dom.</v>
      </c>
      <c r="P37" t="str">
        <f t="shared" si="1"/>
        <v>diciembre</v>
      </c>
      <c r="S37">
        <v>283</v>
      </c>
      <c r="T37" s="19">
        <v>44073</v>
      </c>
      <c r="U37">
        <v>3501364052</v>
      </c>
      <c r="V37" t="str">
        <v>Empresa J</v>
      </c>
      <c r="W37" t="str">
        <v>Esmeraldas</v>
      </c>
      <c r="X37" t="str">
        <v>Esmeraldas</v>
      </c>
      <c r="Y37" t="str">
        <v>Laura Gutiérrez Saenz</v>
      </c>
      <c r="Z37" t="str">
        <v>Empresa de embarque A</v>
      </c>
      <c r="AA37">
        <v>0</v>
      </c>
      <c r="AB37" t="str">
        <v>Galletas de chocolate</v>
      </c>
      <c r="AC37" t="str">
        <v>Productos horneados</v>
      </c>
      <c r="AD37">
        <v>128.79999999999998</v>
      </c>
      <c r="AE37">
        <v>34</v>
      </c>
      <c r="AF37">
        <v>4379.2</v>
      </c>
      <c r="AG37" t="str">
        <v>Dom.</v>
      </c>
      <c r="AH37" t="str">
        <v>agosto</v>
      </c>
    </row>
    <row r="38" spans="1:34" x14ac:dyDescent="0.25">
      <c r="A38">
        <v>37</v>
      </c>
      <c r="B38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J38" t="s">
        <v>12</v>
      </c>
      <c r="K38" t="s">
        <v>13</v>
      </c>
      <c r="L38">
        <v>49</v>
      </c>
      <c r="M38">
        <v>49</v>
      </c>
      <c r="N38">
        <f>Hoja4!$L38*Hoja4!$M38</f>
        <v>2401</v>
      </c>
      <c r="O38" t="str">
        <f t="shared" si="0"/>
        <v>Dom.</v>
      </c>
      <c r="P38" t="str">
        <f t="shared" si="1"/>
        <v>mayo</v>
      </c>
      <c r="S38">
        <v>287</v>
      </c>
      <c r="T38" s="19">
        <v>44044</v>
      </c>
      <c r="U38">
        <v>9543041808</v>
      </c>
      <c r="V38" t="str">
        <v>Empresa A</v>
      </c>
      <c r="W38" t="str">
        <v>Ambato</v>
      </c>
      <c r="X38" t="str">
        <v>Tungurahua</v>
      </c>
      <c r="Y38" t="str">
        <v>Nancy Gil de la Peña</v>
      </c>
      <c r="Z38">
        <v>0</v>
      </c>
      <c r="AA38">
        <v>0</v>
      </c>
      <c r="AB38" t="str">
        <v>Café</v>
      </c>
      <c r="AC38" t="str">
        <v>Bebidas</v>
      </c>
      <c r="AD38">
        <v>644</v>
      </c>
      <c r="AE38">
        <v>16</v>
      </c>
      <c r="AF38">
        <v>10304</v>
      </c>
      <c r="AG38" t="str">
        <v>Sáb.</v>
      </c>
      <c r="AH38" t="str">
        <v>agosto</v>
      </c>
    </row>
    <row r="39" spans="1:34" x14ac:dyDescent="0.25">
      <c r="A39">
        <v>38</v>
      </c>
      <c r="B39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J39" t="s">
        <v>38</v>
      </c>
      <c r="K39" t="s">
        <v>39</v>
      </c>
      <c r="L39">
        <v>560</v>
      </c>
      <c r="M39">
        <v>72</v>
      </c>
      <c r="N39">
        <f>Hoja4!$L39*Hoja4!$M39</f>
        <v>40320</v>
      </c>
      <c r="O39" t="str">
        <f t="shared" si="0"/>
        <v>Vie.</v>
      </c>
      <c r="P39" t="str">
        <f t="shared" si="1"/>
        <v>mayo</v>
      </c>
      <c r="S39">
        <v>293</v>
      </c>
      <c r="T39" s="19">
        <v>44062</v>
      </c>
      <c r="U39">
        <v>1397118248</v>
      </c>
      <c r="V39" t="str">
        <v>Empresa F</v>
      </c>
      <c r="W39" t="str">
        <v>Ibarra</v>
      </c>
      <c r="X39" t="str">
        <v>Imbabura</v>
      </c>
      <c r="Y39" t="str">
        <v>Luis Miguel Valdés Garza</v>
      </c>
      <c r="Z39" t="str">
        <v>Empresa de embarque B</v>
      </c>
      <c r="AA39" t="str">
        <v>Tarjeta de crédito</v>
      </c>
      <c r="AB39" t="str">
        <v>Cerveza</v>
      </c>
      <c r="AC39" t="str">
        <v>Bebidas</v>
      </c>
      <c r="AD39">
        <v>196</v>
      </c>
      <c r="AE39">
        <v>85</v>
      </c>
      <c r="AF39">
        <v>16660</v>
      </c>
      <c r="AG39" t="str">
        <v>Mié.</v>
      </c>
      <c r="AH39" t="str">
        <v>agosto</v>
      </c>
    </row>
    <row r="40" spans="1:34" x14ac:dyDescent="0.25">
      <c r="A40">
        <v>39</v>
      </c>
      <c r="B40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J40" t="s">
        <v>52</v>
      </c>
      <c r="K40" t="s">
        <v>53</v>
      </c>
      <c r="L40">
        <v>257.59999999999997</v>
      </c>
      <c r="M40">
        <v>13</v>
      </c>
      <c r="N40">
        <f>Hoja4!$L40*Hoja4!$M40</f>
        <v>3348.7999999999997</v>
      </c>
      <c r="O40" t="str">
        <f t="shared" si="0"/>
        <v>Jue.</v>
      </c>
      <c r="P40" t="str">
        <f t="shared" si="1"/>
        <v>mayo</v>
      </c>
      <c r="S40">
        <v>304</v>
      </c>
      <c r="T40" s="19">
        <v>44063</v>
      </c>
      <c r="U40">
        <v>3501827064</v>
      </c>
      <c r="V40" t="str">
        <v>Empresa H</v>
      </c>
      <c r="W40" t="str">
        <v>Riobamba</v>
      </c>
      <c r="X40" t="str">
        <v>Chimborazo</v>
      </c>
      <c r="Y40" t="str">
        <v>Nancy Gil de la Peña</v>
      </c>
      <c r="Z40" t="str">
        <v>Empresa de embarque C</v>
      </c>
      <c r="AA40" t="str">
        <v>Tarjeta de crédito</v>
      </c>
      <c r="AB40" t="str">
        <v>Mozzarella</v>
      </c>
      <c r="AC40" t="str">
        <v>Productos lácteos</v>
      </c>
      <c r="AD40">
        <v>487.19999999999993</v>
      </c>
      <c r="AE40">
        <v>24</v>
      </c>
      <c r="AF40">
        <v>11692.8</v>
      </c>
      <c r="AG40" t="str">
        <v>Jue.</v>
      </c>
      <c r="AH40" t="str">
        <v>agosto</v>
      </c>
    </row>
    <row r="41" spans="1:34" x14ac:dyDescent="0.25">
      <c r="A41">
        <v>40</v>
      </c>
      <c r="B4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>
        <v>644</v>
      </c>
      <c r="M41">
        <v>32</v>
      </c>
      <c r="N41">
        <f>Hoja4!$L41*Hoja4!$M41</f>
        <v>20608</v>
      </c>
      <c r="O41" t="str">
        <f t="shared" si="0"/>
        <v>Mié.</v>
      </c>
      <c r="P41" t="str">
        <f t="shared" si="1"/>
        <v>septiembre</v>
      </c>
      <c r="S41">
        <v>312</v>
      </c>
      <c r="T41" s="19">
        <v>44069</v>
      </c>
      <c r="U41">
        <v>9879315200</v>
      </c>
      <c r="V41" t="str">
        <v>Empresa I</v>
      </c>
      <c r="W41" t="str">
        <v>Guayaquil</v>
      </c>
      <c r="X41" t="str">
        <v>Guayas</v>
      </c>
      <c r="Y41" t="str">
        <v>Robert Zárate Carrillo</v>
      </c>
      <c r="Z41" t="str">
        <v>Empresa de embarque A</v>
      </c>
      <c r="AA41" t="str">
        <v>Cheque</v>
      </c>
      <c r="AB41" t="str">
        <v>Almejas</v>
      </c>
      <c r="AC41" t="str">
        <v>Sopas</v>
      </c>
      <c r="AD41">
        <v>135.1</v>
      </c>
      <c r="AE41">
        <v>14</v>
      </c>
      <c r="AF41">
        <v>1891.3999999999999</v>
      </c>
      <c r="AG41" t="str">
        <v>Mié.</v>
      </c>
      <c r="AH41" t="str">
        <v>agosto</v>
      </c>
    </row>
    <row r="42" spans="1:34" x14ac:dyDescent="0.25">
      <c r="A42">
        <v>41</v>
      </c>
      <c r="B42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>
        <v>135.1</v>
      </c>
      <c r="M42">
        <v>27</v>
      </c>
      <c r="N42">
        <f>Hoja4!$L42*Hoja4!$M42</f>
        <v>3647.7</v>
      </c>
      <c r="O42" t="str">
        <f t="shared" si="0"/>
        <v>Lun.</v>
      </c>
      <c r="P42" t="str">
        <f t="shared" si="1"/>
        <v>junio</v>
      </c>
      <c r="S42">
        <v>317</v>
      </c>
      <c r="T42" s="19">
        <v>44055</v>
      </c>
      <c r="U42">
        <v>8280434895</v>
      </c>
      <c r="V42" t="str">
        <v>Empresa D</v>
      </c>
      <c r="W42" t="str">
        <v>Azogues</v>
      </c>
      <c r="X42" t="str">
        <v>Canar</v>
      </c>
      <c r="Y42" t="str">
        <v>Andrés González Rico</v>
      </c>
      <c r="Z42" t="str">
        <v>Empresa de embarque A</v>
      </c>
      <c r="AA42" t="str">
        <v>Tarjeta de crédito</v>
      </c>
      <c r="AB42" t="str">
        <v>Ciruelas secas</v>
      </c>
      <c r="AC42" t="str">
        <v>Frutas secas</v>
      </c>
      <c r="AD42">
        <v>49</v>
      </c>
      <c r="AE42">
        <v>70</v>
      </c>
      <c r="AF42">
        <v>3430</v>
      </c>
      <c r="AG42" t="str">
        <v>Mié.</v>
      </c>
      <c r="AH42" t="str">
        <v>agosto</v>
      </c>
    </row>
    <row r="43" spans="1:34" x14ac:dyDescent="0.25">
      <c r="A43">
        <v>42</v>
      </c>
      <c r="B43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>
        <v>178.5</v>
      </c>
      <c r="M43">
        <v>71</v>
      </c>
      <c r="N43">
        <f>Hoja4!$L43*Hoja4!$M43</f>
        <v>12673.5</v>
      </c>
      <c r="O43" t="str">
        <f t="shared" si="0"/>
        <v>Mié.</v>
      </c>
      <c r="P43" t="str">
        <f t="shared" si="1"/>
        <v>junio</v>
      </c>
      <c r="S43">
        <v>324</v>
      </c>
      <c r="T43">
        <v>44059</v>
      </c>
      <c r="U43">
        <v>7792270317</v>
      </c>
      <c r="V43" t="str">
        <v>Empresa F</v>
      </c>
      <c r="W43" t="str">
        <v>Ibarra</v>
      </c>
      <c r="X43" t="str">
        <v>Imbabura</v>
      </c>
      <c r="Y43" t="str">
        <v>Luis Miguel Valdés Garza</v>
      </c>
      <c r="Z43" t="str">
        <v>Empresa de embarque B</v>
      </c>
      <c r="AA43" t="str">
        <v>Tarjeta de crédito</v>
      </c>
      <c r="AB43" t="str">
        <v>Salsa curry</v>
      </c>
      <c r="AC43" t="str">
        <v>Salsas</v>
      </c>
      <c r="AD43">
        <v>560</v>
      </c>
      <c r="AE43">
        <v>32</v>
      </c>
      <c r="AF43">
        <v>17920</v>
      </c>
      <c r="AG43" t="str">
        <v>Dom.</v>
      </c>
      <c r="AH43" t="str">
        <v>agosto</v>
      </c>
    </row>
    <row r="44" spans="1:34" x14ac:dyDescent="0.25">
      <c r="A44">
        <v>43</v>
      </c>
      <c r="B44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>
        <v>178.5</v>
      </c>
      <c r="M44">
        <v>13</v>
      </c>
      <c r="N44">
        <f>Hoja4!$L44*Hoja4!$M44</f>
        <v>2320.5</v>
      </c>
      <c r="O44" t="str">
        <f t="shared" si="0"/>
        <v>Jue.</v>
      </c>
      <c r="P44" t="str">
        <f t="shared" si="1"/>
        <v>agosto</v>
      </c>
      <c r="S44">
        <v>325</v>
      </c>
      <c r="T44">
        <v>44045</v>
      </c>
      <c r="U44">
        <v>8753687299</v>
      </c>
      <c r="V44" t="str">
        <v>Empresa BB</v>
      </c>
      <c r="W44" t="str">
        <v>Manta</v>
      </c>
      <c r="X44" t="str">
        <v>Manabi</v>
      </c>
      <c r="Y44" t="str">
        <v>Ana del Valle Hinojosa</v>
      </c>
      <c r="Z44" t="str">
        <v>Empresa de embarque C</v>
      </c>
      <c r="AA44" t="str">
        <v>Cheque</v>
      </c>
      <c r="AB44" t="str">
        <v>Café</v>
      </c>
      <c r="AC44" t="str">
        <v>Bebidas</v>
      </c>
      <c r="AD44">
        <v>644</v>
      </c>
      <c r="AE44">
        <v>16</v>
      </c>
      <c r="AF44">
        <v>10304</v>
      </c>
      <c r="AG44" t="str">
        <v>Dom.</v>
      </c>
      <c r="AH44" t="str">
        <v>agosto</v>
      </c>
    </row>
    <row r="45" spans="1:34" x14ac:dyDescent="0.25">
      <c r="A45">
        <v>44</v>
      </c>
      <c r="B45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>
        <v>308</v>
      </c>
      <c r="M45">
        <v>98</v>
      </c>
      <c r="N45">
        <f>Hoja4!$L45*Hoja4!$M45</f>
        <v>30184</v>
      </c>
      <c r="O45" t="str">
        <f t="shared" si="0"/>
        <v>Mar.</v>
      </c>
      <c r="P45" t="str">
        <f t="shared" si="1"/>
        <v>junio</v>
      </c>
      <c r="S45">
        <v>365</v>
      </c>
      <c r="T45">
        <v>44046</v>
      </c>
      <c r="U45">
        <v>6433254443</v>
      </c>
      <c r="V45" t="str">
        <v>Empresa CC</v>
      </c>
      <c r="W45" t="str">
        <v>Guayaquil</v>
      </c>
      <c r="X45" t="str">
        <v>Guayas</v>
      </c>
      <c r="Y45" t="str">
        <v>José de Jesús Morales</v>
      </c>
      <c r="Z45" t="str">
        <v>Empresa de embarque B</v>
      </c>
      <c r="AA45" t="str">
        <v>Cheque</v>
      </c>
      <c r="AB45" t="str">
        <v>Cóctel de frutas</v>
      </c>
      <c r="AC45" t="str">
        <v>Frutas y vegetales</v>
      </c>
      <c r="AD45">
        <v>546</v>
      </c>
      <c r="AE45">
        <v>54</v>
      </c>
      <c r="AF45">
        <v>29484</v>
      </c>
      <c r="AG45" t="str">
        <v>Lun.</v>
      </c>
      <c r="AH45" t="str">
        <v>agosto</v>
      </c>
    </row>
    <row r="46" spans="1:34" x14ac:dyDescent="0.25">
      <c r="A46">
        <v>45</v>
      </c>
      <c r="B46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>
        <v>350</v>
      </c>
      <c r="M46">
        <v>21</v>
      </c>
      <c r="N46">
        <f>Hoja4!$L46*Hoja4!$M46</f>
        <v>7350</v>
      </c>
      <c r="O46" t="str">
        <f t="shared" si="0"/>
        <v>Dom.</v>
      </c>
      <c r="P46" t="str">
        <f t="shared" si="1"/>
        <v>octubre</v>
      </c>
    </row>
    <row r="47" spans="1:34" x14ac:dyDescent="0.25">
      <c r="A47">
        <v>46</v>
      </c>
      <c r="B47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>
        <v>546</v>
      </c>
      <c r="M47">
        <v>26</v>
      </c>
      <c r="N47">
        <f>Hoja4!$L47*Hoja4!$M47</f>
        <v>14196</v>
      </c>
      <c r="O47" t="str">
        <f t="shared" si="0"/>
        <v>Lun.</v>
      </c>
      <c r="P47" t="str">
        <f t="shared" si="1"/>
        <v>noviembre</v>
      </c>
    </row>
    <row r="48" spans="1:34" x14ac:dyDescent="0.25">
      <c r="A48">
        <v>47</v>
      </c>
      <c r="B48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>
        <v>420</v>
      </c>
      <c r="M48">
        <v>96</v>
      </c>
      <c r="N48">
        <f>Hoja4!$L48*Hoja4!$M48</f>
        <v>40320</v>
      </c>
      <c r="O48" t="str">
        <f t="shared" si="0"/>
        <v>Lun.</v>
      </c>
      <c r="P48" t="str">
        <f t="shared" si="1"/>
        <v>marzo</v>
      </c>
    </row>
    <row r="49" spans="1:16" x14ac:dyDescent="0.25">
      <c r="A49">
        <v>48</v>
      </c>
      <c r="B49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>
        <v>742</v>
      </c>
      <c r="M49">
        <v>16</v>
      </c>
      <c r="N49">
        <f>Hoja4!$L49*Hoja4!$M49</f>
        <v>11872</v>
      </c>
      <c r="O49" t="str">
        <f t="shared" si="0"/>
        <v>Mié.</v>
      </c>
      <c r="P49" t="str">
        <f t="shared" si="1"/>
        <v>febrero</v>
      </c>
    </row>
    <row r="50" spans="1:16" x14ac:dyDescent="0.25">
      <c r="A50">
        <v>49</v>
      </c>
      <c r="B50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J50" t="s">
        <v>66</v>
      </c>
      <c r="K50" t="s">
        <v>57</v>
      </c>
      <c r="L50">
        <v>532</v>
      </c>
      <c r="M50">
        <v>96</v>
      </c>
      <c r="N50">
        <f>Hoja4!$L50*Hoja4!$M50</f>
        <v>51072</v>
      </c>
      <c r="O50" t="str">
        <f t="shared" si="0"/>
        <v>Mié.</v>
      </c>
      <c r="P50" t="str">
        <f t="shared" si="1"/>
        <v>abril</v>
      </c>
    </row>
    <row r="51" spans="1:16" x14ac:dyDescent="0.25">
      <c r="A51">
        <v>50</v>
      </c>
      <c r="B5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J51" t="s">
        <v>44</v>
      </c>
      <c r="K51" t="s">
        <v>11</v>
      </c>
      <c r="L51">
        <v>41.86</v>
      </c>
      <c r="M51">
        <v>75</v>
      </c>
      <c r="N51">
        <f>Hoja4!$L51*Hoja4!$M51</f>
        <v>3139.5</v>
      </c>
      <c r="O51" t="str">
        <f t="shared" si="0"/>
        <v>Vie.</v>
      </c>
      <c r="P51" t="str">
        <f t="shared" si="1"/>
        <v>enero</v>
      </c>
    </row>
    <row r="52" spans="1:16" x14ac:dyDescent="0.25">
      <c r="A52">
        <v>51</v>
      </c>
      <c r="B52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>
        <v>273</v>
      </c>
      <c r="M52">
        <v>55</v>
      </c>
      <c r="N52">
        <f>Hoja4!$L52*Hoja4!$M52</f>
        <v>15015</v>
      </c>
      <c r="O52" t="str">
        <f t="shared" si="0"/>
        <v>Mié.</v>
      </c>
      <c r="P52" t="str">
        <f t="shared" si="1"/>
        <v>junio</v>
      </c>
    </row>
    <row r="53" spans="1:16" x14ac:dyDescent="0.25">
      <c r="A53">
        <v>52</v>
      </c>
      <c r="B53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>
        <v>487.19999999999993</v>
      </c>
      <c r="M53">
        <v>11</v>
      </c>
      <c r="N53">
        <f>Hoja4!$L53*Hoja4!$M53</f>
        <v>5359.1999999999989</v>
      </c>
      <c r="O53" t="str">
        <f t="shared" si="0"/>
        <v>Sáb.</v>
      </c>
      <c r="P53" t="str">
        <f t="shared" si="1"/>
        <v>octubre</v>
      </c>
    </row>
    <row r="54" spans="1:16" x14ac:dyDescent="0.25">
      <c r="A54">
        <v>53</v>
      </c>
      <c r="B54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>
        <v>196</v>
      </c>
      <c r="M54">
        <v>53</v>
      </c>
      <c r="N54">
        <f>Hoja4!$L54*Hoja4!$M54</f>
        <v>10388</v>
      </c>
      <c r="O54" t="str">
        <f t="shared" si="0"/>
        <v>Lun.</v>
      </c>
      <c r="P54" t="str">
        <f t="shared" si="1"/>
        <v>octubre</v>
      </c>
    </row>
    <row r="55" spans="1:16" x14ac:dyDescent="0.25">
      <c r="A55">
        <v>54</v>
      </c>
      <c r="B55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>
        <v>560</v>
      </c>
      <c r="M55">
        <v>85</v>
      </c>
      <c r="N55">
        <f>Hoja4!$L55*Hoja4!$M55</f>
        <v>47600</v>
      </c>
      <c r="O55" t="str">
        <f t="shared" si="0"/>
        <v>Lun.</v>
      </c>
      <c r="P55" t="str">
        <f t="shared" si="1"/>
        <v>septiembre</v>
      </c>
    </row>
    <row r="56" spans="1:16" x14ac:dyDescent="0.25">
      <c r="A56">
        <v>55</v>
      </c>
      <c r="B56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>
        <v>128.79999999999998</v>
      </c>
      <c r="M56">
        <v>97</v>
      </c>
      <c r="N56">
        <f>Hoja4!$L56*Hoja4!$M56</f>
        <v>12493.599999999999</v>
      </c>
      <c r="O56" t="str">
        <f t="shared" si="0"/>
        <v>Dom.</v>
      </c>
      <c r="P56" t="str">
        <f t="shared" si="1"/>
        <v>diciembre</v>
      </c>
    </row>
    <row r="57" spans="1:16" x14ac:dyDescent="0.25">
      <c r="A57">
        <v>56</v>
      </c>
      <c r="B57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>
        <v>140</v>
      </c>
      <c r="M57">
        <v>46</v>
      </c>
      <c r="N57">
        <f>Hoja4!$L57*Hoja4!$M57</f>
        <v>6440</v>
      </c>
      <c r="O57" t="str">
        <f t="shared" si="0"/>
        <v>Mié.</v>
      </c>
      <c r="P57" t="str">
        <f t="shared" si="1"/>
        <v>mayo</v>
      </c>
    </row>
    <row r="58" spans="1:16" x14ac:dyDescent="0.25">
      <c r="A58">
        <v>57</v>
      </c>
      <c r="B58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>
        <v>298.90000000000003</v>
      </c>
      <c r="M58">
        <v>97</v>
      </c>
      <c r="N58">
        <f>Hoja4!$L58*Hoja4!$M58</f>
        <v>28993.300000000003</v>
      </c>
      <c r="O58" t="str">
        <f t="shared" si="0"/>
        <v>Vie.</v>
      </c>
      <c r="P58" t="str">
        <f t="shared" si="1"/>
        <v>febrero</v>
      </c>
    </row>
    <row r="59" spans="1:16" x14ac:dyDescent="0.25">
      <c r="A59">
        <v>58</v>
      </c>
      <c r="B59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>
        <v>135.1</v>
      </c>
      <c r="M59">
        <v>97</v>
      </c>
      <c r="N59">
        <f>Hoja4!$L59*Hoja4!$M59</f>
        <v>13104.699999999999</v>
      </c>
      <c r="O59" t="str">
        <f t="shared" si="0"/>
        <v>Jue.</v>
      </c>
      <c r="P59" t="str">
        <f t="shared" si="1"/>
        <v>noviembre</v>
      </c>
    </row>
    <row r="60" spans="1:16" x14ac:dyDescent="0.25">
      <c r="A60">
        <v>59</v>
      </c>
      <c r="B60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>
        <v>257.59999999999997</v>
      </c>
      <c r="M60">
        <v>65</v>
      </c>
      <c r="N60">
        <f>Hoja4!$L60*Hoja4!$M60</f>
        <v>16743.999999999996</v>
      </c>
      <c r="O60" t="str">
        <f t="shared" si="0"/>
        <v>Mar.</v>
      </c>
      <c r="P60" t="str">
        <f t="shared" si="1"/>
        <v>septiembre</v>
      </c>
    </row>
    <row r="61" spans="1:16" x14ac:dyDescent="0.25">
      <c r="A61">
        <v>60</v>
      </c>
      <c r="B6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>
        <v>196</v>
      </c>
      <c r="M61">
        <v>72</v>
      </c>
      <c r="N61">
        <f>Hoja4!$L61*Hoja4!$M61</f>
        <v>14112</v>
      </c>
      <c r="O61" t="str">
        <f t="shared" si="0"/>
        <v>Dom.</v>
      </c>
      <c r="P61" t="str">
        <f t="shared" si="1"/>
        <v>diciembre</v>
      </c>
    </row>
    <row r="62" spans="1:16" x14ac:dyDescent="0.25">
      <c r="A62">
        <v>61</v>
      </c>
      <c r="B62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>
        <v>178.5</v>
      </c>
      <c r="M62">
        <v>16</v>
      </c>
      <c r="N62">
        <f>Hoja4!$L62*Hoja4!$M62</f>
        <v>2856</v>
      </c>
      <c r="O62" t="str">
        <f t="shared" si="0"/>
        <v>Dom.</v>
      </c>
      <c r="P62" t="str">
        <f t="shared" si="1"/>
        <v>mayo</v>
      </c>
    </row>
    <row r="63" spans="1:16" x14ac:dyDescent="0.25">
      <c r="A63">
        <v>62</v>
      </c>
      <c r="B63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>
        <v>1134</v>
      </c>
      <c r="M63">
        <v>77</v>
      </c>
      <c r="N63">
        <f>Hoja4!$L63*Hoja4!$M63</f>
        <v>87318</v>
      </c>
      <c r="O63" t="str">
        <f t="shared" si="0"/>
        <v>Sáb.</v>
      </c>
      <c r="P63" t="str">
        <f t="shared" si="1"/>
        <v>enero</v>
      </c>
    </row>
    <row r="64" spans="1:16" x14ac:dyDescent="0.25">
      <c r="A64">
        <v>63</v>
      </c>
      <c r="B64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>
        <v>98</v>
      </c>
      <c r="M64">
        <v>37</v>
      </c>
      <c r="N64">
        <f>Hoja4!$L64*Hoja4!$M64</f>
        <v>3626</v>
      </c>
      <c r="O64" t="str">
        <f t="shared" si="0"/>
        <v>Mié.</v>
      </c>
      <c r="P64" t="str">
        <f t="shared" si="1"/>
        <v>julio</v>
      </c>
    </row>
    <row r="65" spans="1:16" x14ac:dyDescent="0.25">
      <c r="A65">
        <v>64</v>
      </c>
      <c r="B65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>
        <v>487.19999999999993</v>
      </c>
      <c r="M65">
        <v>63</v>
      </c>
      <c r="N65">
        <f>Hoja4!$L65*Hoja4!$M65</f>
        <v>30693.599999999995</v>
      </c>
      <c r="O65" t="str">
        <f t="shared" si="0"/>
        <v>Mar.</v>
      </c>
      <c r="P65" t="str">
        <f t="shared" si="1"/>
        <v>octubre</v>
      </c>
    </row>
    <row r="66" spans="1:16" x14ac:dyDescent="0.25">
      <c r="A66">
        <v>65</v>
      </c>
      <c r="B66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>
        <v>140</v>
      </c>
      <c r="M66">
        <v>48</v>
      </c>
      <c r="N66">
        <f>Hoja4!$L66*Hoja4!$M66</f>
        <v>6720</v>
      </c>
      <c r="O66" t="str">
        <f t="shared" ref="O66:O129" si="3">PROPER(TEXT(B66,"ddd."))</f>
        <v>Mié.</v>
      </c>
      <c r="P66" t="str">
        <f t="shared" ref="P66:P129" si="4">TEXT(B66,"mmmm")</f>
        <v>diciembre</v>
      </c>
    </row>
    <row r="67" spans="1:16" x14ac:dyDescent="0.25">
      <c r="A67">
        <v>66</v>
      </c>
      <c r="B67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>
        <v>560</v>
      </c>
      <c r="M67">
        <v>71</v>
      </c>
      <c r="N67">
        <f>Hoja4!$L67*Hoja4!$M67</f>
        <v>39760</v>
      </c>
      <c r="O67" t="str">
        <f t="shared" si="3"/>
        <v>Sáb.</v>
      </c>
      <c r="P67" t="str">
        <f t="shared" si="4"/>
        <v>febrero</v>
      </c>
    </row>
    <row r="68" spans="1:16" x14ac:dyDescent="0.25">
      <c r="A68">
        <v>67</v>
      </c>
      <c r="B68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>
        <v>140</v>
      </c>
      <c r="M68">
        <v>55</v>
      </c>
      <c r="N68">
        <f>Hoja4!$L68*Hoja4!$M68</f>
        <v>7700</v>
      </c>
      <c r="O68" t="str">
        <f t="shared" si="3"/>
        <v>Vie.</v>
      </c>
      <c r="P68" t="str">
        <f t="shared" si="4"/>
        <v>abril</v>
      </c>
    </row>
    <row r="69" spans="1:16" x14ac:dyDescent="0.25">
      <c r="A69">
        <v>68</v>
      </c>
      <c r="B69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J69" t="s">
        <v>12</v>
      </c>
      <c r="K69" t="s">
        <v>13</v>
      </c>
      <c r="L69">
        <v>49</v>
      </c>
      <c r="M69">
        <v>21</v>
      </c>
      <c r="N69">
        <f>Hoja4!$L69*Hoja4!$M69</f>
        <v>1029</v>
      </c>
      <c r="O69" t="str">
        <f t="shared" si="3"/>
        <v>Dom.</v>
      </c>
      <c r="P69" t="str">
        <f t="shared" si="4"/>
        <v>agosto</v>
      </c>
    </row>
    <row r="70" spans="1:16" x14ac:dyDescent="0.25">
      <c r="A70">
        <v>69</v>
      </c>
      <c r="B70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J70" t="s">
        <v>38</v>
      </c>
      <c r="K70" t="s">
        <v>39</v>
      </c>
      <c r="L70">
        <v>560</v>
      </c>
      <c r="M70">
        <v>67</v>
      </c>
      <c r="N70">
        <f>Hoja4!$L70*Hoja4!$M70</f>
        <v>37520</v>
      </c>
      <c r="O70" t="str">
        <f t="shared" si="3"/>
        <v>Dom.</v>
      </c>
      <c r="P70" t="str">
        <f t="shared" si="4"/>
        <v>octubre</v>
      </c>
    </row>
    <row r="71" spans="1:16" x14ac:dyDescent="0.25">
      <c r="A71">
        <v>70</v>
      </c>
      <c r="B7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J71" t="s">
        <v>52</v>
      </c>
      <c r="K71" t="s">
        <v>53</v>
      </c>
      <c r="L71">
        <v>257.59999999999997</v>
      </c>
      <c r="M71">
        <v>75</v>
      </c>
      <c r="N71">
        <f>Hoja4!$L71*Hoja4!$M71</f>
        <v>19319.999999999996</v>
      </c>
      <c r="O71" t="str">
        <f t="shared" si="3"/>
        <v>Vie.</v>
      </c>
      <c r="P71" t="str">
        <f t="shared" si="4"/>
        <v>mayo</v>
      </c>
    </row>
    <row r="72" spans="1:16" x14ac:dyDescent="0.25">
      <c r="A72">
        <v>71</v>
      </c>
      <c r="B72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>
        <v>644</v>
      </c>
      <c r="M72">
        <v>17</v>
      </c>
      <c r="N72">
        <f>Hoja4!$L72*Hoja4!$M72</f>
        <v>10948</v>
      </c>
      <c r="O72" t="str">
        <f t="shared" si="3"/>
        <v>Lun.</v>
      </c>
      <c r="P72" t="str">
        <f t="shared" si="4"/>
        <v>mayo</v>
      </c>
    </row>
    <row r="73" spans="1:16" x14ac:dyDescent="0.25">
      <c r="A73">
        <v>72</v>
      </c>
      <c r="B73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>
        <v>49</v>
      </c>
      <c r="M73">
        <v>48</v>
      </c>
      <c r="N73">
        <f>Hoja4!$L73*Hoja4!$M73</f>
        <v>2352</v>
      </c>
      <c r="O73" t="str">
        <f t="shared" si="3"/>
        <v>Mié.</v>
      </c>
      <c r="P73" t="str">
        <f t="shared" si="4"/>
        <v>enero</v>
      </c>
    </row>
    <row r="74" spans="1:16" x14ac:dyDescent="0.25">
      <c r="A74">
        <v>73</v>
      </c>
      <c r="B74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>
        <v>252</v>
      </c>
      <c r="M74">
        <v>74</v>
      </c>
      <c r="N74">
        <f>Hoja4!$L74*Hoja4!$M74</f>
        <v>18648</v>
      </c>
      <c r="O74" t="str">
        <f t="shared" si="3"/>
        <v>Dom.</v>
      </c>
      <c r="P74" t="str">
        <f t="shared" si="4"/>
        <v>junio</v>
      </c>
    </row>
    <row r="75" spans="1:16" x14ac:dyDescent="0.25">
      <c r="A75">
        <v>74</v>
      </c>
      <c r="B75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>
        <v>644</v>
      </c>
      <c r="M75">
        <v>96</v>
      </c>
      <c r="N75">
        <f>Hoja4!$L75*Hoja4!$M75</f>
        <v>61824</v>
      </c>
      <c r="O75" t="str">
        <f t="shared" si="3"/>
        <v>Lun.</v>
      </c>
      <c r="P75" t="str">
        <f t="shared" si="4"/>
        <v>octubre</v>
      </c>
    </row>
    <row r="76" spans="1:16" x14ac:dyDescent="0.25">
      <c r="A76">
        <v>75</v>
      </c>
      <c r="B76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>
        <v>128.79999999999998</v>
      </c>
      <c r="M76">
        <v>12</v>
      </c>
      <c r="N76">
        <f>Hoja4!$L76*Hoja4!$M76</f>
        <v>1545.6</v>
      </c>
      <c r="O76" t="str">
        <f t="shared" si="3"/>
        <v>Lun.</v>
      </c>
      <c r="P76" t="str">
        <f t="shared" si="4"/>
        <v>mayo</v>
      </c>
    </row>
    <row r="77" spans="1:16" x14ac:dyDescent="0.25">
      <c r="A77">
        <v>76</v>
      </c>
      <c r="B77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>
        <v>128.79999999999998</v>
      </c>
      <c r="M77">
        <v>62</v>
      </c>
      <c r="N77">
        <f>Hoja4!$L77*Hoja4!$M77</f>
        <v>7985.5999999999985</v>
      </c>
      <c r="O77" t="str">
        <f t="shared" si="3"/>
        <v>Sáb.</v>
      </c>
      <c r="P77" t="str">
        <f t="shared" si="4"/>
        <v>abril</v>
      </c>
    </row>
    <row r="78" spans="1:16" x14ac:dyDescent="0.25">
      <c r="A78">
        <v>77</v>
      </c>
      <c r="B78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>
        <v>178.5</v>
      </c>
      <c r="M78">
        <v>35</v>
      </c>
      <c r="N78">
        <f>Hoja4!$L78*Hoja4!$M78</f>
        <v>6247.5</v>
      </c>
      <c r="O78" t="str">
        <f t="shared" si="3"/>
        <v>Sáb.</v>
      </c>
      <c r="P78" t="str">
        <f t="shared" si="4"/>
        <v>junio</v>
      </c>
    </row>
    <row r="79" spans="1:16" x14ac:dyDescent="0.25">
      <c r="A79">
        <v>78</v>
      </c>
      <c r="B79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>
        <v>135.1</v>
      </c>
      <c r="M79">
        <v>95</v>
      </c>
      <c r="N79">
        <f>Hoja4!$L79*Hoja4!$M79</f>
        <v>12834.5</v>
      </c>
      <c r="O79" t="str">
        <f t="shared" si="3"/>
        <v>Jue.</v>
      </c>
      <c r="P79" t="str">
        <f t="shared" si="4"/>
        <v>febrero</v>
      </c>
    </row>
    <row r="80" spans="1:16" x14ac:dyDescent="0.25">
      <c r="A80">
        <v>79</v>
      </c>
      <c r="B80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>
        <v>560</v>
      </c>
      <c r="M80">
        <v>17</v>
      </c>
      <c r="N80">
        <f>Hoja4!$L80*Hoja4!$M80</f>
        <v>9520</v>
      </c>
      <c r="O80" t="str">
        <f t="shared" si="3"/>
        <v>Mar.</v>
      </c>
      <c r="P80" t="str">
        <f t="shared" si="4"/>
        <v>junio</v>
      </c>
    </row>
    <row r="81" spans="1:16" x14ac:dyDescent="0.25">
      <c r="A81">
        <v>80</v>
      </c>
      <c r="B8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>
        <v>644</v>
      </c>
      <c r="M81">
        <v>96</v>
      </c>
      <c r="N81">
        <f>Hoja4!$L81*Hoja4!$M81</f>
        <v>61824</v>
      </c>
      <c r="O81" t="str">
        <f t="shared" si="3"/>
        <v>Sáb.</v>
      </c>
      <c r="P81" t="str">
        <f t="shared" si="4"/>
        <v>noviembre</v>
      </c>
    </row>
    <row r="82" spans="1:16" x14ac:dyDescent="0.25">
      <c r="A82">
        <v>81</v>
      </c>
      <c r="B82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>
        <v>178.5</v>
      </c>
      <c r="M82">
        <v>83</v>
      </c>
      <c r="N82">
        <f>Hoja4!$L82*Hoja4!$M82</f>
        <v>14815.5</v>
      </c>
      <c r="O82" t="str">
        <f t="shared" si="3"/>
        <v>Vie.</v>
      </c>
      <c r="P82" t="str">
        <f t="shared" si="4"/>
        <v>julio</v>
      </c>
    </row>
    <row r="83" spans="1:16" x14ac:dyDescent="0.25">
      <c r="A83">
        <v>82</v>
      </c>
      <c r="B83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>
        <v>41.86</v>
      </c>
      <c r="M83">
        <v>88</v>
      </c>
      <c r="N83">
        <f>Hoja4!$L83*Hoja4!$M83</f>
        <v>3683.68</v>
      </c>
      <c r="O83" t="str">
        <f t="shared" si="3"/>
        <v>Mié.</v>
      </c>
      <c r="P83" t="str">
        <f t="shared" si="4"/>
        <v>enero</v>
      </c>
    </row>
    <row r="84" spans="1:16" x14ac:dyDescent="0.25">
      <c r="A84">
        <v>83</v>
      </c>
      <c r="B84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J84" t="s">
        <v>22</v>
      </c>
      <c r="K84" t="s">
        <v>11</v>
      </c>
      <c r="L84">
        <v>644</v>
      </c>
      <c r="M84">
        <v>59</v>
      </c>
      <c r="N84">
        <f>Hoja4!$L84*Hoja4!$M84</f>
        <v>37996</v>
      </c>
      <c r="O84" t="str">
        <f t="shared" si="3"/>
        <v>Vie.</v>
      </c>
      <c r="P84" t="str">
        <f t="shared" si="4"/>
        <v>mayo</v>
      </c>
    </row>
    <row r="85" spans="1:16" x14ac:dyDescent="0.25">
      <c r="A85">
        <v>84</v>
      </c>
      <c r="B85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J85" t="s">
        <v>46</v>
      </c>
      <c r="K85" t="s">
        <v>47</v>
      </c>
      <c r="L85">
        <v>350</v>
      </c>
      <c r="M85">
        <v>27</v>
      </c>
      <c r="N85">
        <f>Hoja4!$L85*Hoja4!$M85</f>
        <v>9450</v>
      </c>
      <c r="O85" t="str">
        <f t="shared" si="3"/>
        <v>Vie.</v>
      </c>
      <c r="P85" t="str">
        <f t="shared" si="4"/>
        <v>septiembre</v>
      </c>
    </row>
    <row r="86" spans="1:16" x14ac:dyDescent="0.25">
      <c r="A86">
        <v>85</v>
      </c>
      <c r="B86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J86" t="s">
        <v>48</v>
      </c>
      <c r="K86" t="s">
        <v>49</v>
      </c>
      <c r="L86">
        <v>308</v>
      </c>
      <c r="M86">
        <v>37</v>
      </c>
      <c r="N86">
        <f>Hoja4!$L86*Hoja4!$M86</f>
        <v>11396</v>
      </c>
      <c r="O86" t="str">
        <f t="shared" si="3"/>
        <v>Vie.</v>
      </c>
      <c r="P86" t="str">
        <f t="shared" si="4"/>
        <v>agosto</v>
      </c>
    </row>
    <row r="87" spans="1:16" x14ac:dyDescent="0.25">
      <c r="A87">
        <v>86</v>
      </c>
      <c r="B87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J87" t="s">
        <v>26</v>
      </c>
      <c r="K87" t="s">
        <v>27</v>
      </c>
      <c r="L87">
        <v>128.79999999999998</v>
      </c>
      <c r="M87">
        <v>75</v>
      </c>
      <c r="N87">
        <f>Hoja4!$L87*Hoja4!$M87</f>
        <v>9659.9999999999982</v>
      </c>
      <c r="O87" t="str">
        <f t="shared" si="3"/>
        <v>Mié.</v>
      </c>
      <c r="P87" t="str">
        <f t="shared" si="4"/>
        <v>septiembre</v>
      </c>
    </row>
    <row r="88" spans="1:16" x14ac:dyDescent="0.25">
      <c r="A88">
        <v>87</v>
      </c>
      <c r="B88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J88" t="s">
        <v>12</v>
      </c>
      <c r="K88" t="s">
        <v>13</v>
      </c>
      <c r="L88">
        <v>49</v>
      </c>
      <c r="M88">
        <v>71</v>
      </c>
      <c r="N88">
        <f>Hoja4!$L88*Hoja4!$M88</f>
        <v>3479</v>
      </c>
      <c r="O88" t="str">
        <f t="shared" si="3"/>
        <v>Mié.</v>
      </c>
      <c r="P88" t="str">
        <f t="shared" si="4"/>
        <v>febrero</v>
      </c>
    </row>
    <row r="89" spans="1:16" x14ac:dyDescent="0.25">
      <c r="A89">
        <v>88</v>
      </c>
      <c r="B89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J89" t="s">
        <v>44</v>
      </c>
      <c r="K89" t="s">
        <v>11</v>
      </c>
      <c r="L89">
        <v>41.86</v>
      </c>
      <c r="M89">
        <v>88</v>
      </c>
      <c r="N89">
        <f>Hoja4!$L89*Hoja4!$M89</f>
        <v>3683.68</v>
      </c>
      <c r="O89" t="str">
        <f t="shared" si="3"/>
        <v>Dom.</v>
      </c>
      <c r="P89" t="str">
        <f t="shared" si="4"/>
        <v>julio</v>
      </c>
    </row>
    <row r="90" spans="1:16" x14ac:dyDescent="0.25">
      <c r="A90">
        <v>89</v>
      </c>
      <c r="B90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J90" t="s">
        <v>21</v>
      </c>
      <c r="K90" t="s">
        <v>11</v>
      </c>
      <c r="L90">
        <v>252</v>
      </c>
      <c r="M90">
        <v>55</v>
      </c>
      <c r="N90">
        <f>Hoja4!$L90*Hoja4!$M90</f>
        <v>13860</v>
      </c>
      <c r="O90" t="str">
        <f t="shared" si="3"/>
        <v>Vie.</v>
      </c>
      <c r="P90" t="str">
        <f t="shared" si="4"/>
        <v>abril</v>
      </c>
    </row>
    <row r="91" spans="1:16" x14ac:dyDescent="0.25">
      <c r="A91">
        <v>90</v>
      </c>
      <c r="B9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>
        <v>178.5</v>
      </c>
      <c r="M91">
        <v>14</v>
      </c>
      <c r="N91">
        <f>Hoja4!$L91*Hoja4!$M91</f>
        <v>2499</v>
      </c>
      <c r="O91" t="str">
        <f t="shared" si="3"/>
        <v>Mié.</v>
      </c>
      <c r="P91" t="str">
        <f t="shared" si="4"/>
        <v>mayo</v>
      </c>
    </row>
    <row r="92" spans="1:16" x14ac:dyDescent="0.25">
      <c r="A92">
        <v>91</v>
      </c>
      <c r="B92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>
        <v>135.1</v>
      </c>
      <c r="M92">
        <v>43</v>
      </c>
      <c r="N92">
        <f>Hoja4!$L92*Hoja4!$M92</f>
        <v>5809.3</v>
      </c>
      <c r="O92" t="str">
        <f t="shared" si="3"/>
        <v>Vie.</v>
      </c>
      <c r="P92" t="str">
        <f t="shared" si="4"/>
        <v>junio</v>
      </c>
    </row>
    <row r="93" spans="1:16" x14ac:dyDescent="0.25">
      <c r="A93">
        <v>92</v>
      </c>
      <c r="B93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>
        <v>560</v>
      </c>
      <c r="M93">
        <v>63</v>
      </c>
      <c r="N93">
        <f>Hoja4!$L93*Hoja4!$M93</f>
        <v>35280</v>
      </c>
      <c r="O93" t="str">
        <f t="shared" si="3"/>
        <v>Dom.</v>
      </c>
      <c r="P93" t="str">
        <f t="shared" si="4"/>
        <v>marzo</v>
      </c>
    </row>
    <row r="94" spans="1:16" x14ac:dyDescent="0.25">
      <c r="A94">
        <v>93</v>
      </c>
      <c r="B94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>
        <v>644</v>
      </c>
      <c r="M94">
        <v>36</v>
      </c>
      <c r="N94">
        <f>Hoja4!$L94*Hoja4!$M94</f>
        <v>23184</v>
      </c>
      <c r="O94" t="str">
        <f t="shared" si="3"/>
        <v>Mié.</v>
      </c>
      <c r="P94" t="str">
        <f t="shared" si="4"/>
        <v>agosto</v>
      </c>
    </row>
    <row r="95" spans="1:16" x14ac:dyDescent="0.25">
      <c r="A95">
        <v>94</v>
      </c>
      <c r="B95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>
        <v>178.5</v>
      </c>
      <c r="M95">
        <v>41</v>
      </c>
      <c r="N95">
        <f>Hoja4!$L95*Hoja4!$M95</f>
        <v>7318.5</v>
      </c>
      <c r="O95" t="str">
        <f t="shared" si="3"/>
        <v>Dom.</v>
      </c>
      <c r="P95" t="str">
        <f t="shared" si="4"/>
        <v>diciembre</v>
      </c>
    </row>
    <row r="96" spans="1:16" x14ac:dyDescent="0.25">
      <c r="A96">
        <v>95</v>
      </c>
      <c r="B96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>
        <v>41.86</v>
      </c>
      <c r="M96">
        <v>35</v>
      </c>
      <c r="N96">
        <f>Hoja4!$L96*Hoja4!$M96</f>
        <v>1465.1</v>
      </c>
      <c r="O96" t="str">
        <f t="shared" si="3"/>
        <v>Jue.</v>
      </c>
      <c r="P96" t="str">
        <f t="shared" si="4"/>
        <v>abril</v>
      </c>
    </row>
    <row r="97" spans="1:16" x14ac:dyDescent="0.25">
      <c r="A97">
        <v>96</v>
      </c>
      <c r="B97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J97" t="s">
        <v>22</v>
      </c>
      <c r="K97" t="s">
        <v>11</v>
      </c>
      <c r="L97">
        <v>644</v>
      </c>
      <c r="M97">
        <v>31</v>
      </c>
      <c r="N97">
        <f>Hoja4!$L97*Hoja4!$M97</f>
        <v>19964</v>
      </c>
      <c r="O97" t="str">
        <f t="shared" si="3"/>
        <v>Jue.</v>
      </c>
      <c r="P97" t="str">
        <f t="shared" si="4"/>
        <v>abril</v>
      </c>
    </row>
    <row r="98" spans="1:16" x14ac:dyDescent="0.25">
      <c r="A98">
        <v>97</v>
      </c>
      <c r="B98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J98" t="s">
        <v>46</v>
      </c>
      <c r="K98" t="s">
        <v>47</v>
      </c>
      <c r="L98">
        <v>350</v>
      </c>
      <c r="M98">
        <v>52</v>
      </c>
      <c r="N98">
        <f>Hoja4!$L98*Hoja4!$M98</f>
        <v>18200</v>
      </c>
      <c r="O98" t="str">
        <f t="shared" si="3"/>
        <v>Sáb.</v>
      </c>
      <c r="P98" t="str">
        <f t="shared" si="4"/>
        <v>septiembre</v>
      </c>
    </row>
    <row r="99" spans="1:16" x14ac:dyDescent="0.25">
      <c r="A99">
        <v>98</v>
      </c>
      <c r="B99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J99" t="s">
        <v>48</v>
      </c>
      <c r="K99" t="s">
        <v>49</v>
      </c>
      <c r="L99">
        <v>308</v>
      </c>
      <c r="M99">
        <v>30</v>
      </c>
      <c r="N99">
        <f>Hoja4!$L99*Hoja4!$M99</f>
        <v>9240</v>
      </c>
      <c r="O99" t="str">
        <f t="shared" si="3"/>
        <v>Dom.</v>
      </c>
      <c r="P99" t="str">
        <f t="shared" si="4"/>
        <v>julio</v>
      </c>
    </row>
    <row r="100" spans="1:16" x14ac:dyDescent="0.25">
      <c r="A100">
        <v>99</v>
      </c>
      <c r="B100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J100" t="s">
        <v>26</v>
      </c>
      <c r="K100" t="s">
        <v>27</v>
      </c>
      <c r="L100">
        <v>128.79999999999998</v>
      </c>
      <c r="M100">
        <v>41</v>
      </c>
      <c r="N100">
        <f>Hoja4!$L100*Hoja4!$M100</f>
        <v>5280.7999999999993</v>
      </c>
      <c r="O100" t="str">
        <f t="shared" si="3"/>
        <v>Lun.</v>
      </c>
      <c r="P100" t="str">
        <f t="shared" si="4"/>
        <v>abril</v>
      </c>
    </row>
    <row r="101" spans="1:16" x14ac:dyDescent="0.25">
      <c r="A101">
        <v>100</v>
      </c>
      <c r="B10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J101" t="s">
        <v>12</v>
      </c>
      <c r="K101" t="s">
        <v>13</v>
      </c>
      <c r="L101">
        <v>49</v>
      </c>
      <c r="M101">
        <v>44</v>
      </c>
      <c r="N101">
        <f>Hoja4!$L101*Hoja4!$M101</f>
        <v>2156</v>
      </c>
      <c r="O101" t="str">
        <f t="shared" si="3"/>
        <v>Mar.</v>
      </c>
      <c r="P101" t="str">
        <f t="shared" si="4"/>
        <v>septiembre</v>
      </c>
    </row>
    <row r="102" spans="1:16" x14ac:dyDescent="0.25">
      <c r="A102">
        <v>101</v>
      </c>
      <c r="B102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J102" t="s">
        <v>44</v>
      </c>
      <c r="K102" t="s">
        <v>11</v>
      </c>
      <c r="L102">
        <v>41.86</v>
      </c>
      <c r="M102">
        <v>77</v>
      </c>
      <c r="N102">
        <f>Hoja4!$L102*Hoja4!$M102</f>
        <v>3223.22</v>
      </c>
      <c r="O102" t="str">
        <f t="shared" si="3"/>
        <v>Vie.</v>
      </c>
      <c r="P102" t="str">
        <f t="shared" si="4"/>
        <v>octubre</v>
      </c>
    </row>
    <row r="103" spans="1:16" x14ac:dyDescent="0.25">
      <c r="A103">
        <v>102</v>
      </c>
      <c r="B103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J103" t="s">
        <v>21</v>
      </c>
      <c r="K103" t="s">
        <v>11</v>
      </c>
      <c r="L103">
        <v>252</v>
      </c>
      <c r="M103">
        <v>29</v>
      </c>
      <c r="N103">
        <f>Hoja4!$L103*Hoja4!$M103</f>
        <v>7308</v>
      </c>
      <c r="O103" t="str">
        <f t="shared" si="3"/>
        <v>Jue.</v>
      </c>
      <c r="P103" t="str">
        <f t="shared" si="4"/>
        <v>marzo</v>
      </c>
    </row>
    <row r="104" spans="1:16" x14ac:dyDescent="0.25">
      <c r="A104">
        <v>103</v>
      </c>
      <c r="B104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J104" t="s">
        <v>22</v>
      </c>
      <c r="K104" t="s">
        <v>11</v>
      </c>
      <c r="L104">
        <v>644</v>
      </c>
      <c r="M104">
        <v>77</v>
      </c>
      <c r="N104">
        <f>Hoja4!$L104*Hoja4!$M104</f>
        <v>49588</v>
      </c>
      <c r="O104" t="str">
        <f t="shared" si="3"/>
        <v>Lun.</v>
      </c>
      <c r="P104" t="str">
        <f t="shared" si="4"/>
        <v>agosto</v>
      </c>
    </row>
    <row r="105" spans="1:16" x14ac:dyDescent="0.25">
      <c r="A105">
        <v>104</v>
      </c>
      <c r="B105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J105" t="s">
        <v>44</v>
      </c>
      <c r="K105" t="s">
        <v>11</v>
      </c>
      <c r="L105">
        <v>41.86</v>
      </c>
      <c r="M105">
        <v>73</v>
      </c>
      <c r="N105">
        <f>Hoja4!$L105*Hoja4!$M105</f>
        <v>3055.7799999999997</v>
      </c>
      <c r="O105" t="str">
        <f t="shared" si="3"/>
        <v>Lun.</v>
      </c>
      <c r="P105" t="str">
        <f t="shared" si="4"/>
        <v>julio</v>
      </c>
    </row>
    <row r="106" spans="1:16" x14ac:dyDescent="0.25">
      <c r="A106">
        <v>105</v>
      </c>
      <c r="B106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>
        <v>135.1</v>
      </c>
      <c r="M106">
        <v>74</v>
      </c>
      <c r="N106">
        <f>Hoja4!$L106*Hoja4!$M106</f>
        <v>9997.4</v>
      </c>
      <c r="O106" t="str">
        <f t="shared" si="3"/>
        <v>Mié.</v>
      </c>
      <c r="P106" t="str">
        <f t="shared" si="4"/>
        <v>noviembre</v>
      </c>
    </row>
    <row r="107" spans="1:16" x14ac:dyDescent="0.25">
      <c r="A107">
        <v>106</v>
      </c>
      <c r="B107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>
        <v>257.59999999999997</v>
      </c>
      <c r="M107">
        <v>25</v>
      </c>
      <c r="N107">
        <f>Hoja4!$L107*Hoja4!$M107</f>
        <v>6439.9999999999991</v>
      </c>
      <c r="O107" t="str">
        <f t="shared" si="3"/>
        <v>Jue.</v>
      </c>
      <c r="P107" t="str">
        <f t="shared" si="4"/>
        <v>agosto</v>
      </c>
    </row>
    <row r="108" spans="1:16" x14ac:dyDescent="0.25">
      <c r="A108">
        <v>107</v>
      </c>
      <c r="B108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>
        <v>273</v>
      </c>
      <c r="M108">
        <v>82</v>
      </c>
      <c r="N108">
        <f>Hoja4!$L108*Hoja4!$M108</f>
        <v>22386</v>
      </c>
      <c r="O108" t="str">
        <f t="shared" si="3"/>
        <v>Dom.</v>
      </c>
      <c r="P108" t="str">
        <f t="shared" si="4"/>
        <v>abril</v>
      </c>
    </row>
    <row r="109" spans="1:16" x14ac:dyDescent="0.25">
      <c r="A109">
        <v>108</v>
      </c>
      <c r="B109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>
        <v>487.19999999999993</v>
      </c>
      <c r="M109">
        <v>37</v>
      </c>
      <c r="N109">
        <f>Hoja4!$L109*Hoja4!$M109</f>
        <v>18026.399999999998</v>
      </c>
      <c r="O109" t="str">
        <f t="shared" si="3"/>
        <v>Dom.</v>
      </c>
      <c r="P109" t="str">
        <f t="shared" si="4"/>
        <v>octubre</v>
      </c>
    </row>
    <row r="110" spans="1:16" x14ac:dyDescent="0.25">
      <c r="A110">
        <v>109</v>
      </c>
      <c r="B110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>
        <v>196</v>
      </c>
      <c r="M110">
        <v>84</v>
      </c>
      <c r="N110">
        <f>Hoja4!$L110*Hoja4!$M110</f>
        <v>16464</v>
      </c>
      <c r="O110" t="str">
        <f t="shared" si="3"/>
        <v>Mar.</v>
      </c>
      <c r="P110" t="str">
        <f t="shared" si="4"/>
        <v>septiembre</v>
      </c>
    </row>
    <row r="111" spans="1:16" x14ac:dyDescent="0.25">
      <c r="A111">
        <v>110</v>
      </c>
      <c r="B11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>
        <v>560</v>
      </c>
      <c r="M111">
        <v>73</v>
      </c>
      <c r="N111">
        <f>Hoja4!$L111*Hoja4!$M111</f>
        <v>40880</v>
      </c>
      <c r="O111" t="str">
        <f t="shared" si="3"/>
        <v>Dom.</v>
      </c>
      <c r="P111" t="str">
        <f t="shared" si="4"/>
        <v>julio</v>
      </c>
    </row>
    <row r="112" spans="1:16" x14ac:dyDescent="0.25">
      <c r="A112">
        <v>111</v>
      </c>
      <c r="B112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>
        <v>128.79999999999998</v>
      </c>
      <c r="M112">
        <v>51</v>
      </c>
      <c r="N112">
        <f>Hoja4!$L112*Hoja4!$M112</f>
        <v>6568.7999999999993</v>
      </c>
      <c r="O112" t="str">
        <f t="shared" si="3"/>
        <v>Dom.</v>
      </c>
      <c r="P112" t="str">
        <f t="shared" si="4"/>
        <v>agosto</v>
      </c>
    </row>
    <row r="113" spans="1:16" x14ac:dyDescent="0.25">
      <c r="A113">
        <v>112</v>
      </c>
      <c r="B113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>
        <v>140</v>
      </c>
      <c r="M113">
        <v>66</v>
      </c>
      <c r="N113">
        <f>Hoja4!$L113*Hoja4!$M113</f>
        <v>9240</v>
      </c>
      <c r="O113" t="str">
        <f t="shared" si="3"/>
        <v>Sáb.</v>
      </c>
      <c r="P113" t="str">
        <f t="shared" si="4"/>
        <v>diciembre</v>
      </c>
    </row>
    <row r="114" spans="1:16" x14ac:dyDescent="0.25">
      <c r="A114">
        <v>113</v>
      </c>
      <c r="B114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>
        <v>298.90000000000003</v>
      </c>
      <c r="M114">
        <v>36</v>
      </c>
      <c r="N114">
        <f>Hoja4!$L114*Hoja4!$M114</f>
        <v>10760.400000000001</v>
      </c>
      <c r="O114" t="str">
        <f t="shared" si="3"/>
        <v>Vie.</v>
      </c>
      <c r="P114" t="str">
        <f t="shared" si="4"/>
        <v>diciembre</v>
      </c>
    </row>
    <row r="115" spans="1:16" x14ac:dyDescent="0.25">
      <c r="A115">
        <v>114</v>
      </c>
      <c r="B115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>
        <v>135.1</v>
      </c>
      <c r="M115">
        <v>87</v>
      </c>
      <c r="N115">
        <f>Hoja4!$L115*Hoja4!$M115</f>
        <v>11753.699999999999</v>
      </c>
      <c r="O115" t="str">
        <f t="shared" si="3"/>
        <v>Vie.</v>
      </c>
      <c r="P115" t="str">
        <f t="shared" si="4"/>
        <v>mayo</v>
      </c>
    </row>
    <row r="116" spans="1:16" x14ac:dyDescent="0.25">
      <c r="A116">
        <v>115</v>
      </c>
      <c r="B116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>
        <v>257.59999999999997</v>
      </c>
      <c r="M116">
        <v>64</v>
      </c>
      <c r="N116">
        <f>Hoja4!$L116*Hoja4!$M116</f>
        <v>16486.399999999998</v>
      </c>
      <c r="O116" t="str">
        <f t="shared" si="3"/>
        <v>Mar.</v>
      </c>
      <c r="P116" t="str">
        <f t="shared" si="4"/>
        <v>julio</v>
      </c>
    </row>
    <row r="117" spans="1:16" x14ac:dyDescent="0.25">
      <c r="A117">
        <v>116</v>
      </c>
      <c r="B117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>
        <v>196</v>
      </c>
      <c r="M117">
        <v>21</v>
      </c>
      <c r="N117">
        <f>Hoja4!$L117*Hoja4!$M117</f>
        <v>4116</v>
      </c>
      <c r="O117" t="str">
        <f t="shared" si="3"/>
        <v>Sáb.</v>
      </c>
      <c r="P117" t="str">
        <f t="shared" si="4"/>
        <v>febrero</v>
      </c>
    </row>
    <row r="118" spans="1:16" x14ac:dyDescent="0.25">
      <c r="A118">
        <v>117</v>
      </c>
      <c r="B118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>
        <v>178.5</v>
      </c>
      <c r="M118">
        <v>19</v>
      </c>
      <c r="N118">
        <f>Hoja4!$L118*Hoja4!$M118</f>
        <v>3391.5</v>
      </c>
      <c r="O118" t="str">
        <f t="shared" si="3"/>
        <v>Dom.</v>
      </c>
      <c r="P118" t="str">
        <f t="shared" si="4"/>
        <v>septiembre</v>
      </c>
    </row>
    <row r="119" spans="1:16" x14ac:dyDescent="0.25">
      <c r="A119">
        <v>118</v>
      </c>
      <c r="B119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>
        <v>1134</v>
      </c>
      <c r="M119">
        <v>23</v>
      </c>
      <c r="N119">
        <f>Hoja4!$L119*Hoja4!$M119</f>
        <v>26082</v>
      </c>
      <c r="O119" t="str">
        <f t="shared" si="3"/>
        <v>Dom.</v>
      </c>
      <c r="P119" t="str">
        <f t="shared" si="4"/>
        <v>septiembre</v>
      </c>
    </row>
    <row r="120" spans="1:16" x14ac:dyDescent="0.25">
      <c r="A120">
        <v>119</v>
      </c>
      <c r="B120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>
        <v>98</v>
      </c>
      <c r="M120">
        <v>72</v>
      </c>
      <c r="N120">
        <f>Hoja4!$L120*Hoja4!$M120</f>
        <v>7056</v>
      </c>
      <c r="O120" t="str">
        <f t="shared" si="3"/>
        <v>Dom.</v>
      </c>
      <c r="P120" t="str">
        <f t="shared" si="4"/>
        <v>noviembre</v>
      </c>
    </row>
    <row r="121" spans="1:16" x14ac:dyDescent="0.25">
      <c r="A121">
        <v>120</v>
      </c>
      <c r="B12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>
        <v>487.19999999999993</v>
      </c>
      <c r="M121">
        <v>22</v>
      </c>
      <c r="N121">
        <f>Hoja4!$L121*Hoja4!$M121</f>
        <v>10718.399999999998</v>
      </c>
      <c r="O121" t="str">
        <f t="shared" si="3"/>
        <v>Jue.</v>
      </c>
      <c r="P121" t="str">
        <f t="shared" si="4"/>
        <v>marzo</v>
      </c>
    </row>
    <row r="122" spans="1:16" x14ac:dyDescent="0.25">
      <c r="A122">
        <v>121</v>
      </c>
      <c r="B122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>
        <v>140</v>
      </c>
      <c r="M122">
        <v>82</v>
      </c>
      <c r="N122">
        <f>Hoja4!$L122*Hoja4!$M122</f>
        <v>11480</v>
      </c>
      <c r="O122" t="str">
        <f t="shared" si="3"/>
        <v>Mar.</v>
      </c>
      <c r="P122" t="str">
        <f t="shared" si="4"/>
        <v>enero</v>
      </c>
    </row>
    <row r="123" spans="1:16" x14ac:dyDescent="0.25">
      <c r="A123">
        <v>122</v>
      </c>
      <c r="B123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>
        <v>560</v>
      </c>
      <c r="M123">
        <v>98</v>
      </c>
      <c r="N123">
        <f>Hoja4!$L123*Hoja4!$M123</f>
        <v>54880</v>
      </c>
      <c r="O123" t="str">
        <f t="shared" si="3"/>
        <v>Jue.</v>
      </c>
      <c r="P123" t="str">
        <f t="shared" si="4"/>
        <v>julio</v>
      </c>
    </row>
    <row r="124" spans="1:16" x14ac:dyDescent="0.25">
      <c r="A124">
        <v>123</v>
      </c>
      <c r="B124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J124" t="s">
        <v>22</v>
      </c>
      <c r="K124" t="s">
        <v>11</v>
      </c>
      <c r="L124">
        <v>644</v>
      </c>
      <c r="M124">
        <v>71</v>
      </c>
      <c r="N124">
        <f>Hoja4!$L124*Hoja4!$M124</f>
        <v>45724</v>
      </c>
      <c r="O124" t="str">
        <f t="shared" si="3"/>
        <v>Vie.</v>
      </c>
      <c r="P124" t="str">
        <f t="shared" si="4"/>
        <v>septiembre</v>
      </c>
    </row>
    <row r="125" spans="1:16" x14ac:dyDescent="0.25">
      <c r="A125">
        <v>124</v>
      </c>
      <c r="B125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J125" t="s">
        <v>46</v>
      </c>
      <c r="K125" t="s">
        <v>47</v>
      </c>
      <c r="L125">
        <v>350</v>
      </c>
      <c r="M125">
        <v>40</v>
      </c>
      <c r="N125">
        <f>Hoja4!$L125*Hoja4!$M125</f>
        <v>14000</v>
      </c>
      <c r="O125" t="str">
        <f t="shared" si="3"/>
        <v>Vie.</v>
      </c>
      <c r="P125" t="str">
        <f t="shared" si="4"/>
        <v>abril</v>
      </c>
    </row>
    <row r="126" spans="1:16" x14ac:dyDescent="0.25">
      <c r="A126">
        <v>125</v>
      </c>
      <c r="B126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J126" t="s">
        <v>48</v>
      </c>
      <c r="K126" t="s">
        <v>49</v>
      </c>
      <c r="L126">
        <v>308</v>
      </c>
      <c r="M126">
        <v>80</v>
      </c>
      <c r="N126">
        <f>Hoja4!$L126*Hoja4!$M126</f>
        <v>24640</v>
      </c>
      <c r="O126" t="str">
        <f t="shared" si="3"/>
        <v>Mié.</v>
      </c>
      <c r="P126" t="str">
        <f t="shared" si="4"/>
        <v>febrero</v>
      </c>
    </row>
    <row r="127" spans="1:16" x14ac:dyDescent="0.25">
      <c r="A127">
        <v>126</v>
      </c>
      <c r="B127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J127" t="s">
        <v>26</v>
      </c>
      <c r="K127" t="s">
        <v>27</v>
      </c>
      <c r="L127">
        <v>128.79999999999998</v>
      </c>
      <c r="M127">
        <v>38</v>
      </c>
      <c r="N127">
        <f>Hoja4!$L127*Hoja4!$M127</f>
        <v>4894.3999999999996</v>
      </c>
      <c r="O127" t="str">
        <f t="shared" si="3"/>
        <v>Dom.</v>
      </c>
      <c r="P127" t="str">
        <f t="shared" si="4"/>
        <v>septiembre</v>
      </c>
    </row>
    <row r="128" spans="1:16" x14ac:dyDescent="0.25">
      <c r="A128">
        <v>127</v>
      </c>
      <c r="B128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J128" t="s">
        <v>12</v>
      </c>
      <c r="K128" t="s">
        <v>13</v>
      </c>
      <c r="L128">
        <v>49</v>
      </c>
      <c r="M128">
        <v>28</v>
      </c>
      <c r="N128">
        <f>Hoja4!$L128*Hoja4!$M128</f>
        <v>1372</v>
      </c>
      <c r="O128" t="str">
        <f t="shared" si="3"/>
        <v>Sáb.</v>
      </c>
      <c r="P128" t="str">
        <f t="shared" si="4"/>
        <v>septiembre</v>
      </c>
    </row>
    <row r="129" spans="1:16" x14ac:dyDescent="0.25">
      <c r="A129">
        <v>128</v>
      </c>
      <c r="B129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J129" t="s">
        <v>44</v>
      </c>
      <c r="K129" t="s">
        <v>11</v>
      </c>
      <c r="L129">
        <v>41.86</v>
      </c>
      <c r="M129">
        <v>60</v>
      </c>
      <c r="N129">
        <f>Hoja4!$L129*Hoja4!$M129</f>
        <v>2511.6</v>
      </c>
      <c r="O129" t="str">
        <f t="shared" si="3"/>
        <v>Jue.</v>
      </c>
      <c r="P129" t="str">
        <f t="shared" si="4"/>
        <v>octubre</v>
      </c>
    </row>
    <row r="130" spans="1:16" x14ac:dyDescent="0.25">
      <c r="A130">
        <v>129</v>
      </c>
      <c r="B130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J130" t="s">
        <v>21</v>
      </c>
      <c r="K130" t="s">
        <v>11</v>
      </c>
      <c r="L130">
        <v>252</v>
      </c>
      <c r="M130">
        <v>33</v>
      </c>
      <c r="N130">
        <f>Hoja4!$L130*Hoja4!$M130</f>
        <v>8316</v>
      </c>
      <c r="O130" t="str">
        <f t="shared" ref="O130:O193" si="5">PROPER(TEXT(B130,"ddd."))</f>
        <v>Mié.</v>
      </c>
      <c r="P130" t="str">
        <f t="shared" ref="P130:P193" si="6">TEXT(B130,"mmmm")</f>
        <v>noviembre</v>
      </c>
    </row>
    <row r="131" spans="1:16" x14ac:dyDescent="0.25">
      <c r="A131">
        <v>130</v>
      </c>
      <c r="B13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J131" t="s">
        <v>22</v>
      </c>
      <c r="K131" t="s">
        <v>11</v>
      </c>
      <c r="L131">
        <v>644</v>
      </c>
      <c r="M131">
        <v>22</v>
      </c>
      <c r="N131">
        <f>Hoja4!$L131*Hoja4!$M131</f>
        <v>14168</v>
      </c>
      <c r="O131" t="str">
        <f t="shared" si="5"/>
        <v>Dom.</v>
      </c>
      <c r="P131" t="str">
        <f t="shared" si="6"/>
        <v>julio</v>
      </c>
    </row>
    <row r="132" spans="1:16" x14ac:dyDescent="0.25">
      <c r="A132">
        <v>131</v>
      </c>
      <c r="B132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J132" t="s">
        <v>44</v>
      </c>
      <c r="K132" t="s">
        <v>11</v>
      </c>
      <c r="L132">
        <v>41.86</v>
      </c>
      <c r="M132">
        <v>51</v>
      </c>
      <c r="N132">
        <f>Hoja4!$L132*Hoja4!$M132</f>
        <v>2134.86</v>
      </c>
      <c r="O132" t="str">
        <f t="shared" si="5"/>
        <v>Vie.</v>
      </c>
      <c r="P132" t="str">
        <f t="shared" si="6"/>
        <v>septiembre</v>
      </c>
    </row>
    <row r="133" spans="1:16" x14ac:dyDescent="0.25">
      <c r="A133">
        <v>132</v>
      </c>
      <c r="B133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>
        <v>135.1</v>
      </c>
      <c r="M133">
        <v>60</v>
      </c>
      <c r="N133">
        <f>Hoja4!$L133*Hoja4!$M133</f>
        <v>8106</v>
      </c>
      <c r="O133" t="str">
        <f t="shared" si="5"/>
        <v>Mié.</v>
      </c>
      <c r="P133" t="str">
        <f t="shared" si="6"/>
        <v>abril</v>
      </c>
    </row>
    <row r="134" spans="1:16" x14ac:dyDescent="0.25">
      <c r="A134">
        <v>133</v>
      </c>
      <c r="B134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>
        <v>257.59999999999997</v>
      </c>
      <c r="M134">
        <v>98</v>
      </c>
      <c r="N134">
        <f>Hoja4!$L134*Hoja4!$M134</f>
        <v>25244.799999999996</v>
      </c>
      <c r="O134" t="str">
        <f t="shared" si="5"/>
        <v>Vie.</v>
      </c>
      <c r="P134" t="str">
        <f t="shared" si="6"/>
        <v>agosto</v>
      </c>
    </row>
    <row r="135" spans="1:16" x14ac:dyDescent="0.25">
      <c r="A135">
        <v>134</v>
      </c>
      <c r="B135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>
        <v>273</v>
      </c>
      <c r="M135">
        <v>27</v>
      </c>
      <c r="N135">
        <f>Hoja4!$L135*Hoja4!$M135</f>
        <v>7371</v>
      </c>
      <c r="O135" t="str">
        <f t="shared" si="5"/>
        <v>Mié.</v>
      </c>
      <c r="P135" t="str">
        <f t="shared" si="6"/>
        <v>abril</v>
      </c>
    </row>
    <row r="136" spans="1:16" x14ac:dyDescent="0.25">
      <c r="A136">
        <v>135</v>
      </c>
      <c r="B136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>
        <v>487.19999999999993</v>
      </c>
      <c r="M136">
        <v>88</v>
      </c>
      <c r="N136">
        <f>Hoja4!$L136*Hoja4!$M136</f>
        <v>42873.599999999991</v>
      </c>
      <c r="O136" t="str">
        <f t="shared" si="5"/>
        <v>Jue.</v>
      </c>
      <c r="P136" t="str">
        <f t="shared" si="6"/>
        <v>junio</v>
      </c>
    </row>
    <row r="137" spans="1:16" x14ac:dyDescent="0.25">
      <c r="A137">
        <v>136</v>
      </c>
      <c r="B137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>
        <v>196</v>
      </c>
      <c r="M137">
        <v>65</v>
      </c>
      <c r="N137">
        <f>Hoja4!$L137*Hoja4!$M137</f>
        <v>12740</v>
      </c>
      <c r="O137" t="str">
        <f t="shared" si="5"/>
        <v>Sáb.</v>
      </c>
      <c r="P137" t="str">
        <f t="shared" si="6"/>
        <v>agosto</v>
      </c>
    </row>
    <row r="138" spans="1:16" x14ac:dyDescent="0.25">
      <c r="A138">
        <v>137</v>
      </c>
      <c r="B138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>
        <v>560</v>
      </c>
      <c r="M138">
        <v>38</v>
      </c>
      <c r="N138">
        <f>Hoja4!$L138*Hoja4!$M138</f>
        <v>21280</v>
      </c>
      <c r="O138" t="str">
        <f t="shared" si="5"/>
        <v>Mar.</v>
      </c>
      <c r="P138" t="str">
        <f t="shared" si="6"/>
        <v>agosto</v>
      </c>
    </row>
    <row r="139" spans="1:16" x14ac:dyDescent="0.25">
      <c r="A139">
        <v>138</v>
      </c>
      <c r="B139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>
        <v>128.79999999999998</v>
      </c>
      <c r="M139">
        <v>80</v>
      </c>
      <c r="N139">
        <f>Hoja4!$L139*Hoja4!$M139</f>
        <v>10303.999999999998</v>
      </c>
      <c r="O139" t="str">
        <f t="shared" si="5"/>
        <v>Lun.</v>
      </c>
      <c r="P139" t="str">
        <f t="shared" si="6"/>
        <v>abril</v>
      </c>
    </row>
    <row r="140" spans="1:16" x14ac:dyDescent="0.25">
      <c r="A140">
        <v>139</v>
      </c>
      <c r="B140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>
        <v>140</v>
      </c>
      <c r="M140">
        <v>49</v>
      </c>
      <c r="N140">
        <f>Hoja4!$L140*Hoja4!$M140</f>
        <v>6860</v>
      </c>
      <c r="O140" t="str">
        <f t="shared" si="5"/>
        <v>Mar.</v>
      </c>
      <c r="P140" t="str">
        <f t="shared" si="6"/>
        <v>agosto</v>
      </c>
    </row>
    <row r="141" spans="1:16" x14ac:dyDescent="0.25">
      <c r="A141">
        <v>140</v>
      </c>
      <c r="B14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>
        <v>298.90000000000003</v>
      </c>
      <c r="M141">
        <v>90</v>
      </c>
      <c r="N141">
        <f>Hoja4!$L141*Hoja4!$M141</f>
        <v>26901.000000000004</v>
      </c>
      <c r="O141" t="str">
        <f t="shared" si="5"/>
        <v>Vie.</v>
      </c>
      <c r="P141" t="str">
        <f t="shared" si="6"/>
        <v>octubre</v>
      </c>
    </row>
    <row r="142" spans="1:16" x14ac:dyDescent="0.25">
      <c r="A142">
        <v>141</v>
      </c>
      <c r="B142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>
        <v>135.1</v>
      </c>
      <c r="M142">
        <v>60</v>
      </c>
      <c r="N142">
        <f>Hoja4!$L142*Hoja4!$M142</f>
        <v>8106</v>
      </c>
      <c r="O142" t="str">
        <f t="shared" si="5"/>
        <v>Jue.</v>
      </c>
      <c r="P142" t="str">
        <f t="shared" si="6"/>
        <v>enero</v>
      </c>
    </row>
    <row r="143" spans="1:16" x14ac:dyDescent="0.25">
      <c r="A143">
        <v>142</v>
      </c>
      <c r="B143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>
        <v>257.59999999999997</v>
      </c>
      <c r="M143">
        <v>39</v>
      </c>
      <c r="N143">
        <f>Hoja4!$L143*Hoja4!$M143</f>
        <v>10046.399999999998</v>
      </c>
      <c r="O143" t="str">
        <f t="shared" si="5"/>
        <v>Vie.</v>
      </c>
      <c r="P143" t="str">
        <f t="shared" si="6"/>
        <v>junio</v>
      </c>
    </row>
    <row r="144" spans="1:16" x14ac:dyDescent="0.25">
      <c r="A144">
        <v>143</v>
      </c>
      <c r="B144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>
        <v>196</v>
      </c>
      <c r="M144">
        <v>79</v>
      </c>
      <c r="N144">
        <f>Hoja4!$L144*Hoja4!$M144</f>
        <v>15484</v>
      </c>
      <c r="O144" t="str">
        <f t="shared" si="5"/>
        <v>Lun.</v>
      </c>
      <c r="P144" t="str">
        <f t="shared" si="6"/>
        <v>abril</v>
      </c>
    </row>
    <row r="145" spans="1:16" x14ac:dyDescent="0.25">
      <c r="A145">
        <v>144</v>
      </c>
      <c r="B145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>
        <v>178.5</v>
      </c>
      <c r="M145">
        <v>44</v>
      </c>
      <c r="N145">
        <f>Hoja4!$L145*Hoja4!$M145</f>
        <v>7854</v>
      </c>
      <c r="O145" t="str">
        <f t="shared" si="5"/>
        <v>Sáb.</v>
      </c>
      <c r="P145" t="str">
        <f t="shared" si="6"/>
        <v>septiembre</v>
      </c>
    </row>
    <row r="146" spans="1:16" x14ac:dyDescent="0.25">
      <c r="A146">
        <v>145</v>
      </c>
      <c r="B146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>
        <v>1134</v>
      </c>
      <c r="M146">
        <v>98</v>
      </c>
      <c r="N146">
        <f>Hoja4!$L146*Hoja4!$M146</f>
        <v>111132</v>
      </c>
      <c r="O146" t="str">
        <f t="shared" si="5"/>
        <v>Lun.</v>
      </c>
      <c r="P146" t="str">
        <f t="shared" si="6"/>
        <v>agosto</v>
      </c>
    </row>
    <row r="147" spans="1:16" x14ac:dyDescent="0.25">
      <c r="A147">
        <v>146</v>
      </c>
      <c r="B147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>
        <v>98</v>
      </c>
      <c r="M147">
        <v>61</v>
      </c>
      <c r="N147">
        <f>Hoja4!$L147*Hoja4!$M147</f>
        <v>5978</v>
      </c>
      <c r="O147" t="str">
        <f t="shared" si="5"/>
        <v>Vie.</v>
      </c>
      <c r="P147" t="str">
        <f t="shared" si="6"/>
        <v>diciembre</v>
      </c>
    </row>
    <row r="148" spans="1:16" x14ac:dyDescent="0.25">
      <c r="A148">
        <v>147</v>
      </c>
      <c r="B148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>
        <v>487.19999999999993</v>
      </c>
      <c r="M148">
        <v>30</v>
      </c>
      <c r="N148">
        <f>Hoja4!$L148*Hoja4!$M148</f>
        <v>14615.999999999998</v>
      </c>
      <c r="O148" t="str">
        <f t="shared" si="5"/>
        <v>Jue.</v>
      </c>
      <c r="P148" t="str">
        <f t="shared" si="6"/>
        <v>agosto</v>
      </c>
    </row>
    <row r="149" spans="1:16" x14ac:dyDescent="0.25">
      <c r="A149">
        <v>148</v>
      </c>
      <c r="B149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>
        <v>140</v>
      </c>
      <c r="M149">
        <v>24</v>
      </c>
      <c r="N149">
        <f>Hoja4!$L149*Hoja4!$M149</f>
        <v>3360</v>
      </c>
      <c r="O149" t="str">
        <f t="shared" si="5"/>
        <v>Sáb.</v>
      </c>
      <c r="P149" t="str">
        <f t="shared" si="6"/>
        <v>abril</v>
      </c>
    </row>
    <row r="150" spans="1:16" x14ac:dyDescent="0.25">
      <c r="A150">
        <v>149</v>
      </c>
      <c r="B150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>
        <v>560</v>
      </c>
      <c r="M150">
        <v>28</v>
      </c>
      <c r="N150">
        <f>Hoja4!$L150*Hoja4!$M150</f>
        <v>15680</v>
      </c>
      <c r="O150" t="str">
        <f t="shared" si="5"/>
        <v>Jue.</v>
      </c>
      <c r="P150" t="str">
        <f t="shared" si="6"/>
        <v>abril</v>
      </c>
    </row>
    <row r="151" spans="1:16" x14ac:dyDescent="0.25">
      <c r="A151">
        <v>150</v>
      </c>
      <c r="B15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>
        <v>140</v>
      </c>
      <c r="M151">
        <v>74</v>
      </c>
      <c r="N151">
        <f>Hoja4!$L151*Hoja4!$M151</f>
        <v>10360</v>
      </c>
      <c r="O151" t="str">
        <f t="shared" si="5"/>
        <v>Lun.</v>
      </c>
      <c r="P151" t="str">
        <f t="shared" si="6"/>
        <v>julio</v>
      </c>
    </row>
    <row r="152" spans="1:16" x14ac:dyDescent="0.25">
      <c r="A152">
        <v>151</v>
      </c>
      <c r="B152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J152" t="s">
        <v>12</v>
      </c>
      <c r="K152" t="s">
        <v>13</v>
      </c>
      <c r="L152">
        <v>49</v>
      </c>
      <c r="M152">
        <v>90</v>
      </c>
      <c r="N152">
        <f>Hoja4!$L152*Hoja4!$M152</f>
        <v>4410</v>
      </c>
      <c r="O152" t="str">
        <f t="shared" si="5"/>
        <v>Vie.</v>
      </c>
      <c r="P152" t="str">
        <f t="shared" si="6"/>
        <v>noviembre</v>
      </c>
    </row>
    <row r="153" spans="1:16" x14ac:dyDescent="0.25">
      <c r="A153">
        <v>152</v>
      </c>
      <c r="B153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J153" t="s">
        <v>38</v>
      </c>
      <c r="K153" t="s">
        <v>39</v>
      </c>
      <c r="L153">
        <v>560</v>
      </c>
      <c r="M153">
        <v>27</v>
      </c>
      <c r="N153">
        <f>Hoja4!$L153*Hoja4!$M153</f>
        <v>15120</v>
      </c>
      <c r="O153" t="str">
        <f t="shared" si="5"/>
        <v>Vie.</v>
      </c>
      <c r="P153" t="str">
        <f t="shared" si="6"/>
        <v>diciembre</v>
      </c>
    </row>
    <row r="154" spans="1:16" x14ac:dyDescent="0.25">
      <c r="A154">
        <v>153</v>
      </c>
      <c r="B154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J154" t="s">
        <v>52</v>
      </c>
      <c r="K154" t="s">
        <v>53</v>
      </c>
      <c r="L154">
        <v>257.59999999999997</v>
      </c>
      <c r="M154">
        <v>71</v>
      </c>
      <c r="N154">
        <f>Hoja4!$L154*Hoja4!$M154</f>
        <v>18289.599999999999</v>
      </c>
      <c r="O154" t="str">
        <f t="shared" si="5"/>
        <v>Mié.</v>
      </c>
      <c r="P154" t="str">
        <f t="shared" si="6"/>
        <v>septiembre</v>
      </c>
    </row>
    <row r="155" spans="1:16" x14ac:dyDescent="0.25">
      <c r="A155">
        <v>154</v>
      </c>
      <c r="B155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>
        <v>644</v>
      </c>
      <c r="M155">
        <v>74</v>
      </c>
      <c r="N155">
        <f>Hoja4!$L155*Hoja4!$M155</f>
        <v>47656</v>
      </c>
      <c r="O155" t="str">
        <f t="shared" si="5"/>
        <v>Mar.</v>
      </c>
      <c r="P155" t="str">
        <f t="shared" si="6"/>
        <v>mayo</v>
      </c>
    </row>
    <row r="156" spans="1:16" x14ac:dyDescent="0.25">
      <c r="A156">
        <v>155</v>
      </c>
      <c r="B156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>
        <v>135.1</v>
      </c>
      <c r="M156">
        <v>76</v>
      </c>
      <c r="N156">
        <f>Hoja4!$L156*Hoja4!$M156</f>
        <v>10267.6</v>
      </c>
      <c r="O156" t="str">
        <f t="shared" si="5"/>
        <v>Sáb.</v>
      </c>
      <c r="P156" t="str">
        <f t="shared" si="6"/>
        <v>enero</v>
      </c>
    </row>
    <row r="157" spans="1:16" x14ac:dyDescent="0.25">
      <c r="A157">
        <v>156</v>
      </c>
      <c r="B157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>
        <v>178.5</v>
      </c>
      <c r="M157">
        <v>96</v>
      </c>
      <c r="N157">
        <f>Hoja4!$L157*Hoja4!$M157</f>
        <v>17136</v>
      </c>
      <c r="O157" t="str">
        <f t="shared" si="5"/>
        <v>Mié.</v>
      </c>
      <c r="P157" t="str">
        <f t="shared" si="6"/>
        <v>octubre</v>
      </c>
    </row>
    <row r="158" spans="1:16" x14ac:dyDescent="0.25">
      <c r="A158">
        <v>157</v>
      </c>
      <c r="B158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>
        <v>178.5</v>
      </c>
      <c r="M158">
        <v>92</v>
      </c>
      <c r="N158">
        <f>Hoja4!$L158*Hoja4!$M158</f>
        <v>16422</v>
      </c>
      <c r="O158" t="str">
        <f t="shared" si="5"/>
        <v>Lun.</v>
      </c>
      <c r="P158" t="str">
        <f t="shared" si="6"/>
        <v>julio</v>
      </c>
    </row>
    <row r="159" spans="1:16" x14ac:dyDescent="0.25">
      <c r="A159">
        <v>158</v>
      </c>
      <c r="B159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>
        <v>308</v>
      </c>
      <c r="M159">
        <v>93</v>
      </c>
      <c r="N159">
        <f>Hoja4!$L159*Hoja4!$M159</f>
        <v>28644</v>
      </c>
      <c r="O159" t="str">
        <f t="shared" si="5"/>
        <v>Jue.</v>
      </c>
      <c r="P159" t="str">
        <f t="shared" si="6"/>
        <v>mayo</v>
      </c>
    </row>
    <row r="160" spans="1:16" x14ac:dyDescent="0.25">
      <c r="A160">
        <v>159</v>
      </c>
      <c r="B160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>
        <v>350</v>
      </c>
      <c r="M160">
        <v>18</v>
      </c>
      <c r="N160">
        <f>Hoja4!$L160*Hoja4!$M160</f>
        <v>6300</v>
      </c>
      <c r="O160" t="str">
        <f t="shared" si="5"/>
        <v>Dom.</v>
      </c>
      <c r="P160" t="str">
        <f t="shared" si="6"/>
        <v>mayo</v>
      </c>
    </row>
    <row r="161" spans="1:16" x14ac:dyDescent="0.25">
      <c r="A161">
        <v>160</v>
      </c>
      <c r="B16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>
        <v>546</v>
      </c>
      <c r="M161">
        <v>98</v>
      </c>
      <c r="N161">
        <f>Hoja4!$L161*Hoja4!$M161</f>
        <v>53508</v>
      </c>
      <c r="O161" t="str">
        <f t="shared" si="5"/>
        <v>Jue.</v>
      </c>
      <c r="P161" t="str">
        <f t="shared" si="6"/>
        <v>agosto</v>
      </c>
    </row>
    <row r="162" spans="1:16" x14ac:dyDescent="0.25">
      <c r="A162">
        <v>161</v>
      </c>
      <c r="B162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>
        <v>420</v>
      </c>
      <c r="M162">
        <v>46</v>
      </c>
      <c r="N162">
        <f>Hoja4!$L162*Hoja4!$M162</f>
        <v>19320</v>
      </c>
      <c r="O162" t="str">
        <f t="shared" si="5"/>
        <v>Lun.</v>
      </c>
      <c r="P162" t="str">
        <f t="shared" si="6"/>
        <v>julio</v>
      </c>
    </row>
    <row r="163" spans="1:16" x14ac:dyDescent="0.25">
      <c r="A163">
        <v>162</v>
      </c>
      <c r="B163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>
        <v>742</v>
      </c>
      <c r="M163">
        <v>14</v>
      </c>
      <c r="N163">
        <f>Hoja4!$L163*Hoja4!$M163</f>
        <v>10388</v>
      </c>
      <c r="O163" t="str">
        <f t="shared" si="5"/>
        <v>Vie.</v>
      </c>
      <c r="P163" t="str">
        <f t="shared" si="6"/>
        <v>agosto</v>
      </c>
    </row>
    <row r="164" spans="1:16" x14ac:dyDescent="0.25">
      <c r="A164">
        <v>163</v>
      </c>
      <c r="B164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J164" t="s">
        <v>66</v>
      </c>
      <c r="K164" t="s">
        <v>57</v>
      </c>
      <c r="L164">
        <v>532</v>
      </c>
      <c r="M164">
        <v>85</v>
      </c>
      <c r="N164">
        <f>Hoja4!$L164*Hoja4!$M164</f>
        <v>45220</v>
      </c>
      <c r="O164" t="str">
        <f t="shared" si="5"/>
        <v>Mar.</v>
      </c>
      <c r="P164" t="str">
        <f t="shared" si="6"/>
        <v>abril</v>
      </c>
    </row>
    <row r="165" spans="1:16" x14ac:dyDescent="0.25">
      <c r="A165">
        <v>164</v>
      </c>
      <c r="B165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J165" t="s">
        <v>44</v>
      </c>
      <c r="K165" t="s">
        <v>11</v>
      </c>
      <c r="L165">
        <v>41.86</v>
      </c>
      <c r="M165">
        <v>88</v>
      </c>
      <c r="N165">
        <f>Hoja4!$L165*Hoja4!$M165</f>
        <v>3683.68</v>
      </c>
      <c r="O165" t="str">
        <f t="shared" si="5"/>
        <v>Jue.</v>
      </c>
      <c r="P165" t="str">
        <f t="shared" si="6"/>
        <v>septiembre</v>
      </c>
    </row>
    <row r="166" spans="1:16" x14ac:dyDescent="0.25">
      <c r="A166">
        <v>165</v>
      </c>
      <c r="B166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J166" t="s">
        <v>44</v>
      </c>
      <c r="K166" t="s">
        <v>11</v>
      </c>
      <c r="L166">
        <v>41.86</v>
      </c>
      <c r="M166">
        <v>81</v>
      </c>
      <c r="N166">
        <f>Hoja4!$L166*Hoja4!$M166</f>
        <v>3390.66</v>
      </c>
      <c r="O166" t="str">
        <f t="shared" si="5"/>
        <v>Mié.</v>
      </c>
      <c r="P166" t="str">
        <f t="shared" si="6"/>
        <v>enero</v>
      </c>
    </row>
    <row r="167" spans="1:16" x14ac:dyDescent="0.25">
      <c r="A167">
        <v>166</v>
      </c>
      <c r="B167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>
        <v>135.1</v>
      </c>
      <c r="M167">
        <v>33</v>
      </c>
      <c r="N167">
        <f>Hoja4!$L167*Hoja4!$M167</f>
        <v>4458.3</v>
      </c>
      <c r="O167" t="str">
        <f t="shared" si="5"/>
        <v>Mié.</v>
      </c>
      <c r="P167" t="str">
        <f t="shared" si="6"/>
        <v>noviembre</v>
      </c>
    </row>
    <row r="168" spans="1:16" x14ac:dyDescent="0.25">
      <c r="A168">
        <v>167</v>
      </c>
      <c r="B168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>
        <v>257.59999999999997</v>
      </c>
      <c r="M168">
        <v>47</v>
      </c>
      <c r="N168">
        <f>Hoja4!$L168*Hoja4!$M168</f>
        <v>12107.199999999999</v>
      </c>
      <c r="O168" t="str">
        <f t="shared" si="5"/>
        <v>Mié.</v>
      </c>
      <c r="P168" t="str">
        <f t="shared" si="6"/>
        <v>diciembre</v>
      </c>
    </row>
    <row r="169" spans="1:16" x14ac:dyDescent="0.25">
      <c r="A169">
        <v>168</v>
      </c>
      <c r="B169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>
        <v>273</v>
      </c>
      <c r="M169">
        <v>61</v>
      </c>
      <c r="N169">
        <f>Hoja4!$L169*Hoja4!$M169</f>
        <v>16653</v>
      </c>
      <c r="O169" t="str">
        <f t="shared" si="5"/>
        <v>Mar.</v>
      </c>
      <c r="P169" t="str">
        <f t="shared" si="6"/>
        <v>julio</v>
      </c>
    </row>
    <row r="170" spans="1:16" x14ac:dyDescent="0.25">
      <c r="A170">
        <v>169</v>
      </c>
      <c r="B170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>
        <v>487.19999999999993</v>
      </c>
      <c r="M170">
        <v>27</v>
      </c>
      <c r="N170">
        <f>Hoja4!$L170*Hoja4!$M170</f>
        <v>13154.399999999998</v>
      </c>
      <c r="O170" t="str">
        <f t="shared" si="5"/>
        <v>Mar.</v>
      </c>
      <c r="P170" t="str">
        <f t="shared" si="6"/>
        <v>junio</v>
      </c>
    </row>
    <row r="171" spans="1:16" x14ac:dyDescent="0.25">
      <c r="A171">
        <v>170</v>
      </c>
      <c r="B17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>
        <v>196</v>
      </c>
      <c r="M171">
        <v>84</v>
      </c>
      <c r="N171">
        <f>Hoja4!$L171*Hoja4!$M171</f>
        <v>16464</v>
      </c>
      <c r="O171" t="str">
        <f t="shared" si="5"/>
        <v>Mar.</v>
      </c>
      <c r="P171" t="str">
        <f t="shared" si="6"/>
        <v>marzo</v>
      </c>
    </row>
    <row r="172" spans="1:16" x14ac:dyDescent="0.25">
      <c r="A172">
        <v>171</v>
      </c>
      <c r="B172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>
        <v>560</v>
      </c>
      <c r="M172">
        <v>91</v>
      </c>
      <c r="N172">
        <f>Hoja4!$L172*Hoja4!$M172</f>
        <v>50960</v>
      </c>
      <c r="O172" t="str">
        <f t="shared" si="5"/>
        <v>Mar.</v>
      </c>
      <c r="P172" t="str">
        <f t="shared" si="6"/>
        <v>enero</v>
      </c>
    </row>
    <row r="173" spans="1:16" x14ac:dyDescent="0.25">
      <c r="A173">
        <v>172</v>
      </c>
      <c r="B173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>
        <v>128.79999999999998</v>
      </c>
      <c r="M173">
        <v>36</v>
      </c>
      <c r="N173">
        <f>Hoja4!$L173*Hoja4!$M173</f>
        <v>4636.7999999999993</v>
      </c>
      <c r="O173" t="str">
        <f t="shared" si="5"/>
        <v>Vie.</v>
      </c>
      <c r="P173" t="str">
        <f t="shared" si="6"/>
        <v>junio</v>
      </c>
    </row>
    <row r="174" spans="1:16" x14ac:dyDescent="0.25">
      <c r="A174">
        <v>173</v>
      </c>
      <c r="B174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>
        <v>140</v>
      </c>
      <c r="M174">
        <v>34</v>
      </c>
      <c r="N174">
        <f>Hoja4!$L174*Hoja4!$M174</f>
        <v>4760</v>
      </c>
      <c r="O174" t="str">
        <f t="shared" si="5"/>
        <v>Jue.</v>
      </c>
      <c r="P174" t="str">
        <f t="shared" si="6"/>
        <v>octubre</v>
      </c>
    </row>
    <row r="175" spans="1:16" x14ac:dyDescent="0.25">
      <c r="A175">
        <v>174</v>
      </c>
      <c r="B175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>
        <v>298.90000000000003</v>
      </c>
      <c r="M175">
        <v>81</v>
      </c>
      <c r="N175">
        <f>Hoja4!$L175*Hoja4!$M175</f>
        <v>24210.9</v>
      </c>
      <c r="O175" t="str">
        <f t="shared" si="5"/>
        <v>Mié.</v>
      </c>
      <c r="P175" t="str">
        <f t="shared" si="6"/>
        <v>enero</v>
      </c>
    </row>
    <row r="176" spans="1:16" x14ac:dyDescent="0.25">
      <c r="A176">
        <v>175</v>
      </c>
      <c r="B176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>
        <v>135.1</v>
      </c>
      <c r="M176">
        <v>25</v>
      </c>
      <c r="N176">
        <f>Hoja4!$L176*Hoja4!$M176</f>
        <v>3377.5</v>
      </c>
      <c r="O176" t="str">
        <f t="shared" si="5"/>
        <v>Mar.</v>
      </c>
      <c r="P176" t="str">
        <f t="shared" si="6"/>
        <v>agosto</v>
      </c>
    </row>
    <row r="177" spans="1:16" x14ac:dyDescent="0.25">
      <c r="A177">
        <v>176</v>
      </c>
      <c r="B177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>
        <v>257.59999999999997</v>
      </c>
      <c r="M177">
        <v>12</v>
      </c>
      <c r="N177">
        <f>Hoja4!$L177*Hoja4!$M177</f>
        <v>3091.2</v>
      </c>
      <c r="O177" t="str">
        <f t="shared" si="5"/>
        <v>Dom.</v>
      </c>
      <c r="P177" t="str">
        <f t="shared" si="6"/>
        <v>abril</v>
      </c>
    </row>
    <row r="178" spans="1:16" x14ac:dyDescent="0.25">
      <c r="A178">
        <v>177</v>
      </c>
      <c r="B178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>
        <v>196</v>
      </c>
      <c r="M178">
        <v>23</v>
      </c>
      <c r="N178">
        <f>Hoja4!$L178*Hoja4!$M178</f>
        <v>4508</v>
      </c>
      <c r="O178" t="str">
        <f t="shared" si="5"/>
        <v>Mié.</v>
      </c>
      <c r="P178" t="str">
        <f t="shared" si="6"/>
        <v>enero</v>
      </c>
    </row>
    <row r="179" spans="1:16" x14ac:dyDescent="0.25">
      <c r="A179">
        <v>178</v>
      </c>
      <c r="B179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>
        <v>178.5</v>
      </c>
      <c r="M179">
        <v>76</v>
      </c>
      <c r="N179">
        <f>Hoja4!$L179*Hoja4!$M179</f>
        <v>13566</v>
      </c>
      <c r="O179" t="str">
        <f t="shared" si="5"/>
        <v>Mié.</v>
      </c>
      <c r="P179" t="str">
        <f t="shared" si="6"/>
        <v>diciembre</v>
      </c>
    </row>
    <row r="180" spans="1:16" x14ac:dyDescent="0.25">
      <c r="A180">
        <v>179</v>
      </c>
      <c r="B180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>
        <v>1134</v>
      </c>
      <c r="M180">
        <v>55</v>
      </c>
      <c r="N180">
        <f>Hoja4!$L180*Hoja4!$M180</f>
        <v>62370</v>
      </c>
      <c r="O180" t="str">
        <f t="shared" si="5"/>
        <v>Jue.</v>
      </c>
      <c r="P180" t="str">
        <f t="shared" si="6"/>
        <v>abril</v>
      </c>
    </row>
    <row r="181" spans="1:16" x14ac:dyDescent="0.25">
      <c r="A181">
        <v>180</v>
      </c>
      <c r="B18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>
        <v>98</v>
      </c>
      <c r="M181">
        <v>19</v>
      </c>
      <c r="N181">
        <f>Hoja4!$L181*Hoja4!$M181</f>
        <v>1862</v>
      </c>
      <c r="O181" t="str">
        <f t="shared" si="5"/>
        <v>Mié.</v>
      </c>
      <c r="P181" t="str">
        <f t="shared" si="6"/>
        <v>septiembre</v>
      </c>
    </row>
    <row r="182" spans="1:16" x14ac:dyDescent="0.25">
      <c r="A182">
        <v>181</v>
      </c>
      <c r="B182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>
        <v>487.19999999999993</v>
      </c>
      <c r="M182">
        <v>27</v>
      </c>
      <c r="N182">
        <f>Hoja4!$L182*Hoja4!$M182</f>
        <v>13154.399999999998</v>
      </c>
      <c r="O182" t="str">
        <f t="shared" si="5"/>
        <v>Lun.</v>
      </c>
      <c r="P182" t="str">
        <f t="shared" si="6"/>
        <v>febrero</v>
      </c>
    </row>
    <row r="183" spans="1:16" x14ac:dyDescent="0.25">
      <c r="A183">
        <v>182</v>
      </c>
      <c r="B183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>
        <v>140</v>
      </c>
      <c r="M183">
        <v>99</v>
      </c>
      <c r="N183">
        <f>Hoja4!$L183*Hoja4!$M183</f>
        <v>13860</v>
      </c>
      <c r="O183" t="str">
        <f t="shared" si="5"/>
        <v>Dom.</v>
      </c>
      <c r="P183" t="str">
        <f t="shared" si="6"/>
        <v>agosto</v>
      </c>
    </row>
    <row r="184" spans="1:16" x14ac:dyDescent="0.25">
      <c r="A184">
        <v>183</v>
      </c>
      <c r="B184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>
        <v>560</v>
      </c>
      <c r="M184">
        <v>10</v>
      </c>
      <c r="N184">
        <f>Hoja4!$L184*Hoja4!$M184</f>
        <v>5600</v>
      </c>
      <c r="O184" t="str">
        <f t="shared" si="5"/>
        <v>Vie.</v>
      </c>
      <c r="P184" t="str">
        <f t="shared" si="6"/>
        <v>mayo</v>
      </c>
    </row>
    <row r="185" spans="1:16" x14ac:dyDescent="0.25">
      <c r="A185">
        <v>184</v>
      </c>
      <c r="B185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>
        <v>140</v>
      </c>
      <c r="M185">
        <v>80</v>
      </c>
      <c r="N185">
        <f>Hoja4!$L185*Hoja4!$M185</f>
        <v>11200</v>
      </c>
      <c r="O185" t="str">
        <f t="shared" si="5"/>
        <v>Dom.</v>
      </c>
      <c r="P185" t="str">
        <f t="shared" si="6"/>
        <v>septiembre</v>
      </c>
    </row>
    <row r="186" spans="1:16" x14ac:dyDescent="0.25">
      <c r="A186">
        <v>185</v>
      </c>
      <c r="B186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J186" t="s">
        <v>12</v>
      </c>
      <c r="K186" t="s">
        <v>13</v>
      </c>
      <c r="L186">
        <v>49</v>
      </c>
      <c r="M186">
        <v>27</v>
      </c>
      <c r="N186">
        <f>Hoja4!$L186*Hoja4!$M186</f>
        <v>1323</v>
      </c>
      <c r="O186" t="str">
        <f t="shared" si="5"/>
        <v>Mié.</v>
      </c>
      <c r="P186" t="str">
        <f t="shared" si="6"/>
        <v>agosto</v>
      </c>
    </row>
    <row r="187" spans="1:16" x14ac:dyDescent="0.25">
      <c r="A187">
        <v>186</v>
      </c>
      <c r="B187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J187" t="s">
        <v>38</v>
      </c>
      <c r="K187" t="s">
        <v>39</v>
      </c>
      <c r="L187">
        <v>560</v>
      </c>
      <c r="M187">
        <v>97</v>
      </c>
      <c r="N187">
        <f>Hoja4!$L187*Hoja4!$M187</f>
        <v>54320</v>
      </c>
      <c r="O187" t="str">
        <f t="shared" si="5"/>
        <v>Mié.</v>
      </c>
      <c r="P187" t="str">
        <f t="shared" si="6"/>
        <v>octubre</v>
      </c>
    </row>
    <row r="188" spans="1:16" x14ac:dyDescent="0.25">
      <c r="A188">
        <v>187</v>
      </c>
      <c r="B188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J188" t="s">
        <v>52</v>
      </c>
      <c r="K188" t="s">
        <v>53</v>
      </c>
      <c r="L188">
        <v>257.59999999999997</v>
      </c>
      <c r="M188">
        <v>42</v>
      </c>
      <c r="N188">
        <f>Hoja4!$L188*Hoja4!$M188</f>
        <v>10819.199999999999</v>
      </c>
      <c r="O188" t="str">
        <f t="shared" si="5"/>
        <v>Dom.</v>
      </c>
      <c r="P188" t="str">
        <f t="shared" si="6"/>
        <v>julio</v>
      </c>
    </row>
    <row r="189" spans="1:16" x14ac:dyDescent="0.25">
      <c r="A189">
        <v>188</v>
      </c>
      <c r="B189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>
        <v>644</v>
      </c>
      <c r="M189">
        <v>24</v>
      </c>
      <c r="N189">
        <f>Hoja4!$L189*Hoja4!$M189</f>
        <v>15456</v>
      </c>
      <c r="O189" t="str">
        <f t="shared" si="5"/>
        <v>Dom.</v>
      </c>
      <c r="P189" t="str">
        <f t="shared" si="6"/>
        <v>abril</v>
      </c>
    </row>
    <row r="190" spans="1:16" x14ac:dyDescent="0.25">
      <c r="A190">
        <v>189</v>
      </c>
      <c r="B190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>
        <v>135.1</v>
      </c>
      <c r="M190">
        <v>90</v>
      </c>
      <c r="N190">
        <f>Hoja4!$L190*Hoja4!$M190</f>
        <v>12159</v>
      </c>
      <c r="O190" t="str">
        <f t="shared" si="5"/>
        <v>Vie.</v>
      </c>
      <c r="P190" t="str">
        <f t="shared" si="6"/>
        <v>noviembre</v>
      </c>
    </row>
    <row r="191" spans="1:16" x14ac:dyDescent="0.25">
      <c r="A191">
        <v>190</v>
      </c>
      <c r="B19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>
        <v>178.5</v>
      </c>
      <c r="M191">
        <v>28</v>
      </c>
      <c r="N191">
        <f>Hoja4!$L191*Hoja4!$M191</f>
        <v>4998</v>
      </c>
      <c r="O191" t="str">
        <f t="shared" si="5"/>
        <v>Mié.</v>
      </c>
      <c r="P191" t="str">
        <f t="shared" si="6"/>
        <v>noviembre</v>
      </c>
    </row>
    <row r="192" spans="1:16" x14ac:dyDescent="0.25">
      <c r="A192">
        <v>191</v>
      </c>
      <c r="B192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>
        <v>644</v>
      </c>
      <c r="M192">
        <v>28</v>
      </c>
      <c r="N192">
        <f>Hoja4!$L192*Hoja4!$M192</f>
        <v>18032</v>
      </c>
      <c r="O192" t="str">
        <f t="shared" si="5"/>
        <v>Dom.</v>
      </c>
      <c r="P192" t="str">
        <f t="shared" si="6"/>
        <v>agosto</v>
      </c>
    </row>
    <row r="193" spans="1:16" x14ac:dyDescent="0.25">
      <c r="A193">
        <v>192</v>
      </c>
      <c r="B193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>
        <v>178.5</v>
      </c>
      <c r="M193">
        <v>57</v>
      </c>
      <c r="N193">
        <f>Hoja4!$L193*Hoja4!$M193</f>
        <v>10174.5</v>
      </c>
      <c r="O193" t="str">
        <f t="shared" si="5"/>
        <v>Jue.</v>
      </c>
      <c r="P193" t="str">
        <f t="shared" si="6"/>
        <v>agosto</v>
      </c>
    </row>
    <row r="194" spans="1:16" x14ac:dyDescent="0.25">
      <c r="A194">
        <v>193</v>
      </c>
      <c r="B194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>
        <v>41.86</v>
      </c>
      <c r="M194">
        <v>23</v>
      </c>
      <c r="N194">
        <f>Hoja4!$L194*Hoja4!$M194</f>
        <v>962.78</v>
      </c>
      <c r="O194" t="str">
        <f t="shared" ref="O194:O257" si="7">PROPER(TEXT(B194,"ddd."))</f>
        <v>Dom.</v>
      </c>
      <c r="P194" t="str">
        <f t="shared" ref="P194:P257" si="8">TEXT(B194,"mmmm")</f>
        <v>mayo</v>
      </c>
    </row>
    <row r="195" spans="1:16" x14ac:dyDescent="0.25">
      <c r="A195">
        <v>194</v>
      </c>
      <c r="B195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J195" t="s">
        <v>22</v>
      </c>
      <c r="K195" t="s">
        <v>11</v>
      </c>
      <c r="L195">
        <v>644</v>
      </c>
      <c r="M195">
        <v>86</v>
      </c>
      <c r="N195">
        <f>Hoja4!$L195*Hoja4!$M195</f>
        <v>55384</v>
      </c>
      <c r="O195" t="str">
        <f t="shared" si="7"/>
        <v>Mié.</v>
      </c>
      <c r="P195" t="str">
        <f t="shared" si="8"/>
        <v>abril</v>
      </c>
    </row>
    <row r="196" spans="1:16" x14ac:dyDescent="0.25">
      <c r="A196">
        <v>195</v>
      </c>
      <c r="B196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J196" t="s">
        <v>46</v>
      </c>
      <c r="K196" t="s">
        <v>47</v>
      </c>
      <c r="L196">
        <v>350</v>
      </c>
      <c r="M196">
        <v>47</v>
      </c>
      <c r="N196">
        <f>Hoja4!$L196*Hoja4!$M196</f>
        <v>16450</v>
      </c>
      <c r="O196" t="str">
        <f t="shared" si="7"/>
        <v>Vie.</v>
      </c>
      <c r="P196" t="str">
        <f t="shared" si="8"/>
        <v>julio</v>
      </c>
    </row>
    <row r="197" spans="1:16" x14ac:dyDescent="0.25">
      <c r="A197">
        <v>196</v>
      </c>
      <c r="B197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J197" t="s">
        <v>48</v>
      </c>
      <c r="K197" t="s">
        <v>49</v>
      </c>
      <c r="L197">
        <v>308</v>
      </c>
      <c r="M197">
        <v>97</v>
      </c>
      <c r="N197">
        <f>Hoja4!$L197*Hoja4!$M197</f>
        <v>29876</v>
      </c>
      <c r="O197" t="str">
        <f t="shared" si="7"/>
        <v>Jue.</v>
      </c>
      <c r="P197" t="str">
        <f t="shared" si="8"/>
        <v>enero</v>
      </c>
    </row>
    <row r="198" spans="1:16" x14ac:dyDescent="0.25">
      <c r="A198">
        <v>197</v>
      </c>
      <c r="B198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J198" t="s">
        <v>26</v>
      </c>
      <c r="K198" t="s">
        <v>27</v>
      </c>
      <c r="L198">
        <v>128.79999999999998</v>
      </c>
      <c r="M198">
        <v>96</v>
      </c>
      <c r="N198">
        <f>Hoja4!$L198*Hoja4!$M198</f>
        <v>12364.8</v>
      </c>
      <c r="O198" t="str">
        <f t="shared" si="7"/>
        <v>Dom.</v>
      </c>
      <c r="P198" t="str">
        <f t="shared" si="8"/>
        <v>marzo</v>
      </c>
    </row>
    <row r="199" spans="1:16" x14ac:dyDescent="0.25">
      <c r="A199">
        <v>198</v>
      </c>
      <c r="B199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J199" t="s">
        <v>12</v>
      </c>
      <c r="K199" t="s">
        <v>13</v>
      </c>
      <c r="L199">
        <v>49</v>
      </c>
      <c r="M199">
        <v>31</v>
      </c>
      <c r="N199">
        <f>Hoja4!$L199*Hoja4!$M199</f>
        <v>1519</v>
      </c>
      <c r="O199" t="str">
        <f t="shared" si="7"/>
        <v>Dom.</v>
      </c>
      <c r="P199" t="str">
        <f t="shared" si="8"/>
        <v>marzo</v>
      </c>
    </row>
    <row r="200" spans="1:16" x14ac:dyDescent="0.25">
      <c r="A200">
        <v>199</v>
      </c>
      <c r="B200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J200" t="s">
        <v>44</v>
      </c>
      <c r="K200" t="s">
        <v>11</v>
      </c>
      <c r="L200">
        <v>41.86</v>
      </c>
      <c r="M200">
        <v>52</v>
      </c>
      <c r="N200">
        <f>Hoja4!$L200*Hoja4!$M200</f>
        <v>2176.7199999999998</v>
      </c>
      <c r="O200" t="str">
        <f t="shared" si="7"/>
        <v>Lun.</v>
      </c>
      <c r="P200" t="str">
        <f t="shared" si="8"/>
        <v>junio</v>
      </c>
    </row>
    <row r="201" spans="1:16" x14ac:dyDescent="0.25">
      <c r="A201">
        <v>200</v>
      </c>
      <c r="B20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J201" t="s">
        <v>21</v>
      </c>
      <c r="K201" t="s">
        <v>11</v>
      </c>
      <c r="L201">
        <v>252</v>
      </c>
      <c r="M201">
        <v>91</v>
      </c>
      <c r="N201">
        <f>Hoja4!$L201*Hoja4!$M201</f>
        <v>22932</v>
      </c>
      <c r="O201" t="str">
        <f t="shared" si="7"/>
        <v>Vie.</v>
      </c>
      <c r="P201" t="str">
        <f t="shared" si="8"/>
        <v>junio</v>
      </c>
    </row>
    <row r="202" spans="1:16" x14ac:dyDescent="0.25">
      <c r="A202">
        <v>201</v>
      </c>
      <c r="B202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J202" t="s">
        <v>22</v>
      </c>
      <c r="K202" t="s">
        <v>11</v>
      </c>
      <c r="L202">
        <v>644</v>
      </c>
      <c r="M202">
        <v>14</v>
      </c>
      <c r="N202">
        <f>Hoja4!$L202*Hoja4!$M202</f>
        <v>9016</v>
      </c>
      <c r="O202" t="str">
        <f t="shared" si="7"/>
        <v>Lun.</v>
      </c>
      <c r="P202" t="str">
        <f t="shared" si="8"/>
        <v>junio</v>
      </c>
    </row>
    <row r="203" spans="1:16" x14ac:dyDescent="0.25">
      <c r="A203">
        <v>202</v>
      </c>
      <c r="B203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J203" t="s">
        <v>44</v>
      </c>
      <c r="K203" t="s">
        <v>11</v>
      </c>
      <c r="L203">
        <v>41.86</v>
      </c>
      <c r="M203">
        <v>44</v>
      </c>
      <c r="N203">
        <f>Hoja4!$L203*Hoja4!$M203</f>
        <v>1841.84</v>
      </c>
      <c r="O203" t="str">
        <f t="shared" si="7"/>
        <v>Jue.</v>
      </c>
      <c r="P203" t="str">
        <f t="shared" si="8"/>
        <v>abril</v>
      </c>
    </row>
    <row r="204" spans="1:16" x14ac:dyDescent="0.25">
      <c r="A204">
        <v>203</v>
      </c>
      <c r="B204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>
        <v>135.1</v>
      </c>
      <c r="M204">
        <v>97</v>
      </c>
      <c r="N204">
        <f>Hoja4!$L204*Hoja4!$M204</f>
        <v>13104.699999999999</v>
      </c>
      <c r="O204" t="str">
        <f t="shared" si="7"/>
        <v>Lun.</v>
      </c>
      <c r="P204" t="str">
        <f t="shared" si="8"/>
        <v>octubre</v>
      </c>
    </row>
    <row r="205" spans="1:16" x14ac:dyDescent="0.25">
      <c r="A205">
        <v>204</v>
      </c>
      <c r="B205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>
        <v>257.59999999999997</v>
      </c>
      <c r="M205">
        <v>80</v>
      </c>
      <c r="N205">
        <f>Hoja4!$L205*Hoja4!$M205</f>
        <v>20607.999999999996</v>
      </c>
      <c r="O205" t="str">
        <f t="shared" si="7"/>
        <v>Sáb.</v>
      </c>
      <c r="P205" t="str">
        <f t="shared" si="8"/>
        <v>abril</v>
      </c>
    </row>
    <row r="206" spans="1:16" x14ac:dyDescent="0.25">
      <c r="A206">
        <v>205</v>
      </c>
      <c r="B206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>
        <v>273</v>
      </c>
      <c r="M206">
        <v>66</v>
      </c>
      <c r="N206">
        <f>Hoja4!$L206*Hoja4!$M206</f>
        <v>18018</v>
      </c>
      <c r="O206" t="str">
        <f t="shared" si="7"/>
        <v>Mar.</v>
      </c>
      <c r="P206" t="str">
        <f t="shared" si="8"/>
        <v>octubre</v>
      </c>
    </row>
    <row r="207" spans="1:16" x14ac:dyDescent="0.25">
      <c r="A207">
        <v>206</v>
      </c>
      <c r="B207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>
        <v>487.19999999999993</v>
      </c>
      <c r="M207">
        <v>32</v>
      </c>
      <c r="N207">
        <f>Hoja4!$L207*Hoja4!$M207</f>
        <v>15590.399999999998</v>
      </c>
      <c r="O207" t="str">
        <f t="shared" si="7"/>
        <v>Dom.</v>
      </c>
      <c r="P207" t="str">
        <f t="shared" si="8"/>
        <v>abril</v>
      </c>
    </row>
    <row r="208" spans="1:16" x14ac:dyDescent="0.25">
      <c r="A208">
        <v>207</v>
      </c>
      <c r="B208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>
        <v>196</v>
      </c>
      <c r="M208">
        <v>52</v>
      </c>
      <c r="N208">
        <f>Hoja4!$L208*Hoja4!$M208</f>
        <v>10192</v>
      </c>
      <c r="O208" t="str">
        <f t="shared" si="7"/>
        <v>Mié.</v>
      </c>
      <c r="P208" t="str">
        <f t="shared" si="8"/>
        <v>noviembre</v>
      </c>
    </row>
    <row r="209" spans="1:16" x14ac:dyDescent="0.25">
      <c r="A209">
        <v>208</v>
      </c>
      <c r="B209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>
        <v>560</v>
      </c>
      <c r="M209">
        <v>78</v>
      </c>
      <c r="N209">
        <f>Hoja4!$L209*Hoja4!$M209</f>
        <v>43680</v>
      </c>
      <c r="O209" t="str">
        <f t="shared" si="7"/>
        <v>Dom.</v>
      </c>
      <c r="P209" t="str">
        <f t="shared" si="8"/>
        <v>marzo</v>
      </c>
    </row>
    <row r="210" spans="1:16" x14ac:dyDescent="0.25">
      <c r="A210">
        <v>209</v>
      </c>
      <c r="B210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>
        <v>128.79999999999998</v>
      </c>
      <c r="M210">
        <v>54</v>
      </c>
      <c r="N210">
        <f>Hoja4!$L210*Hoja4!$M210</f>
        <v>6955.1999999999989</v>
      </c>
      <c r="O210" t="str">
        <f t="shared" si="7"/>
        <v>Lun.</v>
      </c>
      <c r="P210" t="str">
        <f t="shared" si="8"/>
        <v>marzo</v>
      </c>
    </row>
    <row r="211" spans="1:16" x14ac:dyDescent="0.25">
      <c r="A211">
        <v>210</v>
      </c>
      <c r="B21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>
        <v>140</v>
      </c>
      <c r="M211">
        <v>55</v>
      </c>
      <c r="N211">
        <f>Hoja4!$L211*Hoja4!$M211</f>
        <v>7700</v>
      </c>
      <c r="O211" t="str">
        <f t="shared" si="7"/>
        <v>Jue.</v>
      </c>
      <c r="P211" t="str">
        <f t="shared" si="8"/>
        <v>noviembre</v>
      </c>
    </row>
    <row r="212" spans="1:16" x14ac:dyDescent="0.25">
      <c r="A212">
        <v>211</v>
      </c>
      <c r="B212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>
        <v>298.90000000000003</v>
      </c>
      <c r="M212">
        <v>60</v>
      </c>
      <c r="N212">
        <f>Hoja4!$L212*Hoja4!$M212</f>
        <v>17934.000000000004</v>
      </c>
      <c r="O212" t="str">
        <f t="shared" si="7"/>
        <v>Mié.</v>
      </c>
      <c r="P212" t="str">
        <f t="shared" si="8"/>
        <v>septiembre</v>
      </c>
    </row>
    <row r="213" spans="1:16" x14ac:dyDescent="0.25">
      <c r="A213">
        <v>212</v>
      </c>
      <c r="B213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>
        <v>135.1</v>
      </c>
      <c r="M213">
        <v>19</v>
      </c>
      <c r="N213">
        <f>Hoja4!$L213*Hoja4!$M213</f>
        <v>2566.9</v>
      </c>
      <c r="O213" t="str">
        <f t="shared" si="7"/>
        <v>Mar.</v>
      </c>
      <c r="P213" t="str">
        <f t="shared" si="8"/>
        <v>enero</v>
      </c>
    </row>
    <row r="214" spans="1:16" x14ac:dyDescent="0.25">
      <c r="A214">
        <v>213</v>
      </c>
      <c r="B214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>
        <v>257.59999999999997</v>
      </c>
      <c r="M214">
        <v>66</v>
      </c>
      <c r="N214">
        <f>Hoja4!$L214*Hoja4!$M214</f>
        <v>17001.599999999999</v>
      </c>
      <c r="O214" t="str">
        <f t="shared" si="7"/>
        <v>Lun.</v>
      </c>
      <c r="P214" t="str">
        <f t="shared" si="8"/>
        <v>febrero</v>
      </c>
    </row>
    <row r="215" spans="1:16" x14ac:dyDescent="0.25">
      <c r="A215">
        <v>214</v>
      </c>
      <c r="B215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>
        <v>196</v>
      </c>
      <c r="M215">
        <v>42</v>
      </c>
      <c r="N215">
        <f>Hoja4!$L215*Hoja4!$M215</f>
        <v>8232</v>
      </c>
      <c r="O215" t="str">
        <f t="shared" si="7"/>
        <v>Mar.</v>
      </c>
      <c r="P215" t="str">
        <f t="shared" si="8"/>
        <v>febrero</v>
      </c>
    </row>
    <row r="216" spans="1:16" x14ac:dyDescent="0.25">
      <c r="A216">
        <v>215</v>
      </c>
      <c r="B216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>
        <v>178.5</v>
      </c>
      <c r="M216">
        <v>72</v>
      </c>
      <c r="N216">
        <f>Hoja4!$L216*Hoja4!$M216</f>
        <v>12852</v>
      </c>
      <c r="O216" t="str">
        <f t="shared" si="7"/>
        <v>Sáb.</v>
      </c>
      <c r="P216" t="str">
        <f t="shared" si="8"/>
        <v>julio</v>
      </c>
    </row>
    <row r="217" spans="1:16" x14ac:dyDescent="0.25">
      <c r="A217">
        <v>216</v>
      </c>
      <c r="B217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>
        <v>1134</v>
      </c>
      <c r="M217">
        <v>32</v>
      </c>
      <c r="N217">
        <f>Hoja4!$L217*Hoja4!$M217</f>
        <v>36288</v>
      </c>
      <c r="O217" t="str">
        <f t="shared" si="7"/>
        <v>Vie.</v>
      </c>
      <c r="P217" t="str">
        <f t="shared" si="8"/>
        <v>julio</v>
      </c>
    </row>
    <row r="218" spans="1:16" x14ac:dyDescent="0.25">
      <c r="A218">
        <v>217</v>
      </c>
      <c r="B218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>
        <v>98</v>
      </c>
      <c r="M218">
        <v>76</v>
      </c>
      <c r="N218">
        <f>Hoja4!$L218*Hoja4!$M218</f>
        <v>7448</v>
      </c>
      <c r="O218" t="str">
        <f t="shared" si="7"/>
        <v>Jue.</v>
      </c>
      <c r="P218" t="str">
        <f t="shared" si="8"/>
        <v>marzo</v>
      </c>
    </row>
    <row r="219" spans="1:16" x14ac:dyDescent="0.25">
      <c r="A219">
        <v>218</v>
      </c>
      <c r="B219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J219" t="s">
        <v>26</v>
      </c>
      <c r="K219" t="s">
        <v>27</v>
      </c>
      <c r="L219">
        <v>128.79999999999998</v>
      </c>
      <c r="M219">
        <v>83</v>
      </c>
      <c r="N219">
        <f>Hoja4!$L219*Hoja4!$M219</f>
        <v>10690.399999999998</v>
      </c>
      <c r="O219" t="str">
        <f t="shared" si="7"/>
        <v>Mar.</v>
      </c>
      <c r="P219" t="str">
        <f t="shared" si="8"/>
        <v>julio</v>
      </c>
    </row>
    <row r="220" spans="1:16" x14ac:dyDescent="0.25">
      <c r="A220">
        <v>219</v>
      </c>
      <c r="B220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J220" t="s">
        <v>12</v>
      </c>
      <c r="K220" t="s">
        <v>13</v>
      </c>
      <c r="L220">
        <v>49</v>
      </c>
      <c r="M220">
        <v>91</v>
      </c>
      <c r="N220">
        <f>Hoja4!$L220*Hoja4!$M220</f>
        <v>4459</v>
      </c>
      <c r="O220" t="str">
        <f t="shared" si="7"/>
        <v>Jue.</v>
      </c>
      <c r="P220" t="str">
        <f t="shared" si="8"/>
        <v>mayo</v>
      </c>
    </row>
    <row r="221" spans="1:16" x14ac:dyDescent="0.25">
      <c r="A221">
        <v>220</v>
      </c>
      <c r="B22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J221" t="s">
        <v>44</v>
      </c>
      <c r="K221" t="s">
        <v>11</v>
      </c>
      <c r="L221">
        <v>41.86</v>
      </c>
      <c r="M221">
        <v>64</v>
      </c>
      <c r="N221">
        <f>Hoja4!$L221*Hoja4!$M221</f>
        <v>2679.04</v>
      </c>
      <c r="O221" t="str">
        <f t="shared" si="7"/>
        <v>Mar.</v>
      </c>
      <c r="P221" t="str">
        <f t="shared" si="8"/>
        <v>octubre</v>
      </c>
    </row>
    <row r="222" spans="1:16" x14ac:dyDescent="0.25">
      <c r="A222">
        <v>221</v>
      </c>
      <c r="B222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J222" t="s">
        <v>21</v>
      </c>
      <c r="K222" t="s">
        <v>11</v>
      </c>
      <c r="L222">
        <v>252</v>
      </c>
      <c r="M222">
        <v>58</v>
      </c>
      <c r="N222">
        <f>Hoja4!$L222*Hoja4!$M222</f>
        <v>14616</v>
      </c>
      <c r="O222" t="str">
        <f t="shared" si="7"/>
        <v>Mar.</v>
      </c>
      <c r="P222" t="str">
        <f t="shared" si="8"/>
        <v>julio</v>
      </c>
    </row>
    <row r="223" spans="1:16" x14ac:dyDescent="0.25">
      <c r="A223">
        <v>222</v>
      </c>
      <c r="B223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J223" t="s">
        <v>22</v>
      </c>
      <c r="K223" t="s">
        <v>11</v>
      </c>
      <c r="L223">
        <v>644</v>
      </c>
      <c r="M223">
        <v>97</v>
      </c>
      <c r="N223">
        <f>Hoja4!$L223*Hoja4!$M223</f>
        <v>62468</v>
      </c>
      <c r="O223" t="str">
        <f t="shared" si="7"/>
        <v>Mar.</v>
      </c>
      <c r="P223" t="str">
        <f t="shared" si="8"/>
        <v>mayo</v>
      </c>
    </row>
    <row r="224" spans="1:16" x14ac:dyDescent="0.25">
      <c r="A224">
        <v>223</v>
      </c>
      <c r="B224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J224" t="s">
        <v>44</v>
      </c>
      <c r="K224" t="s">
        <v>11</v>
      </c>
      <c r="L224">
        <v>41.86</v>
      </c>
      <c r="M224">
        <v>14</v>
      </c>
      <c r="N224">
        <f>Hoja4!$L224*Hoja4!$M224</f>
        <v>586.04</v>
      </c>
      <c r="O224" t="str">
        <f t="shared" si="7"/>
        <v>Vie.</v>
      </c>
      <c r="P224" t="str">
        <f t="shared" si="8"/>
        <v>julio</v>
      </c>
    </row>
    <row r="225" spans="1:16" x14ac:dyDescent="0.25">
      <c r="A225">
        <v>224</v>
      </c>
      <c r="B225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>
        <v>135.1</v>
      </c>
      <c r="M225">
        <v>68</v>
      </c>
      <c r="N225">
        <f>Hoja4!$L225*Hoja4!$M225</f>
        <v>9186.7999999999993</v>
      </c>
      <c r="O225" t="str">
        <f t="shared" si="7"/>
        <v>Dom.</v>
      </c>
      <c r="P225" t="str">
        <f t="shared" si="8"/>
        <v>abril</v>
      </c>
    </row>
    <row r="226" spans="1:16" x14ac:dyDescent="0.25">
      <c r="A226">
        <v>225</v>
      </c>
      <c r="B226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>
        <v>257.59999999999997</v>
      </c>
      <c r="M226">
        <v>32</v>
      </c>
      <c r="N226">
        <f>Hoja4!$L226*Hoja4!$M226</f>
        <v>8243.1999999999989</v>
      </c>
      <c r="O226" t="str">
        <f t="shared" si="7"/>
        <v>Vie.</v>
      </c>
      <c r="P226" t="str">
        <f t="shared" si="8"/>
        <v>junio</v>
      </c>
    </row>
    <row r="227" spans="1:16" x14ac:dyDescent="0.25">
      <c r="A227">
        <v>226</v>
      </c>
      <c r="B227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>
        <v>273</v>
      </c>
      <c r="M227">
        <v>48</v>
      </c>
      <c r="N227">
        <f>Hoja4!$L227*Hoja4!$M227</f>
        <v>13104</v>
      </c>
      <c r="O227" t="str">
        <f t="shared" si="7"/>
        <v>Jue.</v>
      </c>
      <c r="P227" t="str">
        <f t="shared" si="8"/>
        <v>diciembre</v>
      </c>
    </row>
    <row r="228" spans="1:16" x14ac:dyDescent="0.25">
      <c r="A228">
        <v>227</v>
      </c>
      <c r="B228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>
        <v>487.19999999999993</v>
      </c>
      <c r="M228">
        <v>57</v>
      </c>
      <c r="N228">
        <f>Hoja4!$L228*Hoja4!$M228</f>
        <v>27770.399999999998</v>
      </c>
      <c r="O228" t="str">
        <f t="shared" si="7"/>
        <v>Sáb.</v>
      </c>
      <c r="P228" t="str">
        <f t="shared" si="8"/>
        <v>diciembre</v>
      </c>
    </row>
    <row r="229" spans="1:16" x14ac:dyDescent="0.25">
      <c r="A229">
        <v>228</v>
      </c>
      <c r="B229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>
        <v>196</v>
      </c>
      <c r="M229">
        <v>67</v>
      </c>
      <c r="N229">
        <f>Hoja4!$L229*Hoja4!$M229</f>
        <v>13132</v>
      </c>
      <c r="O229" t="str">
        <f t="shared" si="7"/>
        <v>Lun.</v>
      </c>
      <c r="P229" t="str">
        <f t="shared" si="8"/>
        <v>febrero</v>
      </c>
    </row>
    <row r="230" spans="1:16" x14ac:dyDescent="0.25">
      <c r="A230">
        <v>229</v>
      </c>
      <c r="B230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>
        <v>560</v>
      </c>
      <c r="M230">
        <v>48</v>
      </c>
      <c r="N230">
        <f>Hoja4!$L230*Hoja4!$M230</f>
        <v>26880</v>
      </c>
      <c r="O230" t="str">
        <f t="shared" si="7"/>
        <v>Mié.</v>
      </c>
      <c r="P230" t="str">
        <f t="shared" si="8"/>
        <v>febrero</v>
      </c>
    </row>
    <row r="231" spans="1:16" x14ac:dyDescent="0.25">
      <c r="A231">
        <v>230</v>
      </c>
      <c r="B23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>
        <v>128.79999999999998</v>
      </c>
      <c r="M231">
        <v>77</v>
      </c>
      <c r="N231">
        <f>Hoja4!$L231*Hoja4!$M231</f>
        <v>9917.5999999999985</v>
      </c>
      <c r="O231" t="str">
        <f t="shared" si="7"/>
        <v>Sáb.</v>
      </c>
      <c r="P231" t="str">
        <f t="shared" si="8"/>
        <v>abril</v>
      </c>
    </row>
    <row r="232" spans="1:16" x14ac:dyDescent="0.25">
      <c r="A232">
        <v>231</v>
      </c>
      <c r="B232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>
        <v>140</v>
      </c>
      <c r="M232">
        <v>94</v>
      </c>
      <c r="N232">
        <f>Hoja4!$L232*Hoja4!$M232</f>
        <v>13160</v>
      </c>
      <c r="O232" t="str">
        <f t="shared" si="7"/>
        <v>Mar.</v>
      </c>
      <c r="P232" t="str">
        <f t="shared" si="8"/>
        <v>abril</v>
      </c>
    </row>
    <row r="233" spans="1:16" x14ac:dyDescent="0.25">
      <c r="A233">
        <v>232</v>
      </c>
      <c r="B233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>
        <v>298.90000000000003</v>
      </c>
      <c r="M233">
        <v>54</v>
      </c>
      <c r="N233">
        <f>Hoja4!$L233*Hoja4!$M233</f>
        <v>16140.600000000002</v>
      </c>
      <c r="O233" t="str">
        <f t="shared" si="7"/>
        <v>Sáb.</v>
      </c>
      <c r="P233" t="str">
        <f t="shared" si="8"/>
        <v>septiembre</v>
      </c>
    </row>
    <row r="234" spans="1:16" x14ac:dyDescent="0.25">
      <c r="A234">
        <v>233</v>
      </c>
      <c r="B234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>
        <v>135.1</v>
      </c>
      <c r="M234">
        <v>43</v>
      </c>
      <c r="N234">
        <f>Hoja4!$L234*Hoja4!$M234</f>
        <v>5809.3</v>
      </c>
      <c r="O234" t="str">
        <f t="shared" si="7"/>
        <v>Vie.</v>
      </c>
      <c r="P234" t="str">
        <f t="shared" si="8"/>
        <v>febrero</v>
      </c>
    </row>
    <row r="235" spans="1:16" x14ac:dyDescent="0.25">
      <c r="A235">
        <v>234</v>
      </c>
      <c r="B235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>
        <v>257.59999999999997</v>
      </c>
      <c r="M235">
        <v>71</v>
      </c>
      <c r="N235">
        <f>Hoja4!$L235*Hoja4!$M235</f>
        <v>18289.599999999999</v>
      </c>
      <c r="O235" t="str">
        <f t="shared" si="7"/>
        <v>Mié.</v>
      </c>
      <c r="P235" t="str">
        <f t="shared" si="8"/>
        <v>diciembre</v>
      </c>
    </row>
    <row r="236" spans="1:16" x14ac:dyDescent="0.25">
      <c r="A236">
        <v>235</v>
      </c>
      <c r="B236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>
        <v>196</v>
      </c>
      <c r="M236">
        <v>50</v>
      </c>
      <c r="N236">
        <f>Hoja4!$L236*Hoja4!$M236</f>
        <v>9800</v>
      </c>
      <c r="O236" t="str">
        <f t="shared" si="7"/>
        <v>Sáb.</v>
      </c>
      <c r="P236" t="str">
        <f t="shared" si="8"/>
        <v>noviembre</v>
      </c>
    </row>
    <row r="237" spans="1:16" x14ac:dyDescent="0.25">
      <c r="A237">
        <v>236</v>
      </c>
      <c r="B237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>
        <v>178.5</v>
      </c>
      <c r="M237">
        <v>96</v>
      </c>
      <c r="N237">
        <f>Hoja4!$L237*Hoja4!$M237</f>
        <v>17136</v>
      </c>
      <c r="O237" t="str">
        <f t="shared" si="7"/>
        <v>Mar.</v>
      </c>
      <c r="P237" t="str">
        <f t="shared" si="8"/>
        <v>noviembre</v>
      </c>
    </row>
    <row r="238" spans="1:16" x14ac:dyDescent="0.25">
      <c r="A238">
        <v>237</v>
      </c>
      <c r="B238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>
        <v>1134</v>
      </c>
      <c r="M238">
        <v>54</v>
      </c>
      <c r="N238">
        <f>Hoja4!$L238*Hoja4!$M238</f>
        <v>61236</v>
      </c>
      <c r="O238" t="str">
        <f t="shared" si="7"/>
        <v>Dom.</v>
      </c>
      <c r="P238" t="str">
        <f t="shared" si="8"/>
        <v>abril</v>
      </c>
    </row>
    <row r="239" spans="1:16" x14ac:dyDescent="0.25">
      <c r="A239">
        <v>238</v>
      </c>
      <c r="B239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>
        <v>98</v>
      </c>
      <c r="M239">
        <v>39</v>
      </c>
      <c r="N239">
        <f>Hoja4!$L239*Hoja4!$M239</f>
        <v>3822</v>
      </c>
      <c r="O239" t="str">
        <f t="shared" si="7"/>
        <v>Dom.</v>
      </c>
      <c r="P239" t="str">
        <f t="shared" si="8"/>
        <v>enero</v>
      </c>
    </row>
    <row r="240" spans="1:16" x14ac:dyDescent="0.25">
      <c r="A240">
        <v>239</v>
      </c>
      <c r="B240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>
        <v>487.19999999999993</v>
      </c>
      <c r="M240">
        <v>63</v>
      </c>
      <c r="N240">
        <f>Hoja4!$L240*Hoja4!$M240</f>
        <v>30693.599999999995</v>
      </c>
      <c r="O240" t="str">
        <f t="shared" si="7"/>
        <v>Lun.</v>
      </c>
      <c r="P240" t="str">
        <f t="shared" si="8"/>
        <v>mayo</v>
      </c>
    </row>
    <row r="241" spans="1:16" x14ac:dyDescent="0.25">
      <c r="A241">
        <v>240</v>
      </c>
      <c r="B24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>
        <v>140</v>
      </c>
      <c r="M241">
        <v>71</v>
      </c>
      <c r="N241">
        <f>Hoja4!$L241*Hoja4!$M241</f>
        <v>9940</v>
      </c>
      <c r="O241" t="str">
        <f t="shared" si="7"/>
        <v>Mar.</v>
      </c>
      <c r="P241" t="str">
        <f t="shared" si="8"/>
        <v>enero</v>
      </c>
    </row>
    <row r="242" spans="1:16" x14ac:dyDescent="0.25">
      <c r="A242">
        <v>241</v>
      </c>
      <c r="B242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>
        <v>560</v>
      </c>
      <c r="M242">
        <v>88</v>
      </c>
      <c r="N242">
        <f>Hoja4!$L242*Hoja4!$M242</f>
        <v>49280</v>
      </c>
      <c r="O242" t="str">
        <f t="shared" si="7"/>
        <v>Mar.</v>
      </c>
      <c r="P242" t="str">
        <f t="shared" si="8"/>
        <v>enero</v>
      </c>
    </row>
    <row r="243" spans="1:16" x14ac:dyDescent="0.25">
      <c r="A243">
        <v>242</v>
      </c>
      <c r="B243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>
        <v>140</v>
      </c>
      <c r="M243">
        <v>59</v>
      </c>
      <c r="N243">
        <f>Hoja4!$L243*Hoja4!$M243</f>
        <v>8260</v>
      </c>
      <c r="O243" t="str">
        <f t="shared" si="7"/>
        <v>Dom.</v>
      </c>
      <c r="P243" t="str">
        <f t="shared" si="8"/>
        <v>marzo</v>
      </c>
    </row>
    <row r="244" spans="1:16" x14ac:dyDescent="0.25">
      <c r="A244">
        <v>243</v>
      </c>
      <c r="B244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>
        <v>560</v>
      </c>
      <c r="M244">
        <v>94</v>
      </c>
      <c r="N244">
        <f>Hoja4!$L244*Hoja4!$M244</f>
        <v>52640</v>
      </c>
      <c r="O244" t="str">
        <f t="shared" si="7"/>
        <v>Mar.</v>
      </c>
      <c r="P244" t="str">
        <f t="shared" si="8"/>
        <v>junio</v>
      </c>
    </row>
    <row r="245" spans="1:16" x14ac:dyDescent="0.25">
      <c r="A245">
        <v>244</v>
      </c>
      <c r="B245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>
        <v>644</v>
      </c>
      <c r="M245">
        <v>86</v>
      </c>
      <c r="N245">
        <f>Hoja4!$L245*Hoja4!$M245</f>
        <v>55384</v>
      </c>
      <c r="O245" t="str">
        <f t="shared" si="7"/>
        <v>Jue.</v>
      </c>
      <c r="P245" t="str">
        <f t="shared" si="8"/>
        <v>septiembre</v>
      </c>
    </row>
    <row r="246" spans="1:16" x14ac:dyDescent="0.25">
      <c r="A246">
        <v>245</v>
      </c>
      <c r="B246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>
        <v>178.5</v>
      </c>
      <c r="M246">
        <v>61</v>
      </c>
      <c r="N246">
        <f>Hoja4!$L246*Hoja4!$M246</f>
        <v>10888.5</v>
      </c>
      <c r="O246" t="str">
        <f t="shared" si="7"/>
        <v>Sáb.</v>
      </c>
      <c r="P246" t="str">
        <f t="shared" si="8"/>
        <v>junio</v>
      </c>
    </row>
    <row r="247" spans="1:16" x14ac:dyDescent="0.25">
      <c r="A247">
        <v>246</v>
      </c>
      <c r="B247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>
        <v>41.86</v>
      </c>
      <c r="M247">
        <v>32</v>
      </c>
      <c r="N247">
        <f>Hoja4!$L247*Hoja4!$M247</f>
        <v>1339.52</v>
      </c>
      <c r="O247" t="str">
        <f t="shared" si="7"/>
        <v>Lun.</v>
      </c>
      <c r="P247" t="str">
        <f t="shared" si="8"/>
        <v>septiembre</v>
      </c>
    </row>
    <row r="248" spans="1:16" x14ac:dyDescent="0.25">
      <c r="A248">
        <v>247</v>
      </c>
      <c r="B248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J248" t="s">
        <v>22</v>
      </c>
      <c r="K248" t="s">
        <v>11</v>
      </c>
      <c r="L248">
        <v>644</v>
      </c>
      <c r="M248">
        <v>62</v>
      </c>
      <c r="N248">
        <f>Hoja4!$L248*Hoja4!$M248</f>
        <v>39928</v>
      </c>
      <c r="O248" t="str">
        <f t="shared" si="7"/>
        <v>Dom.</v>
      </c>
      <c r="P248" t="str">
        <f t="shared" si="8"/>
        <v>febrero</v>
      </c>
    </row>
    <row r="249" spans="1:16" x14ac:dyDescent="0.25">
      <c r="A249">
        <v>248</v>
      </c>
      <c r="B249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J249" t="s">
        <v>46</v>
      </c>
      <c r="K249" t="s">
        <v>47</v>
      </c>
      <c r="L249">
        <v>350</v>
      </c>
      <c r="M249">
        <v>60</v>
      </c>
      <c r="N249">
        <f>Hoja4!$L249*Hoja4!$M249</f>
        <v>21000</v>
      </c>
      <c r="O249" t="str">
        <f t="shared" si="7"/>
        <v>Vie.</v>
      </c>
      <c r="P249" t="str">
        <f t="shared" si="8"/>
        <v>octubre</v>
      </c>
    </row>
    <row r="250" spans="1:16" x14ac:dyDescent="0.25">
      <c r="A250">
        <v>249</v>
      </c>
      <c r="B250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J250" t="s">
        <v>48</v>
      </c>
      <c r="K250" t="s">
        <v>49</v>
      </c>
      <c r="L250">
        <v>308</v>
      </c>
      <c r="M250">
        <v>51</v>
      </c>
      <c r="N250">
        <f>Hoja4!$L250*Hoja4!$M250</f>
        <v>15708</v>
      </c>
      <c r="O250" t="str">
        <f t="shared" si="7"/>
        <v>Sáb.</v>
      </c>
      <c r="P250" t="str">
        <f t="shared" si="8"/>
        <v>diciembre</v>
      </c>
    </row>
    <row r="251" spans="1:16" x14ac:dyDescent="0.25">
      <c r="A251">
        <v>250</v>
      </c>
      <c r="B25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J251" t="s">
        <v>26</v>
      </c>
      <c r="K251" t="s">
        <v>27</v>
      </c>
      <c r="L251">
        <v>128.79999999999998</v>
      </c>
      <c r="M251">
        <v>49</v>
      </c>
      <c r="N251">
        <f>Hoja4!$L251*Hoja4!$M251</f>
        <v>6311.1999999999989</v>
      </c>
      <c r="O251" t="str">
        <f t="shared" si="7"/>
        <v>Mié.</v>
      </c>
      <c r="P251" t="str">
        <f t="shared" si="8"/>
        <v>enero</v>
      </c>
    </row>
    <row r="252" spans="1:16" x14ac:dyDescent="0.25">
      <c r="A252">
        <v>251</v>
      </c>
      <c r="B252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J252" t="s">
        <v>12</v>
      </c>
      <c r="K252" t="s">
        <v>13</v>
      </c>
      <c r="L252">
        <v>49</v>
      </c>
      <c r="M252">
        <v>20</v>
      </c>
      <c r="N252">
        <f>Hoja4!$L252*Hoja4!$M252</f>
        <v>980</v>
      </c>
      <c r="O252" t="str">
        <f t="shared" si="7"/>
        <v>Dom.</v>
      </c>
      <c r="P252" t="str">
        <f t="shared" si="8"/>
        <v>febrero</v>
      </c>
    </row>
    <row r="253" spans="1:16" x14ac:dyDescent="0.25">
      <c r="A253">
        <v>252</v>
      </c>
      <c r="B253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J253" t="s">
        <v>44</v>
      </c>
      <c r="K253" t="s">
        <v>11</v>
      </c>
      <c r="L253">
        <v>41.86</v>
      </c>
      <c r="M253">
        <v>49</v>
      </c>
      <c r="N253">
        <f>Hoja4!$L253*Hoja4!$M253</f>
        <v>2051.14</v>
      </c>
      <c r="O253" t="str">
        <f t="shared" si="7"/>
        <v>Jue.</v>
      </c>
      <c r="P253" t="str">
        <f t="shared" si="8"/>
        <v>junio</v>
      </c>
    </row>
    <row r="254" spans="1:16" x14ac:dyDescent="0.25">
      <c r="A254">
        <v>253</v>
      </c>
      <c r="B254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J254" t="s">
        <v>21</v>
      </c>
      <c r="K254" t="s">
        <v>11</v>
      </c>
      <c r="L254">
        <v>252</v>
      </c>
      <c r="M254">
        <v>22</v>
      </c>
      <c r="N254">
        <f>Hoja4!$L254*Hoja4!$M254</f>
        <v>5544</v>
      </c>
      <c r="O254" t="str">
        <f t="shared" si="7"/>
        <v>Lun.</v>
      </c>
      <c r="P254" t="str">
        <f t="shared" si="8"/>
        <v>marzo</v>
      </c>
    </row>
    <row r="255" spans="1:16" x14ac:dyDescent="0.25">
      <c r="A255">
        <v>254</v>
      </c>
      <c r="B255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J255" t="s">
        <v>22</v>
      </c>
      <c r="K255" t="s">
        <v>11</v>
      </c>
      <c r="L255">
        <v>644</v>
      </c>
      <c r="M255">
        <v>73</v>
      </c>
      <c r="N255">
        <f>Hoja4!$L255*Hoja4!$M255</f>
        <v>47012</v>
      </c>
      <c r="O255" t="str">
        <f t="shared" si="7"/>
        <v>Sáb.</v>
      </c>
      <c r="P255" t="str">
        <f t="shared" si="8"/>
        <v>enero</v>
      </c>
    </row>
    <row r="256" spans="1:16" x14ac:dyDescent="0.25">
      <c r="A256">
        <v>255</v>
      </c>
      <c r="B256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J256" t="s">
        <v>44</v>
      </c>
      <c r="K256" t="s">
        <v>11</v>
      </c>
      <c r="L256">
        <v>41.86</v>
      </c>
      <c r="M256">
        <v>85</v>
      </c>
      <c r="N256">
        <f>Hoja4!$L256*Hoja4!$M256</f>
        <v>3558.1</v>
      </c>
      <c r="O256" t="str">
        <f t="shared" si="7"/>
        <v>Mar.</v>
      </c>
      <c r="P256" t="str">
        <f t="shared" si="8"/>
        <v>junio</v>
      </c>
    </row>
    <row r="257" spans="1:16" x14ac:dyDescent="0.25">
      <c r="A257">
        <v>256</v>
      </c>
      <c r="B257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>
        <v>135.1</v>
      </c>
      <c r="M257">
        <v>44</v>
      </c>
      <c r="N257">
        <f>Hoja4!$L257*Hoja4!$M257</f>
        <v>5944.4</v>
      </c>
      <c r="O257" t="str">
        <f t="shared" si="7"/>
        <v>Dom.</v>
      </c>
      <c r="P257" t="str">
        <f t="shared" si="8"/>
        <v>noviembre</v>
      </c>
    </row>
    <row r="258" spans="1:16" x14ac:dyDescent="0.25">
      <c r="A258">
        <v>257</v>
      </c>
      <c r="B258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>
        <v>257.59999999999997</v>
      </c>
      <c r="M258">
        <v>24</v>
      </c>
      <c r="N258">
        <f>Hoja4!$L258*Hoja4!$M258</f>
        <v>6182.4</v>
      </c>
      <c r="O258" t="str">
        <f t="shared" ref="O258:O321" si="9">PROPER(TEXT(B258,"ddd."))</f>
        <v>Mar.</v>
      </c>
      <c r="P258" t="str">
        <f t="shared" ref="P258:P321" si="10">TEXT(B258,"mmmm")</f>
        <v>enero</v>
      </c>
    </row>
    <row r="259" spans="1:16" x14ac:dyDescent="0.25">
      <c r="A259">
        <v>258</v>
      </c>
      <c r="B259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>
        <v>273</v>
      </c>
      <c r="M259">
        <v>64</v>
      </c>
      <c r="N259">
        <f>Hoja4!$L259*Hoja4!$M259</f>
        <v>17472</v>
      </c>
      <c r="O259" t="str">
        <f t="shared" si="9"/>
        <v>Jue.</v>
      </c>
      <c r="P259" t="str">
        <f t="shared" si="10"/>
        <v>diciembre</v>
      </c>
    </row>
    <row r="260" spans="1:16" x14ac:dyDescent="0.25">
      <c r="A260">
        <v>259</v>
      </c>
      <c r="B260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>
        <v>487.19999999999993</v>
      </c>
      <c r="M260">
        <v>70</v>
      </c>
      <c r="N260">
        <f>Hoja4!$L260*Hoja4!$M260</f>
        <v>34103.999999999993</v>
      </c>
      <c r="O260" t="str">
        <f t="shared" si="9"/>
        <v>Dom.</v>
      </c>
      <c r="P260" t="str">
        <f t="shared" si="10"/>
        <v>julio</v>
      </c>
    </row>
    <row r="261" spans="1:16" x14ac:dyDescent="0.25">
      <c r="A261">
        <v>260</v>
      </c>
      <c r="B26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>
        <v>196</v>
      </c>
      <c r="M261">
        <v>98</v>
      </c>
      <c r="N261">
        <f>Hoja4!$L261*Hoja4!$M261</f>
        <v>19208</v>
      </c>
      <c r="O261" t="str">
        <f t="shared" si="9"/>
        <v>Sáb.</v>
      </c>
      <c r="P261" t="str">
        <f t="shared" si="10"/>
        <v>noviembre</v>
      </c>
    </row>
    <row r="262" spans="1:16" x14ac:dyDescent="0.25">
      <c r="A262">
        <v>261</v>
      </c>
      <c r="B262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>
        <v>560</v>
      </c>
      <c r="M262">
        <v>48</v>
      </c>
      <c r="N262">
        <f>Hoja4!$L262*Hoja4!$M262</f>
        <v>26880</v>
      </c>
      <c r="O262" t="str">
        <f t="shared" si="9"/>
        <v>Mié.</v>
      </c>
      <c r="P262" t="str">
        <f t="shared" si="10"/>
        <v>noviembre</v>
      </c>
    </row>
    <row r="263" spans="1:16" x14ac:dyDescent="0.25">
      <c r="A263">
        <v>262</v>
      </c>
      <c r="B263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>
        <v>128.79999999999998</v>
      </c>
      <c r="M263">
        <v>100</v>
      </c>
      <c r="N263">
        <f>Hoja4!$L263*Hoja4!$M263</f>
        <v>12879.999999999998</v>
      </c>
      <c r="O263" t="str">
        <f t="shared" si="9"/>
        <v>Mar.</v>
      </c>
      <c r="P263" t="str">
        <f t="shared" si="10"/>
        <v>marzo</v>
      </c>
    </row>
    <row r="264" spans="1:16" x14ac:dyDescent="0.25">
      <c r="A264">
        <v>263</v>
      </c>
      <c r="B264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>
        <v>140</v>
      </c>
      <c r="M264">
        <v>90</v>
      </c>
      <c r="N264">
        <f>Hoja4!$L264*Hoja4!$M264</f>
        <v>12600</v>
      </c>
      <c r="O264" t="str">
        <f t="shared" si="9"/>
        <v>Lun.</v>
      </c>
      <c r="P264" t="str">
        <f t="shared" si="10"/>
        <v>octubre</v>
      </c>
    </row>
    <row r="265" spans="1:16" x14ac:dyDescent="0.25">
      <c r="A265">
        <v>264</v>
      </c>
      <c r="B265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>
        <v>298.90000000000003</v>
      </c>
      <c r="M265">
        <v>49</v>
      </c>
      <c r="N265">
        <f>Hoja4!$L265*Hoja4!$M265</f>
        <v>14646.100000000002</v>
      </c>
      <c r="O265" t="str">
        <f t="shared" si="9"/>
        <v>Jue.</v>
      </c>
      <c r="P265" t="str">
        <f t="shared" si="10"/>
        <v>septiembre</v>
      </c>
    </row>
    <row r="266" spans="1:16" x14ac:dyDescent="0.25">
      <c r="A266">
        <v>265</v>
      </c>
      <c r="B266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>
        <v>135.1</v>
      </c>
      <c r="M266">
        <v>71</v>
      </c>
      <c r="N266">
        <f>Hoja4!$L266*Hoja4!$M266</f>
        <v>9592.1</v>
      </c>
      <c r="O266" t="str">
        <f t="shared" si="9"/>
        <v>Dom.</v>
      </c>
      <c r="P266" t="str">
        <f t="shared" si="10"/>
        <v>agosto</v>
      </c>
    </row>
    <row r="267" spans="1:16" x14ac:dyDescent="0.25">
      <c r="A267">
        <v>266</v>
      </c>
      <c r="B267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>
        <v>257.59999999999997</v>
      </c>
      <c r="M267">
        <v>10</v>
      </c>
      <c r="N267">
        <f>Hoja4!$L267*Hoja4!$M267</f>
        <v>2575.9999999999995</v>
      </c>
      <c r="O267" t="str">
        <f t="shared" si="9"/>
        <v>Sáb.</v>
      </c>
      <c r="P267" t="str">
        <f t="shared" si="10"/>
        <v>febrero</v>
      </c>
    </row>
    <row r="268" spans="1:16" x14ac:dyDescent="0.25">
      <c r="A268">
        <v>267</v>
      </c>
      <c r="B268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>
        <v>196</v>
      </c>
      <c r="M268">
        <v>78</v>
      </c>
      <c r="N268">
        <f>Hoja4!$L268*Hoja4!$M268</f>
        <v>15288</v>
      </c>
      <c r="O268" t="str">
        <f t="shared" si="9"/>
        <v>Mar.</v>
      </c>
      <c r="P268" t="str">
        <f t="shared" si="10"/>
        <v>marzo</v>
      </c>
    </row>
    <row r="269" spans="1:16" x14ac:dyDescent="0.25">
      <c r="A269">
        <v>268</v>
      </c>
      <c r="B269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>
        <v>178.5</v>
      </c>
      <c r="M269">
        <v>44</v>
      </c>
      <c r="N269">
        <f>Hoja4!$L269*Hoja4!$M269</f>
        <v>7854</v>
      </c>
      <c r="O269" t="str">
        <f t="shared" si="9"/>
        <v>Sáb.</v>
      </c>
      <c r="P269" t="str">
        <f t="shared" si="10"/>
        <v>julio</v>
      </c>
    </row>
    <row r="270" spans="1:16" x14ac:dyDescent="0.25">
      <c r="A270">
        <v>269</v>
      </c>
      <c r="B270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>
        <v>1134</v>
      </c>
      <c r="M270">
        <v>82</v>
      </c>
      <c r="N270">
        <f>Hoja4!$L270*Hoja4!$M270</f>
        <v>92988</v>
      </c>
      <c r="O270" t="str">
        <f t="shared" si="9"/>
        <v>Lun.</v>
      </c>
      <c r="P270" t="str">
        <f t="shared" si="10"/>
        <v>octubre</v>
      </c>
    </row>
    <row r="271" spans="1:16" x14ac:dyDescent="0.25">
      <c r="A271">
        <v>270</v>
      </c>
      <c r="B27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>
        <v>98</v>
      </c>
      <c r="M271">
        <v>29</v>
      </c>
      <c r="N271">
        <f>Hoja4!$L271*Hoja4!$M271</f>
        <v>2842</v>
      </c>
      <c r="O271" t="str">
        <f t="shared" si="9"/>
        <v>Vie.</v>
      </c>
      <c r="P271" t="str">
        <f t="shared" si="10"/>
        <v>abril</v>
      </c>
    </row>
    <row r="272" spans="1:16" x14ac:dyDescent="0.25">
      <c r="A272">
        <v>271</v>
      </c>
      <c r="B272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>
        <v>487.19999999999993</v>
      </c>
      <c r="M272">
        <v>93</v>
      </c>
      <c r="N272">
        <f>Hoja4!$L272*Hoja4!$M272</f>
        <v>45309.599999999991</v>
      </c>
      <c r="O272" t="str">
        <f t="shared" si="9"/>
        <v>Mié.</v>
      </c>
      <c r="P272" t="str">
        <f t="shared" si="10"/>
        <v>septiembre</v>
      </c>
    </row>
    <row r="273" spans="1:16" x14ac:dyDescent="0.25">
      <c r="A273">
        <v>272</v>
      </c>
      <c r="B273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>
        <v>140</v>
      </c>
      <c r="M273">
        <v>11</v>
      </c>
      <c r="N273">
        <f>Hoja4!$L273*Hoja4!$M273</f>
        <v>1540</v>
      </c>
      <c r="O273" t="str">
        <f t="shared" si="9"/>
        <v>Mar.</v>
      </c>
      <c r="P273" t="str">
        <f t="shared" si="10"/>
        <v>octubre</v>
      </c>
    </row>
    <row r="274" spans="1:16" x14ac:dyDescent="0.25">
      <c r="A274">
        <v>273</v>
      </c>
      <c r="B274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>
        <v>560</v>
      </c>
      <c r="M274">
        <v>91</v>
      </c>
      <c r="N274">
        <f>Hoja4!$L274*Hoja4!$M274</f>
        <v>50960</v>
      </c>
      <c r="O274" t="str">
        <f t="shared" si="9"/>
        <v>Mar.</v>
      </c>
      <c r="P274" t="str">
        <f t="shared" si="10"/>
        <v>diciembre</v>
      </c>
    </row>
    <row r="275" spans="1:16" x14ac:dyDescent="0.25">
      <c r="A275">
        <v>274</v>
      </c>
      <c r="B275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>
        <v>140</v>
      </c>
      <c r="M275">
        <v>12</v>
      </c>
      <c r="N275">
        <f>Hoja4!$L275*Hoja4!$M275</f>
        <v>1680</v>
      </c>
      <c r="O275" t="str">
        <f t="shared" si="9"/>
        <v>Lun.</v>
      </c>
      <c r="P275" t="str">
        <f t="shared" si="10"/>
        <v>octubre</v>
      </c>
    </row>
    <row r="276" spans="1:16" x14ac:dyDescent="0.25">
      <c r="A276">
        <v>275</v>
      </c>
      <c r="B276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J276" t="s">
        <v>12</v>
      </c>
      <c r="K276" t="s">
        <v>13</v>
      </c>
      <c r="L276">
        <v>49</v>
      </c>
      <c r="M276">
        <v>78</v>
      </c>
      <c r="N276">
        <f>Hoja4!$L276*Hoja4!$M276</f>
        <v>3822</v>
      </c>
      <c r="O276" t="str">
        <f t="shared" si="9"/>
        <v>Jue.</v>
      </c>
      <c r="P276" t="str">
        <f t="shared" si="10"/>
        <v>julio</v>
      </c>
    </row>
    <row r="277" spans="1:16" x14ac:dyDescent="0.25">
      <c r="A277">
        <v>276</v>
      </c>
      <c r="B277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J277" t="s">
        <v>38</v>
      </c>
      <c r="K277" t="s">
        <v>39</v>
      </c>
      <c r="L277">
        <v>560</v>
      </c>
      <c r="M277">
        <v>60</v>
      </c>
      <c r="N277">
        <f>Hoja4!$L277*Hoja4!$M277</f>
        <v>33600</v>
      </c>
      <c r="O277" t="str">
        <f t="shared" si="9"/>
        <v>Mié.</v>
      </c>
      <c r="P277" t="str">
        <f t="shared" si="10"/>
        <v>marzo</v>
      </c>
    </row>
    <row r="278" spans="1:16" x14ac:dyDescent="0.25">
      <c r="A278">
        <v>277</v>
      </c>
      <c r="B278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J278" t="s">
        <v>52</v>
      </c>
      <c r="K278" t="s">
        <v>53</v>
      </c>
      <c r="L278">
        <v>257.59999999999997</v>
      </c>
      <c r="M278">
        <v>23</v>
      </c>
      <c r="N278">
        <f>Hoja4!$L278*Hoja4!$M278</f>
        <v>5924.7999999999993</v>
      </c>
      <c r="O278" t="str">
        <f t="shared" si="9"/>
        <v>Lun.</v>
      </c>
      <c r="P278" t="str">
        <f t="shared" si="10"/>
        <v>marzo</v>
      </c>
    </row>
    <row r="279" spans="1:16" x14ac:dyDescent="0.25">
      <c r="A279">
        <v>278</v>
      </c>
      <c r="B279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>
        <v>644</v>
      </c>
      <c r="M279">
        <v>34</v>
      </c>
      <c r="N279">
        <f>Hoja4!$L279*Hoja4!$M279</f>
        <v>21896</v>
      </c>
      <c r="O279" t="str">
        <f t="shared" si="9"/>
        <v>Vie.</v>
      </c>
      <c r="P279" t="str">
        <f t="shared" si="10"/>
        <v>septiembre</v>
      </c>
    </row>
    <row r="280" spans="1:16" x14ac:dyDescent="0.25">
      <c r="A280">
        <v>279</v>
      </c>
      <c r="B280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>
        <v>135.1</v>
      </c>
      <c r="M280">
        <v>89</v>
      </c>
      <c r="N280">
        <f>Hoja4!$L280*Hoja4!$M280</f>
        <v>12023.9</v>
      </c>
      <c r="O280" t="str">
        <f t="shared" si="9"/>
        <v>Dom.</v>
      </c>
      <c r="P280" t="str">
        <f t="shared" si="10"/>
        <v>agosto</v>
      </c>
    </row>
    <row r="281" spans="1:16" x14ac:dyDescent="0.25">
      <c r="A281">
        <v>280</v>
      </c>
      <c r="B28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>
        <v>178.5</v>
      </c>
      <c r="M281">
        <v>82</v>
      </c>
      <c r="N281">
        <f>Hoja4!$L281*Hoja4!$M281</f>
        <v>14637</v>
      </c>
      <c r="O281" t="str">
        <f t="shared" si="9"/>
        <v>Vie.</v>
      </c>
      <c r="P281" t="str">
        <f t="shared" si="10"/>
        <v>octubre</v>
      </c>
    </row>
    <row r="282" spans="1:16" x14ac:dyDescent="0.25">
      <c r="A282">
        <v>281</v>
      </c>
      <c r="B282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>
        <v>178.5</v>
      </c>
      <c r="M282">
        <v>43</v>
      </c>
      <c r="N282">
        <f>Hoja4!$L282*Hoja4!$M282</f>
        <v>7675.5</v>
      </c>
      <c r="O282" t="str">
        <f t="shared" si="9"/>
        <v>Mié.</v>
      </c>
      <c r="P282" t="str">
        <f t="shared" si="10"/>
        <v>noviembre</v>
      </c>
    </row>
    <row r="283" spans="1:16" x14ac:dyDescent="0.25">
      <c r="A283">
        <v>282</v>
      </c>
      <c r="B283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J283" t="s">
        <v>48</v>
      </c>
      <c r="K283" t="s">
        <v>49</v>
      </c>
      <c r="L283">
        <v>308</v>
      </c>
      <c r="M283">
        <v>96</v>
      </c>
      <c r="N283">
        <f>Hoja4!$L283*Hoja4!$M283</f>
        <v>29568</v>
      </c>
      <c r="O283" t="str">
        <f t="shared" si="9"/>
        <v>Mar.</v>
      </c>
      <c r="P283" t="str">
        <f t="shared" si="10"/>
        <v>agosto</v>
      </c>
    </row>
    <row r="284" spans="1:16" x14ac:dyDescent="0.25">
      <c r="A284">
        <v>283</v>
      </c>
      <c r="B284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J284" t="s">
        <v>26</v>
      </c>
      <c r="K284" t="s">
        <v>27</v>
      </c>
      <c r="L284">
        <v>128.79999999999998</v>
      </c>
      <c r="M284">
        <v>34</v>
      </c>
      <c r="N284">
        <f>Hoja4!$L284*Hoja4!$M284</f>
        <v>4379.2</v>
      </c>
      <c r="O284" t="str">
        <f t="shared" si="9"/>
        <v>Dom.</v>
      </c>
      <c r="P284" t="str">
        <f t="shared" si="10"/>
        <v>agosto</v>
      </c>
    </row>
    <row r="285" spans="1:16" x14ac:dyDescent="0.25">
      <c r="A285">
        <v>284</v>
      </c>
      <c r="B285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J285" t="s">
        <v>12</v>
      </c>
      <c r="K285" t="s">
        <v>13</v>
      </c>
      <c r="L285">
        <v>49</v>
      </c>
      <c r="M285">
        <v>42</v>
      </c>
      <c r="N285">
        <f>Hoja4!$L285*Hoja4!$M285</f>
        <v>2058</v>
      </c>
      <c r="O285" t="str">
        <f t="shared" si="9"/>
        <v>Mié.</v>
      </c>
      <c r="P285" t="str">
        <f t="shared" si="10"/>
        <v>junio</v>
      </c>
    </row>
    <row r="286" spans="1:16" x14ac:dyDescent="0.25">
      <c r="A286">
        <v>285</v>
      </c>
      <c r="B286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J286" t="s">
        <v>44</v>
      </c>
      <c r="K286" t="s">
        <v>11</v>
      </c>
      <c r="L286">
        <v>41.86</v>
      </c>
      <c r="M286">
        <v>100</v>
      </c>
      <c r="N286">
        <f>Hoja4!$L286*Hoja4!$M286</f>
        <v>4186</v>
      </c>
      <c r="O286" t="str">
        <f t="shared" si="9"/>
        <v>Sáb.</v>
      </c>
      <c r="P286" t="str">
        <f t="shared" si="10"/>
        <v>febrero</v>
      </c>
    </row>
    <row r="287" spans="1:16" x14ac:dyDescent="0.25">
      <c r="A287">
        <v>286</v>
      </c>
      <c r="B287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J287" t="s">
        <v>21</v>
      </c>
      <c r="K287" t="s">
        <v>11</v>
      </c>
      <c r="L287">
        <v>252</v>
      </c>
      <c r="M287">
        <v>42</v>
      </c>
      <c r="N287">
        <f>Hoja4!$L287*Hoja4!$M287</f>
        <v>10584</v>
      </c>
      <c r="O287" t="str">
        <f t="shared" si="9"/>
        <v>Jue.</v>
      </c>
      <c r="P287" t="str">
        <f t="shared" si="10"/>
        <v>diciembre</v>
      </c>
    </row>
    <row r="288" spans="1:16" x14ac:dyDescent="0.25">
      <c r="A288">
        <v>287</v>
      </c>
      <c r="B288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J288" t="s">
        <v>22</v>
      </c>
      <c r="K288" t="s">
        <v>11</v>
      </c>
      <c r="L288">
        <v>644</v>
      </c>
      <c r="M288">
        <v>16</v>
      </c>
      <c r="N288">
        <f>Hoja4!$L288*Hoja4!$M288</f>
        <v>10304</v>
      </c>
      <c r="O288" t="str">
        <f t="shared" si="9"/>
        <v>Sáb.</v>
      </c>
      <c r="P288" t="str">
        <f t="shared" si="10"/>
        <v>agosto</v>
      </c>
    </row>
    <row r="289" spans="1:16" x14ac:dyDescent="0.25">
      <c r="A289">
        <v>288</v>
      </c>
      <c r="B289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J289" t="s">
        <v>44</v>
      </c>
      <c r="K289" t="s">
        <v>11</v>
      </c>
      <c r="L289">
        <v>41.86</v>
      </c>
      <c r="M289">
        <v>22</v>
      </c>
      <c r="N289">
        <f>Hoja4!$L289*Hoja4!$M289</f>
        <v>920.92</v>
      </c>
      <c r="O289" t="str">
        <f t="shared" si="9"/>
        <v>Dom.</v>
      </c>
      <c r="P289" t="str">
        <f t="shared" si="10"/>
        <v>mayo</v>
      </c>
    </row>
    <row r="290" spans="1:16" x14ac:dyDescent="0.25">
      <c r="A290">
        <v>289</v>
      </c>
      <c r="B290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>
        <v>135.1</v>
      </c>
      <c r="M290">
        <v>46</v>
      </c>
      <c r="N290">
        <f>Hoja4!$L290*Hoja4!$M290</f>
        <v>6214.5999999999995</v>
      </c>
      <c r="O290" t="str">
        <f t="shared" si="9"/>
        <v>Vie.</v>
      </c>
      <c r="P290" t="str">
        <f t="shared" si="10"/>
        <v>octubre</v>
      </c>
    </row>
    <row r="291" spans="1:16" x14ac:dyDescent="0.25">
      <c r="A291">
        <v>290</v>
      </c>
      <c r="B29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>
        <v>257.59999999999997</v>
      </c>
      <c r="M291">
        <v>100</v>
      </c>
      <c r="N291">
        <f>Hoja4!$L291*Hoja4!$M291</f>
        <v>25759.999999999996</v>
      </c>
      <c r="O291" t="str">
        <f t="shared" si="9"/>
        <v>Mar.</v>
      </c>
      <c r="P291" t="str">
        <f t="shared" si="10"/>
        <v>enero</v>
      </c>
    </row>
    <row r="292" spans="1:16" x14ac:dyDescent="0.25">
      <c r="A292">
        <v>291</v>
      </c>
      <c r="B292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>
        <v>273</v>
      </c>
      <c r="M292">
        <v>87</v>
      </c>
      <c r="N292">
        <f>Hoja4!$L292*Hoja4!$M292</f>
        <v>23751</v>
      </c>
      <c r="O292" t="str">
        <f t="shared" si="9"/>
        <v>Mié.</v>
      </c>
      <c r="P292" t="str">
        <f t="shared" si="10"/>
        <v>febrero</v>
      </c>
    </row>
    <row r="293" spans="1:16" x14ac:dyDescent="0.25">
      <c r="A293">
        <v>292</v>
      </c>
      <c r="B293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>
        <v>487.19999999999993</v>
      </c>
      <c r="M293">
        <v>58</v>
      </c>
      <c r="N293">
        <f>Hoja4!$L293*Hoja4!$M293</f>
        <v>28257.599999999995</v>
      </c>
      <c r="O293" t="str">
        <f t="shared" si="9"/>
        <v>Jue.</v>
      </c>
      <c r="P293" t="str">
        <f t="shared" si="10"/>
        <v>abril</v>
      </c>
    </row>
    <row r="294" spans="1:16" x14ac:dyDescent="0.25">
      <c r="A294">
        <v>293</v>
      </c>
      <c r="B294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>
        <v>196</v>
      </c>
      <c r="M294">
        <v>85</v>
      </c>
      <c r="N294">
        <f>Hoja4!$L294*Hoja4!$M294</f>
        <v>16660</v>
      </c>
      <c r="O294" t="str">
        <f t="shared" si="9"/>
        <v>Mié.</v>
      </c>
      <c r="P294" t="str">
        <f t="shared" si="10"/>
        <v>agosto</v>
      </c>
    </row>
    <row r="295" spans="1:16" x14ac:dyDescent="0.25">
      <c r="A295">
        <v>294</v>
      </c>
      <c r="B295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>
        <v>560</v>
      </c>
      <c r="M295">
        <v>28</v>
      </c>
      <c r="N295">
        <f>Hoja4!$L295*Hoja4!$M295</f>
        <v>15680</v>
      </c>
      <c r="O295" t="str">
        <f t="shared" si="9"/>
        <v>Vie.</v>
      </c>
      <c r="P295" t="str">
        <f t="shared" si="10"/>
        <v>mayo</v>
      </c>
    </row>
    <row r="296" spans="1:16" x14ac:dyDescent="0.25">
      <c r="A296">
        <v>295</v>
      </c>
      <c r="B296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>
        <v>128.79999999999998</v>
      </c>
      <c r="M296">
        <v>19</v>
      </c>
      <c r="N296">
        <f>Hoja4!$L296*Hoja4!$M296</f>
        <v>2447.1999999999998</v>
      </c>
      <c r="O296" t="str">
        <f t="shared" si="9"/>
        <v>Dom.</v>
      </c>
      <c r="P296" t="str">
        <f t="shared" si="10"/>
        <v>diciembre</v>
      </c>
    </row>
    <row r="297" spans="1:16" x14ac:dyDescent="0.25">
      <c r="A297">
        <v>296</v>
      </c>
      <c r="B297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>
        <v>140</v>
      </c>
      <c r="M297">
        <v>99</v>
      </c>
      <c r="N297">
        <f>Hoja4!$L297*Hoja4!$M297</f>
        <v>13860</v>
      </c>
      <c r="O297" t="str">
        <f t="shared" si="9"/>
        <v>Lun.</v>
      </c>
      <c r="P297" t="str">
        <f t="shared" si="10"/>
        <v>junio</v>
      </c>
    </row>
    <row r="298" spans="1:16" x14ac:dyDescent="0.25">
      <c r="A298">
        <v>297</v>
      </c>
      <c r="B298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>
        <v>298.90000000000003</v>
      </c>
      <c r="M298">
        <v>69</v>
      </c>
      <c r="N298">
        <f>Hoja4!$L298*Hoja4!$M298</f>
        <v>20624.100000000002</v>
      </c>
      <c r="O298" t="str">
        <f t="shared" si="9"/>
        <v>Dom.</v>
      </c>
      <c r="P298" t="str">
        <f t="shared" si="10"/>
        <v>septiembre</v>
      </c>
    </row>
    <row r="299" spans="1:16" x14ac:dyDescent="0.25">
      <c r="A299">
        <v>298</v>
      </c>
      <c r="B299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>
        <v>135.1</v>
      </c>
      <c r="M299">
        <v>37</v>
      </c>
      <c r="N299">
        <f>Hoja4!$L299*Hoja4!$M299</f>
        <v>4998.7</v>
      </c>
      <c r="O299" t="str">
        <f t="shared" si="9"/>
        <v>Jue.</v>
      </c>
      <c r="P299" t="str">
        <f t="shared" si="10"/>
        <v>diciembre</v>
      </c>
    </row>
    <row r="300" spans="1:16" x14ac:dyDescent="0.25">
      <c r="A300">
        <v>299</v>
      </c>
      <c r="B300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>
        <v>257.59999999999997</v>
      </c>
      <c r="M300">
        <v>64</v>
      </c>
      <c r="N300">
        <f>Hoja4!$L300*Hoja4!$M300</f>
        <v>16486.399999999998</v>
      </c>
      <c r="O300" t="str">
        <f t="shared" si="9"/>
        <v>Mié.</v>
      </c>
      <c r="P300" t="str">
        <f t="shared" si="10"/>
        <v>abril</v>
      </c>
    </row>
    <row r="301" spans="1:16" x14ac:dyDescent="0.25">
      <c r="A301">
        <v>300</v>
      </c>
      <c r="B30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>
        <v>196</v>
      </c>
      <c r="M301">
        <v>38</v>
      </c>
      <c r="N301">
        <f>Hoja4!$L301*Hoja4!$M301</f>
        <v>7448</v>
      </c>
      <c r="O301" t="str">
        <f t="shared" si="9"/>
        <v>Lun.</v>
      </c>
      <c r="P301" t="str">
        <f t="shared" si="10"/>
        <v>octubre</v>
      </c>
    </row>
    <row r="302" spans="1:16" x14ac:dyDescent="0.25">
      <c r="A302">
        <v>301</v>
      </c>
      <c r="B302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>
        <v>178.5</v>
      </c>
      <c r="M302">
        <v>15</v>
      </c>
      <c r="N302">
        <f>Hoja4!$L302*Hoja4!$M302</f>
        <v>2677.5</v>
      </c>
      <c r="O302" t="str">
        <f t="shared" si="9"/>
        <v>Mar.</v>
      </c>
      <c r="P302" t="str">
        <f t="shared" si="10"/>
        <v>octubre</v>
      </c>
    </row>
    <row r="303" spans="1:16" x14ac:dyDescent="0.25">
      <c r="A303">
        <v>302</v>
      </c>
      <c r="B303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>
        <v>1134</v>
      </c>
      <c r="M303">
        <v>52</v>
      </c>
      <c r="N303">
        <f>Hoja4!$L303*Hoja4!$M303</f>
        <v>58968</v>
      </c>
      <c r="O303" t="str">
        <f t="shared" si="9"/>
        <v>Mar.</v>
      </c>
      <c r="P303" t="str">
        <f t="shared" si="10"/>
        <v>junio</v>
      </c>
    </row>
    <row r="304" spans="1:16" x14ac:dyDescent="0.25">
      <c r="A304">
        <v>303</v>
      </c>
      <c r="B304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>
        <v>98</v>
      </c>
      <c r="M304">
        <v>37</v>
      </c>
      <c r="N304">
        <f>Hoja4!$L304*Hoja4!$M304</f>
        <v>3626</v>
      </c>
      <c r="O304" t="str">
        <f t="shared" si="9"/>
        <v>Vie.</v>
      </c>
      <c r="P304" t="str">
        <f t="shared" si="10"/>
        <v>septiembre</v>
      </c>
    </row>
    <row r="305" spans="1:16" x14ac:dyDescent="0.25">
      <c r="A305">
        <v>304</v>
      </c>
      <c r="B305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>
        <v>487.19999999999993</v>
      </c>
      <c r="M305">
        <v>24</v>
      </c>
      <c r="N305">
        <f>Hoja4!$L305*Hoja4!$M305</f>
        <v>11692.8</v>
      </c>
      <c r="O305" t="str">
        <f t="shared" si="9"/>
        <v>Jue.</v>
      </c>
      <c r="P305" t="str">
        <f t="shared" si="10"/>
        <v>agosto</v>
      </c>
    </row>
    <row r="306" spans="1:16" x14ac:dyDescent="0.25">
      <c r="A306">
        <v>305</v>
      </c>
      <c r="B306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>
        <v>140</v>
      </c>
      <c r="M306">
        <v>36</v>
      </c>
      <c r="N306">
        <f>Hoja4!$L306*Hoja4!$M306</f>
        <v>5040</v>
      </c>
      <c r="O306" t="str">
        <f t="shared" si="9"/>
        <v>Jue.</v>
      </c>
      <c r="P306" t="str">
        <f t="shared" si="10"/>
        <v>mayo</v>
      </c>
    </row>
    <row r="307" spans="1:16" x14ac:dyDescent="0.25">
      <c r="A307">
        <v>306</v>
      </c>
      <c r="B307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>
        <v>560</v>
      </c>
      <c r="M307">
        <v>24</v>
      </c>
      <c r="N307">
        <f>Hoja4!$L307*Hoja4!$M307</f>
        <v>13440</v>
      </c>
      <c r="O307" t="str">
        <f t="shared" si="9"/>
        <v>Sáb.</v>
      </c>
      <c r="P307" t="str">
        <f t="shared" si="10"/>
        <v>julio</v>
      </c>
    </row>
    <row r="308" spans="1:16" x14ac:dyDescent="0.25">
      <c r="A308">
        <v>307</v>
      </c>
      <c r="B308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>
        <v>140</v>
      </c>
      <c r="M308">
        <v>20</v>
      </c>
      <c r="N308">
        <f>Hoja4!$L308*Hoja4!$M308</f>
        <v>2800</v>
      </c>
      <c r="O308" t="str">
        <f t="shared" si="9"/>
        <v>Vie.</v>
      </c>
      <c r="P308" t="str">
        <f t="shared" si="10"/>
        <v>septiembre</v>
      </c>
    </row>
    <row r="309" spans="1:16" x14ac:dyDescent="0.25">
      <c r="A309">
        <v>308</v>
      </c>
      <c r="B309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J309" t="s">
        <v>12</v>
      </c>
      <c r="K309" t="s">
        <v>13</v>
      </c>
      <c r="L309">
        <v>49</v>
      </c>
      <c r="M309">
        <v>11</v>
      </c>
      <c r="N309">
        <f>Hoja4!$L309*Hoja4!$M309</f>
        <v>539</v>
      </c>
      <c r="O309" t="str">
        <f t="shared" si="9"/>
        <v>Vie.</v>
      </c>
      <c r="P309" t="str">
        <f t="shared" si="10"/>
        <v>noviembre</v>
      </c>
    </row>
    <row r="310" spans="1:16" x14ac:dyDescent="0.25">
      <c r="A310">
        <v>309</v>
      </c>
      <c r="B310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J310" t="s">
        <v>38</v>
      </c>
      <c r="K310" t="s">
        <v>39</v>
      </c>
      <c r="L310">
        <v>560</v>
      </c>
      <c r="M310">
        <v>78</v>
      </c>
      <c r="N310">
        <f>Hoja4!$L310*Hoja4!$M310</f>
        <v>43680</v>
      </c>
      <c r="O310" t="str">
        <f t="shared" si="9"/>
        <v>Vie.</v>
      </c>
      <c r="P310" t="str">
        <f t="shared" si="10"/>
        <v>enero</v>
      </c>
    </row>
    <row r="311" spans="1:16" x14ac:dyDescent="0.25">
      <c r="A311">
        <v>310</v>
      </c>
      <c r="B31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J311" t="s">
        <v>52</v>
      </c>
      <c r="K311" t="s">
        <v>53</v>
      </c>
      <c r="L311">
        <v>257.59999999999997</v>
      </c>
      <c r="M311">
        <v>76</v>
      </c>
      <c r="N311">
        <f>Hoja4!$L311*Hoja4!$M311</f>
        <v>19577.599999999999</v>
      </c>
      <c r="O311" t="str">
        <f t="shared" si="9"/>
        <v>Vie.</v>
      </c>
      <c r="P311" t="str">
        <f t="shared" si="10"/>
        <v>julio</v>
      </c>
    </row>
    <row r="312" spans="1:16" x14ac:dyDescent="0.25">
      <c r="A312">
        <v>311</v>
      </c>
      <c r="B312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>
        <v>644</v>
      </c>
      <c r="M312">
        <v>57</v>
      </c>
      <c r="N312">
        <f>Hoja4!$L312*Hoja4!$M312</f>
        <v>36708</v>
      </c>
      <c r="O312" t="str">
        <f t="shared" si="9"/>
        <v>Mié.</v>
      </c>
      <c r="P312" t="str">
        <f t="shared" si="10"/>
        <v>octubre</v>
      </c>
    </row>
    <row r="313" spans="1:16" x14ac:dyDescent="0.25">
      <c r="A313">
        <v>312</v>
      </c>
      <c r="B313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>
        <v>135.1</v>
      </c>
      <c r="M313">
        <v>14</v>
      </c>
      <c r="N313">
        <f>Hoja4!$L313*Hoja4!$M313</f>
        <v>1891.3999999999999</v>
      </c>
      <c r="O313" t="str">
        <f t="shared" si="9"/>
        <v>Mié.</v>
      </c>
      <c r="P313" t="str">
        <f t="shared" si="10"/>
        <v>agosto</v>
      </c>
    </row>
    <row r="314" spans="1:16" x14ac:dyDescent="0.25">
      <c r="A314">
        <v>313</v>
      </c>
      <c r="B314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>
        <v>196</v>
      </c>
      <c r="M314">
        <v>14</v>
      </c>
      <c r="N314">
        <f>Hoja4!$L314*Hoja4!$M314</f>
        <v>2744</v>
      </c>
      <c r="O314" t="str">
        <f t="shared" si="9"/>
        <v>Sáb.</v>
      </c>
      <c r="P314" t="str">
        <f t="shared" si="10"/>
        <v>mayo</v>
      </c>
    </row>
    <row r="315" spans="1:16" x14ac:dyDescent="0.25">
      <c r="A315">
        <v>314</v>
      </c>
      <c r="B315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>
        <v>49</v>
      </c>
      <c r="M315">
        <v>70</v>
      </c>
      <c r="N315">
        <f>Hoja4!$L315*Hoja4!$M315</f>
        <v>3430</v>
      </c>
      <c r="O315" t="str">
        <f t="shared" si="9"/>
        <v>Jue.</v>
      </c>
      <c r="P315" t="str">
        <f t="shared" si="10"/>
        <v>noviembre</v>
      </c>
    </row>
    <row r="316" spans="1:16" x14ac:dyDescent="0.25">
      <c r="A316">
        <v>315</v>
      </c>
      <c r="B316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>
        <v>420</v>
      </c>
      <c r="M316">
        <v>100</v>
      </c>
      <c r="N316">
        <f>Hoja4!$L316*Hoja4!$M316</f>
        <v>42000</v>
      </c>
      <c r="O316" t="str">
        <f t="shared" si="9"/>
        <v>Sáb.</v>
      </c>
      <c r="P316" t="str">
        <f t="shared" si="10"/>
        <v>marzo</v>
      </c>
    </row>
    <row r="317" spans="1:16" x14ac:dyDescent="0.25">
      <c r="A317">
        <v>316</v>
      </c>
      <c r="B317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>
        <v>742</v>
      </c>
      <c r="M317">
        <v>27</v>
      </c>
      <c r="N317">
        <f>Hoja4!$L317*Hoja4!$M317</f>
        <v>20034</v>
      </c>
      <c r="O317" t="str">
        <f t="shared" si="9"/>
        <v>Mar.</v>
      </c>
      <c r="P317" t="str">
        <f t="shared" si="10"/>
        <v>septiembre</v>
      </c>
    </row>
    <row r="318" spans="1:16" x14ac:dyDescent="0.25">
      <c r="A318">
        <v>317</v>
      </c>
      <c r="B318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>
        <v>49</v>
      </c>
      <c r="M318">
        <v>70</v>
      </c>
      <c r="N318">
        <f>Hoja4!$L318*Hoja4!$M318</f>
        <v>3430</v>
      </c>
      <c r="O318" t="str">
        <f t="shared" si="9"/>
        <v>Mié.</v>
      </c>
      <c r="P318" t="str">
        <f t="shared" si="10"/>
        <v>agosto</v>
      </c>
    </row>
    <row r="319" spans="1:16" x14ac:dyDescent="0.25">
      <c r="A319">
        <v>318</v>
      </c>
      <c r="B319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>
        <v>252</v>
      </c>
      <c r="M319">
        <v>57</v>
      </c>
      <c r="N319">
        <f>Hoja4!$L319*Hoja4!$M319</f>
        <v>14364</v>
      </c>
      <c r="O319" t="str">
        <f t="shared" si="9"/>
        <v>Mié.</v>
      </c>
      <c r="P319" t="str">
        <f t="shared" si="10"/>
        <v>noviembre</v>
      </c>
    </row>
    <row r="320" spans="1:16" x14ac:dyDescent="0.25">
      <c r="A320">
        <v>319</v>
      </c>
      <c r="B320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>
        <v>644</v>
      </c>
      <c r="M320">
        <v>83</v>
      </c>
      <c r="N320">
        <f>Hoja4!$L320*Hoja4!$M320</f>
        <v>53452</v>
      </c>
      <c r="O320" t="str">
        <f t="shared" si="9"/>
        <v>Lun.</v>
      </c>
      <c r="P320" t="str">
        <f t="shared" si="10"/>
        <v>junio</v>
      </c>
    </row>
    <row r="321" spans="1:16" x14ac:dyDescent="0.25">
      <c r="A321">
        <v>320</v>
      </c>
      <c r="B32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>
        <v>128.79999999999998</v>
      </c>
      <c r="M321">
        <v>76</v>
      </c>
      <c r="N321">
        <f>Hoja4!$L321*Hoja4!$M321</f>
        <v>9788.7999999999993</v>
      </c>
      <c r="O321" t="str">
        <f t="shared" si="9"/>
        <v>Lun.</v>
      </c>
      <c r="P321" t="str">
        <f t="shared" si="10"/>
        <v>enero</v>
      </c>
    </row>
    <row r="322" spans="1:16" x14ac:dyDescent="0.25">
      <c r="A322">
        <v>321</v>
      </c>
      <c r="B322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>
        <v>128.79999999999998</v>
      </c>
      <c r="M322">
        <v>80</v>
      </c>
      <c r="N322">
        <f>Hoja4!$L322*Hoja4!$M322</f>
        <v>10303.999999999998</v>
      </c>
      <c r="O322" t="str">
        <f t="shared" ref="O322:O370" si="11">PROPER(TEXT(B322,"ddd."))</f>
        <v>Vie.</v>
      </c>
      <c r="P322" t="str">
        <f t="shared" ref="P322:P370" si="12">TEXT(B322,"mmmm")</f>
        <v>noviembre</v>
      </c>
    </row>
    <row r="323" spans="1:16" x14ac:dyDescent="0.25">
      <c r="A323">
        <v>322</v>
      </c>
      <c r="B323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>
        <v>178.5</v>
      </c>
      <c r="M323">
        <v>47</v>
      </c>
      <c r="N323">
        <f>Hoja4!$L323*Hoja4!$M323</f>
        <v>8389.5</v>
      </c>
      <c r="O323" t="str">
        <f t="shared" si="11"/>
        <v>Jue.</v>
      </c>
      <c r="P323" t="str">
        <f t="shared" si="12"/>
        <v>febrero</v>
      </c>
    </row>
    <row r="324" spans="1:16" x14ac:dyDescent="0.25">
      <c r="A324">
        <v>323</v>
      </c>
      <c r="B324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>
        <v>135.1</v>
      </c>
      <c r="M324">
        <v>96</v>
      </c>
      <c r="N324">
        <f>Hoja4!$L324*Hoja4!$M324</f>
        <v>12969.599999999999</v>
      </c>
      <c r="O324" t="str">
        <f t="shared" si="11"/>
        <v>Vie.</v>
      </c>
      <c r="P324" t="str">
        <f t="shared" si="12"/>
        <v>octubre</v>
      </c>
    </row>
    <row r="325" spans="1:16" x14ac:dyDescent="0.25">
      <c r="A325">
        <v>324</v>
      </c>
      <c r="B325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>
        <v>560</v>
      </c>
      <c r="M325">
        <v>32</v>
      </c>
      <c r="N325">
        <f>Hoja4!$L325*Hoja4!$M325</f>
        <v>17920</v>
      </c>
      <c r="O325" t="str">
        <f t="shared" si="11"/>
        <v>Dom.</v>
      </c>
      <c r="P325" t="str">
        <f t="shared" si="12"/>
        <v>agosto</v>
      </c>
    </row>
    <row r="326" spans="1:16" x14ac:dyDescent="0.25">
      <c r="A326">
        <v>325</v>
      </c>
      <c r="B326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>
        <v>644</v>
      </c>
      <c r="M326">
        <v>16</v>
      </c>
      <c r="N326">
        <f>Hoja4!$L326*Hoja4!$M326</f>
        <v>10304</v>
      </c>
      <c r="O326" t="str">
        <f t="shared" si="11"/>
        <v>Dom.</v>
      </c>
      <c r="P326" t="str">
        <f t="shared" si="12"/>
        <v>agosto</v>
      </c>
    </row>
    <row r="327" spans="1:16" x14ac:dyDescent="0.25">
      <c r="A327">
        <v>326</v>
      </c>
      <c r="B327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>
        <v>178.5</v>
      </c>
      <c r="M327">
        <v>41</v>
      </c>
      <c r="N327">
        <f>Hoja4!$L327*Hoja4!$M327</f>
        <v>7318.5</v>
      </c>
      <c r="O327" t="str">
        <f t="shared" si="11"/>
        <v>Jue.</v>
      </c>
      <c r="P327" t="str">
        <f t="shared" si="12"/>
        <v>febrero</v>
      </c>
    </row>
    <row r="328" spans="1:16" x14ac:dyDescent="0.25">
      <c r="A328">
        <v>327</v>
      </c>
      <c r="B328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>
        <v>41.86</v>
      </c>
      <c r="M328">
        <v>41</v>
      </c>
      <c r="N328">
        <f>Hoja4!$L328*Hoja4!$M328</f>
        <v>1716.26</v>
      </c>
      <c r="O328" t="str">
        <f t="shared" si="11"/>
        <v>Dom.</v>
      </c>
      <c r="P328" t="str">
        <f t="shared" si="12"/>
        <v>septiembre</v>
      </c>
    </row>
    <row r="329" spans="1:16" x14ac:dyDescent="0.25">
      <c r="A329">
        <v>328</v>
      </c>
      <c r="B329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J329" t="s">
        <v>22</v>
      </c>
      <c r="K329" t="s">
        <v>11</v>
      </c>
      <c r="L329">
        <v>644</v>
      </c>
      <c r="M329">
        <v>41</v>
      </c>
      <c r="N329">
        <f>Hoja4!$L329*Hoja4!$M329</f>
        <v>26404</v>
      </c>
      <c r="O329" t="str">
        <f t="shared" si="11"/>
        <v>Lun.</v>
      </c>
      <c r="P329" t="str">
        <f t="shared" si="12"/>
        <v>abril</v>
      </c>
    </row>
    <row r="330" spans="1:16" x14ac:dyDescent="0.25">
      <c r="A330">
        <v>329</v>
      </c>
      <c r="B330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J330" t="s">
        <v>46</v>
      </c>
      <c r="K330" t="s">
        <v>47</v>
      </c>
      <c r="L330">
        <v>350</v>
      </c>
      <c r="M330">
        <v>94</v>
      </c>
      <c r="N330">
        <f>Hoja4!$L330*Hoja4!$M330</f>
        <v>32900</v>
      </c>
      <c r="O330" t="str">
        <f t="shared" si="11"/>
        <v>Dom.</v>
      </c>
      <c r="P330" t="str">
        <f t="shared" si="12"/>
        <v>mayo</v>
      </c>
    </row>
    <row r="331" spans="1:16" x14ac:dyDescent="0.25">
      <c r="A331">
        <v>330</v>
      </c>
      <c r="B33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J331" t="s">
        <v>48</v>
      </c>
      <c r="K331" t="s">
        <v>49</v>
      </c>
      <c r="L331">
        <v>308</v>
      </c>
      <c r="M331">
        <v>20</v>
      </c>
      <c r="N331">
        <f>Hoja4!$L331*Hoja4!$M331</f>
        <v>6160</v>
      </c>
      <c r="O331" t="str">
        <f t="shared" si="11"/>
        <v>Mié.</v>
      </c>
      <c r="P331" t="str">
        <f t="shared" si="12"/>
        <v>junio</v>
      </c>
    </row>
    <row r="332" spans="1:16" x14ac:dyDescent="0.25">
      <c r="A332">
        <v>331</v>
      </c>
      <c r="B332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J332" t="s">
        <v>26</v>
      </c>
      <c r="K332" t="s">
        <v>27</v>
      </c>
      <c r="L332">
        <v>128.79999999999998</v>
      </c>
      <c r="M332">
        <v>13</v>
      </c>
      <c r="N332">
        <f>Hoja4!$L332*Hoja4!$M332</f>
        <v>1674.3999999999999</v>
      </c>
      <c r="O332" t="str">
        <f t="shared" si="11"/>
        <v>Dom.</v>
      </c>
      <c r="P332" t="str">
        <f t="shared" si="12"/>
        <v>febrero</v>
      </c>
    </row>
    <row r="333" spans="1:16" x14ac:dyDescent="0.25">
      <c r="A333">
        <v>332</v>
      </c>
      <c r="B333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J333" t="s">
        <v>12</v>
      </c>
      <c r="K333" t="s">
        <v>13</v>
      </c>
      <c r="L333">
        <v>49</v>
      </c>
      <c r="M333">
        <v>74</v>
      </c>
      <c r="N333">
        <f>Hoja4!$L333*Hoja4!$M333</f>
        <v>3626</v>
      </c>
      <c r="O333" t="str">
        <f t="shared" si="11"/>
        <v>Vie.</v>
      </c>
      <c r="P333" t="str">
        <f t="shared" si="12"/>
        <v>febrero</v>
      </c>
    </row>
    <row r="334" spans="1:16" x14ac:dyDescent="0.25">
      <c r="A334">
        <v>333</v>
      </c>
      <c r="B334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J334" t="s">
        <v>44</v>
      </c>
      <c r="K334" t="s">
        <v>11</v>
      </c>
      <c r="L334">
        <v>41.86</v>
      </c>
      <c r="M334">
        <v>53</v>
      </c>
      <c r="N334">
        <f>Hoja4!$L334*Hoja4!$M334</f>
        <v>2218.58</v>
      </c>
      <c r="O334" t="str">
        <f t="shared" si="11"/>
        <v>Dom.</v>
      </c>
      <c r="P334" t="str">
        <f t="shared" si="12"/>
        <v>abril</v>
      </c>
    </row>
    <row r="335" spans="1:16" x14ac:dyDescent="0.25">
      <c r="A335">
        <v>334</v>
      </c>
      <c r="B335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J335" t="s">
        <v>21</v>
      </c>
      <c r="K335" t="s">
        <v>11</v>
      </c>
      <c r="L335">
        <v>252</v>
      </c>
      <c r="M335">
        <v>99</v>
      </c>
      <c r="N335">
        <f>Hoja4!$L335*Hoja4!$M335</f>
        <v>24948</v>
      </c>
      <c r="O335" t="str">
        <f t="shared" si="11"/>
        <v>Jue.</v>
      </c>
      <c r="P335" t="str">
        <f t="shared" si="12"/>
        <v>febrero</v>
      </c>
    </row>
    <row r="336" spans="1:16" x14ac:dyDescent="0.25">
      <c r="A336">
        <v>335</v>
      </c>
      <c r="B336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J336" t="s">
        <v>22</v>
      </c>
      <c r="K336" t="s">
        <v>11</v>
      </c>
      <c r="L336">
        <v>644</v>
      </c>
      <c r="M336">
        <v>89</v>
      </c>
      <c r="N336">
        <f>Hoja4!$L336*Hoja4!$M336</f>
        <v>57316</v>
      </c>
      <c r="O336" t="str">
        <f t="shared" si="11"/>
        <v>Jue.</v>
      </c>
      <c r="P336" t="str">
        <f t="shared" si="12"/>
        <v>enero</v>
      </c>
    </row>
    <row r="337" spans="1:16" x14ac:dyDescent="0.25">
      <c r="A337">
        <v>336</v>
      </c>
      <c r="B337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J337" t="s">
        <v>44</v>
      </c>
      <c r="K337" t="s">
        <v>11</v>
      </c>
      <c r="L337">
        <v>41.86</v>
      </c>
      <c r="M337">
        <v>64</v>
      </c>
      <c r="N337">
        <f>Hoja4!$L337*Hoja4!$M337</f>
        <v>2679.04</v>
      </c>
      <c r="O337" t="str">
        <f t="shared" si="11"/>
        <v>Sáb.</v>
      </c>
      <c r="P337" t="str">
        <f t="shared" si="12"/>
        <v>junio</v>
      </c>
    </row>
    <row r="338" spans="1:16" x14ac:dyDescent="0.25">
      <c r="A338">
        <v>337</v>
      </c>
      <c r="B338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>
        <v>135.1</v>
      </c>
      <c r="M338">
        <v>98</v>
      </c>
      <c r="N338">
        <f>Hoja4!$L338*Hoja4!$M338</f>
        <v>13239.8</v>
      </c>
      <c r="O338" t="str">
        <f t="shared" si="11"/>
        <v>Dom.</v>
      </c>
      <c r="P338" t="str">
        <f t="shared" si="12"/>
        <v>septiembre</v>
      </c>
    </row>
    <row r="339" spans="1:16" x14ac:dyDescent="0.25">
      <c r="A339">
        <v>338</v>
      </c>
      <c r="B339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>
        <v>257.59999999999997</v>
      </c>
      <c r="M339">
        <v>86</v>
      </c>
      <c r="N339">
        <f>Hoja4!$L339*Hoja4!$M339</f>
        <v>22153.599999999999</v>
      </c>
      <c r="O339" t="str">
        <f t="shared" si="11"/>
        <v>Mar.</v>
      </c>
      <c r="P339" t="str">
        <f t="shared" si="12"/>
        <v>febrero</v>
      </c>
    </row>
    <row r="340" spans="1:16" x14ac:dyDescent="0.25">
      <c r="A340">
        <v>339</v>
      </c>
      <c r="B340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>
        <v>273</v>
      </c>
      <c r="M340">
        <v>20</v>
      </c>
      <c r="N340">
        <f>Hoja4!$L340*Hoja4!$M340</f>
        <v>5460</v>
      </c>
      <c r="O340" t="str">
        <f t="shared" si="11"/>
        <v>Mié.</v>
      </c>
      <c r="P340" t="str">
        <f t="shared" si="12"/>
        <v>diciembre</v>
      </c>
    </row>
    <row r="341" spans="1:16" x14ac:dyDescent="0.25">
      <c r="A341">
        <v>340</v>
      </c>
      <c r="B34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>
        <v>487.19999999999993</v>
      </c>
      <c r="M341">
        <v>69</v>
      </c>
      <c r="N341">
        <f>Hoja4!$L341*Hoja4!$M341</f>
        <v>33616.799999999996</v>
      </c>
      <c r="O341" t="str">
        <f t="shared" si="11"/>
        <v>Dom.</v>
      </c>
      <c r="P341" t="str">
        <f t="shared" si="12"/>
        <v>mayo</v>
      </c>
    </row>
    <row r="342" spans="1:16" x14ac:dyDescent="0.25">
      <c r="A342">
        <v>341</v>
      </c>
      <c r="B342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>
        <v>196</v>
      </c>
      <c r="M342">
        <v>68</v>
      </c>
      <c r="N342">
        <f>Hoja4!$L342*Hoja4!$M342</f>
        <v>13328</v>
      </c>
      <c r="O342" t="str">
        <f t="shared" si="11"/>
        <v>Jue.</v>
      </c>
      <c r="P342" t="str">
        <f t="shared" si="12"/>
        <v>diciembre</v>
      </c>
    </row>
    <row r="343" spans="1:16" x14ac:dyDescent="0.25">
      <c r="A343">
        <v>342</v>
      </c>
      <c r="B343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>
        <v>560</v>
      </c>
      <c r="M343">
        <v>52</v>
      </c>
      <c r="N343">
        <f>Hoja4!$L343*Hoja4!$M343</f>
        <v>29120</v>
      </c>
      <c r="O343" t="str">
        <f t="shared" si="11"/>
        <v>Dom.</v>
      </c>
      <c r="P343" t="str">
        <f t="shared" si="12"/>
        <v>marzo</v>
      </c>
    </row>
    <row r="344" spans="1:16" x14ac:dyDescent="0.25">
      <c r="A344">
        <v>343</v>
      </c>
      <c r="B344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>
        <v>128.79999999999998</v>
      </c>
      <c r="M344">
        <v>40</v>
      </c>
      <c r="N344">
        <f>Hoja4!$L344*Hoja4!$M344</f>
        <v>5151.9999999999991</v>
      </c>
      <c r="O344" t="str">
        <f t="shared" si="11"/>
        <v>Sáb.</v>
      </c>
      <c r="P344" t="str">
        <f t="shared" si="12"/>
        <v>julio</v>
      </c>
    </row>
    <row r="345" spans="1:16" x14ac:dyDescent="0.25">
      <c r="A345">
        <v>344</v>
      </c>
      <c r="B345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>
        <v>140</v>
      </c>
      <c r="M345">
        <v>100</v>
      </c>
      <c r="N345">
        <f>Hoja4!$L345*Hoja4!$M345</f>
        <v>14000</v>
      </c>
      <c r="O345" t="str">
        <f t="shared" si="11"/>
        <v>Lun.</v>
      </c>
      <c r="P345" t="str">
        <f t="shared" si="12"/>
        <v>enero</v>
      </c>
    </row>
    <row r="346" spans="1:16" x14ac:dyDescent="0.25">
      <c r="A346">
        <v>345</v>
      </c>
      <c r="B346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>
        <v>298.90000000000003</v>
      </c>
      <c r="M346">
        <v>88</v>
      </c>
      <c r="N346">
        <f>Hoja4!$L346*Hoja4!$M346</f>
        <v>26303.200000000004</v>
      </c>
      <c r="O346" t="str">
        <f t="shared" si="11"/>
        <v>Mié.</v>
      </c>
      <c r="P346" t="str">
        <f t="shared" si="12"/>
        <v>julio</v>
      </c>
    </row>
    <row r="347" spans="1:16" x14ac:dyDescent="0.25">
      <c r="A347">
        <v>346</v>
      </c>
      <c r="B347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>
        <v>135.1</v>
      </c>
      <c r="M347">
        <v>46</v>
      </c>
      <c r="N347">
        <f>Hoja4!$L347*Hoja4!$M347</f>
        <v>6214.5999999999995</v>
      </c>
      <c r="O347" t="str">
        <f t="shared" si="11"/>
        <v>Jue.</v>
      </c>
      <c r="P347" t="str">
        <f t="shared" si="12"/>
        <v>mayo</v>
      </c>
    </row>
    <row r="348" spans="1:16" x14ac:dyDescent="0.25">
      <c r="A348">
        <v>347</v>
      </c>
      <c r="B348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>
        <v>257.59999999999997</v>
      </c>
      <c r="M348">
        <v>93</v>
      </c>
      <c r="N348">
        <f>Hoja4!$L348*Hoja4!$M348</f>
        <v>23956.799999999996</v>
      </c>
      <c r="O348" t="str">
        <f t="shared" si="11"/>
        <v>Jue.</v>
      </c>
      <c r="P348" t="str">
        <f t="shared" si="12"/>
        <v>enero</v>
      </c>
    </row>
    <row r="349" spans="1:16" x14ac:dyDescent="0.25">
      <c r="A349">
        <v>348</v>
      </c>
      <c r="B349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>
        <v>196</v>
      </c>
      <c r="M349">
        <v>96</v>
      </c>
      <c r="N349">
        <f>Hoja4!$L349*Hoja4!$M349</f>
        <v>18816</v>
      </c>
      <c r="O349" t="str">
        <f t="shared" si="11"/>
        <v>Vie.</v>
      </c>
      <c r="P349" t="str">
        <f t="shared" si="12"/>
        <v>mayo</v>
      </c>
    </row>
    <row r="350" spans="1:16" x14ac:dyDescent="0.25">
      <c r="A350">
        <v>349</v>
      </c>
      <c r="B350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>
        <v>178.5</v>
      </c>
      <c r="M350">
        <v>12</v>
      </c>
      <c r="N350">
        <f>Hoja4!$L350*Hoja4!$M350</f>
        <v>2142</v>
      </c>
      <c r="O350" t="str">
        <f t="shared" si="11"/>
        <v>Dom.</v>
      </c>
      <c r="P350" t="str">
        <f t="shared" si="12"/>
        <v>septiembre</v>
      </c>
    </row>
    <row r="351" spans="1:16" x14ac:dyDescent="0.25">
      <c r="A351">
        <v>350</v>
      </c>
      <c r="B35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>
        <v>1134</v>
      </c>
      <c r="M351">
        <v>38</v>
      </c>
      <c r="N351">
        <f>Hoja4!$L351*Hoja4!$M351</f>
        <v>43092</v>
      </c>
      <c r="O351" t="str">
        <f t="shared" si="11"/>
        <v>Jue.</v>
      </c>
      <c r="P351" t="str">
        <f t="shared" si="12"/>
        <v>mayo</v>
      </c>
    </row>
    <row r="352" spans="1:16" x14ac:dyDescent="0.25">
      <c r="A352">
        <v>351</v>
      </c>
      <c r="B352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>
        <v>98</v>
      </c>
      <c r="M352">
        <v>42</v>
      </c>
      <c r="N352">
        <f>Hoja4!$L352*Hoja4!$M352</f>
        <v>4116</v>
      </c>
      <c r="O352" t="str">
        <f t="shared" si="11"/>
        <v>Dom.</v>
      </c>
      <c r="P352" t="str">
        <f t="shared" si="12"/>
        <v>febrero</v>
      </c>
    </row>
    <row r="353" spans="1:16" x14ac:dyDescent="0.25">
      <c r="A353">
        <v>352</v>
      </c>
      <c r="B353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>
        <v>487.19999999999993</v>
      </c>
      <c r="M353">
        <v>100</v>
      </c>
      <c r="N353">
        <f>Hoja4!$L353*Hoja4!$M353</f>
        <v>48719.999999999993</v>
      </c>
      <c r="O353" t="str">
        <f t="shared" si="11"/>
        <v>Jue.</v>
      </c>
      <c r="P353" t="str">
        <f t="shared" si="12"/>
        <v>mayo</v>
      </c>
    </row>
    <row r="354" spans="1:16" x14ac:dyDescent="0.25">
      <c r="A354">
        <v>353</v>
      </c>
      <c r="B354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>
        <v>140</v>
      </c>
      <c r="M354">
        <v>89</v>
      </c>
      <c r="N354">
        <f>Hoja4!$L354*Hoja4!$M354</f>
        <v>12460</v>
      </c>
      <c r="O354" t="str">
        <f t="shared" si="11"/>
        <v>Dom.</v>
      </c>
      <c r="P354" t="str">
        <f t="shared" si="12"/>
        <v>diciembre</v>
      </c>
    </row>
    <row r="355" spans="1:16" x14ac:dyDescent="0.25">
      <c r="A355">
        <v>354</v>
      </c>
      <c r="B355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>
        <v>560</v>
      </c>
      <c r="M355">
        <v>12</v>
      </c>
      <c r="N355">
        <f>Hoja4!$L355*Hoja4!$M355</f>
        <v>6720</v>
      </c>
      <c r="O355" t="str">
        <f t="shared" si="11"/>
        <v>Lun.</v>
      </c>
      <c r="P355" t="str">
        <f t="shared" si="12"/>
        <v>noviembre</v>
      </c>
    </row>
    <row r="356" spans="1:16" x14ac:dyDescent="0.25">
      <c r="A356">
        <v>355</v>
      </c>
      <c r="B356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>
        <v>140</v>
      </c>
      <c r="M356">
        <v>97</v>
      </c>
      <c r="N356">
        <f>Hoja4!$L356*Hoja4!$M356</f>
        <v>13580</v>
      </c>
      <c r="O356" t="str">
        <f t="shared" si="11"/>
        <v>Mar.</v>
      </c>
      <c r="P356" t="str">
        <f t="shared" si="12"/>
        <v>febrero</v>
      </c>
    </row>
    <row r="357" spans="1:16" x14ac:dyDescent="0.25">
      <c r="A357">
        <v>356</v>
      </c>
      <c r="B357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J357" t="s">
        <v>12</v>
      </c>
      <c r="K357" t="s">
        <v>13</v>
      </c>
      <c r="L357">
        <v>49</v>
      </c>
      <c r="M357">
        <v>53</v>
      </c>
      <c r="N357">
        <f>Hoja4!$L357*Hoja4!$M357</f>
        <v>2597</v>
      </c>
      <c r="O357" t="str">
        <f t="shared" si="11"/>
        <v>Dom.</v>
      </c>
      <c r="P357" t="str">
        <f t="shared" si="12"/>
        <v>enero</v>
      </c>
    </row>
    <row r="358" spans="1:16" x14ac:dyDescent="0.25">
      <c r="A358">
        <v>357</v>
      </c>
      <c r="B358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J358" t="s">
        <v>38</v>
      </c>
      <c r="K358" t="s">
        <v>39</v>
      </c>
      <c r="L358">
        <v>560</v>
      </c>
      <c r="M358">
        <v>61</v>
      </c>
      <c r="N358">
        <f>Hoja4!$L358*Hoja4!$M358</f>
        <v>34160</v>
      </c>
      <c r="O358" t="str">
        <f t="shared" si="11"/>
        <v>Vie.</v>
      </c>
      <c r="P358" t="str">
        <f t="shared" si="12"/>
        <v>noviembre</v>
      </c>
    </row>
    <row r="359" spans="1:16" x14ac:dyDescent="0.25">
      <c r="A359">
        <v>358</v>
      </c>
      <c r="B359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J359" t="s">
        <v>52</v>
      </c>
      <c r="K359" t="s">
        <v>53</v>
      </c>
      <c r="L359">
        <v>257.59999999999997</v>
      </c>
      <c r="M359">
        <v>45</v>
      </c>
      <c r="N359">
        <f>Hoja4!$L359*Hoja4!$M359</f>
        <v>11591.999999999998</v>
      </c>
      <c r="O359" t="str">
        <f t="shared" si="11"/>
        <v>Dom.</v>
      </c>
      <c r="P359" t="str">
        <f t="shared" si="12"/>
        <v>noviembre</v>
      </c>
    </row>
    <row r="360" spans="1:16" x14ac:dyDescent="0.25">
      <c r="A360">
        <v>359</v>
      </c>
      <c r="B360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>
        <v>644</v>
      </c>
      <c r="M360">
        <v>43</v>
      </c>
      <c r="N360">
        <f>Hoja4!$L360*Hoja4!$M360</f>
        <v>27692</v>
      </c>
      <c r="O360" t="str">
        <f t="shared" si="11"/>
        <v>Lun.</v>
      </c>
      <c r="P360" t="str">
        <f t="shared" si="12"/>
        <v>junio</v>
      </c>
    </row>
    <row r="361" spans="1:16" x14ac:dyDescent="0.25">
      <c r="A361">
        <v>360</v>
      </c>
      <c r="B36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>
        <v>135.1</v>
      </c>
      <c r="M361">
        <v>18</v>
      </c>
      <c r="N361">
        <f>Hoja4!$L361*Hoja4!$M361</f>
        <v>2431.7999999999997</v>
      </c>
      <c r="O361" t="str">
        <f t="shared" si="11"/>
        <v>Vie.</v>
      </c>
      <c r="P361" t="str">
        <f t="shared" si="12"/>
        <v>abril</v>
      </c>
    </row>
    <row r="362" spans="1:16" x14ac:dyDescent="0.25">
      <c r="A362">
        <v>361</v>
      </c>
      <c r="B362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>
        <v>178.5</v>
      </c>
      <c r="M362">
        <v>41</v>
      </c>
      <c r="N362">
        <f>Hoja4!$L362*Hoja4!$M362</f>
        <v>7318.5</v>
      </c>
      <c r="O362" t="str">
        <f t="shared" si="11"/>
        <v>Dom.</v>
      </c>
      <c r="P362" t="str">
        <f t="shared" si="12"/>
        <v>junio</v>
      </c>
    </row>
    <row r="363" spans="1:16" x14ac:dyDescent="0.25">
      <c r="A363">
        <v>362</v>
      </c>
      <c r="B363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>
        <v>178.5</v>
      </c>
      <c r="M363">
        <v>19</v>
      </c>
      <c r="N363">
        <f>Hoja4!$L363*Hoja4!$M363</f>
        <v>3391.5</v>
      </c>
      <c r="O363" t="str">
        <f t="shared" si="11"/>
        <v>Sáb.</v>
      </c>
      <c r="P363" t="str">
        <f t="shared" si="12"/>
        <v>abril</v>
      </c>
    </row>
    <row r="364" spans="1:16" x14ac:dyDescent="0.25">
      <c r="A364">
        <v>363</v>
      </c>
      <c r="B364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>
        <v>308</v>
      </c>
      <c r="M364">
        <v>65</v>
      </c>
      <c r="N364">
        <f>Hoja4!$L364*Hoja4!$M364</f>
        <v>20020</v>
      </c>
      <c r="O364" t="str">
        <f t="shared" si="11"/>
        <v>Jue.</v>
      </c>
      <c r="P364" t="str">
        <f t="shared" si="12"/>
        <v>julio</v>
      </c>
    </row>
    <row r="365" spans="1:16" x14ac:dyDescent="0.25">
      <c r="A365">
        <v>364</v>
      </c>
      <c r="B365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>
        <v>350</v>
      </c>
      <c r="M365">
        <v>13</v>
      </c>
      <c r="N365">
        <f>Hoja4!$L365*Hoja4!$M365</f>
        <v>4550</v>
      </c>
      <c r="O365" t="str">
        <f t="shared" si="11"/>
        <v>Mar.</v>
      </c>
      <c r="P365" t="str">
        <f t="shared" si="12"/>
        <v>julio</v>
      </c>
    </row>
    <row r="366" spans="1:16" x14ac:dyDescent="0.25">
      <c r="A366">
        <v>365</v>
      </c>
      <c r="B366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>
        <v>546</v>
      </c>
      <c r="M366">
        <v>54</v>
      </c>
      <c r="N366">
        <f>Hoja4!$L366*Hoja4!$M366</f>
        <v>29484</v>
      </c>
      <c r="O366" t="str">
        <f t="shared" si="11"/>
        <v>Lun.</v>
      </c>
      <c r="P366" t="str">
        <f t="shared" si="12"/>
        <v>agosto</v>
      </c>
    </row>
    <row r="367" spans="1:16" x14ac:dyDescent="0.25">
      <c r="A367">
        <v>366</v>
      </c>
      <c r="B367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>
        <v>420</v>
      </c>
      <c r="M367">
        <v>33</v>
      </c>
      <c r="N367">
        <f>Hoja4!$L367*Hoja4!$M367</f>
        <v>13860</v>
      </c>
      <c r="O367" t="str">
        <f t="shared" si="11"/>
        <v>Jue.</v>
      </c>
      <c r="P367" t="str">
        <f t="shared" si="12"/>
        <v>junio</v>
      </c>
    </row>
    <row r="368" spans="1:16" x14ac:dyDescent="0.25">
      <c r="A368">
        <v>367</v>
      </c>
      <c r="B368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>
        <v>742</v>
      </c>
      <c r="M368">
        <v>34</v>
      </c>
      <c r="N368">
        <f>Hoja4!$L368*Hoja4!$M368</f>
        <v>25228</v>
      </c>
      <c r="O368" t="str">
        <f t="shared" si="11"/>
        <v>Sáb.</v>
      </c>
      <c r="P368" t="str">
        <f t="shared" si="12"/>
        <v>abril</v>
      </c>
    </row>
    <row r="369" spans="1:16" x14ac:dyDescent="0.25">
      <c r="A369">
        <v>368</v>
      </c>
      <c r="B369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J369" t="s">
        <v>66</v>
      </c>
      <c r="K369" t="s">
        <v>57</v>
      </c>
      <c r="L369">
        <v>532</v>
      </c>
      <c r="M369">
        <v>59</v>
      </c>
      <c r="N369">
        <f>Hoja4!$L369*Hoja4!$M369</f>
        <v>31388</v>
      </c>
      <c r="O369" t="str">
        <f t="shared" si="11"/>
        <v>Lun.</v>
      </c>
      <c r="P369" t="str">
        <f t="shared" si="12"/>
        <v>diciembre</v>
      </c>
    </row>
    <row r="370" spans="1:16" x14ac:dyDescent="0.25">
      <c r="A370">
        <v>369</v>
      </c>
      <c r="B370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J370" t="s">
        <v>44</v>
      </c>
      <c r="K370" t="s">
        <v>11</v>
      </c>
      <c r="L370">
        <v>41.86</v>
      </c>
      <c r="M370">
        <v>24</v>
      </c>
      <c r="N370">
        <f>Hoja4!$L370*Hoja4!$M370</f>
        <v>1004.64</v>
      </c>
      <c r="O370" t="str">
        <f t="shared" si="11"/>
        <v>Vie.</v>
      </c>
      <c r="P370" t="str">
        <f t="shared" si="12"/>
        <v>junio</v>
      </c>
    </row>
  </sheetData>
  <sortState xmlns:xlrd2="http://schemas.microsoft.com/office/spreadsheetml/2017/richdata2" caseSensitive="1" ref="A2:P370">
    <sortCondition ref="K2:K370"/>
  </sortState>
  <phoneticPr fontId="5" type="noConversion"/>
  <conditionalFormatting sqref="A2:R370">
    <cfRule type="expression" dxfId="1" priority="1">
      <formula>AND(OR($O2="Jue.",$P2="abril"),$M2&lt;50)</formula>
    </cfRule>
  </conditionalFormatting>
  <dataValidations count="2">
    <dataValidation type="list" allowBlank="1" showInputMessage="1" showErrorMessage="1" errorTitle="ERROR!!!" error="Celda en blanco" promptTitle="Mes" prompt="Seleccione mes" sqref="S1" xr:uid="{8E4C58ED-AEE3-4370-92E8-1CAD34F3F01F}">
      <formula1>mes</formula1>
    </dataValidation>
    <dataValidation type="list" allowBlank="1" showInputMessage="1" showErrorMessage="1" sqref="T1" xr:uid="{76114C49-2C57-441A-A96A-8F38657FAB41}">
      <formula1>titulo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C92A9-96B3-44DB-BA19-CDFBDEC8038D}">
  <dimension ref="A1:A10"/>
  <sheetViews>
    <sheetView workbookViewId="0">
      <selection activeCell="A2" sqref="A2"/>
    </sheetView>
  </sheetViews>
  <sheetFormatPr baseColWidth="10" defaultRowHeight="15" x14ac:dyDescent="0.25"/>
  <cols>
    <col min="1" max="1" width="30" bestFit="1" customWidth="1"/>
  </cols>
  <sheetData>
    <row r="1" spans="1:1" x14ac:dyDescent="0.25">
      <c r="A1" t="s">
        <v>154</v>
      </c>
    </row>
    <row r="2" spans="1:1" x14ac:dyDescent="0.25">
      <c r="A2" s="13">
        <v>43863</v>
      </c>
    </row>
    <row r="3" spans="1:1" x14ac:dyDescent="0.25">
      <c r="A3" s="14">
        <v>43908</v>
      </c>
    </row>
    <row r="4" spans="1:1" x14ac:dyDescent="0.25">
      <c r="A4" s="14">
        <v>43930</v>
      </c>
    </row>
    <row r="5" spans="1:1" x14ac:dyDescent="0.25">
      <c r="A5" s="14">
        <v>43944</v>
      </c>
    </row>
    <row r="6" spans="1:1" x14ac:dyDescent="0.25">
      <c r="A6" s="13">
        <v>43974</v>
      </c>
    </row>
    <row r="7" spans="1:1" x14ac:dyDescent="0.25">
      <c r="A7" s="13">
        <v>44068</v>
      </c>
    </row>
    <row r="8" spans="1:1" x14ac:dyDescent="0.25">
      <c r="A8" s="14">
        <v>44133</v>
      </c>
    </row>
    <row r="9" spans="1:1" x14ac:dyDescent="0.25">
      <c r="A9" s="14">
        <v>44158</v>
      </c>
    </row>
    <row r="10" spans="1:1" x14ac:dyDescent="0.25">
      <c r="A10" s="13">
        <v>44184</v>
      </c>
    </row>
  </sheetData>
  <sortState xmlns:xlrd2="http://schemas.microsoft.com/office/spreadsheetml/2017/richdata2" caseSensitive="1" ref="A2:A10">
    <sortCondition ref="A2:A10"/>
  </sortState>
  <conditionalFormatting sqref="A2:A10">
    <cfRule type="expression" dxfId="0" priority="1">
      <formula>AND(OR($O2="Jue.",$P2="abril"),$M2&lt;50)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ECECB-554E-472F-B578-33158E4EFA06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054-7689-4246-8FCA-50A830972B2A}">
  <sheetPr codeName="Hoja4"/>
  <dimension ref="A1:E75"/>
  <sheetViews>
    <sheetView topLeftCell="A56" workbookViewId="0">
      <selection activeCell="L34" sqref="L34"/>
    </sheetView>
  </sheetViews>
  <sheetFormatPr baseColWidth="10" defaultRowHeight="15" x14ac:dyDescent="0.25"/>
  <cols>
    <col min="1" max="1" width="17.5703125" bestFit="1" customWidth="1"/>
    <col min="2" max="2" width="16.7109375" bestFit="1" customWidth="1"/>
    <col min="4" max="4" width="12" bestFit="1" customWidth="1"/>
  </cols>
  <sheetData>
    <row r="1" spans="1:2" x14ac:dyDescent="0.25">
      <c r="A1" s="6" t="s">
        <v>101</v>
      </c>
      <c r="B1" t="s">
        <v>119</v>
      </c>
    </row>
    <row r="2" spans="1:2" x14ac:dyDescent="0.25">
      <c r="A2" s="7" t="s">
        <v>103</v>
      </c>
      <c r="B2" s="8">
        <v>136478.99999999997</v>
      </c>
    </row>
    <row r="3" spans="1:2" x14ac:dyDescent="0.25">
      <c r="A3" s="7" t="s">
        <v>104</v>
      </c>
      <c r="B3" s="8">
        <v>93438.8</v>
      </c>
    </row>
    <row r="4" spans="1:2" x14ac:dyDescent="0.25">
      <c r="A4" s="7" t="s">
        <v>105</v>
      </c>
      <c r="B4" s="8">
        <v>35119</v>
      </c>
    </row>
    <row r="5" spans="1:2" x14ac:dyDescent="0.25">
      <c r="A5" s="7" t="s">
        <v>106</v>
      </c>
      <c r="B5" s="8">
        <v>75152.98</v>
      </c>
    </row>
    <row r="6" spans="1:2" x14ac:dyDescent="0.25">
      <c r="A6" s="7" t="s">
        <v>107</v>
      </c>
      <c r="B6" s="8">
        <v>127651.3</v>
      </c>
    </row>
    <row r="7" spans="1:2" x14ac:dyDescent="0.25">
      <c r="A7" s="7" t="s">
        <v>108</v>
      </c>
      <c r="B7" s="8">
        <v>52267.459999999992</v>
      </c>
    </row>
    <row r="8" spans="1:2" x14ac:dyDescent="0.25">
      <c r="A8" s="7" t="s">
        <v>109</v>
      </c>
      <c r="B8" s="8">
        <v>51023.280000000006</v>
      </c>
    </row>
    <row r="9" spans="1:2" x14ac:dyDescent="0.25">
      <c r="A9" s="7" t="s">
        <v>110</v>
      </c>
      <c r="B9" s="8">
        <v>96993.4</v>
      </c>
    </row>
    <row r="10" spans="1:2" x14ac:dyDescent="0.25">
      <c r="A10" s="7" t="s">
        <v>111</v>
      </c>
      <c r="B10" s="8">
        <v>200744.6</v>
      </c>
    </row>
    <row r="11" spans="1:2" x14ac:dyDescent="0.25">
      <c r="A11" s="7" t="s">
        <v>112</v>
      </c>
      <c r="B11" s="8">
        <v>190532.16</v>
      </c>
    </row>
    <row r="12" spans="1:2" x14ac:dyDescent="0.25">
      <c r="A12" s="7" t="s">
        <v>113</v>
      </c>
      <c r="B12" s="8">
        <v>130488.79999999999</v>
      </c>
    </row>
    <row r="13" spans="1:2" x14ac:dyDescent="0.25">
      <c r="A13" s="7" t="s">
        <v>114</v>
      </c>
      <c r="B13" s="8">
        <v>61275.9</v>
      </c>
    </row>
    <row r="14" spans="1:2" x14ac:dyDescent="0.25">
      <c r="A14" s="7" t="s">
        <v>102</v>
      </c>
      <c r="B14" s="8">
        <v>1251166.68</v>
      </c>
    </row>
    <row r="18" spans="1:2" x14ac:dyDescent="0.25">
      <c r="A18" s="6" t="s">
        <v>101</v>
      </c>
      <c r="B18" t="s">
        <v>119</v>
      </c>
    </row>
    <row r="19" spans="1:2" x14ac:dyDescent="0.25">
      <c r="A19" s="7" t="s">
        <v>41</v>
      </c>
      <c r="B19" s="8">
        <v>1251166.6799999997</v>
      </c>
    </row>
    <row r="20" spans="1:2" x14ac:dyDescent="0.25">
      <c r="A20" s="7" t="s">
        <v>102</v>
      </c>
      <c r="B20" s="8">
        <v>1251166.6799999997</v>
      </c>
    </row>
    <row r="31" spans="1:2" x14ac:dyDescent="0.25">
      <c r="A31" s="6" t="s">
        <v>101</v>
      </c>
      <c r="B31" t="s">
        <v>119</v>
      </c>
    </row>
    <row r="32" spans="1:2" x14ac:dyDescent="0.25">
      <c r="A32" s="7" t="s">
        <v>69</v>
      </c>
      <c r="B32" s="8">
        <v>186513.6</v>
      </c>
    </row>
    <row r="33" spans="1:2" x14ac:dyDescent="0.25">
      <c r="A33" s="7" t="s">
        <v>11</v>
      </c>
      <c r="B33" s="8">
        <v>375437.97999999992</v>
      </c>
    </row>
    <row r="34" spans="1:2" x14ac:dyDescent="0.25">
      <c r="A34" s="7" t="s">
        <v>53</v>
      </c>
      <c r="B34" s="8">
        <v>252236.59999999998</v>
      </c>
    </row>
    <row r="35" spans="1:2" x14ac:dyDescent="0.25">
      <c r="A35" s="7" t="s">
        <v>13</v>
      </c>
      <c r="B35" s="8">
        <v>23009</v>
      </c>
    </row>
    <row r="36" spans="1:2" x14ac:dyDescent="0.25">
      <c r="A36" s="7" t="s">
        <v>47</v>
      </c>
      <c r="B36" s="8">
        <v>18200</v>
      </c>
    </row>
    <row r="37" spans="1:2" x14ac:dyDescent="0.25">
      <c r="A37" s="7" t="s">
        <v>39</v>
      </c>
      <c r="B37" s="8">
        <v>258720</v>
      </c>
    </row>
    <row r="38" spans="1:2" x14ac:dyDescent="0.25">
      <c r="A38" s="7" t="s">
        <v>35</v>
      </c>
      <c r="B38" s="8">
        <v>137049.5</v>
      </c>
    </row>
    <row r="39" spans="1:2" x14ac:dyDescent="0.25">
      <c r="A39" s="7" t="s">
        <v>5</v>
      </c>
      <c r="B39" s="8"/>
    </row>
    <row r="40" spans="1:2" x14ac:dyDescent="0.25">
      <c r="A40" s="7" t="s">
        <v>102</v>
      </c>
      <c r="B40" s="8">
        <v>1251166.68</v>
      </c>
    </row>
    <row r="51" spans="1:5" x14ac:dyDescent="0.25">
      <c r="A51" s="6" t="s">
        <v>101</v>
      </c>
      <c r="B51" t="s">
        <v>119</v>
      </c>
    </row>
    <row r="52" spans="1:5" x14ac:dyDescent="0.25">
      <c r="A52" s="7" t="s">
        <v>116</v>
      </c>
      <c r="B52" s="8">
        <v>467858.9800000001</v>
      </c>
    </row>
    <row r="53" spans="1:5" x14ac:dyDescent="0.25">
      <c r="A53" s="7" t="s">
        <v>117</v>
      </c>
      <c r="B53" s="8">
        <v>480123.7</v>
      </c>
    </row>
    <row r="54" spans="1:5" x14ac:dyDescent="0.25">
      <c r="A54" s="7" t="s">
        <v>118</v>
      </c>
      <c r="B54" s="8">
        <v>241360</v>
      </c>
    </row>
    <row r="55" spans="1:5" x14ac:dyDescent="0.25">
      <c r="A55" s="7" t="s">
        <v>120</v>
      </c>
      <c r="B55" s="8">
        <v>61824</v>
      </c>
    </row>
    <row r="56" spans="1:5" x14ac:dyDescent="0.25">
      <c r="A56" s="7" t="s">
        <v>102</v>
      </c>
      <c r="B56" s="8">
        <v>1251166.6800000002</v>
      </c>
    </row>
    <row r="64" spans="1:5" x14ac:dyDescent="0.25">
      <c r="A64" s="6" t="s">
        <v>101</v>
      </c>
      <c r="B64" t="s">
        <v>121</v>
      </c>
      <c r="D64" t="s">
        <v>123</v>
      </c>
      <c r="E64" t="s">
        <v>124</v>
      </c>
    </row>
    <row r="65" spans="1:5" x14ac:dyDescent="0.25">
      <c r="A65" s="7" t="s">
        <v>88</v>
      </c>
      <c r="B65" s="8">
        <v>31</v>
      </c>
      <c r="D65" s="7" t="s">
        <v>95</v>
      </c>
      <c r="E65" t="e">
        <f>GETPIVOTDATA("Ventas",$A$64,"Provincia","Azuay")</f>
        <v>#REF!</v>
      </c>
    </row>
    <row r="66" spans="1:5" x14ac:dyDescent="0.25">
      <c r="A66" s="7" t="s">
        <v>83</v>
      </c>
      <c r="B66" s="8">
        <v>55</v>
      </c>
      <c r="D66" s="7" t="s">
        <v>94</v>
      </c>
      <c r="E66" t="e">
        <f>GETPIVOTDATA("Ventas",$A$64,"Provincia","Canar")</f>
        <v>#REF!</v>
      </c>
    </row>
    <row r="67" spans="1:5" x14ac:dyDescent="0.25">
      <c r="A67" s="7" t="s">
        <v>102</v>
      </c>
      <c r="B67" s="8">
        <v>86</v>
      </c>
      <c r="D67" s="7" t="s">
        <v>82</v>
      </c>
      <c r="E67" t="e">
        <f>GETPIVOTDATA("Ventas",$A$64,"Provincia","Chimborazo")</f>
        <v>#REF!</v>
      </c>
    </row>
    <row r="68" spans="1:5" x14ac:dyDescent="0.25">
      <c r="D68" s="7" t="s">
        <v>96</v>
      </c>
      <c r="E68" t="e">
        <f>GETPIVOTDATA("Ventas",$A$64,"Provincia","El Oro")</f>
        <v>#REF!</v>
      </c>
    </row>
    <row r="69" spans="1:5" x14ac:dyDescent="0.25">
      <c r="D69" s="7" t="s">
        <v>91</v>
      </c>
      <c r="E69" t="e">
        <f>GETPIVOTDATA("Ventas",$A$64,"Provincia","Esmeraldas")</f>
        <v>#REF!</v>
      </c>
    </row>
    <row r="70" spans="1:5" x14ac:dyDescent="0.25">
      <c r="D70" s="7" t="s">
        <v>87</v>
      </c>
      <c r="E70" t="e">
        <f>GETPIVOTDATA("Ventas",$A$64,"Provincia","Guaranda")</f>
        <v>#REF!</v>
      </c>
    </row>
    <row r="71" spans="1:5" x14ac:dyDescent="0.25">
      <c r="D71" s="7" t="s">
        <v>84</v>
      </c>
      <c r="E71" t="e">
        <f>GETPIVOTDATA("Ventas",$A$64,"Provincia","Guayas")</f>
        <v>#REF!</v>
      </c>
    </row>
    <row r="72" spans="1:5" x14ac:dyDescent="0.25">
      <c r="D72" s="7" t="s">
        <v>99</v>
      </c>
      <c r="E72" t="e">
        <f>GETPIVOTDATA("Ventas",$A$64,"Provincia","Imbabura")</f>
        <v>#REF!</v>
      </c>
    </row>
    <row r="73" spans="1:5" x14ac:dyDescent="0.25">
      <c r="D73" s="7" t="s">
        <v>88</v>
      </c>
      <c r="E73">
        <f>GETPIVOTDATA("Ventas",$A$64,"Provincia","Manabi")</f>
        <v>31</v>
      </c>
    </row>
    <row r="74" spans="1:5" x14ac:dyDescent="0.25">
      <c r="D74" s="7" t="s">
        <v>83</v>
      </c>
      <c r="E74">
        <f>GETPIVOTDATA("Ventas",$A$64,"Provincia","Pichincha")</f>
        <v>55</v>
      </c>
    </row>
    <row r="75" spans="1:5" x14ac:dyDescent="0.25">
      <c r="D75" s="7" t="s">
        <v>98</v>
      </c>
      <c r="E75" t="e">
        <f>GETPIVOTDATA("Ventas",$A$64,"Provincia","Tungurahua")</f>
        <v>#REF!</v>
      </c>
    </row>
  </sheetData>
  <pageMargins left="0.7" right="0.7" top="0.75" bottom="0.75" header="0.3" footer="0.3"/>
  <drawing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2AED6-E63F-4CE1-B054-C252CEE4EE86}">
  <sheetPr codeName="Hoja2"/>
  <dimension ref="A2:F20"/>
  <sheetViews>
    <sheetView zoomScale="82" zoomScaleNormal="82" workbookViewId="0">
      <selection activeCell="D13" sqref="D13"/>
    </sheetView>
  </sheetViews>
  <sheetFormatPr baseColWidth="10" defaultRowHeight="15" x14ac:dyDescent="0.25"/>
  <cols>
    <col min="1" max="1" width="17.85546875" bestFit="1" customWidth="1"/>
    <col min="2" max="2" width="22.85546875" bestFit="1" customWidth="1"/>
    <col min="3" max="4" width="22.7109375" bestFit="1" customWidth="1"/>
    <col min="5" max="5" width="22.85546875" bestFit="1" customWidth="1"/>
    <col min="6" max="6" width="12.5703125" bestFit="1" customWidth="1"/>
    <col min="7" max="7" width="5.42578125" bestFit="1" customWidth="1"/>
    <col min="8" max="9" width="4.28515625" bestFit="1" customWidth="1"/>
    <col min="10" max="14" width="5.42578125" bestFit="1" customWidth="1"/>
    <col min="15" max="15" width="4.28515625" bestFit="1" customWidth="1"/>
    <col min="16" max="16" width="5.42578125" bestFit="1" customWidth="1"/>
    <col min="17" max="17" width="4.28515625" bestFit="1" customWidth="1"/>
    <col min="18" max="19" width="5.42578125" bestFit="1" customWidth="1"/>
    <col min="20" max="20" width="9.5703125" bestFit="1" customWidth="1"/>
    <col min="21" max="21" width="5.42578125" bestFit="1" customWidth="1"/>
    <col min="22" max="22" width="4.28515625" bestFit="1" customWidth="1"/>
    <col min="23" max="24" width="5.42578125" bestFit="1" customWidth="1"/>
    <col min="25" max="25" width="6.42578125" bestFit="1" customWidth="1"/>
    <col min="26" max="26" width="5.42578125" bestFit="1" customWidth="1"/>
    <col min="27" max="27" width="6.42578125" bestFit="1" customWidth="1"/>
    <col min="28" max="29" width="9.5703125" bestFit="1" customWidth="1"/>
    <col min="30" max="30" width="7.42578125" bestFit="1" customWidth="1"/>
    <col min="31" max="31" width="8.5703125" bestFit="1" customWidth="1"/>
    <col min="32" max="33" width="7.42578125" bestFit="1" customWidth="1"/>
    <col min="34" max="34" width="9.5703125" bestFit="1" customWidth="1"/>
    <col min="35" max="35" width="7.42578125" bestFit="1" customWidth="1"/>
    <col min="36" max="36" width="9.5703125" bestFit="1" customWidth="1"/>
    <col min="37" max="39" width="7.42578125" bestFit="1" customWidth="1"/>
    <col min="40" max="40" width="9.5703125" bestFit="1" customWidth="1"/>
    <col min="41" max="41" width="7.42578125" bestFit="1" customWidth="1"/>
    <col min="42" max="42" width="6.42578125" bestFit="1" customWidth="1"/>
    <col min="43" max="44" width="7.42578125" bestFit="1" customWidth="1"/>
    <col min="45" max="45" width="6.42578125" bestFit="1" customWidth="1"/>
    <col min="46" max="46" width="7.42578125" bestFit="1" customWidth="1"/>
    <col min="47" max="47" width="22.85546875" bestFit="1" customWidth="1"/>
    <col min="48" max="48" width="12.5703125" bestFit="1" customWidth="1"/>
    <col min="49" max="50" width="11.140625" bestFit="1" customWidth="1"/>
    <col min="51" max="51" width="10.140625" bestFit="1" customWidth="1"/>
    <col min="52" max="55" width="11.140625" bestFit="1" customWidth="1"/>
    <col min="56" max="56" width="10.140625" bestFit="1" customWidth="1"/>
    <col min="57" max="59" width="11.140625" bestFit="1" customWidth="1"/>
    <col min="60" max="60" width="8.5703125" bestFit="1" customWidth="1"/>
    <col min="61" max="61" width="10.140625" bestFit="1" customWidth="1"/>
    <col min="62" max="62" width="11.140625" bestFit="1" customWidth="1"/>
    <col min="63" max="64" width="10.140625" bestFit="1" customWidth="1"/>
    <col min="65" max="65" width="11.140625" bestFit="1" customWidth="1"/>
    <col min="66" max="66" width="10.140625" bestFit="1" customWidth="1"/>
    <col min="67" max="69" width="11.140625" bestFit="1" customWidth="1"/>
    <col min="70" max="70" width="10.140625" bestFit="1" customWidth="1"/>
    <col min="71" max="71" width="8.5703125" bestFit="1" customWidth="1"/>
    <col min="72" max="73" width="10.140625" bestFit="1" customWidth="1"/>
    <col min="74" max="77" width="11.140625" bestFit="1" customWidth="1"/>
    <col min="78" max="78" width="10.140625" bestFit="1" customWidth="1"/>
    <col min="79" max="79" width="8.5703125" bestFit="1" customWidth="1"/>
    <col min="80" max="81" width="11.140625" bestFit="1" customWidth="1"/>
    <col min="82" max="82" width="9.42578125" bestFit="1" customWidth="1"/>
    <col min="83" max="84" width="11.140625" bestFit="1" customWidth="1"/>
    <col min="85" max="85" width="10.140625" bestFit="1" customWidth="1"/>
    <col min="86" max="87" width="11.140625" bestFit="1" customWidth="1"/>
    <col min="88" max="88" width="10.140625" bestFit="1" customWidth="1"/>
    <col min="89" max="89" width="11.140625" bestFit="1" customWidth="1"/>
    <col min="90" max="90" width="10.140625" bestFit="1" customWidth="1"/>
    <col min="91" max="93" width="11.140625" bestFit="1" customWidth="1"/>
    <col min="94" max="94" width="10.140625" bestFit="1" customWidth="1"/>
    <col min="95" max="95" width="11.140625" bestFit="1" customWidth="1"/>
    <col min="96" max="96" width="10.140625" bestFit="1" customWidth="1"/>
    <col min="97" max="97" width="12.140625" bestFit="1" customWidth="1"/>
    <col min="98" max="98" width="11.140625" bestFit="1" customWidth="1"/>
    <col min="99" max="99" width="10.140625" bestFit="1" customWidth="1"/>
    <col min="100" max="101" width="11.140625" bestFit="1" customWidth="1"/>
    <col min="102" max="102" width="10.140625" bestFit="1" customWidth="1"/>
    <col min="103" max="103" width="11.140625" bestFit="1" customWidth="1"/>
    <col min="104" max="104" width="8.5703125" bestFit="1" customWidth="1"/>
    <col min="105" max="105" width="11.140625" bestFit="1" customWidth="1"/>
    <col min="106" max="106" width="10.140625" bestFit="1" customWidth="1"/>
    <col min="107" max="109" width="11.140625" bestFit="1" customWidth="1"/>
    <col min="110" max="110" width="10.140625" bestFit="1" customWidth="1"/>
    <col min="111" max="111" width="11.140625" bestFit="1" customWidth="1"/>
    <col min="112" max="112" width="10.140625" bestFit="1" customWidth="1"/>
    <col min="113" max="113" width="11.140625" bestFit="1" customWidth="1"/>
    <col min="114" max="114" width="10.140625" bestFit="1" customWidth="1"/>
    <col min="115" max="120" width="11.140625" bestFit="1" customWidth="1"/>
    <col min="121" max="121" width="10.140625" bestFit="1" customWidth="1"/>
    <col min="122" max="122" width="11.140625" bestFit="1" customWidth="1"/>
    <col min="123" max="123" width="10.140625" bestFit="1" customWidth="1"/>
    <col min="124" max="133" width="11.140625" bestFit="1" customWidth="1"/>
    <col min="134" max="134" width="12.140625" bestFit="1" customWidth="1"/>
    <col min="135" max="138" width="11.140625" bestFit="1" customWidth="1"/>
    <col min="139" max="139" width="10.140625" bestFit="1" customWidth="1"/>
    <col min="140" max="146" width="11.140625" bestFit="1" customWidth="1"/>
    <col min="147" max="147" width="10.140625" bestFit="1" customWidth="1"/>
    <col min="148" max="149" width="11.140625" bestFit="1" customWidth="1"/>
    <col min="150" max="150" width="10.140625" bestFit="1" customWidth="1"/>
    <col min="151" max="156" width="11.140625" bestFit="1" customWidth="1"/>
    <col min="157" max="157" width="10.140625" bestFit="1" customWidth="1"/>
    <col min="158" max="158" width="11.140625" bestFit="1" customWidth="1"/>
    <col min="159" max="159" width="10.140625" bestFit="1" customWidth="1"/>
    <col min="160" max="160" width="11.140625" bestFit="1" customWidth="1"/>
    <col min="161" max="161" width="10.140625" bestFit="1" customWidth="1"/>
    <col min="162" max="165" width="11.140625" bestFit="1" customWidth="1"/>
    <col min="166" max="166" width="10.140625" bestFit="1" customWidth="1"/>
    <col min="167" max="167" width="11.140625" bestFit="1" customWidth="1"/>
    <col min="168" max="169" width="10.140625" bestFit="1" customWidth="1"/>
    <col min="170" max="171" width="11.140625" bestFit="1" customWidth="1"/>
    <col min="172" max="172" width="10.140625" bestFit="1" customWidth="1"/>
    <col min="173" max="175" width="11.140625" bestFit="1" customWidth="1"/>
    <col min="176" max="176" width="10.140625" bestFit="1" customWidth="1"/>
    <col min="177" max="177" width="11.140625" bestFit="1" customWidth="1"/>
    <col min="178" max="178" width="10.140625" bestFit="1" customWidth="1"/>
    <col min="179" max="179" width="12.140625" bestFit="1" customWidth="1"/>
    <col min="180" max="183" width="11.140625" bestFit="1" customWidth="1"/>
    <col min="184" max="184" width="10.140625" bestFit="1" customWidth="1"/>
    <col min="185" max="187" width="11.140625" bestFit="1" customWidth="1"/>
    <col min="188" max="189" width="10.140625" bestFit="1" customWidth="1"/>
    <col min="190" max="192" width="11.140625" bestFit="1" customWidth="1"/>
    <col min="193" max="193" width="10.140625" bestFit="1" customWidth="1"/>
    <col min="194" max="194" width="11.140625" bestFit="1" customWidth="1"/>
    <col min="195" max="195" width="10.140625" bestFit="1" customWidth="1"/>
    <col min="196" max="196" width="11.140625" bestFit="1" customWidth="1"/>
    <col min="197" max="197" width="10.140625" bestFit="1" customWidth="1"/>
    <col min="198" max="198" width="11.140625" bestFit="1" customWidth="1"/>
    <col min="199" max="199" width="10.140625" bestFit="1" customWidth="1"/>
    <col min="200" max="200" width="8.5703125" bestFit="1" customWidth="1"/>
    <col min="201" max="206" width="11.140625" bestFit="1" customWidth="1"/>
    <col min="207" max="208" width="10.140625" bestFit="1" customWidth="1"/>
    <col min="209" max="209" width="11.140625" bestFit="1" customWidth="1"/>
    <col min="210" max="210" width="10.140625" bestFit="1" customWidth="1"/>
    <col min="211" max="216" width="11.140625" bestFit="1" customWidth="1"/>
    <col min="217" max="217" width="8.5703125" bestFit="1" customWidth="1"/>
    <col min="218" max="223" width="11.140625" bestFit="1" customWidth="1"/>
    <col min="224" max="224" width="8.5703125" bestFit="1" customWidth="1"/>
    <col min="225" max="227" width="11.140625" bestFit="1" customWidth="1"/>
    <col min="228" max="228" width="10.140625" bestFit="1" customWidth="1"/>
    <col min="229" max="229" width="11.140625" bestFit="1" customWidth="1"/>
    <col min="230" max="230" width="13.7109375" bestFit="1" customWidth="1"/>
    <col min="231" max="231" width="12.5703125" bestFit="1" customWidth="1"/>
  </cols>
  <sheetData>
    <row r="2" spans="1:6" x14ac:dyDescent="0.25">
      <c r="A2" s="6" t="s">
        <v>119</v>
      </c>
      <c r="B2" s="6" t="s">
        <v>126</v>
      </c>
    </row>
    <row r="3" spans="1:6" x14ac:dyDescent="0.25">
      <c r="A3" s="6" t="s">
        <v>101</v>
      </c>
      <c r="B3" t="s">
        <v>16</v>
      </c>
      <c r="C3" t="s">
        <v>8</v>
      </c>
      <c r="D3" t="s">
        <v>25</v>
      </c>
      <c r="E3" t="s">
        <v>127</v>
      </c>
      <c r="F3" t="s">
        <v>102</v>
      </c>
    </row>
    <row r="4" spans="1:6" x14ac:dyDescent="0.25">
      <c r="A4" s="7" t="s">
        <v>129</v>
      </c>
      <c r="B4" s="8">
        <v>273600</v>
      </c>
      <c r="C4" s="8">
        <v>426442.88</v>
      </c>
      <c r="D4" s="8">
        <v>368287.7</v>
      </c>
      <c r="E4" s="8">
        <v>192336.16</v>
      </c>
      <c r="F4" s="8">
        <v>1260666.74</v>
      </c>
    </row>
    <row r="5" spans="1:6" x14ac:dyDescent="0.25">
      <c r="A5" s="11" t="s">
        <v>103</v>
      </c>
      <c r="B5" s="8">
        <v>156543.80000000002</v>
      </c>
      <c r="C5" s="8">
        <v>130643.68</v>
      </c>
      <c r="D5" s="8">
        <v>150223.79999999999</v>
      </c>
      <c r="E5" s="8">
        <v>110858.16</v>
      </c>
      <c r="F5" s="8">
        <v>548269.43999999994</v>
      </c>
    </row>
    <row r="6" spans="1:6" x14ac:dyDescent="0.25">
      <c r="A6" s="11" t="s">
        <v>104</v>
      </c>
      <c r="B6" s="8">
        <v>54181.4</v>
      </c>
      <c r="C6" s="8">
        <v>127872</v>
      </c>
      <c r="D6" s="8">
        <v>125981.69999999998</v>
      </c>
      <c r="E6" s="8">
        <v>64876</v>
      </c>
      <c r="F6" s="8">
        <v>372911.1</v>
      </c>
    </row>
    <row r="7" spans="1:6" x14ac:dyDescent="0.25">
      <c r="A7" s="11" t="s">
        <v>105</v>
      </c>
      <c r="B7" s="8">
        <v>62874.8</v>
      </c>
      <c r="C7" s="8">
        <v>167927.2</v>
      </c>
      <c r="D7" s="8">
        <v>92082.2</v>
      </c>
      <c r="E7" s="8">
        <v>16602</v>
      </c>
      <c r="F7" s="8">
        <v>339486.2</v>
      </c>
    </row>
    <row r="8" spans="1:6" x14ac:dyDescent="0.25">
      <c r="A8" s="7" t="s">
        <v>130</v>
      </c>
      <c r="B8" s="8">
        <v>575142.1</v>
      </c>
      <c r="C8" s="8">
        <v>291836.58</v>
      </c>
      <c r="D8" s="8">
        <v>419517.83999999997</v>
      </c>
      <c r="E8" s="8">
        <v>359459.54000000004</v>
      </c>
      <c r="F8" s="8">
        <v>1645956.06</v>
      </c>
    </row>
    <row r="9" spans="1:6" x14ac:dyDescent="0.25">
      <c r="A9" s="11" t="s">
        <v>106</v>
      </c>
      <c r="B9" s="8">
        <v>239261.6</v>
      </c>
      <c r="C9" s="8">
        <v>67442.2</v>
      </c>
      <c r="D9" s="8">
        <v>108366.58</v>
      </c>
      <c r="E9" s="8">
        <v>213745.84</v>
      </c>
      <c r="F9" s="8">
        <v>628816.22</v>
      </c>
    </row>
    <row r="10" spans="1:6" x14ac:dyDescent="0.25">
      <c r="A10" s="11" t="s">
        <v>107</v>
      </c>
      <c r="B10" s="8">
        <v>152017.79999999999</v>
      </c>
      <c r="C10" s="8">
        <v>52412.78</v>
      </c>
      <c r="D10" s="8">
        <v>234135.30000000002</v>
      </c>
      <c r="E10" s="8">
        <v>101384.92</v>
      </c>
      <c r="F10" s="8">
        <v>539950.80000000005</v>
      </c>
    </row>
    <row r="11" spans="1:6" x14ac:dyDescent="0.25">
      <c r="A11" s="11" t="s">
        <v>108</v>
      </c>
      <c r="B11" s="8">
        <v>183862.69999999998</v>
      </c>
      <c r="C11" s="8">
        <v>171981.6</v>
      </c>
      <c r="D11" s="8">
        <v>77015.959999999992</v>
      </c>
      <c r="E11" s="8">
        <v>44328.78</v>
      </c>
      <c r="F11" s="8">
        <v>477189.04000000004</v>
      </c>
    </row>
    <row r="12" spans="1:6" x14ac:dyDescent="0.25">
      <c r="A12" s="7" t="s">
        <v>131</v>
      </c>
      <c r="B12" s="8">
        <v>429424.30000000005</v>
      </c>
      <c r="C12" s="8">
        <v>402677.07999999996</v>
      </c>
      <c r="D12" s="8">
        <v>558133.58000000007</v>
      </c>
      <c r="E12" s="8">
        <v>143944.36000000002</v>
      </c>
      <c r="F12" s="8">
        <v>1534179.32</v>
      </c>
    </row>
    <row r="13" spans="1:6" x14ac:dyDescent="0.25">
      <c r="A13" s="11" t="s">
        <v>109</v>
      </c>
      <c r="B13" s="8">
        <v>150893.4</v>
      </c>
      <c r="C13" s="8">
        <v>145070</v>
      </c>
      <c r="D13" s="8">
        <v>136537.58000000002</v>
      </c>
      <c r="E13" s="8">
        <v>32509.82</v>
      </c>
      <c r="F13" s="8">
        <v>465010.80000000005</v>
      </c>
    </row>
    <row r="14" spans="1:6" x14ac:dyDescent="0.25">
      <c r="A14" s="11" t="s">
        <v>110</v>
      </c>
      <c r="B14" s="8">
        <v>184722.5</v>
      </c>
      <c r="C14" s="8">
        <v>176487.3</v>
      </c>
      <c r="D14" s="8">
        <v>143864.69999999998</v>
      </c>
      <c r="E14" s="8">
        <v>59892</v>
      </c>
      <c r="F14" s="8">
        <v>564966.5</v>
      </c>
    </row>
    <row r="15" spans="1:6" x14ac:dyDescent="0.25">
      <c r="A15" s="11" t="s">
        <v>111</v>
      </c>
      <c r="B15" s="8">
        <v>93808.4</v>
      </c>
      <c r="C15" s="8">
        <v>81119.78</v>
      </c>
      <c r="D15" s="8">
        <v>277731.3</v>
      </c>
      <c r="E15" s="8">
        <v>51542.54</v>
      </c>
      <c r="F15" s="8">
        <v>504202.01999999996</v>
      </c>
    </row>
    <row r="16" spans="1:6" x14ac:dyDescent="0.25">
      <c r="A16" s="7" t="s">
        <v>132</v>
      </c>
      <c r="B16" s="8">
        <v>300068</v>
      </c>
      <c r="C16" s="8">
        <v>369048.9</v>
      </c>
      <c r="D16" s="8">
        <v>477701.45999999996</v>
      </c>
      <c r="E16" s="8">
        <v>50288</v>
      </c>
      <c r="F16" s="8">
        <v>1197106.3599999999</v>
      </c>
    </row>
    <row r="17" spans="1:6" x14ac:dyDescent="0.25">
      <c r="A17" s="11" t="s">
        <v>112</v>
      </c>
      <c r="B17" s="8">
        <v>172751.6</v>
      </c>
      <c r="C17" s="8">
        <v>129344.6</v>
      </c>
      <c r="D17" s="8">
        <v>223903.26</v>
      </c>
      <c r="E17" s="8"/>
      <c r="F17" s="8">
        <v>525999.46</v>
      </c>
    </row>
    <row r="18" spans="1:6" x14ac:dyDescent="0.25">
      <c r="A18" s="11" t="s">
        <v>113</v>
      </c>
      <c r="B18" s="8">
        <v>31864</v>
      </c>
      <c r="C18" s="8">
        <v>119965.5</v>
      </c>
      <c r="D18" s="8">
        <v>171637.8</v>
      </c>
      <c r="E18" s="8">
        <v>8316</v>
      </c>
      <c r="F18" s="8">
        <v>331783.3</v>
      </c>
    </row>
    <row r="19" spans="1:6" x14ac:dyDescent="0.25">
      <c r="A19" s="11" t="s">
        <v>114</v>
      </c>
      <c r="B19" s="8">
        <v>95452.4</v>
      </c>
      <c r="C19" s="8">
        <v>119738.8</v>
      </c>
      <c r="D19" s="8">
        <v>82160.399999999994</v>
      </c>
      <c r="E19" s="8">
        <v>41972</v>
      </c>
      <c r="F19" s="8">
        <v>339323.6</v>
      </c>
    </row>
    <row r="20" spans="1:6" x14ac:dyDescent="0.25">
      <c r="A20" s="7" t="s">
        <v>102</v>
      </c>
      <c r="B20" s="8">
        <v>1578234.4</v>
      </c>
      <c r="C20" s="8">
        <v>1490005.4400000002</v>
      </c>
      <c r="D20" s="8">
        <v>1823640.58</v>
      </c>
      <c r="E20" s="8">
        <v>746028.05999999994</v>
      </c>
      <c r="F20" s="8">
        <v>5637908.4799999986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7FE9-902F-4413-950E-FE45349310DB}">
  <sheetPr codeName="Hoja5"/>
  <dimension ref="A1:J5"/>
  <sheetViews>
    <sheetView topLeftCell="A8" zoomScale="87" zoomScaleNormal="87" workbookViewId="0">
      <selection activeCell="L34" sqref="L34"/>
    </sheetView>
  </sheetViews>
  <sheetFormatPr baseColWidth="10" defaultRowHeight="15" x14ac:dyDescent="0.25"/>
  <cols>
    <col min="1" max="16384" width="11.42578125" style="9"/>
  </cols>
  <sheetData>
    <row r="1" spans="1:10" x14ac:dyDescent="0.25">
      <c r="A1" s="15" t="s">
        <v>125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</row>
    <row r="3" spans="1:10" x14ac:dyDescent="0.25">
      <c r="A3" s="17" t="s">
        <v>122</v>
      </c>
      <c r="B3" s="17"/>
      <c r="C3" s="17"/>
      <c r="D3" s="17"/>
      <c r="E3" s="17"/>
      <c r="F3" s="17"/>
      <c r="G3" s="17"/>
      <c r="H3" s="17"/>
      <c r="I3" s="17"/>
      <c r="J3" s="17"/>
    </row>
    <row r="4" spans="1:10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</row>
    <row r="5" spans="1:10" x14ac:dyDescent="0.25">
      <c r="D5" s="10"/>
    </row>
  </sheetData>
  <mergeCells count="2">
    <mergeCell ref="A1:J2"/>
    <mergeCell ref="A3:J4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8BCB2-E7A6-41A4-B4AE-40C869699D10}">
  <sheetPr codeName="Hoja6">
    <tabColor rgb="FF00B050"/>
  </sheetPr>
  <dimension ref="A1:R372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N372"/>
    </sheetView>
  </sheetViews>
  <sheetFormatPr baseColWidth="10" defaultColWidth="10.85546875" defaultRowHeight="15" x14ac:dyDescent="0.25"/>
  <cols>
    <col min="1" max="1" width="16.28515625" customWidth="1"/>
    <col min="2" max="2" width="12.42578125" style="1" bestFit="1" customWidth="1"/>
    <col min="3" max="3" width="14.140625" customWidth="1"/>
    <col min="4" max="4" width="12.85546875" bestFit="1" customWidth="1"/>
    <col min="5" max="5" width="12.140625" bestFit="1" customWidth="1"/>
    <col min="6" max="6" width="14.140625" customWidth="1"/>
    <col min="7" max="7" width="25" bestFit="1" customWidth="1"/>
    <col min="8" max="8" width="24.42578125" bestFit="1" customWidth="1"/>
    <col min="9" max="9" width="20.140625" customWidth="1"/>
    <col min="10" max="10" width="25" bestFit="1" customWidth="1"/>
    <col min="11" max="11" width="22" bestFit="1" customWidth="1"/>
    <col min="12" max="12" width="12" style="2" customWidth="1"/>
    <col min="13" max="13" width="14.85546875" style="2" customWidth="1"/>
    <col min="14" max="14" width="13.140625" style="2" bestFit="1" customWidth="1"/>
    <col min="15" max="15" width="15.85546875" bestFit="1" customWidth="1"/>
    <col min="16" max="16" width="11.85546875" bestFit="1" customWidth="1"/>
    <col min="18" max="18" width="22.42578125" bestFit="1" customWidth="1"/>
  </cols>
  <sheetData>
    <row r="1" spans="1:18" s="3" customFormat="1" ht="30" customHeight="1" x14ac:dyDescent="0.25">
      <c r="A1" s="3" t="s">
        <v>73</v>
      </c>
      <c r="B1" s="4" t="s">
        <v>74</v>
      </c>
      <c r="C1" s="3" t="s">
        <v>79</v>
      </c>
      <c r="D1" s="3" t="s">
        <v>100</v>
      </c>
      <c r="E1" s="3" t="s">
        <v>0</v>
      </c>
      <c r="F1" s="3" t="s">
        <v>75</v>
      </c>
      <c r="G1" s="3" t="s">
        <v>1</v>
      </c>
      <c r="H1" s="3" t="s">
        <v>76</v>
      </c>
      <c r="I1" s="3" t="s">
        <v>2</v>
      </c>
      <c r="J1" s="3" t="s">
        <v>77</v>
      </c>
      <c r="K1" s="3" t="s">
        <v>3</v>
      </c>
      <c r="L1" s="5" t="s">
        <v>78</v>
      </c>
      <c r="M1" s="5" t="s">
        <v>4</v>
      </c>
      <c r="N1" s="5" t="s">
        <v>115</v>
      </c>
      <c r="R1" s="3">
        <f>IF(INDEX(Tabla1[],ROWS(Tabla1[]),1)="",ROWS(Tabla1[])+1,ROWS(Tabla1[])+2)</f>
        <v>373</v>
      </c>
    </row>
    <row r="2" spans="1:18" x14ac:dyDescent="0.25">
      <c r="A2">
        <v>1</v>
      </c>
      <c r="B2" s="1">
        <v>43930</v>
      </c>
      <c r="C2">
        <v>9259377217</v>
      </c>
      <c r="D2" t="s">
        <v>6</v>
      </c>
      <c r="E2" t="s">
        <v>80</v>
      </c>
      <c r="F2" t="s">
        <v>95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>
        <v>14</v>
      </c>
      <c r="M2" s="2">
        <v>10</v>
      </c>
      <c r="N2" s="2">
        <f>normalizar!$L2*normalizar!$M2</f>
        <v>140</v>
      </c>
    </row>
    <row r="3" spans="1:18" x14ac:dyDescent="0.25">
      <c r="A3">
        <v>2</v>
      </c>
      <c r="B3" s="1">
        <v>44068</v>
      </c>
      <c r="C3">
        <v>6185253419</v>
      </c>
      <c r="D3" t="s">
        <v>6</v>
      </c>
      <c r="E3" t="s">
        <v>80</v>
      </c>
      <c r="F3" t="s">
        <v>95</v>
      </c>
      <c r="G3" t="s">
        <v>7</v>
      </c>
      <c r="H3" t="s">
        <v>8</v>
      </c>
      <c r="I3" t="s">
        <v>9</v>
      </c>
      <c r="J3" t="s">
        <v>12</v>
      </c>
      <c r="K3" t="s">
        <v>13</v>
      </c>
      <c r="L3" s="2">
        <v>34</v>
      </c>
      <c r="M3" s="2">
        <v>1</v>
      </c>
      <c r="N3" s="2">
        <f>normalizar!$L3*normalizar!$M3</f>
        <v>34</v>
      </c>
    </row>
    <row r="4" spans="1:18" x14ac:dyDescent="0.25">
      <c r="A4">
        <v>3</v>
      </c>
      <c r="B4" s="1">
        <v>43908</v>
      </c>
      <c r="C4">
        <v>2308885942</v>
      </c>
      <c r="D4" t="s">
        <v>14</v>
      </c>
      <c r="E4" t="s">
        <v>81</v>
      </c>
      <c r="F4" t="s">
        <v>94</v>
      </c>
      <c r="G4" t="s">
        <v>15</v>
      </c>
      <c r="H4" t="s">
        <v>16</v>
      </c>
      <c r="I4" t="s">
        <v>17</v>
      </c>
      <c r="J4" t="s">
        <v>18</v>
      </c>
      <c r="K4" t="s">
        <v>13</v>
      </c>
      <c r="L4" s="2">
        <v>14</v>
      </c>
      <c r="M4" s="2">
        <v>57</v>
      </c>
      <c r="N4" s="2">
        <f>normalizar!$L4*normalizar!$M4</f>
        <v>798</v>
      </c>
    </row>
    <row r="5" spans="1:18" x14ac:dyDescent="0.25">
      <c r="A5">
        <v>4</v>
      </c>
      <c r="B5" s="1">
        <v>43974</v>
      </c>
      <c r="C5">
        <v>6199717898</v>
      </c>
      <c r="D5" t="s">
        <v>14</v>
      </c>
      <c r="E5" t="s">
        <v>81</v>
      </c>
      <c r="F5" t="s">
        <v>94</v>
      </c>
      <c r="G5" t="s">
        <v>15</v>
      </c>
      <c r="H5" t="s">
        <v>16</v>
      </c>
      <c r="I5" t="s">
        <v>17</v>
      </c>
      <c r="J5" t="s">
        <v>19</v>
      </c>
      <c r="K5" t="s">
        <v>13</v>
      </c>
      <c r="L5" s="2">
        <v>16</v>
      </c>
      <c r="M5" s="2">
        <v>72</v>
      </c>
      <c r="N5" s="2">
        <f>normalizar!$L5*normalizar!$M5</f>
        <v>1152</v>
      </c>
    </row>
    <row r="6" spans="1:18" x14ac:dyDescent="0.25">
      <c r="A6">
        <v>5</v>
      </c>
      <c r="B6" s="1">
        <v>43944</v>
      </c>
      <c r="C6">
        <v>5540683029</v>
      </c>
      <c r="D6" t="s">
        <v>14</v>
      </c>
      <c r="E6" t="s">
        <v>81</v>
      </c>
      <c r="F6" t="s">
        <v>94</v>
      </c>
      <c r="G6" t="s">
        <v>15</v>
      </c>
      <c r="H6" t="s">
        <v>16</v>
      </c>
      <c r="I6" t="s">
        <v>17</v>
      </c>
      <c r="J6" t="s">
        <v>12</v>
      </c>
      <c r="K6" t="s">
        <v>13</v>
      </c>
      <c r="L6" s="2">
        <v>12</v>
      </c>
      <c r="M6" s="2">
        <v>68</v>
      </c>
      <c r="N6" s="2">
        <f>normalizar!$L6*normalizar!$M6</f>
        <v>816</v>
      </c>
    </row>
    <row r="7" spans="1:18" x14ac:dyDescent="0.25">
      <c r="A7">
        <v>6</v>
      </c>
      <c r="B7" s="1">
        <v>44184</v>
      </c>
      <c r="C7">
        <v>6343955045</v>
      </c>
      <c r="D7" t="s">
        <v>20</v>
      </c>
      <c r="E7" t="s">
        <v>80</v>
      </c>
      <c r="F7" t="s">
        <v>95</v>
      </c>
      <c r="G7" t="s">
        <v>7</v>
      </c>
      <c r="H7" t="s">
        <v>8</v>
      </c>
      <c r="I7" t="s">
        <v>17</v>
      </c>
      <c r="J7" t="s">
        <v>21</v>
      </c>
      <c r="K7" t="s">
        <v>11</v>
      </c>
      <c r="L7" s="2">
        <v>22</v>
      </c>
      <c r="M7" s="2">
        <v>29</v>
      </c>
      <c r="N7" s="2">
        <f>normalizar!$L7*normalizar!$M7</f>
        <v>638</v>
      </c>
    </row>
    <row r="8" spans="1:18" x14ac:dyDescent="0.25">
      <c r="A8">
        <v>7</v>
      </c>
      <c r="B8" s="1">
        <v>44133</v>
      </c>
      <c r="C8">
        <v>1572125717</v>
      </c>
      <c r="D8" t="s">
        <v>20</v>
      </c>
      <c r="E8" t="s">
        <v>80</v>
      </c>
      <c r="F8" t="s">
        <v>95</v>
      </c>
      <c r="G8" t="s">
        <v>7</v>
      </c>
      <c r="H8" t="s">
        <v>8</v>
      </c>
      <c r="I8" t="s">
        <v>17</v>
      </c>
      <c r="J8" t="s">
        <v>22</v>
      </c>
      <c r="K8" t="s">
        <v>11</v>
      </c>
      <c r="L8" s="2">
        <v>42</v>
      </c>
      <c r="M8" s="2">
        <v>41</v>
      </c>
      <c r="N8" s="2">
        <f>normalizar!$L8*normalizar!$M8</f>
        <v>1722</v>
      </c>
    </row>
    <row r="9" spans="1:18" x14ac:dyDescent="0.25">
      <c r="A9">
        <v>8</v>
      </c>
      <c r="B9" s="1">
        <v>43863</v>
      </c>
      <c r="C9">
        <v>3776895536</v>
      </c>
      <c r="D9" t="s">
        <v>23</v>
      </c>
      <c r="E9" t="s">
        <v>86</v>
      </c>
      <c r="F9" t="s">
        <v>82</v>
      </c>
      <c r="G9" t="s">
        <v>24</v>
      </c>
      <c r="H9" t="s">
        <v>25</v>
      </c>
      <c r="I9" t="s">
        <v>17</v>
      </c>
      <c r="J9" t="s">
        <v>26</v>
      </c>
      <c r="K9" t="s">
        <v>27</v>
      </c>
      <c r="L9" s="2">
        <v>11</v>
      </c>
      <c r="M9" s="2">
        <v>18</v>
      </c>
      <c r="N9" s="2">
        <f>normalizar!$L9*normalizar!$M9</f>
        <v>198</v>
      </c>
    </row>
    <row r="10" spans="1:18" x14ac:dyDescent="0.25">
      <c r="A10">
        <v>9</v>
      </c>
      <c r="B10" s="1">
        <v>44158</v>
      </c>
      <c r="C10">
        <v>390733860</v>
      </c>
      <c r="D10" t="s">
        <v>14</v>
      </c>
      <c r="E10" t="s">
        <v>81</v>
      </c>
      <c r="F10" t="s">
        <v>94</v>
      </c>
      <c r="G10" t="s">
        <v>15</v>
      </c>
      <c r="H10" t="s">
        <v>25</v>
      </c>
      <c r="I10" t="s">
        <v>9</v>
      </c>
      <c r="J10" t="s">
        <v>26</v>
      </c>
      <c r="K10" t="s">
        <v>27</v>
      </c>
      <c r="L10" s="2">
        <v>29</v>
      </c>
      <c r="M10" s="2">
        <v>73</v>
      </c>
      <c r="N10" s="2">
        <f>normalizar!$L10*normalizar!$M10</f>
        <v>2117</v>
      </c>
    </row>
    <row r="11" spans="1:18" x14ac:dyDescent="0.25">
      <c r="A11">
        <v>10</v>
      </c>
      <c r="B11" s="1">
        <v>43863</v>
      </c>
      <c r="C11">
        <v>2456709195</v>
      </c>
      <c r="D11" t="s">
        <v>28</v>
      </c>
      <c r="E11" t="s">
        <v>89</v>
      </c>
      <c r="F11" t="s">
        <v>84</v>
      </c>
      <c r="G11" t="s">
        <v>29</v>
      </c>
      <c r="H11" t="s">
        <v>8</v>
      </c>
      <c r="I11" t="s">
        <v>9</v>
      </c>
      <c r="J11" t="s">
        <v>30</v>
      </c>
      <c r="K11" t="s">
        <v>31</v>
      </c>
      <c r="L11" s="2">
        <v>12</v>
      </c>
      <c r="M11" s="2">
        <v>79</v>
      </c>
      <c r="N11" s="2">
        <f>normalizar!$L11*normalizar!$M11</f>
        <v>948</v>
      </c>
    </row>
    <row r="12" spans="1:18" x14ac:dyDescent="0.25">
      <c r="A12">
        <v>11</v>
      </c>
      <c r="B12" s="1">
        <v>43999</v>
      </c>
      <c r="C12">
        <v>5766090086</v>
      </c>
      <c r="D12" t="s">
        <v>32</v>
      </c>
      <c r="E12" t="s">
        <v>93</v>
      </c>
      <c r="F12" t="s">
        <v>96</v>
      </c>
      <c r="G12" t="s">
        <v>7</v>
      </c>
      <c r="H12" t="s">
        <v>8</v>
      </c>
      <c r="I12" t="s">
        <v>33</v>
      </c>
      <c r="J12" t="s">
        <v>34</v>
      </c>
      <c r="K12" t="s">
        <v>35</v>
      </c>
      <c r="L12" s="2">
        <v>28</v>
      </c>
      <c r="M12" s="2">
        <v>37</v>
      </c>
      <c r="N12" s="2">
        <f>normalizar!$L12*normalizar!$M12</f>
        <v>1036</v>
      </c>
    </row>
    <row r="13" spans="1:18" x14ac:dyDescent="0.25">
      <c r="A13">
        <v>12</v>
      </c>
      <c r="B13" s="1">
        <v>44045</v>
      </c>
      <c r="C13">
        <v>4872781256</v>
      </c>
      <c r="D13" t="s">
        <v>36</v>
      </c>
      <c r="E13" t="s">
        <v>92</v>
      </c>
      <c r="F13" t="s">
        <v>99</v>
      </c>
      <c r="G13" t="s">
        <v>37</v>
      </c>
      <c r="H13" t="s">
        <v>8</v>
      </c>
      <c r="I13" t="s">
        <v>17</v>
      </c>
      <c r="J13" t="s">
        <v>38</v>
      </c>
      <c r="K13" t="s">
        <v>39</v>
      </c>
      <c r="L13" s="2">
        <v>33</v>
      </c>
      <c r="M13" s="2">
        <v>64</v>
      </c>
      <c r="N13" s="2">
        <f>normalizar!$L13*normalizar!$M13</f>
        <v>2112</v>
      </c>
    </row>
    <row r="14" spans="1:18" x14ac:dyDescent="0.25">
      <c r="A14">
        <v>13</v>
      </c>
      <c r="B14" s="1">
        <v>43843</v>
      </c>
      <c r="C14">
        <v>4213140599</v>
      </c>
      <c r="D14" t="s">
        <v>40</v>
      </c>
      <c r="E14" t="s">
        <v>97</v>
      </c>
      <c r="F14" t="s">
        <v>88</v>
      </c>
      <c r="G14" t="s">
        <v>41</v>
      </c>
      <c r="H14" t="s">
        <v>25</v>
      </c>
      <c r="I14" t="s">
        <v>9</v>
      </c>
      <c r="J14" t="s">
        <v>22</v>
      </c>
      <c r="K14" t="s">
        <v>11</v>
      </c>
      <c r="L14" s="2">
        <v>21</v>
      </c>
      <c r="M14" s="2">
        <v>96</v>
      </c>
      <c r="N14" s="2">
        <f>normalizar!$L14*normalizar!$M14</f>
        <v>2016</v>
      </c>
    </row>
    <row r="15" spans="1:18" x14ac:dyDescent="0.25">
      <c r="A15">
        <v>14</v>
      </c>
      <c r="B15" s="1">
        <v>43861</v>
      </c>
      <c r="C15">
        <v>9433063552</v>
      </c>
      <c r="D15" t="s">
        <v>23</v>
      </c>
      <c r="E15" t="s">
        <v>86</v>
      </c>
      <c r="F15" t="s">
        <v>82</v>
      </c>
      <c r="G15" t="s">
        <v>24</v>
      </c>
      <c r="H15" t="s">
        <v>25</v>
      </c>
      <c r="I15" t="s">
        <v>9</v>
      </c>
      <c r="J15" t="s">
        <v>30</v>
      </c>
      <c r="K15" t="s">
        <v>31</v>
      </c>
      <c r="L15" s="2">
        <v>46</v>
      </c>
      <c r="M15" s="2">
        <v>86</v>
      </c>
      <c r="N15" s="2">
        <f>normalizar!$L15*normalizar!$M15</f>
        <v>3956</v>
      </c>
    </row>
    <row r="16" spans="1:18" x14ac:dyDescent="0.25">
      <c r="A16">
        <v>15</v>
      </c>
      <c r="B16" s="1">
        <v>44037</v>
      </c>
      <c r="C16">
        <v>8539365209</v>
      </c>
      <c r="D16" t="s">
        <v>42</v>
      </c>
      <c r="E16" t="s">
        <v>91</v>
      </c>
      <c r="F16" t="s">
        <v>91</v>
      </c>
      <c r="G16" t="s">
        <v>43</v>
      </c>
      <c r="H16" t="s">
        <v>8</v>
      </c>
      <c r="I16" t="s">
        <v>17</v>
      </c>
      <c r="J16" t="s">
        <v>44</v>
      </c>
      <c r="K16" t="s">
        <v>11</v>
      </c>
      <c r="L16" s="2">
        <v>41</v>
      </c>
      <c r="M16" s="2">
        <v>96</v>
      </c>
      <c r="N16" s="2">
        <f>normalizar!$L16*normalizar!$M16</f>
        <v>3936</v>
      </c>
    </row>
    <row r="17" spans="1:14" x14ac:dyDescent="0.25">
      <c r="A17">
        <v>16</v>
      </c>
      <c r="B17" s="1">
        <v>44009</v>
      </c>
      <c r="C17">
        <v>6983099686</v>
      </c>
      <c r="D17" t="s">
        <v>45</v>
      </c>
      <c r="E17" t="s">
        <v>87</v>
      </c>
      <c r="F17" t="s">
        <v>87</v>
      </c>
      <c r="G17" t="s">
        <v>24</v>
      </c>
      <c r="H17" t="s">
        <v>127</v>
      </c>
      <c r="I17" t="s">
        <v>127</v>
      </c>
      <c r="J17" t="s">
        <v>22</v>
      </c>
      <c r="K17" t="s">
        <v>11</v>
      </c>
      <c r="L17" s="2">
        <v>45</v>
      </c>
      <c r="M17" s="2">
        <v>97</v>
      </c>
      <c r="N17" s="2">
        <f>normalizar!$L17*normalizar!$M17</f>
        <v>4365</v>
      </c>
    </row>
    <row r="18" spans="1:14" x14ac:dyDescent="0.25">
      <c r="A18">
        <v>17</v>
      </c>
      <c r="B18" s="1">
        <v>44065</v>
      </c>
      <c r="C18">
        <v>3008945605</v>
      </c>
      <c r="D18" t="s">
        <v>42</v>
      </c>
      <c r="E18" t="s">
        <v>91</v>
      </c>
      <c r="F18" t="s">
        <v>91</v>
      </c>
      <c r="G18" t="s">
        <v>43</v>
      </c>
      <c r="H18" t="s">
        <v>16</v>
      </c>
      <c r="I18" t="s">
        <v>127</v>
      </c>
      <c r="J18" t="s">
        <v>46</v>
      </c>
      <c r="K18" t="s">
        <v>47</v>
      </c>
      <c r="L18" s="2">
        <v>26</v>
      </c>
      <c r="M18" s="2">
        <v>65</v>
      </c>
      <c r="N18" s="2">
        <f>normalizar!$L18*normalizar!$M18</f>
        <v>1690</v>
      </c>
    </row>
    <row r="19" spans="1:14" x14ac:dyDescent="0.25">
      <c r="A19">
        <v>18</v>
      </c>
      <c r="B19" s="1">
        <v>43937</v>
      </c>
      <c r="C19">
        <v>5388305959</v>
      </c>
      <c r="D19" t="s">
        <v>42</v>
      </c>
      <c r="E19" t="s">
        <v>91</v>
      </c>
      <c r="F19" t="s">
        <v>91</v>
      </c>
      <c r="G19" t="s">
        <v>43</v>
      </c>
      <c r="H19" t="s">
        <v>16</v>
      </c>
      <c r="I19" t="s">
        <v>127</v>
      </c>
      <c r="J19" t="s">
        <v>48</v>
      </c>
      <c r="K19" t="s">
        <v>49</v>
      </c>
      <c r="L19" s="2">
        <v>40</v>
      </c>
      <c r="M19" s="2">
        <v>88</v>
      </c>
      <c r="N19" s="2">
        <f>normalizar!$L19*normalizar!$M19</f>
        <v>3520</v>
      </c>
    </row>
    <row r="20" spans="1:14" x14ac:dyDescent="0.25">
      <c r="A20">
        <v>19</v>
      </c>
      <c r="B20" s="1">
        <v>44172</v>
      </c>
      <c r="C20">
        <v>438272084</v>
      </c>
      <c r="D20" t="s">
        <v>42</v>
      </c>
      <c r="E20" t="s">
        <v>91</v>
      </c>
      <c r="F20" t="s">
        <v>91</v>
      </c>
      <c r="G20" t="s">
        <v>43</v>
      </c>
      <c r="H20" t="s">
        <v>16</v>
      </c>
      <c r="I20" t="s">
        <v>127</v>
      </c>
      <c r="J20" t="s">
        <v>26</v>
      </c>
      <c r="K20" t="s">
        <v>27</v>
      </c>
      <c r="L20" s="2">
        <v>12</v>
      </c>
      <c r="M20" s="2">
        <v>60</v>
      </c>
      <c r="N20" s="2">
        <f>normalizar!$L20*normalizar!$M20</f>
        <v>720</v>
      </c>
    </row>
    <row r="21" spans="1:14" x14ac:dyDescent="0.25">
      <c r="A21">
        <v>20</v>
      </c>
      <c r="B21" s="1">
        <v>43875</v>
      </c>
      <c r="C21">
        <v>2536792311</v>
      </c>
      <c r="D21" t="s">
        <v>50</v>
      </c>
      <c r="E21" t="s">
        <v>85</v>
      </c>
      <c r="F21" t="s">
        <v>83</v>
      </c>
      <c r="G21" t="s">
        <v>41</v>
      </c>
      <c r="H21" t="s">
        <v>25</v>
      </c>
      <c r="I21" t="s">
        <v>127</v>
      </c>
      <c r="J21" t="s">
        <v>12</v>
      </c>
      <c r="K21" t="s">
        <v>13</v>
      </c>
      <c r="L21" s="2">
        <v>35</v>
      </c>
      <c r="M21" s="2">
        <v>96</v>
      </c>
      <c r="N21" s="2">
        <f>normalizar!$L21*normalizar!$M21</f>
        <v>3360</v>
      </c>
    </row>
    <row r="22" spans="1:14" x14ac:dyDescent="0.25">
      <c r="A22">
        <v>21</v>
      </c>
      <c r="B22" s="1">
        <v>44138</v>
      </c>
      <c r="C22">
        <v>7813757711</v>
      </c>
      <c r="D22" t="s">
        <v>50</v>
      </c>
      <c r="E22" t="s">
        <v>85</v>
      </c>
      <c r="F22" t="s">
        <v>83</v>
      </c>
      <c r="G22" t="s">
        <v>41</v>
      </c>
      <c r="H22" t="s">
        <v>25</v>
      </c>
      <c r="I22" t="s">
        <v>127</v>
      </c>
      <c r="J22" t="s">
        <v>44</v>
      </c>
      <c r="K22" t="s">
        <v>11</v>
      </c>
      <c r="L22" s="2">
        <v>20</v>
      </c>
      <c r="M22" s="2">
        <v>50</v>
      </c>
      <c r="N22" s="2">
        <f>normalizar!$L22*normalizar!$M22</f>
        <v>1000</v>
      </c>
    </row>
    <row r="23" spans="1:14" x14ac:dyDescent="0.25">
      <c r="A23">
        <v>22</v>
      </c>
      <c r="B23" s="1">
        <v>43918</v>
      </c>
      <c r="C23">
        <v>4786931679</v>
      </c>
      <c r="D23" t="s">
        <v>51</v>
      </c>
      <c r="E23" t="s">
        <v>90</v>
      </c>
      <c r="F23" t="s">
        <v>98</v>
      </c>
      <c r="G23" t="s">
        <v>24</v>
      </c>
      <c r="H23" t="s">
        <v>127</v>
      </c>
      <c r="I23" t="s">
        <v>127</v>
      </c>
      <c r="J23" t="s">
        <v>21</v>
      </c>
      <c r="K23" t="s">
        <v>11</v>
      </c>
      <c r="L23" s="2">
        <v>50</v>
      </c>
      <c r="M23" s="2">
        <v>75</v>
      </c>
      <c r="N23" s="2">
        <f>normalizar!$L23*normalizar!$M23</f>
        <v>3750</v>
      </c>
    </row>
    <row r="24" spans="1:14" x14ac:dyDescent="0.25">
      <c r="A24">
        <v>23</v>
      </c>
      <c r="B24" s="1">
        <v>44039</v>
      </c>
      <c r="C24">
        <v>3021659728</v>
      </c>
      <c r="D24" t="s">
        <v>51</v>
      </c>
      <c r="E24" t="s">
        <v>90</v>
      </c>
      <c r="F24" t="s">
        <v>98</v>
      </c>
      <c r="G24" t="s">
        <v>24</v>
      </c>
      <c r="H24" t="s">
        <v>127</v>
      </c>
      <c r="I24" t="s">
        <v>127</v>
      </c>
      <c r="J24" t="s">
        <v>22</v>
      </c>
      <c r="K24" t="s">
        <v>11</v>
      </c>
      <c r="L24" s="2">
        <v>21</v>
      </c>
      <c r="M24" s="2">
        <v>4</v>
      </c>
      <c r="N24" s="2">
        <f>normalizar!$L24*normalizar!$M24</f>
        <v>84</v>
      </c>
    </row>
    <row r="25" spans="1:14" x14ac:dyDescent="0.25">
      <c r="A25">
        <v>24</v>
      </c>
      <c r="B25" s="1">
        <v>43993</v>
      </c>
      <c r="C25">
        <v>2591950684</v>
      </c>
      <c r="D25" t="s">
        <v>51</v>
      </c>
      <c r="E25" t="s">
        <v>90</v>
      </c>
      <c r="F25" t="s">
        <v>98</v>
      </c>
      <c r="G25" t="s">
        <v>24</v>
      </c>
      <c r="H25" t="s">
        <v>127</v>
      </c>
      <c r="I25" t="s">
        <v>127</v>
      </c>
      <c r="J25" t="s">
        <v>44</v>
      </c>
      <c r="K25" t="s">
        <v>11</v>
      </c>
      <c r="L25" s="2">
        <v>43</v>
      </c>
      <c r="M25" s="2">
        <v>18</v>
      </c>
      <c r="N25" s="2">
        <f>normalizar!$L25*normalizar!$M25</f>
        <v>774</v>
      </c>
    </row>
    <row r="26" spans="1:14" x14ac:dyDescent="0.25">
      <c r="A26">
        <v>25</v>
      </c>
      <c r="B26" s="1">
        <v>43885</v>
      </c>
      <c r="C26">
        <v>9326361454</v>
      </c>
      <c r="D26" t="s">
        <v>40</v>
      </c>
      <c r="E26" t="s">
        <v>97</v>
      </c>
      <c r="F26" t="s">
        <v>88</v>
      </c>
      <c r="G26" t="s">
        <v>41</v>
      </c>
      <c r="H26" t="s">
        <v>25</v>
      </c>
      <c r="I26" t="s">
        <v>17</v>
      </c>
      <c r="J26" t="s">
        <v>34</v>
      </c>
      <c r="K26" t="s">
        <v>35</v>
      </c>
      <c r="L26" s="2">
        <v>26</v>
      </c>
      <c r="M26" s="2">
        <v>49</v>
      </c>
      <c r="N26" s="2">
        <f>normalizar!$L26*normalizar!$M26</f>
        <v>1274</v>
      </c>
    </row>
    <row r="27" spans="1:14" x14ac:dyDescent="0.25">
      <c r="A27">
        <v>26</v>
      </c>
      <c r="B27" s="1">
        <v>44055</v>
      </c>
      <c r="C27">
        <v>3769138349</v>
      </c>
      <c r="D27" t="s">
        <v>40</v>
      </c>
      <c r="E27" t="s">
        <v>97</v>
      </c>
      <c r="F27" t="s">
        <v>88</v>
      </c>
      <c r="G27" t="s">
        <v>41</v>
      </c>
      <c r="H27" t="s">
        <v>25</v>
      </c>
      <c r="I27" t="s">
        <v>17</v>
      </c>
      <c r="J27" t="s">
        <v>52</v>
      </c>
      <c r="K27" t="s">
        <v>53</v>
      </c>
      <c r="L27" s="2">
        <v>39</v>
      </c>
      <c r="M27" s="2">
        <v>21</v>
      </c>
      <c r="N27" s="2">
        <f>normalizar!$L27*normalizar!$M27</f>
        <v>819</v>
      </c>
    </row>
    <row r="28" spans="1:14" x14ac:dyDescent="0.25">
      <c r="A28">
        <v>27</v>
      </c>
      <c r="B28" s="1">
        <v>43908</v>
      </c>
      <c r="C28">
        <v>5871657714</v>
      </c>
      <c r="D28" t="s">
        <v>54</v>
      </c>
      <c r="E28" t="s">
        <v>89</v>
      </c>
      <c r="F28" t="s">
        <v>84</v>
      </c>
      <c r="G28" t="s">
        <v>55</v>
      </c>
      <c r="H28" t="s">
        <v>16</v>
      </c>
      <c r="I28" t="s">
        <v>9</v>
      </c>
      <c r="J28" t="s">
        <v>56</v>
      </c>
      <c r="K28" t="s">
        <v>57</v>
      </c>
      <c r="L28" s="2">
        <v>33</v>
      </c>
      <c r="M28" s="2">
        <v>8</v>
      </c>
      <c r="N28" s="2">
        <f>normalizar!$L28*normalizar!$M28</f>
        <v>264</v>
      </c>
    </row>
    <row r="29" spans="1:14" x14ac:dyDescent="0.25">
      <c r="A29">
        <v>28</v>
      </c>
      <c r="B29" s="1">
        <v>43965</v>
      </c>
      <c r="C29">
        <v>1534553307</v>
      </c>
      <c r="D29" t="s">
        <v>54</v>
      </c>
      <c r="E29" t="s">
        <v>89</v>
      </c>
      <c r="F29" t="s">
        <v>84</v>
      </c>
      <c r="G29" t="s">
        <v>55</v>
      </c>
      <c r="H29" t="s">
        <v>16</v>
      </c>
      <c r="I29" t="s">
        <v>9</v>
      </c>
      <c r="J29" t="s">
        <v>58</v>
      </c>
      <c r="K29" t="s">
        <v>59</v>
      </c>
      <c r="L29" s="2">
        <v>46</v>
      </c>
      <c r="M29" s="2">
        <v>82</v>
      </c>
      <c r="N29" s="2">
        <f>normalizar!$L29*normalizar!$M29</f>
        <v>3772</v>
      </c>
    </row>
    <row r="30" spans="1:14" x14ac:dyDescent="0.25">
      <c r="A30">
        <v>29</v>
      </c>
      <c r="B30" s="1">
        <v>44146</v>
      </c>
      <c r="C30">
        <v>8474620707</v>
      </c>
      <c r="D30" t="s">
        <v>36</v>
      </c>
      <c r="E30" t="s">
        <v>92</v>
      </c>
      <c r="F30" t="s">
        <v>99</v>
      </c>
      <c r="G30" t="s">
        <v>37</v>
      </c>
      <c r="H30" t="s">
        <v>8</v>
      </c>
      <c r="I30" t="s">
        <v>17</v>
      </c>
      <c r="J30" t="s">
        <v>10</v>
      </c>
      <c r="K30" t="s">
        <v>11</v>
      </c>
      <c r="L30" s="2">
        <v>32</v>
      </c>
      <c r="M30" s="2">
        <v>75</v>
      </c>
      <c r="N30" s="2">
        <f>normalizar!$L30*normalizar!$M30</f>
        <v>2400</v>
      </c>
    </row>
    <row r="31" spans="1:14" x14ac:dyDescent="0.25">
      <c r="A31">
        <v>30</v>
      </c>
      <c r="B31" s="1">
        <v>44144</v>
      </c>
      <c r="C31">
        <v>3530767380</v>
      </c>
      <c r="D31" t="s">
        <v>23</v>
      </c>
      <c r="E31" t="s">
        <v>86</v>
      </c>
      <c r="F31" t="s">
        <v>82</v>
      </c>
      <c r="G31" t="s">
        <v>24</v>
      </c>
      <c r="H31" t="s">
        <v>8</v>
      </c>
      <c r="I31" t="s">
        <v>9</v>
      </c>
      <c r="J31" t="s">
        <v>38</v>
      </c>
      <c r="K31" t="s">
        <v>39</v>
      </c>
      <c r="L31" s="2">
        <v>34</v>
      </c>
      <c r="M31" s="2">
        <v>3</v>
      </c>
      <c r="N31" s="2">
        <f>normalizar!$L31*normalizar!$M31</f>
        <v>102</v>
      </c>
    </row>
    <row r="32" spans="1:14" x14ac:dyDescent="0.25">
      <c r="A32">
        <v>31</v>
      </c>
      <c r="B32" s="1">
        <v>43845</v>
      </c>
      <c r="C32">
        <v>6673950624</v>
      </c>
      <c r="D32" t="s">
        <v>32</v>
      </c>
      <c r="E32" t="s">
        <v>93</v>
      </c>
      <c r="F32" t="s">
        <v>96</v>
      </c>
      <c r="G32" t="s">
        <v>7</v>
      </c>
      <c r="H32" t="s">
        <v>8</v>
      </c>
      <c r="I32" t="s">
        <v>33</v>
      </c>
      <c r="J32" t="s">
        <v>60</v>
      </c>
      <c r="K32" t="s">
        <v>49</v>
      </c>
      <c r="L32" s="2">
        <v>24</v>
      </c>
      <c r="M32" s="2">
        <v>33</v>
      </c>
      <c r="N32" s="2">
        <f>normalizar!$L32*normalizar!$M32</f>
        <v>792</v>
      </c>
    </row>
    <row r="33" spans="1:14" x14ac:dyDescent="0.25">
      <c r="A33">
        <v>32</v>
      </c>
      <c r="B33" s="1">
        <v>43967</v>
      </c>
      <c r="C33">
        <v>7137547321</v>
      </c>
      <c r="D33" t="s">
        <v>32</v>
      </c>
      <c r="E33" t="s">
        <v>93</v>
      </c>
      <c r="F33" t="s">
        <v>96</v>
      </c>
      <c r="G33" t="s">
        <v>7</v>
      </c>
      <c r="H33" t="s">
        <v>8</v>
      </c>
      <c r="I33" t="s">
        <v>33</v>
      </c>
      <c r="J33" t="s">
        <v>38</v>
      </c>
      <c r="K33" t="s">
        <v>39</v>
      </c>
      <c r="L33" s="2">
        <v>21</v>
      </c>
      <c r="M33" s="2">
        <v>51</v>
      </c>
      <c r="N33" s="2">
        <f>normalizar!$L33*normalizar!$M33</f>
        <v>1071</v>
      </c>
    </row>
    <row r="34" spans="1:14" x14ac:dyDescent="0.25">
      <c r="A34">
        <v>33</v>
      </c>
      <c r="B34" s="1">
        <v>43862</v>
      </c>
      <c r="C34">
        <v>9655985375</v>
      </c>
      <c r="D34" t="s">
        <v>36</v>
      </c>
      <c r="E34" t="s">
        <v>92</v>
      </c>
      <c r="F34" t="s">
        <v>99</v>
      </c>
      <c r="G34" t="s">
        <v>37</v>
      </c>
      <c r="H34" t="s">
        <v>8</v>
      </c>
      <c r="I34" t="s">
        <v>17</v>
      </c>
      <c r="J34" t="s">
        <v>38</v>
      </c>
      <c r="K34" t="s">
        <v>39</v>
      </c>
      <c r="L34" s="2">
        <v>17</v>
      </c>
      <c r="M34" s="2">
        <v>30</v>
      </c>
      <c r="N34" s="2">
        <f>normalizar!$L34*normalizar!$M34</f>
        <v>510</v>
      </c>
    </row>
    <row r="35" spans="1:14" x14ac:dyDescent="0.25">
      <c r="A35">
        <v>34</v>
      </c>
      <c r="B35" s="1">
        <v>44167</v>
      </c>
      <c r="C35">
        <v>299812367</v>
      </c>
      <c r="D35" t="s">
        <v>40</v>
      </c>
      <c r="E35" t="s">
        <v>97</v>
      </c>
      <c r="F35" t="s">
        <v>88</v>
      </c>
      <c r="G35" t="s">
        <v>41</v>
      </c>
      <c r="H35" t="s">
        <v>25</v>
      </c>
      <c r="I35" t="s">
        <v>9</v>
      </c>
      <c r="J35" t="s">
        <v>60</v>
      </c>
      <c r="K35" t="s">
        <v>49</v>
      </c>
      <c r="L35" s="2">
        <v>12.7</v>
      </c>
      <c r="M35" s="2">
        <v>25.8</v>
      </c>
      <c r="N35" s="2">
        <f>normalizar!$L35*normalizar!$M35</f>
        <v>327.65999999999997</v>
      </c>
    </row>
    <row r="36" spans="1:14" x14ac:dyDescent="0.25">
      <c r="A36">
        <v>35</v>
      </c>
      <c r="B36" s="1">
        <v>43870</v>
      </c>
      <c r="C36">
        <v>7779151222</v>
      </c>
      <c r="D36" t="s">
        <v>23</v>
      </c>
      <c r="E36" t="s">
        <v>86</v>
      </c>
      <c r="F36" t="s">
        <v>82</v>
      </c>
      <c r="G36" t="s">
        <v>24</v>
      </c>
      <c r="H36" t="s">
        <v>25</v>
      </c>
      <c r="I36" t="s">
        <v>9</v>
      </c>
      <c r="J36" t="s">
        <v>38</v>
      </c>
      <c r="K36" t="s">
        <v>39</v>
      </c>
      <c r="L36" s="2">
        <v>8.4</v>
      </c>
      <c r="M36" s="2">
        <v>21.6</v>
      </c>
      <c r="N36" s="2">
        <f>normalizar!$L36*normalizar!$M36</f>
        <v>181.44000000000003</v>
      </c>
    </row>
    <row r="37" spans="1:14" x14ac:dyDescent="0.25">
      <c r="A37">
        <v>36</v>
      </c>
      <c r="B37" s="1">
        <v>44192</v>
      </c>
      <c r="C37">
        <v>9282360094</v>
      </c>
      <c r="D37" t="s">
        <v>42</v>
      </c>
      <c r="E37" t="s">
        <v>91</v>
      </c>
      <c r="F37" t="s">
        <v>91</v>
      </c>
      <c r="G37" t="s">
        <v>43</v>
      </c>
      <c r="H37" t="s">
        <v>8</v>
      </c>
      <c r="I37" t="s">
        <v>17</v>
      </c>
      <c r="J37" t="s">
        <v>61</v>
      </c>
      <c r="K37" t="s">
        <v>13</v>
      </c>
      <c r="L37" s="2">
        <v>140</v>
      </c>
      <c r="M37" s="2">
        <v>47</v>
      </c>
      <c r="N37" s="2">
        <f>normalizar!$L37*normalizar!$M37</f>
        <v>6580</v>
      </c>
    </row>
    <row r="38" spans="1:14" x14ac:dyDescent="0.25">
      <c r="A38">
        <v>37</v>
      </c>
      <c r="B38" s="1">
        <v>43982</v>
      </c>
      <c r="C38">
        <v>6935804403</v>
      </c>
      <c r="D38" t="s">
        <v>42</v>
      </c>
      <c r="E38" t="s">
        <v>91</v>
      </c>
      <c r="F38" t="s">
        <v>91</v>
      </c>
      <c r="G38" t="s">
        <v>43</v>
      </c>
      <c r="H38" t="s">
        <v>16</v>
      </c>
      <c r="I38" t="s">
        <v>127</v>
      </c>
      <c r="J38" t="s">
        <v>12</v>
      </c>
      <c r="K38" t="s">
        <v>13</v>
      </c>
      <c r="L38" s="2">
        <v>49</v>
      </c>
      <c r="M38" s="2">
        <v>49</v>
      </c>
      <c r="N38" s="2">
        <f>normalizar!$L38*normalizar!$M38</f>
        <v>2401</v>
      </c>
    </row>
    <row r="39" spans="1:14" x14ac:dyDescent="0.25">
      <c r="A39">
        <v>38</v>
      </c>
      <c r="B39" s="1">
        <v>43952</v>
      </c>
      <c r="C39">
        <v>3650322132</v>
      </c>
      <c r="D39" t="s">
        <v>50</v>
      </c>
      <c r="E39" t="s">
        <v>85</v>
      </c>
      <c r="F39" t="s">
        <v>83</v>
      </c>
      <c r="G39" t="s">
        <v>41</v>
      </c>
      <c r="H39" t="s">
        <v>25</v>
      </c>
      <c r="I39" t="s">
        <v>127</v>
      </c>
      <c r="J39" t="s">
        <v>38</v>
      </c>
      <c r="K39" t="s">
        <v>39</v>
      </c>
      <c r="L39" s="2">
        <v>560</v>
      </c>
      <c r="M39" s="2">
        <v>72</v>
      </c>
      <c r="N39" s="2">
        <f>normalizar!$L39*normalizar!$M39</f>
        <v>40320</v>
      </c>
    </row>
    <row r="40" spans="1:14" x14ac:dyDescent="0.25">
      <c r="A40">
        <v>39</v>
      </c>
      <c r="B40" s="1">
        <v>43965</v>
      </c>
      <c r="C40">
        <v>1985754250</v>
      </c>
      <c r="D40" t="s">
        <v>51</v>
      </c>
      <c r="E40" t="s">
        <v>90</v>
      </c>
      <c r="F40" t="s">
        <v>98</v>
      </c>
      <c r="G40" t="s">
        <v>24</v>
      </c>
      <c r="H40" t="s">
        <v>25</v>
      </c>
      <c r="I40" t="s">
        <v>127</v>
      </c>
      <c r="J40" t="s">
        <v>52</v>
      </c>
      <c r="K40" t="s">
        <v>53</v>
      </c>
      <c r="L40" s="2">
        <v>257.59999999999997</v>
      </c>
      <c r="M40" s="2">
        <v>13</v>
      </c>
      <c r="N40" s="2">
        <f>normalizar!$L40*normalizar!$M40</f>
        <v>3348.7999999999997</v>
      </c>
    </row>
    <row r="41" spans="1:14" x14ac:dyDescent="0.25">
      <c r="A41">
        <v>40</v>
      </c>
      <c r="B41" s="1">
        <v>44090</v>
      </c>
      <c r="C41">
        <v>7293507918</v>
      </c>
      <c r="D41" t="s">
        <v>40</v>
      </c>
      <c r="E41" t="s">
        <v>97</v>
      </c>
      <c r="F41" t="s">
        <v>88</v>
      </c>
      <c r="G41" t="s">
        <v>41</v>
      </c>
      <c r="H41" t="s">
        <v>25</v>
      </c>
      <c r="I41" t="s">
        <v>17</v>
      </c>
      <c r="J41" t="s">
        <v>22</v>
      </c>
      <c r="K41" t="s">
        <v>11</v>
      </c>
      <c r="L41" s="2">
        <v>644</v>
      </c>
      <c r="M41" s="2">
        <v>32</v>
      </c>
      <c r="N41" s="2">
        <f>normalizar!$L41*normalizar!$M41</f>
        <v>20608</v>
      </c>
    </row>
    <row r="42" spans="1:14" x14ac:dyDescent="0.25">
      <c r="A42">
        <v>41</v>
      </c>
      <c r="B42" s="1">
        <v>43983</v>
      </c>
      <c r="C42">
        <v>3459323228</v>
      </c>
      <c r="D42" t="s">
        <v>54</v>
      </c>
      <c r="E42" t="s">
        <v>89</v>
      </c>
      <c r="F42" t="s">
        <v>84</v>
      </c>
      <c r="G42" t="s">
        <v>55</v>
      </c>
      <c r="H42" t="s">
        <v>16</v>
      </c>
      <c r="I42" t="s">
        <v>9</v>
      </c>
      <c r="J42" t="s">
        <v>34</v>
      </c>
      <c r="K42" t="s">
        <v>35</v>
      </c>
      <c r="L42" s="2">
        <v>135.1</v>
      </c>
      <c r="M42" s="2">
        <v>27</v>
      </c>
      <c r="N42" s="2">
        <f>normalizar!$L42*normalizar!$M42</f>
        <v>3647.7</v>
      </c>
    </row>
    <row r="43" spans="1:14" x14ac:dyDescent="0.25">
      <c r="A43">
        <v>42</v>
      </c>
      <c r="B43" s="1">
        <v>43999</v>
      </c>
      <c r="C43">
        <v>1144627655</v>
      </c>
      <c r="D43" t="s">
        <v>36</v>
      </c>
      <c r="E43" t="s">
        <v>92</v>
      </c>
      <c r="F43" t="s">
        <v>99</v>
      </c>
      <c r="G43" t="s">
        <v>37</v>
      </c>
      <c r="H43" t="s">
        <v>8</v>
      </c>
      <c r="I43" t="s">
        <v>17</v>
      </c>
      <c r="J43" t="s">
        <v>30</v>
      </c>
      <c r="K43" t="s">
        <v>31</v>
      </c>
      <c r="L43" s="2">
        <v>178.5</v>
      </c>
      <c r="M43" s="2">
        <v>71</v>
      </c>
      <c r="N43" s="2">
        <f>normalizar!$L43*normalizar!$M43</f>
        <v>12673.5</v>
      </c>
    </row>
    <row r="44" spans="1:14" x14ac:dyDescent="0.25">
      <c r="A44">
        <v>43</v>
      </c>
      <c r="B44" s="1">
        <v>44070</v>
      </c>
      <c r="C44">
        <v>3986713828</v>
      </c>
      <c r="D44" t="s">
        <v>23</v>
      </c>
      <c r="E44" t="s">
        <v>86</v>
      </c>
      <c r="F44" t="s">
        <v>82</v>
      </c>
      <c r="G44" t="s">
        <v>24</v>
      </c>
      <c r="H44" t="s">
        <v>8</v>
      </c>
      <c r="I44" t="s">
        <v>9</v>
      </c>
      <c r="J44" t="s">
        <v>30</v>
      </c>
      <c r="K44" t="s">
        <v>31</v>
      </c>
      <c r="L44" s="2">
        <v>178.5</v>
      </c>
      <c r="M44" s="2">
        <v>13</v>
      </c>
      <c r="N44" s="2">
        <f>normalizar!$L44*normalizar!$M44</f>
        <v>2320.5</v>
      </c>
    </row>
    <row r="45" spans="1:14" x14ac:dyDescent="0.25">
      <c r="A45">
        <v>44</v>
      </c>
      <c r="B45" s="1">
        <v>43998</v>
      </c>
      <c r="C45">
        <v>9350633665</v>
      </c>
      <c r="D45" t="s">
        <v>62</v>
      </c>
      <c r="E45" t="s">
        <v>91</v>
      </c>
      <c r="F45" t="s">
        <v>91</v>
      </c>
      <c r="G45" t="s">
        <v>43</v>
      </c>
      <c r="H45" t="s">
        <v>16</v>
      </c>
      <c r="I45" t="s">
        <v>33</v>
      </c>
      <c r="J45" t="s">
        <v>48</v>
      </c>
      <c r="K45" t="s">
        <v>49</v>
      </c>
      <c r="L45" s="2">
        <v>308</v>
      </c>
      <c r="M45" s="2">
        <v>98</v>
      </c>
      <c r="N45" s="2">
        <f>normalizar!$L45*normalizar!$M45</f>
        <v>30184</v>
      </c>
    </row>
    <row r="46" spans="1:14" x14ac:dyDescent="0.25">
      <c r="A46">
        <v>45</v>
      </c>
      <c r="B46" s="1">
        <v>44129</v>
      </c>
      <c r="C46">
        <v>4918639925</v>
      </c>
      <c r="D46" t="s">
        <v>63</v>
      </c>
      <c r="E46" t="s">
        <v>85</v>
      </c>
      <c r="F46" t="s">
        <v>83</v>
      </c>
      <c r="G46" t="s">
        <v>41</v>
      </c>
      <c r="H46" t="s">
        <v>25</v>
      </c>
      <c r="I46" t="s">
        <v>17</v>
      </c>
      <c r="J46" t="s">
        <v>46</v>
      </c>
      <c r="K46" t="s">
        <v>47</v>
      </c>
      <c r="L46" s="2">
        <v>350</v>
      </c>
      <c r="M46" s="2">
        <v>21</v>
      </c>
      <c r="N46" s="2">
        <f>normalizar!$L46*normalizar!$M46</f>
        <v>7350</v>
      </c>
    </row>
    <row r="47" spans="1:14" x14ac:dyDescent="0.25">
      <c r="A47">
        <v>46</v>
      </c>
      <c r="B47" s="1">
        <v>44165</v>
      </c>
      <c r="C47">
        <v>9630006862</v>
      </c>
      <c r="D47" t="s">
        <v>28</v>
      </c>
      <c r="E47" t="s">
        <v>89</v>
      </c>
      <c r="F47" t="s">
        <v>84</v>
      </c>
      <c r="G47" t="s">
        <v>29</v>
      </c>
      <c r="H47" t="s">
        <v>8</v>
      </c>
      <c r="I47" t="s">
        <v>9</v>
      </c>
      <c r="J47" t="s">
        <v>64</v>
      </c>
      <c r="K47" t="s">
        <v>65</v>
      </c>
      <c r="L47" s="2">
        <v>546</v>
      </c>
      <c r="M47" s="2">
        <v>26</v>
      </c>
      <c r="N47" s="2">
        <f>normalizar!$L47*normalizar!$M47</f>
        <v>14196</v>
      </c>
    </row>
    <row r="48" spans="1:14" x14ac:dyDescent="0.25">
      <c r="A48">
        <v>47</v>
      </c>
      <c r="B48" s="1">
        <v>43920</v>
      </c>
      <c r="C48">
        <v>9029002933</v>
      </c>
      <c r="D48" t="s">
        <v>36</v>
      </c>
      <c r="E48" t="s">
        <v>92</v>
      </c>
      <c r="F48" t="s">
        <v>99</v>
      </c>
      <c r="G48" t="s">
        <v>37</v>
      </c>
      <c r="H48" t="s">
        <v>25</v>
      </c>
      <c r="I48" t="s">
        <v>9</v>
      </c>
      <c r="J48" t="s">
        <v>18</v>
      </c>
      <c r="K48" t="s">
        <v>13</v>
      </c>
      <c r="L48" s="2">
        <v>420</v>
      </c>
      <c r="M48" s="2">
        <v>96</v>
      </c>
      <c r="N48" s="2">
        <f>normalizar!$L48*normalizar!$M48</f>
        <v>40320</v>
      </c>
    </row>
    <row r="49" spans="1:14" x14ac:dyDescent="0.25">
      <c r="A49">
        <v>48</v>
      </c>
      <c r="B49" s="1">
        <v>43880</v>
      </c>
      <c r="C49">
        <v>5702300844</v>
      </c>
      <c r="D49" t="s">
        <v>36</v>
      </c>
      <c r="E49" t="s">
        <v>92</v>
      </c>
      <c r="F49" t="s">
        <v>99</v>
      </c>
      <c r="G49" t="s">
        <v>37</v>
      </c>
      <c r="H49" t="s">
        <v>25</v>
      </c>
      <c r="I49" t="s">
        <v>9</v>
      </c>
      <c r="J49" t="s">
        <v>19</v>
      </c>
      <c r="K49" t="s">
        <v>13</v>
      </c>
      <c r="L49" s="2">
        <v>742</v>
      </c>
      <c r="M49" s="2">
        <v>16</v>
      </c>
      <c r="N49" s="2">
        <f>normalizar!$L49*normalizar!$M49</f>
        <v>11872</v>
      </c>
    </row>
    <row r="50" spans="1:14" x14ac:dyDescent="0.25">
      <c r="A50">
        <v>49</v>
      </c>
      <c r="B50" s="1">
        <v>43922</v>
      </c>
      <c r="C50">
        <v>6885713027</v>
      </c>
      <c r="D50" t="s">
        <v>14</v>
      </c>
      <c r="E50" t="s">
        <v>81</v>
      </c>
      <c r="F50" t="s">
        <v>94</v>
      </c>
      <c r="G50" t="s">
        <v>15</v>
      </c>
      <c r="H50" t="s">
        <v>127</v>
      </c>
      <c r="I50" t="s">
        <v>127</v>
      </c>
      <c r="J50" t="s">
        <v>66</v>
      </c>
      <c r="K50" t="s">
        <v>57</v>
      </c>
      <c r="L50" s="2">
        <v>532</v>
      </c>
      <c r="M50" s="2">
        <v>96</v>
      </c>
      <c r="N50" s="2">
        <f>normalizar!$L50*normalizar!$M50</f>
        <v>51072</v>
      </c>
    </row>
    <row r="51" spans="1:14" x14ac:dyDescent="0.25">
      <c r="A51">
        <v>50</v>
      </c>
      <c r="B51" s="1">
        <v>43861</v>
      </c>
      <c r="C51">
        <v>5156178317</v>
      </c>
      <c r="D51" t="s">
        <v>32</v>
      </c>
      <c r="E51" t="s">
        <v>93</v>
      </c>
      <c r="F51" t="s">
        <v>96</v>
      </c>
      <c r="G51" t="s">
        <v>7</v>
      </c>
      <c r="H51" t="s">
        <v>127</v>
      </c>
      <c r="I51" t="s">
        <v>127</v>
      </c>
      <c r="J51" t="s">
        <v>44</v>
      </c>
      <c r="K51" t="s">
        <v>11</v>
      </c>
      <c r="L51" s="2">
        <v>41.86</v>
      </c>
      <c r="M51" s="2">
        <v>75</v>
      </c>
      <c r="N51" s="2">
        <f>normalizar!$L51*normalizar!$M51</f>
        <v>3139.5</v>
      </c>
    </row>
    <row r="52" spans="1:14" x14ac:dyDescent="0.25">
      <c r="A52">
        <v>51</v>
      </c>
      <c r="B52" s="1">
        <v>43992</v>
      </c>
      <c r="C52">
        <v>9993785470</v>
      </c>
      <c r="D52" t="s">
        <v>54</v>
      </c>
      <c r="E52" t="s">
        <v>89</v>
      </c>
      <c r="F52" t="s">
        <v>84</v>
      </c>
      <c r="G52" t="s">
        <v>55</v>
      </c>
      <c r="H52" t="s">
        <v>16</v>
      </c>
      <c r="I52" t="s">
        <v>9</v>
      </c>
      <c r="J52" t="s">
        <v>56</v>
      </c>
      <c r="K52" t="s">
        <v>57</v>
      </c>
      <c r="L52" s="2">
        <v>273</v>
      </c>
      <c r="M52" s="2">
        <v>55</v>
      </c>
      <c r="N52" s="2">
        <f>normalizar!$L52*normalizar!$M52</f>
        <v>15015</v>
      </c>
    </row>
    <row r="53" spans="1:14" x14ac:dyDescent="0.25">
      <c r="A53">
        <v>52</v>
      </c>
      <c r="B53" s="1">
        <v>44107</v>
      </c>
      <c r="C53">
        <v>2344903076</v>
      </c>
      <c r="D53" t="s">
        <v>54</v>
      </c>
      <c r="E53" t="s">
        <v>89</v>
      </c>
      <c r="F53" t="s">
        <v>84</v>
      </c>
      <c r="G53" t="s">
        <v>55</v>
      </c>
      <c r="H53" t="s">
        <v>16</v>
      </c>
      <c r="I53" t="s">
        <v>9</v>
      </c>
      <c r="J53" t="s">
        <v>58</v>
      </c>
      <c r="K53" t="s">
        <v>59</v>
      </c>
      <c r="L53" s="2">
        <v>487.19999999999993</v>
      </c>
      <c r="M53" s="2">
        <v>11</v>
      </c>
      <c r="N53" s="2">
        <f>normalizar!$L53*normalizar!$M53</f>
        <v>5359.1999999999989</v>
      </c>
    </row>
    <row r="54" spans="1:14" x14ac:dyDescent="0.25">
      <c r="A54">
        <v>53</v>
      </c>
      <c r="B54" s="1">
        <v>44123</v>
      </c>
      <c r="C54">
        <v>5773601950</v>
      </c>
      <c r="D54" t="s">
        <v>36</v>
      </c>
      <c r="E54" t="s">
        <v>92</v>
      </c>
      <c r="F54" t="s">
        <v>99</v>
      </c>
      <c r="G54" t="s">
        <v>37</v>
      </c>
      <c r="H54" t="s">
        <v>8</v>
      </c>
      <c r="I54" t="s">
        <v>17</v>
      </c>
      <c r="J54" t="s">
        <v>10</v>
      </c>
      <c r="K54" t="s">
        <v>11</v>
      </c>
      <c r="L54" s="2">
        <v>196</v>
      </c>
      <c r="M54" s="2">
        <v>53</v>
      </c>
      <c r="N54" s="2">
        <f>normalizar!$L54*normalizar!$M54</f>
        <v>10388</v>
      </c>
    </row>
    <row r="55" spans="1:14" x14ac:dyDescent="0.25">
      <c r="A55">
        <v>54</v>
      </c>
      <c r="B55" s="1">
        <v>44088</v>
      </c>
      <c r="C55">
        <v>4818078168</v>
      </c>
      <c r="D55" t="s">
        <v>23</v>
      </c>
      <c r="E55" t="s">
        <v>86</v>
      </c>
      <c r="F55" t="s">
        <v>82</v>
      </c>
      <c r="G55" t="s">
        <v>24</v>
      </c>
      <c r="H55" t="s">
        <v>8</v>
      </c>
      <c r="I55" t="s">
        <v>9</v>
      </c>
      <c r="J55" t="s">
        <v>38</v>
      </c>
      <c r="K55" t="s">
        <v>39</v>
      </c>
      <c r="L55" s="2">
        <v>560</v>
      </c>
      <c r="M55" s="2">
        <v>85</v>
      </c>
      <c r="N55" s="2">
        <f>normalizar!$L55*normalizar!$M55</f>
        <v>47600</v>
      </c>
    </row>
    <row r="56" spans="1:14" x14ac:dyDescent="0.25">
      <c r="A56">
        <v>55</v>
      </c>
      <c r="B56" s="1">
        <v>44178</v>
      </c>
      <c r="C56">
        <v>9107195581</v>
      </c>
      <c r="D56" t="s">
        <v>23</v>
      </c>
      <c r="E56" t="s">
        <v>86</v>
      </c>
      <c r="F56" t="s">
        <v>82</v>
      </c>
      <c r="G56" t="s">
        <v>24</v>
      </c>
      <c r="H56" t="s">
        <v>8</v>
      </c>
      <c r="I56" t="s">
        <v>9</v>
      </c>
      <c r="J56" t="s">
        <v>26</v>
      </c>
      <c r="K56" t="s">
        <v>27</v>
      </c>
      <c r="L56" s="2">
        <v>128.79999999999998</v>
      </c>
      <c r="M56" s="2">
        <v>97</v>
      </c>
      <c r="N56" s="2">
        <f>normalizar!$L56*normalizar!$M56</f>
        <v>12493.599999999999</v>
      </c>
    </row>
    <row r="57" spans="1:14" x14ac:dyDescent="0.25">
      <c r="A57">
        <v>56</v>
      </c>
      <c r="B57" s="1">
        <v>43964</v>
      </c>
      <c r="C57">
        <v>5806733138</v>
      </c>
      <c r="D57" t="s">
        <v>62</v>
      </c>
      <c r="E57" t="s">
        <v>91</v>
      </c>
      <c r="F57" t="s">
        <v>91</v>
      </c>
      <c r="G57" t="s">
        <v>43</v>
      </c>
      <c r="H57" t="s">
        <v>16</v>
      </c>
      <c r="I57" t="s">
        <v>33</v>
      </c>
      <c r="J57" t="s">
        <v>67</v>
      </c>
      <c r="K57" t="s">
        <v>27</v>
      </c>
      <c r="L57" s="2">
        <v>140</v>
      </c>
      <c r="M57" s="2">
        <v>46</v>
      </c>
      <c r="N57" s="2">
        <f>normalizar!$L57*normalizar!$M57</f>
        <v>6440</v>
      </c>
    </row>
    <row r="58" spans="1:14" x14ac:dyDescent="0.25">
      <c r="A58">
        <v>57</v>
      </c>
      <c r="B58" s="1">
        <v>43882</v>
      </c>
      <c r="C58">
        <v>3059258597</v>
      </c>
      <c r="D58" t="s">
        <v>63</v>
      </c>
      <c r="E58" t="s">
        <v>85</v>
      </c>
      <c r="F58" t="s">
        <v>83</v>
      </c>
      <c r="G58" t="s">
        <v>41</v>
      </c>
      <c r="H58" t="s">
        <v>25</v>
      </c>
      <c r="I58" t="s">
        <v>17</v>
      </c>
      <c r="J58" t="s">
        <v>68</v>
      </c>
      <c r="K58" t="s">
        <v>69</v>
      </c>
      <c r="L58" s="2">
        <v>298.90000000000003</v>
      </c>
      <c r="M58" s="2">
        <v>97</v>
      </c>
      <c r="N58" s="2">
        <f>normalizar!$L58*normalizar!$M58</f>
        <v>28993.300000000003</v>
      </c>
    </row>
    <row r="59" spans="1:14" x14ac:dyDescent="0.25">
      <c r="A59">
        <v>58</v>
      </c>
      <c r="B59" s="1">
        <v>44154</v>
      </c>
      <c r="C59">
        <v>586395005</v>
      </c>
      <c r="D59" t="s">
        <v>63</v>
      </c>
      <c r="E59" t="s">
        <v>85</v>
      </c>
      <c r="F59" t="s">
        <v>83</v>
      </c>
      <c r="G59" t="s">
        <v>41</v>
      </c>
      <c r="H59" t="s">
        <v>25</v>
      </c>
      <c r="I59" t="s">
        <v>17</v>
      </c>
      <c r="J59" t="s">
        <v>34</v>
      </c>
      <c r="K59" t="s">
        <v>35</v>
      </c>
      <c r="L59" s="2">
        <v>135.1</v>
      </c>
      <c r="M59" s="2">
        <v>97</v>
      </c>
      <c r="N59" s="2">
        <f>normalizar!$L59*normalizar!$M59</f>
        <v>13104.699999999999</v>
      </c>
    </row>
    <row r="60" spans="1:14" x14ac:dyDescent="0.25">
      <c r="A60">
        <v>59</v>
      </c>
      <c r="B60" s="1">
        <v>44075</v>
      </c>
      <c r="C60">
        <v>9281389647</v>
      </c>
      <c r="D60" t="s">
        <v>63</v>
      </c>
      <c r="E60" t="s">
        <v>85</v>
      </c>
      <c r="F60" t="s">
        <v>83</v>
      </c>
      <c r="G60" t="s">
        <v>41</v>
      </c>
      <c r="H60" t="s">
        <v>25</v>
      </c>
      <c r="I60" t="s">
        <v>17</v>
      </c>
      <c r="J60" t="s">
        <v>52</v>
      </c>
      <c r="K60" t="s">
        <v>53</v>
      </c>
      <c r="L60" s="2">
        <v>257.59999999999997</v>
      </c>
      <c r="M60" s="2">
        <v>65</v>
      </c>
      <c r="N60" s="2">
        <f>normalizar!$L60*normalizar!$M60</f>
        <v>16743.999999999996</v>
      </c>
    </row>
    <row r="61" spans="1:14" x14ac:dyDescent="0.25">
      <c r="A61">
        <v>60</v>
      </c>
      <c r="B61" s="1">
        <v>44171</v>
      </c>
      <c r="C61">
        <v>2230409971</v>
      </c>
      <c r="D61" t="s">
        <v>28</v>
      </c>
      <c r="E61" t="s">
        <v>89</v>
      </c>
      <c r="F61" t="s">
        <v>84</v>
      </c>
      <c r="G61" t="s">
        <v>29</v>
      </c>
      <c r="H61" t="s">
        <v>8</v>
      </c>
      <c r="I61" t="s">
        <v>9</v>
      </c>
      <c r="J61" t="s">
        <v>10</v>
      </c>
      <c r="K61" t="s">
        <v>11</v>
      </c>
      <c r="L61" s="2">
        <v>196</v>
      </c>
      <c r="M61" s="2">
        <v>72</v>
      </c>
      <c r="N61" s="2">
        <f>normalizar!$L61*normalizar!$M61</f>
        <v>14112</v>
      </c>
    </row>
    <row r="62" spans="1:14" x14ac:dyDescent="0.25">
      <c r="A62">
        <v>61</v>
      </c>
      <c r="B62" s="1">
        <v>43982</v>
      </c>
      <c r="C62">
        <v>498762200</v>
      </c>
      <c r="D62" t="s">
        <v>36</v>
      </c>
      <c r="E62" t="s">
        <v>92</v>
      </c>
      <c r="F62" t="s">
        <v>99</v>
      </c>
      <c r="G62" t="s">
        <v>37</v>
      </c>
      <c r="H62" t="s">
        <v>25</v>
      </c>
      <c r="I62" t="s">
        <v>9</v>
      </c>
      <c r="J62" t="s">
        <v>30</v>
      </c>
      <c r="K62" t="s">
        <v>31</v>
      </c>
      <c r="L62" s="2">
        <v>178.5</v>
      </c>
      <c r="M62" s="2">
        <v>16</v>
      </c>
      <c r="N62" s="2">
        <f>normalizar!$L62*normalizar!$M62</f>
        <v>2856</v>
      </c>
    </row>
    <row r="63" spans="1:14" x14ac:dyDescent="0.25">
      <c r="A63">
        <v>62</v>
      </c>
      <c r="B63" s="1">
        <v>43855</v>
      </c>
      <c r="C63">
        <v>5059332572</v>
      </c>
      <c r="D63" t="s">
        <v>14</v>
      </c>
      <c r="E63" t="s">
        <v>81</v>
      </c>
      <c r="F63" t="s">
        <v>94</v>
      </c>
      <c r="G63" t="s">
        <v>15</v>
      </c>
      <c r="H63" t="s">
        <v>16</v>
      </c>
      <c r="I63" t="s">
        <v>17</v>
      </c>
      <c r="J63" t="s">
        <v>70</v>
      </c>
      <c r="K63" t="s">
        <v>47</v>
      </c>
      <c r="L63" s="2">
        <v>1134</v>
      </c>
      <c r="M63" s="2">
        <v>77</v>
      </c>
      <c r="N63" s="2">
        <f>normalizar!$L63*normalizar!$M63</f>
        <v>87318</v>
      </c>
    </row>
    <row r="64" spans="1:14" x14ac:dyDescent="0.25">
      <c r="A64">
        <v>63</v>
      </c>
      <c r="B64" s="1">
        <v>44034</v>
      </c>
      <c r="C64">
        <v>807667000</v>
      </c>
      <c r="D64" t="s">
        <v>14</v>
      </c>
      <c r="E64" t="s">
        <v>81</v>
      </c>
      <c r="F64" t="s">
        <v>94</v>
      </c>
      <c r="G64" t="s">
        <v>15</v>
      </c>
      <c r="H64" t="s">
        <v>16</v>
      </c>
      <c r="I64" t="s">
        <v>17</v>
      </c>
      <c r="J64" t="s">
        <v>71</v>
      </c>
      <c r="K64" t="s">
        <v>72</v>
      </c>
      <c r="L64" s="2">
        <v>98</v>
      </c>
      <c r="M64" s="2">
        <v>37</v>
      </c>
      <c r="N64" s="2">
        <f>normalizar!$L64*normalizar!$M64</f>
        <v>3626</v>
      </c>
    </row>
    <row r="65" spans="1:14" x14ac:dyDescent="0.25">
      <c r="A65">
        <v>64</v>
      </c>
      <c r="B65" s="1">
        <v>44117</v>
      </c>
      <c r="C65">
        <v>4320869422</v>
      </c>
      <c r="D65" t="s">
        <v>23</v>
      </c>
      <c r="E65" t="s">
        <v>86</v>
      </c>
      <c r="F65" t="s">
        <v>82</v>
      </c>
      <c r="G65" t="s">
        <v>24</v>
      </c>
      <c r="H65" t="s">
        <v>25</v>
      </c>
      <c r="I65" t="s">
        <v>17</v>
      </c>
      <c r="J65" t="s">
        <v>58</v>
      </c>
      <c r="K65" t="s">
        <v>59</v>
      </c>
      <c r="L65" s="2">
        <v>487.19999999999993</v>
      </c>
      <c r="M65" s="2">
        <v>63</v>
      </c>
      <c r="N65" s="2">
        <f>normalizar!$L65*normalizar!$M65</f>
        <v>30693.599999999995</v>
      </c>
    </row>
    <row r="66" spans="1:14" x14ac:dyDescent="0.25">
      <c r="A66">
        <v>65</v>
      </c>
      <c r="B66" s="1">
        <v>44174</v>
      </c>
      <c r="C66">
        <v>7227542762</v>
      </c>
      <c r="D66" t="s">
        <v>32</v>
      </c>
      <c r="E66" t="s">
        <v>93</v>
      </c>
      <c r="F66" t="s">
        <v>96</v>
      </c>
      <c r="G66" t="s">
        <v>7</v>
      </c>
      <c r="H66" t="s">
        <v>8</v>
      </c>
      <c r="I66" t="s">
        <v>33</v>
      </c>
      <c r="J66" t="s">
        <v>60</v>
      </c>
      <c r="K66" t="s">
        <v>49</v>
      </c>
      <c r="L66" s="2">
        <v>140</v>
      </c>
      <c r="M66" s="2">
        <v>48</v>
      </c>
      <c r="N66" s="2">
        <f>normalizar!$L66*normalizar!$M66</f>
        <v>6720</v>
      </c>
    </row>
    <row r="67" spans="1:14" x14ac:dyDescent="0.25">
      <c r="A67">
        <v>66</v>
      </c>
      <c r="B67" s="1">
        <v>43890</v>
      </c>
      <c r="C67">
        <v>4844854212</v>
      </c>
      <c r="D67" t="s">
        <v>32</v>
      </c>
      <c r="E67" t="s">
        <v>93</v>
      </c>
      <c r="F67" t="s">
        <v>96</v>
      </c>
      <c r="G67" t="s">
        <v>7</v>
      </c>
      <c r="H67" t="s">
        <v>8</v>
      </c>
      <c r="I67" t="s">
        <v>33</v>
      </c>
      <c r="J67" t="s">
        <v>38</v>
      </c>
      <c r="K67" t="s">
        <v>39</v>
      </c>
      <c r="L67" s="2">
        <v>560</v>
      </c>
      <c r="M67" s="2">
        <v>71</v>
      </c>
      <c r="N67" s="2">
        <f>normalizar!$L67*normalizar!$M67</f>
        <v>39760</v>
      </c>
    </row>
    <row r="68" spans="1:14" x14ac:dyDescent="0.25">
      <c r="A68">
        <v>67</v>
      </c>
      <c r="B68" s="1">
        <v>43945</v>
      </c>
      <c r="C68">
        <v>6476704094</v>
      </c>
      <c r="D68" t="s">
        <v>42</v>
      </c>
      <c r="E68" t="s">
        <v>91</v>
      </c>
      <c r="F68" t="s">
        <v>91</v>
      </c>
      <c r="G68" t="s">
        <v>43</v>
      </c>
      <c r="H68" t="s">
        <v>8</v>
      </c>
      <c r="I68" t="s">
        <v>17</v>
      </c>
      <c r="J68" t="s">
        <v>61</v>
      </c>
      <c r="K68" t="s">
        <v>13</v>
      </c>
      <c r="L68" s="2">
        <v>140</v>
      </c>
      <c r="M68" s="2">
        <v>55</v>
      </c>
      <c r="N68" s="2">
        <f>normalizar!$L68*normalizar!$M68</f>
        <v>7700</v>
      </c>
    </row>
    <row r="69" spans="1:14" x14ac:dyDescent="0.25">
      <c r="A69">
        <v>68</v>
      </c>
      <c r="B69" s="1">
        <v>44052</v>
      </c>
      <c r="C69">
        <v>289513623</v>
      </c>
      <c r="D69" t="s">
        <v>42</v>
      </c>
      <c r="E69" t="s">
        <v>91</v>
      </c>
      <c r="F69" t="s">
        <v>91</v>
      </c>
      <c r="G69" t="s">
        <v>43</v>
      </c>
      <c r="H69" t="s">
        <v>16</v>
      </c>
      <c r="I69" t="s">
        <v>127</v>
      </c>
      <c r="J69" t="s">
        <v>12</v>
      </c>
      <c r="K69" t="s">
        <v>13</v>
      </c>
      <c r="L69" s="2">
        <v>49</v>
      </c>
      <c r="M69" s="2">
        <v>21</v>
      </c>
      <c r="N69" s="2">
        <f>normalizar!$L69*normalizar!$M69</f>
        <v>1029</v>
      </c>
    </row>
    <row r="70" spans="1:14" x14ac:dyDescent="0.25">
      <c r="A70">
        <v>69</v>
      </c>
      <c r="B70" s="1">
        <v>44115</v>
      </c>
      <c r="C70">
        <v>4360909288</v>
      </c>
      <c r="D70" t="s">
        <v>50</v>
      </c>
      <c r="E70" t="s">
        <v>85</v>
      </c>
      <c r="F70" t="s">
        <v>83</v>
      </c>
      <c r="G70" t="s">
        <v>41</v>
      </c>
      <c r="H70" t="s">
        <v>25</v>
      </c>
      <c r="I70" t="s">
        <v>127</v>
      </c>
      <c r="J70" t="s">
        <v>38</v>
      </c>
      <c r="K70" t="s">
        <v>39</v>
      </c>
      <c r="L70" s="2">
        <v>560</v>
      </c>
      <c r="M70" s="2">
        <v>67</v>
      </c>
      <c r="N70" s="2">
        <f>normalizar!$L70*normalizar!$M70</f>
        <v>37520</v>
      </c>
    </row>
    <row r="71" spans="1:14" x14ac:dyDescent="0.25">
      <c r="A71">
        <v>70</v>
      </c>
      <c r="B71" s="1">
        <v>43966</v>
      </c>
      <c r="C71">
        <v>1569352924</v>
      </c>
      <c r="D71" t="s">
        <v>51</v>
      </c>
      <c r="E71" t="s">
        <v>90</v>
      </c>
      <c r="F71" t="s">
        <v>98</v>
      </c>
      <c r="G71" t="s">
        <v>24</v>
      </c>
      <c r="H71" t="s">
        <v>25</v>
      </c>
      <c r="I71" t="s">
        <v>127</v>
      </c>
      <c r="J71" t="s">
        <v>52</v>
      </c>
      <c r="K71" t="s">
        <v>53</v>
      </c>
      <c r="L71" s="2">
        <v>257.59999999999997</v>
      </c>
      <c r="M71" s="2">
        <v>75</v>
      </c>
      <c r="N71" s="2">
        <f>normalizar!$L71*normalizar!$M71</f>
        <v>19319.999999999996</v>
      </c>
    </row>
    <row r="72" spans="1:14" x14ac:dyDescent="0.25">
      <c r="A72">
        <v>71</v>
      </c>
      <c r="B72" s="1">
        <v>43962</v>
      </c>
      <c r="C72">
        <v>4417023777</v>
      </c>
      <c r="D72" t="s">
        <v>40</v>
      </c>
      <c r="E72" t="s">
        <v>97</v>
      </c>
      <c r="F72" t="s">
        <v>88</v>
      </c>
      <c r="G72" t="s">
        <v>41</v>
      </c>
      <c r="H72" t="s">
        <v>25</v>
      </c>
      <c r="I72" t="s">
        <v>17</v>
      </c>
      <c r="J72" t="s">
        <v>22</v>
      </c>
      <c r="K72" t="s">
        <v>11</v>
      </c>
      <c r="L72" s="2">
        <v>644</v>
      </c>
      <c r="M72" s="2">
        <v>17</v>
      </c>
      <c r="N72" s="2">
        <f>normalizar!$L72*normalizar!$M72</f>
        <v>10948</v>
      </c>
    </row>
    <row r="73" spans="1:14" x14ac:dyDescent="0.25">
      <c r="A73">
        <v>72</v>
      </c>
      <c r="B73" s="1">
        <v>43845</v>
      </c>
      <c r="C73">
        <v>5213348963</v>
      </c>
      <c r="D73" t="s">
        <v>14</v>
      </c>
      <c r="E73" t="s">
        <v>81</v>
      </c>
      <c r="F73" t="s">
        <v>94</v>
      </c>
      <c r="G73" t="s">
        <v>15</v>
      </c>
      <c r="H73" t="s">
        <v>16</v>
      </c>
      <c r="I73" t="s">
        <v>17</v>
      </c>
      <c r="J73" t="s">
        <v>12</v>
      </c>
      <c r="K73" t="s">
        <v>13</v>
      </c>
      <c r="L73" s="2">
        <v>49</v>
      </c>
      <c r="M73" s="2">
        <v>48</v>
      </c>
      <c r="N73" s="2">
        <f>normalizar!$L73*normalizar!$M73</f>
        <v>2352</v>
      </c>
    </row>
    <row r="74" spans="1:14" x14ac:dyDescent="0.25">
      <c r="A74">
        <v>73</v>
      </c>
      <c r="B74" s="1">
        <v>44010</v>
      </c>
      <c r="C74">
        <v>6039525395</v>
      </c>
      <c r="D74" t="s">
        <v>20</v>
      </c>
      <c r="E74" t="s">
        <v>80</v>
      </c>
      <c r="F74" t="s">
        <v>95</v>
      </c>
      <c r="G74" t="s">
        <v>7</v>
      </c>
      <c r="H74" t="s">
        <v>8</v>
      </c>
      <c r="I74" t="s">
        <v>17</v>
      </c>
      <c r="J74" t="s">
        <v>21</v>
      </c>
      <c r="K74" t="s">
        <v>11</v>
      </c>
      <c r="L74" s="2">
        <v>252</v>
      </c>
      <c r="M74" s="2">
        <v>74</v>
      </c>
      <c r="N74" s="2">
        <f>normalizar!$L74*normalizar!$M74</f>
        <v>18648</v>
      </c>
    </row>
    <row r="75" spans="1:14" x14ac:dyDescent="0.25">
      <c r="A75">
        <v>74</v>
      </c>
      <c r="B75" s="1">
        <v>44123</v>
      </c>
      <c r="C75">
        <v>7564866770</v>
      </c>
      <c r="D75" t="s">
        <v>20</v>
      </c>
      <c r="E75" t="s">
        <v>80</v>
      </c>
      <c r="F75" t="s">
        <v>95</v>
      </c>
      <c r="G75" t="s">
        <v>7</v>
      </c>
      <c r="H75" t="s">
        <v>8</v>
      </c>
      <c r="I75" t="s">
        <v>17</v>
      </c>
      <c r="J75" t="s">
        <v>22</v>
      </c>
      <c r="K75" t="s">
        <v>11</v>
      </c>
      <c r="L75" s="2">
        <v>644</v>
      </c>
      <c r="M75" s="2">
        <v>96</v>
      </c>
      <c r="N75" s="2">
        <f>normalizar!$L75*normalizar!$M75</f>
        <v>61824</v>
      </c>
    </row>
    <row r="76" spans="1:14" x14ac:dyDescent="0.25">
      <c r="A76">
        <v>75</v>
      </c>
      <c r="B76" s="1">
        <v>43976</v>
      </c>
      <c r="C76">
        <v>9161740728</v>
      </c>
      <c r="D76" t="s">
        <v>23</v>
      </c>
      <c r="E76" t="s">
        <v>86</v>
      </c>
      <c r="F76" t="s">
        <v>82</v>
      </c>
      <c r="G76" t="s">
        <v>24</v>
      </c>
      <c r="H76" t="s">
        <v>25</v>
      </c>
      <c r="I76" t="s">
        <v>17</v>
      </c>
      <c r="J76" t="s">
        <v>26</v>
      </c>
      <c r="K76" t="s">
        <v>27</v>
      </c>
      <c r="L76" s="2">
        <v>128.79999999999998</v>
      </c>
      <c r="M76" s="2">
        <v>12</v>
      </c>
      <c r="N76" s="2">
        <f>normalizar!$L76*normalizar!$M76</f>
        <v>1545.6</v>
      </c>
    </row>
    <row r="77" spans="1:14" x14ac:dyDescent="0.25">
      <c r="A77">
        <v>76</v>
      </c>
      <c r="B77" s="1">
        <v>43939</v>
      </c>
      <c r="C77">
        <v>5854661633</v>
      </c>
      <c r="D77" t="s">
        <v>14</v>
      </c>
      <c r="E77" t="s">
        <v>81</v>
      </c>
      <c r="F77" t="s">
        <v>94</v>
      </c>
      <c r="G77" t="s">
        <v>15</v>
      </c>
      <c r="H77" t="s">
        <v>25</v>
      </c>
      <c r="I77" t="s">
        <v>9</v>
      </c>
      <c r="J77" t="s">
        <v>26</v>
      </c>
      <c r="K77" t="s">
        <v>27</v>
      </c>
      <c r="L77" s="2">
        <v>128.79999999999998</v>
      </c>
      <c r="M77" s="2">
        <v>62</v>
      </c>
      <c r="N77" s="2">
        <f>normalizar!$L77*normalizar!$M77</f>
        <v>7985.5999999999985</v>
      </c>
    </row>
    <row r="78" spans="1:14" x14ac:dyDescent="0.25">
      <c r="A78">
        <v>77</v>
      </c>
      <c r="B78" s="1">
        <v>43995</v>
      </c>
      <c r="C78">
        <v>9782824487</v>
      </c>
      <c r="D78" t="s">
        <v>28</v>
      </c>
      <c r="E78" t="s">
        <v>89</v>
      </c>
      <c r="F78" t="s">
        <v>84</v>
      </c>
      <c r="G78" t="s">
        <v>29</v>
      </c>
      <c r="H78" t="s">
        <v>8</v>
      </c>
      <c r="I78" t="s">
        <v>9</v>
      </c>
      <c r="J78" t="s">
        <v>30</v>
      </c>
      <c r="K78" t="s">
        <v>31</v>
      </c>
      <c r="L78" s="2">
        <v>178.5</v>
      </c>
      <c r="M78" s="2">
        <v>35</v>
      </c>
      <c r="N78" s="2">
        <f>normalizar!$L78*normalizar!$M78</f>
        <v>6247.5</v>
      </c>
    </row>
    <row r="79" spans="1:14" x14ac:dyDescent="0.25">
      <c r="A79">
        <v>78</v>
      </c>
      <c r="B79" s="1">
        <v>43888</v>
      </c>
      <c r="C79">
        <v>5368581132</v>
      </c>
      <c r="D79" t="s">
        <v>32</v>
      </c>
      <c r="E79" t="s">
        <v>93</v>
      </c>
      <c r="F79" t="s">
        <v>96</v>
      </c>
      <c r="G79" t="s">
        <v>7</v>
      </c>
      <c r="H79" t="s">
        <v>8</v>
      </c>
      <c r="I79" t="s">
        <v>33</v>
      </c>
      <c r="J79" t="s">
        <v>34</v>
      </c>
      <c r="K79" t="s">
        <v>35</v>
      </c>
      <c r="L79" s="2">
        <v>135.1</v>
      </c>
      <c r="M79" s="2">
        <v>95</v>
      </c>
      <c r="N79" s="2">
        <f>normalizar!$L79*normalizar!$M79</f>
        <v>12834.5</v>
      </c>
    </row>
    <row r="80" spans="1:14" x14ac:dyDescent="0.25">
      <c r="A80">
        <v>79</v>
      </c>
      <c r="B80" s="1">
        <v>43991</v>
      </c>
      <c r="C80">
        <v>1972466220</v>
      </c>
      <c r="D80" t="s">
        <v>36</v>
      </c>
      <c r="E80" t="s">
        <v>92</v>
      </c>
      <c r="F80" t="s">
        <v>99</v>
      </c>
      <c r="G80" t="s">
        <v>37</v>
      </c>
      <c r="H80" t="s">
        <v>8</v>
      </c>
      <c r="I80" t="s">
        <v>17</v>
      </c>
      <c r="J80" t="s">
        <v>38</v>
      </c>
      <c r="K80" t="s">
        <v>39</v>
      </c>
      <c r="L80" s="2">
        <v>560</v>
      </c>
      <c r="M80" s="2">
        <v>17</v>
      </c>
      <c r="N80" s="2">
        <f>normalizar!$L80*normalizar!$M80</f>
        <v>9520</v>
      </c>
    </row>
    <row r="81" spans="1:14" x14ac:dyDescent="0.25">
      <c r="A81">
        <v>80</v>
      </c>
      <c r="B81" s="1">
        <v>44149</v>
      </c>
      <c r="C81">
        <v>6835780904</v>
      </c>
      <c r="D81" t="s">
        <v>40</v>
      </c>
      <c r="E81" t="s">
        <v>97</v>
      </c>
      <c r="F81" t="s">
        <v>88</v>
      </c>
      <c r="G81" t="s">
        <v>41</v>
      </c>
      <c r="H81" t="s">
        <v>25</v>
      </c>
      <c r="I81" t="s">
        <v>9</v>
      </c>
      <c r="J81" t="s">
        <v>22</v>
      </c>
      <c r="K81" t="s">
        <v>11</v>
      </c>
      <c r="L81" s="2">
        <v>644</v>
      </c>
      <c r="M81" s="2">
        <v>96</v>
      </c>
      <c r="N81" s="2">
        <f>normalizar!$L81*normalizar!$M81</f>
        <v>61824</v>
      </c>
    </row>
    <row r="82" spans="1:14" x14ac:dyDescent="0.25">
      <c r="A82">
        <v>81</v>
      </c>
      <c r="B82" s="1">
        <v>44029</v>
      </c>
      <c r="C82">
        <v>9361876990</v>
      </c>
      <c r="D82" t="s">
        <v>23</v>
      </c>
      <c r="E82" t="s">
        <v>86</v>
      </c>
      <c r="F82" t="s">
        <v>82</v>
      </c>
      <c r="G82" t="s">
        <v>24</v>
      </c>
      <c r="H82" t="s">
        <v>25</v>
      </c>
      <c r="I82" t="s">
        <v>9</v>
      </c>
      <c r="J82" t="s">
        <v>30</v>
      </c>
      <c r="K82" t="s">
        <v>31</v>
      </c>
      <c r="L82" s="2">
        <v>178.5</v>
      </c>
      <c r="M82" s="2">
        <v>83</v>
      </c>
      <c r="N82" s="2">
        <f>normalizar!$L82*normalizar!$M82</f>
        <v>14815.5</v>
      </c>
    </row>
    <row r="83" spans="1:14" x14ac:dyDescent="0.25">
      <c r="A83">
        <v>82</v>
      </c>
      <c r="B83" s="1">
        <v>43831</v>
      </c>
      <c r="C83">
        <v>7655628230</v>
      </c>
      <c r="D83" t="s">
        <v>42</v>
      </c>
      <c r="E83" t="s">
        <v>91</v>
      </c>
      <c r="F83" t="s">
        <v>91</v>
      </c>
      <c r="G83" t="s">
        <v>43</v>
      </c>
      <c r="H83" t="s">
        <v>8</v>
      </c>
      <c r="I83" t="s">
        <v>17</v>
      </c>
      <c r="J83" t="s">
        <v>44</v>
      </c>
      <c r="K83" t="s">
        <v>11</v>
      </c>
      <c r="L83" s="2">
        <v>41.86</v>
      </c>
      <c r="M83" s="2">
        <v>88</v>
      </c>
      <c r="N83" s="2">
        <f>normalizar!$L83*normalizar!$M83</f>
        <v>3683.68</v>
      </c>
    </row>
    <row r="84" spans="1:14" x14ac:dyDescent="0.25">
      <c r="A84">
        <v>83</v>
      </c>
      <c r="B84" s="1">
        <v>43952</v>
      </c>
      <c r="C84">
        <v>6770397729</v>
      </c>
      <c r="D84" t="s">
        <v>45</v>
      </c>
      <c r="E84" t="s">
        <v>87</v>
      </c>
      <c r="F84" t="s">
        <v>87</v>
      </c>
      <c r="G84" t="s">
        <v>24</v>
      </c>
      <c r="H84" t="s">
        <v>127</v>
      </c>
      <c r="I84" t="s">
        <v>127</v>
      </c>
      <c r="J84" t="s">
        <v>22</v>
      </c>
      <c r="K84" t="s">
        <v>11</v>
      </c>
      <c r="L84" s="2">
        <v>644</v>
      </c>
      <c r="M84" s="2">
        <v>59</v>
      </c>
      <c r="N84" s="2">
        <f>normalizar!$L84*normalizar!$M84</f>
        <v>37996</v>
      </c>
    </row>
    <row r="85" spans="1:14" x14ac:dyDescent="0.25">
      <c r="A85">
        <v>84</v>
      </c>
      <c r="B85" s="1">
        <v>44099</v>
      </c>
      <c r="C85">
        <v>6622149015</v>
      </c>
      <c r="D85" t="s">
        <v>42</v>
      </c>
      <c r="E85" t="s">
        <v>91</v>
      </c>
      <c r="F85" t="s">
        <v>91</v>
      </c>
      <c r="G85" t="s">
        <v>43</v>
      </c>
      <c r="H85" t="s">
        <v>16</v>
      </c>
      <c r="I85" t="s">
        <v>127</v>
      </c>
      <c r="J85" t="s">
        <v>46</v>
      </c>
      <c r="K85" t="s">
        <v>47</v>
      </c>
      <c r="L85" s="2">
        <v>350</v>
      </c>
      <c r="M85" s="2">
        <v>27</v>
      </c>
      <c r="N85" s="2">
        <f>normalizar!$L85*normalizar!$M85</f>
        <v>9450</v>
      </c>
    </row>
    <row r="86" spans="1:14" x14ac:dyDescent="0.25">
      <c r="A86">
        <v>85</v>
      </c>
      <c r="B86" s="1">
        <v>44071</v>
      </c>
      <c r="C86">
        <v>8859429908</v>
      </c>
      <c r="D86" t="s">
        <v>42</v>
      </c>
      <c r="E86" t="s">
        <v>91</v>
      </c>
      <c r="F86" t="s">
        <v>91</v>
      </c>
      <c r="G86" t="s">
        <v>43</v>
      </c>
      <c r="H86" t="s">
        <v>16</v>
      </c>
      <c r="I86" t="s">
        <v>127</v>
      </c>
      <c r="J86" t="s">
        <v>48</v>
      </c>
      <c r="K86" t="s">
        <v>49</v>
      </c>
      <c r="L86" s="2">
        <v>308</v>
      </c>
      <c r="M86" s="2">
        <v>37</v>
      </c>
      <c r="N86" s="2">
        <f>normalizar!$L86*normalizar!$M86</f>
        <v>11396</v>
      </c>
    </row>
    <row r="87" spans="1:14" x14ac:dyDescent="0.25">
      <c r="A87">
        <v>86</v>
      </c>
      <c r="B87" s="1">
        <v>44104</v>
      </c>
      <c r="C87">
        <v>146252536</v>
      </c>
      <c r="D87" t="s">
        <v>42</v>
      </c>
      <c r="E87" t="s">
        <v>91</v>
      </c>
      <c r="F87" t="s">
        <v>91</v>
      </c>
      <c r="G87" t="s">
        <v>43</v>
      </c>
      <c r="H87" t="s">
        <v>16</v>
      </c>
      <c r="I87" t="s">
        <v>127</v>
      </c>
      <c r="J87" t="s">
        <v>26</v>
      </c>
      <c r="K87" t="s">
        <v>27</v>
      </c>
      <c r="L87" s="2">
        <v>128.79999999999998</v>
      </c>
      <c r="M87" s="2">
        <v>75</v>
      </c>
      <c r="N87" s="2">
        <f>normalizar!$L87*normalizar!$M87</f>
        <v>9659.9999999999982</v>
      </c>
    </row>
    <row r="88" spans="1:14" x14ac:dyDescent="0.25">
      <c r="A88">
        <v>87</v>
      </c>
      <c r="B88" s="1">
        <v>43866</v>
      </c>
      <c r="C88">
        <v>9010865731</v>
      </c>
      <c r="D88" t="s">
        <v>50</v>
      </c>
      <c r="E88" t="s">
        <v>85</v>
      </c>
      <c r="F88" t="s">
        <v>83</v>
      </c>
      <c r="G88" t="s">
        <v>41</v>
      </c>
      <c r="H88" t="s">
        <v>25</v>
      </c>
      <c r="I88" t="s">
        <v>127</v>
      </c>
      <c r="J88" t="s">
        <v>12</v>
      </c>
      <c r="K88" t="s">
        <v>13</v>
      </c>
      <c r="L88" s="2">
        <v>49</v>
      </c>
      <c r="M88" s="2">
        <v>71</v>
      </c>
      <c r="N88" s="2">
        <f>normalizar!$L88*normalizar!$M88</f>
        <v>3479</v>
      </c>
    </row>
    <row r="89" spans="1:14" x14ac:dyDescent="0.25">
      <c r="A89">
        <v>88</v>
      </c>
      <c r="B89" s="1">
        <v>44017</v>
      </c>
      <c r="C89">
        <v>9076170123</v>
      </c>
      <c r="D89" t="s">
        <v>50</v>
      </c>
      <c r="E89" t="s">
        <v>85</v>
      </c>
      <c r="F89" t="s">
        <v>83</v>
      </c>
      <c r="G89" t="s">
        <v>41</v>
      </c>
      <c r="H89" t="s">
        <v>25</v>
      </c>
      <c r="I89" t="s">
        <v>127</v>
      </c>
      <c r="J89" t="s">
        <v>44</v>
      </c>
      <c r="K89" t="s">
        <v>11</v>
      </c>
      <c r="L89" s="2">
        <v>41.86</v>
      </c>
      <c r="M89" s="2">
        <v>88</v>
      </c>
      <c r="N89" s="2">
        <f>normalizar!$L89*normalizar!$M89</f>
        <v>3683.68</v>
      </c>
    </row>
    <row r="90" spans="1:14" x14ac:dyDescent="0.25">
      <c r="A90">
        <v>89</v>
      </c>
      <c r="B90" s="1">
        <v>43924</v>
      </c>
      <c r="C90">
        <v>4412491838</v>
      </c>
      <c r="D90" t="s">
        <v>51</v>
      </c>
      <c r="E90" t="s">
        <v>90</v>
      </c>
      <c r="F90" t="s">
        <v>98</v>
      </c>
      <c r="G90" t="s">
        <v>24</v>
      </c>
      <c r="H90" t="s">
        <v>127</v>
      </c>
      <c r="I90" t="s">
        <v>127</v>
      </c>
      <c r="J90" t="s">
        <v>21</v>
      </c>
      <c r="K90" t="s">
        <v>11</v>
      </c>
      <c r="L90" s="2">
        <v>252</v>
      </c>
      <c r="M90" s="2">
        <v>55</v>
      </c>
      <c r="N90" s="2">
        <f>normalizar!$L90*normalizar!$M90</f>
        <v>13860</v>
      </c>
    </row>
    <row r="91" spans="1:14" x14ac:dyDescent="0.25">
      <c r="A91">
        <v>90</v>
      </c>
      <c r="B91" s="1">
        <v>43964</v>
      </c>
      <c r="C91">
        <v>7223227521</v>
      </c>
      <c r="D91" t="s">
        <v>28</v>
      </c>
      <c r="E91" t="s">
        <v>89</v>
      </c>
      <c r="F91" t="s">
        <v>84</v>
      </c>
      <c r="G91" t="s">
        <v>29</v>
      </c>
      <c r="H91" t="s">
        <v>8</v>
      </c>
      <c r="I91" t="s">
        <v>9</v>
      </c>
      <c r="J91" t="s">
        <v>30</v>
      </c>
      <c r="K91" t="s">
        <v>31</v>
      </c>
      <c r="L91" s="2">
        <v>178.5</v>
      </c>
      <c r="M91" s="2">
        <v>14</v>
      </c>
      <c r="N91" s="2">
        <f>normalizar!$L91*normalizar!$M91</f>
        <v>2499</v>
      </c>
    </row>
    <row r="92" spans="1:14" x14ac:dyDescent="0.25">
      <c r="A92">
        <v>91</v>
      </c>
      <c r="B92" s="1">
        <v>43994</v>
      </c>
      <c r="C92">
        <v>9595973394</v>
      </c>
      <c r="D92" t="s">
        <v>32</v>
      </c>
      <c r="E92" t="s">
        <v>93</v>
      </c>
      <c r="F92" t="s">
        <v>96</v>
      </c>
      <c r="G92" t="s">
        <v>7</v>
      </c>
      <c r="H92" t="s">
        <v>8</v>
      </c>
      <c r="I92" t="s">
        <v>33</v>
      </c>
      <c r="J92" t="s">
        <v>34</v>
      </c>
      <c r="K92" t="s">
        <v>35</v>
      </c>
      <c r="L92" s="2">
        <v>135.1</v>
      </c>
      <c r="M92" s="2">
        <v>43</v>
      </c>
      <c r="N92" s="2">
        <f>normalizar!$L92*normalizar!$M92</f>
        <v>5809.3</v>
      </c>
    </row>
    <row r="93" spans="1:14" x14ac:dyDescent="0.25">
      <c r="A93">
        <v>92</v>
      </c>
      <c r="B93" s="1">
        <v>43891</v>
      </c>
      <c r="C93">
        <v>2755531090</v>
      </c>
      <c r="D93" t="s">
        <v>36</v>
      </c>
      <c r="E93" t="s">
        <v>92</v>
      </c>
      <c r="F93" t="s">
        <v>99</v>
      </c>
      <c r="G93" t="s">
        <v>37</v>
      </c>
      <c r="H93" t="s">
        <v>8</v>
      </c>
      <c r="I93" t="s">
        <v>17</v>
      </c>
      <c r="J93" t="s">
        <v>38</v>
      </c>
      <c r="K93" t="s">
        <v>39</v>
      </c>
      <c r="L93" s="2">
        <v>560</v>
      </c>
      <c r="M93" s="2">
        <v>63</v>
      </c>
      <c r="N93" s="2">
        <f>normalizar!$L93*normalizar!$M93</f>
        <v>35280</v>
      </c>
    </row>
    <row r="94" spans="1:14" x14ac:dyDescent="0.25">
      <c r="A94">
        <v>93</v>
      </c>
      <c r="B94" s="1">
        <v>44069</v>
      </c>
      <c r="C94">
        <v>5306800000</v>
      </c>
      <c r="D94" t="s">
        <v>40</v>
      </c>
      <c r="E94" t="s">
        <v>97</v>
      </c>
      <c r="F94" t="s">
        <v>88</v>
      </c>
      <c r="G94" t="s">
        <v>41</v>
      </c>
      <c r="H94" t="s">
        <v>25</v>
      </c>
      <c r="I94" t="s">
        <v>9</v>
      </c>
      <c r="J94" t="s">
        <v>22</v>
      </c>
      <c r="K94" t="s">
        <v>11</v>
      </c>
      <c r="L94" s="2">
        <v>644</v>
      </c>
      <c r="M94" s="2">
        <v>36</v>
      </c>
      <c r="N94" s="2">
        <f>normalizar!$L94*normalizar!$M94</f>
        <v>23184</v>
      </c>
    </row>
    <row r="95" spans="1:14" x14ac:dyDescent="0.25">
      <c r="A95">
        <v>94</v>
      </c>
      <c r="B95" s="1">
        <v>44171</v>
      </c>
      <c r="C95">
        <v>6768826719</v>
      </c>
      <c r="D95" t="s">
        <v>23</v>
      </c>
      <c r="E95" t="s">
        <v>86</v>
      </c>
      <c r="F95" t="s">
        <v>82</v>
      </c>
      <c r="G95" t="s">
        <v>24</v>
      </c>
      <c r="H95" t="s">
        <v>25</v>
      </c>
      <c r="I95" t="s">
        <v>9</v>
      </c>
      <c r="J95" t="s">
        <v>30</v>
      </c>
      <c r="K95" t="s">
        <v>31</v>
      </c>
      <c r="L95" s="2">
        <v>178.5</v>
      </c>
      <c r="M95" s="2">
        <v>41</v>
      </c>
      <c r="N95" s="2">
        <f>normalizar!$L95*normalizar!$M95</f>
        <v>7318.5</v>
      </c>
    </row>
    <row r="96" spans="1:14" x14ac:dyDescent="0.25">
      <c r="A96">
        <v>95</v>
      </c>
      <c r="B96" s="1">
        <v>43923</v>
      </c>
      <c r="C96">
        <v>7945500000</v>
      </c>
      <c r="D96" t="s">
        <v>42</v>
      </c>
      <c r="E96" t="s">
        <v>91</v>
      </c>
      <c r="F96" t="s">
        <v>91</v>
      </c>
      <c r="G96" t="s">
        <v>43</v>
      </c>
      <c r="H96" t="s">
        <v>8</v>
      </c>
      <c r="I96" t="s">
        <v>17</v>
      </c>
      <c r="J96" t="s">
        <v>44</v>
      </c>
      <c r="K96" t="s">
        <v>11</v>
      </c>
      <c r="L96" s="2">
        <v>41.86</v>
      </c>
      <c r="M96" s="2">
        <v>35</v>
      </c>
      <c r="N96" s="2">
        <f>normalizar!$L96*normalizar!$M96</f>
        <v>1465.1</v>
      </c>
    </row>
    <row r="97" spans="1:14" x14ac:dyDescent="0.25">
      <c r="A97">
        <v>96</v>
      </c>
      <c r="B97" s="1">
        <v>43923</v>
      </c>
      <c r="C97">
        <v>4671327569</v>
      </c>
      <c r="D97" t="s">
        <v>45</v>
      </c>
      <c r="E97" t="s">
        <v>87</v>
      </c>
      <c r="F97" t="s">
        <v>87</v>
      </c>
      <c r="G97" t="s">
        <v>24</v>
      </c>
      <c r="H97" t="s">
        <v>127</v>
      </c>
      <c r="I97" t="s">
        <v>127</v>
      </c>
      <c r="J97" t="s">
        <v>22</v>
      </c>
      <c r="K97" t="s">
        <v>11</v>
      </c>
      <c r="L97" s="2">
        <v>644</v>
      </c>
      <c r="M97" s="2">
        <v>31</v>
      </c>
      <c r="N97" s="2">
        <f>normalizar!$L97*normalizar!$M97</f>
        <v>19964</v>
      </c>
    </row>
    <row r="98" spans="1:14" x14ac:dyDescent="0.25">
      <c r="A98">
        <v>97</v>
      </c>
      <c r="B98" s="1">
        <v>44100</v>
      </c>
      <c r="C98">
        <v>5750783013</v>
      </c>
      <c r="D98" t="s">
        <v>42</v>
      </c>
      <c r="E98" t="s">
        <v>91</v>
      </c>
      <c r="F98" t="s">
        <v>91</v>
      </c>
      <c r="G98" t="s">
        <v>43</v>
      </c>
      <c r="H98" t="s">
        <v>16</v>
      </c>
      <c r="I98" t="s">
        <v>127</v>
      </c>
      <c r="J98" t="s">
        <v>46</v>
      </c>
      <c r="K98" t="s">
        <v>47</v>
      </c>
      <c r="L98" s="2">
        <v>350</v>
      </c>
      <c r="M98" s="2">
        <v>52</v>
      </c>
      <c r="N98" s="2">
        <f>normalizar!$L98*normalizar!$M98</f>
        <v>18200</v>
      </c>
    </row>
    <row r="99" spans="1:14" x14ac:dyDescent="0.25">
      <c r="A99">
        <v>98</v>
      </c>
      <c r="B99" s="1">
        <v>44024</v>
      </c>
      <c r="C99">
        <v>1216202808</v>
      </c>
      <c r="D99" t="s">
        <v>42</v>
      </c>
      <c r="E99" t="s">
        <v>91</v>
      </c>
      <c r="F99" t="s">
        <v>91</v>
      </c>
      <c r="G99" t="s">
        <v>43</v>
      </c>
      <c r="H99" t="s">
        <v>16</v>
      </c>
      <c r="I99" t="s">
        <v>127</v>
      </c>
      <c r="J99" t="s">
        <v>48</v>
      </c>
      <c r="K99" t="s">
        <v>49</v>
      </c>
      <c r="L99" s="2">
        <v>308</v>
      </c>
      <c r="M99" s="2">
        <v>30</v>
      </c>
      <c r="N99" s="2">
        <f>normalizar!$L99*normalizar!$M99</f>
        <v>9240</v>
      </c>
    </row>
    <row r="100" spans="1:14" x14ac:dyDescent="0.25">
      <c r="A100">
        <v>99</v>
      </c>
      <c r="B100" s="1">
        <v>43934</v>
      </c>
      <c r="C100">
        <v>7167041532</v>
      </c>
      <c r="D100" t="s">
        <v>42</v>
      </c>
      <c r="E100" t="s">
        <v>91</v>
      </c>
      <c r="F100" t="s">
        <v>91</v>
      </c>
      <c r="G100" t="s">
        <v>43</v>
      </c>
      <c r="H100" t="s">
        <v>16</v>
      </c>
      <c r="I100" t="s">
        <v>127</v>
      </c>
      <c r="J100" t="s">
        <v>26</v>
      </c>
      <c r="K100" t="s">
        <v>27</v>
      </c>
      <c r="L100" s="2">
        <v>128.79999999999998</v>
      </c>
      <c r="M100" s="2">
        <v>41</v>
      </c>
      <c r="N100" s="2">
        <f>normalizar!$L100*normalizar!$M100</f>
        <v>5280.7999999999993</v>
      </c>
    </row>
    <row r="101" spans="1:14" x14ac:dyDescent="0.25">
      <c r="A101">
        <v>100</v>
      </c>
      <c r="B101" s="1">
        <v>44096</v>
      </c>
      <c r="C101">
        <v>2241191338</v>
      </c>
      <c r="D101" t="s">
        <v>50</v>
      </c>
      <c r="E101" t="s">
        <v>85</v>
      </c>
      <c r="F101" t="s">
        <v>83</v>
      </c>
      <c r="G101" t="s">
        <v>41</v>
      </c>
      <c r="H101" t="s">
        <v>25</v>
      </c>
      <c r="I101" t="s">
        <v>127</v>
      </c>
      <c r="J101" t="s">
        <v>12</v>
      </c>
      <c r="K101" t="s">
        <v>13</v>
      </c>
      <c r="L101" s="2">
        <v>49</v>
      </c>
      <c r="M101" s="2">
        <v>44</v>
      </c>
      <c r="N101" s="2">
        <f>normalizar!$L101*normalizar!$M101</f>
        <v>2156</v>
      </c>
    </row>
    <row r="102" spans="1:14" x14ac:dyDescent="0.25">
      <c r="A102">
        <v>101</v>
      </c>
      <c r="B102" s="1">
        <v>44106</v>
      </c>
      <c r="C102">
        <v>806264266</v>
      </c>
      <c r="D102" t="s">
        <v>50</v>
      </c>
      <c r="E102" t="s">
        <v>85</v>
      </c>
      <c r="F102" t="s">
        <v>83</v>
      </c>
      <c r="G102" t="s">
        <v>41</v>
      </c>
      <c r="H102" t="s">
        <v>25</v>
      </c>
      <c r="I102" t="s">
        <v>127</v>
      </c>
      <c r="J102" t="s">
        <v>44</v>
      </c>
      <c r="K102" t="s">
        <v>11</v>
      </c>
      <c r="L102" s="2">
        <v>41.86</v>
      </c>
      <c r="M102" s="2">
        <v>77</v>
      </c>
      <c r="N102" s="2">
        <f>normalizar!$L102*normalizar!$M102</f>
        <v>3223.22</v>
      </c>
    </row>
    <row r="103" spans="1:14" x14ac:dyDescent="0.25">
      <c r="A103">
        <v>102</v>
      </c>
      <c r="B103" s="1">
        <v>43902</v>
      </c>
      <c r="C103">
        <v>3820174684</v>
      </c>
      <c r="D103" t="s">
        <v>51</v>
      </c>
      <c r="E103" t="s">
        <v>90</v>
      </c>
      <c r="F103" t="s">
        <v>98</v>
      </c>
      <c r="G103" t="s">
        <v>24</v>
      </c>
      <c r="H103" t="s">
        <v>127</v>
      </c>
      <c r="I103" t="s">
        <v>127</v>
      </c>
      <c r="J103" t="s">
        <v>21</v>
      </c>
      <c r="K103" t="s">
        <v>11</v>
      </c>
      <c r="L103" s="2">
        <v>252</v>
      </c>
      <c r="M103" s="2">
        <v>29</v>
      </c>
      <c r="N103" s="2">
        <f>normalizar!$L103*normalizar!$M103</f>
        <v>7308</v>
      </c>
    </row>
    <row r="104" spans="1:14" x14ac:dyDescent="0.25">
      <c r="A104">
        <v>103</v>
      </c>
      <c r="B104" s="1">
        <v>44074</v>
      </c>
      <c r="C104">
        <v>5541796483</v>
      </c>
      <c r="D104" t="s">
        <v>51</v>
      </c>
      <c r="E104" t="s">
        <v>90</v>
      </c>
      <c r="F104" t="s">
        <v>98</v>
      </c>
      <c r="G104" t="s">
        <v>24</v>
      </c>
      <c r="H104" t="s">
        <v>127</v>
      </c>
      <c r="I104" t="s">
        <v>127</v>
      </c>
      <c r="J104" t="s">
        <v>22</v>
      </c>
      <c r="K104" t="s">
        <v>11</v>
      </c>
      <c r="L104" s="2">
        <v>644</v>
      </c>
      <c r="M104" s="2">
        <v>77</v>
      </c>
      <c r="N104" s="2">
        <f>normalizar!$L104*normalizar!$M104</f>
        <v>49588</v>
      </c>
    </row>
    <row r="105" spans="1:14" x14ac:dyDescent="0.25">
      <c r="A105">
        <v>104</v>
      </c>
      <c r="B105" s="1">
        <v>44025</v>
      </c>
      <c r="C105">
        <v>7096714976</v>
      </c>
      <c r="D105" t="s">
        <v>51</v>
      </c>
      <c r="E105" t="s">
        <v>90</v>
      </c>
      <c r="F105" t="s">
        <v>98</v>
      </c>
      <c r="G105" t="s">
        <v>24</v>
      </c>
      <c r="H105" t="s">
        <v>127</v>
      </c>
      <c r="I105" t="s">
        <v>127</v>
      </c>
      <c r="J105" t="s">
        <v>44</v>
      </c>
      <c r="K105" t="s">
        <v>11</v>
      </c>
      <c r="L105" s="2">
        <v>41.86</v>
      </c>
      <c r="M105" s="2">
        <v>73</v>
      </c>
      <c r="N105" s="2">
        <f>normalizar!$L105*normalizar!$M105</f>
        <v>3055.7799999999997</v>
      </c>
    </row>
    <row r="106" spans="1:14" x14ac:dyDescent="0.25">
      <c r="A106">
        <v>105</v>
      </c>
      <c r="B106" s="1">
        <v>44160</v>
      </c>
      <c r="C106">
        <v>2543114862</v>
      </c>
      <c r="D106" t="s">
        <v>40</v>
      </c>
      <c r="E106" t="s">
        <v>97</v>
      </c>
      <c r="F106" t="s">
        <v>88</v>
      </c>
      <c r="G106" t="s">
        <v>41</v>
      </c>
      <c r="H106" t="s">
        <v>25</v>
      </c>
      <c r="I106" t="s">
        <v>17</v>
      </c>
      <c r="J106" t="s">
        <v>34</v>
      </c>
      <c r="K106" t="s">
        <v>35</v>
      </c>
      <c r="L106" s="2">
        <v>135.1</v>
      </c>
      <c r="M106" s="2">
        <v>74</v>
      </c>
      <c r="N106" s="2">
        <f>normalizar!$L106*normalizar!$M106</f>
        <v>9997.4</v>
      </c>
    </row>
    <row r="107" spans="1:14" x14ac:dyDescent="0.25">
      <c r="A107">
        <v>106</v>
      </c>
      <c r="B107" s="1">
        <v>44070</v>
      </c>
      <c r="C107">
        <v>6501127347</v>
      </c>
      <c r="D107" t="s">
        <v>40</v>
      </c>
      <c r="E107" t="s">
        <v>97</v>
      </c>
      <c r="F107" t="s">
        <v>88</v>
      </c>
      <c r="G107" t="s">
        <v>41</v>
      </c>
      <c r="H107" t="s">
        <v>25</v>
      </c>
      <c r="I107" t="s">
        <v>17</v>
      </c>
      <c r="J107" t="s">
        <v>52</v>
      </c>
      <c r="K107" t="s">
        <v>53</v>
      </c>
      <c r="L107" s="2">
        <v>257.59999999999997</v>
      </c>
      <c r="M107" s="2">
        <v>25</v>
      </c>
      <c r="N107" s="2">
        <f>normalizar!$L107*normalizar!$M107</f>
        <v>6439.9999999999991</v>
      </c>
    </row>
    <row r="108" spans="1:14" x14ac:dyDescent="0.25">
      <c r="A108">
        <v>107</v>
      </c>
      <c r="B108" s="1">
        <v>43947</v>
      </c>
      <c r="C108">
        <v>1322296163</v>
      </c>
      <c r="D108" t="s">
        <v>54</v>
      </c>
      <c r="E108" t="s">
        <v>89</v>
      </c>
      <c r="F108" t="s">
        <v>84</v>
      </c>
      <c r="G108" t="s">
        <v>55</v>
      </c>
      <c r="H108" t="s">
        <v>16</v>
      </c>
      <c r="I108" t="s">
        <v>9</v>
      </c>
      <c r="J108" t="s">
        <v>56</v>
      </c>
      <c r="K108" t="s">
        <v>57</v>
      </c>
      <c r="L108" s="2">
        <v>273</v>
      </c>
      <c r="M108" s="2">
        <v>82</v>
      </c>
      <c r="N108" s="2">
        <f>normalizar!$L108*normalizar!$M108</f>
        <v>22386</v>
      </c>
    </row>
    <row r="109" spans="1:14" x14ac:dyDescent="0.25">
      <c r="A109">
        <v>108</v>
      </c>
      <c r="B109" s="1">
        <v>44122</v>
      </c>
      <c r="C109">
        <v>5162222472</v>
      </c>
      <c r="D109" t="s">
        <v>54</v>
      </c>
      <c r="E109" t="s">
        <v>89</v>
      </c>
      <c r="F109" t="s">
        <v>84</v>
      </c>
      <c r="G109" t="s">
        <v>55</v>
      </c>
      <c r="H109" t="s">
        <v>16</v>
      </c>
      <c r="I109" t="s">
        <v>9</v>
      </c>
      <c r="J109" t="s">
        <v>58</v>
      </c>
      <c r="K109" t="s">
        <v>59</v>
      </c>
      <c r="L109" s="2">
        <v>487.19999999999993</v>
      </c>
      <c r="M109" s="2">
        <v>37</v>
      </c>
      <c r="N109" s="2">
        <f>normalizar!$L109*normalizar!$M109</f>
        <v>18026.399999999998</v>
      </c>
    </row>
    <row r="110" spans="1:14" x14ac:dyDescent="0.25">
      <c r="A110">
        <v>109</v>
      </c>
      <c r="B110" s="1">
        <v>44103</v>
      </c>
      <c r="C110">
        <v>5752777715</v>
      </c>
      <c r="D110" t="s">
        <v>36</v>
      </c>
      <c r="E110" t="s">
        <v>92</v>
      </c>
      <c r="F110" t="s">
        <v>99</v>
      </c>
      <c r="G110" t="s">
        <v>37</v>
      </c>
      <c r="H110" t="s">
        <v>8</v>
      </c>
      <c r="I110" t="s">
        <v>17</v>
      </c>
      <c r="J110" t="s">
        <v>10</v>
      </c>
      <c r="K110" t="s">
        <v>11</v>
      </c>
      <c r="L110" s="2">
        <v>196</v>
      </c>
      <c r="M110" s="2">
        <v>84</v>
      </c>
      <c r="N110" s="2">
        <f>normalizar!$L110*normalizar!$M110</f>
        <v>16464</v>
      </c>
    </row>
    <row r="111" spans="1:14" x14ac:dyDescent="0.25">
      <c r="A111">
        <v>110</v>
      </c>
      <c r="B111" s="1">
        <v>44024</v>
      </c>
      <c r="C111">
        <v>2261700341</v>
      </c>
      <c r="D111" t="s">
        <v>23</v>
      </c>
      <c r="E111" t="s">
        <v>86</v>
      </c>
      <c r="F111" t="s">
        <v>82</v>
      </c>
      <c r="G111" t="s">
        <v>24</v>
      </c>
      <c r="H111" t="s">
        <v>8</v>
      </c>
      <c r="I111" t="s">
        <v>9</v>
      </c>
      <c r="J111" t="s">
        <v>38</v>
      </c>
      <c r="K111" t="s">
        <v>39</v>
      </c>
      <c r="L111" s="2">
        <v>560</v>
      </c>
      <c r="M111" s="2">
        <v>73</v>
      </c>
      <c r="N111" s="2">
        <f>normalizar!$L111*normalizar!$M111</f>
        <v>40880</v>
      </c>
    </row>
    <row r="112" spans="1:14" x14ac:dyDescent="0.25">
      <c r="A112">
        <v>111</v>
      </c>
      <c r="B112" s="1">
        <v>44073</v>
      </c>
      <c r="C112">
        <v>9950546196</v>
      </c>
      <c r="D112" t="s">
        <v>23</v>
      </c>
      <c r="E112" t="s">
        <v>86</v>
      </c>
      <c r="F112" t="s">
        <v>82</v>
      </c>
      <c r="G112" t="s">
        <v>24</v>
      </c>
      <c r="H112" t="s">
        <v>8</v>
      </c>
      <c r="I112" t="s">
        <v>9</v>
      </c>
      <c r="J112" t="s">
        <v>26</v>
      </c>
      <c r="K112" t="s">
        <v>27</v>
      </c>
      <c r="L112" s="2">
        <v>128.79999999999998</v>
      </c>
      <c r="M112" s="2">
        <v>51</v>
      </c>
      <c r="N112" s="2">
        <f>normalizar!$L112*normalizar!$M112</f>
        <v>6568.7999999999993</v>
      </c>
    </row>
    <row r="113" spans="1:14" x14ac:dyDescent="0.25">
      <c r="A113">
        <v>112</v>
      </c>
      <c r="B113" s="1">
        <v>44191</v>
      </c>
      <c r="C113">
        <v>9911266011</v>
      </c>
      <c r="D113" t="s">
        <v>62</v>
      </c>
      <c r="E113" t="s">
        <v>91</v>
      </c>
      <c r="F113" t="s">
        <v>91</v>
      </c>
      <c r="G113" t="s">
        <v>43</v>
      </c>
      <c r="H113" t="s">
        <v>16</v>
      </c>
      <c r="I113" t="s">
        <v>33</v>
      </c>
      <c r="J113" t="s">
        <v>67</v>
      </c>
      <c r="K113" t="s">
        <v>27</v>
      </c>
      <c r="L113" s="2">
        <v>140</v>
      </c>
      <c r="M113" s="2">
        <v>66</v>
      </c>
      <c r="N113" s="2">
        <f>normalizar!$L113*normalizar!$M113</f>
        <v>9240</v>
      </c>
    </row>
    <row r="114" spans="1:14" x14ac:dyDescent="0.25">
      <c r="A114">
        <v>113</v>
      </c>
      <c r="B114" s="1">
        <v>44183</v>
      </c>
      <c r="C114">
        <v>8455987495</v>
      </c>
      <c r="D114" t="s">
        <v>63</v>
      </c>
      <c r="E114" t="s">
        <v>85</v>
      </c>
      <c r="F114" t="s">
        <v>83</v>
      </c>
      <c r="G114" t="s">
        <v>41</v>
      </c>
      <c r="H114" t="s">
        <v>25</v>
      </c>
      <c r="I114" t="s">
        <v>17</v>
      </c>
      <c r="J114" t="s">
        <v>68</v>
      </c>
      <c r="K114" t="s">
        <v>69</v>
      </c>
      <c r="L114" s="2">
        <v>298.90000000000003</v>
      </c>
      <c r="M114" s="2">
        <v>36</v>
      </c>
      <c r="N114" s="2">
        <f>normalizar!$L114*normalizar!$M114</f>
        <v>10760.400000000001</v>
      </c>
    </row>
    <row r="115" spans="1:14" x14ac:dyDescent="0.25">
      <c r="A115">
        <v>114</v>
      </c>
      <c r="B115" s="1">
        <v>43966</v>
      </c>
      <c r="C115">
        <v>6668567210</v>
      </c>
      <c r="D115" t="s">
        <v>63</v>
      </c>
      <c r="E115" t="s">
        <v>85</v>
      </c>
      <c r="F115" t="s">
        <v>83</v>
      </c>
      <c r="G115" t="s">
        <v>41</v>
      </c>
      <c r="H115" t="s">
        <v>25</v>
      </c>
      <c r="I115" t="s">
        <v>17</v>
      </c>
      <c r="J115" t="s">
        <v>34</v>
      </c>
      <c r="K115" t="s">
        <v>35</v>
      </c>
      <c r="L115" s="2">
        <v>135.1</v>
      </c>
      <c r="M115" s="2">
        <v>87</v>
      </c>
      <c r="N115" s="2">
        <f>normalizar!$L115*normalizar!$M115</f>
        <v>11753.699999999999</v>
      </c>
    </row>
    <row r="116" spans="1:14" x14ac:dyDescent="0.25">
      <c r="A116">
        <v>115</v>
      </c>
      <c r="B116" s="1">
        <v>44019</v>
      </c>
      <c r="C116">
        <v>9528620750</v>
      </c>
      <c r="D116" t="s">
        <v>63</v>
      </c>
      <c r="E116" t="s">
        <v>85</v>
      </c>
      <c r="F116" t="s">
        <v>83</v>
      </c>
      <c r="G116" t="s">
        <v>41</v>
      </c>
      <c r="H116" t="s">
        <v>25</v>
      </c>
      <c r="I116" t="s">
        <v>17</v>
      </c>
      <c r="J116" t="s">
        <v>52</v>
      </c>
      <c r="K116" t="s">
        <v>53</v>
      </c>
      <c r="L116" s="2">
        <v>257.59999999999997</v>
      </c>
      <c r="M116" s="2">
        <v>64</v>
      </c>
      <c r="N116" s="2">
        <f>normalizar!$L116*normalizar!$M116</f>
        <v>16486.399999999998</v>
      </c>
    </row>
    <row r="117" spans="1:14" x14ac:dyDescent="0.25">
      <c r="A117">
        <v>116</v>
      </c>
      <c r="B117" s="1">
        <v>43876</v>
      </c>
      <c r="C117">
        <v>1951835035</v>
      </c>
      <c r="D117" t="s">
        <v>28</v>
      </c>
      <c r="E117" t="s">
        <v>89</v>
      </c>
      <c r="F117" t="s">
        <v>84</v>
      </c>
      <c r="G117" t="s">
        <v>29</v>
      </c>
      <c r="H117" t="s">
        <v>8</v>
      </c>
      <c r="I117" t="s">
        <v>9</v>
      </c>
      <c r="J117" t="s">
        <v>10</v>
      </c>
      <c r="K117" t="s">
        <v>11</v>
      </c>
      <c r="L117" s="2">
        <v>196</v>
      </c>
      <c r="M117" s="2">
        <v>21</v>
      </c>
      <c r="N117" s="2">
        <f>normalizar!$L117*normalizar!$M117</f>
        <v>4116</v>
      </c>
    </row>
    <row r="118" spans="1:14" x14ac:dyDescent="0.25">
      <c r="A118">
        <v>117</v>
      </c>
      <c r="B118" s="1">
        <v>44101</v>
      </c>
      <c r="C118">
        <v>8464805926</v>
      </c>
      <c r="D118" t="s">
        <v>36</v>
      </c>
      <c r="E118" t="s">
        <v>92</v>
      </c>
      <c r="F118" t="s">
        <v>99</v>
      </c>
      <c r="G118" t="s">
        <v>37</v>
      </c>
      <c r="H118" t="s">
        <v>25</v>
      </c>
      <c r="I118" t="s">
        <v>9</v>
      </c>
      <c r="J118" t="s">
        <v>30</v>
      </c>
      <c r="K118" t="s">
        <v>31</v>
      </c>
      <c r="L118" s="2">
        <v>178.5</v>
      </c>
      <c r="M118" s="2">
        <v>19</v>
      </c>
      <c r="N118" s="2">
        <f>normalizar!$L118*normalizar!$M118</f>
        <v>3391.5</v>
      </c>
    </row>
    <row r="119" spans="1:14" x14ac:dyDescent="0.25">
      <c r="A119">
        <v>118</v>
      </c>
      <c r="B119" s="1">
        <v>44094</v>
      </c>
      <c r="C119">
        <v>1040241832</v>
      </c>
      <c r="D119" t="s">
        <v>14</v>
      </c>
      <c r="E119" t="s">
        <v>81</v>
      </c>
      <c r="F119" t="s">
        <v>94</v>
      </c>
      <c r="G119" t="s">
        <v>15</v>
      </c>
      <c r="H119" t="s">
        <v>16</v>
      </c>
      <c r="I119" t="s">
        <v>17</v>
      </c>
      <c r="J119" t="s">
        <v>70</v>
      </c>
      <c r="K119" t="s">
        <v>47</v>
      </c>
      <c r="L119" s="2">
        <v>1134</v>
      </c>
      <c r="M119" s="2">
        <v>23</v>
      </c>
      <c r="N119" s="2">
        <f>normalizar!$L119*normalizar!$M119</f>
        <v>26082</v>
      </c>
    </row>
    <row r="120" spans="1:14" x14ac:dyDescent="0.25">
      <c r="A120">
        <v>119</v>
      </c>
      <c r="B120" s="1">
        <v>44157</v>
      </c>
      <c r="C120">
        <v>5032769390</v>
      </c>
      <c r="D120" t="s">
        <v>14</v>
      </c>
      <c r="E120" t="s">
        <v>81</v>
      </c>
      <c r="F120" t="s">
        <v>94</v>
      </c>
      <c r="G120" t="s">
        <v>15</v>
      </c>
      <c r="H120" t="s">
        <v>16</v>
      </c>
      <c r="I120" t="s">
        <v>17</v>
      </c>
      <c r="J120" t="s">
        <v>71</v>
      </c>
      <c r="K120" t="s">
        <v>72</v>
      </c>
      <c r="L120" s="2">
        <v>98</v>
      </c>
      <c r="M120" s="2">
        <v>72</v>
      </c>
      <c r="N120" s="2">
        <f>normalizar!$L120*normalizar!$M120</f>
        <v>7056</v>
      </c>
    </row>
    <row r="121" spans="1:14" x14ac:dyDescent="0.25">
      <c r="A121">
        <v>120</v>
      </c>
      <c r="B121" s="1">
        <v>43916</v>
      </c>
      <c r="C121">
        <v>5375997402</v>
      </c>
      <c r="D121" t="s">
        <v>23</v>
      </c>
      <c r="E121" t="s">
        <v>86</v>
      </c>
      <c r="F121" t="s">
        <v>82</v>
      </c>
      <c r="G121" t="s">
        <v>24</v>
      </c>
      <c r="H121" t="s">
        <v>25</v>
      </c>
      <c r="I121" t="s">
        <v>17</v>
      </c>
      <c r="J121" t="s">
        <v>58</v>
      </c>
      <c r="K121" t="s">
        <v>59</v>
      </c>
      <c r="L121" s="2">
        <v>487.19999999999993</v>
      </c>
      <c r="M121" s="2">
        <v>22</v>
      </c>
      <c r="N121" s="2">
        <f>normalizar!$L121*normalizar!$M121</f>
        <v>10718.399999999998</v>
      </c>
    </row>
    <row r="122" spans="1:14" x14ac:dyDescent="0.25">
      <c r="A122">
        <v>121</v>
      </c>
      <c r="B122" s="1">
        <v>43837</v>
      </c>
      <c r="C122">
        <v>967566383</v>
      </c>
      <c r="D122" t="s">
        <v>32</v>
      </c>
      <c r="E122" t="s">
        <v>93</v>
      </c>
      <c r="F122" t="s">
        <v>96</v>
      </c>
      <c r="G122" t="s">
        <v>7</v>
      </c>
      <c r="H122" t="s">
        <v>8</v>
      </c>
      <c r="I122" t="s">
        <v>33</v>
      </c>
      <c r="J122" t="s">
        <v>60</v>
      </c>
      <c r="K122" t="s">
        <v>49</v>
      </c>
      <c r="L122" s="2">
        <v>140</v>
      </c>
      <c r="M122" s="2">
        <v>82</v>
      </c>
      <c r="N122" s="2">
        <f>normalizar!$L122*normalizar!$M122</f>
        <v>11480</v>
      </c>
    </row>
    <row r="123" spans="1:14" x14ac:dyDescent="0.25">
      <c r="A123">
        <v>122</v>
      </c>
      <c r="B123" s="1">
        <v>44042</v>
      </c>
      <c r="C123">
        <v>7607007457</v>
      </c>
      <c r="D123" t="s">
        <v>32</v>
      </c>
      <c r="E123" t="s">
        <v>93</v>
      </c>
      <c r="F123" t="s">
        <v>96</v>
      </c>
      <c r="G123" t="s">
        <v>7</v>
      </c>
      <c r="H123" t="s">
        <v>8</v>
      </c>
      <c r="I123" t="s">
        <v>33</v>
      </c>
      <c r="J123" t="s">
        <v>38</v>
      </c>
      <c r="K123" t="s">
        <v>39</v>
      </c>
      <c r="L123" s="2">
        <v>560</v>
      </c>
      <c r="M123" s="2">
        <v>98</v>
      </c>
      <c r="N123" s="2">
        <f>normalizar!$L123*normalizar!$M123</f>
        <v>54880</v>
      </c>
    </row>
    <row r="124" spans="1:14" x14ac:dyDescent="0.25">
      <c r="A124">
        <v>123</v>
      </c>
      <c r="B124" s="1">
        <v>44092</v>
      </c>
      <c r="C124">
        <v>6139722497</v>
      </c>
      <c r="D124" t="s">
        <v>45</v>
      </c>
      <c r="E124" t="s">
        <v>87</v>
      </c>
      <c r="F124" t="s">
        <v>87</v>
      </c>
      <c r="G124" t="s">
        <v>24</v>
      </c>
      <c r="H124" t="s">
        <v>127</v>
      </c>
      <c r="I124" t="s">
        <v>127</v>
      </c>
      <c r="J124" t="s">
        <v>22</v>
      </c>
      <c r="K124" t="s">
        <v>11</v>
      </c>
      <c r="L124" s="2">
        <v>644</v>
      </c>
      <c r="M124" s="2">
        <v>71</v>
      </c>
      <c r="N124" s="2">
        <f>normalizar!$L124*normalizar!$M124</f>
        <v>45724</v>
      </c>
    </row>
    <row r="125" spans="1:14" x14ac:dyDescent="0.25">
      <c r="A125">
        <v>124</v>
      </c>
      <c r="B125" s="1">
        <v>43924</v>
      </c>
      <c r="C125">
        <v>6071133871</v>
      </c>
      <c r="D125" t="s">
        <v>42</v>
      </c>
      <c r="E125" t="s">
        <v>91</v>
      </c>
      <c r="F125" t="s">
        <v>91</v>
      </c>
      <c r="G125" t="s">
        <v>43</v>
      </c>
      <c r="H125" t="s">
        <v>16</v>
      </c>
      <c r="I125" t="s">
        <v>127</v>
      </c>
      <c r="J125" t="s">
        <v>46</v>
      </c>
      <c r="K125" t="s">
        <v>47</v>
      </c>
      <c r="L125" s="2">
        <v>350</v>
      </c>
      <c r="M125" s="2">
        <v>40</v>
      </c>
      <c r="N125" s="2">
        <f>normalizar!$L125*normalizar!$M125</f>
        <v>14000</v>
      </c>
    </row>
    <row r="126" spans="1:14" x14ac:dyDescent="0.25">
      <c r="A126">
        <v>125</v>
      </c>
      <c r="B126" s="1">
        <v>43887</v>
      </c>
      <c r="C126">
        <v>8634772142</v>
      </c>
      <c r="D126" t="s">
        <v>42</v>
      </c>
      <c r="E126" t="s">
        <v>91</v>
      </c>
      <c r="F126" t="s">
        <v>91</v>
      </c>
      <c r="G126" t="s">
        <v>43</v>
      </c>
      <c r="H126" t="s">
        <v>16</v>
      </c>
      <c r="I126" t="s">
        <v>127</v>
      </c>
      <c r="J126" t="s">
        <v>48</v>
      </c>
      <c r="K126" t="s">
        <v>49</v>
      </c>
      <c r="L126" s="2">
        <v>308</v>
      </c>
      <c r="M126" s="2">
        <v>80</v>
      </c>
      <c r="N126" s="2">
        <f>normalizar!$L126*normalizar!$M126</f>
        <v>24640</v>
      </c>
    </row>
    <row r="127" spans="1:14" x14ac:dyDescent="0.25">
      <c r="A127">
        <v>126</v>
      </c>
      <c r="B127" s="1">
        <v>44080</v>
      </c>
      <c r="C127">
        <v>5431718510</v>
      </c>
      <c r="D127" t="s">
        <v>42</v>
      </c>
      <c r="E127" t="s">
        <v>91</v>
      </c>
      <c r="F127" t="s">
        <v>91</v>
      </c>
      <c r="G127" t="s">
        <v>43</v>
      </c>
      <c r="H127" t="s">
        <v>16</v>
      </c>
      <c r="I127" t="s">
        <v>127</v>
      </c>
      <c r="J127" t="s">
        <v>26</v>
      </c>
      <c r="K127" t="s">
        <v>27</v>
      </c>
      <c r="L127" s="2">
        <v>128.79999999999998</v>
      </c>
      <c r="M127" s="2">
        <v>38</v>
      </c>
      <c r="N127" s="2">
        <f>normalizar!$L127*normalizar!$M127</f>
        <v>4894.3999999999996</v>
      </c>
    </row>
    <row r="128" spans="1:14" x14ac:dyDescent="0.25">
      <c r="A128">
        <v>127</v>
      </c>
      <c r="B128" s="1">
        <v>44093</v>
      </c>
      <c r="C128">
        <v>7109276915</v>
      </c>
      <c r="D128" t="s">
        <v>50</v>
      </c>
      <c r="E128" t="s">
        <v>85</v>
      </c>
      <c r="F128" t="s">
        <v>83</v>
      </c>
      <c r="G128" t="s">
        <v>41</v>
      </c>
      <c r="H128" t="s">
        <v>25</v>
      </c>
      <c r="I128" t="s">
        <v>127</v>
      </c>
      <c r="J128" t="s">
        <v>12</v>
      </c>
      <c r="K128" t="s">
        <v>13</v>
      </c>
      <c r="L128" s="2">
        <v>49</v>
      </c>
      <c r="M128" s="2">
        <v>28</v>
      </c>
      <c r="N128" s="2">
        <f>normalizar!$L128*normalizar!$M128</f>
        <v>1372</v>
      </c>
    </row>
    <row r="129" spans="1:14" x14ac:dyDescent="0.25">
      <c r="A129">
        <v>128</v>
      </c>
      <c r="B129" s="1">
        <v>44119</v>
      </c>
      <c r="C129">
        <v>8479136081</v>
      </c>
      <c r="D129" t="s">
        <v>50</v>
      </c>
      <c r="E129" t="s">
        <v>85</v>
      </c>
      <c r="F129" t="s">
        <v>83</v>
      </c>
      <c r="G129" t="s">
        <v>41</v>
      </c>
      <c r="H129" t="s">
        <v>25</v>
      </c>
      <c r="I129" t="s">
        <v>127</v>
      </c>
      <c r="J129" t="s">
        <v>44</v>
      </c>
      <c r="K129" t="s">
        <v>11</v>
      </c>
      <c r="L129" s="2">
        <v>41.86</v>
      </c>
      <c r="M129" s="2">
        <v>60</v>
      </c>
      <c r="N129" s="2">
        <f>normalizar!$L129*normalizar!$M129</f>
        <v>2511.6</v>
      </c>
    </row>
    <row r="130" spans="1:14" x14ac:dyDescent="0.25">
      <c r="A130">
        <v>129</v>
      </c>
      <c r="B130" s="1">
        <v>44146</v>
      </c>
      <c r="C130">
        <v>7132355278</v>
      </c>
      <c r="D130" t="s">
        <v>51</v>
      </c>
      <c r="E130" t="s">
        <v>90</v>
      </c>
      <c r="F130" t="s">
        <v>98</v>
      </c>
      <c r="G130" t="s">
        <v>24</v>
      </c>
      <c r="H130" t="s">
        <v>127</v>
      </c>
      <c r="I130" t="s">
        <v>127</v>
      </c>
      <c r="J130" t="s">
        <v>21</v>
      </c>
      <c r="K130" t="s">
        <v>11</v>
      </c>
      <c r="L130" s="2">
        <v>252</v>
      </c>
      <c r="M130" s="2">
        <v>33</v>
      </c>
      <c r="N130" s="2">
        <f>normalizar!$L130*normalizar!$M130</f>
        <v>8316</v>
      </c>
    </row>
    <row r="131" spans="1:14" x14ac:dyDescent="0.25">
      <c r="A131">
        <v>130</v>
      </c>
      <c r="B131" s="1">
        <v>44017</v>
      </c>
      <c r="C131">
        <v>2885792785</v>
      </c>
      <c r="D131" t="s">
        <v>51</v>
      </c>
      <c r="E131" t="s">
        <v>90</v>
      </c>
      <c r="F131" t="s">
        <v>98</v>
      </c>
      <c r="G131" t="s">
        <v>24</v>
      </c>
      <c r="H131" t="s">
        <v>127</v>
      </c>
      <c r="I131" t="s">
        <v>127</v>
      </c>
      <c r="J131" t="s">
        <v>22</v>
      </c>
      <c r="K131" t="s">
        <v>11</v>
      </c>
      <c r="L131" s="2">
        <v>644</v>
      </c>
      <c r="M131" s="2">
        <v>22</v>
      </c>
      <c r="N131" s="2">
        <f>normalizar!$L131*normalizar!$M131</f>
        <v>14168</v>
      </c>
    </row>
    <row r="132" spans="1:14" x14ac:dyDescent="0.25">
      <c r="A132">
        <v>131</v>
      </c>
      <c r="B132" s="1">
        <v>44085</v>
      </c>
      <c r="C132">
        <v>3723941023</v>
      </c>
      <c r="D132" t="s">
        <v>51</v>
      </c>
      <c r="E132" t="s">
        <v>90</v>
      </c>
      <c r="F132" t="s">
        <v>98</v>
      </c>
      <c r="G132" t="s">
        <v>24</v>
      </c>
      <c r="H132" t="s">
        <v>127</v>
      </c>
      <c r="I132" t="s">
        <v>127</v>
      </c>
      <c r="J132" t="s">
        <v>44</v>
      </c>
      <c r="K132" t="s">
        <v>11</v>
      </c>
      <c r="L132" s="2">
        <v>41.86</v>
      </c>
      <c r="M132" s="2">
        <v>51</v>
      </c>
      <c r="N132" s="2">
        <f>normalizar!$L132*normalizar!$M132</f>
        <v>2134.86</v>
      </c>
    </row>
    <row r="133" spans="1:14" x14ac:dyDescent="0.25">
      <c r="A133">
        <v>132</v>
      </c>
      <c r="B133" s="1">
        <v>43943</v>
      </c>
      <c r="C133">
        <v>4827836337</v>
      </c>
      <c r="D133" t="s">
        <v>40</v>
      </c>
      <c r="E133" t="s">
        <v>97</v>
      </c>
      <c r="F133" t="s">
        <v>88</v>
      </c>
      <c r="G133" t="s">
        <v>41</v>
      </c>
      <c r="H133" t="s">
        <v>25</v>
      </c>
      <c r="I133" t="s">
        <v>17</v>
      </c>
      <c r="J133" t="s">
        <v>34</v>
      </c>
      <c r="K133" t="s">
        <v>35</v>
      </c>
      <c r="L133" s="2">
        <v>135.1</v>
      </c>
      <c r="M133" s="2">
        <v>60</v>
      </c>
      <c r="N133" s="2">
        <f>normalizar!$L133*normalizar!$M133</f>
        <v>8106</v>
      </c>
    </row>
    <row r="134" spans="1:14" x14ac:dyDescent="0.25">
      <c r="A134">
        <v>133</v>
      </c>
      <c r="B134" s="1">
        <v>44057</v>
      </c>
      <c r="C134">
        <v>2633840866</v>
      </c>
      <c r="D134" t="s">
        <v>40</v>
      </c>
      <c r="E134" t="s">
        <v>97</v>
      </c>
      <c r="F134" t="s">
        <v>88</v>
      </c>
      <c r="G134" t="s">
        <v>41</v>
      </c>
      <c r="H134" t="s">
        <v>25</v>
      </c>
      <c r="I134" t="s">
        <v>17</v>
      </c>
      <c r="J134" t="s">
        <v>52</v>
      </c>
      <c r="K134" t="s">
        <v>53</v>
      </c>
      <c r="L134" s="2">
        <v>257.59999999999997</v>
      </c>
      <c r="M134" s="2">
        <v>98</v>
      </c>
      <c r="N134" s="2">
        <f>normalizar!$L134*normalizar!$M134</f>
        <v>25244.799999999996</v>
      </c>
    </row>
    <row r="135" spans="1:14" x14ac:dyDescent="0.25">
      <c r="A135">
        <v>134</v>
      </c>
      <c r="B135" s="1">
        <v>43929</v>
      </c>
      <c r="C135">
        <v>2489359003</v>
      </c>
      <c r="D135" t="s">
        <v>54</v>
      </c>
      <c r="E135" t="s">
        <v>89</v>
      </c>
      <c r="F135" t="s">
        <v>84</v>
      </c>
      <c r="G135" t="s">
        <v>55</v>
      </c>
      <c r="H135" t="s">
        <v>16</v>
      </c>
      <c r="I135" t="s">
        <v>9</v>
      </c>
      <c r="J135" t="s">
        <v>56</v>
      </c>
      <c r="K135" t="s">
        <v>57</v>
      </c>
      <c r="L135" s="2">
        <v>273</v>
      </c>
      <c r="M135" s="2">
        <v>27</v>
      </c>
      <c r="N135" s="2">
        <f>normalizar!$L135*normalizar!$M135</f>
        <v>7371</v>
      </c>
    </row>
    <row r="136" spans="1:14" x14ac:dyDescent="0.25">
      <c r="A136">
        <v>135</v>
      </c>
      <c r="B136" s="1">
        <v>43986</v>
      </c>
      <c r="C136">
        <v>2347277376</v>
      </c>
      <c r="D136" t="s">
        <v>54</v>
      </c>
      <c r="E136" t="s">
        <v>89</v>
      </c>
      <c r="F136" t="s">
        <v>84</v>
      </c>
      <c r="G136" t="s">
        <v>55</v>
      </c>
      <c r="H136" t="s">
        <v>16</v>
      </c>
      <c r="I136" t="s">
        <v>9</v>
      </c>
      <c r="J136" t="s">
        <v>58</v>
      </c>
      <c r="K136" t="s">
        <v>59</v>
      </c>
      <c r="L136" s="2">
        <v>487.19999999999993</v>
      </c>
      <c r="M136" s="2">
        <v>88</v>
      </c>
      <c r="N136" s="2">
        <f>normalizar!$L136*normalizar!$M136</f>
        <v>42873.599999999991</v>
      </c>
    </row>
    <row r="137" spans="1:14" x14ac:dyDescent="0.25">
      <c r="A137">
        <v>136</v>
      </c>
      <c r="B137" s="1">
        <v>44058</v>
      </c>
      <c r="C137">
        <v>2071690973</v>
      </c>
      <c r="D137" t="s">
        <v>36</v>
      </c>
      <c r="E137" t="s">
        <v>92</v>
      </c>
      <c r="F137" t="s">
        <v>99</v>
      </c>
      <c r="G137" t="s">
        <v>37</v>
      </c>
      <c r="H137" t="s">
        <v>8</v>
      </c>
      <c r="I137" t="s">
        <v>17</v>
      </c>
      <c r="J137" t="s">
        <v>10</v>
      </c>
      <c r="K137" t="s">
        <v>11</v>
      </c>
      <c r="L137" s="2">
        <v>196</v>
      </c>
      <c r="M137" s="2">
        <v>65</v>
      </c>
      <c r="N137" s="2">
        <f>normalizar!$L137*normalizar!$M137</f>
        <v>12740</v>
      </c>
    </row>
    <row r="138" spans="1:14" x14ac:dyDescent="0.25">
      <c r="A138">
        <v>137</v>
      </c>
      <c r="B138" s="1">
        <v>44047</v>
      </c>
      <c r="C138">
        <v>1196729221</v>
      </c>
      <c r="D138" t="s">
        <v>23</v>
      </c>
      <c r="E138" t="s">
        <v>86</v>
      </c>
      <c r="F138" t="s">
        <v>82</v>
      </c>
      <c r="G138" t="s">
        <v>24</v>
      </c>
      <c r="H138" t="s">
        <v>8</v>
      </c>
      <c r="I138" t="s">
        <v>9</v>
      </c>
      <c r="J138" t="s">
        <v>38</v>
      </c>
      <c r="K138" t="s">
        <v>39</v>
      </c>
      <c r="L138" s="2">
        <v>560</v>
      </c>
      <c r="M138" s="2">
        <v>38</v>
      </c>
      <c r="N138" s="2">
        <f>normalizar!$L138*normalizar!$M138</f>
        <v>21280</v>
      </c>
    </row>
    <row r="139" spans="1:14" x14ac:dyDescent="0.25">
      <c r="A139">
        <v>138</v>
      </c>
      <c r="B139" s="1">
        <v>43948</v>
      </c>
      <c r="C139">
        <v>9020365601</v>
      </c>
      <c r="D139" t="s">
        <v>23</v>
      </c>
      <c r="E139" t="s">
        <v>86</v>
      </c>
      <c r="F139" t="s">
        <v>82</v>
      </c>
      <c r="G139" t="s">
        <v>24</v>
      </c>
      <c r="H139" t="s">
        <v>8</v>
      </c>
      <c r="I139" t="s">
        <v>9</v>
      </c>
      <c r="J139" t="s">
        <v>26</v>
      </c>
      <c r="K139" t="s">
        <v>27</v>
      </c>
      <c r="L139" s="2">
        <v>128.79999999999998</v>
      </c>
      <c r="M139" s="2">
        <v>80</v>
      </c>
      <c r="N139" s="2">
        <f>normalizar!$L139*normalizar!$M139</f>
        <v>10303.999999999998</v>
      </c>
    </row>
    <row r="140" spans="1:14" x14ac:dyDescent="0.25">
      <c r="A140">
        <v>139</v>
      </c>
      <c r="B140" s="1">
        <v>44054</v>
      </c>
      <c r="C140">
        <v>4818692078</v>
      </c>
      <c r="D140" t="s">
        <v>62</v>
      </c>
      <c r="E140" t="s">
        <v>91</v>
      </c>
      <c r="F140" t="s">
        <v>91</v>
      </c>
      <c r="G140" t="s">
        <v>43</v>
      </c>
      <c r="H140" t="s">
        <v>16</v>
      </c>
      <c r="I140" t="s">
        <v>33</v>
      </c>
      <c r="J140" t="s">
        <v>67</v>
      </c>
      <c r="K140" t="s">
        <v>27</v>
      </c>
      <c r="L140" s="2">
        <v>140</v>
      </c>
      <c r="M140" s="2">
        <v>49</v>
      </c>
      <c r="N140" s="2">
        <f>normalizar!$L140*normalizar!$M140</f>
        <v>6860</v>
      </c>
    </row>
    <row r="141" spans="1:14" x14ac:dyDescent="0.25">
      <c r="A141">
        <v>140</v>
      </c>
      <c r="B141" s="1">
        <v>44120</v>
      </c>
      <c r="C141">
        <v>6502762369</v>
      </c>
      <c r="D141" t="s">
        <v>63</v>
      </c>
      <c r="E141" t="s">
        <v>85</v>
      </c>
      <c r="F141" t="s">
        <v>83</v>
      </c>
      <c r="G141" t="s">
        <v>41</v>
      </c>
      <c r="H141" t="s">
        <v>25</v>
      </c>
      <c r="I141" t="s">
        <v>17</v>
      </c>
      <c r="J141" t="s">
        <v>68</v>
      </c>
      <c r="K141" t="s">
        <v>69</v>
      </c>
      <c r="L141" s="2">
        <v>298.90000000000003</v>
      </c>
      <c r="M141" s="2">
        <v>90</v>
      </c>
      <c r="N141" s="2">
        <f>normalizar!$L141*normalizar!$M141</f>
        <v>26901.000000000004</v>
      </c>
    </row>
    <row r="142" spans="1:14" x14ac:dyDescent="0.25">
      <c r="A142">
        <v>141</v>
      </c>
      <c r="B142" s="1">
        <v>43846</v>
      </c>
      <c r="C142">
        <v>924402492</v>
      </c>
      <c r="D142" t="s">
        <v>63</v>
      </c>
      <c r="E142" t="s">
        <v>85</v>
      </c>
      <c r="F142" t="s">
        <v>83</v>
      </c>
      <c r="G142" t="s">
        <v>41</v>
      </c>
      <c r="H142" t="s">
        <v>25</v>
      </c>
      <c r="I142" t="s">
        <v>17</v>
      </c>
      <c r="J142" t="s">
        <v>34</v>
      </c>
      <c r="K142" t="s">
        <v>35</v>
      </c>
      <c r="L142" s="2">
        <v>135.1</v>
      </c>
      <c r="M142" s="2">
        <v>60</v>
      </c>
      <c r="N142" s="2">
        <f>normalizar!$L142*normalizar!$M142</f>
        <v>8106</v>
      </c>
    </row>
    <row r="143" spans="1:14" x14ac:dyDescent="0.25">
      <c r="A143">
        <v>142</v>
      </c>
      <c r="B143" s="1">
        <v>44001</v>
      </c>
      <c r="C143">
        <v>5633857209</v>
      </c>
      <c r="D143" t="s">
        <v>63</v>
      </c>
      <c r="E143" t="s">
        <v>85</v>
      </c>
      <c r="F143" t="s">
        <v>83</v>
      </c>
      <c r="G143" t="s">
        <v>41</v>
      </c>
      <c r="H143" t="s">
        <v>25</v>
      </c>
      <c r="I143" t="s">
        <v>17</v>
      </c>
      <c r="J143" t="s">
        <v>52</v>
      </c>
      <c r="K143" t="s">
        <v>53</v>
      </c>
      <c r="L143" s="2">
        <v>257.59999999999997</v>
      </c>
      <c r="M143" s="2">
        <v>39</v>
      </c>
      <c r="N143" s="2">
        <f>normalizar!$L143*normalizar!$M143</f>
        <v>10046.399999999998</v>
      </c>
    </row>
    <row r="144" spans="1:14" x14ac:dyDescent="0.25">
      <c r="A144">
        <v>143</v>
      </c>
      <c r="B144" s="1">
        <v>43927</v>
      </c>
      <c r="C144">
        <v>9715216432</v>
      </c>
      <c r="D144" t="s">
        <v>28</v>
      </c>
      <c r="E144" t="s">
        <v>89</v>
      </c>
      <c r="F144" t="s">
        <v>84</v>
      </c>
      <c r="G144" t="s">
        <v>29</v>
      </c>
      <c r="H144" t="s">
        <v>8</v>
      </c>
      <c r="I144" t="s">
        <v>9</v>
      </c>
      <c r="J144" t="s">
        <v>10</v>
      </c>
      <c r="K144" t="s">
        <v>11</v>
      </c>
      <c r="L144" s="2">
        <v>196</v>
      </c>
      <c r="M144" s="2">
        <v>79</v>
      </c>
      <c r="N144" s="2">
        <f>normalizar!$L144*normalizar!$M144</f>
        <v>15484</v>
      </c>
    </row>
    <row r="145" spans="1:14" x14ac:dyDescent="0.25">
      <c r="A145">
        <v>144</v>
      </c>
      <c r="B145" s="1">
        <v>44100</v>
      </c>
      <c r="C145">
        <v>2808433382</v>
      </c>
      <c r="D145" t="s">
        <v>36</v>
      </c>
      <c r="E145" t="s">
        <v>92</v>
      </c>
      <c r="F145" t="s">
        <v>99</v>
      </c>
      <c r="G145" t="s">
        <v>37</v>
      </c>
      <c r="H145" t="s">
        <v>25</v>
      </c>
      <c r="I145" t="s">
        <v>9</v>
      </c>
      <c r="J145" t="s">
        <v>30</v>
      </c>
      <c r="K145" t="s">
        <v>31</v>
      </c>
      <c r="L145" s="2">
        <v>178.5</v>
      </c>
      <c r="M145" s="2">
        <v>44</v>
      </c>
      <c r="N145" s="2">
        <f>normalizar!$L145*normalizar!$M145</f>
        <v>7854</v>
      </c>
    </row>
    <row r="146" spans="1:14" x14ac:dyDescent="0.25">
      <c r="A146">
        <v>145</v>
      </c>
      <c r="B146" s="1">
        <v>44046</v>
      </c>
      <c r="C146">
        <v>5585231955</v>
      </c>
      <c r="D146" t="s">
        <v>14</v>
      </c>
      <c r="E146" t="s">
        <v>81</v>
      </c>
      <c r="F146" t="s">
        <v>94</v>
      </c>
      <c r="G146" t="s">
        <v>15</v>
      </c>
      <c r="H146" t="s">
        <v>16</v>
      </c>
      <c r="I146" t="s">
        <v>17</v>
      </c>
      <c r="J146" t="s">
        <v>70</v>
      </c>
      <c r="K146" t="s">
        <v>47</v>
      </c>
      <c r="L146" s="2">
        <v>1134</v>
      </c>
      <c r="M146" s="2">
        <v>98</v>
      </c>
      <c r="N146" s="2">
        <f>normalizar!$L146*normalizar!$M146</f>
        <v>111132</v>
      </c>
    </row>
    <row r="147" spans="1:14" x14ac:dyDescent="0.25">
      <c r="A147">
        <v>146</v>
      </c>
      <c r="B147" s="1">
        <v>44169</v>
      </c>
      <c r="C147">
        <v>4338999814</v>
      </c>
      <c r="D147" t="s">
        <v>14</v>
      </c>
      <c r="E147" t="s">
        <v>81</v>
      </c>
      <c r="F147" t="s">
        <v>94</v>
      </c>
      <c r="G147" t="s">
        <v>15</v>
      </c>
      <c r="H147" t="s">
        <v>16</v>
      </c>
      <c r="I147" t="s">
        <v>17</v>
      </c>
      <c r="J147" t="s">
        <v>71</v>
      </c>
      <c r="K147" t="s">
        <v>72</v>
      </c>
      <c r="L147" s="2">
        <v>98</v>
      </c>
      <c r="M147" s="2">
        <v>61</v>
      </c>
      <c r="N147" s="2">
        <f>normalizar!$L147*normalizar!$M147</f>
        <v>5978</v>
      </c>
    </row>
    <row r="148" spans="1:14" x14ac:dyDescent="0.25">
      <c r="A148">
        <v>147</v>
      </c>
      <c r="B148" s="1">
        <v>44056</v>
      </c>
      <c r="C148">
        <v>3475726472</v>
      </c>
      <c r="D148" t="s">
        <v>23</v>
      </c>
      <c r="E148" t="s">
        <v>86</v>
      </c>
      <c r="F148" t="s">
        <v>82</v>
      </c>
      <c r="G148" t="s">
        <v>24</v>
      </c>
      <c r="H148" t="s">
        <v>25</v>
      </c>
      <c r="I148" t="s">
        <v>17</v>
      </c>
      <c r="J148" t="s">
        <v>58</v>
      </c>
      <c r="K148" t="s">
        <v>59</v>
      </c>
      <c r="L148" s="2">
        <v>487.19999999999993</v>
      </c>
      <c r="M148" s="2">
        <v>30</v>
      </c>
      <c r="N148" s="2">
        <f>normalizar!$L148*normalizar!$M148</f>
        <v>14615.999999999998</v>
      </c>
    </row>
    <row r="149" spans="1:14" x14ac:dyDescent="0.25">
      <c r="A149">
        <v>148</v>
      </c>
      <c r="B149" s="1">
        <v>43946</v>
      </c>
      <c r="C149">
        <v>9727843310</v>
      </c>
      <c r="D149" t="s">
        <v>32</v>
      </c>
      <c r="E149" t="s">
        <v>93</v>
      </c>
      <c r="F149" t="s">
        <v>96</v>
      </c>
      <c r="G149" t="s">
        <v>7</v>
      </c>
      <c r="H149" t="s">
        <v>8</v>
      </c>
      <c r="I149" t="s">
        <v>33</v>
      </c>
      <c r="J149" t="s">
        <v>60</v>
      </c>
      <c r="K149" t="s">
        <v>49</v>
      </c>
      <c r="L149" s="2">
        <v>140</v>
      </c>
      <c r="M149" s="2">
        <v>24</v>
      </c>
      <c r="N149" s="2">
        <f>normalizar!$L149*normalizar!$M149</f>
        <v>3360</v>
      </c>
    </row>
    <row r="150" spans="1:14" x14ac:dyDescent="0.25">
      <c r="A150">
        <v>149</v>
      </c>
      <c r="B150" s="1">
        <v>43951</v>
      </c>
      <c r="C150">
        <v>536031236</v>
      </c>
      <c r="D150" t="s">
        <v>32</v>
      </c>
      <c r="E150" t="s">
        <v>93</v>
      </c>
      <c r="F150" t="s">
        <v>96</v>
      </c>
      <c r="G150" t="s">
        <v>7</v>
      </c>
      <c r="H150" t="s">
        <v>8</v>
      </c>
      <c r="I150" t="s">
        <v>33</v>
      </c>
      <c r="J150" t="s">
        <v>38</v>
      </c>
      <c r="K150" t="s">
        <v>39</v>
      </c>
      <c r="L150" s="2">
        <v>560</v>
      </c>
      <c r="M150" s="2">
        <v>28</v>
      </c>
      <c r="N150" s="2">
        <f>normalizar!$L150*normalizar!$M150</f>
        <v>15680</v>
      </c>
    </row>
    <row r="151" spans="1:14" x14ac:dyDescent="0.25">
      <c r="A151">
        <v>150</v>
      </c>
      <c r="B151" s="1">
        <v>44039</v>
      </c>
      <c r="C151">
        <v>1875435757</v>
      </c>
      <c r="D151" t="s">
        <v>42</v>
      </c>
      <c r="E151" t="s">
        <v>91</v>
      </c>
      <c r="F151" t="s">
        <v>91</v>
      </c>
      <c r="G151" t="s">
        <v>43</v>
      </c>
      <c r="H151" t="s">
        <v>8</v>
      </c>
      <c r="I151" t="s">
        <v>17</v>
      </c>
      <c r="J151" t="s">
        <v>61</v>
      </c>
      <c r="K151" t="s">
        <v>13</v>
      </c>
      <c r="L151" s="2">
        <v>140</v>
      </c>
      <c r="M151" s="2">
        <v>74</v>
      </c>
      <c r="N151" s="2">
        <f>normalizar!$L151*normalizar!$M151</f>
        <v>10360</v>
      </c>
    </row>
    <row r="152" spans="1:14" x14ac:dyDescent="0.25">
      <c r="A152">
        <v>151</v>
      </c>
      <c r="B152" s="1">
        <v>44141</v>
      </c>
      <c r="C152">
        <v>8711973073</v>
      </c>
      <c r="D152" t="s">
        <v>42</v>
      </c>
      <c r="E152" t="s">
        <v>91</v>
      </c>
      <c r="F152" t="s">
        <v>91</v>
      </c>
      <c r="G152" t="s">
        <v>43</v>
      </c>
      <c r="H152" t="s">
        <v>16</v>
      </c>
      <c r="I152" t="s">
        <v>127</v>
      </c>
      <c r="J152" t="s">
        <v>12</v>
      </c>
      <c r="K152" t="s">
        <v>13</v>
      </c>
      <c r="L152" s="2">
        <v>49</v>
      </c>
      <c r="M152" s="2">
        <v>90</v>
      </c>
      <c r="N152" s="2">
        <f>normalizar!$L152*normalizar!$M152</f>
        <v>4410</v>
      </c>
    </row>
    <row r="153" spans="1:14" x14ac:dyDescent="0.25">
      <c r="A153">
        <v>152</v>
      </c>
      <c r="B153" s="1">
        <v>44169</v>
      </c>
      <c r="C153">
        <v>1214228285</v>
      </c>
      <c r="D153" t="s">
        <v>50</v>
      </c>
      <c r="E153" t="s">
        <v>85</v>
      </c>
      <c r="F153" t="s">
        <v>83</v>
      </c>
      <c r="G153" t="s">
        <v>41</v>
      </c>
      <c r="H153" t="s">
        <v>25</v>
      </c>
      <c r="I153" t="s">
        <v>127</v>
      </c>
      <c r="J153" t="s">
        <v>38</v>
      </c>
      <c r="K153" t="s">
        <v>39</v>
      </c>
      <c r="L153" s="2">
        <v>560</v>
      </c>
      <c r="M153" s="2">
        <v>27</v>
      </c>
      <c r="N153" s="2">
        <f>normalizar!$L153*normalizar!$M153</f>
        <v>15120</v>
      </c>
    </row>
    <row r="154" spans="1:14" x14ac:dyDescent="0.25">
      <c r="A154">
        <v>153</v>
      </c>
      <c r="B154" s="1">
        <v>44083</v>
      </c>
      <c r="C154">
        <v>3447948983</v>
      </c>
      <c r="D154" t="s">
        <v>51</v>
      </c>
      <c r="E154" t="s">
        <v>90</v>
      </c>
      <c r="F154" t="s">
        <v>98</v>
      </c>
      <c r="G154" t="s">
        <v>24</v>
      </c>
      <c r="H154" t="s">
        <v>25</v>
      </c>
      <c r="I154" t="s">
        <v>127</v>
      </c>
      <c r="J154" t="s">
        <v>52</v>
      </c>
      <c r="K154" t="s">
        <v>53</v>
      </c>
      <c r="L154" s="2">
        <v>257.59999999999997</v>
      </c>
      <c r="M154" s="2">
        <v>71</v>
      </c>
      <c r="N154" s="2">
        <f>normalizar!$L154*normalizar!$M154</f>
        <v>18289.599999999999</v>
      </c>
    </row>
    <row r="155" spans="1:14" x14ac:dyDescent="0.25">
      <c r="A155">
        <v>154</v>
      </c>
      <c r="B155" s="1">
        <v>43963</v>
      </c>
      <c r="C155">
        <v>8753770178</v>
      </c>
      <c r="D155" t="s">
        <v>40</v>
      </c>
      <c r="E155" t="s">
        <v>97</v>
      </c>
      <c r="F155" t="s">
        <v>88</v>
      </c>
      <c r="G155" t="s">
        <v>41</v>
      </c>
      <c r="H155" t="s">
        <v>25</v>
      </c>
      <c r="I155" t="s">
        <v>17</v>
      </c>
      <c r="J155" t="s">
        <v>22</v>
      </c>
      <c r="K155" t="s">
        <v>11</v>
      </c>
      <c r="L155" s="2">
        <v>644</v>
      </c>
      <c r="M155" s="2">
        <v>74</v>
      </c>
      <c r="N155" s="2">
        <f>normalizar!$L155*normalizar!$M155</f>
        <v>47656</v>
      </c>
    </row>
    <row r="156" spans="1:14" x14ac:dyDescent="0.25">
      <c r="A156">
        <v>155</v>
      </c>
      <c r="B156" s="1">
        <v>43855</v>
      </c>
      <c r="C156">
        <v>493013693</v>
      </c>
      <c r="D156" t="s">
        <v>54</v>
      </c>
      <c r="E156" t="s">
        <v>89</v>
      </c>
      <c r="F156" t="s">
        <v>84</v>
      </c>
      <c r="G156" t="s">
        <v>55</v>
      </c>
      <c r="H156" t="s">
        <v>16</v>
      </c>
      <c r="I156" t="s">
        <v>9</v>
      </c>
      <c r="J156" t="s">
        <v>34</v>
      </c>
      <c r="K156" t="s">
        <v>35</v>
      </c>
      <c r="L156" s="2">
        <v>135.1</v>
      </c>
      <c r="M156" s="2">
        <v>76</v>
      </c>
      <c r="N156" s="2">
        <f>normalizar!$L156*normalizar!$M156</f>
        <v>10267.6</v>
      </c>
    </row>
    <row r="157" spans="1:14" x14ac:dyDescent="0.25">
      <c r="A157">
        <v>156</v>
      </c>
      <c r="B157" s="1">
        <v>44132</v>
      </c>
      <c r="C157">
        <v>4097578178</v>
      </c>
      <c r="D157" t="s">
        <v>36</v>
      </c>
      <c r="E157" t="s">
        <v>92</v>
      </c>
      <c r="F157" t="s">
        <v>99</v>
      </c>
      <c r="G157" t="s">
        <v>37</v>
      </c>
      <c r="H157" t="s">
        <v>8</v>
      </c>
      <c r="I157" t="s">
        <v>17</v>
      </c>
      <c r="J157" t="s">
        <v>30</v>
      </c>
      <c r="K157" t="s">
        <v>31</v>
      </c>
      <c r="L157" s="2">
        <v>178.5</v>
      </c>
      <c r="M157" s="2">
        <v>96</v>
      </c>
      <c r="N157" s="2">
        <f>normalizar!$L157*normalizar!$M157</f>
        <v>17136</v>
      </c>
    </row>
    <row r="158" spans="1:14" x14ac:dyDescent="0.25">
      <c r="A158">
        <v>157</v>
      </c>
      <c r="B158" s="1">
        <v>44018</v>
      </c>
      <c r="C158">
        <v>9949307477</v>
      </c>
      <c r="D158" t="s">
        <v>23</v>
      </c>
      <c r="E158" t="s">
        <v>86</v>
      </c>
      <c r="F158" t="s">
        <v>82</v>
      </c>
      <c r="G158" t="s">
        <v>24</v>
      </c>
      <c r="H158" t="s">
        <v>8</v>
      </c>
      <c r="I158" t="s">
        <v>9</v>
      </c>
      <c r="J158" t="s">
        <v>30</v>
      </c>
      <c r="K158" t="s">
        <v>31</v>
      </c>
      <c r="L158" s="2">
        <v>178.5</v>
      </c>
      <c r="M158" s="2">
        <v>92</v>
      </c>
      <c r="N158" s="2">
        <f>normalizar!$L158*normalizar!$M158</f>
        <v>16422</v>
      </c>
    </row>
    <row r="159" spans="1:14" x14ac:dyDescent="0.25">
      <c r="A159">
        <v>158</v>
      </c>
      <c r="B159" s="1">
        <v>43972</v>
      </c>
      <c r="C159">
        <v>2521830520</v>
      </c>
      <c r="D159" t="s">
        <v>62</v>
      </c>
      <c r="E159" t="s">
        <v>91</v>
      </c>
      <c r="F159" t="s">
        <v>91</v>
      </c>
      <c r="G159" t="s">
        <v>43</v>
      </c>
      <c r="H159" t="s">
        <v>16</v>
      </c>
      <c r="I159" t="s">
        <v>33</v>
      </c>
      <c r="J159" t="s">
        <v>48</v>
      </c>
      <c r="K159" t="s">
        <v>49</v>
      </c>
      <c r="L159" s="2">
        <v>308</v>
      </c>
      <c r="M159" s="2">
        <v>93</v>
      </c>
      <c r="N159" s="2">
        <f>normalizar!$L159*normalizar!$M159</f>
        <v>28644</v>
      </c>
    </row>
    <row r="160" spans="1:14" x14ac:dyDescent="0.25">
      <c r="A160">
        <v>159</v>
      </c>
      <c r="B160" s="1">
        <v>43982</v>
      </c>
      <c r="C160">
        <v>4224616034</v>
      </c>
      <c r="D160" t="s">
        <v>63</v>
      </c>
      <c r="E160" t="s">
        <v>85</v>
      </c>
      <c r="F160" t="s">
        <v>83</v>
      </c>
      <c r="G160" t="s">
        <v>41</v>
      </c>
      <c r="H160" t="s">
        <v>25</v>
      </c>
      <c r="I160" t="s">
        <v>17</v>
      </c>
      <c r="J160" t="s">
        <v>46</v>
      </c>
      <c r="K160" t="s">
        <v>47</v>
      </c>
      <c r="L160" s="2">
        <v>350</v>
      </c>
      <c r="M160" s="2">
        <v>18</v>
      </c>
      <c r="N160" s="2">
        <f>normalizar!$L160*normalizar!$M160</f>
        <v>6300</v>
      </c>
    </row>
    <row r="161" spans="1:14" x14ac:dyDescent="0.25">
      <c r="A161">
        <v>160</v>
      </c>
      <c r="B161" s="1">
        <v>44049</v>
      </c>
      <c r="C161">
        <v>7169314881</v>
      </c>
      <c r="D161" t="s">
        <v>28</v>
      </c>
      <c r="E161" t="s">
        <v>89</v>
      </c>
      <c r="F161" t="s">
        <v>84</v>
      </c>
      <c r="G161" t="s">
        <v>29</v>
      </c>
      <c r="H161" t="s">
        <v>8</v>
      </c>
      <c r="I161" t="s">
        <v>9</v>
      </c>
      <c r="J161" t="s">
        <v>64</v>
      </c>
      <c r="K161" t="s">
        <v>65</v>
      </c>
      <c r="L161" s="2">
        <v>546</v>
      </c>
      <c r="M161" s="2">
        <v>98</v>
      </c>
      <c r="N161" s="2">
        <f>normalizar!$L161*normalizar!$M161</f>
        <v>53508</v>
      </c>
    </row>
    <row r="162" spans="1:14" x14ac:dyDescent="0.25">
      <c r="A162">
        <v>161</v>
      </c>
      <c r="B162" s="1">
        <v>44018</v>
      </c>
      <c r="C162">
        <v>8313545064</v>
      </c>
      <c r="D162" t="s">
        <v>36</v>
      </c>
      <c r="E162" t="s">
        <v>92</v>
      </c>
      <c r="F162" t="s">
        <v>99</v>
      </c>
      <c r="G162" t="s">
        <v>37</v>
      </c>
      <c r="H162" t="s">
        <v>25</v>
      </c>
      <c r="I162" t="s">
        <v>9</v>
      </c>
      <c r="J162" t="s">
        <v>18</v>
      </c>
      <c r="K162" t="s">
        <v>13</v>
      </c>
      <c r="L162" s="2">
        <v>420</v>
      </c>
      <c r="M162" s="2">
        <v>46</v>
      </c>
      <c r="N162" s="2">
        <f>normalizar!$L162*normalizar!$M162</f>
        <v>19320</v>
      </c>
    </row>
    <row r="163" spans="1:14" x14ac:dyDescent="0.25">
      <c r="A163">
        <v>162</v>
      </c>
      <c r="B163" s="1">
        <v>44064</v>
      </c>
      <c r="C163">
        <v>5739621013</v>
      </c>
      <c r="D163" t="s">
        <v>36</v>
      </c>
      <c r="E163" t="s">
        <v>92</v>
      </c>
      <c r="F163" t="s">
        <v>99</v>
      </c>
      <c r="G163" t="s">
        <v>37</v>
      </c>
      <c r="H163" t="s">
        <v>25</v>
      </c>
      <c r="I163" t="s">
        <v>9</v>
      </c>
      <c r="J163" t="s">
        <v>19</v>
      </c>
      <c r="K163" t="s">
        <v>13</v>
      </c>
      <c r="L163" s="2">
        <v>742</v>
      </c>
      <c r="M163" s="2">
        <v>14</v>
      </c>
      <c r="N163" s="2">
        <f>normalizar!$L163*normalizar!$M163</f>
        <v>10388</v>
      </c>
    </row>
    <row r="164" spans="1:14" x14ac:dyDescent="0.25">
      <c r="A164">
        <v>163</v>
      </c>
      <c r="B164" s="1">
        <v>43942</v>
      </c>
      <c r="C164">
        <v>1789830506</v>
      </c>
      <c r="D164" t="s">
        <v>14</v>
      </c>
      <c r="E164" t="s">
        <v>81</v>
      </c>
      <c r="F164" t="s">
        <v>94</v>
      </c>
      <c r="G164" t="s">
        <v>15</v>
      </c>
      <c r="H164" t="s">
        <v>127</v>
      </c>
      <c r="I164" t="s">
        <v>127</v>
      </c>
      <c r="J164" t="s">
        <v>66</v>
      </c>
      <c r="K164" t="s">
        <v>57</v>
      </c>
      <c r="L164" s="2">
        <v>532</v>
      </c>
      <c r="M164" s="2">
        <v>85</v>
      </c>
      <c r="N164" s="2">
        <f>normalizar!$L164*normalizar!$M164</f>
        <v>45220</v>
      </c>
    </row>
    <row r="165" spans="1:14" x14ac:dyDescent="0.25">
      <c r="A165">
        <v>164</v>
      </c>
      <c r="B165" s="1">
        <v>44098</v>
      </c>
      <c r="C165">
        <v>6281652174</v>
      </c>
      <c r="D165" t="s">
        <v>32</v>
      </c>
      <c r="E165" t="s">
        <v>93</v>
      </c>
      <c r="F165" t="s">
        <v>96</v>
      </c>
      <c r="G165" t="s">
        <v>7</v>
      </c>
      <c r="H165" t="s">
        <v>127</v>
      </c>
      <c r="I165" t="s">
        <v>127</v>
      </c>
      <c r="J165" t="s">
        <v>44</v>
      </c>
      <c r="K165" t="s">
        <v>11</v>
      </c>
      <c r="L165" s="2">
        <v>41.86</v>
      </c>
      <c r="M165" s="2">
        <v>88</v>
      </c>
      <c r="N165" s="2">
        <f>normalizar!$L165*normalizar!$M165</f>
        <v>3683.68</v>
      </c>
    </row>
    <row r="166" spans="1:14" x14ac:dyDescent="0.25">
      <c r="A166">
        <v>165</v>
      </c>
      <c r="B166" s="1">
        <v>43859</v>
      </c>
      <c r="C166">
        <v>8126696083</v>
      </c>
      <c r="D166" t="s">
        <v>51</v>
      </c>
      <c r="E166" t="s">
        <v>90</v>
      </c>
      <c r="F166" t="s">
        <v>98</v>
      </c>
      <c r="G166" t="s">
        <v>24</v>
      </c>
      <c r="H166" t="s">
        <v>127</v>
      </c>
      <c r="I166" t="s">
        <v>127</v>
      </c>
      <c r="J166" t="s">
        <v>44</v>
      </c>
      <c r="K166" t="s">
        <v>11</v>
      </c>
      <c r="L166" s="2">
        <v>41.86</v>
      </c>
      <c r="M166" s="2">
        <v>81</v>
      </c>
      <c r="N166" s="2">
        <f>normalizar!$L166*normalizar!$M166</f>
        <v>3390.66</v>
      </c>
    </row>
    <row r="167" spans="1:14" x14ac:dyDescent="0.25">
      <c r="A167">
        <v>166</v>
      </c>
      <c r="B167" s="1">
        <v>44160</v>
      </c>
      <c r="C167">
        <v>2706456269</v>
      </c>
      <c r="D167" t="s">
        <v>40</v>
      </c>
      <c r="E167" t="s">
        <v>97</v>
      </c>
      <c r="F167" t="s">
        <v>88</v>
      </c>
      <c r="G167" t="s">
        <v>41</v>
      </c>
      <c r="H167" t="s">
        <v>25</v>
      </c>
      <c r="I167" t="s">
        <v>17</v>
      </c>
      <c r="J167" t="s">
        <v>34</v>
      </c>
      <c r="K167" t="s">
        <v>35</v>
      </c>
      <c r="L167" s="2">
        <v>135.1</v>
      </c>
      <c r="M167" s="2">
        <v>33</v>
      </c>
      <c r="N167" s="2">
        <f>normalizar!$L167*normalizar!$M167</f>
        <v>4458.3</v>
      </c>
    </row>
    <row r="168" spans="1:14" x14ac:dyDescent="0.25">
      <c r="A168">
        <v>167</v>
      </c>
      <c r="B168" s="1">
        <v>44167</v>
      </c>
      <c r="C168">
        <v>6159315697</v>
      </c>
      <c r="D168" t="s">
        <v>40</v>
      </c>
      <c r="E168" t="s">
        <v>97</v>
      </c>
      <c r="F168" t="s">
        <v>88</v>
      </c>
      <c r="G168" t="s">
        <v>41</v>
      </c>
      <c r="H168" t="s">
        <v>25</v>
      </c>
      <c r="I168" t="s">
        <v>17</v>
      </c>
      <c r="J168" t="s">
        <v>52</v>
      </c>
      <c r="K168" t="s">
        <v>53</v>
      </c>
      <c r="L168" s="2">
        <v>257.59999999999997</v>
      </c>
      <c r="M168" s="2">
        <v>47</v>
      </c>
      <c r="N168" s="2">
        <f>normalizar!$L168*normalizar!$M168</f>
        <v>12107.199999999999</v>
      </c>
    </row>
    <row r="169" spans="1:14" x14ac:dyDescent="0.25">
      <c r="A169">
        <v>168</v>
      </c>
      <c r="B169" s="1">
        <v>44026</v>
      </c>
      <c r="C169">
        <v>2749029538</v>
      </c>
      <c r="D169" t="s">
        <v>54</v>
      </c>
      <c r="E169" t="s">
        <v>89</v>
      </c>
      <c r="F169" t="s">
        <v>84</v>
      </c>
      <c r="G169" t="s">
        <v>55</v>
      </c>
      <c r="H169" t="s">
        <v>16</v>
      </c>
      <c r="I169" t="s">
        <v>9</v>
      </c>
      <c r="J169" t="s">
        <v>56</v>
      </c>
      <c r="K169" t="s">
        <v>57</v>
      </c>
      <c r="L169" s="2">
        <v>273</v>
      </c>
      <c r="M169" s="2">
        <v>61</v>
      </c>
      <c r="N169" s="2">
        <f>normalizar!$L169*normalizar!$M169</f>
        <v>16653</v>
      </c>
    </row>
    <row r="170" spans="1:14" x14ac:dyDescent="0.25">
      <c r="A170">
        <v>169</v>
      </c>
      <c r="B170" s="1">
        <v>43998</v>
      </c>
      <c r="C170">
        <v>9017454158</v>
      </c>
      <c r="D170" t="s">
        <v>54</v>
      </c>
      <c r="E170" t="s">
        <v>89</v>
      </c>
      <c r="F170" t="s">
        <v>84</v>
      </c>
      <c r="G170" t="s">
        <v>55</v>
      </c>
      <c r="H170" t="s">
        <v>16</v>
      </c>
      <c r="I170" t="s">
        <v>9</v>
      </c>
      <c r="J170" t="s">
        <v>58</v>
      </c>
      <c r="K170" t="s">
        <v>59</v>
      </c>
      <c r="L170" s="2">
        <v>487.19999999999993</v>
      </c>
      <c r="M170" s="2">
        <v>27</v>
      </c>
      <c r="N170" s="2">
        <f>normalizar!$L170*normalizar!$M170</f>
        <v>13154.399999999998</v>
      </c>
    </row>
    <row r="171" spans="1:14" x14ac:dyDescent="0.25">
      <c r="A171">
        <v>170</v>
      </c>
      <c r="B171" s="1">
        <v>43893</v>
      </c>
      <c r="C171">
        <v>445300235</v>
      </c>
      <c r="D171" t="s">
        <v>36</v>
      </c>
      <c r="E171" t="s">
        <v>92</v>
      </c>
      <c r="F171" t="s">
        <v>99</v>
      </c>
      <c r="G171" t="s">
        <v>37</v>
      </c>
      <c r="H171" t="s">
        <v>8</v>
      </c>
      <c r="I171" t="s">
        <v>17</v>
      </c>
      <c r="J171" t="s">
        <v>10</v>
      </c>
      <c r="K171" t="s">
        <v>11</v>
      </c>
      <c r="L171" s="2">
        <v>196</v>
      </c>
      <c r="M171" s="2">
        <v>84</v>
      </c>
      <c r="N171" s="2">
        <f>normalizar!$L171*normalizar!$M171</f>
        <v>16464</v>
      </c>
    </row>
    <row r="172" spans="1:14" x14ac:dyDescent="0.25">
      <c r="A172">
        <v>171</v>
      </c>
      <c r="B172" s="1">
        <v>43844</v>
      </c>
      <c r="C172">
        <v>3498781571</v>
      </c>
      <c r="D172" t="s">
        <v>23</v>
      </c>
      <c r="E172" t="s">
        <v>86</v>
      </c>
      <c r="F172" t="s">
        <v>82</v>
      </c>
      <c r="G172" t="s">
        <v>24</v>
      </c>
      <c r="H172" t="s">
        <v>8</v>
      </c>
      <c r="I172" t="s">
        <v>9</v>
      </c>
      <c r="J172" t="s">
        <v>38</v>
      </c>
      <c r="K172" t="s">
        <v>39</v>
      </c>
      <c r="L172" s="2">
        <v>560</v>
      </c>
      <c r="M172" s="2">
        <v>91</v>
      </c>
      <c r="N172" s="2">
        <f>normalizar!$L172*normalizar!$M172</f>
        <v>50960</v>
      </c>
    </row>
    <row r="173" spans="1:14" x14ac:dyDescent="0.25">
      <c r="A173">
        <v>172</v>
      </c>
      <c r="B173" s="1">
        <v>44008</v>
      </c>
      <c r="C173">
        <v>376477229</v>
      </c>
      <c r="D173" t="s">
        <v>23</v>
      </c>
      <c r="E173" t="s">
        <v>86</v>
      </c>
      <c r="F173" t="s">
        <v>82</v>
      </c>
      <c r="G173" t="s">
        <v>24</v>
      </c>
      <c r="H173" t="s">
        <v>8</v>
      </c>
      <c r="I173" t="s">
        <v>9</v>
      </c>
      <c r="J173" t="s">
        <v>26</v>
      </c>
      <c r="K173" t="s">
        <v>27</v>
      </c>
      <c r="L173" s="2">
        <v>128.79999999999998</v>
      </c>
      <c r="M173" s="2">
        <v>36</v>
      </c>
      <c r="N173" s="2">
        <f>normalizar!$L173*normalizar!$M173</f>
        <v>4636.7999999999993</v>
      </c>
    </row>
    <row r="174" spans="1:14" x14ac:dyDescent="0.25">
      <c r="A174">
        <v>173</v>
      </c>
      <c r="B174" s="1">
        <v>44119</v>
      </c>
      <c r="C174">
        <v>1790721708</v>
      </c>
      <c r="D174" t="s">
        <v>62</v>
      </c>
      <c r="E174" t="s">
        <v>91</v>
      </c>
      <c r="F174" t="s">
        <v>91</v>
      </c>
      <c r="G174" t="s">
        <v>43</v>
      </c>
      <c r="H174" t="s">
        <v>16</v>
      </c>
      <c r="I174" t="s">
        <v>33</v>
      </c>
      <c r="J174" t="s">
        <v>67</v>
      </c>
      <c r="K174" t="s">
        <v>27</v>
      </c>
      <c r="L174" s="2">
        <v>140</v>
      </c>
      <c r="M174" s="2">
        <v>34</v>
      </c>
      <c r="N174" s="2">
        <f>normalizar!$L174*normalizar!$M174</f>
        <v>4760</v>
      </c>
    </row>
    <row r="175" spans="1:14" x14ac:dyDescent="0.25">
      <c r="A175">
        <v>174</v>
      </c>
      <c r="B175" s="1">
        <v>43831</v>
      </c>
      <c r="C175">
        <v>434033868</v>
      </c>
      <c r="D175" t="s">
        <v>63</v>
      </c>
      <c r="E175" t="s">
        <v>85</v>
      </c>
      <c r="F175" t="s">
        <v>83</v>
      </c>
      <c r="G175" t="s">
        <v>41</v>
      </c>
      <c r="H175" t="s">
        <v>25</v>
      </c>
      <c r="I175" t="s">
        <v>17</v>
      </c>
      <c r="J175" t="s">
        <v>68</v>
      </c>
      <c r="K175" t="s">
        <v>69</v>
      </c>
      <c r="L175" s="2">
        <v>298.90000000000003</v>
      </c>
      <c r="M175" s="2">
        <v>81</v>
      </c>
      <c r="N175" s="2">
        <f>normalizar!$L175*normalizar!$M175</f>
        <v>24210.9</v>
      </c>
    </row>
    <row r="176" spans="1:14" x14ac:dyDescent="0.25">
      <c r="A176">
        <v>175</v>
      </c>
      <c r="B176" s="1">
        <v>44054</v>
      </c>
      <c r="C176">
        <v>3247684317</v>
      </c>
      <c r="D176" t="s">
        <v>63</v>
      </c>
      <c r="E176" t="s">
        <v>85</v>
      </c>
      <c r="F176" t="s">
        <v>83</v>
      </c>
      <c r="G176" t="s">
        <v>41</v>
      </c>
      <c r="H176" t="s">
        <v>25</v>
      </c>
      <c r="I176" t="s">
        <v>17</v>
      </c>
      <c r="J176" t="s">
        <v>34</v>
      </c>
      <c r="K176" t="s">
        <v>35</v>
      </c>
      <c r="L176" s="2">
        <v>135.1</v>
      </c>
      <c r="M176" s="2">
        <v>25</v>
      </c>
      <c r="N176" s="2">
        <f>normalizar!$L176*normalizar!$M176</f>
        <v>3377.5</v>
      </c>
    </row>
    <row r="177" spans="1:14" x14ac:dyDescent="0.25">
      <c r="A177">
        <v>176</v>
      </c>
      <c r="B177" s="1">
        <v>43933</v>
      </c>
      <c r="C177">
        <v>6492121203</v>
      </c>
      <c r="D177" t="s">
        <v>63</v>
      </c>
      <c r="E177" t="s">
        <v>85</v>
      </c>
      <c r="F177" t="s">
        <v>83</v>
      </c>
      <c r="G177" t="s">
        <v>41</v>
      </c>
      <c r="H177" t="s">
        <v>25</v>
      </c>
      <c r="I177" t="s">
        <v>17</v>
      </c>
      <c r="J177" t="s">
        <v>52</v>
      </c>
      <c r="K177" t="s">
        <v>53</v>
      </c>
      <c r="L177" s="2">
        <v>257.59999999999997</v>
      </c>
      <c r="M177" s="2">
        <v>12</v>
      </c>
      <c r="N177" s="2">
        <f>normalizar!$L177*normalizar!$M177</f>
        <v>3091.2</v>
      </c>
    </row>
    <row r="178" spans="1:14" x14ac:dyDescent="0.25">
      <c r="A178">
        <v>177</v>
      </c>
      <c r="B178" s="1">
        <v>43859</v>
      </c>
      <c r="C178">
        <v>1661667624</v>
      </c>
      <c r="D178" t="s">
        <v>28</v>
      </c>
      <c r="E178" t="s">
        <v>89</v>
      </c>
      <c r="F178" t="s">
        <v>84</v>
      </c>
      <c r="G178" t="s">
        <v>29</v>
      </c>
      <c r="H178" t="s">
        <v>8</v>
      </c>
      <c r="I178" t="s">
        <v>9</v>
      </c>
      <c r="J178" t="s">
        <v>10</v>
      </c>
      <c r="K178" t="s">
        <v>11</v>
      </c>
      <c r="L178" s="2">
        <v>196</v>
      </c>
      <c r="M178" s="2">
        <v>23</v>
      </c>
      <c r="N178" s="2">
        <f>normalizar!$L178*normalizar!$M178</f>
        <v>4508</v>
      </c>
    </row>
    <row r="179" spans="1:14" x14ac:dyDescent="0.25">
      <c r="A179">
        <v>178</v>
      </c>
      <c r="B179" s="1">
        <v>44188</v>
      </c>
      <c r="C179">
        <v>1127190015</v>
      </c>
      <c r="D179" t="s">
        <v>36</v>
      </c>
      <c r="E179" t="s">
        <v>92</v>
      </c>
      <c r="F179" t="s">
        <v>99</v>
      </c>
      <c r="G179" t="s">
        <v>37</v>
      </c>
      <c r="H179" t="s">
        <v>25</v>
      </c>
      <c r="I179" t="s">
        <v>9</v>
      </c>
      <c r="J179" t="s">
        <v>30</v>
      </c>
      <c r="K179" t="s">
        <v>31</v>
      </c>
      <c r="L179" s="2">
        <v>178.5</v>
      </c>
      <c r="M179" s="2">
        <v>76</v>
      </c>
      <c r="N179" s="2">
        <f>normalizar!$L179*normalizar!$M179</f>
        <v>13566</v>
      </c>
    </row>
    <row r="180" spans="1:14" x14ac:dyDescent="0.25">
      <c r="A180">
        <v>179</v>
      </c>
      <c r="B180" s="1">
        <v>43937</v>
      </c>
      <c r="C180">
        <v>7862399002</v>
      </c>
      <c r="D180" t="s">
        <v>14</v>
      </c>
      <c r="E180" t="s">
        <v>81</v>
      </c>
      <c r="F180" t="s">
        <v>94</v>
      </c>
      <c r="G180" t="s">
        <v>15</v>
      </c>
      <c r="H180" t="s">
        <v>16</v>
      </c>
      <c r="I180" t="s">
        <v>17</v>
      </c>
      <c r="J180" t="s">
        <v>70</v>
      </c>
      <c r="K180" t="s">
        <v>47</v>
      </c>
      <c r="L180" s="2">
        <v>1134</v>
      </c>
      <c r="M180" s="2">
        <v>55</v>
      </c>
      <c r="N180" s="2">
        <f>normalizar!$L180*normalizar!$M180</f>
        <v>62370</v>
      </c>
    </row>
    <row r="181" spans="1:14" x14ac:dyDescent="0.25">
      <c r="A181">
        <v>180</v>
      </c>
      <c r="B181" s="1">
        <v>44083</v>
      </c>
      <c r="C181">
        <v>9568142105</v>
      </c>
      <c r="D181" t="s">
        <v>14</v>
      </c>
      <c r="E181" t="s">
        <v>81</v>
      </c>
      <c r="F181" t="s">
        <v>94</v>
      </c>
      <c r="G181" t="s">
        <v>15</v>
      </c>
      <c r="H181" t="s">
        <v>16</v>
      </c>
      <c r="I181" t="s">
        <v>17</v>
      </c>
      <c r="J181" t="s">
        <v>71</v>
      </c>
      <c r="K181" t="s">
        <v>72</v>
      </c>
      <c r="L181" s="2">
        <v>98</v>
      </c>
      <c r="M181" s="2">
        <v>19</v>
      </c>
      <c r="N181" s="2">
        <f>normalizar!$L181*normalizar!$M181</f>
        <v>1862</v>
      </c>
    </row>
    <row r="182" spans="1:14" x14ac:dyDescent="0.25">
      <c r="A182">
        <v>181</v>
      </c>
      <c r="B182" s="1">
        <v>43864</v>
      </c>
      <c r="C182">
        <v>1181634254</v>
      </c>
      <c r="D182" t="s">
        <v>23</v>
      </c>
      <c r="E182" t="s">
        <v>86</v>
      </c>
      <c r="F182" t="s">
        <v>82</v>
      </c>
      <c r="G182" t="s">
        <v>24</v>
      </c>
      <c r="H182" t="s">
        <v>25</v>
      </c>
      <c r="I182" t="s">
        <v>17</v>
      </c>
      <c r="J182" t="s">
        <v>58</v>
      </c>
      <c r="K182" t="s">
        <v>59</v>
      </c>
      <c r="L182" s="2">
        <v>487.19999999999993</v>
      </c>
      <c r="M182" s="2">
        <v>27</v>
      </c>
      <c r="N182" s="2">
        <f>normalizar!$L182*normalizar!$M182</f>
        <v>13154.399999999998</v>
      </c>
    </row>
    <row r="183" spans="1:14" x14ac:dyDescent="0.25">
      <c r="A183">
        <v>182</v>
      </c>
      <c r="B183" s="1">
        <v>44052</v>
      </c>
      <c r="C183">
        <v>5404968765</v>
      </c>
      <c r="D183" t="s">
        <v>32</v>
      </c>
      <c r="E183" t="s">
        <v>93</v>
      </c>
      <c r="F183" t="s">
        <v>96</v>
      </c>
      <c r="G183" t="s">
        <v>7</v>
      </c>
      <c r="H183" t="s">
        <v>8</v>
      </c>
      <c r="I183" t="s">
        <v>33</v>
      </c>
      <c r="J183" t="s">
        <v>60</v>
      </c>
      <c r="K183" t="s">
        <v>49</v>
      </c>
      <c r="L183" s="2">
        <v>140</v>
      </c>
      <c r="M183" s="2">
        <v>99</v>
      </c>
      <c r="N183" s="2">
        <f>normalizar!$L183*normalizar!$M183</f>
        <v>13860</v>
      </c>
    </row>
    <row r="184" spans="1:14" x14ac:dyDescent="0.25">
      <c r="A184">
        <v>183</v>
      </c>
      <c r="B184" s="1">
        <v>43959</v>
      </c>
      <c r="C184">
        <v>2431996009</v>
      </c>
      <c r="D184" t="s">
        <v>32</v>
      </c>
      <c r="E184" t="s">
        <v>93</v>
      </c>
      <c r="F184" t="s">
        <v>96</v>
      </c>
      <c r="G184" t="s">
        <v>7</v>
      </c>
      <c r="H184" t="s">
        <v>8</v>
      </c>
      <c r="I184" t="s">
        <v>33</v>
      </c>
      <c r="J184" t="s">
        <v>38</v>
      </c>
      <c r="K184" t="s">
        <v>39</v>
      </c>
      <c r="L184" s="2">
        <v>560</v>
      </c>
      <c r="M184" s="2">
        <v>10</v>
      </c>
      <c r="N184" s="2">
        <f>normalizar!$L184*normalizar!$M184</f>
        <v>5600</v>
      </c>
    </row>
    <row r="185" spans="1:14" x14ac:dyDescent="0.25">
      <c r="A185">
        <v>184</v>
      </c>
      <c r="B185" s="1">
        <v>44101</v>
      </c>
      <c r="C185">
        <v>6373385557</v>
      </c>
      <c r="D185" t="s">
        <v>42</v>
      </c>
      <c r="E185" t="s">
        <v>91</v>
      </c>
      <c r="F185" t="s">
        <v>91</v>
      </c>
      <c r="G185" t="s">
        <v>43</v>
      </c>
      <c r="H185" t="s">
        <v>8</v>
      </c>
      <c r="I185" t="s">
        <v>17</v>
      </c>
      <c r="J185" t="s">
        <v>61</v>
      </c>
      <c r="K185" t="s">
        <v>13</v>
      </c>
      <c r="L185" s="2">
        <v>140</v>
      </c>
      <c r="M185" s="2">
        <v>80</v>
      </c>
      <c r="N185" s="2">
        <f>normalizar!$L185*normalizar!$M185</f>
        <v>11200</v>
      </c>
    </row>
    <row r="186" spans="1:14" x14ac:dyDescent="0.25">
      <c r="A186">
        <v>185</v>
      </c>
      <c r="B186" s="1">
        <v>44069</v>
      </c>
      <c r="C186">
        <v>5411926783</v>
      </c>
      <c r="D186" t="s">
        <v>42</v>
      </c>
      <c r="E186" t="s">
        <v>91</v>
      </c>
      <c r="F186" t="s">
        <v>91</v>
      </c>
      <c r="G186" t="s">
        <v>43</v>
      </c>
      <c r="H186" t="s">
        <v>16</v>
      </c>
      <c r="I186" t="s">
        <v>127</v>
      </c>
      <c r="J186" t="s">
        <v>12</v>
      </c>
      <c r="K186" t="s">
        <v>13</v>
      </c>
      <c r="L186" s="2">
        <v>49</v>
      </c>
      <c r="M186" s="2">
        <v>27</v>
      </c>
      <c r="N186" s="2">
        <f>normalizar!$L186*normalizar!$M186</f>
        <v>1323</v>
      </c>
    </row>
    <row r="187" spans="1:14" x14ac:dyDescent="0.25">
      <c r="A187">
        <v>186</v>
      </c>
      <c r="B187" s="1">
        <v>44118</v>
      </c>
      <c r="C187">
        <v>8397590471</v>
      </c>
      <c r="D187" t="s">
        <v>50</v>
      </c>
      <c r="E187" t="s">
        <v>85</v>
      </c>
      <c r="F187" t="s">
        <v>83</v>
      </c>
      <c r="G187" t="s">
        <v>41</v>
      </c>
      <c r="H187" t="s">
        <v>25</v>
      </c>
      <c r="I187" t="s">
        <v>127</v>
      </c>
      <c r="J187" t="s">
        <v>38</v>
      </c>
      <c r="K187" t="s">
        <v>39</v>
      </c>
      <c r="L187" s="2">
        <v>560</v>
      </c>
      <c r="M187" s="2">
        <v>97</v>
      </c>
      <c r="N187" s="2">
        <f>normalizar!$L187*normalizar!$M187</f>
        <v>54320</v>
      </c>
    </row>
    <row r="188" spans="1:14" x14ac:dyDescent="0.25">
      <c r="A188">
        <v>187</v>
      </c>
      <c r="B188" s="1">
        <v>44038</v>
      </c>
      <c r="C188">
        <v>5905399576</v>
      </c>
      <c r="D188" t="s">
        <v>51</v>
      </c>
      <c r="E188" t="s">
        <v>90</v>
      </c>
      <c r="F188" t="s">
        <v>98</v>
      </c>
      <c r="G188" t="s">
        <v>24</v>
      </c>
      <c r="H188" t="s">
        <v>25</v>
      </c>
      <c r="I188" t="s">
        <v>127</v>
      </c>
      <c r="J188" t="s">
        <v>52</v>
      </c>
      <c r="K188" t="s">
        <v>53</v>
      </c>
      <c r="L188" s="2">
        <v>257.59999999999997</v>
      </c>
      <c r="M188" s="2">
        <v>42</v>
      </c>
      <c r="N188" s="2">
        <f>normalizar!$L188*normalizar!$M188</f>
        <v>10819.199999999999</v>
      </c>
    </row>
    <row r="189" spans="1:14" x14ac:dyDescent="0.25">
      <c r="A189">
        <v>188</v>
      </c>
      <c r="B189" s="1">
        <v>43947</v>
      </c>
      <c r="C189">
        <v>168682758</v>
      </c>
      <c r="D189" t="s">
        <v>40</v>
      </c>
      <c r="E189" t="s">
        <v>97</v>
      </c>
      <c r="F189" t="s">
        <v>88</v>
      </c>
      <c r="G189" t="s">
        <v>41</v>
      </c>
      <c r="H189" t="s">
        <v>25</v>
      </c>
      <c r="I189" t="s">
        <v>17</v>
      </c>
      <c r="J189" t="s">
        <v>22</v>
      </c>
      <c r="K189" t="s">
        <v>11</v>
      </c>
      <c r="L189" s="2">
        <v>644</v>
      </c>
      <c r="M189" s="2">
        <v>24</v>
      </c>
      <c r="N189" s="2">
        <f>normalizar!$L189*normalizar!$M189</f>
        <v>15456</v>
      </c>
    </row>
    <row r="190" spans="1:14" x14ac:dyDescent="0.25">
      <c r="A190">
        <v>189</v>
      </c>
      <c r="B190" s="1">
        <v>44162</v>
      </c>
      <c r="C190">
        <v>4992553897</v>
      </c>
      <c r="D190" t="s">
        <v>54</v>
      </c>
      <c r="E190" t="s">
        <v>89</v>
      </c>
      <c r="F190" t="s">
        <v>84</v>
      </c>
      <c r="G190" t="s">
        <v>55</v>
      </c>
      <c r="H190" t="s">
        <v>16</v>
      </c>
      <c r="I190" t="s">
        <v>9</v>
      </c>
      <c r="J190" t="s">
        <v>34</v>
      </c>
      <c r="K190" t="s">
        <v>35</v>
      </c>
      <c r="L190" s="2">
        <v>135.1</v>
      </c>
      <c r="M190" s="2">
        <v>90</v>
      </c>
      <c r="N190" s="2">
        <f>normalizar!$L190*normalizar!$M190</f>
        <v>12159</v>
      </c>
    </row>
    <row r="191" spans="1:14" x14ac:dyDescent="0.25">
      <c r="A191">
        <v>190</v>
      </c>
      <c r="B191" s="1">
        <v>44160</v>
      </c>
      <c r="C191">
        <v>9609810399</v>
      </c>
      <c r="D191" t="s">
        <v>36</v>
      </c>
      <c r="E191" t="s">
        <v>92</v>
      </c>
      <c r="F191" t="s">
        <v>99</v>
      </c>
      <c r="G191" t="s">
        <v>37</v>
      </c>
      <c r="H191" t="s">
        <v>8</v>
      </c>
      <c r="I191" t="s">
        <v>17</v>
      </c>
      <c r="J191" t="s">
        <v>30</v>
      </c>
      <c r="K191" t="s">
        <v>31</v>
      </c>
      <c r="L191" s="2">
        <v>178.5</v>
      </c>
      <c r="M191" s="2">
        <v>28</v>
      </c>
      <c r="N191" s="2">
        <f>normalizar!$L191*normalizar!$M191</f>
        <v>4998</v>
      </c>
    </row>
    <row r="192" spans="1:14" x14ac:dyDescent="0.25">
      <c r="A192">
        <v>191</v>
      </c>
      <c r="B192" s="1">
        <v>44045</v>
      </c>
      <c r="C192">
        <v>1537469039</v>
      </c>
      <c r="D192" t="s">
        <v>40</v>
      </c>
      <c r="E192" t="s">
        <v>97</v>
      </c>
      <c r="F192" t="s">
        <v>88</v>
      </c>
      <c r="G192" t="s">
        <v>41</v>
      </c>
      <c r="H192" t="s">
        <v>25</v>
      </c>
      <c r="I192" t="s">
        <v>9</v>
      </c>
      <c r="J192" t="s">
        <v>22</v>
      </c>
      <c r="K192" t="s">
        <v>11</v>
      </c>
      <c r="L192" s="2">
        <v>644</v>
      </c>
      <c r="M192" s="2">
        <v>28</v>
      </c>
      <c r="N192" s="2">
        <f>normalizar!$L192*normalizar!$M192</f>
        <v>18032</v>
      </c>
    </row>
    <row r="193" spans="1:14" x14ac:dyDescent="0.25">
      <c r="A193">
        <v>192</v>
      </c>
      <c r="B193" s="1">
        <v>44049</v>
      </c>
      <c r="C193">
        <v>2018401595</v>
      </c>
      <c r="D193" t="s">
        <v>23</v>
      </c>
      <c r="E193" t="s">
        <v>86</v>
      </c>
      <c r="F193" t="s">
        <v>82</v>
      </c>
      <c r="G193" t="s">
        <v>24</v>
      </c>
      <c r="H193" t="s">
        <v>25</v>
      </c>
      <c r="I193" t="s">
        <v>9</v>
      </c>
      <c r="J193" t="s">
        <v>30</v>
      </c>
      <c r="K193" t="s">
        <v>31</v>
      </c>
      <c r="L193" s="2">
        <v>178.5</v>
      </c>
      <c r="M193" s="2">
        <v>57</v>
      </c>
      <c r="N193" s="2">
        <f>normalizar!$L193*normalizar!$M193</f>
        <v>10174.5</v>
      </c>
    </row>
    <row r="194" spans="1:14" x14ac:dyDescent="0.25">
      <c r="A194">
        <v>193</v>
      </c>
      <c r="B194" s="1">
        <v>43961</v>
      </c>
      <c r="C194">
        <v>1129934476</v>
      </c>
      <c r="D194" t="s">
        <v>42</v>
      </c>
      <c r="E194" t="s">
        <v>91</v>
      </c>
      <c r="F194" t="s">
        <v>91</v>
      </c>
      <c r="G194" t="s">
        <v>43</v>
      </c>
      <c r="H194" t="s">
        <v>8</v>
      </c>
      <c r="I194" t="s">
        <v>17</v>
      </c>
      <c r="J194" t="s">
        <v>44</v>
      </c>
      <c r="K194" t="s">
        <v>11</v>
      </c>
      <c r="L194" s="2">
        <v>41.86</v>
      </c>
      <c r="M194" s="2">
        <v>23</v>
      </c>
      <c r="N194" s="2">
        <f>normalizar!$L194*normalizar!$M194</f>
        <v>962.78</v>
      </c>
    </row>
    <row r="195" spans="1:14" x14ac:dyDescent="0.25">
      <c r="A195">
        <v>194</v>
      </c>
      <c r="B195" s="1">
        <v>43929</v>
      </c>
      <c r="C195">
        <v>878400496</v>
      </c>
      <c r="D195" t="s">
        <v>45</v>
      </c>
      <c r="E195" t="s">
        <v>87</v>
      </c>
      <c r="F195" t="s">
        <v>87</v>
      </c>
      <c r="G195" t="s">
        <v>24</v>
      </c>
      <c r="H195" t="s">
        <v>127</v>
      </c>
      <c r="I195" t="s">
        <v>127</v>
      </c>
      <c r="J195" t="s">
        <v>22</v>
      </c>
      <c r="K195" t="s">
        <v>11</v>
      </c>
      <c r="L195" s="2">
        <v>644</v>
      </c>
      <c r="M195" s="2">
        <v>86</v>
      </c>
      <c r="N195" s="2">
        <f>normalizar!$L195*normalizar!$M195</f>
        <v>55384</v>
      </c>
    </row>
    <row r="196" spans="1:14" x14ac:dyDescent="0.25">
      <c r="A196">
        <v>195</v>
      </c>
      <c r="B196" s="1">
        <v>44043</v>
      </c>
      <c r="C196">
        <v>6271764467</v>
      </c>
      <c r="D196" t="s">
        <v>42</v>
      </c>
      <c r="E196" t="s">
        <v>91</v>
      </c>
      <c r="F196" t="s">
        <v>91</v>
      </c>
      <c r="G196" t="s">
        <v>43</v>
      </c>
      <c r="H196" t="s">
        <v>16</v>
      </c>
      <c r="I196" t="s">
        <v>127</v>
      </c>
      <c r="J196" t="s">
        <v>46</v>
      </c>
      <c r="K196" t="s">
        <v>47</v>
      </c>
      <c r="L196" s="2">
        <v>350</v>
      </c>
      <c r="M196" s="2">
        <v>47</v>
      </c>
      <c r="N196" s="2">
        <f>normalizar!$L196*normalizar!$M196</f>
        <v>16450</v>
      </c>
    </row>
    <row r="197" spans="1:14" x14ac:dyDescent="0.25">
      <c r="A197">
        <v>196</v>
      </c>
      <c r="B197" s="1">
        <v>43853</v>
      </c>
      <c r="C197">
        <v>5954546839</v>
      </c>
      <c r="D197" t="s">
        <v>42</v>
      </c>
      <c r="E197" t="s">
        <v>91</v>
      </c>
      <c r="F197" t="s">
        <v>91</v>
      </c>
      <c r="G197" t="s">
        <v>43</v>
      </c>
      <c r="H197" t="s">
        <v>16</v>
      </c>
      <c r="I197" t="s">
        <v>127</v>
      </c>
      <c r="J197" t="s">
        <v>48</v>
      </c>
      <c r="K197" t="s">
        <v>49</v>
      </c>
      <c r="L197" s="2">
        <v>308</v>
      </c>
      <c r="M197" s="2">
        <v>97</v>
      </c>
      <c r="N197" s="2">
        <f>normalizar!$L197*normalizar!$M197</f>
        <v>29876</v>
      </c>
    </row>
    <row r="198" spans="1:14" x14ac:dyDescent="0.25">
      <c r="A198">
        <v>197</v>
      </c>
      <c r="B198" s="1">
        <v>43905</v>
      </c>
      <c r="C198">
        <v>1007419194</v>
      </c>
      <c r="D198" t="s">
        <v>42</v>
      </c>
      <c r="E198" t="s">
        <v>91</v>
      </c>
      <c r="F198" t="s">
        <v>91</v>
      </c>
      <c r="G198" t="s">
        <v>43</v>
      </c>
      <c r="H198" t="s">
        <v>16</v>
      </c>
      <c r="I198" t="s">
        <v>127</v>
      </c>
      <c r="J198" t="s">
        <v>26</v>
      </c>
      <c r="K198" t="s">
        <v>27</v>
      </c>
      <c r="L198" s="2">
        <v>128.79999999999998</v>
      </c>
      <c r="M198" s="2">
        <v>96</v>
      </c>
      <c r="N198" s="2">
        <f>normalizar!$L198*normalizar!$M198</f>
        <v>12364.8</v>
      </c>
    </row>
    <row r="199" spans="1:14" x14ac:dyDescent="0.25">
      <c r="A199">
        <v>198</v>
      </c>
      <c r="B199" s="1">
        <v>43891</v>
      </c>
      <c r="C199">
        <v>2749506386</v>
      </c>
      <c r="D199" t="s">
        <v>50</v>
      </c>
      <c r="E199" t="s">
        <v>85</v>
      </c>
      <c r="F199" t="s">
        <v>83</v>
      </c>
      <c r="G199" t="s">
        <v>41</v>
      </c>
      <c r="H199" t="s">
        <v>25</v>
      </c>
      <c r="I199" t="s">
        <v>127</v>
      </c>
      <c r="J199" t="s">
        <v>12</v>
      </c>
      <c r="K199" t="s">
        <v>13</v>
      </c>
      <c r="L199" s="2">
        <v>49</v>
      </c>
      <c r="M199" s="2">
        <v>31</v>
      </c>
      <c r="N199" s="2">
        <f>normalizar!$L199*normalizar!$M199</f>
        <v>1519</v>
      </c>
    </row>
    <row r="200" spans="1:14" x14ac:dyDescent="0.25">
      <c r="A200">
        <v>199</v>
      </c>
      <c r="B200" s="1">
        <v>43997</v>
      </c>
      <c r="C200">
        <v>3279160134</v>
      </c>
      <c r="D200" t="s">
        <v>50</v>
      </c>
      <c r="E200" t="s">
        <v>85</v>
      </c>
      <c r="F200" t="s">
        <v>83</v>
      </c>
      <c r="G200" t="s">
        <v>41</v>
      </c>
      <c r="H200" t="s">
        <v>25</v>
      </c>
      <c r="I200" t="s">
        <v>127</v>
      </c>
      <c r="J200" t="s">
        <v>44</v>
      </c>
      <c r="K200" t="s">
        <v>11</v>
      </c>
      <c r="L200" s="2">
        <v>41.86</v>
      </c>
      <c r="M200" s="2">
        <v>52</v>
      </c>
      <c r="N200" s="2">
        <f>normalizar!$L200*normalizar!$M200</f>
        <v>2176.7199999999998</v>
      </c>
    </row>
    <row r="201" spans="1:14" x14ac:dyDescent="0.25">
      <c r="A201">
        <v>200</v>
      </c>
      <c r="B201" s="1">
        <v>43994</v>
      </c>
      <c r="C201">
        <v>6789089883</v>
      </c>
      <c r="D201" t="s">
        <v>51</v>
      </c>
      <c r="E201" t="s">
        <v>90</v>
      </c>
      <c r="F201" t="s">
        <v>98</v>
      </c>
      <c r="G201" t="s">
        <v>24</v>
      </c>
      <c r="H201" t="s">
        <v>127</v>
      </c>
      <c r="I201" t="s">
        <v>127</v>
      </c>
      <c r="J201" t="s">
        <v>21</v>
      </c>
      <c r="K201" t="s">
        <v>11</v>
      </c>
      <c r="L201" s="2">
        <v>252</v>
      </c>
      <c r="M201" s="2">
        <v>91</v>
      </c>
      <c r="N201" s="2">
        <f>normalizar!$L201*normalizar!$M201</f>
        <v>22932</v>
      </c>
    </row>
    <row r="202" spans="1:14" x14ac:dyDescent="0.25">
      <c r="A202">
        <v>201</v>
      </c>
      <c r="B202" s="1">
        <v>44004</v>
      </c>
      <c r="C202">
        <v>7775981065</v>
      </c>
      <c r="D202" t="s">
        <v>51</v>
      </c>
      <c r="E202" t="s">
        <v>90</v>
      </c>
      <c r="F202" t="s">
        <v>98</v>
      </c>
      <c r="G202" t="s">
        <v>24</v>
      </c>
      <c r="H202" t="s">
        <v>127</v>
      </c>
      <c r="I202" t="s">
        <v>127</v>
      </c>
      <c r="J202" t="s">
        <v>22</v>
      </c>
      <c r="K202" t="s">
        <v>11</v>
      </c>
      <c r="L202" s="2">
        <v>644</v>
      </c>
      <c r="M202" s="2">
        <v>14</v>
      </c>
      <c r="N202" s="2">
        <f>normalizar!$L202*normalizar!$M202</f>
        <v>9016</v>
      </c>
    </row>
    <row r="203" spans="1:14" x14ac:dyDescent="0.25">
      <c r="A203">
        <v>202</v>
      </c>
      <c r="B203" s="1">
        <v>43923</v>
      </c>
      <c r="C203">
        <v>5357417804</v>
      </c>
      <c r="D203" t="s">
        <v>51</v>
      </c>
      <c r="E203" t="s">
        <v>90</v>
      </c>
      <c r="F203" t="s">
        <v>98</v>
      </c>
      <c r="G203" t="s">
        <v>24</v>
      </c>
      <c r="H203" t="s">
        <v>127</v>
      </c>
      <c r="I203" t="s">
        <v>127</v>
      </c>
      <c r="J203" t="s">
        <v>44</v>
      </c>
      <c r="K203" t="s">
        <v>11</v>
      </c>
      <c r="L203" s="2">
        <v>41.86</v>
      </c>
      <c r="M203" s="2">
        <v>44</v>
      </c>
      <c r="N203" s="2">
        <f>normalizar!$L203*normalizar!$M203</f>
        <v>1841.84</v>
      </c>
    </row>
    <row r="204" spans="1:14" x14ac:dyDescent="0.25">
      <c r="A204">
        <v>203</v>
      </c>
      <c r="B204" s="1">
        <v>44109</v>
      </c>
      <c r="C204">
        <v>4986720222</v>
      </c>
      <c r="D204" t="s">
        <v>40</v>
      </c>
      <c r="E204" t="s">
        <v>97</v>
      </c>
      <c r="F204" t="s">
        <v>88</v>
      </c>
      <c r="G204" t="s">
        <v>41</v>
      </c>
      <c r="H204" t="s">
        <v>25</v>
      </c>
      <c r="I204" t="s">
        <v>17</v>
      </c>
      <c r="J204" t="s">
        <v>34</v>
      </c>
      <c r="K204" t="s">
        <v>35</v>
      </c>
      <c r="L204" s="2">
        <v>135.1</v>
      </c>
      <c r="M204" s="2">
        <v>97</v>
      </c>
      <c r="N204" s="2">
        <f>normalizar!$L204*normalizar!$M204</f>
        <v>13104.699999999999</v>
      </c>
    </row>
    <row r="205" spans="1:14" x14ac:dyDescent="0.25">
      <c r="A205">
        <v>204</v>
      </c>
      <c r="B205" s="1">
        <v>43932</v>
      </c>
      <c r="C205">
        <v>9264353300</v>
      </c>
      <c r="D205" t="s">
        <v>40</v>
      </c>
      <c r="E205" t="s">
        <v>97</v>
      </c>
      <c r="F205" t="s">
        <v>88</v>
      </c>
      <c r="G205" t="s">
        <v>41</v>
      </c>
      <c r="H205" t="s">
        <v>25</v>
      </c>
      <c r="I205" t="s">
        <v>17</v>
      </c>
      <c r="J205" t="s">
        <v>52</v>
      </c>
      <c r="K205" t="s">
        <v>53</v>
      </c>
      <c r="L205" s="2">
        <v>257.59999999999997</v>
      </c>
      <c r="M205" s="2">
        <v>80</v>
      </c>
      <c r="N205" s="2">
        <f>normalizar!$L205*normalizar!$M205</f>
        <v>20607.999999999996</v>
      </c>
    </row>
    <row r="206" spans="1:14" x14ac:dyDescent="0.25">
      <c r="A206">
        <v>205</v>
      </c>
      <c r="B206" s="1">
        <v>44131</v>
      </c>
      <c r="C206">
        <v>4507840734</v>
      </c>
      <c r="D206" t="s">
        <v>54</v>
      </c>
      <c r="E206" t="s">
        <v>89</v>
      </c>
      <c r="F206" t="s">
        <v>84</v>
      </c>
      <c r="G206" t="s">
        <v>55</v>
      </c>
      <c r="H206" t="s">
        <v>16</v>
      </c>
      <c r="I206" t="s">
        <v>9</v>
      </c>
      <c r="J206" t="s">
        <v>56</v>
      </c>
      <c r="K206" t="s">
        <v>57</v>
      </c>
      <c r="L206" s="2">
        <v>273</v>
      </c>
      <c r="M206" s="2">
        <v>66</v>
      </c>
      <c r="N206" s="2">
        <f>normalizar!$L206*normalizar!$M206</f>
        <v>18018</v>
      </c>
    </row>
    <row r="207" spans="1:14" x14ac:dyDescent="0.25">
      <c r="A207">
        <v>206</v>
      </c>
      <c r="B207" s="1">
        <v>43926</v>
      </c>
      <c r="C207">
        <v>1926814553</v>
      </c>
      <c r="D207" t="s">
        <v>54</v>
      </c>
      <c r="E207" t="s">
        <v>89</v>
      </c>
      <c r="F207" t="s">
        <v>84</v>
      </c>
      <c r="G207" t="s">
        <v>55</v>
      </c>
      <c r="H207" t="s">
        <v>16</v>
      </c>
      <c r="I207" t="s">
        <v>9</v>
      </c>
      <c r="J207" t="s">
        <v>58</v>
      </c>
      <c r="K207" t="s">
        <v>59</v>
      </c>
      <c r="L207" s="2">
        <v>487.19999999999993</v>
      </c>
      <c r="M207" s="2">
        <v>32</v>
      </c>
      <c r="N207" s="2">
        <f>normalizar!$L207*normalizar!$M207</f>
        <v>15590.399999999998</v>
      </c>
    </row>
    <row r="208" spans="1:14" x14ac:dyDescent="0.25">
      <c r="A208">
        <v>207</v>
      </c>
      <c r="B208" s="1">
        <v>44139</v>
      </c>
      <c r="C208">
        <v>1115906573</v>
      </c>
      <c r="D208" t="s">
        <v>36</v>
      </c>
      <c r="E208" t="s">
        <v>92</v>
      </c>
      <c r="F208" t="s">
        <v>99</v>
      </c>
      <c r="G208" t="s">
        <v>37</v>
      </c>
      <c r="H208" t="s">
        <v>8</v>
      </c>
      <c r="I208" t="s">
        <v>17</v>
      </c>
      <c r="J208" t="s">
        <v>10</v>
      </c>
      <c r="K208" t="s">
        <v>11</v>
      </c>
      <c r="L208" s="2">
        <v>196</v>
      </c>
      <c r="M208" s="2">
        <v>52</v>
      </c>
      <c r="N208" s="2">
        <f>normalizar!$L208*normalizar!$M208</f>
        <v>10192</v>
      </c>
    </row>
    <row r="209" spans="1:14" x14ac:dyDescent="0.25">
      <c r="A209">
        <v>208</v>
      </c>
      <c r="B209" s="1">
        <v>43905</v>
      </c>
      <c r="C209">
        <v>4298972271</v>
      </c>
      <c r="D209" t="s">
        <v>23</v>
      </c>
      <c r="E209" t="s">
        <v>86</v>
      </c>
      <c r="F209" t="s">
        <v>82</v>
      </c>
      <c r="G209" t="s">
        <v>24</v>
      </c>
      <c r="H209" t="s">
        <v>8</v>
      </c>
      <c r="I209" t="s">
        <v>9</v>
      </c>
      <c r="J209" t="s">
        <v>38</v>
      </c>
      <c r="K209" t="s">
        <v>39</v>
      </c>
      <c r="L209" s="2">
        <v>560</v>
      </c>
      <c r="M209" s="2">
        <v>78</v>
      </c>
      <c r="N209" s="2">
        <f>normalizar!$L209*normalizar!$M209</f>
        <v>43680</v>
      </c>
    </row>
    <row r="210" spans="1:14" x14ac:dyDescent="0.25">
      <c r="A210">
        <v>209</v>
      </c>
      <c r="B210" s="1">
        <v>43899</v>
      </c>
      <c r="C210">
        <v>1419202858</v>
      </c>
      <c r="D210" t="s">
        <v>23</v>
      </c>
      <c r="E210" t="s">
        <v>86</v>
      </c>
      <c r="F210" t="s">
        <v>82</v>
      </c>
      <c r="G210" t="s">
        <v>24</v>
      </c>
      <c r="H210" t="s">
        <v>8</v>
      </c>
      <c r="I210" t="s">
        <v>9</v>
      </c>
      <c r="J210" t="s">
        <v>26</v>
      </c>
      <c r="K210" t="s">
        <v>27</v>
      </c>
      <c r="L210" s="2">
        <v>128.79999999999998</v>
      </c>
      <c r="M210" s="2">
        <v>54</v>
      </c>
      <c r="N210" s="2">
        <f>normalizar!$L210*normalizar!$M210</f>
        <v>6955.1999999999989</v>
      </c>
    </row>
    <row r="211" spans="1:14" x14ac:dyDescent="0.25">
      <c r="A211">
        <v>210</v>
      </c>
      <c r="B211" s="1">
        <v>44154</v>
      </c>
      <c r="C211">
        <v>3516608759</v>
      </c>
      <c r="D211" t="s">
        <v>62</v>
      </c>
      <c r="E211" t="s">
        <v>91</v>
      </c>
      <c r="F211" t="s">
        <v>91</v>
      </c>
      <c r="G211" t="s">
        <v>43</v>
      </c>
      <c r="H211" t="s">
        <v>16</v>
      </c>
      <c r="I211" t="s">
        <v>33</v>
      </c>
      <c r="J211" t="s">
        <v>67</v>
      </c>
      <c r="K211" t="s">
        <v>27</v>
      </c>
      <c r="L211" s="2">
        <v>140</v>
      </c>
      <c r="M211" s="2">
        <v>55</v>
      </c>
      <c r="N211" s="2">
        <f>normalizar!$L211*normalizar!$M211</f>
        <v>7700</v>
      </c>
    </row>
    <row r="212" spans="1:14" x14ac:dyDescent="0.25">
      <c r="A212">
        <v>211</v>
      </c>
      <c r="B212" s="1">
        <v>44076</v>
      </c>
      <c r="C212">
        <v>8191358442</v>
      </c>
      <c r="D212" t="s">
        <v>63</v>
      </c>
      <c r="E212" t="s">
        <v>85</v>
      </c>
      <c r="F212" t="s">
        <v>83</v>
      </c>
      <c r="G212" t="s">
        <v>41</v>
      </c>
      <c r="H212" t="s">
        <v>25</v>
      </c>
      <c r="I212" t="s">
        <v>17</v>
      </c>
      <c r="J212" t="s">
        <v>68</v>
      </c>
      <c r="K212" t="s">
        <v>69</v>
      </c>
      <c r="L212" s="2">
        <v>298.90000000000003</v>
      </c>
      <c r="M212" s="2">
        <v>60</v>
      </c>
      <c r="N212" s="2">
        <f>normalizar!$L212*normalizar!$M212</f>
        <v>17934.000000000004</v>
      </c>
    </row>
    <row r="213" spans="1:14" x14ac:dyDescent="0.25">
      <c r="A213">
        <v>212</v>
      </c>
      <c r="B213" s="1">
        <v>43851</v>
      </c>
      <c r="C213">
        <v>8451227157</v>
      </c>
      <c r="D213" t="s">
        <v>63</v>
      </c>
      <c r="E213" t="s">
        <v>85</v>
      </c>
      <c r="F213" t="s">
        <v>83</v>
      </c>
      <c r="G213" t="s">
        <v>41</v>
      </c>
      <c r="H213" t="s">
        <v>25</v>
      </c>
      <c r="I213" t="s">
        <v>17</v>
      </c>
      <c r="J213" t="s">
        <v>34</v>
      </c>
      <c r="K213" t="s">
        <v>35</v>
      </c>
      <c r="L213" s="2">
        <v>135.1</v>
      </c>
      <c r="M213" s="2">
        <v>19</v>
      </c>
      <c r="N213" s="2">
        <f>normalizar!$L213*normalizar!$M213</f>
        <v>2566.9</v>
      </c>
    </row>
    <row r="214" spans="1:14" x14ac:dyDescent="0.25">
      <c r="A214">
        <v>213</v>
      </c>
      <c r="B214" s="1">
        <v>43878</v>
      </c>
      <c r="C214">
        <v>9847155245</v>
      </c>
      <c r="D214" t="s">
        <v>63</v>
      </c>
      <c r="E214" t="s">
        <v>85</v>
      </c>
      <c r="F214" t="s">
        <v>83</v>
      </c>
      <c r="G214" t="s">
        <v>41</v>
      </c>
      <c r="H214" t="s">
        <v>25</v>
      </c>
      <c r="I214" t="s">
        <v>17</v>
      </c>
      <c r="J214" t="s">
        <v>52</v>
      </c>
      <c r="K214" t="s">
        <v>53</v>
      </c>
      <c r="L214" s="2">
        <v>257.59999999999997</v>
      </c>
      <c r="M214" s="2">
        <v>66</v>
      </c>
      <c r="N214" s="2">
        <f>normalizar!$L214*normalizar!$M214</f>
        <v>17001.599999999999</v>
      </c>
    </row>
    <row r="215" spans="1:14" x14ac:dyDescent="0.25">
      <c r="A215">
        <v>214</v>
      </c>
      <c r="B215" s="1">
        <v>43886</v>
      </c>
      <c r="C215">
        <v>5189485028</v>
      </c>
      <c r="D215" t="s">
        <v>28</v>
      </c>
      <c r="E215" t="s">
        <v>89</v>
      </c>
      <c r="F215" t="s">
        <v>84</v>
      </c>
      <c r="G215" t="s">
        <v>29</v>
      </c>
      <c r="H215" t="s">
        <v>8</v>
      </c>
      <c r="I215" t="s">
        <v>9</v>
      </c>
      <c r="J215" t="s">
        <v>10</v>
      </c>
      <c r="K215" t="s">
        <v>11</v>
      </c>
      <c r="L215" s="2">
        <v>196</v>
      </c>
      <c r="M215" s="2">
        <v>42</v>
      </c>
      <c r="N215" s="2">
        <f>normalizar!$L215*normalizar!$M215</f>
        <v>8232</v>
      </c>
    </row>
    <row r="216" spans="1:14" x14ac:dyDescent="0.25">
      <c r="A216">
        <v>215</v>
      </c>
      <c r="B216" s="1">
        <v>44037</v>
      </c>
      <c r="C216">
        <v>2367569858</v>
      </c>
      <c r="D216" t="s">
        <v>36</v>
      </c>
      <c r="E216" t="s">
        <v>92</v>
      </c>
      <c r="F216" t="s">
        <v>99</v>
      </c>
      <c r="G216" t="s">
        <v>37</v>
      </c>
      <c r="H216" t="s">
        <v>25</v>
      </c>
      <c r="I216" t="s">
        <v>9</v>
      </c>
      <c r="J216" t="s">
        <v>30</v>
      </c>
      <c r="K216" t="s">
        <v>31</v>
      </c>
      <c r="L216" s="2">
        <v>178.5</v>
      </c>
      <c r="M216" s="2">
        <v>72</v>
      </c>
      <c r="N216" s="2">
        <f>normalizar!$L216*normalizar!$M216</f>
        <v>12852</v>
      </c>
    </row>
    <row r="217" spans="1:14" x14ac:dyDescent="0.25">
      <c r="A217">
        <v>216</v>
      </c>
      <c r="B217" s="1">
        <v>44036</v>
      </c>
      <c r="C217">
        <v>1241520334</v>
      </c>
      <c r="D217" t="s">
        <v>14</v>
      </c>
      <c r="E217" t="s">
        <v>81</v>
      </c>
      <c r="F217" t="s">
        <v>94</v>
      </c>
      <c r="G217" t="s">
        <v>15</v>
      </c>
      <c r="H217" t="s">
        <v>16</v>
      </c>
      <c r="I217" t="s">
        <v>17</v>
      </c>
      <c r="J217" t="s">
        <v>70</v>
      </c>
      <c r="K217" t="s">
        <v>47</v>
      </c>
      <c r="L217" s="2">
        <v>1134</v>
      </c>
      <c r="M217" s="2">
        <v>32</v>
      </c>
      <c r="N217" s="2">
        <f>normalizar!$L217*normalizar!$M217</f>
        <v>36288</v>
      </c>
    </row>
    <row r="218" spans="1:14" x14ac:dyDescent="0.25">
      <c r="A218">
        <v>217</v>
      </c>
      <c r="B218" s="1">
        <v>43895</v>
      </c>
      <c r="C218">
        <v>6999895697</v>
      </c>
      <c r="D218" t="s">
        <v>14</v>
      </c>
      <c r="E218" t="s">
        <v>81</v>
      </c>
      <c r="F218" t="s">
        <v>94</v>
      </c>
      <c r="G218" t="s">
        <v>15</v>
      </c>
      <c r="H218" t="s">
        <v>16</v>
      </c>
      <c r="I218" t="s">
        <v>17</v>
      </c>
      <c r="J218" t="s">
        <v>71</v>
      </c>
      <c r="K218" t="s">
        <v>72</v>
      </c>
      <c r="L218" s="2">
        <v>98</v>
      </c>
      <c r="M218" s="2">
        <v>76</v>
      </c>
      <c r="N218" s="2">
        <f>normalizar!$L218*normalizar!$M218</f>
        <v>7448</v>
      </c>
    </row>
    <row r="219" spans="1:14" x14ac:dyDescent="0.25">
      <c r="A219">
        <v>218</v>
      </c>
      <c r="B219" s="1">
        <v>44026</v>
      </c>
      <c r="C219">
        <v>2931440223</v>
      </c>
      <c r="D219" t="s">
        <v>42</v>
      </c>
      <c r="E219" t="s">
        <v>91</v>
      </c>
      <c r="F219" t="s">
        <v>91</v>
      </c>
      <c r="G219" t="s">
        <v>43</v>
      </c>
      <c r="H219" t="s">
        <v>16</v>
      </c>
      <c r="I219" t="s">
        <v>127</v>
      </c>
      <c r="J219" t="s">
        <v>26</v>
      </c>
      <c r="K219" t="s">
        <v>27</v>
      </c>
      <c r="L219" s="2">
        <v>128.79999999999998</v>
      </c>
      <c r="M219" s="2">
        <v>83</v>
      </c>
      <c r="N219" s="2">
        <f>normalizar!$L219*normalizar!$M219</f>
        <v>10690.399999999998</v>
      </c>
    </row>
    <row r="220" spans="1:14" x14ac:dyDescent="0.25">
      <c r="A220">
        <v>219</v>
      </c>
      <c r="B220" s="1">
        <v>43965</v>
      </c>
      <c r="C220">
        <v>6045555436</v>
      </c>
      <c r="D220" t="s">
        <v>50</v>
      </c>
      <c r="E220" t="s">
        <v>85</v>
      </c>
      <c r="F220" t="s">
        <v>83</v>
      </c>
      <c r="G220" t="s">
        <v>41</v>
      </c>
      <c r="H220" t="s">
        <v>25</v>
      </c>
      <c r="I220" t="s">
        <v>127</v>
      </c>
      <c r="J220" t="s">
        <v>12</v>
      </c>
      <c r="K220" t="s">
        <v>13</v>
      </c>
      <c r="L220" s="2">
        <v>49</v>
      </c>
      <c r="M220" s="2">
        <v>91</v>
      </c>
      <c r="N220" s="2">
        <f>normalizar!$L220*normalizar!$M220</f>
        <v>4459</v>
      </c>
    </row>
    <row r="221" spans="1:14" x14ac:dyDescent="0.25">
      <c r="A221">
        <v>220</v>
      </c>
      <c r="B221" s="1">
        <v>44117</v>
      </c>
      <c r="C221">
        <v>4985084204</v>
      </c>
      <c r="D221" t="s">
        <v>50</v>
      </c>
      <c r="E221" t="s">
        <v>85</v>
      </c>
      <c r="F221" t="s">
        <v>83</v>
      </c>
      <c r="G221" t="s">
        <v>41</v>
      </c>
      <c r="H221" t="s">
        <v>25</v>
      </c>
      <c r="I221" t="s">
        <v>127</v>
      </c>
      <c r="J221" t="s">
        <v>44</v>
      </c>
      <c r="K221" t="s">
        <v>11</v>
      </c>
      <c r="L221" s="2">
        <v>41.86</v>
      </c>
      <c r="M221" s="2">
        <v>64</v>
      </c>
      <c r="N221" s="2">
        <f>normalizar!$L221*normalizar!$M221</f>
        <v>2679.04</v>
      </c>
    </row>
    <row r="222" spans="1:14" x14ac:dyDescent="0.25">
      <c r="A222">
        <v>221</v>
      </c>
      <c r="B222" s="1">
        <v>44019</v>
      </c>
      <c r="C222">
        <v>8950774476</v>
      </c>
      <c r="D222" t="s">
        <v>51</v>
      </c>
      <c r="E222" t="s">
        <v>90</v>
      </c>
      <c r="F222" t="s">
        <v>98</v>
      </c>
      <c r="G222" t="s">
        <v>24</v>
      </c>
      <c r="H222" t="s">
        <v>127</v>
      </c>
      <c r="I222" t="s">
        <v>127</v>
      </c>
      <c r="J222" t="s">
        <v>21</v>
      </c>
      <c r="K222" t="s">
        <v>11</v>
      </c>
      <c r="L222" s="2">
        <v>252</v>
      </c>
      <c r="M222" s="2">
        <v>58</v>
      </c>
      <c r="N222" s="2">
        <f>normalizar!$L222*normalizar!$M222</f>
        <v>14616</v>
      </c>
    </row>
    <row r="223" spans="1:14" x14ac:dyDescent="0.25">
      <c r="A223">
        <v>222</v>
      </c>
      <c r="B223" s="1">
        <v>43977</v>
      </c>
      <c r="C223">
        <v>4091794218</v>
      </c>
      <c r="D223" t="s">
        <v>51</v>
      </c>
      <c r="E223" t="s">
        <v>90</v>
      </c>
      <c r="F223" t="s">
        <v>98</v>
      </c>
      <c r="G223" t="s">
        <v>24</v>
      </c>
      <c r="H223" t="s">
        <v>127</v>
      </c>
      <c r="I223" t="s">
        <v>127</v>
      </c>
      <c r="J223" t="s">
        <v>22</v>
      </c>
      <c r="K223" t="s">
        <v>11</v>
      </c>
      <c r="L223" s="2">
        <v>644</v>
      </c>
      <c r="M223" s="2">
        <v>97</v>
      </c>
      <c r="N223" s="2">
        <f>normalizar!$L223*normalizar!$M223</f>
        <v>62468</v>
      </c>
    </row>
    <row r="224" spans="1:14" x14ac:dyDescent="0.25">
      <c r="A224">
        <v>223</v>
      </c>
      <c r="B224" s="1">
        <v>44043</v>
      </c>
      <c r="C224">
        <v>2789876793</v>
      </c>
      <c r="D224" t="s">
        <v>51</v>
      </c>
      <c r="E224" t="s">
        <v>90</v>
      </c>
      <c r="F224" t="s">
        <v>98</v>
      </c>
      <c r="G224" t="s">
        <v>24</v>
      </c>
      <c r="H224" t="s">
        <v>127</v>
      </c>
      <c r="I224" t="s">
        <v>127</v>
      </c>
      <c r="J224" t="s">
        <v>44</v>
      </c>
      <c r="K224" t="s">
        <v>11</v>
      </c>
      <c r="L224" s="2">
        <v>41.86</v>
      </c>
      <c r="M224" s="2">
        <v>14</v>
      </c>
      <c r="N224" s="2">
        <f>normalizar!$L224*normalizar!$M224</f>
        <v>586.04</v>
      </c>
    </row>
    <row r="225" spans="1:14" x14ac:dyDescent="0.25">
      <c r="A225">
        <v>224</v>
      </c>
      <c r="B225" s="1">
        <v>43940</v>
      </c>
      <c r="C225">
        <v>4338385582</v>
      </c>
      <c r="D225" t="s">
        <v>40</v>
      </c>
      <c r="E225" t="s">
        <v>97</v>
      </c>
      <c r="F225" t="s">
        <v>88</v>
      </c>
      <c r="G225" t="s">
        <v>41</v>
      </c>
      <c r="H225" t="s">
        <v>25</v>
      </c>
      <c r="I225" t="s">
        <v>17</v>
      </c>
      <c r="J225" t="s">
        <v>34</v>
      </c>
      <c r="K225" t="s">
        <v>35</v>
      </c>
      <c r="L225" s="2">
        <v>135.1</v>
      </c>
      <c r="M225" s="2">
        <v>68</v>
      </c>
      <c r="N225" s="2">
        <f>normalizar!$L225*normalizar!$M225</f>
        <v>9186.7999999999993</v>
      </c>
    </row>
    <row r="226" spans="1:14" x14ac:dyDescent="0.25">
      <c r="A226">
        <v>225</v>
      </c>
      <c r="B226" s="1">
        <v>44008</v>
      </c>
      <c r="C226">
        <v>9159410824</v>
      </c>
      <c r="D226" t="s">
        <v>40</v>
      </c>
      <c r="E226" t="s">
        <v>97</v>
      </c>
      <c r="F226" t="s">
        <v>88</v>
      </c>
      <c r="G226" t="s">
        <v>41</v>
      </c>
      <c r="H226" t="s">
        <v>25</v>
      </c>
      <c r="I226" t="s">
        <v>17</v>
      </c>
      <c r="J226" t="s">
        <v>52</v>
      </c>
      <c r="K226" t="s">
        <v>53</v>
      </c>
      <c r="L226" s="2">
        <v>257.59999999999997</v>
      </c>
      <c r="M226" s="2">
        <v>32</v>
      </c>
      <c r="N226" s="2">
        <f>normalizar!$L226*normalizar!$M226</f>
        <v>8243.1999999999989</v>
      </c>
    </row>
    <row r="227" spans="1:14" x14ac:dyDescent="0.25">
      <c r="A227">
        <v>226</v>
      </c>
      <c r="B227" s="1">
        <v>44168</v>
      </c>
      <c r="C227">
        <v>6562657766</v>
      </c>
      <c r="D227" t="s">
        <v>54</v>
      </c>
      <c r="E227" t="s">
        <v>89</v>
      </c>
      <c r="F227" t="s">
        <v>84</v>
      </c>
      <c r="G227" t="s">
        <v>55</v>
      </c>
      <c r="H227" t="s">
        <v>16</v>
      </c>
      <c r="I227" t="s">
        <v>9</v>
      </c>
      <c r="J227" t="s">
        <v>56</v>
      </c>
      <c r="K227" t="s">
        <v>57</v>
      </c>
      <c r="L227" s="2">
        <v>273</v>
      </c>
      <c r="M227" s="2">
        <v>48</v>
      </c>
      <c r="N227" s="2">
        <f>normalizar!$L227*normalizar!$M227</f>
        <v>13104</v>
      </c>
    </row>
    <row r="228" spans="1:14" x14ac:dyDescent="0.25">
      <c r="A228">
        <v>227</v>
      </c>
      <c r="B228" s="1">
        <v>44177</v>
      </c>
      <c r="C228">
        <v>4160634865</v>
      </c>
      <c r="D228" t="s">
        <v>54</v>
      </c>
      <c r="E228" t="s">
        <v>89</v>
      </c>
      <c r="F228" t="s">
        <v>84</v>
      </c>
      <c r="G228" t="s">
        <v>55</v>
      </c>
      <c r="H228" t="s">
        <v>16</v>
      </c>
      <c r="I228" t="s">
        <v>9</v>
      </c>
      <c r="J228" t="s">
        <v>58</v>
      </c>
      <c r="K228" t="s">
        <v>59</v>
      </c>
      <c r="L228" s="2">
        <v>487.19999999999993</v>
      </c>
      <c r="M228" s="2">
        <v>57</v>
      </c>
      <c r="N228" s="2">
        <f>normalizar!$L228*normalizar!$M228</f>
        <v>27770.399999999998</v>
      </c>
    </row>
    <row r="229" spans="1:14" x14ac:dyDescent="0.25">
      <c r="A229">
        <v>228</v>
      </c>
      <c r="B229" s="1">
        <v>43864</v>
      </c>
      <c r="C229">
        <v>142416687</v>
      </c>
      <c r="D229" t="s">
        <v>36</v>
      </c>
      <c r="E229" t="s">
        <v>92</v>
      </c>
      <c r="F229" t="s">
        <v>99</v>
      </c>
      <c r="G229" t="s">
        <v>37</v>
      </c>
      <c r="H229" t="s">
        <v>8</v>
      </c>
      <c r="I229" t="s">
        <v>17</v>
      </c>
      <c r="J229" t="s">
        <v>10</v>
      </c>
      <c r="K229" t="s">
        <v>11</v>
      </c>
      <c r="L229" s="2">
        <v>196</v>
      </c>
      <c r="M229" s="2">
        <v>67</v>
      </c>
      <c r="N229" s="2">
        <f>normalizar!$L229*normalizar!$M229</f>
        <v>13132</v>
      </c>
    </row>
    <row r="230" spans="1:14" x14ac:dyDescent="0.25">
      <c r="A230">
        <v>229</v>
      </c>
      <c r="B230" s="1">
        <v>43887</v>
      </c>
      <c r="C230">
        <v>6114991349</v>
      </c>
      <c r="D230" t="s">
        <v>23</v>
      </c>
      <c r="E230" t="s">
        <v>86</v>
      </c>
      <c r="F230" t="s">
        <v>82</v>
      </c>
      <c r="G230" t="s">
        <v>24</v>
      </c>
      <c r="H230" t="s">
        <v>8</v>
      </c>
      <c r="I230" t="s">
        <v>9</v>
      </c>
      <c r="J230" t="s">
        <v>38</v>
      </c>
      <c r="K230" t="s">
        <v>39</v>
      </c>
      <c r="L230" s="2">
        <v>560</v>
      </c>
      <c r="M230" s="2">
        <v>48</v>
      </c>
      <c r="N230" s="2">
        <f>normalizar!$L230*normalizar!$M230</f>
        <v>26880</v>
      </c>
    </row>
    <row r="231" spans="1:14" x14ac:dyDescent="0.25">
      <c r="A231">
        <v>230</v>
      </c>
      <c r="B231" s="1">
        <v>43925</v>
      </c>
      <c r="C231">
        <v>6472352060</v>
      </c>
      <c r="D231" t="s">
        <v>23</v>
      </c>
      <c r="E231" t="s">
        <v>86</v>
      </c>
      <c r="F231" t="s">
        <v>82</v>
      </c>
      <c r="G231" t="s">
        <v>24</v>
      </c>
      <c r="H231" t="s">
        <v>8</v>
      </c>
      <c r="I231" t="s">
        <v>9</v>
      </c>
      <c r="J231" t="s">
        <v>26</v>
      </c>
      <c r="K231" t="s">
        <v>27</v>
      </c>
      <c r="L231" s="2">
        <v>128.79999999999998</v>
      </c>
      <c r="M231" s="2">
        <v>77</v>
      </c>
      <c r="N231" s="2">
        <f>normalizar!$L231*normalizar!$M231</f>
        <v>9917.5999999999985</v>
      </c>
    </row>
    <row r="232" spans="1:14" x14ac:dyDescent="0.25">
      <c r="A232">
        <v>231</v>
      </c>
      <c r="B232" s="1">
        <v>43942</v>
      </c>
      <c r="C232">
        <v>5399077795</v>
      </c>
      <c r="D232" t="s">
        <v>62</v>
      </c>
      <c r="E232" t="s">
        <v>91</v>
      </c>
      <c r="F232" t="s">
        <v>91</v>
      </c>
      <c r="G232" t="s">
        <v>43</v>
      </c>
      <c r="H232" t="s">
        <v>16</v>
      </c>
      <c r="I232" t="s">
        <v>33</v>
      </c>
      <c r="J232" t="s">
        <v>67</v>
      </c>
      <c r="K232" t="s">
        <v>27</v>
      </c>
      <c r="L232" s="2">
        <v>140</v>
      </c>
      <c r="M232" s="2">
        <v>94</v>
      </c>
      <c r="N232" s="2">
        <f>normalizar!$L232*normalizar!$M232</f>
        <v>13160</v>
      </c>
    </row>
    <row r="233" spans="1:14" x14ac:dyDescent="0.25">
      <c r="A233">
        <v>232</v>
      </c>
      <c r="B233" s="1">
        <v>44079</v>
      </c>
      <c r="C233">
        <v>6275645168</v>
      </c>
      <c r="D233" t="s">
        <v>63</v>
      </c>
      <c r="E233" t="s">
        <v>85</v>
      </c>
      <c r="F233" t="s">
        <v>83</v>
      </c>
      <c r="G233" t="s">
        <v>41</v>
      </c>
      <c r="H233" t="s">
        <v>25</v>
      </c>
      <c r="I233" t="s">
        <v>17</v>
      </c>
      <c r="J233" t="s">
        <v>68</v>
      </c>
      <c r="K233" t="s">
        <v>69</v>
      </c>
      <c r="L233" s="2">
        <v>298.90000000000003</v>
      </c>
      <c r="M233" s="2">
        <v>54</v>
      </c>
      <c r="N233" s="2">
        <f>normalizar!$L233*normalizar!$M233</f>
        <v>16140.600000000002</v>
      </c>
    </row>
    <row r="234" spans="1:14" x14ac:dyDescent="0.25">
      <c r="A234">
        <v>233</v>
      </c>
      <c r="B234" s="1">
        <v>43882</v>
      </c>
      <c r="C234">
        <v>597069969</v>
      </c>
      <c r="D234" t="s">
        <v>63</v>
      </c>
      <c r="E234" t="s">
        <v>85</v>
      </c>
      <c r="F234" t="s">
        <v>83</v>
      </c>
      <c r="G234" t="s">
        <v>41</v>
      </c>
      <c r="H234" t="s">
        <v>25</v>
      </c>
      <c r="I234" t="s">
        <v>17</v>
      </c>
      <c r="J234" t="s">
        <v>34</v>
      </c>
      <c r="K234" t="s">
        <v>35</v>
      </c>
      <c r="L234" s="2">
        <v>135.1</v>
      </c>
      <c r="M234" s="2">
        <v>43</v>
      </c>
      <c r="N234" s="2">
        <f>normalizar!$L234*normalizar!$M234</f>
        <v>5809.3</v>
      </c>
    </row>
    <row r="235" spans="1:14" x14ac:dyDescent="0.25">
      <c r="A235">
        <v>234</v>
      </c>
      <c r="B235" s="1">
        <v>44174</v>
      </c>
      <c r="C235">
        <v>1323169656</v>
      </c>
      <c r="D235" t="s">
        <v>63</v>
      </c>
      <c r="E235" t="s">
        <v>85</v>
      </c>
      <c r="F235" t="s">
        <v>83</v>
      </c>
      <c r="G235" t="s">
        <v>41</v>
      </c>
      <c r="H235" t="s">
        <v>25</v>
      </c>
      <c r="I235" t="s">
        <v>17</v>
      </c>
      <c r="J235" t="s">
        <v>52</v>
      </c>
      <c r="K235" t="s">
        <v>53</v>
      </c>
      <c r="L235" s="2">
        <v>257.59999999999997</v>
      </c>
      <c r="M235" s="2">
        <v>71</v>
      </c>
      <c r="N235" s="2">
        <f>normalizar!$L235*normalizar!$M235</f>
        <v>18289.599999999999</v>
      </c>
    </row>
    <row r="236" spans="1:14" x14ac:dyDescent="0.25">
      <c r="A236">
        <v>235</v>
      </c>
      <c r="B236" s="1">
        <v>44142</v>
      </c>
      <c r="C236">
        <v>2932971142</v>
      </c>
      <c r="D236" t="s">
        <v>28</v>
      </c>
      <c r="E236" t="s">
        <v>89</v>
      </c>
      <c r="F236" t="s">
        <v>84</v>
      </c>
      <c r="G236" t="s">
        <v>29</v>
      </c>
      <c r="H236" t="s">
        <v>8</v>
      </c>
      <c r="I236" t="s">
        <v>9</v>
      </c>
      <c r="J236" t="s">
        <v>10</v>
      </c>
      <c r="K236" t="s">
        <v>11</v>
      </c>
      <c r="L236" s="2">
        <v>196</v>
      </c>
      <c r="M236" s="2">
        <v>50</v>
      </c>
      <c r="N236" s="2">
        <f>normalizar!$L236*normalizar!$M236</f>
        <v>9800</v>
      </c>
    </row>
    <row r="237" spans="1:14" x14ac:dyDescent="0.25">
      <c r="A237">
        <v>236</v>
      </c>
      <c r="B237" s="1">
        <v>44152</v>
      </c>
      <c r="C237">
        <v>3634141900</v>
      </c>
      <c r="D237" t="s">
        <v>36</v>
      </c>
      <c r="E237" t="s">
        <v>92</v>
      </c>
      <c r="F237" t="s">
        <v>99</v>
      </c>
      <c r="G237" t="s">
        <v>37</v>
      </c>
      <c r="H237" t="s">
        <v>25</v>
      </c>
      <c r="I237" t="s">
        <v>9</v>
      </c>
      <c r="J237" t="s">
        <v>30</v>
      </c>
      <c r="K237" t="s">
        <v>31</v>
      </c>
      <c r="L237" s="2">
        <v>178.5</v>
      </c>
      <c r="M237" s="2">
        <v>96</v>
      </c>
      <c r="N237" s="2">
        <f>normalizar!$L237*normalizar!$M237</f>
        <v>17136</v>
      </c>
    </row>
    <row r="238" spans="1:14" x14ac:dyDescent="0.25">
      <c r="A238">
        <v>237</v>
      </c>
      <c r="B238" s="1">
        <v>43926</v>
      </c>
      <c r="C238">
        <v>8872627168</v>
      </c>
      <c r="D238" t="s">
        <v>14</v>
      </c>
      <c r="E238" t="s">
        <v>81</v>
      </c>
      <c r="F238" t="s">
        <v>94</v>
      </c>
      <c r="G238" t="s">
        <v>15</v>
      </c>
      <c r="H238" t="s">
        <v>16</v>
      </c>
      <c r="I238" t="s">
        <v>17</v>
      </c>
      <c r="J238" t="s">
        <v>70</v>
      </c>
      <c r="K238" t="s">
        <v>47</v>
      </c>
      <c r="L238" s="2">
        <v>1134</v>
      </c>
      <c r="M238" s="2">
        <v>54</v>
      </c>
      <c r="N238" s="2">
        <f>normalizar!$L238*normalizar!$M238</f>
        <v>61236</v>
      </c>
    </row>
    <row r="239" spans="1:14" x14ac:dyDescent="0.25">
      <c r="A239">
        <v>238</v>
      </c>
      <c r="B239" s="1">
        <v>43849</v>
      </c>
      <c r="C239">
        <v>5571010485</v>
      </c>
      <c r="D239" t="s">
        <v>14</v>
      </c>
      <c r="E239" t="s">
        <v>81</v>
      </c>
      <c r="F239" t="s">
        <v>94</v>
      </c>
      <c r="G239" t="s">
        <v>15</v>
      </c>
      <c r="H239" t="s">
        <v>16</v>
      </c>
      <c r="I239" t="s">
        <v>17</v>
      </c>
      <c r="J239" t="s">
        <v>71</v>
      </c>
      <c r="K239" t="s">
        <v>72</v>
      </c>
      <c r="L239" s="2">
        <v>98</v>
      </c>
      <c r="M239" s="2">
        <v>39</v>
      </c>
      <c r="N239" s="2">
        <f>normalizar!$L239*normalizar!$M239</f>
        <v>3822</v>
      </c>
    </row>
    <row r="240" spans="1:14" x14ac:dyDescent="0.25">
      <c r="A240">
        <v>239</v>
      </c>
      <c r="B240" s="1">
        <v>43976</v>
      </c>
      <c r="C240">
        <v>7703467924</v>
      </c>
      <c r="D240" t="s">
        <v>23</v>
      </c>
      <c r="E240" t="s">
        <v>86</v>
      </c>
      <c r="F240" t="s">
        <v>82</v>
      </c>
      <c r="G240" t="s">
        <v>24</v>
      </c>
      <c r="H240" t="s">
        <v>25</v>
      </c>
      <c r="I240" t="s">
        <v>17</v>
      </c>
      <c r="J240" t="s">
        <v>58</v>
      </c>
      <c r="K240" t="s">
        <v>59</v>
      </c>
      <c r="L240" s="2">
        <v>487.19999999999993</v>
      </c>
      <c r="M240" s="2">
        <v>63</v>
      </c>
      <c r="N240" s="2">
        <f>normalizar!$L240*normalizar!$M240</f>
        <v>30693.599999999995</v>
      </c>
    </row>
    <row r="241" spans="1:14" x14ac:dyDescent="0.25">
      <c r="A241">
        <v>240</v>
      </c>
      <c r="B241" s="1">
        <v>43844</v>
      </c>
      <c r="C241">
        <v>7747820326</v>
      </c>
      <c r="D241" t="s">
        <v>32</v>
      </c>
      <c r="E241" t="s">
        <v>93</v>
      </c>
      <c r="F241" t="s">
        <v>96</v>
      </c>
      <c r="G241" t="s">
        <v>7</v>
      </c>
      <c r="H241" t="s">
        <v>8</v>
      </c>
      <c r="I241" t="s">
        <v>33</v>
      </c>
      <c r="J241" t="s">
        <v>60</v>
      </c>
      <c r="K241" t="s">
        <v>49</v>
      </c>
      <c r="L241" s="2">
        <v>140</v>
      </c>
      <c r="M241" s="2">
        <v>71</v>
      </c>
      <c r="N241" s="2">
        <f>normalizar!$L241*normalizar!$M241</f>
        <v>9940</v>
      </c>
    </row>
    <row r="242" spans="1:14" x14ac:dyDescent="0.25">
      <c r="A242">
        <v>241</v>
      </c>
      <c r="B242" s="1">
        <v>43858</v>
      </c>
      <c r="C242">
        <v>5769101754</v>
      </c>
      <c r="D242" t="s">
        <v>32</v>
      </c>
      <c r="E242" t="s">
        <v>93</v>
      </c>
      <c r="F242" t="s">
        <v>96</v>
      </c>
      <c r="G242" t="s">
        <v>7</v>
      </c>
      <c r="H242" t="s">
        <v>8</v>
      </c>
      <c r="I242" t="s">
        <v>33</v>
      </c>
      <c r="J242" t="s">
        <v>38</v>
      </c>
      <c r="K242" t="s">
        <v>39</v>
      </c>
      <c r="L242" s="2">
        <v>560</v>
      </c>
      <c r="M242" s="2">
        <v>88</v>
      </c>
      <c r="N242" s="2">
        <f>normalizar!$L242*normalizar!$M242</f>
        <v>49280</v>
      </c>
    </row>
    <row r="243" spans="1:14" x14ac:dyDescent="0.25">
      <c r="A243">
        <v>242</v>
      </c>
      <c r="B243" s="1">
        <v>43891</v>
      </c>
      <c r="C243">
        <v>7427615835</v>
      </c>
      <c r="D243" t="s">
        <v>42</v>
      </c>
      <c r="E243" t="s">
        <v>91</v>
      </c>
      <c r="F243" t="s">
        <v>91</v>
      </c>
      <c r="G243" t="s">
        <v>43</v>
      </c>
      <c r="H243" t="s">
        <v>8</v>
      </c>
      <c r="I243" t="s">
        <v>17</v>
      </c>
      <c r="J243" t="s">
        <v>61</v>
      </c>
      <c r="K243" t="s">
        <v>13</v>
      </c>
      <c r="L243" s="2">
        <v>140</v>
      </c>
      <c r="M243" s="2">
        <v>59</v>
      </c>
      <c r="N243" s="2">
        <f>normalizar!$L243*normalizar!$M243</f>
        <v>8260</v>
      </c>
    </row>
    <row r="244" spans="1:14" x14ac:dyDescent="0.25">
      <c r="A244">
        <v>243</v>
      </c>
      <c r="B244" s="1">
        <v>43984</v>
      </c>
      <c r="C244">
        <v>242336558</v>
      </c>
      <c r="D244" t="s">
        <v>36</v>
      </c>
      <c r="E244" t="s">
        <v>92</v>
      </c>
      <c r="F244" t="s">
        <v>99</v>
      </c>
      <c r="G244" t="s">
        <v>37</v>
      </c>
      <c r="H244" t="s">
        <v>8</v>
      </c>
      <c r="I244" t="s">
        <v>17</v>
      </c>
      <c r="J244" t="s">
        <v>38</v>
      </c>
      <c r="K244" t="s">
        <v>39</v>
      </c>
      <c r="L244" s="2">
        <v>560</v>
      </c>
      <c r="M244" s="2">
        <v>94</v>
      </c>
      <c r="N244" s="2">
        <f>normalizar!$L244*normalizar!$M244</f>
        <v>52640</v>
      </c>
    </row>
    <row r="245" spans="1:14" x14ac:dyDescent="0.25">
      <c r="A245">
        <v>244</v>
      </c>
      <c r="B245" s="1">
        <v>44098</v>
      </c>
      <c r="C245">
        <v>2520819737</v>
      </c>
      <c r="D245" t="s">
        <v>40</v>
      </c>
      <c r="E245" t="s">
        <v>97</v>
      </c>
      <c r="F245" t="s">
        <v>88</v>
      </c>
      <c r="G245" t="s">
        <v>41</v>
      </c>
      <c r="H245" t="s">
        <v>25</v>
      </c>
      <c r="I245" t="s">
        <v>9</v>
      </c>
      <c r="J245" t="s">
        <v>22</v>
      </c>
      <c r="K245" t="s">
        <v>11</v>
      </c>
      <c r="L245" s="2">
        <v>644</v>
      </c>
      <c r="M245" s="2">
        <v>86</v>
      </c>
      <c r="N245" s="2">
        <f>normalizar!$L245*normalizar!$M245</f>
        <v>55384</v>
      </c>
    </row>
    <row r="246" spans="1:14" x14ac:dyDescent="0.25">
      <c r="A246">
        <v>245</v>
      </c>
      <c r="B246" s="1">
        <v>43988</v>
      </c>
      <c r="C246">
        <v>8828389188</v>
      </c>
      <c r="D246" t="s">
        <v>23</v>
      </c>
      <c r="E246" t="s">
        <v>86</v>
      </c>
      <c r="F246" t="s">
        <v>82</v>
      </c>
      <c r="G246" t="s">
        <v>24</v>
      </c>
      <c r="H246" t="s">
        <v>25</v>
      </c>
      <c r="I246" t="s">
        <v>9</v>
      </c>
      <c r="J246" t="s">
        <v>30</v>
      </c>
      <c r="K246" t="s">
        <v>31</v>
      </c>
      <c r="L246" s="2">
        <v>178.5</v>
      </c>
      <c r="M246" s="2">
        <v>61</v>
      </c>
      <c r="N246" s="2">
        <f>normalizar!$L246*normalizar!$M246</f>
        <v>10888.5</v>
      </c>
    </row>
    <row r="247" spans="1:14" x14ac:dyDescent="0.25">
      <c r="A247">
        <v>246</v>
      </c>
      <c r="B247" s="1">
        <v>44095</v>
      </c>
      <c r="C247">
        <v>164422904</v>
      </c>
      <c r="D247" t="s">
        <v>42</v>
      </c>
      <c r="E247" t="s">
        <v>91</v>
      </c>
      <c r="F247" t="s">
        <v>91</v>
      </c>
      <c r="G247" t="s">
        <v>43</v>
      </c>
      <c r="H247" t="s">
        <v>8</v>
      </c>
      <c r="I247" t="s">
        <v>17</v>
      </c>
      <c r="J247" t="s">
        <v>44</v>
      </c>
      <c r="K247" t="s">
        <v>11</v>
      </c>
      <c r="L247" s="2">
        <v>41.86</v>
      </c>
      <c r="M247" s="2">
        <v>32</v>
      </c>
      <c r="N247" s="2">
        <f>normalizar!$L247*normalizar!$M247</f>
        <v>1339.52</v>
      </c>
    </row>
    <row r="248" spans="1:14" x14ac:dyDescent="0.25">
      <c r="A248">
        <v>247</v>
      </c>
      <c r="B248" s="1">
        <v>43870</v>
      </c>
      <c r="C248">
        <v>7991995786</v>
      </c>
      <c r="D248" t="s">
        <v>45</v>
      </c>
      <c r="E248" t="s">
        <v>87</v>
      </c>
      <c r="F248" t="s">
        <v>87</v>
      </c>
      <c r="G248" t="s">
        <v>24</v>
      </c>
      <c r="H248" t="s">
        <v>127</v>
      </c>
      <c r="I248" t="s">
        <v>127</v>
      </c>
      <c r="J248" t="s">
        <v>22</v>
      </c>
      <c r="K248" t="s">
        <v>11</v>
      </c>
      <c r="L248" s="2">
        <v>644</v>
      </c>
      <c r="M248" s="2">
        <v>62</v>
      </c>
      <c r="N248" s="2">
        <f>normalizar!$L248*normalizar!$M248</f>
        <v>39928</v>
      </c>
    </row>
    <row r="249" spans="1:14" x14ac:dyDescent="0.25">
      <c r="A249">
        <v>248</v>
      </c>
      <c r="B249" s="1">
        <v>44113</v>
      </c>
      <c r="C249">
        <v>4149364306</v>
      </c>
      <c r="D249" t="s">
        <v>42</v>
      </c>
      <c r="E249" t="s">
        <v>91</v>
      </c>
      <c r="F249" t="s">
        <v>91</v>
      </c>
      <c r="G249" t="s">
        <v>43</v>
      </c>
      <c r="H249" t="s">
        <v>16</v>
      </c>
      <c r="I249" t="s">
        <v>127</v>
      </c>
      <c r="J249" t="s">
        <v>46</v>
      </c>
      <c r="K249" t="s">
        <v>47</v>
      </c>
      <c r="L249" s="2">
        <v>350</v>
      </c>
      <c r="M249" s="2">
        <v>60</v>
      </c>
      <c r="N249" s="2">
        <f>normalizar!$L249*normalizar!$M249</f>
        <v>21000</v>
      </c>
    </row>
    <row r="250" spans="1:14" x14ac:dyDescent="0.25">
      <c r="A250">
        <v>249</v>
      </c>
      <c r="B250" s="1">
        <v>44191</v>
      </c>
      <c r="C250">
        <v>6397472642</v>
      </c>
      <c r="D250" t="s">
        <v>42</v>
      </c>
      <c r="E250" t="s">
        <v>91</v>
      </c>
      <c r="F250" t="s">
        <v>91</v>
      </c>
      <c r="G250" t="s">
        <v>43</v>
      </c>
      <c r="H250" t="s">
        <v>16</v>
      </c>
      <c r="I250" t="s">
        <v>127</v>
      </c>
      <c r="J250" t="s">
        <v>48</v>
      </c>
      <c r="K250" t="s">
        <v>49</v>
      </c>
      <c r="L250" s="2">
        <v>308</v>
      </c>
      <c r="M250" s="2">
        <v>51</v>
      </c>
      <c r="N250" s="2">
        <f>normalizar!$L250*normalizar!$M250</f>
        <v>15708</v>
      </c>
    </row>
    <row r="251" spans="1:14" x14ac:dyDescent="0.25">
      <c r="A251">
        <v>250</v>
      </c>
      <c r="B251" s="1">
        <v>43831</v>
      </c>
      <c r="C251">
        <v>1168651383</v>
      </c>
      <c r="D251" t="s">
        <v>42</v>
      </c>
      <c r="E251" t="s">
        <v>91</v>
      </c>
      <c r="F251" t="s">
        <v>91</v>
      </c>
      <c r="G251" t="s">
        <v>43</v>
      </c>
      <c r="H251" t="s">
        <v>16</v>
      </c>
      <c r="I251" t="s">
        <v>127</v>
      </c>
      <c r="J251" t="s">
        <v>26</v>
      </c>
      <c r="K251" t="s">
        <v>27</v>
      </c>
      <c r="L251" s="2">
        <v>128.79999999999998</v>
      </c>
      <c r="M251" s="2">
        <v>49</v>
      </c>
      <c r="N251" s="2">
        <f>normalizar!$L251*normalizar!$M251</f>
        <v>6311.1999999999989</v>
      </c>
    </row>
    <row r="252" spans="1:14" x14ac:dyDescent="0.25">
      <c r="A252">
        <v>251</v>
      </c>
      <c r="B252" s="1">
        <v>43877</v>
      </c>
      <c r="C252">
        <v>1309311215</v>
      </c>
      <c r="D252" t="s">
        <v>50</v>
      </c>
      <c r="E252" t="s">
        <v>85</v>
      </c>
      <c r="F252" t="s">
        <v>83</v>
      </c>
      <c r="G252" t="s">
        <v>41</v>
      </c>
      <c r="H252" t="s">
        <v>25</v>
      </c>
      <c r="I252" t="s">
        <v>127</v>
      </c>
      <c r="J252" t="s">
        <v>12</v>
      </c>
      <c r="K252" t="s">
        <v>13</v>
      </c>
      <c r="L252" s="2">
        <v>49</v>
      </c>
      <c r="M252" s="2">
        <v>20</v>
      </c>
      <c r="N252" s="2">
        <f>normalizar!$L252*normalizar!$M252</f>
        <v>980</v>
      </c>
    </row>
    <row r="253" spans="1:14" x14ac:dyDescent="0.25">
      <c r="A253">
        <v>252</v>
      </c>
      <c r="B253" s="1">
        <v>44000</v>
      </c>
      <c r="C253">
        <v>4552083877</v>
      </c>
      <c r="D253" t="s">
        <v>50</v>
      </c>
      <c r="E253" t="s">
        <v>85</v>
      </c>
      <c r="F253" t="s">
        <v>83</v>
      </c>
      <c r="G253" t="s">
        <v>41</v>
      </c>
      <c r="H253" t="s">
        <v>25</v>
      </c>
      <c r="I253" t="s">
        <v>127</v>
      </c>
      <c r="J253" t="s">
        <v>44</v>
      </c>
      <c r="K253" t="s">
        <v>11</v>
      </c>
      <c r="L253" s="2">
        <v>41.86</v>
      </c>
      <c r="M253" s="2">
        <v>49</v>
      </c>
      <c r="N253" s="2">
        <f>normalizar!$L253*normalizar!$M253</f>
        <v>2051.14</v>
      </c>
    </row>
    <row r="254" spans="1:14" x14ac:dyDescent="0.25">
      <c r="A254">
        <v>253</v>
      </c>
      <c r="B254" s="1">
        <v>43906</v>
      </c>
      <c r="C254">
        <v>6119453494</v>
      </c>
      <c r="D254" t="s">
        <v>51</v>
      </c>
      <c r="E254" t="s">
        <v>90</v>
      </c>
      <c r="F254" t="s">
        <v>98</v>
      </c>
      <c r="G254" t="s">
        <v>24</v>
      </c>
      <c r="H254" t="s">
        <v>127</v>
      </c>
      <c r="I254" t="s">
        <v>127</v>
      </c>
      <c r="J254" t="s">
        <v>21</v>
      </c>
      <c r="K254" t="s">
        <v>11</v>
      </c>
      <c r="L254" s="2">
        <v>252</v>
      </c>
      <c r="M254" s="2">
        <v>22</v>
      </c>
      <c r="N254" s="2">
        <f>normalizar!$L254*normalizar!$M254</f>
        <v>5544</v>
      </c>
    </row>
    <row r="255" spans="1:14" x14ac:dyDescent="0.25">
      <c r="A255">
        <v>254</v>
      </c>
      <c r="B255" s="1">
        <v>43855</v>
      </c>
      <c r="C255">
        <v>8815781249</v>
      </c>
      <c r="D255" t="s">
        <v>51</v>
      </c>
      <c r="E255" t="s">
        <v>90</v>
      </c>
      <c r="F255" t="s">
        <v>98</v>
      </c>
      <c r="G255" t="s">
        <v>24</v>
      </c>
      <c r="H255" t="s">
        <v>127</v>
      </c>
      <c r="I255" t="s">
        <v>127</v>
      </c>
      <c r="J255" t="s">
        <v>22</v>
      </c>
      <c r="K255" t="s">
        <v>11</v>
      </c>
      <c r="L255" s="2">
        <v>644</v>
      </c>
      <c r="M255" s="2">
        <v>73</v>
      </c>
      <c r="N255" s="2">
        <f>normalizar!$L255*normalizar!$M255</f>
        <v>47012</v>
      </c>
    </row>
    <row r="256" spans="1:14" x14ac:dyDescent="0.25">
      <c r="A256">
        <v>255</v>
      </c>
      <c r="B256" s="1">
        <v>43984</v>
      </c>
      <c r="C256">
        <v>5308869510</v>
      </c>
      <c r="D256" t="s">
        <v>51</v>
      </c>
      <c r="E256" t="s">
        <v>90</v>
      </c>
      <c r="F256" t="s">
        <v>98</v>
      </c>
      <c r="G256" t="s">
        <v>24</v>
      </c>
      <c r="H256" t="s">
        <v>127</v>
      </c>
      <c r="I256" t="s">
        <v>127</v>
      </c>
      <c r="J256" t="s">
        <v>44</v>
      </c>
      <c r="K256" t="s">
        <v>11</v>
      </c>
      <c r="L256" s="2">
        <v>41.86</v>
      </c>
      <c r="M256" s="2">
        <v>85</v>
      </c>
      <c r="N256" s="2">
        <f>normalizar!$L256*normalizar!$M256</f>
        <v>3558.1</v>
      </c>
    </row>
    <row r="257" spans="1:14" x14ac:dyDescent="0.25">
      <c r="A257">
        <v>256</v>
      </c>
      <c r="B257" s="1">
        <v>44143</v>
      </c>
      <c r="C257">
        <v>9623390930</v>
      </c>
      <c r="D257" t="s">
        <v>40</v>
      </c>
      <c r="E257" t="s">
        <v>97</v>
      </c>
      <c r="F257" t="s">
        <v>88</v>
      </c>
      <c r="G257" t="s">
        <v>41</v>
      </c>
      <c r="H257" t="s">
        <v>25</v>
      </c>
      <c r="I257" t="s">
        <v>17</v>
      </c>
      <c r="J257" t="s">
        <v>34</v>
      </c>
      <c r="K257" t="s">
        <v>35</v>
      </c>
      <c r="L257" s="2">
        <v>135.1</v>
      </c>
      <c r="M257" s="2">
        <v>44</v>
      </c>
      <c r="N257" s="2">
        <f>normalizar!$L257*normalizar!$M257</f>
        <v>5944.4</v>
      </c>
    </row>
    <row r="258" spans="1:14" x14ac:dyDescent="0.25">
      <c r="A258">
        <v>257</v>
      </c>
      <c r="B258" s="1">
        <v>43858</v>
      </c>
      <c r="C258">
        <v>9925453816</v>
      </c>
      <c r="D258" t="s">
        <v>40</v>
      </c>
      <c r="E258" t="s">
        <v>97</v>
      </c>
      <c r="F258" t="s">
        <v>88</v>
      </c>
      <c r="G258" t="s">
        <v>41</v>
      </c>
      <c r="H258" t="s">
        <v>25</v>
      </c>
      <c r="I258" t="s">
        <v>17</v>
      </c>
      <c r="J258" t="s">
        <v>52</v>
      </c>
      <c r="K258" t="s">
        <v>53</v>
      </c>
      <c r="L258" s="2">
        <v>257.59999999999997</v>
      </c>
      <c r="M258" s="2">
        <v>24</v>
      </c>
      <c r="N258" s="2">
        <f>normalizar!$L258*normalizar!$M258</f>
        <v>6182.4</v>
      </c>
    </row>
    <row r="259" spans="1:14" x14ac:dyDescent="0.25">
      <c r="A259">
        <v>258</v>
      </c>
      <c r="B259" s="1">
        <v>44168</v>
      </c>
      <c r="C259">
        <v>6948053333</v>
      </c>
      <c r="D259" t="s">
        <v>54</v>
      </c>
      <c r="E259" t="s">
        <v>89</v>
      </c>
      <c r="F259" t="s">
        <v>84</v>
      </c>
      <c r="G259" t="s">
        <v>55</v>
      </c>
      <c r="H259" t="s">
        <v>16</v>
      </c>
      <c r="I259" t="s">
        <v>9</v>
      </c>
      <c r="J259" t="s">
        <v>56</v>
      </c>
      <c r="K259" t="s">
        <v>57</v>
      </c>
      <c r="L259" s="2">
        <v>273</v>
      </c>
      <c r="M259" s="2">
        <v>64</v>
      </c>
      <c r="N259" s="2">
        <f>normalizar!$L259*normalizar!$M259</f>
        <v>17472</v>
      </c>
    </row>
    <row r="260" spans="1:14" x14ac:dyDescent="0.25">
      <c r="A260">
        <v>259</v>
      </c>
      <c r="B260" s="1">
        <v>44038</v>
      </c>
      <c r="C260">
        <v>2060963898</v>
      </c>
      <c r="D260" t="s">
        <v>54</v>
      </c>
      <c r="E260" t="s">
        <v>89</v>
      </c>
      <c r="F260" t="s">
        <v>84</v>
      </c>
      <c r="G260" t="s">
        <v>55</v>
      </c>
      <c r="H260" t="s">
        <v>16</v>
      </c>
      <c r="I260" t="s">
        <v>9</v>
      </c>
      <c r="J260" t="s">
        <v>58</v>
      </c>
      <c r="K260" t="s">
        <v>59</v>
      </c>
      <c r="L260" s="2">
        <v>487.19999999999993</v>
      </c>
      <c r="M260" s="2">
        <v>70</v>
      </c>
      <c r="N260" s="2">
        <f>normalizar!$L260*normalizar!$M260</f>
        <v>34103.999999999993</v>
      </c>
    </row>
    <row r="261" spans="1:14" x14ac:dyDescent="0.25">
      <c r="A261">
        <v>260</v>
      </c>
      <c r="B261" s="1">
        <v>44142</v>
      </c>
      <c r="C261">
        <v>2582781913</v>
      </c>
      <c r="D261" t="s">
        <v>36</v>
      </c>
      <c r="E261" t="s">
        <v>92</v>
      </c>
      <c r="F261" t="s">
        <v>99</v>
      </c>
      <c r="G261" t="s">
        <v>37</v>
      </c>
      <c r="H261" t="s">
        <v>8</v>
      </c>
      <c r="I261" t="s">
        <v>17</v>
      </c>
      <c r="J261" t="s">
        <v>10</v>
      </c>
      <c r="K261" t="s">
        <v>11</v>
      </c>
      <c r="L261" s="2">
        <v>196</v>
      </c>
      <c r="M261" s="2">
        <v>98</v>
      </c>
      <c r="N261" s="2">
        <f>normalizar!$L261*normalizar!$M261</f>
        <v>19208</v>
      </c>
    </row>
    <row r="262" spans="1:14" x14ac:dyDescent="0.25">
      <c r="A262">
        <v>261</v>
      </c>
      <c r="B262" s="1">
        <v>44146</v>
      </c>
      <c r="C262">
        <v>2732649952</v>
      </c>
      <c r="D262" t="s">
        <v>23</v>
      </c>
      <c r="E262" t="s">
        <v>86</v>
      </c>
      <c r="F262" t="s">
        <v>82</v>
      </c>
      <c r="G262" t="s">
        <v>24</v>
      </c>
      <c r="H262" t="s">
        <v>8</v>
      </c>
      <c r="I262" t="s">
        <v>9</v>
      </c>
      <c r="J262" t="s">
        <v>38</v>
      </c>
      <c r="K262" t="s">
        <v>39</v>
      </c>
      <c r="L262" s="2">
        <v>560</v>
      </c>
      <c r="M262" s="2">
        <v>48</v>
      </c>
      <c r="N262" s="2">
        <f>normalizar!$L262*normalizar!$M262</f>
        <v>26880</v>
      </c>
    </row>
    <row r="263" spans="1:14" x14ac:dyDescent="0.25">
      <c r="A263">
        <v>262</v>
      </c>
      <c r="B263" s="1">
        <v>43893</v>
      </c>
      <c r="C263">
        <v>4179453952</v>
      </c>
      <c r="D263" t="s">
        <v>23</v>
      </c>
      <c r="E263" t="s">
        <v>86</v>
      </c>
      <c r="F263" t="s">
        <v>82</v>
      </c>
      <c r="G263" t="s">
        <v>24</v>
      </c>
      <c r="H263" t="s">
        <v>8</v>
      </c>
      <c r="I263" t="s">
        <v>9</v>
      </c>
      <c r="J263" t="s">
        <v>26</v>
      </c>
      <c r="K263" t="s">
        <v>27</v>
      </c>
      <c r="L263" s="2">
        <v>128.79999999999998</v>
      </c>
      <c r="M263" s="2">
        <v>100</v>
      </c>
      <c r="N263" s="2">
        <f>normalizar!$L263*normalizar!$M263</f>
        <v>12879.999999999998</v>
      </c>
    </row>
    <row r="264" spans="1:14" x14ac:dyDescent="0.25">
      <c r="A264">
        <v>263</v>
      </c>
      <c r="B264" s="1">
        <v>44130</v>
      </c>
      <c r="C264">
        <v>4339665341</v>
      </c>
      <c r="D264" t="s">
        <v>62</v>
      </c>
      <c r="E264" t="s">
        <v>91</v>
      </c>
      <c r="F264" t="s">
        <v>91</v>
      </c>
      <c r="G264" t="s">
        <v>43</v>
      </c>
      <c r="H264" t="s">
        <v>16</v>
      </c>
      <c r="I264" t="s">
        <v>33</v>
      </c>
      <c r="J264" t="s">
        <v>67</v>
      </c>
      <c r="K264" t="s">
        <v>27</v>
      </c>
      <c r="L264" s="2">
        <v>140</v>
      </c>
      <c r="M264" s="2">
        <v>90</v>
      </c>
      <c r="N264" s="2">
        <f>normalizar!$L264*normalizar!$M264</f>
        <v>12600</v>
      </c>
    </row>
    <row r="265" spans="1:14" x14ac:dyDescent="0.25">
      <c r="A265">
        <v>264</v>
      </c>
      <c r="B265" s="1">
        <v>44077</v>
      </c>
      <c r="C265">
        <v>9193900326</v>
      </c>
      <c r="D265" t="s">
        <v>63</v>
      </c>
      <c r="E265" t="s">
        <v>85</v>
      </c>
      <c r="F265" t="s">
        <v>83</v>
      </c>
      <c r="G265" t="s">
        <v>41</v>
      </c>
      <c r="H265" t="s">
        <v>25</v>
      </c>
      <c r="I265" t="s">
        <v>17</v>
      </c>
      <c r="J265" t="s">
        <v>68</v>
      </c>
      <c r="K265" t="s">
        <v>69</v>
      </c>
      <c r="L265" s="2">
        <v>298.90000000000003</v>
      </c>
      <c r="M265" s="2">
        <v>49</v>
      </c>
      <c r="N265" s="2">
        <f>normalizar!$L265*normalizar!$M265</f>
        <v>14646.100000000002</v>
      </c>
    </row>
    <row r="266" spans="1:14" x14ac:dyDescent="0.25">
      <c r="A266">
        <v>265</v>
      </c>
      <c r="B266" s="1">
        <v>44073</v>
      </c>
      <c r="C266">
        <v>7474169055</v>
      </c>
      <c r="D266" t="s">
        <v>63</v>
      </c>
      <c r="E266" t="s">
        <v>85</v>
      </c>
      <c r="F266" t="s">
        <v>83</v>
      </c>
      <c r="G266" t="s">
        <v>41</v>
      </c>
      <c r="H266" t="s">
        <v>25</v>
      </c>
      <c r="I266" t="s">
        <v>17</v>
      </c>
      <c r="J266" t="s">
        <v>34</v>
      </c>
      <c r="K266" t="s">
        <v>35</v>
      </c>
      <c r="L266" s="2">
        <v>135.1</v>
      </c>
      <c r="M266" s="2">
        <v>71</v>
      </c>
      <c r="N266" s="2">
        <f>normalizar!$L266*normalizar!$M266</f>
        <v>9592.1</v>
      </c>
    </row>
    <row r="267" spans="1:14" x14ac:dyDescent="0.25">
      <c r="A267">
        <v>266</v>
      </c>
      <c r="B267" s="1">
        <v>43890</v>
      </c>
      <c r="C267">
        <v>9750138179</v>
      </c>
      <c r="D267" t="s">
        <v>63</v>
      </c>
      <c r="E267" t="s">
        <v>85</v>
      </c>
      <c r="F267" t="s">
        <v>83</v>
      </c>
      <c r="G267" t="s">
        <v>41</v>
      </c>
      <c r="H267" t="s">
        <v>25</v>
      </c>
      <c r="I267" t="s">
        <v>17</v>
      </c>
      <c r="J267" t="s">
        <v>52</v>
      </c>
      <c r="K267" t="s">
        <v>53</v>
      </c>
      <c r="L267" s="2">
        <v>257.59999999999997</v>
      </c>
      <c r="M267" s="2">
        <v>10</v>
      </c>
      <c r="N267" s="2">
        <f>normalizar!$L267*normalizar!$M267</f>
        <v>2575.9999999999995</v>
      </c>
    </row>
    <row r="268" spans="1:14" x14ac:dyDescent="0.25">
      <c r="A268">
        <v>267</v>
      </c>
      <c r="B268" s="1">
        <v>43907</v>
      </c>
      <c r="C268">
        <v>2294414293</v>
      </c>
      <c r="D268" t="s">
        <v>28</v>
      </c>
      <c r="E268" t="s">
        <v>89</v>
      </c>
      <c r="F268" t="s">
        <v>84</v>
      </c>
      <c r="G268" t="s">
        <v>29</v>
      </c>
      <c r="H268" t="s">
        <v>8</v>
      </c>
      <c r="I268" t="s">
        <v>9</v>
      </c>
      <c r="J268" t="s">
        <v>10</v>
      </c>
      <c r="K268" t="s">
        <v>11</v>
      </c>
      <c r="L268" s="2">
        <v>196</v>
      </c>
      <c r="M268" s="2">
        <v>78</v>
      </c>
      <c r="N268" s="2">
        <f>normalizar!$L268*normalizar!$M268</f>
        <v>15288</v>
      </c>
    </row>
    <row r="269" spans="1:14" x14ac:dyDescent="0.25">
      <c r="A269">
        <v>268</v>
      </c>
      <c r="B269" s="1">
        <v>44023</v>
      </c>
      <c r="C269">
        <v>776426288</v>
      </c>
      <c r="D269" t="s">
        <v>36</v>
      </c>
      <c r="E269" t="s">
        <v>92</v>
      </c>
      <c r="F269" t="s">
        <v>99</v>
      </c>
      <c r="G269" t="s">
        <v>37</v>
      </c>
      <c r="H269" t="s">
        <v>25</v>
      </c>
      <c r="I269" t="s">
        <v>9</v>
      </c>
      <c r="J269" t="s">
        <v>30</v>
      </c>
      <c r="K269" t="s">
        <v>31</v>
      </c>
      <c r="L269" s="2">
        <v>178.5</v>
      </c>
      <c r="M269" s="2">
        <v>44</v>
      </c>
      <c r="N269" s="2">
        <f>normalizar!$L269*normalizar!$M269</f>
        <v>7854</v>
      </c>
    </row>
    <row r="270" spans="1:14" x14ac:dyDescent="0.25">
      <c r="A270">
        <v>269</v>
      </c>
      <c r="B270" s="1">
        <v>44109</v>
      </c>
      <c r="C270">
        <v>1245231958</v>
      </c>
      <c r="D270" t="s">
        <v>14</v>
      </c>
      <c r="E270" t="s">
        <v>81</v>
      </c>
      <c r="F270" t="s">
        <v>94</v>
      </c>
      <c r="G270" t="s">
        <v>15</v>
      </c>
      <c r="H270" t="s">
        <v>16</v>
      </c>
      <c r="I270" t="s">
        <v>17</v>
      </c>
      <c r="J270" t="s">
        <v>70</v>
      </c>
      <c r="K270" t="s">
        <v>47</v>
      </c>
      <c r="L270" s="2">
        <v>1134</v>
      </c>
      <c r="M270" s="2">
        <v>82</v>
      </c>
      <c r="N270" s="2">
        <f>normalizar!$L270*normalizar!$M270</f>
        <v>92988</v>
      </c>
    </row>
    <row r="271" spans="1:14" x14ac:dyDescent="0.25">
      <c r="A271">
        <v>270</v>
      </c>
      <c r="B271" s="1">
        <v>43931</v>
      </c>
      <c r="C271">
        <v>2050724971</v>
      </c>
      <c r="D271" t="s">
        <v>14</v>
      </c>
      <c r="E271" t="s">
        <v>81</v>
      </c>
      <c r="F271" t="s">
        <v>94</v>
      </c>
      <c r="G271" t="s">
        <v>15</v>
      </c>
      <c r="H271" t="s">
        <v>16</v>
      </c>
      <c r="I271" t="s">
        <v>17</v>
      </c>
      <c r="J271" t="s">
        <v>71</v>
      </c>
      <c r="K271" t="s">
        <v>72</v>
      </c>
      <c r="L271" s="2">
        <v>98</v>
      </c>
      <c r="M271" s="2">
        <v>29</v>
      </c>
      <c r="N271" s="2">
        <f>normalizar!$L271*normalizar!$M271</f>
        <v>2842</v>
      </c>
    </row>
    <row r="272" spans="1:14" x14ac:dyDescent="0.25">
      <c r="A272">
        <v>271</v>
      </c>
      <c r="B272" s="1">
        <v>44097</v>
      </c>
      <c r="C272">
        <v>9478104719</v>
      </c>
      <c r="D272" t="s">
        <v>23</v>
      </c>
      <c r="E272" t="s">
        <v>86</v>
      </c>
      <c r="F272" t="s">
        <v>82</v>
      </c>
      <c r="G272" t="s">
        <v>24</v>
      </c>
      <c r="H272" t="s">
        <v>25</v>
      </c>
      <c r="I272" t="s">
        <v>17</v>
      </c>
      <c r="J272" t="s">
        <v>58</v>
      </c>
      <c r="K272" t="s">
        <v>59</v>
      </c>
      <c r="L272" s="2">
        <v>487.19999999999993</v>
      </c>
      <c r="M272" s="2">
        <v>93</v>
      </c>
      <c r="N272" s="2">
        <f>normalizar!$L272*normalizar!$M272</f>
        <v>45309.599999999991</v>
      </c>
    </row>
    <row r="273" spans="1:14" x14ac:dyDescent="0.25">
      <c r="A273">
        <v>272</v>
      </c>
      <c r="B273" s="1">
        <v>44131</v>
      </c>
      <c r="C273">
        <v>7620759943</v>
      </c>
      <c r="D273" t="s">
        <v>32</v>
      </c>
      <c r="E273" t="s">
        <v>93</v>
      </c>
      <c r="F273" t="s">
        <v>96</v>
      </c>
      <c r="G273" t="s">
        <v>7</v>
      </c>
      <c r="H273" t="s">
        <v>8</v>
      </c>
      <c r="I273" t="s">
        <v>33</v>
      </c>
      <c r="J273" t="s">
        <v>60</v>
      </c>
      <c r="K273" t="s">
        <v>49</v>
      </c>
      <c r="L273" s="2">
        <v>140</v>
      </c>
      <c r="M273" s="2">
        <v>11</v>
      </c>
      <c r="N273" s="2">
        <f>normalizar!$L273*normalizar!$M273</f>
        <v>1540</v>
      </c>
    </row>
    <row r="274" spans="1:14" x14ac:dyDescent="0.25">
      <c r="A274">
        <v>273</v>
      </c>
      <c r="B274" s="1">
        <v>44173</v>
      </c>
      <c r="C274">
        <v>9345003575</v>
      </c>
      <c r="D274" t="s">
        <v>32</v>
      </c>
      <c r="E274" t="s">
        <v>93</v>
      </c>
      <c r="F274" t="s">
        <v>96</v>
      </c>
      <c r="G274" t="s">
        <v>7</v>
      </c>
      <c r="H274" t="s">
        <v>8</v>
      </c>
      <c r="I274" t="s">
        <v>33</v>
      </c>
      <c r="J274" t="s">
        <v>38</v>
      </c>
      <c r="K274" t="s">
        <v>39</v>
      </c>
      <c r="L274" s="2">
        <v>560</v>
      </c>
      <c r="M274" s="2">
        <v>91</v>
      </c>
      <c r="N274" s="2">
        <f>normalizar!$L274*normalizar!$M274</f>
        <v>50960</v>
      </c>
    </row>
    <row r="275" spans="1:14" x14ac:dyDescent="0.25">
      <c r="A275">
        <v>274</v>
      </c>
      <c r="B275" s="1">
        <v>44123</v>
      </c>
      <c r="C275">
        <v>5988072690</v>
      </c>
      <c r="D275" t="s">
        <v>42</v>
      </c>
      <c r="E275" t="s">
        <v>91</v>
      </c>
      <c r="F275" t="s">
        <v>91</v>
      </c>
      <c r="G275" t="s">
        <v>43</v>
      </c>
      <c r="H275" t="s">
        <v>8</v>
      </c>
      <c r="I275" t="s">
        <v>17</v>
      </c>
      <c r="J275" t="s">
        <v>61</v>
      </c>
      <c r="K275" t="s">
        <v>13</v>
      </c>
      <c r="L275" s="2">
        <v>140</v>
      </c>
      <c r="M275" s="2">
        <v>12</v>
      </c>
      <c r="N275" s="2">
        <f>normalizar!$L275*normalizar!$M275</f>
        <v>1680</v>
      </c>
    </row>
    <row r="276" spans="1:14" x14ac:dyDescent="0.25">
      <c r="A276">
        <v>275</v>
      </c>
      <c r="B276" s="1">
        <v>44028</v>
      </c>
      <c r="C276">
        <v>5113488625</v>
      </c>
      <c r="D276" t="s">
        <v>42</v>
      </c>
      <c r="E276" t="s">
        <v>91</v>
      </c>
      <c r="F276" t="s">
        <v>91</v>
      </c>
      <c r="G276" t="s">
        <v>43</v>
      </c>
      <c r="H276" t="s">
        <v>16</v>
      </c>
      <c r="I276" t="s">
        <v>127</v>
      </c>
      <c r="J276" t="s">
        <v>12</v>
      </c>
      <c r="K276" t="s">
        <v>13</v>
      </c>
      <c r="L276" s="2">
        <v>49</v>
      </c>
      <c r="M276" s="2">
        <v>78</v>
      </c>
      <c r="N276" s="2">
        <f>normalizar!$L276*normalizar!$M276</f>
        <v>3822</v>
      </c>
    </row>
    <row r="277" spans="1:14" x14ac:dyDescent="0.25">
      <c r="A277">
        <v>276</v>
      </c>
      <c r="B277" s="1">
        <v>43915</v>
      </c>
      <c r="C277">
        <v>8021429259</v>
      </c>
      <c r="D277" t="s">
        <v>50</v>
      </c>
      <c r="E277" t="s">
        <v>85</v>
      </c>
      <c r="F277" t="s">
        <v>83</v>
      </c>
      <c r="G277" t="s">
        <v>41</v>
      </c>
      <c r="H277" t="s">
        <v>25</v>
      </c>
      <c r="I277" t="s">
        <v>127</v>
      </c>
      <c r="J277" t="s">
        <v>38</v>
      </c>
      <c r="K277" t="s">
        <v>39</v>
      </c>
      <c r="L277" s="2">
        <v>560</v>
      </c>
      <c r="M277" s="2">
        <v>60</v>
      </c>
      <c r="N277" s="2">
        <f>normalizar!$L277*normalizar!$M277</f>
        <v>33600</v>
      </c>
    </row>
    <row r="278" spans="1:14" x14ac:dyDescent="0.25">
      <c r="A278">
        <v>277</v>
      </c>
      <c r="B278" s="1">
        <v>43906</v>
      </c>
      <c r="C278">
        <v>680211800</v>
      </c>
      <c r="D278" t="s">
        <v>51</v>
      </c>
      <c r="E278" t="s">
        <v>90</v>
      </c>
      <c r="F278" t="s">
        <v>98</v>
      </c>
      <c r="G278" t="s">
        <v>24</v>
      </c>
      <c r="H278" t="s">
        <v>25</v>
      </c>
      <c r="I278" t="s">
        <v>127</v>
      </c>
      <c r="J278" t="s">
        <v>52</v>
      </c>
      <c r="K278" t="s">
        <v>53</v>
      </c>
      <c r="L278" s="2">
        <v>257.59999999999997</v>
      </c>
      <c r="M278" s="2">
        <v>23</v>
      </c>
      <c r="N278" s="2">
        <f>normalizar!$L278*normalizar!$M278</f>
        <v>5924.7999999999993</v>
      </c>
    </row>
    <row r="279" spans="1:14" x14ac:dyDescent="0.25">
      <c r="A279">
        <v>278</v>
      </c>
      <c r="B279" s="1">
        <v>44092</v>
      </c>
      <c r="C279">
        <v>2635806056</v>
      </c>
      <c r="D279" t="s">
        <v>40</v>
      </c>
      <c r="E279" t="s">
        <v>97</v>
      </c>
      <c r="F279" t="s">
        <v>88</v>
      </c>
      <c r="G279" t="s">
        <v>41</v>
      </c>
      <c r="H279" t="s">
        <v>25</v>
      </c>
      <c r="I279" t="s">
        <v>17</v>
      </c>
      <c r="J279" t="s">
        <v>22</v>
      </c>
      <c r="K279" t="s">
        <v>11</v>
      </c>
      <c r="L279" s="2">
        <v>644</v>
      </c>
      <c r="M279" s="2">
        <v>34</v>
      </c>
      <c r="N279" s="2">
        <f>normalizar!$L279*normalizar!$M279</f>
        <v>21896</v>
      </c>
    </row>
    <row r="280" spans="1:14" x14ac:dyDescent="0.25">
      <c r="A280">
        <v>279</v>
      </c>
      <c r="B280" s="1">
        <v>44073</v>
      </c>
      <c r="C280">
        <v>3338515953</v>
      </c>
      <c r="D280" t="s">
        <v>54</v>
      </c>
      <c r="E280" t="s">
        <v>89</v>
      </c>
      <c r="F280" t="s">
        <v>84</v>
      </c>
      <c r="G280" t="s">
        <v>55</v>
      </c>
      <c r="H280" t="s">
        <v>16</v>
      </c>
      <c r="I280" t="s">
        <v>9</v>
      </c>
      <c r="J280" t="s">
        <v>34</v>
      </c>
      <c r="K280" t="s">
        <v>35</v>
      </c>
      <c r="L280" s="2">
        <v>135.1</v>
      </c>
      <c r="M280" s="2">
        <v>89</v>
      </c>
      <c r="N280" s="2">
        <f>normalizar!$L280*normalizar!$M280</f>
        <v>12023.9</v>
      </c>
    </row>
    <row r="281" spans="1:14" x14ac:dyDescent="0.25">
      <c r="A281">
        <v>280</v>
      </c>
      <c r="B281" s="1">
        <v>44106</v>
      </c>
      <c r="C281">
        <v>3075758565</v>
      </c>
      <c r="D281" t="s">
        <v>36</v>
      </c>
      <c r="E281" t="s">
        <v>92</v>
      </c>
      <c r="F281" t="s">
        <v>99</v>
      </c>
      <c r="G281" t="s">
        <v>37</v>
      </c>
      <c r="H281" t="s">
        <v>8</v>
      </c>
      <c r="I281" t="s">
        <v>17</v>
      </c>
      <c r="J281" t="s">
        <v>30</v>
      </c>
      <c r="K281" t="s">
        <v>31</v>
      </c>
      <c r="L281" s="2">
        <v>178.5</v>
      </c>
      <c r="M281" s="2">
        <v>82</v>
      </c>
      <c r="N281" s="2">
        <f>normalizar!$L281*normalizar!$M281</f>
        <v>14637</v>
      </c>
    </row>
    <row r="282" spans="1:14" x14ac:dyDescent="0.25">
      <c r="A282">
        <v>281</v>
      </c>
      <c r="B282" s="1">
        <v>44160</v>
      </c>
      <c r="C282">
        <v>5383209032</v>
      </c>
      <c r="D282" t="s">
        <v>23</v>
      </c>
      <c r="E282" t="s">
        <v>86</v>
      </c>
      <c r="F282" t="s">
        <v>82</v>
      </c>
      <c r="G282" t="s">
        <v>24</v>
      </c>
      <c r="H282" t="s">
        <v>8</v>
      </c>
      <c r="I282" t="s">
        <v>9</v>
      </c>
      <c r="J282" t="s">
        <v>30</v>
      </c>
      <c r="K282" t="s">
        <v>31</v>
      </c>
      <c r="L282" s="2">
        <v>178.5</v>
      </c>
      <c r="M282" s="2">
        <v>43</v>
      </c>
      <c r="N282" s="2">
        <f>normalizar!$L282*normalizar!$M282</f>
        <v>7675.5</v>
      </c>
    </row>
    <row r="283" spans="1:14" x14ac:dyDescent="0.25">
      <c r="A283">
        <v>282</v>
      </c>
      <c r="B283" s="1">
        <v>44068</v>
      </c>
      <c r="C283">
        <v>9635546425</v>
      </c>
      <c r="D283" t="s">
        <v>42</v>
      </c>
      <c r="E283" t="s">
        <v>91</v>
      </c>
      <c r="F283" t="s">
        <v>91</v>
      </c>
      <c r="G283" t="s">
        <v>43</v>
      </c>
      <c r="H283" t="s">
        <v>16</v>
      </c>
      <c r="I283" t="s">
        <v>127</v>
      </c>
      <c r="J283" t="s">
        <v>48</v>
      </c>
      <c r="K283" t="s">
        <v>49</v>
      </c>
      <c r="L283" s="2">
        <v>308</v>
      </c>
      <c r="M283" s="2">
        <v>96</v>
      </c>
      <c r="N283" s="2">
        <f>normalizar!$L283*normalizar!$M283</f>
        <v>29568</v>
      </c>
    </row>
    <row r="284" spans="1:14" x14ac:dyDescent="0.25">
      <c r="A284">
        <v>283</v>
      </c>
      <c r="B284" s="1">
        <v>44073</v>
      </c>
      <c r="C284">
        <v>3501364052</v>
      </c>
      <c r="D284" t="s">
        <v>42</v>
      </c>
      <c r="E284" t="s">
        <v>91</v>
      </c>
      <c r="F284" t="s">
        <v>91</v>
      </c>
      <c r="G284" t="s">
        <v>43</v>
      </c>
      <c r="H284" t="s">
        <v>16</v>
      </c>
      <c r="I284" t="s">
        <v>127</v>
      </c>
      <c r="J284" t="s">
        <v>26</v>
      </c>
      <c r="K284" t="s">
        <v>27</v>
      </c>
      <c r="L284" s="2">
        <v>128.79999999999998</v>
      </c>
      <c r="M284" s="2">
        <v>34</v>
      </c>
      <c r="N284" s="2">
        <f>normalizar!$L284*normalizar!$M284</f>
        <v>4379.2</v>
      </c>
    </row>
    <row r="285" spans="1:14" x14ac:dyDescent="0.25">
      <c r="A285">
        <v>284</v>
      </c>
      <c r="B285" s="1">
        <v>43992</v>
      </c>
      <c r="C285">
        <v>2226825043</v>
      </c>
      <c r="D285" t="s">
        <v>50</v>
      </c>
      <c r="E285" t="s">
        <v>85</v>
      </c>
      <c r="F285" t="s">
        <v>83</v>
      </c>
      <c r="G285" t="s">
        <v>41</v>
      </c>
      <c r="H285" t="s">
        <v>25</v>
      </c>
      <c r="I285" t="s">
        <v>127</v>
      </c>
      <c r="J285" t="s">
        <v>12</v>
      </c>
      <c r="K285" t="s">
        <v>13</v>
      </c>
      <c r="L285" s="2">
        <v>49</v>
      </c>
      <c r="M285" s="2">
        <v>42</v>
      </c>
      <c r="N285" s="2">
        <f>normalizar!$L285*normalizar!$M285</f>
        <v>2058</v>
      </c>
    </row>
    <row r="286" spans="1:14" x14ac:dyDescent="0.25">
      <c r="A286">
        <v>285</v>
      </c>
      <c r="B286" s="1">
        <v>43883</v>
      </c>
      <c r="C286">
        <v>6321323029</v>
      </c>
      <c r="D286" t="s">
        <v>50</v>
      </c>
      <c r="E286" t="s">
        <v>85</v>
      </c>
      <c r="F286" t="s">
        <v>83</v>
      </c>
      <c r="G286" t="s">
        <v>41</v>
      </c>
      <c r="H286" t="s">
        <v>25</v>
      </c>
      <c r="I286" t="s">
        <v>127</v>
      </c>
      <c r="J286" t="s">
        <v>44</v>
      </c>
      <c r="K286" t="s">
        <v>11</v>
      </c>
      <c r="L286" s="2">
        <v>41.86</v>
      </c>
      <c r="M286" s="2">
        <v>100</v>
      </c>
      <c r="N286" s="2">
        <f>normalizar!$L286*normalizar!$M286</f>
        <v>4186</v>
      </c>
    </row>
    <row r="287" spans="1:14" x14ac:dyDescent="0.25">
      <c r="A287">
        <v>286</v>
      </c>
      <c r="B287" s="1">
        <v>44168</v>
      </c>
      <c r="C287">
        <v>3775524143</v>
      </c>
      <c r="D287" t="s">
        <v>51</v>
      </c>
      <c r="E287" t="s">
        <v>90</v>
      </c>
      <c r="F287" t="s">
        <v>98</v>
      </c>
      <c r="G287" t="s">
        <v>24</v>
      </c>
      <c r="H287" t="s">
        <v>127</v>
      </c>
      <c r="I287" t="s">
        <v>127</v>
      </c>
      <c r="J287" t="s">
        <v>21</v>
      </c>
      <c r="K287" t="s">
        <v>11</v>
      </c>
      <c r="L287" s="2">
        <v>252</v>
      </c>
      <c r="M287" s="2">
        <v>42</v>
      </c>
      <c r="N287" s="2">
        <f>normalizar!$L287*normalizar!$M287</f>
        <v>10584</v>
      </c>
    </row>
    <row r="288" spans="1:14" x14ac:dyDescent="0.25">
      <c r="A288">
        <v>287</v>
      </c>
      <c r="B288" s="1">
        <v>44044</v>
      </c>
      <c r="C288">
        <v>9543041808</v>
      </c>
      <c r="D288" t="s">
        <v>51</v>
      </c>
      <c r="E288" t="s">
        <v>90</v>
      </c>
      <c r="F288" t="s">
        <v>98</v>
      </c>
      <c r="G288" t="s">
        <v>24</v>
      </c>
      <c r="H288" t="s">
        <v>127</v>
      </c>
      <c r="I288" t="s">
        <v>127</v>
      </c>
      <c r="J288" t="s">
        <v>22</v>
      </c>
      <c r="K288" t="s">
        <v>11</v>
      </c>
      <c r="L288" s="2">
        <v>644</v>
      </c>
      <c r="M288" s="2">
        <v>16</v>
      </c>
      <c r="N288" s="2">
        <f>normalizar!$L288*normalizar!$M288</f>
        <v>10304</v>
      </c>
    </row>
    <row r="289" spans="1:14" x14ac:dyDescent="0.25">
      <c r="A289">
        <v>288</v>
      </c>
      <c r="B289" s="1">
        <v>43954</v>
      </c>
      <c r="C289">
        <v>547647770</v>
      </c>
      <c r="D289" t="s">
        <v>51</v>
      </c>
      <c r="E289" t="s">
        <v>90</v>
      </c>
      <c r="F289" t="s">
        <v>98</v>
      </c>
      <c r="G289" t="s">
        <v>24</v>
      </c>
      <c r="H289" t="s">
        <v>127</v>
      </c>
      <c r="I289" t="s">
        <v>127</v>
      </c>
      <c r="J289" t="s">
        <v>44</v>
      </c>
      <c r="K289" t="s">
        <v>11</v>
      </c>
      <c r="L289" s="2">
        <v>41.86</v>
      </c>
      <c r="M289" s="2">
        <v>22</v>
      </c>
      <c r="N289" s="2">
        <f>normalizar!$L289*normalizar!$M289</f>
        <v>920.92</v>
      </c>
    </row>
    <row r="290" spans="1:14" x14ac:dyDescent="0.25">
      <c r="A290">
        <v>289</v>
      </c>
      <c r="B290" s="1">
        <v>44106</v>
      </c>
      <c r="C290">
        <v>7120228607</v>
      </c>
      <c r="D290" t="s">
        <v>40</v>
      </c>
      <c r="E290" t="s">
        <v>97</v>
      </c>
      <c r="F290" t="s">
        <v>88</v>
      </c>
      <c r="G290" t="s">
        <v>41</v>
      </c>
      <c r="H290" t="s">
        <v>25</v>
      </c>
      <c r="I290" t="s">
        <v>17</v>
      </c>
      <c r="J290" t="s">
        <v>34</v>
      </c>
      <c r="K290" t="s">
        <v>35</v>
      </c>
      <c r="L290" s="2">
        <v>135.1</v>
      </c>
      <c r="M290" s="2">
        <v>46</v>
      </c>
      <c r="N290" s="2">
        <f>normalizar!$L290*normalizar!$M290</f>
        <v>6214.5999999999995</v>
      </c>
    </row>
    <row r="291" spans="1:14" x14ac:dyDescent="0.25">
      <c r="A291">
        <v>290</v>
      </c>
      <c r="B291" s="1">
        <v>43837</v>
      </c>
      <c r="C291">
        <v>5554565190</v>
      </c>
      <c r="D291" t="s">
        <v>40</v>
      </c>
      <c r="E291" t="s">
        <v>97</v>
      </c>
      <c r="F291" t="s">
        <v>88</v>
      </c>
      <c r="G291" t="s">
        <v>41</v>
      </c>
      <c r="H291" t="s">
        <v>25</v>
      </c>
      <c r="I291" t="s">
        <v>17</v>
      </c>
      <c r="J291" t="s">
        <v>52</v>
      </c>
      <c r="K291" t="s">
        <v>53</v>
      </c>
      <c r="L291" s="2">
        <v>257.59999999999997</v>
      </c>
      <c r="M291" s="2">
        <v>100</v>
      </c>
      <c r="N291" s="2">
        <f>normalizar!$L291*normalizar!$M291</f>
        <v>25759.999999999996</v>
      </c>
    </row>
    <row r="292" spans="1:14" x14ac:dyDescent="0.25">
      <c r="A292">
        <v>291</v>
      </c>
      <c r="B292" s="1">
        <v>43866</v>
      </c>
      <c r="C292">
        <v>1644848787</v>
      </c>
      <c r="D292" t="s">
        <v>54</v>
      </c>
      <c r="E292" t="s">
        <v>89</v>
      </c>
      <c r="F292" t="s">
        <v>84</v>
      </c>
      <c r="G292" t="s">
        <v>55</v>
      </c>
      <c r="H292" t="s">
        <v>16</v>
      </c>
      <c r="I292" t="s">
        <v>9</v>
      </c>
      <c r="J292" t="s">
        <v>56</v>
      </c>
      <c r="K292" t="s">
        <v>57</v>
      </c>
      <c r="L292" s="2">
        <v>273</v>
      </c>
      <c r="M292" s="2">
        <v>87</v>
      </c>
      <c r="N292" s="2">
        <f>normalizar!$L292*normalizar!$M292</f>
        <v>23751</v>
      </c>
    </row>
    <row r="293" spans="1:14" x14ac:dyDescent="0.25">
      <c r="A293">
        <v>292</v>
      </c>
      <c r="B293" s="1">
        <v>43923</v>
      </c>
      <c r="C293">
        <v>8273786477</v>
      </c>
      <c r="D293" t="s">
        <v>54</v>
      </c>
      <c r="E293" t="s">
        <v>89</v>
      </c>
      <c r="F293" t="s">
        <v>84</v>
      </c>
      <c r="G293" t="s">
        <v>55</v>
      </c>
      <c r="H293" t="s">
        <v>16</v>
      </c>
      <c r="I293" t="s">
        <v>9</v>
      </c>
      <c r="J293" t="s">
        <v>58</v>
      </c>
      <c r="K293" t="s">
        <v>59</v>
      </c>
      <c r="L293" s="2">
        <v>487.19999999999993</v>
      </c>
      <c r="M293" s="2">
        <v>58</v>
      </c>
      <c r="N293" s="2">
        <f>normalizar!$L293*normalizar!$M293</f>
        <v>28257.599999999995</v>
      </c>
    </row>
    <row r="294" spans="1:14" x14ac:dyDescent="0.25">
      <c r="A294">
        <v>293</v>
      </c>
      <c r="B294" s="1">
        <v>44062</v>
      </c>
      <c r="C294">
        <v>1397118248</v>
      </c>
      <c r="D294" t="s">
        <v>36</v>
      </c>
      <c r="E294" t="s">
        <v>92</v>
      </c>
      <c r="F294" t="s">
        <v>99</v>
      </c>
      <c r="G294" t="s">
        <v>37</v>
      </c>
      <c r="H294" t="s">
        <v>8</v>
      </c>
      <c r="I294" t="s">
        <v>17</v>
      </c>
      <c r="J294" t="s">
        <v>10</v>
      </c>
      <c r="K294" t="s">
        <v>11</v>
      </c>
      <c r="L294" s="2">
        <v>196</v>
      </c>
      <c r="M294" s="2">
        <v>85</v>
      </c>
      <c r="N294" s="2">
        <f>normalizar!$L294*normalizar!$M294</f>
        <v>16660</v>
      </c>
    </row>
    <row r="295" spans="1:14" x14ac:dyDescent="0.25">
      <c r="A295">
        <v>294</v>
      </c>
      <c r="B295" s="1">
        <v>43959</v>
      </c>
      <c r="C295">
        <v>4468604310</v>
      </c>
      <c r="D295" t="s">
        <v>23</v>
      </c>
      <c r="E295" t="s">
        <v>86</v>
      </c>
      <c r="F295" t="s">
        <v>82</v>
      </c>
      <c r="G295" t="s">
        <v>24</v>
      </c>
      <c r="H295" t="s">
        <v>8</v>
      </c>
      <c r="I295" t="s">
        <v>9</v>
      </c>
      <c r="J295" t="s">
        <v>38</v>
      </c>
      <c r="K295" t="s">
        <v>39</v>
      </c>
      <c r="L295" s="2">
        <v>560</v>
      </c>
      <c r="M295" s="2">
        <v>28</v>
      </c>
      <c r="N295" s="2">
        <f>normalizar!$L295*normalizar!$M295</f>
        <v>15680</v>
      </c>
    </row>
    <row r="296" spans="1:14" x14ac:dyDescent="0.25">
      <c r="A296">
        <v>295</v>
      </c>
      <c r="B296" s="1">
        <v>44178</v>
      </c>
      <c r="C296">
        <v>457458721</v>
      </c>
      <c r="D296" t="s">
        <v>23</v>
      </c>
      <c r="E296" t="s">
        <v>86</v>
      </c>
      <c r="F296" t="s">
        <v>82</v>
      </c>
      <c r="G296" t="s">
        <v>24</v>
      </c>
      <c r="H296" t="s">
        <v>8</v>
      </c>
      <c r="I296" t="s">
        <v>9</v>
      </c>
      <c r="J296" t="s">
        <v>26</v>
      </c>
      <c r="K296" t="s">
        <v>27</v>
      </c>
      <c r="L296" s="2">
        <v>128.79999999999998</v>
      </c>
      <c r="M296" s="2">
        <v>19</v>
      </c>
      <c r="N296" s="2">
        <f>normalizar!$L296*normalizar!$M296</f>
        <v>2447.1999999999998</v>
      </c>
    </row>
    <row r="297" spans="1:14" x14ac:dyDescent="0.25">
      <c r="A297">
        <v>296</v>
      </c>
      <c r="B297" s="1">
        <v>43990</v>
      </c>
      <c r="C297">
        <v>7184663808</v>
      </c>
      <c r="D297" t="s">
        <v>62</v>
      </c>
      <c r="E297" t="s">
        <v>91</v>
      </c>
      <c r="F297" t="s">
        <v>91</v>
      </c>
      <c r="G297" t="s">
        <v>43</v>
      </c>
      <c r="H297" t="s">
        <v>16</v>
      </c>
      <c r="I297" t="s">
        <v>33</v>
      </c>
      <c r="J297" t="s">
        <v>67</v>
      </c>
      <c r="K297" t="s">
        <v>27</v>
      </c>
      <c r="L297" s="2">
        <v>140</v>
      </c>
      <c r="M297" s="2">
        <v>99</v>
      </c>
      <c r="N297" s="2">
        <f>normalizar!$L297*normalizar!$M297</f>
        <v>13860</v>
      </c>
    </row>
    <row r="298" spans="1:14" x14ac:dyDescent="0.25">
      <c r="A298">
        <v>297</v>
      </c>
      <c r="B298" s="1">
        <v>44087</v>
      </c>
      <c r="C298">
        <v>3449599231</v>
      </c>
      <c r="D298" t="s">
        <v>63</v>
      </c>
      <c r="E298" t="s">
        <v>85</v>
      </c>
      <c r="F298" t="s">
        <v>83</v>
      </c>
      <c r="G298" t="s">
        <v>41</v>
      </c>
      <c r="H298" t="s">
        <v>25</v>
      </c>
      <c r="I298" t="s">
        <v>17</v>
      </c>
      <c r="J298" t="s">
        <v>68</v>
      </c>
      <c r="K298" t="s">
        <v>69</v>
      </c>
      <c r="L298" s="2">
        <v>298.90000000000003</v>
      </c>
      <c r="M298" s="2">
        <v>69</v>
      </c>
      <c r="N298" s="2">
        <f>normalizar!$L298*normalizar!$M298</f>
        <v>20624.100000000002</v>
      </c>
    </row>
    <row r="299" spans="1:14" x14ac:dyDescent="0.25">
      <c r="A299">
        <v>298</v>
      </c>
      <c r="B299" s="1">
        <v>44168</v>
      </c>
      <c r="C299">
        <v>3901461858</v>
      </c>
      <c r="D299" t="s">
        <v>63</v>
      </c>
      <c r="E299" t="s">
        <v>85</v>
      </c>
      <c r="F299" t="s">
        <v>83</v>
      </c>
      <c r="G299" t="s">
        <v>41</v>
      </c>
      <c r="H299" t="s">
        <v>25</v>
      </c>
      <c r="I299" t="s">
        <v>17</v>
      </c>
      <c r="J299" t="s">
        <v>34</v>
      </c>
      <c r="K299" t="s">
        <v>35</v>
      </c>
      <c r="L299" s="2">
        <v>135.1</v>
      </c>
      <c r="M299" s="2">
        <v>37</v>
      </c>
      <c r="N299" s="2">
        <f>normalizar!$L299*normalizar!$M299</f>
        <v>4998.7</v>
      </c>
    </row>
    <row r="300" spans="1:14" x14ac:dyDescent="0.25">
      <c r="A300">
        <v>299</v>
      </c>
      <c r="B300" s="1">
        <v>43922</v>
      </c>
      <c r="C300">
        <v>6798892819</v>
      </c>
      <c r="D300" t="s">
        <v>63</v>
      </c>
      <c r="E300" t="s">
        <v>85</v>
      </c>
      <c r="F300" t="s">
        <v>83</v>
      </c>
      <c r="G300" t="s">
        <v>41</v>
      </c>
      <c r="H300" t="s">
        <v>25</v>
      </c>
      <c r="I300" t="s">
        <v>17</v>
      </c>
      <c r="J300" t="s">
        <v>52</v>
      </c>
      <c r="K300" t="s">
        <v>53</v>
      </c>
      <c r="L300" s="2">
        <v>257.59999999999997</v>
      </c>
      <c r="M300" s="2">
        <v>64</v>
      </c>
      <c r="N300" s="2">
        <f>normalizar!$L300*normalizar!$M300</f>
        <v>16486.399999999998</v>
      </c>
    </row>
    <row r="301" spans="1:14" x14ac:dyDescent="0.25">
      <c r="A301">
        <v>300</v>
      </c>
      <c r="B301" s="1">
        <v>44130</v>
      </c>
      <c r="C301">
        <v>6897506437</v>
      </c>
      <c r="D301" t="s">
        <v>28</v>
      </c>
      <c r="E301" t="s">
        <v>89</v>
      </c>
      <c r="F301" t="s">
        <v>84</v>
      </c>
      <c r="G301" t="s">
        <v>29</v>
      </c>
      <c r="H301" t="s">
        <v>8</v>
      </c>
      <c r="I301" t="s">
        <v>9</v>
      </c>
      <c r="J301" t="s">
        <v>10</v>
      </c>
      <c r="K301" t="s">
        <v>11</v>
      </c>
      <c r="L301" s="2">
        <v>196</v>
      </c>
      <c r="M301" s="2">
        <v>38</v>
      </c>
      <c r="N301" s="2">
        <f>normalizar!$L301*normalizar!$M301</f>
        <v>7448</v>
      </c>
    </row>
    <row r="302" spans="1:14" x14ac:dyDescent="0.25">
      <c r="A302">
        <v>301</v>
      </c>
      <c r="B302" s="1">
        <v>44124</v>
      </c>
      <c r="C302">
        <v>6298594113</v>
      </c>
      <c r="D302" t="s">
        <v>36</v>
      </c>
      <c r="E302" t="s">
        <v>92</v>
      </c>
      <c r="F302" t="s">
        <v>99</v>
      </c>
      <c r="G302" t="s">
        <v>37</v>
      </c>
      <c r="H302" t="s">
        <v>25</v>
      </c>
      <c r="I302" t="s">
        <v>9</v>
      </c>
      <c r="J302" t="s">
        <v>30</v>
      </c>
      <c r="K302" t="s">
        <v>31</v>
      </c>
      <c r="L302" s="2">
        <v>178.5</v>
      </c>
      <c r="M302" s="2">
        <v>15</v>
      </c>
      <c r="N302" s="2">
        <f>normalizar!$L302*normalizar!$M302</f>
        <v>2677.5</v>
      </c>
    </row>
    <row r="303" spans="1:14" x14ac:dyDescent="0.25">
      <c r="A303">
        <v>302</v>
      </c>
      <c r="B303" s="1">
        <v>43984</v>
      </c>
      <c r="C303">
        <v>6972691420</v>
      </c>
      <c r="D303" t="s">
        <v>14</v>
      </c>
      <c r="E303" t="s">
        <v>81</v>
      </c>
      <c r="F303" t="s">
        <v>94</v>
      </c>
      <c r="G303" t="s">
        <v>15</v>
      </c>
      <c r="H303" t="s">
        <v>16</v>
      </c>
      <c r="I303" t="s">
        <v>17</v>
      </c>
      <c r="J303" t="s">
        <v>70</v>
      </c>
      <c r="K303" t="s">
        <v>47</v>
      </c>
      <c r="L303" s="2">
        <v>1134</v>
      </c>
      <c r="M303" s="2">
        <v>52</v>
      </c>
      <c r="N303" s="2">
        <f>normalizar!$L303*normalizar!$M303</f>
        <v>58968</v>
      </c>
    </row>
    <row r="304" spans="1:14" x14ac:dyDescent="0.25">
      <c r="A304">
        <v>303</v>
      </c>
      <c r="B304" s="1">
        <v>44078</v>
      </c>
      <c r="C304">
        <v>677992170</v>
      </c>
      <c r="D304" t="s">
        <v>14</v>
      </c>
      <c r="E304" t="s">
        <v>81</v>
      </c>
      <c r="F304" t="s">
        <v>94</v>
      </c>
      <c r="G304" t="s">
        <v>15</v>
      </c>
      <c r="H304" t="s">
        <v>16</v>
      </c>
      <c r="I304" t="s">
        <v>17</v>
      </c>
      <c r="J304" t="s">
        <v>71</v>
      </c>
      <c r="K304" t="s">
        <v>72</v>
      </c>
      <c r="L304" s="2">
        <v>98</v>
      </c>
      <c r="M304" s="2">
        <v>37</v>
      </c>
      <c r="N304" s="2">
        <f>normalizar!$L304*normalizar!$M304</f>
        <v>3626</v>
      </c>
    </row>
    <row r="305" spans="1:14" x14ac:dyDescent="0.25">
      <c r="A305">
        <v>304</v>
      </c>
      <c r="B305" s="1">
        <v>44063</v>
      </c>
      <c r="C305">
        <v>3501827064</v>
      </c>
      <c r="D305" t="s">
        <v>23</v>
      </c>
      <c r="E305" t="s">
        <v>86</v>
      </c>
      <c r="F305" t="s">
        <v>82</v>
      </c>
      <c r="G305" t="s">
        <v>24</v>
      </c>
      <c r="H305" t="s">
        <v>25</v>
      </c>
      <c r="I305" t="s">
        <v>17</v>
      </c>
      <c r="J305" t="s">
        <v>58</v>
      </c>
      <c r="K305" t="s">
        <v>59</v>
      </c>
      <c r="L305" s="2">
        <v>487.19999999999993</v>
      </c>
      <c r="M305" s="2">
        <v>24</v>
      </c>
      <c r="N305" s="2">
        <f>normalizar!$L305*normalizar!$M305</f>
        <v>11692.8</v>
      </c>
    </row>
    <row r="306" spans="1:14" x14ac:dyDescent="0.25">
      <c r="A306">
        <v>305</v>
      </c>
      <c r="B306" s="1">
        <v>43979</v>
      </c>
      <c r="C306">
        <v>9140892367</v>
      </c>
      <c r="D306" t="s">
        <v>32</v>
      </c>
      <c r="E306" t="s">
        <v>93</v>
      </c>
      <c r="F306" t="s">
        <v>96</v>
      </c>
      <c r="G306" t="s">
        <v>7</v>
      </c>
      <c r="H306" t="s">
        <v>8</v>
      </c>
      <c r="I306" t="s">
        <v>33</v>
      </c>
      <c r="J306" t="s">
        <v>60</v>
      </c>
      <c r="K306" t="s">
        <v>49</v>
      </c>
      <c r="L306" s="2">
        <v>140</v>
      </c>
      <c r="M306" s="2">
        <v>36</v>
      </c>
      <c r="N306" s="2">
        <f>normalizar!$L306*normalizar!$M306</f>
        <v>5040</v>
      </c>
    </row>
    <row r="307" spans="1:14" x14ac:dyDescent="0.25">
      <c r="A307">
        <v>306</v>
      </c>
      <c r="B307" s="1">
        <v>44037</v>
      </c>
      <c r="C307">
        <v>7570396760</v>
      </c>
      <c r="D307" t="s">
        <v>32</v>
      </c>
      <c r="E307" t="s">
        <v>93</v>
      </c>
      <c r="F307" t="s">
        <v>96</v>
      </c>
      <c r="G307" t="s">
        <v>7</v>
      </c>
      <c r="H307" t="s">
        <v>8</v>
      </c>
      <c r="I307" t="s">
        <v>33</v>
      </c>
      <c r="J307" t="s">
        <v>38</v>
      </c>
      <c r="K307" t="s">
        <v>39</v>
      </c>
      <c r="L307" s="2">
        <v>560</v>
      </c>
      <c r="M307" s="2">
        <v>24</v>
      </c>
      <c r="N307" s="2">
        <f>normalizar!$L307*normalizar!$M307</f>
        <v>13440</v>
      </c>
    </row>
    <row r="308" spans="1:14" x14ac:dyDescent="0.25">
      <c r="A308">
        <v>307</v>
      </c>
      <c r="B308" s="1">
        <v>44085</v>
      </c>
      <c r="C308">
        <v>5368769086</v>
      </c>
      <c r="D308" t="s">
        <v>42</v>
      </c>
      <c r="E308" t="s">
        <v>91</v>
      </c>
      <c r="F308" t="s">
        <v>91</v>
      </c>
      <c r="G308" t="s">
        <v>43</v>
      </c>
      <c r="H308" t="s">
        <v>8</v>
      </c>
      <c r="I308" t="s">
        <v>17</v>
      </c>
      <c r="J308" t="s">
        <v>61</v>
      </c>
      <c r="K308" t="s">
        <v>13</v>
      </c>
      <c r="L308" s="2">
        <v>140</v>
      </c>
      <c r="M308" s="2">
        <v>20</v>
      </c>
      <c r="N308" s="2">
        <f>normalizar!$L308*normalizar!$M308</f>
        <v>2800</v>
      </c>
    </row>
    <row r="309" spans="1:14" x14ac:dyDescent="0.25">
      <c r="A309">
        <v>308</v>
      </c>
      <c r="B309" s="1">
        <v>44162</v>
      </c>
      <c r="C309">
        <v>443042127</v>
      </c>
      <c r="D309" t="s">
        <v>42</v>
      </c>
      <c r="E309" t="s">
        <v>91</v>
      </c>
      <c r="F309" t="s">
        <v>91</v>
      </c>
      <c r="G309" t="s">
        <v>43</v>
      </c>
      <c r="H309" t="s">
        <v>16</v>
      </c>
      <c r="I309" t="s">
        <v>127</v>
      </c>
      <c r="J309" t="s">
        <v>12</v>
      </c>
      <c r="K309" t="s">
        <v>13</v>
      </c>
      <c r="L309" s="2">
        <v>49</v>
      </c>
      <c r="M309" s="2">
        <v>11</v>
      </c>
      <c r="N309" s="2">
        <f>normalizar!$L309*normalizar!$M309</f>
        <v>539</v>
      </c>
    </row>
    <row r="310" spans="1:14" x14ac:dyDescent="0.25">
      <c r="A310">
        <v>309</v>
      </c>
      <c r="B310" s="1">
        <v>43840</v>
      </c>
      <c r="C310">
        <v>3198859022</v>
      </c>
      <c r="D310" t="s">
        <v>50</v>
      </c>
      <c r="E310" t="s">
        <v>85</v>
      </c>
      <c r="F310" t="s">
        <v>83</v>
      </c>
      <c r="G310" t="s">
        <v>41</v>
      </c>
      <c r="H310" t="s">
        <v>25</v>
      </c>
      <c r="I310" t="s">
        <v>127</v>
      </c>
      <c r="J310" t="s">
        <v>38</v>
      </c>
      <c r="K310" t="s">
        <v>39</v>
      </c>
      <c r="L310" s="2">
        <v>560</v>
      </c>
      <c r="M310" s="2">
        <v>78</v>
      </c>
      <c r="N310" s="2">
        <f>normalizar!$L310*normalizar!$M310</f>
        <v>43680</v>
      </c>
    </row>
    <row r="311" spans="1:14" x14ac:dyDescent="0.25">
      <c r="A311">
        <v>310</v>
      </c>
      <c r="B311" s="1">
        <v>44043</v>
      </c>
      <c r="C311">
        <v>2982674072</v>
      </c>
      <c r="D311" t="s">
        <v>51</v>
      </c>
      <c r="E311" t="s">
        <v>90</v>
      </c>
      <c r="F311" t="s">
        <v>98</v>
      </c>
      <c r="G311" t="s">
        <v>24</v>
      </c>
      <c r="H311" t="s">
        <v>25</v>
      </c>
      <c r="I311" t="s">
        <v>127</v>
      </c>
      <c r="J311" t="s">
        <v>52</v>
      </c>
      <c r="K311" t="s">
        <v>53</v>
      </c>
      <c r="L311" s="2">
        <v>257.59999999999997</v>
      </c>
      <c r="M311" s="2">
        <v>76</v>
      </c>
      <c r="N311" s="2">
        <f>normalizar!$L311*normalizar!$M311</f>
        <v>19577.599999999999</v>
      </c>
    </row>
    <row r="312" spans="1:14" x14ac:dyDescent="0.25">
      <c r="A312">
        <v>311</v>
      </c>
      <c r="B312" s="1">
        <v>44118</v>
      </c>
      <c r="C312">
        <v>1636086310</v>
      </c>
      <c r="D312" t="s">
        <v>40</v>
      </c>
      <c r="E312" t="s">
        <v>97</v>
      </c>
      <c r="F312" t="s">
        <v>88</v>
      </c>
      <c r="G312" t="s">
        <v>41</v>
      </c>
      <c r="H312" t="s">
        <v>25</v>
      </c>
      <c r="I312" t="s">
        <v>17</v>
      </c>
      <c r="J312" t="s">
        <v>22</v>
      </c>
      <c r="K312" t="s">
        <v>11</v>
      </c>
      <c r="L312" s="2">
        <v>644</v>
      </c>
      <c r="M312" s="2">
        <v>57</v>
      </c>
      <c r="N312" s="2">
        <f>normalizar!$L312*normalizar!$M312</f>
        <v>36708</v>
      </c>
    </row>
    <row r="313" spans="1:14" x14ac:dyDescent="0.25">
      <c r="A313">
        <v>312</v>
      </c>
      <c r="B313" s="1">
        <v>44069</v>
      </c>
      <c r="C313">
        <v>9879315200</v>
      </c>
      <c r="D313" t="s">
        <v>54</v>
      </c>
      <c r="E313" t="s">
        <v>89</v>
      </c>
      <c r="F313" t="s">
        <v>84</v>
      </c>
      <c r="G313" t="s">
        <v>55</v>
      </c>
      <c r="H313" t="s">
        <v>16</v>
      </c>
      <c r="I313" t="s">
        <v>9</v>
      </c>
      <c r="J313" t="s">
        <v>34</v>
      </c>
      <c r="K313" t="s">
        <v>35</v>
      </c>
      <c r="L313" s="2">
        <v>135.1</v>
      </c>
      <c r="M313" s="2">
        <v>14</v>
      </c>
      <c r="N313" s="2">
        <f>normalizar!$L313*normalizar!$M313</f>
        <v>1891.3999999999999</v>
      </c>
    </row>
    <row r="314" spans="1:14" x14ac:dyDescent="0.25">
      <c r="A314">
        <v>313</v>
      </c>
      <c r="B314" s="1">
        <v>43953</v>
      </c>
      <c r="C314">
        <v>3833780472</v>
      </c>
      <c r="D314" t="s">
        <v>6</v>
      </c>
      <c r="E314" t="s">
        <v>80</v>
      </c>
      <c r="F314" t="s">
        <v>95</v>
      </c>
      <c r="G314" t="s">
        <v>7</v>
      </c>
      <c r="H314" t="s">
        <v>8</v>
      </c>
      <c r="I314" t="s">
        <v>9</v>
      </c>
      <c r="J314" t="s">
        <v>10</v>
      </c>
      <c r="K314" t="s">
        <v>11</v>
      </c>
      <c r="L314" s="2">
        <v>196</v>
      </c>
      <c r="M314" s="2">
        <v>14</v>
      </c>
      <c r="N314" s="2">
        <f>normalizar!$L314*normalizar!$M314</f>
        <v>2744</v>
      </c>
    </row>
    <row r="315" spans="1:14" x14ac:dyDescent="0.25">
      <c r="A315">
        <v>314</v>
      </c>
      <c r="B315" s="1">
        <v>44161</v>
      </c>
      <c r="C315">
        <v>1343389818</v>
      </c>
      <c r="D315" t="s">
        <v>6</v>
      </c>
      <c r="E315" t="s">
        <v>80</v>
      </c>
      <c r="F315" t="s">
        <v>95</v>
      </c>
      <c r="G315" t="s">
        <v>7</v>
      </c>
      <c r="H315" t="s">
        <v>8</v>
      </c>
      <c r="I315" t="s">
        <v>9</v>
      </c>
      <c r="J315" t="s">
        <v>12</v>
      </c>
      <c r="K315" t="s">
        <v>13</v>
      </c>
      <c r="L315" s="2">
        <v>49</v>
      </c>
      <c r="M315" s="2">
        <v>70</v>
      </c>
      <c r="N315" s="2">
        <f>normalizar!$L315*normalizar!$M315</f>
        <v>3430</v>
      </c>
    </row>
    <row r="316" spans="1:14" x14ac:dyDescent="0.25">
      <c r="A316">
        <v>315</v>
      </c>
      <c r="B316" s="1">
        <v>43897</v>
      </c>
      <c r="C316">
        <v>3066920858</v>
      </c>
      <c r="D316" t="s">
        <v>14</v>
      </c>
      <c r="E316" t="s">
        <v>81</v>
      </c>
      <c r="F316" t="s">
        <v>94</v>
      </c>
      <c r="G316" t="s">
        <v>15</v>
      </c>
      <c r="H316" t="s">
        <v>16</v>
      </c>
      <c r="I316" t="s">
        <v>17</v>
      </c>
      <c r="J316" t="s">
        <v>18</v>
      </c>
      <c r="K316" t="s">
        <v>13</v>
      </c>
      <c r="L316" s="2">
        <v>420</v>
      </c>
      <c r="M316" s="2">
        <v>100</v>
      </c>
      <c r="N316" s="2">
        <f>normalizar!$L316*normalizar!$M316</f>
        <v>42000</v>
      </c>
    </row>
    <row r="317" spans="1:14" x14ac:dyDescent="0.25">
      <c r="A317">
        <v>316</v>
      </c>
      <c r="B317" s="1">
        <v>44075</v>
      </c>
      <c r="C317">
        <v>3596038071</v>
      </c>
      <c r="D317" t="s">
        <v>14</v>
      </c>
      <c r="E317" t="s">
        <v>81</v>
      </c>
      <c r="F317" t="s">
        <v>94</v>
      </c>
      <c r="G317" t="s">
        <v>15</v>
      </c>
      <c r="H317" t="s">
        <v>16</v>
      </c>
      <c r="I317" t="s">
        <v>17</v>
      </c>
      <c r="J317" t="s">
        <v>19</v>
      </c>
      <c r="K317" t="s">
        <v>13</v>
      </c>
      <c r="L317" s="2">
        <v>742</v>
      </c>
      <c r="M317" s="2">
        <v>27</v>
      </c>
      <c r="N317" s="2">
        <f>normalizar!$L317*normalizar!$M317</f>
        <v>20034</v>
      </c>
    </row>
    <row r="318" spans="1:14" x14ac:dyDescent="0.25">
      <c r="A318">
        <v>317</v>
      </c>
      <c r="B318" s="1">
        <v>44055</v>
      </c>
      <c r="C318">
        <v>8280434895</v>
      </c>
      <c r="D318" t="s">
        <v>14</v>
      </c>
      <c r="E318" t="s">
        <v>81</v>
      </c>
      <c r="F318" t="s">
        <v>94</v>
      </c>
      <c r="G318" t="s">
        <v>15</v>
      </c>
      <c r="H318" t="s">
        <v>16</v>
      </c>
      <c r="I318" t="s">
        <v>17</v>
      </c>
      <c r="J318" t="s">
        <v>12</v>
      </c>
      <c r="K318" t="s">
        <v>13</v>
      </c>
      <c r="L318" s="2">
        <v>49</v>
      </c>
      <c r="M318" s="2">
        <v>70</v>
      </c>
      <c r="N318" s="2">
        <f>normalizar!$L318*normalizar!$M318</f>
        <v>3430</v>
      </c>
    </row>
    <row r="319" spans="1:14" x14ac:dyDescent="0.25">
      <c r="A319">
        <v>318</v>
      </c>
      <c r="B319" s="1">
        <v>44146</v>
      </c>
      <c r="C319">
        <v>7983505639</v>
      </c>
      <c r="D319" t="s">
        <v>20</v>
      </c>
      <c r="E319" t="s">
        <v>80</v>
      </c>
      <c r="F319" t="s">
        <v>95</v>
      </c>
      <c r="G319" t="s">
        <v>7</v>
      </c>
      <c r="H319" t="s">
        <v>8</v>
      </c>
      <c r="I319" t="s">
        <v>17</v>
      </c>
      <c r="J319" t="s">
        <v>21</v>
      </c>
      <c r="K319" t="s">
        <v>11</v>
      </c>
      <c r="L319" s="2">
        <v>252</v>
      </c>
      <c r="M319" s="2">
        <v>57</v>
      </c>
      <c r="N319" s="2">
        <f>normalizar!$L319*normalizar!$M319</f>
        <v>14364</v>
      </c>
    </row>
    <row r="320" spans="1:14" x14ac:dyDescent="0.25">
      <c r="A320">
        <v>319</v>
      </c>
      <c r="B320" s="1">
        <v>43997</v>
      </c>
      <c r="C320">
        <v>4943792001</v>
      </c>
      <c r="D320" t="s">
        <v>20</v>
      </c>
      <c r="E320" t="s">
        <v>80</v>
      </c>
      <c r="F320" t="s">
        <v>95</v>
      </c>
      <c r="G320" t="s">
        <v>7</v>
      </c>
      <c r="H320" t="s">
        <v>8</v>
      </c>
      <c r="I320" t="s">
        <v>17</v>
      </c>
      <c r="J320" t="s">
        <v>22</v>
      </c>
      <c r="K320" t="s">
        <v>11</v>
      </c>
      <c r="L320" s="2">
        <v>644</v>
      </c>
      <c r="M320" s="2">
        <v>83</v>
      </c>
      <c r="N320" s="2">
        <f>normalizar!$L320*normalizar!$M320</f>
        <v>53452</v>
      </c>
    </row>
    <row r="321" spans="1:14" x14ac:dyDescent="0.25">
      <c r="A321">
        <v>320</v>
      </c>
      <c r="B321" s="1">
        <v>43857</v>
      </c>
      <c r="C321">
        <v>2679766092</v>
      </c>
      <c r="D321" t="s">
        <v>23</v>
      </c>
      <c r="E321" t="s">
        <v>86</v>
      </c>
      <c r="F321" t="s">
        <v>82</v>
      </c>
      <c r="G321" t="s">
        <v>24</v>
      </c>
      <c r="H321" t="s">
        <v>25</v>
      </c>
      <c r="I321" t="s">
        <v>17</v>
      </c>
      <c r="J321" t="s">
        <v>26</v>
      </c>
      <c r="K321" t="s">
        <v>27</v>
      </c>
      <c r="L321" s="2">
        <v>128.79999999999998</v>
      </c>
      <c r="M321" s="2">
        <v>76</v>
      </c>
      <c r="N321" s="2">
        <f>normalizar!$L321*normalizar!$M321</f>
        <v>9788.7999999999993</v>
      </c>
    </row>
    <row r="322" spans="1:14" x14ac:dyDescent="0.25">
      <c r="A322">
        <v>321</v>
      </c>
      <c r="B322" s="1">
        <v>44155</v>
      </c>
      <c r="C322">
        <v>6256032641</v>
      </c>
      <c r="D322" t="s">
        <v>14</v>
      </c>
      <c r="E322" t="s">
        <v>81</v>
      </c>
      <c r="F322" t="s">
        <v>94</v>
      </c>
      <c r="G322" t="s">
        <v>15</v>
      </c>
      <c r="H322" t="s">
        <v>25</v>
      </c>
      <c r="I322" t="s">
        <v>9</v>
      </c>
      <c r="J322" t="s">
        <v>26</v>
      </c>
      <c r="K322" t="s">
        <v>27</v>
      </c>
      <c r="L322" s="2">
        <v>128.79999999999998</v>
      </c>
      <c r="M322" s="2">
        <v>80</v>
      </c>
      <c r="N322" s="2">
        <f>normalizar!$L322*normalizar!$M322</f>
        <v>10303.999999999998</v>
      </c>
    </row>
    <row r="323" spans="1:14" x14ac:dyDescent="0.25">
      <c r="A323">
        <v>322</v>
      </c>
      <c r="B323" s="1">
        <v>43867</v>
      </c>
      <c r="C323">
        <v>8317306577</v>
      </c>
      <c r="D323" t="s">
        <v>28</v>
      </c>
      <c r="E323" t="s">
        <v>89</v>
      </c>
      <c r="F323" t="s">
        <v>84</v>
      </c>
      <c r="G323" t="s">
        <v>29</v>
      </c>
      <c r="H323" t="s">
        <v>8</v>
      </c>
      <c r="I323" t="s">
        <v>9</v>
      </c>
      <c r="J323" t="s">
        <v>30</v>
      </c>
      <c r="K323" t="s">
        <v>31</v>
      </c>
      <c r="L323" s="2">
        <v>178.5</v>
      </c>
      <c r="M323" s="2">
        <v>47</v>
      </c>
      <c r="N323" s="2">
        <f>normalizar!$L323*normalizar!$M323</f>
        <v>8389.5</v>
      </c>
    </row>
    <row r="324" spans="1:14" x14ac:dyDescent="0.25">
      <c r="A324">
        <v>323</v>
      </c>
      <c r="B324" s="1">
        <v>44120</v>
      </c>
      <c r="C324">
        <v>4952054948</v>
      </c>
      <c r="D324" t="s">
        <v>32</v>
      </c>
      <c r="E324" t="s">
        <v>93</v>
      </c>
      <c r="F324" t="s">
        <v>96</v>
      </c>
      <c r="G324" t="s">
        <v>7</v>
      </c>
      <c r="H324" t="s">
        <v>8</v>
      </c>
      <c r="I324" t="s">
        <v>33</v>
      </c>
      <c r="J324" t="s">
        <v>34</v>
      </c>
      <c r="K324" t="s">
        <v>35</v>
      </c>
      <c r="L324" s="2">
        <v>135.1</v>
      </c>
      <c r="M324" s="2">
        <v>96</v>
      </c>
      <c r="N324" s="2">
        <f>normalizar!$L324*normalizar!$M324</f>
        <v>12969.599999999999</v>
      </c>
    </row>
    <row r="325" spans="1:14" x14ac:dyDescent="0.25">
      <c r="A325">
        <v>324</v>
      </c>
      <c r="B325" s="1">
        <v>44059</v>
      </c>
      <c r="C325">
        <v>7792270317</v>
      </c>
      <c r="D325" t="s">
        <v>36</v>
      </c>
      <c r="E325" t="s">
        <v>92</v>
      </c>
      <c r="F325" t="s">
        <v>99</v>
      </c>
      <c r="G325" t="s">
        <v>37</v>
      </c>
      <c r="H325" t="s">
        <v>8</v>
      </c>
      <c r="I325" t="s">
        <v>17</v>
      </c>
      <c r="J325" t="s">
        <v>38</v>
      </c>
      <c r="K325" t="s">
        <v>39</v>
      </c>
      <c r="L325" s="2">
        <v>560</v>
      </c>
      <c r="M325" s="2">
        <v>32</v>
      </c>
      <c r="N325" s="2">
        <f>normalizar!$L325*normalizar!$M325</f>
        <v>17920</v>
      </c>
    </row>
    <row r="326" spans="1:14" x14ac:dyDescent="0.25">
      <c r="A326">
        <v>325</v>
      </c>
      <c r="B326" s="1">
        <v>44045</v>
      </c>
      <c r="C326">
        <v>8753687299</v>
      </c>
      <c r="D326" t="s">
        <v>40</v>
      </c>
      <c r="E326" t="s">
        <v>97</v>
      </c>
      <c r="F326" t="s">
        <v>88</v>
      </c>
      <c r="G326" t="s">
        <v>41</v>
      </c>
      <c r="H326" t="s">
        <v>25</v>
      </c>
      <c r="I326" t="s">
        <v>9</v>
      </c>
      <c r="J326" t="s">
        <v>22</v>
      </c>
      <c r="K326" t="s">
        <v>11</v>
      </c>
      <c r="L326" s="2">
        <v>644</v>
      </c>
      <c r="M326" s="2">
        <v>16</v>
      </c>
      <c r="N326" s="2">
        <f>normalizar!$L326*normalizar!$M326</f>
        <v>10304</v>
      </c>
    </row>
    <row r="327" spans="1:14" x14ac:dyDescent="0.25">
      <c r="A327">
        <v>326</v>
      </c>
      <c r="B327" s="1">
        <v>43867</v>
      </c>
      <c r="C327">
        <v>3276376437</v>
      </c>
      <c r="D327" t="s">
        <v>23</v>
      </c>
      <c r="E327" t="s">
        <v>86</v>
      </c>
      <c r="F327" t="s">
        <v>82</v>
      </c>
      <c r="G327" t="s">
        <v>24</v>
      </c>
      <c r="H327" t="s">
        <v>25</v>
      </c>
      <c r="I327" t="s">
        <v>9</v>
      </c>
      <c r="J327" t="s">
        <v>30</v>
      </c>
      <c r="K327" t="s">
        <v>31</v>
      </c>
      <c r="L327" s="2">
        <v>178.5</v>
      </c>
      <c r="M327" s="2">
        <v>41</v>
      </c>
      <c r="N327" s="2">
        <f>normalizar!$L327*normalizar!$M327</f>
        <v>7318.5</v>
      </c>
    </row>
    <row r="328" spans="1:14" x14ac:dyDescent="0.25">
      <c r="A328">
        <v>327</v>
      </c>
      <c r="B328" s="1">
        <v>44087</v>
      </c>
      <c r="C328">
        <v>6189400875</v>
      </c>
      <c r="D328" t="s">
        <v>42</v>
      </c>
      <c r="E328" t="s">
        <v>91</v>
      </c>
      <c r="F328" t="s">
        <v>91</v>
      </c>
      <c r="G328" t="s">
        <v>43</v>
      </c>
      <c r="H328" t="s">
        <v>8</v>
      </c>
      <c r="I328" t="s">
        <v>17</v>
      </c>
      <c r="J328" t="s">
        <v>44</v>
      </c>
      <c r="K328" t="s">
        <v>11</v>
      </c>
      <c r="L328" s="2">
        <v>41.86</v>
      </c>
      <c r="M328" s="2">
        <v>41</v>
      </c>
      <c r="N328" s="2">
        <f>normalizar!$L328*normalizar!$M328</f>
        <v>1716.26</v>
      </c>
    </row>
    <row r="329" spans="1:14" x14ac:dyDescent="0.25">
      <c r="A329">
        <v>328</v>
      </c>
      <c r="B329" s="1">
        <v>43927</v>
      </c>
      <c r="C329">
        <v>3440571177</v>
      </c>
      <c r="D329" t="s">
        <v>45</v>
      </c>
      <c r="E329" t="s">
        <v>87</v>
      </c>
      <c r="F329" t="s">
        <v>87</v>
      </c>
      <c r="G329" t="s">
        <v>24</v>
      </c>
      <c r="H329" t="s">
        <v>127</v>
      </c>
      <c r="I329" t="s">
        <v>127</v>
      </c>
      <c r="J329" t="s">
        <v>22</v>
      </c>
      <c r="K329" t="s">
        <v>11</v>
      </c>
      <c r="L329" s="2">
        <v>644</v>
      </c>
      <c r="M329" s="2">
        <v>41</v>
      </c>
      <c r="N329" s="2">
        <f>normalizar!$L329*normalizar!$M329</f>
        <v>26404</v>
      </c>
    </row>
    <row r="330" spans="1:14" x14ac:dyDescent="0.25">
      <c r="A330">
        <v>329</v>
      </c>
      <c r="B330" s="1">
        <v>43975</v>
      </c>
      <c r="C330">
        <v>8874798513</v>
      </c>
      <c r="D330" t="s">
        <v>42</v>
      </c>
      <c r="E330" t="s">
        <v>91</v>
      </c>
      <c r="F330" t="s">
        <v>91</v>
      </c>
      <c r="G330" t="s">
        <v>43</v>
      </c>
      <c r="H330" t="s">
        <v>16</v>
      </c>
      <c r="I330" t="s">
        <v>127</v>
      </c>
      <c r="J330" t="s">
        <v>46</v>
      </c>
      <c r="K330" t="s">
        <v>47</v>
      </c>
      <c r="L330" s="2">
        <v>350</v>
      </c>
      <c r="M330" s="2">
        <v>94</v>
      </c>
      <c r="N330" s="2">
        <f>normalizar!$L330*normalizar!$M330</f>
        <v>32900</v>
      </c>
    </row>
    <row r="331" spans="1:14" x14ac:dyDescent="0.25">
      <c r="A331">
        <v>330</v>
      </c>
      <c r="B331" s="1">
        <v>43992</v>
      </c>
      <c r="C331">
        <v>9730368433</v>
      </c>
      <c r="D331" t="s">
        <v>42</v>
      </c>
      <c r="E331" t="s">
        <v>91</v>
      </c>
      <c r="F331" t="s">
        <v>91</v>
      </c>
      <c r="G331" t="s">
        <v>43</v>
      </c>
      <c r="H331" t="s">
        <v>16</v>
      </c>
      <c r="I331" t="s">
        <v>127</v>
      </c>
      <c r="J331" t="s">
        <v>48</v>
      </c>
      <c r="K331" t="s">
        <v>49</v>
      </c>
      <c r="L331" s="2">
        <v>308</v>
      </c>
      <c r="M331" s="2">
        <v>20</v>
      </c>
      <c r="N331" s="2">
        <f>normalizar!$L331*normalizar!$M331</f>
        <v>6160</v>
      </c>
    </row>
    <row r="332" spans="1:14" x14ac:dyDescent="0.25">
      <c r="A332">
        <v>331</v>
      </c>
      <c r="B332" s="1">
        <v>43870</v>
      </c>
      <c r="C332">
        <v>6592275352</v>
      </c>
      <c r="D332" t="s">
        <v>42</v>
      </c>
      <c r="E332" t="s">
        <v>91</v>
      </c>
      <c r="F332" t="s">
        <v>91</v>
      </c>
      <c r="G332" t="s">
        <v>43</v>
      </c>
      <c r="H332" t="s">
        <v>16</v>
      </c>
      <c r="I332" t="s">
        <v>127</v>
      </c>
      <c r="J332" t="s">
        <v>26</v>
      </c>
      <c r="K332" t="s">
        <v>27</v>
      </c>
      <c r="L332" s="2">
        <v>128.79999999999998</v>
      </c>
      <c r="M332" s="2">
        <v>13</v>
      </c>
      <c r="N332" s="2">
        <f>normalizar!$L332*normalizar!$M332</f>
        <v>1674.3999999999999</v>
      </c>
    </row>
    <row r="333" spans="1:14" x14ac:dyDescent="0.25">
      <c r="A333">
        <v>332</v>
      </c>
      <c r="B333" s="1">
        <v>43882</v>
      </c>
      <c r="C333">
        <v>9303282439</v>
      </c>
      <c r="D333" t="s">
        <v>50</v>
      </c>
      <c r="E333" t="s">
        <v>85</v>
      </c>
      <c r="F333" t="s">
        <v>83</v>
      </c>
      <c r="G333" t="s">
        <v>41</v>
      </c>
      <c r="H333" t="s">
        <v>25</v>
      </c>
      <c r="I333" t="s">
        <v>127</v>
      </c>
      <c r="J333" t="s">
        <v>12</v>
      </c>
      <c r="K333" t="s">
        <v>13</v>
      </c>
      <c r="L333" s="2">
        <v>49</v>
      </c>
      <c r="M333" s="2">
        <v>74</v>
      </c>
      <c r="N333" s="2">
        <f>normalizar!$L333*normalizar!$M333</f>
        <v>3626</v>
      </c>
    </row>
    <row r="334" spans="1:14" x14ac:dyDescent="0.25">
      <c r="A334">
        <v>333</v>
      </c>
      <c r="B334" s="1">
        <v>43940</v>
      </c>
      <c r="C334">
        <v>8998167680</v>
      </c>
      <c r="D334" t="s">
        <v>50</v>
      </c>
      <c r="E334" t="s">
        <v>85</v>
      </c>
      <c r="F334" t="s">
        <v>83</v>
      </c>
      <c r="G334" t="s">
        <v>41</v>
      </c>
      <c r="H334" t="s">
        <v>25</v>
      </c>
      <c r="I334" t="s">
        <v>127</v>
      </c>
      <c r="J334" t="s">
        <v>44</v>
      </c>
      <c r="K334" t="s">
        <v>11</v>
      </c>
      <c r="L334" s="2">
        <v>41.86</v>
      </c>
      <c r="M334" s="2">
        <v>53</v>
      </c>
      <c r="N334" s="2">
        <f>normalizar!$L334*normalizar!$M334</f>
        <v>2218.58</v>
      </c>
    </row>
    <row r="335" spans="1:14" x14ac:dyDescent="0.25">
      <c r="A335">
        <v>334</v>
      </c>
      <c r="B335" s="1">
        <v>43874</v>
      </c>
      <c r="C335">
        <v>2058395697</v>
      </c>
      <c r="D335" t="s">
        <v>51</v>
      </c>
      <c r="E335" t="s">
        <v>90</v>
      </c>
      <c r="F335" t="s">
        <v>98</v>
      </c>
      <c r="G335" t="s">
        <v>24</v>
      </c>
      <c r="H335" t="s">
        <v>127</v>
      </c>
      <c r="I335" t="s">
        <v>127</v>
      </c>
      <c r="J335" t="s">
        <v>21</v>
      </c>
      <c r="K335" t="s">
        <v>11</v>
      </c>
      <c r="L335" s="2">
        <v>252</v>
      </c>
      <c r="M335" s="2">
        <v>99</v>
      </c>
      <c r="N335" s="2">
        <f>normalizar!$L335*normalizar!$M335</f>
        <v>24948</v>
      </c>
    </row>
    <row r="336" spans="1:14" x14ac:dyDescent="0.25">
      <c r="A336">
        <v>335</v>
      </c>
      <c r="B336" s="1">
        <v>43832</v>
      </c>
      <c r="C336">
        <v>5534305664</v>
      </c>
      <c r="D336" t="s">
        <v>51</v>
      </c>
      <c r="E336" t="s">
        <v>90</v>
      </c>
      <c r="F336" t="s">
        <v>98</v>
      </c>
      <c r="G336" t="s">
        <v>24</v>
      </c>
      <c r="H336" t="s">
        <v>127</v>
      </c>
      <c r="I336" t="s">
        <v>127</v>
      </c>
      <c r="J336" t="s">
        <v>22</v>
      </c>
      <c r="K336" t="s">
        <v>11</v>
      </c>
      <c r="L336" s="2">
        <v>644</v>
      </c>
      <c r="M336" s="2">
        <v>89</v>
      </c>
      <c r="N336" s="2">
        <f>normalizar!$L336*normalizar!$M336</f>
        <v>57316</v>
      </c>
    </row>
    <row r="337" spans="1:14" x14ac:dyDescent="0.25">
      <c r="A337">
        <v>336</v>
      </c>
      <c r="B337" s="1">
        <v>43988</v>
      </c>
      <c r="C337">
        <v>5417309832</v>
      </c>
      <c r="D337" t="s">
        <v>51</v>
      </c>
      <c r="E337" t="s">
        <v>90</v>
      </c>
      <c r="F337" t="s">
        <v>98</v>
      </c>
      <c r="G337" t="s">
        <v>24</v>
      </c>
      <c r="H337" t="s">
        <v>127</v>
      </c>
      <c r="I337" t="s">
        <v>127</v>
      </c>
      <c r="J337" t="s">
        <v>44</v>
      </c>
      <c r="K337" t="s">
        <v>11</v>
      </c>
      <c r="L337" s="2">
        <v>41.86</v>
      </c>
      <c r="M337" s="2">
        <v>64</v>
      </c>
      <c r="N337" s="2">
        <f>normalizar!$L337*normalizar!$M337</f>
        <v>2679.04</v>
      </c>
    </row>
    <row r="338" spans="1:14" x14ac:dyDescent="0.25">
      <c r="A338">
        <v>337</v>
      </c>
      <c r="B338" s="1">
        <v>44101</v>
      </c>
      <c r="C338">
        <v>7626114952</v>
      </c>
      <c r="D338" t="s">
        <v>40</v>
      </c>
      <c r="E338" t="s">
        <v>97</v>
      </c>
      <c r="F338" t="s">
        <v>88</v>
      </c>
      <c r="G338" t="s">
        <v>41</v>
      </c>
      <c r="H338" t="s">
        <v>25</v>
      </c>
      <c r="I338" t="s">
        <v>17</v>
      </c>
      <c r="J338" t="s">
        <v>34</v>
      </c>
      <c r="K338" t="s">
        <v>35</v>
      </c>
      <c r="L338" s="2">
        <v>135.1</v>
      </c>
      <c r="M338" s="2">
        <v>98</v>
      </c>
      <c r="N338" s="2">
        <f>normalizar!$L338*normalizar!$M338</f>
        <v>13239.8</v>
      </c>
    </row>
    <row r="339" spans="1:14" x14ac:dyDescent="0.25">
      <c r="A339">
        <v>338</v>
      </c>
      <c r="B339" s="1">
        <v>43879</v>
      </c>
      <c r="C339">
        <v>7075151442</v>
      </c>
      <c r="D339" t="s">
        <v>40</v>
      </c>
      <c r="E339" t="s">
        <v>97</v>
      </c>
      <c r="F339" t="s">
        <v>88</v>
      </c>
      <c r="G339" t="s">
        <v>41</v>
      </c>
      <c r="H339" t="s">
        <v>25</v>
      </c>
      <c r="I339" t="s">
        <v>17</v>
      </c>
      <c r="J339" t="s">
        <v>52</v>
      </c>
      <c r="K339" t="s">
        <v>53</v>
      </c>
      <c r="L339" s="2">
        <v>257.59999999999997</v>
      </c>
      <c r="M339" s="2">
        <v>86</v>
      </c>
      <c r="N339" s="2">
        <f>normalizar!$L339*normalizar!$M339</f>
        <v>22153.599999999999</v>
      </c>
    </row>
    <row r="340" spans="1:14" x14ac:dyDescent="0.25">
      <c r="A340">
        <v>339</v>
      </c>
      <c r="B340" s="1">
        <v>44167</v>
      </c>
      <c r="C340">
        <v>4170346813</v>
      </c>
      <c r="D340" t="s">
        <v>54</v>
      </c>
      <c r="E340" t="s">
        <v>89</v>
      </c>
      <c r="F340" t="s">
        <v>84</v>
      </c>
      <c r="G340" t="s">
        <v>55</v>
      </c>
      <c r="H340" t="s">
        <v>16</v>
      </c>
      <c r="I340" t="s">
        <v>9</v>
      </c>
      <c r="J340" t="s">
        <v>56</v>
      </c>
      <c r="K340" t="s">
        <v>57</v>
      </c>
      <c r="L340" s="2">
        <v>273</v>
      </c>
      <c r="M340" s="2">
        <v>20</v>
      </c>
      <c r="N340" s="2">
        <f>normalizar!$L340*normalizar!$M340</f>
        <v>5460</v>
      </c>
    </row>
    <row r="341" spans="1:14" x14ac:dyDescent="0.25">
      <c r="A341">
        <v>340</v>
      </c>
      <c r="B341" s="1">
        <v>43982</v>
      </c>
      <c r="C341">
        <v>7181884746</v>
      </c>
      <c r="D341" t="s">
        <v>54</v>
      </c>
      <c r="E341" t="s">
        <v>89</v>
      </c>
      <c r="F341" t="s">
        <v>84</v>
      </c>
      <c r="G341" t="s">
        <v>55</v>
      </c>
      <c r="H341" t="s">
        <v>16</v>
      </c>
      <c r="I341" t="s">
        <v>9</v>
      </c>
      <c r="J341" t="s">
        <v>58</v>
      </c>
      <c r="K341" t="s">
        <v>59</v>
      </c>
      <c r="L341" s="2">
        <v>487.19999999999993</v>
      </c>
      <c r="M341" s="2">
        <v>69</v>
      </c>
      <c r="N341" s="2">
        <f>normalizar!$L341*normalizar!$M341</f>
        <v>33616.799999999996</v>
      </c>
    </row>
    <row r="342" spans="1:14" x14ac:dyDescent="0.25">
      <c r="A342">
        <v>341</v>
      </c>
      <c r="B342" s="1">
        <v>44196</v>
      </c>
      <c r="C342">
        <v>654398232</v>
      </c>
      <c r="D342" t="s">
        <v>36</v>
      </c>
      <c r="E342" t="s">
        <v>92</v>
      </c>
      <c r="F342" t="s">
        <v>99</v>
      </c>
      <c r="G342" t="s">
        <v>37</v>
      </c>
      <c r="H342" t="s">
        <v>8</v>
      </c>
      <c r="I342" t="s">
        <v>17</v>
      </c>
      <c r="J342" t="s">
        <v>10</v>
      </c>
      <c r="K342" t="s">
        <v>11</v>
      </c>
      <c r="L342" s="2">
        <v>196</v>
      </c>
      <c r="M342" s="2">
        <v>68</v>
      </c>
      <c r="N342" s="2">
        <f>normalizar!$L342*normalizar!$M342</f>
        <v>13328</v>
      </c>
    </row>
    <row r="343" spans="1:14" x14ac:dyDescent="0.25">
      <c r="A343">
        <v>342</v>
      </c>
      <c r="B343" s="1">
        <v>43891</v>
      </c>
      <c r="C343">
        <v>6559752885</v>
      </c>
      <c r="D343" t="s">
        <v>23</v>
      </c>
      <c r="E343" t="s">
        <v>86</v>
      </c>
      <c r="F343" t="s">
        <v>82</v>
      </c>
      <c r="G343" t="s">
        <v>24</v>
      </c>
      <c r="H343" t="s">
        <v>8</v>
      </c>
      <c r="I343" t="s">
        <v>9</v>
      </c>
      <c r="J343" t="s">
        <v>38</v>
      </c>
      <c r="K343" t="s">
        <v>39</v>
      </c>
      <c r="L343" s="2">
        <v>560</v>
      </c>
      <c r="M343" s="2">
        <v>52</v>
      </c>
      <c r="N343" s="2">
        <f>normalizar!$L343*normalizar!$M343</f>
        <v>29120</v>
      </c>
    </row>
    <row r="344" spans="1:14" x14ac:dyDescent="0.25">
      <c r="A344">
        <v>343</v>
      </c>
      <c r="B344" s="1">
        <v>44023</v>
      </c>
      <c r="C344">
        <v>9428165637</v>
      </c>
      <c r="D344" t="s">
        <v>23</v>
      </c>
      <c r="E344" t="s">
        <v>86</v>
      </c>
      <c r="F344" t="s">
        <v>82</v>
      </c>
      <c r="G344" t="s">
        <v>24</v>
      </c>
      <c r="H344" t="s">
        <v>8</v>
      </c>
      <c r="I344" t="s">
        <v>9</v>
      </c>
      <c r="J344" t="s">
        <v>26</v>
      </c>
      <c r="K344" t="s">
        <v>27</v>
      </c>
      <c r="L344" s="2">
        <v>128.79999999999998</v>
      </c>
      <c r="M344" s="2">
        <v>40</v>
      </c>
      <c r="N344" s="2">
        <f>normalizar!$L344*normalizar!$M344</f>
        <v>5151.9999999999991</v>
      </c>
    </row>
    <row r="345" spans="1:14" x14ac:dyDescent="0.25">
      <c r="A345">
        <v>344</v>
      </c>
      <c r="B345" s="1">
        <v>43843</v>
      </c>
      <c r="C345">
        <v>9902612158</v>
      </c>
      <c r="D345" t="s">
        <v>62</v>
      </c>
      <c r="E345" t="s">
        <v>91</v>
      </c>
      <c r="F345" t="s">
        <v>91</v>
      </c>
      <c r="G345" t="s">
        <v>43</v>
      </c>
      <c r="H345" t="s">
        <v>16</v>
      </c>
      <c r="I345" t="s">
        <v>33</v>
      </c>
      <c r="J345" t="s">
        <v>67</v>
      </c>
      <c r="K345" t="s">
        <v>27</v>
      </c>
      <c r="L345" s="2">
        <v>140</v>
      </c>
      <c r="M345" s="2">
        <v>100</v>
      </c>
      <c r="N345" s="2">
        <f>normalizar!$L345*normalizar!$M345</f>
        <v>14000</v>
      </c>
    </row>
    <row r="346" spans="1:14" x14ac:dyDescent="0.25">
      <c r="A346">
        <v>345</v>
      </c>
      <c r="B346" s="1">
        <v>44034</v>
      </c>
      <c r="C346">
        <v>9601886174</v>
      </c>
      <c r="D346" t="s">
        <v>63</v>
      </c>
      <c r="E346" t="s">
        <v>85</v>
      </c>
      <c r="F346" t="s">
        <v>83</v>
      </c>
      <c r="G346" t="s">
        <v>41</v>
      </c>
      <c r="H346" t="s">
        <v>25</v>
      </c>
      <c r="I346" t="s">
        <v>17</v>
      </c>
      <c r="J346" t="s">
        <v>68</v>
      </c>
      <c r="K346" t="s">
        <v>69</v>
      </c>
      <c r="L346" s="2">
        <v>298.90000000000003</v>
      </c>
      <c r="M346" s="2">
        <v>88</v>
      </c>
      <c r="N346" s="2">
        <f>normalizar!$L346*normalizar!$M346</f>
        <v>26303.200000000004</v>
      </c>
    </row>
    <row r="347" spans="1:14" x14ac:dyDescent="0.25">
      <c r="A347">
        <v>346</v>
      </c>
      <c r="B347" s="1">
        <v>43958</v>
      </c>
      <c r="C347">
        <v>9194823962</v>
      </c>
      <c r="D347" t="s">
        <v>63</v>
      </c>
      <c r="E347" t="s">
        <v>85</v>
      </c>
      <c r="F347" t="s">
        <v>83</v>
      </c>
      <c r="G347" t="s">
        <v>41</v>
      </c>
      <c r="H347" t="s">
        <v>25</v>
      </c>
      <c r="I347" t="s">
        <v>17</v>
      </c>
      <c r="J347" t="s">
        <v>34</v>
      </c>
      <c r="K347" t="s">
        <v>35</v>
      </c>
      <c r="L347" s="2">
        <v>135.1</v>
      </c>
      <c r="M347" s="2">
        <v>46</v>
      </c>
      <c r="N347" s="2">
        <f>normalizar!$L347*normalizar!$M347</f>
        <v>6214.5999999999995</v>
      </c>
    </row>
    <row r="348" spans="1:14" x14ac:dyDescent="0.25">
      <c r="A348">
        <v>347</v>
      </c>
      <c r="B348" s="1">
        <v>43832</v>
      </c>
      <c r="C348">
        <v>3580433044</v>
      </c>
      <c r="D348" t="s">
        <v>63</v>
      </c>
      <c r="E348" t="s">
        <v>85</v>
      </c>
      <c r="F348" t="s">
        <v>83</v>
      </c>
      <c r="G348" t="s">
        <v>41</v>
      </c>
      <c r="H348" t="s">
        <v>25</v>
      </c>
      <c r="I348" t="s">
        <v>17</v>
      </c>
      <c r="J348" t="s">
        <v>52</v>
      </c>
      <c r="K348" t="s">
        <v>53</v>
      </c>
      <c r="L348" s="2">
        <v>257.59999999999997</v>
      </c>
      <c r="M348" s="2">
        <v>93</v>
      </c>
      <c r="N348" s="2">
        <f>normalizar!$L348*normalizar!$M348</f>
        <v>23956.799999999996</v>
      </c>
    </row>
    <row r="349" spans="1:14" x14ac:dyDescent="0.25">
      <c r="A349">
        <v>348</v>
      </c>
      <c r="B349" s="1">
        <v>43959</v>
      </c>
      <c r="C349">
        <v>7020598503</v>
      </c>
      <c r="D349" t="s">
        <v>28</v>
      </c>
      <c r="E349" t="s">
        <v>89</v>
      </c>
      <c r="F349" t="s">
        <v>84</v>
      </c>
      <c r="G349" t="s">
        <v>29</v>
      </c>
      <c r="H349" t="s">
        <v>8</v>
      </c>
      <c r="I349" t="s">
        <v>9</v>
      </c>
      <c r="J349" t="s">
        <v>10</v>
      </c>
      <c r="K349" t="s">
        <v>11</v>
      </c>
      <c r="L349" s="2">
        <v>196</v>
      </c>
      <c r="M349" s="2">
        <v>96</v>
      </c>
      <c r="N349" s="2">
        <f>normalizar!$L349*normalizar!$M349</f>
        <v>18816</v>
      </c>
    </row>
    <row r="350" spans="1:14" x14ac:dyDescent="0.25">
      <c r="A350">
        <v>349</v>
      </c>
      <c r="B350" s="1">
        <v>44101</v>
      </c>
      <c r="C350">
        <v>8040421717</v>
      </c>
      <c r="D350" t="s">
        <v>36</v>
      </c>
      <c r="E350" t="s">
        <v>92</v>
      </c>
      <c r="F350" t="s">
        <v>99</v>
      </c>
      <c r="G350" t="s">
        <v>37</v>
      </c>
      <c r="H350" t="s">
        <v>25</v>
      </c>
      <c r="I350" t="s">
        <v>9</v>
      </c>
      <c r="J350" t="s">
        <v>30</v>
      </c>
      <c r="K350" t="s">
        <v>31</v>
      </c>
      <c r="L350" s="2">
        <v>178.5</v>
      </c>
      <c r="M350" s="2">
        <v>12</v>
      </c>
      <c r="N350" s="2">
        <f>normalizar!$L350*normalizar!$M350</f>
        <v>2142</v>
      </c>
    </row>
    <row r="351" spans="1:14" x14ac:dyDescent="0.25">
      <c r="A351">
        <v>350</v>
      </c>
      <c r="B351" s="1">
        <v>43958</v>
      </c>
      <c r="C351">
        <v>3654530055</v>
      </c>
      <c r="D351" t="s">
        <v>14</v>
      </c>
      <c r="E351" t="s">
        <v>81</v>
      </c>
      <c r="F351" t="s">
        <v>94</v>
      </c>
      <c r="G351" t="s">
        <v>15</v>
      </c>
      <c r="H351" t="s">
        <v>16</v>
      </c>
      <c r="I351" t="s">
        <v>17</v>
      </c>
      <c r="J351" t="s">
        <v>70</v>
      </c>
      <c r="K351" t="s">
        <v>47</v>
      </c>
      <c r="L351" s="2">
        <v>1134</v>
      </c>
      <c r="M351" s="2">
        <v>38</v>
      </c>
      <c r="N351" s="2">
        <f>normalizar!$L351*normalizar!$M351</f>
        <v>43092</v>
      </c>
    </row>
    <row r="352" spans="1:14" x14ac:dyDescent="0.25">
      <c r="A352">
        <v>351</v>
      </c>
      <c r="B352" s="1">
        <v>43884</v>
      </c>
      <c r="C352">
        <v>2061527783</v>
      </c>
      <c r="D352" t="s">
        <v>14</v>
      </c>
      <c r="E352" t="s">
        <v>81</v>
      </c>
      <c r="F352" t="s">
        <v>94</v>
      </c>
      <c r="G352" t="s">
        <v>15</v>
      </c>
      <c r="H352" t="s">
        <v>16</v>
      </c>
      <c r="I352" t="s">
        <v>17</v>
      </c>
      <c r="J352" t="s">
        <v>71</v>
      </c>
      <c r="K352" t="s">
        <v>72</v>
      </c>
      <c r="L352" s="2">
        <v>98</v>
      </c>
      <c r="M352" s="2">
        <v>42</v>
      </c>
      <c r="N352" s="2">
        <f>normalizar!$L352*normalizar!$M352</f>
        <v>4116</v>
      </c>
    </row>
    <row r="353" spans="1:14" x14ac:dyDescent="0.25">
      <c r="A353">
        <v>352</v>
      </c>
      <c r="B353" s="1">
        <v>43958</v>
      </c>
      <c r="C353">
        <v>7896754000</v>
      </c>
      <c r="D353" t="s">
        <v>23</v>
      </c>
      <c r="E353" t="s">
        <v>86</v>
      </c>
      <c r="F353" t="s">
        <v>82</v>
      </c>
      <c r="G353" t="s">
        <v>24</v>
      </c>
      <c r="H353" t="s">
        <v>25</v>
      </c>
      <c r="I353" t="s">
        <v>17</v>
      </c>
      <c r="J353" t="s">
        <v>58</v>
      </c>
      <c r="K353" t="s">
        <v>59</v>
      </c>
      <c r="L353" s="2">
        <v>487.19999999999993</v>
      </c>
      <c r="M353" s="2">
        <v>100</v>
      </c>
      <c r="N353" s="2">
        <f>normalizar!$L353*normalizar!$M353</f>
        <v>48719.999999999993</v>
      </c>
    </row>
    <row r="354" spans="1:14" x14ac:dyDescent="0.25">
      <c r="A354">
        <v>353</v>
      </c>
      <c r="B354" s="1">
        <v>44185</v>
      </c>
      <c r="C354">
        <v>7608023281</v>
      </c>
      <c r="D354" t="s">
        <v>32</v>
      </c>
      <c r="E354" t="s">
        <v>93</v>
      </c>
      <c r="F354" t="s">
        <v>96</v>
      </c>
      <c r="G354" t="s">
        <v>7</v>
      </c>
      <c r="H354" t="s">
        <v>8</v>
      </c>
      <c r="I354" t="s">
        <v>33</v>
      </c>
      <c r="J354" t="s">
        <v>60</v>
      </c>
      <c r="K354" t="s">
        <v>49</v>
      </c>
      <c r="L354" s="2">
        <v>140</v>
      </c>
      <c r="M354" s="2">
        <v>89</v>
      </c>
      <c r="N354" s="2">
        <f>normalizar!$L354*normalizar!$M354</f>
        <v>12460</v>
      </c>
    </row>
    <row r="355" spans="1:14" x14ac:dyDescent="0.25">
      <c r="A355">
        <v>354</v>
      </c>
      <c r="B355" s="1">
        <v>44158</v>
      </c>
      <c r="C355">
        <v>1088259448</v>
      </c>
      <c r="D355" t="s">
        <v>32</v>
      </c>
      <c r="E355" t="s">
        <v>93</v>
      </c>
      <c r="F355" t="s">
        <v>96</v>
      </c>
      <c r="G355" t="s">
        <v>7</v>
      </c>
      <c r="H355" t="s">
        <v>8</v>
      </c>
      <c r="I355" t="s">
        <v>33</v>
      </c>
      <c r="J355" t="s">
        <v>38</v>
      </c>
      <c r="K355" t="s">
        <v>39</v>
      </c>
      <c r="L355" s="2">
        <v>560</v>
      </c>
      <c r="M355" s="2">
        <v>12</v>
      </c>
      <c r="N355" s="2">
        <f>normalizar!$L355*normalizar!$M355</f>
        <v>6720</v>
      </c>
    </row>
    <row r="356" spans="1:14" x14ac:dyDescent="0.25">
      <c r="A356">
        <v>355</v>
      </c>
      <c r="B356" s="1">
        <v>43872</v>
      </c>
      <c r="C356">
        <v>8019968936</v>
      </c>
      <c r="D356" t="s">
        <v>42</v>
      </c>
      <c r="E356" t="s">
        <v>91</v>
      </c>
      <c r="F356" t="s">
        <v>91</v>
      </c>
      <c r="G356" t="s">
        <v>43</v>
      </c>
      <c r="H356" t="s">
        <v>8</v>
      </c>
      <c r="I356" t="s">
        <v>17</v>
      </c>
      <c r="J356" t="s">
        <v>61</v>
      </c>
      <c r="K356" t="s">
        <v>13</v>
      </c>
      <c r="L356" s="2">
        <v>140</v>
      </c>
      <c r="M356" s="2">
        <v>97</v>
      </c>
      <c r="N356" s="2">
        <f>normalizar!$L356*normalizar!$M356</f>
        <v>13580</v>
      </c>
    </row>
    <row r="357" spans="1:14" x14ac:dyDescent="0.25">
      <c r="A357">
        <v>356</v>
      </c>
      <c r="B357" s="1">
        <v>43849</v>
      </c>
      <c r="C357">
        <v>767630917</v>
      </c>
      <c r="D357" t="s">
        <v>42</v>
      </c>
      <c r="E357" t="s">
        <v>91</v>
      </c>
      <c r="F357" t="s">
        <v>91</v>
      </c>
      <c r="G357" t="s">
        <v>43</v>
      </c>
      <c r="H357" t="s">
        <v>16</v>
      </c>
      <c r="I357" t="s">
        <v>127</v>
      </c>
      <c r="J357" t="s">
        <v>12</v>
      </c>
      <c r="K357" t="s">
        <v>13</v>
      </c>
      <c r="L357" s="2">
        <v>49</v>
      </c>
      <c r="M357" s="2">
        <v>53</v>
      </c>
      <c r="N357" s="2">
        <f>normalizar!$L357*normalizar!$M357</f>
        <v>2597</v>
      </c>
    </row>
    <row r="358" spans="1:14" x14ac:dyDescent="0.25">
      <c r="A358">
        <v>357</v>
      </c>
      <c r="B358" s="1">
        <v>44148</v>
      </c>
      <c r="C358">
        <v>8764802979</v>
      </c>
      <c r="D358" t="s">
        <v>50</v>
      </c>
      <c r="E358" t="s">
        <v>85</v>
      </c>
      <c r="F358" t="s">
        <v>83</v>
      </c>
      <c r="G358" t="s">
        <v>41</v>
      </c>
      <c r="H358" t="s">
        <v>25</v>
      </c>
      <c r="I358" t="s">
        <v>127</v>
      </c>
      <c r="J358" t="s">
        <v>38</v>
      </c>
      <c r="K358" t="s">
        <v>39</v>
      </c>
      <c r="L358" s="2">
        <v>560</v>
      </c>
      <c r="M358" s="2">
        <v>61</v>
      </c>
      <c r="N358" s="2">
        <f>normalizar!$L358*normalizar!$M358</f>
        <v>34160</v>
      </c>
    </row>
    <row r="359" spans="1:14" x14ac:dyDescent="0.25">
      <c r="A359">
        <v>358</v>
      </c>
      <c r="B359" s="1">
        <v>44136</v>
      </c>
      <c r="C359">
        <v>1212476279</v>
      </c>
      <c r="D359" t="s">
        <v>51</v>
      </c>
      <c r="E359" t="s">
        <v>90</v>
      </c>
      <c r="F359" t="s">
        <v>98</v>
      </c>
      <c r="G359" t="s">
        <v>24</v>
      </c>
      <c r="H359" t="s">
        <v>25</v>
      </c>
      <c r="I359" t="s">
        <v>127</v>
      </c>
      <c r="J359" t="s">
        <v>52</v>
      </c>
      <c r="K359" t="s">
        <v>53</v>
      </c>
      <c r="L359" s="2">
        <v>257.59999999999997</v>
      </c>
      <c r="M359" s="2">
        <v>45</v>
      </c>
      <c r="N359" s="2">
        <f>normalizar!$L359*normalizar!$M359</f>
        <v>11591.999999999998</v>
      </c>
    </row>
    <row r="360" spans="1:14" x14ac:dyDescent="0.25">
      <c r="A360">
        <v>359</v>
      </c>
      <c r="B360" s="1">
        <v>43990</v>
      </c>
      <c r="C360">
        <v>8659179079</v>
      </c>
      <c r="D360" t="s">
        <v>40</v>
      </c>
      <c r="E360" t="s">
        <v>97</v>
      </c>
      <c r="F360" t="s">
        <v>88</v>
      </c>
      <c r="G360" t="s">
        <v>41</v>
      </c>
      <c r="H360" t="s">
        <v>25</v>
      </c>
      <c r="I360" t="s">
        <v>17</v>
      </c>
      <c r="J360" t="s">
        <v>22</v>
      </c>
      <c r="K360" t="s">
        <v>11</v>
      </c>
      <c r="L360" s="2">
        <v>644</v>
      </c>
      <c r="M360" s="2">
        <v>43</v>
      </c>
      <c r="N360" s="2">
        <f>normalizar!$L360*normalizar!$M360</f>
        <v>27692</v>
      </c>
    </row>
    <row r="361" spans="1:14" x14ac:dyDescent="0.25">
      <c r="A361">
        <v>360</v>
      </c>
      <c r="B361" s="1">
        <v>43938</v>
      </c>
      <c r="C361">
        <v>4311827425</v>
      </c>
      <c r="D361" t="s">
        <v>54</v>
      </c>
      <c r="E361" t="s">
        <v>89</v>
      </c>
      <c r="F361" t="s">
        <v>84</v>
      </c>
      <c r="G361" t="s">
        <v>55</v>
      </c>
      <c r="H361" t="s">
        <v>16</v>
      </c>
      <c r="I361" t="s">
        <v>9</v>
      </c>
      <c r="J361" t="s">
        <v>34</v>
      </c>
      <c r="K361" t="s">
        <v>35</v>
      </c>
      <c r="L361" s="2">
        <v>135.1</v>
      </c>
      <c r="M361" s="2">
        <v>18</v>
      </c>
      <c r="N361" s="2">
        <f>normalizar!$L361*normalizar!$M361</f>
        <v>2431.7999999999997</v>
      </c>
    </row>
    <row r="362" spans="1:14" x14ac:dyDescent="0.25">
      <c r="A362">
        <v>361</v>
      </c>
      <c r="B362" s="1">
        <v>44010</v>
      </c>
      <c r="C362">
        <v>7400116244</v>
      </c>
      <c r="D362" t="s">
        <v>36</v>
      </c>
      <c r="E362" t="s">
        <v>92</v>
      </c>
      <c r="F362" t="s">
        <v>99</v>
      </c>
      <c r="G362" t="s">
        <v>37</v>
      </c>
      <c r="H362" t="s">
        <v>8</v>
      </c>
      <c r="I362" t="s">
        <v>17</v>
      </c>
      <c r="J362" t="s">
        <v>30</v>
      </c>
      <c r="K362" t="s">
        <v>31</v>
      </c>
      <c r="L362" s="2">
        <v>178.5</v>
      </c>
      <c r="M362" s="2">
        <v>41</v>
      </c>
      <c r="N362" s="2">
        <f>normalizar!$L362*normalizar!$M362</f>
        <v>7318.5</v>
      </c>
    </row>
    <row r="363" spans="1:14" x14ac:dyDescent="0.25">
      <c r="A363">
        <v>362</v>
      </c>
      <c r="B363" s="1">
        <v>43946</v>
      </c>
      <c r="C363">
        <v>8550780121</v>
      </c>
      <c r="D363" t="s">
        <v>23</v>
      </c>
      <c r="E363" t="s">
        <v>86</v>
      </c>
      <c r="F363" t="s">
        <v>82</v>
      </c>
      <c r="G363" t="s">
        <v>24</v>
      </c>
      <c r="H363" t="s">
        <v>8</v>
      </c>
      <c r="I363" t="s">
        <v>9</v>
      </c>
      <c r="J363" t="s">
        <v>30</v>
      </c>
      <c r="K363" t="s">
        <v>31</v>
      </c>
      <c r="L363" s="2">
        <v>178.5</v>
      </c>
      <c r="M363" s="2">
        <v>19</v>
      </c>
      <c r="N363" s="2">
        <f>normalizar!$L363*normalizar!$M363</f>
        <v>3391.5</v>
      </c>
    </row>
    <row r="364" spans="1:14" x14ac:dyDescent="0.25">
      <c r="A364">
        <v>363</v>
      </c>
      <c r="B364" s="1">
        <v>44042</v>
      </c>
      <c r="C364">
        <v>9461451917</v>
      </c>
      <c r="D364" t="s">
        <v>62</v>
      </c>
      <c r="E364" t="s">
        <v>91</v>
      </c>
      <c r="F364" t="s">
        <v>91</v>
      </c>
      <c r="G364" t="s">
        <v>43</v>
      </c>
      <c r="H364" t="s">
        <v>16</v>
      </c>
      <c r="I364" t="s">
        <v>33</v>
      </c>
      <c r="J364" t="s">
        <v>48</v>
      </c>
      <c r="K364" t="s">
        <v>49</v>
      </c>
      <c r="L364" s="2">
        <v>308</v>
      </c>
      <c r="M364" s="2">
        <v>65</v>
      </c>
      <c r="N364" s="2">
        <f>normalizar!$L364*normalizar!$M364</f>
        <v>20020</v>
      </c>
    </row>
    <row r="365" spans="1:14" x14ac:dyDescent="0.25">
      <c r="A365">
        <v>364</v>
      </c>
      <c r="B365" s="1">
        <v>44026</v>
      </c>
      <c r="C365">
        <v>3160888933</v>
      </c>
      <c r="D365" t="s">
        <v>63</v>
      </c>
      <c r="E365" t="s">
        <v>85</v>
      </c>
      <c r="F365" t="s">
        <v>83</v>
      </c>
      <c r="G365" t="s">
        <v>41</v>
      </c>
      <c r="H365" t="s">
        <v>25</v>
      </c>
      <c r="I365" t="s">
        <v>17</v>
      </c>
      <c r="J365" t="s">
        <v>46</v>
      </c>
      <c r="K365" t="s">
        <v>47</v>
      </c>
      <c r="L365" s="2">
        <v>350</v>
      </c>
      <c r="M365" s="2">
        <v>13</v>
      </c>
      <c r="N365" s="2">
        <f>normalizar!$L365*normalizar!$M365</f>
        <v>4550</v>
      </c>
    </row>
    <row r="366" spans="1:14" x14ac:dyDescent="0.25">
      <c r="A366">
        <v>365</v>
      </c>
      <c r="B366" s="1">
        <v>44046</v>
      </c>
      <c r="C366">
        <v>6433254443</v>
      </c>
      <c r="D366" t="s">
        <v>28</v>
      </c>
      <c r="E366" t="s">
        <v>89</v>
      </c>
      <c r="F366" t="s">
        <v>84</v>
      </c>
      <c r="G366" t="s">
        <v>29</v>
      </c>
      <c r="H366" t="s">
        <v>8</v>
      </c>
      <c r="I366" t="s">
        <v>9</v>
      </c>
      <c r="J366" t="s">
        <v>64</v>
      </c>
      <c r="K366" t="s">
        <v>65</v>
      </c>
      <c r="L366" s="2">
        <v>546</v>
      </c>
      <c r="M366" s="2">
        <v>54</v>
      </c>
      <c r="N366" s="2">
        <f>normalizar!$L366*normalizar!$M366</f>
        <v>29484</v>
      </c>
    </row>
    <row r="367" spans="1:14" x14ac:dyDescent="0.25">
      <c r="A367">
        <v>366</v>
      </c>
      <c r="B367" s="1">
        <v>43986</v>
      </c>
      <c r="C367">
        <v>8977261174</v>
      </c>
      <c r="D367" t="s">
        <v>36</v>
      </c>
      <c r="E367" t="s">
        <v>92</v>
      </c>
      <c r="F367" t="s">
        <v>99</v>
      </c>
      <c r="G367" t="s">
        <v>37</v>
      </c>
      <c r="H367" t="s">
        <v>25</v>
      </c>
      <c r="I367" t="s">
        <v>9</v>
      </c>
      <c r="J367" t="s">
        <v>18</v>
      </c>
      <c r="K367" t="s">
        <v>13</v>
      </c>
      <c r="L367" s="2">
        <v>420</v>
      </c>
      <c r="M367" s="2">
        <v>33</v>
      </c>
      <c r="N367" s="2">
        <f>normalizar!$L367*normalizar!$M367</f>
        <v>13860</v>
      </c>
    </row>
    <row r="368" spans="1:14" x14ac:dyDescent="0.25">
      <c r="A368">
        <v>367</v>
      </c>
      <c r="B368" s="1">
        <v>43939</v>
      </c>
      <c r="C368">
        <v>7770716054</v>
      </c>
      <c r="D368" t="s">
        <v>36</v>
      </c>
      <c r="E368" t="s">
        <v>92</v>
      </c>
      <c r="F368" t="s">
        <v>99</v>
      </c>
      <c r="G368" t="s">
        <v>37</v>
      </c>
      <c r="H368" t="s">
        <v>25</v>
      </c>
      <c r="I368" t="s">
        <v>9</v>
      </c>
      <c r="J368" t="s">
        <v>19</v>
      </c>
      <c r="K368" t="s">
        <v>13</v>
      </c>
      <c r="L368" s="2">
        <v>742</v>
      </c>
      <c r="M368" s="2">
        <v>34</v>
      </c>
      <c r="N368" s="2">
        <f>normalizar!$L368*normalizar!$M368</f>
        <v>25228</v>
      </c>
    </row>
    <row r="369" spans="1:14" x14ac:dyDescent="0.25">
      <c r="A369">
        <v>368</v>
      </c>
      <c r="B369" s="1">
        <v>44179</v>
      </c>
      <c r="C369">
        <v>2754807386</v>
      </c>
      <c r="D369" t="s">
        <v>14</v>
      </c>
      <c r="E369" t="s">
        <v>81</v>
      </c>
      <c r="F369" t="s">
        <v>94</v>
      </c>
      <c r="G369" t="s">
        <v>15</v>
      </c>
      <c r="H369" t="s">
        <v>127</v>
      </c>
      <c r="I369" t="s">
        <v>127</v>
      </c>
      <c r="J369" t="s">
        <v>66</v>
      </c>
      <c r="K369" t="s">
        <v>57</v>
      </c>
      <c r="L369" s="2">
        <v>532</v>
      </c>
      <c r="M369" s="2">
        <v>59</v>
      </c>
      <c r="N369" s="2">
        <f>normalizar!$L369*normalizar!$M369</f>
        <v>31388</v>
      </c>
    </row>
    <row r="370" spans="1:14" x14ac:dyDescent="0.25">
      <c r="A370">
        <v>369</v>
      </c>
      <c r="B370" s="1">
        <v>43987</v>
      </c>
      <c r="C370">
        <v>3873424489</v>
      </c>
      <c r="D370" t="s">
        <v>32</v>
      </c>
      <c r="E370" t="s">
        <v>93</v>
      </c>
      <c r="F370" t="s">
        <v>96</v>
      </c>
      <c r="G370" t="s">
        <v>7</v>
      </c>
      <c r="H370" t="s">
        <v>127</v>
      </c>
      <c r="I370" t="s">
        <v>127</v>
      </c>
      <c r="J370" t="s">
        <v>44</v>
      </c>
      <c r="K370" t="s">
        <v>11</v>
      </c>
      <c r="L370" s="2">
        <v>41.86</v>
      </c>
      <c r="M370" s="2">
        <v>24</v>
      </c>
      <c r="N370" s="2">
        <f>normalizar!$L370*normalizar!$M370</f>
        <v>1004.64</v>
      </c>
    </row>
    <row r="371" spans="1:14" x14ac:dyDescent="0.25">
      <c r="A371">
        <f>IF((ISBLANK(D371)*AND(ISBLANK(G371))),"",A370+1)</f>
        <v>370</v>
      </c>
      <c r="B371" s="1">
        <v>44018</v>
      </c>
      <c r="C371">
        <v>3823774876</v>
      </c>
      <c r="D371" t="s">
        <v>51</v>
      </c>
      <c r="E371" t="s">
        <v>80</v>
      </c>
      <c r="F371" t="s">
        <v>84</v>
      </c>
      <c r="G371" t="s">
        <v>43</v>
      </c>
      <c r="H371" t="s">
        <v>25</v>
      </c>
      <c r="I371" t="s">
        <v>17</v>
      </c>
      <c r="J371" t="s">
        <v>34</v>
      </c>
      <c r="K371" t="str">
        <f>IF(ISBLANK(J371),"",VLOOKUP(J371,Tabla1[[#All],[Producto]:[Ventas]],2,FALSE))</f>
        <v>Sopas</v>
      </c>
      <c r="L371" s="2">
        <v>12</v>
      </c>
      <c r="M371" s="2">
        <v>23</v>
      </c>
      <c r="N371" s="2">
        <f>normalizar!$L371*normalizar!$M371</f>
        <v>276</v>
      </c>
    </row>
    <row r="372" spans="1:14" x14ac:dyDescent="0.25">
      <c r="A372">
        <f>IF((ISBLANK(D372)*AND(ISBLANK(G372))),"",A371+1)</f>
        <v>371</v>
      </c>
      <c r="B372" s="1">
        <v>44019</v>
      </c>
      <c r="C372">
        <v>3823774877</v>
      </c>
      <c r="D372" t="s">
        <v>51</v>
      </c>
      <c r="E372" t="s">
        <v>80</v>
      </c>
      <c r="F372" t="s">
        <v>84</v>
      </c>
      <c r="G372" t="s">
        <v>43</v>
      </c>
      <c r="H372" t="s">
        <v>25</v>
      </c>
      <c r="I372" t="s">
        <v>17</v>
      </c>
      <c r="J372" t="s">
        <v>34</v>
      </c>
      <c r="K372" t="str">
        <f>IF(ISBLANK(J372),"",VLOOKUP(J372,Tabla1[[#All],[Producto]:[Ventas]],2,FALSE))</f>
        <v>Sopas</v>
      </c>
      <c r="L372" s="2">
        <v>12</v>
      </c>
      <c r="M372" s="2">
        <v>23</v>
      </c>
      <c r="N372" s="2">
        <f>normalizar!$L372*normalizar!$M372</f>
        <v>276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E47F4497-CF40-433D-926E-CB9EAFE63CB2}">
          <x14:formula1>
            <xm:f>Hoja3!$A$2:$A$16</xm:f>
          </x14:formula1>
          <xm:sqref>D371:D372</xm:sqref>
        </x14:dataValidation>
        <x14:dataValidation type="list" allowBlank="1" showInputMessage="1" showErrorMessage="1" xr:uid="{CE01B9D9-1BC3-43BC-9AB4-F9C8008A284F}">
          <x14:formula1>
            <xm:f>Hoja3!$C$2:$C$12</xm:f>
          </x14:formula1>
          <xm:sqref>E371:E372</xm:sqref>
        </x14:dataValidation>
        <x14:dataValidation type="list" allowBlank="1" showInputMessage="1" showErrorMessage="1" xr:uid="{915B1DEA-0A8E-4C4E-9324-0D364185ED84}">
          <x14:formula1>
            <xm:f>Hoja3!$E$2:$E$12</xm:f>
          </x14:formula1>
          <xm:sqref>F371:F372</xm:sqref>
        </x14:dataValidation>
        <x14:dataValidation type="list" allowBlank="1" showInputMessage="1" showErrorMessage="1" xr:uid="{12C83A45-1F83-46AB-A5C0-627837DC88F0}">
          <x14:formula1>
            <xm:f>Hoja3!$H$2:$H$9</xm:f>
          </x14:formula1>
          <xm:sqref>G371:G372</xm:sqref>
        </x14:dataValidation>
        <x14:dataValidation type="list" allowBlank="1" showInputMessage="1" showErrorMessage="1" xr:uid="{E425EF1D-1C38-4305-85B5-AE2F0256E398}">
          <x14:formula1>
            <xm:f>Hoja3!$J$2:$J$5</xm:f>
          </x14:formula1>
          <xm:sqref>H371:H372</xm:sqref>
        </x14:dataValidation>
        <x14:dataValidation type="list" allowBlank="1" showInputMessage="1" showErrorMessage="1" xr:uid="{CF2F5954-33A0-42A0-80F0-AC4A3B089890}">
          <x14:formula1>
            <xm:f>Hoja3!$L$2:$L$5</xm:f>
          </x14:formula1>
          <xm:sqref>I371:I372</xm:sqref>
        </x14:dataValidation>
        <x14:dataValidation type="list" allowBlank="1" showInputMessage="1" showErrorMessage="1" xr:uid="{A9A5D492-CE90-4D47-A968-0CABB759B2AD}">
          <x14:formula1>
            <xm:f>Hoja3!$N$2:$N$26</xm:f>
          </x14:formula1>
          <xm:sqref>J371:J372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25BC-7626-4002-AD7C-4230A431744B}">
  <sheetPr codeName="Hoja1"/>
  <dimension ref="A1:S26"/>
  <sheetViews>
    <sheetView topLeftCell="A10" workbookViewId="0">
      <selection activeCell="L34" sqref="L34"/>
    </sheetView>
  </sheetViews>
  <sheetFormatPr baseColWidth="10" defaultRowHeight="15" x14ac:dyDescent="0.25"/>
  <cols>
    <col min="4" max="4" width="7.42578125" customWidth="1"/>
    <col min="6" max="7" width="6.42578125" customWidth="1"/>
    <col min="8" max="8" width="23.140625" bestFit="1" customWidth="1"/>
    <col min="9" max="9" width="8" customWidth="1"/>
    <col min="10" max="10" width="22.85546875" bestFit="1" customWidth="1"/>
    <col min="11" max="11" width="9.85546875" customWidth="1"/>
    <col min="12" max="12" width="23.85546875" customWidth="1"/>
    <col min="13" max="13" width="7.28515625" customWidth="1"/>
    <col min="14" max="16" width="22.85546875" customWidth="1"/>
  </cols>
  <sheetData>
    <row r="1" spans="1:19" x14ac:dyDescent="0.25">
      <c r="A1" s="3" t="s">
        <v>100</v>
      </c>
      <c r="B1" s="3"/>
      <c r="C1" s="3" t="s">
        <v>0</v>
      </c>
      <c r="D1" s="3"/>
      <c r="E1" s="3" t="s">
        <v>75</v>
      </c>
      <c r="F1" s="3"/>
      <c r="G1" s="3"/>
      <c r="H1" s="3" t="s">
        <v>1</v>
      </c>
      <c r="I1" s="3"/>
      <c r="J1" s="3" t="s">
        <v>76</v>
      </c>
      <c r="K1" s="3"/>
      <c r="L1" s="3" t="s">
        <v>2</v>
      </c>
      <c r="M1" s="3"/>
      <c r="N1" s="3" t="s">
        <v>77</v>
      </c>
      <c r="O1" s="3"/>
      <c r="P1" s="3" t="s">
        <v>3</v>
      </c>
      <c r="S1" t="s">
        <v>128</v>
      </c>
    </row>
    <row r="2" spans="1:19" x14ac:dyDescent="0.25">
      <c r="A2" t="s">
        <v>51</v>
      </c>
      <c r="C2" t="s">
        <v>90</v>
      </c>
      <c r="E2" t="s">
        <v>95</v>
      </c>
      <c r="H2" t="s">
        <v>41</v>
      </c>
      <c r="J2" t="s">
        <v>16</v>
      </c>
      <c r="L2" t="s">
        <v>9</v>
      </c>
      <c r="N2" t="s">
        <v>68</v>
      </c>
      <c r="P2" t="s">
        <v>69</v>
      </c>
    </row>
    <row r="3" spans="1:19" x14ac:dyDescent="0.25">
      <c r="A3" t="s">
        <v>6</v>
      </c>
      <c r="C3" t="s">
        <v>81</v>
      </c>
      <c r="E3" t="s">
        <v>94</v>
      </c>
      <c r="H3" t="s">
        <v>15</v>
      </c>
      <c r="J3" t="s">
        <v>8</v>
      </c>
      <c r="L3" t="s">
        <v>33</v>
      </c>
      <c r="N3" t="s">
        <v>34</v>
      </c>
      <c r="P3" t="s">
        <v>11</v>
      </c>
    </row>
    <row r="4" spans="1:19" x14ac:dyDescent="0.25">
      <c r="A4" t="s">
        <v>40</v>
      </c>
      <c r="C4" t="s">
        <v>80</v>
      </c>
      <c r="E4" t="s">
        <v>82</v>
      </c>
      <c r="H4" t="s">
        <v>29</v>
      </c>
      <c r="J4" t="s">
        <v>25</v>
      </c>
      <c r="L4" t="s">
        <v>127</v>
      </c>
      <c r="N4" t="s">
        <v>61</v>
      </c>
      <c r="P4" t="s">
        <v>53</v>
      </c>
    </row>
    <row r="5" spans="1:19" x14ac:dyDescent="0.25">
      <c r="A5" t="s">
        <v>32</v>
      </c>
      <c r="C5" t="s">
        <v>91</v>
      </c>
      <c r="E5" t="s">
        <v>96</v>
      </c>
      <c r="H5" t="s">
        <v>43</v>
      </c>
      <c r="J5" t="s">
        <v>127</v>
      </c>
      <c r="L5" t="s">
        <v>17</v>
      </c>
      <c r="N5" t="s">
        <v>71</v>
      </c>
      <c r="P5" t="s">
        <v>49</v>
      </c>
    </row>
    <row r="6" spans="1:19" x14ac:dyDescent="0.25">
      <c r="A6" t="s">
        <v>28</v>
      </c>
      <c r="C6" t="s">
        <v>87</v>
      </c>
      <c r="E6" t="s">
        <v>91</v>
      </c>
      <c r="H6" t="s">
        <v>37</v>
      </c>
      <c r="N6" t="s">
        <v>67</v>
      </c>
      <c r="P6" t="s">
        <v>31</v>
      </c>
    </row>
    <row r="7" spans="1:19" x14ac:dyDescent="0.25">
      <c r="A7" t="s">
        <v>14</v>
      </c>
      <c r="C7" t="s">
        <v>89</v>
      </c>
      <c r="E7" t="s">
        <v>87</v>
      </c>
      <c r="H7" t="s">
        <v>7</v>
      </c>
      <c r="N7" t="s">
        <v>22</v>
      </c>
      <c r="P7" t="s">
        <v>13</v>
      </c>
    </row>
    <row r="8" spans="1:19" x14ac:dyDescent="0.25">
      <c r="A8" t="s">
        <v>36</v>
      </c>
      <c r="C8" t="s">
        <v>92</v>
      </c>
      <c r="E8" t="s">
        <v>84</v>
      </c>
      <c r="H8" t="s">
        <v>24</v>
      </c>
      <c r="N8" t="s">
        <v>52</v>
      </c>
      <c r="P8" t="s">
        <v>65</v>
      </c>
    </row>
    <row r="9" spans="1:19" x14ac:dyDescent="0.25">
      <c r="A9" t="s">
        <v>45</v>
      </c>
      <c r="C9" t="s">
        <v>93</v>
      </c>
      <c r="E9" t="s">
        <v>99</v>
      </c>
      <c r="H9" t="s">
        <v>55</v>
      </c>
      <c r="N9" t="s">
        <v>10</v>
      </c>
      <c r="P9" t="s">
        <v>72</v>
      </c>
    </row>
    <row r="10" spans="1:19" x14ac:dyDescent="0.25">
      <c r="A10" t="s">
        <v>23</v>
      </c>
      <c r="C10" t="s">
        <v>97</v>
      </c>
      <c r="E10" t="s">
        <v>88</v>
      </c>
      <c r="N10" t="s">
        <v>30</v>
      </c>
      <c r="P10" t="s">
        <v>47</v>
      </c>
    </row>
    <row r="11" spans="1:19" x14ac:dyDescent="0.25">
      <c r="A11" t="s">
        <v>54</v>
      </c>
      <c r="C11" t="s">
        <v>85</v>
      </c>
      <c r="E11" t="s">
        <v>83</v>
      </c>
      <c r="N11" t="s">
        <v>12</v>
      </c>
      <c r="P11" t="s">
        <v>57</v>
      </c>
    </row>
    <row r="12" spans="1:19" x14ac:dyDescent="0.25">
      <c r="A12" t="s">
        <v>42</v>
      </c>
      <c r="C12" t="s">
        <v>86</v>
      </c>
      <c r="E12" t="s">
        <v>98</v>
      </c>
      <c r="N12" t="s">
        <v>64</v>
      </c>
      <c r="P12" t="s">
        <v>27</v>
      </c>
    </row>
    <row r="13" spans="1:19" x14ac:dyDescent="0.25">
      <c r="A13" t="s">
        <v>50</v>
      </c>
      <c r="N13" t="s">
        <v>48</v>
      </c>
      <c r="P13" t="s">
        <v>59</v>
      </c>
    </row>
    <row r="14" spans="1:19" x14ac:dyDescent="0.25">
      <c r="A14" t="s">
        <v>20</v>
      </c>
      <c r="N14" t="s">
        <v>127</v>
      </c>
      <c r="P14" t="s">
        <v>39</v>
      </c>
    </row>
    <row r="15" spans="1:19" x14ac:dyDescent="0.25">
      <c r="A15" t="s">
        <v>62</v>
      </c>
      <c r="N15" t="s">
        <v>26</v>
      </c>
      <c r="P15" t="s">
        <v>35</v>
      </c>
    </row>
    <row r="16" spans="1:19" x14ac:dyDescent="0.25">
      <c r="A16" t="s">
        <v>63</v>
      </c>
      <c r="N16" t="s">
        <v>46</v>
      </c>
      <c r="P16" t="s">
        <v>5</v>
      </c>
    </row>
    <row r="17" spans="14:14" x14ac:dyDescent="0.25">
      <c r="N17" t="s">
        <v>60</v>
      </c>
    </row>
    <row r="18" spans="14:14" x14ac:dyDescent="0.25">
      <c r="N18" t="s">
        <v>19</v>
      </c>
    </row>
    <row r="19" spans="14:14" x14ac:dyDescent="0.25">
      <c r="N19" t="s">
        <v>70</v>
      </c>
    </row>
    <row r="20" spans="14:14" x14ac:dyDescent="0.25">
      <c r="N20" t="s">
        <v>58</v>
      </c>
    </row>
    <row r="21" spans="14:14" x14ac:dyDescent="0.25">
      <c r="N21" t="s">
        <v>66</v>
      </c>
    </row>
    <row r="22" spans="14:14" x14ac:dyDescent="0.25">
      <c r="N22" t="s">
        <v>18</v>
      </c>
    </row>
    <row r="23" spans="14:14" x14ac:dyDescent="0.25">
      <c r="N23" t="s">
        <v>56</v>
      </c>
    </row>
    <row r="24" spans="14:14" x14ac:dyDescent="0.25">
      <c r="N24" t="s">
        <v>38</v>
      </c>
    </row>
    <row r="25" spans="14:14" x14ac:dyDescent="0.25">
      <c r="N25" t="s">
        <v>21</v>
      </c>
    </row>
    <row r="26" spans="14:14" x14ac:dyDescent="0.25">
      <c r="N26" t="s">
        <v>44</v>
      </c>
    </row>
  </sheetData>
  <sortState xmlns:xlrd2="http://schemas.microsoft.com/office/spreadsheetml/2017/richdata2" ref="P2:P16">
    <sortCondition ref="P2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13391F52-E742-40AB-908F-17BAC4B3CC92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C9367401-F858-450C-90AF-15404E070C39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22</vt:i4>
      </vt:variant>
    </vt:vector>
  </HeadingPairs>
  <TitlesOfParts>
    <vt:vector size="31" baseType="lpstr">
      <vt:lpstr>BaseDeDatos</vt:lpstr>
      <vt:lpstr>Hoja4</vt:lpstr>
      <vt:lpstr>Hoja5</vt:lpstr>
      <vt:lpstr>Hoja2</vt:lpstr>
      <vt:lpstr>GRAFICO</vt:lpstr>
      <vt:lpstr>Hoja1</vt:lpstr>
      <vt:lpstr>PANEL</vt:lpstr>
      <vt:lpstr>normalizar</vt:lpstr>
      <vt:lpstr>Hoja3</vt:lpstr>
      <vt:lpstr>BaseDeDatos!Área_de_extracción</vt:lpstr>
      <vt:lpstr>Hoja3!Área_de_extracción</vt:lpstr>
      <vt:lpstr>cat</vt:lpstr>
      <vt:lpstr>ciudad</vt:lpstr>
      <vt:lpstr>cli</vt:lpstr>
      <vt:lpstr>cliente</vt:lpstr>
      <vt:lpstr>clientes2</vt:lpstr>
      <vt:lpstr>BaseDeDatos!Criterios</vt:lpstr>
      <vt:lpstr>Hoja3!Criterios</vt:lpstr>
      <vt:lpstr>date</vt:lpstr>
      <vt:lpstr>datos</vt:lpstr>
      <vt:lpstr>empresa</vt:lpstr>
      <vt:lpstr>fe</vt:lpstr>
      <vt:lpstr>forma</vt:lpstr>
      <vt:lpstr>mes</vt:lpstr>
      <vt:lpstr>meses</vt:lpstr>
      <vt:lpstr>normal</vt:lpstr>
      <vt:lpstr>pago</vt:lpstr>
      <vt:lpstr>produc</vt:lpstr>
      <vt:lpstr>provincia</vt:lpstr>
      <vt:lpstr>titulo</vt:lpstr>
      <vt:lpstr>vendedor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Terán</dc:creator>
  <cp:lastModifiedBy>Alejandro romero</cp:lastModifiedBy>
  <dcterms:created xsi:type="dcterms:W3CDTF">2021-06-10T14:59:28Z</dcterms:created>
  <dcterms:modified xsi:type="dcterms:W3CDTF">2024-06-09T03:16:21Z</dcterms:modified>
</cp:coreProperties>
</file>