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Ex2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iel\Downloads\CURSOS\nuevosonline\Ofimatica\Excel\practica\"/>
    </mc:Choice>
  </mc:AlternateContent>
  <xr:revisionPtr revIDLastSave="0" documentId="13_ncr:1_{639C8F97-14D7-4865-BC3E-3E6C088DF887}" xr6:coauthVersionLast="45" xr6:coauthVersionMax="45" xr10:uidLastSave="{00000000-0000-0000-0000-000000000000}"/>
  <bookViews>
    <workbookView xWindow="45" yWindow="0" windowWidth="20445" windowHeight="11520" activeTab="3" xr2:uid="{6D599713-1989-43D3-A173-9FAFCAE4DAE7}"/>
  </bookViews>
  <sheets>
    <sheet name="BaseDeDatos" sheetId="1" r:id="rId1"/>
    <sheet name="Hoja4" sheetId="15" r:id="rId2"/>
    <sheet name="Hoja5" sheetId="16" r:id="rId3"/>
    <sheet name="Hoja2" sheetId="14" r:id="rId4"/>
    <sheet name="GRAFICO" sheetId="9" r:id="rId5"/>
    <sheet name="Hoja1" sheetId="11" r:id="rId6"/>
    <sheet name="PANEL" sheetId="10" r:id="rId7"/>
    <sheet name="normalizar" sheetId="12" r:id="rId8"/>
    <sheet name="Hoja3" sheetId="13" r:id="rId9"/>
  </sheets>
  <definedNames>
    <definedName name="_xlnm._FilterDatabase" localSheetId="0" hidden="1">Hoja4!$O$1:$O$370</definedName>
    <definedName name="_xlnm._FilterDatabase" localSheetId="7" hidden="1">normalizar!$A$1:$N$372</definedName>
    <definedName name="_xlchart.v5.0" hidden="1">GRAFICO!$D$64</definedName>
    <definedName name="_xlchart.v5.1" hidden="1">GRAFICO!$D$65:$D$75</definedName>
    <definedName name="_xlchart.v5.2" hidden="1">GRAFICO!$E$64</definedName>
    <definedName name="_xlchart.v5.3" hidden="1">GRAFICO!$E$65:$E$75</definedName>
    <definedName name="_xlchart.v5.4" hidden="1">GRAFICO!$D$64</definedName>
    <definedName name="_xlchart.v5.5" hidden="1">GRAFICO!$D$65:$D$75</definedName>
    <definedName name="_xlchart.v5.6" hidden="1">GRAFICO!$E$64</definedName>
    <definedName name="_xlchart.v5.7" hidden="1">GRAFICO!$E$65:$E$75</definedName>
    <definedName name="_xlnm.Extract" localSheetId="0">BaseDeDatos!$AE$4</definedName>
    <definedName name="_xlnm.Extract" localSheetId="8">Hoja3!$P$1</definedName>
    <definedName name="cat">normalizar!$K:$K</definedName>
    <definedName name="ciudad">normalizar!$E:$E</definedName>
    <definedName name="cli">Hoja3!$A$1:$A$16</definedName>
    <definedName name="cliente">Tabla1[Cliente]</definedName>
    <definedName name="clientes2">normalizar!$D:$D</definedName>
    <definedName name="_xlnm.Criteria" localSheetId="0">BaseDeDatos!$AE$1:$AE$2</definedName>
    <definedName name="_xlnm.Criteria" localSheetId="8">Hoja3!$S$1:$S$2</definedName>
    <definedName name="date">Tabla2[[#All],[mes]]</definedName>
    <definedName name="datmes">Hoja2!$N$2:$N$13</definedName>
    <definedName name="datos">Hoja4!$A$1:$P$370</definedName>
    <definedName name="empresa">normalizar!$H:$H</definedName>
    <definedName name="fe">Hoja4!$AR$7:$AR$13</definedName>
    <definedName name="forma">Tabla2[[#All],[Forma de pago]]</definedName>
    <definedName name="maxmes">Hoja2!$P$2:$P$13</definedName>
    <definedName name="mes">Hoja4!$BB$1:$BB$12</definedName>
    <definedName name="meses">Tabla2[mes]</definedName>
    <definedName name="NativeTimeline_Fecha">#N/A</definedName>
    <definedName name="normal">Tabla1[]</definedName>
    <definedName name="orden">Hoja2!$K$1:$K$2</definedName>
    <definedName name="pago">normalizar!$I:$I</definedName>
    <definedName name="periodo">Hoja2!$A$2:$A$13</definedName>
    <definedName name="produc">normalizar!$J:$J</definedName>
    <definedName name="provincia">normalizar!$F:$F</definedName>
    <definedName name="SegmentaciónDeDatos_Categoría">#N/A</definedName>
    <definedName name="SegmentaciónDeDatos_Fecha">#N/A</definedName>
    <definedName name="SegmentaciónDeDatos_Provincia">#N/A</definedName>
    <definedName name="SegmentaciónDeDatos_Vendedor">#N/A</definedName>
    <definedName name="titulo">Hoja4!$S$9:$AN$9</definedName>
    <definedName name="vendedor">normalizar!$G:$G</definedName>
  </definedNames>
  <calcPr calcId="191029"/>
  <pivotCaches>
    <pivotCache cacheId="0" r:id="rId10"/>
    <pivotCache cacheId="1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6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14" l="1" a="1"/>
  <c r="J1" i="14"/>
  <c r="A2" i="14" s="1" a="1"/>
  <c r="A2" i="14" s="1"/>
  <c r="G7" i="14" s="1" a="1"/>
  <c r="G7" i="14" s="1"/>
  <c r="G6" i="14" l="1"/>
  <c r="N2" i="14" a="1"/>
  <c r="N2" i="14" s="1"/>
  <c r="P2" i="14" a="1"/>
  <c r="X1" i="15"/>
  <c r="S10" i="15" s="1" a="1"/>
  <c r="S10" i="15" s="1"/>
  <c r="N4" i="14" l="1"/>
  <c r="N8" i="14"/>
  <c r="N12" i="14"/>
  <c r="N5" i="14"/>
  <c r="N9" i="14"/>
  <c r="N13" i="14"/>
  <c r="N6" i="14"/>
  <c r="N10" i="14"/>
  <c r="N3" i="14"/>
  <c r="N7" i="14"/>
  <c r="N11" i="14"/>
  <c r="P2" i="14"/>
  <c r="P4" i="14"/>
  <c r="P6" i="14"/>
  <c r="P8" i="14"/>
  <c r="P10" i="14"/>
  <c r="P12" i="14"/>
  <c r="P3" i="14"/>
  <c r="P5" i="14"/>
  <c r="P7" i="14"/>
  <c r="P9" i="14"/>
  <c r="P11" i="14"/>
  <c r="P13" i="14"/>
  <c r="N372" i="12"/>
  <c r="K372" i="12"/>
  <c r="A372" i="12"/>
  <c r="N371" i="12"/>
  <c r="K371" i="12"/>
  <c r="A371" i="12"/>
  <c r="N370" i="12"/>
  <c r="N369" i="12"/>
  <c r="N368" i="12"/>
  <c r="N367" i="12"/>
  <c r="N366" i="12"/>
  <c r="N365" i="12"/>
  <c r="N364" i="12"/>
  <c r="N363" i="12"/>
  <c r="N362" i="12"/>
  <c r="N361" i="12"/>
  <c r="N360" i="12"/>
  <c r="N359" i="12"/>
  <c r="N358" i="12"/>
  <c r="N357" i="12"/>
  <c r="N356" i="12"/>
  <c r="N355" i="12"/>
  <c r="N354" i="12"/>
  <c r="N353" i="12"/>
  <c r="N352" i="12"/>
  <c r="N351" i="12"/>
  <c r="N350" i="12"/>
  <c r="N349" i="12"/>
  <c r="N348" i="12"/>
  <c r="N347" i="12"/>
  <c r="N346" i="12"/>
  <c r="N345" i="12"/>
  <c r="N344" i="12"/>
  <c r="N343" i="12"/>
  <c r="N342" i="12"/>
  <c r="N341" i="12"/>
  <c r="N340" i="12"/>
  <c r="N339" i="12"/>
  <c r="N338" i="12"/>
  <c r="N337" i="12"/>
  <c r="N336" i="12"/>
  <c r="N335" i="12"/>
  <c r="N334" i="12"/>
  <c r="N333" i="12"/>
  <c r="N332" i="12"/>
  <c r="N331" i="12"/>
  <c r="N330" i="12"/>
  <c r="N329" i="12"/>
  <c r="N328" i="12"/>
  <c r="N327" i="12"/>
  <c r="N326" i="12"/>
  <c r="N325" i="12"/>
  <c r="N324" i="12"/>
  <c r="N323" i="12"/>
  <c r="N322" i="12"/>
  <c r="N321" i="12"/>
  <c r="N320" i="12"/>
  <c r="N319" i="12"/>
  <c r="N318" i="12"/>
  <c r="N317" i="12"/>
  <c r="N316" i="12"/>
  <c r="N315" i="12"/>
  <c r="N314" i="12"/>
  <c r="N313" i="12"/>
  <c r="N312" i="12"/>
  <c r="N311" i="12"/>
  <c r="N310" i="12"/>
  <c r="N309" i="12"/>
  <c r="N308" i="12"/>
  <c r="N307" i="12"/>
  <c r="N306" i="12"/>
  <c r="N305" i="12"/>
  <c r="N304" i="12"/>
  <c r="N303" i="12"/>
  <c r="N302" i="12"/>
  <c r="N301" i="12"/>
  <c r="N300" i="12"/>
  <c r="N299" i="12"/>
  <c r="N298" i="12"/>
  <c r="N297" i="12"/>
  <c r="N296" i="12"/>
  <c r="N295" i="12"/>
  <c r="N294" i="12"/>
  <c r="N293" i="12"/>
  <c r="N292" i="12"/>
  <c r="N291" i="12"/>
  <c r="N290" i="12"/>
  <c r="N289" i="12"/>
  <c r="N288" i="12"/>
  <c r="N287" i="12"/>
  <c r="N286" i="12"/>
  <c r="N285" i="12"/>
  <c r="N284" i="12"/>
  <c r="N283" i="12"/>
  <c r="N282" i="12"/>
  <c r="N281" i="12"/>
  <c r="N280" i="12"/>
  <c r="N279" i="12"/>
  <c r="N278" i="12"/>
  <c r="N277" i="12"/>
  <c r="N276" i="12"/>
  <c r="N275" i="12"/>
  <c r="N274" i="12"/>
  <c r="N273" i="12"/>
  <c r="N272" i="12"/>
  <c r="N271" i="12"/>
  <c r="N270" i="12"/>
  <c r="N269" i="12"/>
  <c r="N268" i="12"/>
  <c r="N267" i="12"/>
  <c r="N266" i="12"/>
  <c r="N265" i="12"/>
  <c r="N264" i="12"/>
  <c r="N263" i="12"/>
  <c r="N262" i="12"/>
  <c r="N261" i="12"/>
  <c r="N260" i="12"/>
  <c r="N259" i="12"/>
  <c r="N258" i="12"/>
  <c r="N257" i="12"/>
  <c r="N256" i="12"/>
  <c r="N255" i="12"/>
  <c r="N254" i="12"/>
  <c r="N253" i="12"/>
  <c r="N252" i="12"/>
  <c r="N251" i="12"/>
  <c r="N250" i="12"/>
  <c r="N249" i="12"/>
  <c r="N248" i="12"/>
  <c r="N247" i="12"/>
  <c r="N246" i="12"/>
  <c r="N245" i="12"/>
  <c r="N244" i="12"/>
  <c r="N243" i="12"/>
  <c r="N242" i="12"/>
  <c r="N241" i="12"/>
  <c r="N240" i="12"/>
  <c r="N239" i="12"/>
  <c r="N238" i="12"/>
  <c r="N237" i="12"/>
  <c r="N236" i="12"/>
  <c r="N235" i="12"/>
  <c r="N234" i="12"/>
  <c r="N233" i="12"/>
  <c r="N232" i="12"/>
  <c r="N231" i="12"/>
  <c r="N230" i="12"/>
  <c r="N229" i="12"/>
  <c r="N228" i="12"/>
  <c r="N227" i="12"/>
  <c r="N226" i="12"/>
  <c r="N225" i="12"/>
  <c r="N224" i="12"/>
  <c r="N223" i="12"/>
  <c r="N222" i="12"/>
  <c r="N221" i="12"/>
  <c r="N220" i="12"/>
  <c r="N219" i="12"/>
  <c r="N218" i="12"/>
  <c r="N217" i="12"/>
  <c r="N216" i="12"/>
  <c r="N215" i="12"/>
  <c r="N214" i="12"/>
  <c r="N213" i="12"/>
  <c r="N212" i="12"/>
  <c r="N211" i="12"/>
  <c r="N210" i="12"/>
  <c r="N209" i="12"/>
  <c r="N208" i="12"/>
  <c r="N207" i="12"/>
  <c r="N206" i="12"/>
  <c r="N205" i="12"/>
  <c r="N204" i="12"/>
  <c r="N203" i="12"/>
  <c r="N202" i="12"/>
  <c r="N201" i="12"/>
  <c r="N200" i="12"/>
  <c r="N199" i="12"/>
  <c r="N198" i="12"/>
  <c r="N197" i="12"/>
  <c r="N196" i="12"/>
  <c r="N195" i="12"/>
  <c r="N194" i="12"/>
  <c r="N193" i="12"/>
  <c r="N192" i="12"/>
  <c r="N191" i="12"/>
  <c r="N190" i="12"/>
  <c r="N189" i="12"/>
  <c r="N188" i="12"/>
  <c r="N187" i="12"/>
  <c r="N186" i="12"/>
  <c r="N185" i="12"/>
  <c r="N184" i="12"/>
  <c r="N183" i="12"/>
  <c r="N182" i="12"/>
  <c r="N181" i="12"/>
  <c r="N180" i="12"/>
  <c r="N179" i="12"/>
  <c r="N178" i="12"/>
  <c r="N177" i="12"/>
  <c r="N176" i="12"/>
  <c r="N175" i="12"/>
  <c r="N174" i="12"/>
  <c r="N173" i="12"/>
  <c r="N172" i="12"/>
  <c r="N171" i="12"/>
  <c r="N170" i="12"/>
  <c r="N169" i="12"/>
  <c r="N168" i="12"/>
  <c r="N167" i="12"/>
  <c r="N166" i="12"/>
  <c r="N165" i="12"/>
  <c r="N164" i="12"/>
  <c r="N163" i="12"/>
  <c r="N162" i="12"/>
  <c r="N161" i="12"/>
  <c r="N160" i="12"/>
  <c r="N159" i="12"/>
  <c r="N158" i="12"/>
  <c r="N157" i="12"/>
  <c r="N156" i="12"/>
  <c r="N155" i="12"/>
  <c r="N154" i="12"/>
  <c r="N153" i="12"/>
  <c r="N152" i="12"/>
  <c r="N151" i="12"/>
  <c r="N150" i="12"/>
  <c r="N149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N136" i="12"/>
  <c r="N135" i="12"/>
  <c r="N134" i="12"/>
  <c r="N133" i="12"/>
  <c r="N132" i="12"/>
  <c r="N131" i="12"/>
  <c r="N130" i="12"/>
  <c r="N129" i="12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N115" i="12"/>
  <c r="N114" i="12"/>
  <c r="N113" i="12"/>
  <c r="N112" i="12"/>
  <c r="N111" i="12"/>
  <c r="N110" i="12"/>
  <c r="N109" i="12"/>
  <c r="N108" i="12"/>
  <c r="N107" i="12"/>
  <c r="N106" i="12"/>
  <c r="N105" i="12"/>
  <c r="N104" i="12"/>
  <c r="N103" i="12"/>
  <c r="N102" i="12"/>
  <c r="N101" i="12"/>
  <c r="N100" i="12"/>
  <c r="N99" i="12"/>
  <c r="N98" i="12"/>
  <c r="N97" i="12"/>
  <c r="N96" i="12"/>
  <c r="N95" i="12"/>
  <c r="N94" i="12"/>
  <c r="N93" i="12"/>
  <c r="N92" i="12"/>
  <c r="N91" i="12"/>
  <c r="N90" i="12"/>
  <c r="N89" i="12"/>
  <c r="N88" i="12"/>
  <c r="N87" i="12"/>
  <c r="N86" i="12"/>
  <c r="N85" i="12"/>
  <c r="N84" i="12"/>
  <c r="N83" i="12"/>
  <c r="N82" i="12"/>
  <c r="N81" i="12"/>
  <c r="N80" i="12"/>
  <c r="N79" i="12"/>
  <c r="N78" i="12"/>
  <c r="N77" i="12"/>
  <c r="N76" i="12"/>
  <c r="N75" i="12"/>
  <c r="N74" i="12"/>
  <c r="N73" i="12"/>
  <c r="N72" i="12"/>
  <c r="N71" i="12"/>
  <c r="N70" i="12"/>
  <c r="N69" i="12"/>
  <c r="N68" i="12"/>
  <c r="N67" i="12"/>
  <c r="N66" i="12"/>
  <c r="N65" i="12"/>
  <c r="N64" i="12"/>
  <c r="N63" i="12"/>
  <c r="N62" i="12"/>
  <c r="N61" i="12"/>
  <c r="N60" i="12"/>
  <c r="N59" i="12"/>
  <c r="N58" i="12"/>
  <c r="N57" i="12"/>
  <c r="N56" i="12"/>
  <c r="N55" i="12"/>
  <c r="N54" i="12"/>
  <c r="N53" i="12"/>
  <c r="N52" i="12"/>
  <c r="N51" i="12"/>
  <c r="N50" i="12"/>
  <c r="N49" i="12"/>
  <c r="N48" i="12"/>
  <c r="N47" i="12"/>
  <c r="N46" i="12"/>
  <c r="N45" i="12"/>
  <c r="N44" i="12"/>
  <c r="N43" i="12"/>
  <c r="N42" i="12"/>
  <c r="N41" i="12"/>
  <c r="N40" i="12"/>
  <c r="N39" i="12"/>
  <c r="N38" i="12"/>
  <c r="N37" i="12"/>
  <c r="N36" i="12"/>
  <c r="N35" i="12"/>
  <c r="N34" i="12"/>
  <c r="N33" i="12"/>
  <c r="N32" i="12"/>
  <c r="N31" i="12"/>
  <c r="N30" i="12"/>
  <c r="N29" i="12"/>
  <c r="N28" i="12"/>
  <c r="N27" i="12"/>
  <c r="N26" i="12"/>
  <c r="N25" i="12"/>
  <c r="N24" i="12"/>
  <c r="N23" i="12"/>
  <c r="N22" i="12"/>
  <c r="N21" i="12"/>
  <c r="N20" i="12"/>
  <c r="N19" i="12"/>
  <c r="N18" i="12"/>
  <c r="N17" i="12"/>
  <c r="N16" i="12"/>
  <c r="N15" i="12"/>
  <c r="N14" i="12"/>
  <c r="N13" i="12"/>
  <c r="N12" i="12"/>
  <c r="N11" i="12"/>
  <c r="N10" i="12"/>
  <c r="N9" i="12"/>
  <c r="N8" i="12"/>
  <c r="N7" i="12"/>
  <c r="N6" i="12"/>
  <c r="N5" i="12"/>
  <c r="N4" i="12"/>
  <c r="N3" i="12"/>
  <c r="N2" i="12"/>
  <c r="R1" i="12"/>
  <c r="E75" i="9"/>
  <c r="E74" i="9"/>
  <c r="E73" i="9"/>
  <c r="E72" i="9"/>
  <c r="E71" i="9"/>
  <c r="E70" i="9"/>
  <c r="E69" i="9"/>
  <c r="E68" i="9"/>
  <c r="E67" i="9"/>
  <c r="E66" i="9"/>
  <c r="E65" i="9"/>
  <c r="P370" i="15"/>
  <c r="O370" i="15"/>
  <c r="N370" i="15"/>
  <c r="P369" i="15"/>
  <c r="O369" i="15"/>
  <c r="N369" i="15"/>
  <c r="P368" i="15"/>
  <c r="O368" i="15"/>
  <c r="N368" i="15"/>
  <c r="P367" i="15"/>
  <c r="O367" i="15"/>
  <c r="N367" i="15"/>
  <c r="P366" i="15"/>
  <c r="O366" i="15"/>
  <c r="N366" i="15"/>
  <c r="P365" i="15"/>
  <c r="O365" i="15"/>
  <c r="N365" i="15"/>
  <c r="P364" i="15"/>
  <c r="O364" i="15"/>
  <c r="N364" i="15"/>
  <c r="P363" i="15"/>
  <c r="O363" i="15"/>
  <c r="N363" i="15"/>
  <c r="P362" i="15"/>
  <c r="O362" i="15"/>
  <c r="N362" i="15"/>
  <c r="P361" i="15"/>
  <c r="O361" i="15"/>
  <c r="N361" i="15"/>
  <c r="P360" i="15"/>
  <c r="O360" i="15"/>
  <c r="N360" i="15"/>
  <c r="P359" i="15"/>
  <c r="O359" i="15"/>
  <c r="N359" i="15"/>
  <c r="P358" i="15"/>
  <c r="O358" i="15"/>
  <c r="N358" i="15"/>
  <c r="P357" i="15"/>
  <c r="O357" i="15"/>
  <c r="N357" i="15"/>
  <c r="P356" i="15"/>
  <c r="O356" i="15"/>
  <c r="N356" i="15"/>
  <c r="P355" i="15"/>
  <c r="O355" i="15"/>
  <c r="N355" i="15"/>
  <c r="P354" i="15"/>
  <c r="O354" i="15"/>
  <c r="N354" i="15"/>
  <c r="P353" i="15"/>
  <c r="O353" i="15"/>
  <c r="N353" i="15"/>
  <c r="P352" i="15"/>
  <c r="O352" i="15"/>
  <c r="N352" i="15"/>
  <c r="P351" i="15"/>
  <c r="O351" i="15"/>
  <c r="N351" i="15"/>
  <c r="P350" i="15"/>
  <c r="O350" i="15"/>
  <c r="N350" i="15"/>
  <c r="P349" i="15"/>
  <c r="O349" i="15"/>
  <c r="N349" i="15"/>
  <c r="P348" i="15"/>
  <c r="O348" i="15"/>
  <c r="N348" i="15"/>
  <c r="P347" i="15"/>
  <c r="O347" i="15"/>
  <c r="N347" i="15"/>
  <c r="P346" i="15"/>
  <c r="O346" i="15"/>
  <c r="N346" i="15"/>
  <c r="P345" i="15"/>
  <c r="O345" i="15"/>
  <c r="N345" i="15"/>
  <c r="P344" i="15"/>
  <c r="O344" i="15"/>
  <c r="N344" i="15"/>
  <c r="P343" i="15"/>
  <c r="O343" i="15"/>
  <c r="N343" i="15"/>
  <c r="P342" i="15"/>
  <c r="O342" i="15"/>
  <c r="N342" i="15"/>
  <c r="P341" i="15"/>
  <c r="O341" i="15"/>
  <c r="N341" i="15"/>
  <c r="P340" i="15"/>
  <c r="O340" i="15"/>
  <c r="N340" i="15"/>
  <c r="P339" i="15"/>
  <c r="O339" i="15"/>
  <c r="N339" i="15"/>
  <c r="P338" i="15"/>
  <c r="O338" i="15"/>
  <c r="N338" i="15"/>
  <c r="P337" i="15"/>
  <c r="O337" i="15"/>
  <c r="N337" i="15"/>
  <c r="P336" i="15"/>
  <c r="O336" i="15"/>
  <c r="N336" i="15"/>
  <c r="P335" i="15"/>
  <c r="O335" i="15"/>
  <c r="N335" i="15"/>
  <c r="P334" i="15"/>
  <c r="O334" i="15"/>
  <c r="N334" i="15"/>
  <c r="P333" i="15"/>
  <c r="O333" i="15"/>
  <c r="N333" i="15"/>
  <c r="P332" i="15"/>
  <c r="O332" i="15"/>
  <c r="N332" i="15"/>
  <c r="P331" i="15"/>
  <c r="O331" i="15"/>
  <c r="N331" i="15"/>
  <c r="P330" i="15"/>
  <c r="O330" i="15"/>
  <c r="N330" i="15"/>
  <c r="P329" i="15"/>
  <c r="O329" i="15"/>
  <c r="N329" i="15"/>
  <c r="P328" i="15"/>
  <c r="O328" i="15"/>
  <c r="N328" i="15"/>
  <c r="P327" i="15"/>
  <c r="O327" i="15"/>
  <c r="N327" i="15"/>
  <c r="P326" i="15"/>
  <c r="O326" i="15"/>
  <c r="N326" i="15"/>
  <c r="P325" i="15"/>
  <c r="O325" i="15"/>
  <c r="N325" i="15"/>
  <c r="P324" i="15"/>
  <c r="O324" i="15"/>
  <c r="N324" i="15"/>
  <c r="P323" i="15"/>
  <c r="O323" i="15"/>
  <c r="N323" i="15"/>
  <c r="P322" i="15"/>
  <c r="O322" i="15"/>
  <c r="N322" i="15"/>
  <c r="P321" i="15"/>
  <c r="O321" i="15"/>
  <c r="N321" i="15"/>
  <c r="P320" i="15"/>
  <c r="O320" i="15"/>
  <c r="N320" i="15"/>
  <c r="P319" i="15"/>
  <c r="O319" i="15"/>
  <c r="N319" i="15"/>
  <c r="P318" i="15"/>
  <c r="O318" i="15"/>
  <c r="N318" i="15"/>
  <c r="P317" i="15"/>
  <c r="O317" i="15"/>
  <c r="N317" i="15"/>
  <c r="P316" i="15"/>
  <c r="O316" i="15"/>
  <c r="N316" i="15"/>
  <c r="P315" i="15"/>
  <c r="O315" i="15"/>
  <c r="N315" i="15"/>
  <c r="P314" i="15"/>
  <c r="O314" i="15"/>
  <c r="N314" i="15"/>
  <c r="P313" i="15"/>
  <c r="O313" i="15"/>
  <c r="N313" i="15"/>
  <c r="P312" i="15"/>
  <c r="O312" i="15"/>
  <c r="N312" i="15"/>
  <c r="P311" i="15"/>
  <c r="O311" i="15"/>
  <c r="N311" i="15"/>
  <c r="P310" i="15"/>
  <c r="O310" i="15"/>
  <c r="N310" i="15"/>
  <c r="P309" i="15"/>
  <c r="O309" i="15"/>
  <c r="N309" i="15"/>
  <c r="P308" i="15"/>
  <c r="O308" i="15"/>
  <c r="N308" i="15"/>
  <c r="P307" i="15"/>
  <c r="O307" i="15"/>
  <c r="N307" i="15"/>
  <c r="P306" i="15"/>
  <c r="O306" i="15"/>
  <c r="N306" i="15"/>
  <c r="P305" i="15"/>
  <c r="O305" i="15"/>
  <c r="N305" i="15"/>
  <c r="P304" i="15"/>
  <c r="O304" i="15"/>
  <c r="N304" i="15"/>
  <c r="P303" i="15"/>
  <c r="O303" i="15"/>
  <c r="N303" i="15"/>
  <c r="P302" i="15"/>
  <c r="O302" i="15"/>
  <c r="N302" i="15"/>
  <c r="P301" i="15"/>
  <c r="O301" i="15"/>
  <c r="N301" i="15"/>
  <c r="P300" i="15"/>
  <c r="O300" i="15"/>
  <c r="N300" i="15"/>
  <c r="P299" i="15"/>
  <c r="O299" i="15"/>
  <c r="N299" i="15"/>
  <c r="P298" i="15"/>
  <c r="O298" i="15"/>
  <c r="N298" i="15"/>
  <c r="P297" i="15"/>
  <c r="O297" i="15"/>
  <c r="N297" i="15"/>
  <c r="P296" i="15"/>
  <c r="O296" i="15"/>
  <c r="N296" i="15"/>
  <c r="P295" i="15"/>
  <c r="O295" i="15"/>
  <c r="N295" i="15"/>
  <c r="P294" i="15"/>
  <c r="O294" i="15"/>
  <c r="N294" i="15"/>
  <c r="P293" i="15"/>
  <c r="O293" i="15"/>
  <c r="N293" i="15"/>
  <c r="P292" i="15"/>
  <c r="O292" i="15"/>
  <c r="N292" i="15"/>
  <c r="P291" i="15"/>
  <c r="O291" i="15"/>
  <c r="N291" i="15"/>
  <c r="P290" i="15"/>
  <c r="O290" i="15"/>
  <c r="N290" i="15"/>
  <c r="P289" i="15"/>
  <c r="O289" i="15"/>
  <c r="N289" i="15"/>
  <c r="P288" i="15"/>
  <c r="O288" i="15"/>
  <c r="N288" i="15"/>
  <c r="P287" i="15"/>
  <c r="O287" i="15"/>
  <c r="N287" i="15"/>
  <c r="P286" i="15"/>
  <c r="O286" i="15"/>
  <c r="N286" i="15"/>
  <c r="P285" i="15"/>
  <c r="O285" i="15"/>
  <c r="N285" i="15"/>
  <c r="P284" i="15"/>
  <c r="O284" i="15"/>
  <c r="N284" i="15"/>
  <c r="P283" i="15"/>
  <c r="O283" i="15"/>
  <c r="N283" i="15"/>
  <c r="P282" i="15"/>
  <c r="O282" i="15"/>
  <c r="N282" i="15"/>
  <c r="P281" i="15"/>
  <c r="O281" i="15"/>
  <c r="N281" i="15"/>
  <c r="P280" i="15"/>
  <c r="O280" i="15"/>
  <c r="N280" i="15"/>
  <c r="P279" i="15"/>
  <c r="O279" i="15"/>
  <c r="N279" i="15"/>
  <c r="P278" i="15"/>
  <c r="O278" i="15"/>
  <c r="N278" i="15"/>
  <c r="P277" i="15"/>
  <c r="O277" i="15"/>
  <c r="N277" i="15"/>
  <c r="P276" i="15"/>
  <c r="O276" i="15"/>
  <c r="N276" i="15"/>
  <c r="P275" i="15"/>
  <c r="O275" i="15"/>
  <c r="N275" i="15"/>
  <c r="P274" i="15"/>
  <c r="O274" i="15"/>
  <c r="N274" i="15"/>
  <c r="P273" i="15"/>
  <c r="O273" i="15"/>
  <c r="N273" i="15"/>
  <c r="P272" i="15"/>
  <c r="O272" i="15"/>
  <c r="N272" i="15"/>
  <c r="P271" i="15"/>
  <c r="O271" i="15"/>
  <c r="N271" i="15"/>
  <c r="P270" i="15"/>
  <c r="O270" i="15"/>
  <c r="N270" i="15"/>
  <c r="P269" i="15"/>
  <c r="O269" i="15"/>
  <c r="N269" i="15"/>
  <c r="P268" i="15"/>
  <c r="O268" i="15"/>
  <c r="N268" i="15"/>
  <c r="P267" i="15"/>
  <c r="O267" i="15"/>
  <c r="N267" i="15"/>
  <c r="P266" i="15"/>
  <c r="O266" i="15"/>
  <c r="N266" i="15"/>
  <c r="P265" i="15"/>
  <c r="O265" i="15"/>
  <c r="N265" i="15"/>
  <c r="P264" i="15"/>
  <c r="O264" i="15"/>
  <c r="N264" i="15"/>
  <c r="P263" i="15"/>
  <c r="O263" i="15"/>
  <c r="N263" i="15"/>
  <c r="P262" i="15"/>
  <c r="O262" i="15"/>
  <c r="N262" i="15"/>
  <c r="P261" i="15"/>
  <c r="O261" i="15"/>
  <c r="N261" i="15"/>
  <c r="P260" i="15"/>
  <c r="O260" i="15"/>
  <c r="N260" i="15"/>
  <c r="P259" i="15"/>
  <c r="O259" i="15"/>
  <c r="N259" i="15"/>
  <c r="P258" i="15"/>
  <c r="O258" i="15"/>
  <c r="N258" i="15"/>
  <c r="P257" i="15"/>
  <c r="O257" i="15"/>
  <c r="N257" i="15"/>
  <c r="P256" i="15"/>
  <c r="O256" i="15"/>
  <c r="N256" i="15"/>
  <c r="P255" i="15"/>
  <c r="O255" i="15"/>
  <c r="N255" i="15"/>
  <c r="P254" i="15"/>
  <c r="O254" i="15"/>
  <c r="N254" i="15"/>
  <c r="P253" i="15"/>
  <c r="O253" i="15"/>
  <c r="N253" i="15"/>
  <c r="P252" i="15"/>
  <c r="O252" i="15"/>
  <c r="N252" i="15"/>
  <c r="P251" i="15"/>
  <c r="O251" i="15"/>
  <c r="N251" i="15"/>
  <c r="P250" i="15"/>
  <c r="O250" i="15"/>
  <c r="N250" i="15"/>
  <c r="P249" i="15"/>
  <c r="O249" i="15"/>
  <c r="N249" i="15"/>
  <c r="P248" i="15"/>
  <c r="O248" i="15"/>
  <c r="N248" i="15"/>
  <c r="P247" i="15"/>
  <c r="O247" i="15"/>
  <c r="N247" i="15"/>
  <c r="P246" i="15"/>
  <c r="O246" i="15"/>
  <c r="N246" i="15"/>
  <c r="P245" i="15"/>
  <c r="O245" i="15"/>
  <c r="N245" i="15"/>
  <c r="P244" i="15"/>
  <c r="O244" i="15"/>
  <c r="N244" i="15"/>
  <c r="P243" i="15"/>
  <c r="O243" i="15"/>
  <c r="N243" i="15"/>
  <c r="P242" i="15"/>
  <c r="O242" i="15"/>
  <c r="N242" i="15"/>
  <c r="P241" i="15"/>
  <c r="O241" i="15"/>
  <c r="N241" i="15"/>
  <c r="P240" i="15"/>
  <c r="O240" i="15"/>
  <c r="N240" i="15"/>
  <c r="P239" i="15"/>
  <c r="O239" i="15"/>
  <c r="N239" i="15"/>
  <c r="P238" i="15"/>
  <c r="O238" i="15"/>
  <c r="N238" i="15"/>
  <c r="P237" i="15"/>
  <c r="O237" i="15"/>
  <c r="N237" i="15"/>
  <c r="P236" i="15"/>
  <c r="O236" i="15"/>
  <c r="N236" i="15"/>
  <c r="P235" i="15"/>
  <c r="O235" i="15"/>
  <c r="N235" i="15"/>
  <c r="P234" i="15"/>
  <c r="O234" i="15"/>
  <c r="N234" i="15"/>
  <c r="P233" i="15"/>
  <c r="O233" i="15"/>
  <c r="N233" i="15"/>
  <c r="P232" i="15"/>
  <c r="O232" i="15"/>
  <c r="N232" i="15"/>
  <c r="P231" i="15"/>
  <c r="O231" i="15"/>
  <c r="N231" i="15"/>
  <c r="P230" i="15"/>
  <c r="O230" i="15"/>
  <c r="N230" i="15"/>
  <c r="P229" i="15"/>
  <c r="O229" i="15"/>
  <c r="N229" i="15"/>
  <c r="P228" i="15"/>
  <c r="O228" i="15"/>
  <c r="N228" i="15"/>
  <c r="P227" i="15"/>
  <c r="O227" i="15"/>
  <c r="N227" i="15"/>
  <c r="P226" i="15"/>
  <c r="O226" i="15"/>
  <c r="N226" i="15"/>
  <c r="P225" i="15"/>
  <c r="O225" i="15"/>
  <c r="N225" i="15"/>
  <c r="P224" i="15"/>
  <c r="O224" i="15"/>
  <c r="N224" i="15"/>
  <c r="P223" i="15"/>
  <c r="O223" i="15"/>
  <c r="N223" i="15"/>
  <c r="P222" i="15"/>
  <c r="O222" i="15"/>
  <c r="N222" i="15"/>
  <c r="P221" i="15"/>
  <c r="O221" i="15"/>
  <c r="N221" i="15"/>
  <c r="P220" i="15"/>
  <c r="O220" i="15"/>
  <c r="N220" i="15"/>
  <c r="P219" i="15"/>
  <c r="O219" i="15"/>
  <c r="N219" i="15"/>
  <c r="P218" i="15"/>
  <c r="O218" i="15"/>
  <c r="N218" i="15"/>
  <c r="P217" i="15"/>
  <c r="O217" i="15"/>
  <c r="N217" i="15"/>
  <c r="P216" i="15"/>
  <c r="O216" i="15"/>
  <c r="N216" i="15"/>
  <c r="P215" i="15"/>
  <c r="O215" i="15"/>
  <c r="N215" i="15"/>
  <c r="P214" i="15"/>
  <c r="O214" i="15"/>
  <c r="N214" i="15"/>
  <c r="P213" i="15"/>
  <c r="O213" i="15"/>
  <c r="N213" i="15"/>
  <c r="P212" i="15"/>
  <c r="O212" i="15"/>
  <c r="N212" i="15"/>
  <c r="P211" i="15"/>
  <c r="O211" i="15"/>
  <c r="N211" i="15"/>
  <c r="P210" i="15"/>
  <c r="O210" i="15"/>
  <c r="N210" i="15"/>
  <c r="P209" i="15"/>
  <c r="O209" i="15"/>
  <c r="N209" i="15"/>
  <c r="P208" i="15"/>
  <c r="O208" i="15"/>
  <c r="N208" i="15"/>
  <c r="P207" i="15"/>
  <c r="O207" i="15"/>
  <c r="N207" i="15"/>
  <c r="P206" i="15"/>
  <c r="O206" i="15"/>
  <c r="N206" i="15"/>
  <c r="P205" i="15"/>
  <c r="O205" i="15"/>
  <c r="N205" i="15"/>
  <c r="P204" i="15"/>
  <c r="O204" i="15"/>
  <c r="N204" i="15"/>
  <c r="P203" i="15"/>
  <c r="O203" i="15"/>
  <c r="N203" i="15"/>
  <c r="P202" i="15"/>
  <c r="O202" i="15"/>
  <c r="N202" i="15"/>
  <c r="P201" i="15"/>
  <c r="O201" i="15"/>
  <c r="N201" i="15"/>
  <c r="P200" i="15"/>
  <c r="O200" i="15"/>
  <c r="N200" i="15"/>
  <c r="P199" i="15"/>
  <c r="O199" i="15"/>
  <c r="N199" i="15"/>
  <c r="P198" i="15"/>
  <c r="O198" i="15"/>
  <c r="N198" i="15"/>
  <c r="P197" i="15"/>
  <c r="O197" i="15"/>
  <c r="N197" i="15"/>
  <c r="P196" i="15"/>
  <c r="O196" i="15"/>
  <c r="N196" i="15"/>
  <c r="P195" i="15"/>
  <c r="O195" i="15"/>
  <c r="N195" i="15"/>
  <c r="P194" i="15"/>
  <c r="O194" i="15"/>
  <c r="N194" i="15"/>
  <c r="P193" i="15"/>
  <c r="O193" i="15"/>
  <c r="N193" i="15"/>
  <c r="P192" i="15"/>
  <c r="O192" i="15"/>
  <c r="N192" i="15"/>
  <c r="P191" i="15"/>
  <c r="O191" i="15"/>
  <c r="N191" i="15"/>
  <c r="P190" i="15"/>
  <c r="O190" i="15"/>
  <c r="N190" i="15"/>
  <c r="P189" i="15"/>
  <c r="O189" i="15"/>
  <c r="N189" i="15"/>
  <c r="P188" i="15"/>
  <c r="O188" i="15"/>
  <c r="N188" i="15"/>
  <c r="P187" i="15"/>
  <c r="O187" i="15"/>
  <c r="N187" i="15"/>
  <c r="P186" i="15"/>
  <c r="O186" i="15"/>
  <c r="N186" i="15"/>
  <c r="P185" i="15"/>
  <c r="O185" i="15"/>
  <c r="N185" i="15"/>
  <c r="P184" i="15"/>
  <c r="O184" i="15"/>
  <c r="N184" i="15"/>
  <c r="P183" i="15"/>
  <c r="O183" i="15"/>
  <c r="N183" i="15"/>
  <c r="P182" i="15"/>
  <c r="O182" i="15"/>
  <c r="N182" i="15"/>
  <c r="P181" i="15"/>
  <c r="O181" i="15"/>
  <c r="N181" i="15"/>
  <c r="P180" i="15"/>
  <c r="O180" i="15"/>
  <c r="N180" i="15"/>
  <c r="P179" i="15"/>
  <c r="O179" i="15"/>
  <c r="N179" i="15"/>
  <c r="P178" i="15"/>
  <c r="O178" i="15"/>
  <c r="N178" i="15"/>
  <c r="P177" i="15"/>
  <c r="O177" i="15"/>
  <c r="N177" i="15"/>
  <c r="P176" i="15"/>
  <c r="O176" i="15"/>
  <c r="N176" i="15"/>
  <c r="P175" i="15"/>
  <c r="O175" i="15"/>
  <c r="N175" i="15"/>
  <c r="P174" i="15"/>
  <c r="O174" i="15"/>
  <c r="N174" i="15"/>
  <c r="P173" i="15"/>
  <c r="O173" i="15"/>
  <c r="N173" i="15"/>
  <c r="P172" i="15"/>
  <c r="O172" i="15"/>
  <c r="N172" i="15"/>
  <c r="P171" i="15"/>
  <c r="O171" i="15"/>
  <c r="N171" i="15"/>
  <c r="P170" i="15"/>
  <c r="O170" i="15"/>
  <c r="N170" i="15"/>
  <c r="P169" i="15"/>
  <c r="O169" i="15"/>
  <c r="N169" i="15"/>
  <c r="P168" i="15"/>
  <c r="O168" i="15"/>
  <c r="N168" i="15"/>
  <c r="P167" i="15"/>
  <c r="O167" i="15"/>
  <c r="N167" i="15"/>
  <c r="P166" i="15"/>
  <c r="O166" i="15"/>
  <c r="N166" i="15"/>
  <c r="P165" i="15"/>
  <c r="O165" i="15"/>
  <c r="N165" i="15"/>
  <c r="P164" i="15"/>
  <c r="O164" i="15"/>
  <c r="N164" i="15"/>
  <c r="P163" i="15"/>
  <c r="O163" i="15"/>
  <c r="N163" i="15"/>
  <c r="P162" i="15"/>
  <c r="O162" i="15"/>
  <c r="N162" i="15"/>
  <c r="P161" i="15"/>
  <c r="O161" i="15"/>
  <c r="N161" i="15"/>
  <c r="P160" i="15"/>
  <c r="O160" i="15"/>
  <c r="N160" i="15"/>
  <c r="P159" i="15"/>
  <c r="O159" i="15"/>
  <c r="N159" i="15"/>
  <c r="P158" i="15"/>
  <c r="O158" i="15"/>
  <c r="N158" i="15"/>
  <c r="P157" i="15"/>
  <c r="O157" i="15"/>
  <c r="N157" i="15"/>
  <c r="P156" i="15"/>
  <c r="O156" i="15"/>
  <c r="N156" i="15"/>
  <c r="P155" i="15"/>
  <c r="O155" i="15"/>
  <c r="N155" i="15"/>
  <c r="P154" i="15"/>
  <c r="O154" i="15"/>
  <c r="N154" i="15"/>
  <c r="P153" i="15"/>
  <c r="O153" i="15"/>
  <c r="N153" i="15"/>
  <c r="P152" i="15"/>
  <c r="O152" i="15"/>
  <c r="N152" i="15"/>
  <c r="P151" i="15"/>
  <c r="O151" i="15"/>
  <c r="N151" i="15"/>
  <c r="P150" i="15"/>
  <c r="O150" i="15"/>
  <c r="N150" i="15"/>
  <c r="P149" i="15"/>
  <c r="O149" i="15"/>
  <c r="N149" i="15"/>
  <c r="P148" i="15"/>
  <c r="O148" i="15"/>
  <c r="N148" i="15"/>
  <c r="P147" i="15"/>
  <c r="O147" i="15"/>
  <c r="N147" i="15"/>
  <c r="P146" i="15"/>
  <c r="O146" i="15"/>
  <c r="N146" i="15"/>
  <c r="P145" i="15"/>
  <c r="O145" i="15"/>
  <c r="N145" i="15"/>
  <c r="P144" i="15"/>
  <c r="O144" i="15"/>
  <c r="N144" i="15"/>
  <c r="P143" i="15"/>
  <c r="O143" i="15"/>
  <c r="N143" i="15"/>
  <c r="P142" i="15"/>
  <c r="O142" i="15"/>
  <c r="N142" i="15"/>
  <c r="P141" i="15"/>
  <c r="O141" i="15"/>
  <c r="N141" i="15"/>
  <c r="P140" i="15"/>
  <c r="O140" i="15"/>
  <c r="N140" i="15"/>
  <c r="P139" i="15"/>
  <c r="O139" i="15"/>
  <c r="N139" i="15"/>
  <c r="P138" i="15"/>
  <c r="O138" i="15"/>
  <c r="N138" i="15"/>
  <c r="P137" i="15"/>
  <c r="O137" i="15"/>
  <c r="N137" i="15"/>
  <c r="P136" i="15"/>
  <c r="O136" i="15"/>
  <c r="N136" i="15"/>
  <c r="P135" i="15"/>
  <c r="O135" i="15"/>
  <c r="N135" i="15"/>
  <c r="P134" i="15"/>
  <c r="O134" i="15"/>
  <c r="N134" i="15"/>
  <c r="P133" i="15"/>
  <c r="O133" i="15"/>
  <c r="N133" i="15"/>
  <c r="P132" i="15"/>
  <c r="O132" i="15"/>
  <c r="N132" i="15"/>
  <c r="P131" i="15"/>
  <c r="O131" i="15"/>
  <c r="N131" i="15"/>
  <c r="P130" i="15"/>
  <c r="O130" i="15"/>
  <c r="N130" i="15"/>
  <c r="P129" i="15"/>
  <c r="O129" i="15"/>
  <c r="N129" i="15"/>
  <c r="P128" i="15"/>
  <c r="O128" i="15"/>
  <c r="N128" i="15"/>
  <c r="P127" i="15"/>
  <c r="O127" i="15"/>
  <c r="N127" i="15"/>
  <c r="P126" i="15"/>
  <c r="O126" i="15"/>
  <c r="N126" i="15"/>
  <c r="P125" i="15"/>
  <c r="O125" i="15"/>
  <c r="N125" i="15"/>
  <c r="P124" i="15"/>
  <c r="O124" i="15"/>
  <c r="N124" i="15"/>
  <c r="P123" i="15"/>
  <c r="O123" i="15"/>
  <c r="N123" i="15"/>
  <c r="P122" i="15"/>
  <c r="O122" i="15"/>
  <c r="N122" i="15"/>
  <c r="P121" i="15"/>
  <c r="O121" i="15"/>
  <c r="N121" i="15"/>
  <c r="P120" i="15"/>
  <c r="O120" i="15"/>
  <c r="N120" i="15"/>
  <c r="P119" i="15"/>
  <c r="O119" i="15"/>
  <c r="N119" i="15"/>
  <c r="P118" i="15"/>
  <c r="O118" i="15"/>
  <c r="N118" i="15"/>
  <c r="P117" i="15"/>
  <c r="O117" i="15"/>
  <c r="N117" i="15"/>
  <c r="P116" i="15"/>
  <c r="O116" i="15"/>
  <c r="N116" i="15"/>
  <c r="P115" i="15"/>
  <c r="O115" i="15"/>
  <c r="N115" i="15"/>
  <c r="P114" i="15"/>
  <c r="O114" i="15"/>
  <c r="N114" i="15"/>
  <c r="P113" i="15"/>
  <c r="O113" i="15"/>
  <c r="N113" i="15"/>
  <c r="P112" i="15"/>
  <c r="O112" i="15"/>
  <c r="N112" i="15"/>
  <c r="P111" i="15"/>
  <c r="O111" i="15"/>
  <c r="N111" i="15"/>
  <c r="P110" i="15"/>
  <c r="O110" i="15"/>
  <c r="N110" i="15"/>
  <c r="P109" i="15"/>
  <c r="O109" i="15"/>
  <c r="N109" i="15"/>
  <c r="P108" i="15"/>
  <c r="O108" i="15"/>
  <c r="N108" i="15"/>
  <c r="P107" i="15"/>
  <c r="O107" i="15"/>
  <c r="N107" i="15"/>
  <c r="P106" i="15"/>
  <c r="O106" i="15"/>
  <c r="N106" i="15"/>
  <c r="P105" i="15"/>
  <c r="O105" i="15"/>
  <c r="N105" i="15"/>
  <c r="P104" i="15"/>
  <c r="O104" i="15"/>
  <c r="N104" i="15"/>
  <c r="P103" i="15"/>
  <c r="O103" i="15"/>
  <c r="N103" i="15"/>
  <c r="P102" i="15"/>
  <c r="O102" i="15"/>
  <c r="N102" i="15"/>
  <c r="P101" i="15"/>
  <c r="O101" i="15"/>
  <c r="N101" i="15"/>
  <c r="P100" i="15"/>
  <c r="O100" i="15"/>
  <c r="N100" i="15"/>
  <c r="P99" i="15"/>
  <c r="O99" i="15"/>
  <c r="N99" i="15"/>
  <c r="P98" i="15"/>
  <c r="O98" i="15"/>
  <c r="N98" i="15"/>
  <c r="P97" i="15"/>
  <c r="O97" i="15"/>
  <c r="N97" i="15"/>
  <c r="P96" i="15"/>
  <c r="O96" i="15"/>
  <c r="N96" i="15"/>
  <c r="P95" i="15"/>
  <c r="O95" i="15"/>
  <c r="N95" i="15"/>
  <c r="P94" i="15"/>
  <c r="O94" i="15"/>
  <c r="N94" i="15"/>
  <c r="P93" i="15"/>
  <c r="O93" i="15"/>
  <c r="N93" i="15"/>
  <c r="P92" i="15"/>
  <c r="O92" i="15"/>
  <c r="N92" i="15"/>
  <c r="P91" i="15"/>
  <c r="O91" i="15"/>
  <c r="N91" i="15"/>
  <c r="P90" i="15"/>
  <c r="O90" i="15"/>
  <c r="N90" i="15"/>
  <c r="P89" i="15"/>
  <c r="O89" i="15"/>
  <c r="N89" i="15"/>
  <c r="P88" i="15"/>
  <c r="O88" i="15"/>
  <c r="N88" i="15"/>
  <c r="P87" i="15"/>
  <c r="O87" i="15"/>
  <c r="N87" i="15"/>
  <c r="P86" i="15"/>
  <c r="O86" i="15"/>
  <c r="N86" i="15"/>
  <c r="P85" i="15"/>
  <c r="O85" i="15"/>
  <c r="N85" i="15"/>
  <c r="P84" i="15"/>
  <c r="O84" i="15"/>
  <c r="N84" i="15"/>
  <c r="P83" i="15"/>
  <c r="O83" i="15"/>
  <c r="N83" i="15"/>
  <c r="P82" i="15"/>
  <c r="O82" i="15"/>
  <c r="N82" i="15"/>
  <c r="P81" i="15"/>
  <c r="O81" i="15"/>
  <c r="N81" i="15"/>
  <c r="P80" i="15"/>
  <c r="O80" i="15"/>
  <c r="N80" i="15"/>
  <c r="P79" i="15"/>
  <c r="O79" i="15"/>
  <c r="N79" i="15"/>
  <c r="P78" i="15"/>
  <c r="O78" i="15"/>
  <c r="N78" i="15"/>
  <c r="P77" i="15"/>
  <c r="O77" i="15"/>
  <c r="N77" i="15"/>
  <c r="P76" i="15"/>
  <c r="O76" i="15"/>
  <c r="N76" i="15"/>
  <c r="P75" i="15"/>
  <c r="O75" i="15"/>
  <c r="N75" i="15"/>
  <c r="P74" i="15"/>
  <c r="O74" i="15"/>
  <c r="N74" i="15"/>
  <c r="P73" i="15"/>
  <c r="O73" i="15"/>
  <c r="N73" i="15"/>
  <c r="P72" i="15"/>
  <c r="O72" i="15"/>
  <c r="N72" i="15"/>
  <c r="P71" i="15"/>
  <c r="O71" i="15"/>
  <c r="N71" i="15"/>
  <c r="P70" i="15"/>
  <c r="O70" i="15"/>
  <c r="N70" i="15"/>
  <c r="P69" i="15"/>
  <c r="O69" i="15"/>
  <c r="N69" i="15"/>
  <c r="P68" i="15"/>
  <c r="O68" i="15"/>
  <c r="N68" i="15"/>
  <c r="P67" i="15"/>
  <c r="O67" i="15"/>
  <c r="N67" i="15"/>
  <c r="P66" i="15"/>
  <c r="O66" i="15"/>
  <c r="N66" i="15"/>
  <c r="P65" i="15"/>
  <c r="O65" i="15"/>
  <c r="N65" i="15"/>
  <c r="P64" i="15"/>
  <c r="O64" i="15"/>
  <c r="N64" i="15"/>
  <c r="P63" i="15"/>
  <c r="O63" i="15"/>
  <c r="N63" i="15"/>
  <c r="P62" i="15"/>
  <c r="O62" i="15"/>
  <c r="N62" i="15"/>
  <c r="P61" i="15"/>
  <c r="O61" i="15"/>
  <c r="N61" i="15"/>
  <c r="P60" i="15"/>
  <c r="O60" i="15"/>
  <c r="N60" i="15"/>
  <c r="P59" i="15"/>
  <c r="O59" i="15"/>
  <c r="N59" i="15"/>
  <c r="P58" i="15"/>
  <c r="O58" i="15"/>
  <c r="N58" i="15"/>
  <c r="P57" i="15"/>
  <c r="O57" i="15"/>
  <c r="N57" i="15"/>
  <c r="P56" i="15"/>
  <c r="O56" i="15"/>
  <c r="N56" i="15"/>
  <c r="P55" i="15"/>
  <c r="O55" i="15"/>
  <c r="N55" i="15"/>
  <c r="P54" i="15"/>
  <c r="O54" i="15"/>
  <c r="N54" i="15"/>
  <c r="P53" i="15"/>
  <c r="O53" i="15"/>
  <c r="N53" i="15"/>
  <c r="P52" i="15"/>
  <c r="O52" i="15"/>
  <c r="N52" i="15"/>
  <c r="P51" i="15"/>
  <c r="O51" i="15"/>
  <c r="N51" i="15"/>
  <c r="P50" i="15"/>
  <c r="O50" i="15"/>
  <c r="N50" i="15"/>
  <c r="P49" i="15"/>
  <c r="O49" i="15"/>
  <c r="N49" i="15"/>
  <c r="P48" i="15"/>
  <c r="O48" i="15"/>
  <c r="N48" i="15"/>
  <c r="P47" i="15"/>
  <c r="O47" i="15"/>
  <c r="N47" i="15"/>
  <c r="P46" i="15"/>
  <c r="O46" i="15"/>
  <c r="N46" i="15"/>
  <c r="P45" i="15"/>
  <c r="O45" i="15"/>
  <c r="N45" i="15"/>
  <c r="P44" i="15"/>
  <c r="O44" i="15"/>
  <c r="N44" i="15"/>
  <c r="P43" i="15"/>
  <c r="O43" i="15"/>
  <c r="N43" i="15"/>
  <c r="P42" i="15"/>
  <c r="O42" i="15"/>
  <c r="N42" i="15"/>
  <c r="P41" i="15"/>
  <c r="O41" i="15"/>
  <c r="N41" i="15"/>
  <c r="P40" i="15"/>
  <c r="O40" i="15"/>
  <c r="N40" i="15"/>
  <c r="P39" i="15"/>
  <c r="O39" i="15"/>
  <c r="N39" i="15"/>
  <c r="P38" i="15"/>
  <c r="O38" i="15"/>
  <c r="N38" i="15"/>
  <c r="P37" i="15"/>
  <c r="O37" i="15"/>
  <c r="N37" i="15"/>
  <c r="P36" i="15"/>
  <c r="O36" i="15"/>
  <c r="P35" i="15"/>
  <c r="O35" i="15"/>
  <c r="P34" i="15"/>
  <c r="O34" i="15"/>
  <c r="P33" i="15"/>
  <c r="O33" i="15"/>
  <c r="N33" i="15"/>
  <c r="P32" i="15"/>
  <c r="O32" i="15"/>
  <c r="N32" i="15"/>
  <c r="P31" i="15"/>
  <c r="O31" i="15"/>
  <c r="N31" i="15"/>
  <c r="P30" i="15"/>
  <c r="O30" i="15"/>
  <c r="N30" i="15"/>
  <c r="P29" i="15"/>
  <c r="O29" i="15"/>
  <c r="N29" i="15"/>
  <c r="P28" i="15"/>
  <c r="O28" i="15"/>
  <c r="N28" i="15"/>
  <c r="P27" i="15"/>
  <c r="O27" i="15"/>
  <c r="N27" i="15"/>
  <c r="P26" i="15"/>
  <c r="O26" i="15"/>
  <c r="N26" i="15"/>
  <c r="P25" i="15"/>
  <c r="O25" i="15"/>
  <c r="N25" i="15"/>
  <c r="P24" i="15"/>
  <c r="O24" i="15"/>
  <c r="N24" i="15"/>
  <c r="P23" i="15"/>
  <c r="O23" i="15"/>
  <c r="N23" i="15"/>
  <c r="P22" i="15"/>
  <c r="O22" i="15"/>
  <c r="N22" i="15"/>
  <c r="P21" i="15"/>
  <c r="O21" i="15"/>
  <c r="N21" i="15"/>
  <c r="P20" i="15"/>
  <c r="O20" i="15"/>
  <c r="N20" i="15"/>
  <c r="P19" i="15"/>
  <c r="O19" i="15"/>
  <c r="N19" i="15"/>
  <c r="P18" i="15"/>
  <c r="O18" i="15"/>
  <c r="N18" i="15"/>
  <c r="P17" i="15"/>
  <c r="O17" i="15"/>
  <c r="N17" i="15"/>
  <c r="P16" i="15"/>
  <c r="O16" i="15"/>
  <c r="N16" i="15"/>
  <c r="AS15" i="15"/>
  <c r="P15" i="15"/>
  <c r="O15" i="15"/>
  <c r="N15" i="15"/>
  <c r="AS14" i="15"/>
  <c r="P14" i="15"/>
  <c r="O14" i="15"/>
  <c r="N14" i="15"/>
  <c r="AS13" i="15"/>
  <c r="P13" i="15"/>
  <c r="O13" i="15"/>
  <c r="N13" i="15"/>
  <c r="AS12" i="15"/>
  <c r="P12" i="15"/>
  <c r="O12" i="15"/>
  <c r="N12" i="15"/>
  <c r="P11" i="15"/>
  <c r="O11" i="15"/>
  <c r="N11" i="15"/>
  <c r="P10" i="15"/>
  <c r="O10" i="15"/>
  <c r="S11" i="1" s="1"/>
  <c r="N10" i="15"/>
  <c r="S9" i="15" a="1"/>
  <c r="S9" i="15" s="1"/>
  <c r="U1" i="15" s="1" a="1"/>
  <c r="U1" i="15" s="1"/>
  <c r="P9" i="15"/>
  <c r="O9" i="15"/>
  <c r="N9" i="15"/>
  <c r="AQ8" i="15"/>
  <c r="P8" i="15"/>
  <c r="O8" i="15"/>
  <c r="N8" i="15"/>
  <c r="P7" i="15"/>
  <c r="O7" i="15"/>
  <c r="N7" i="15"/>
  <c r="P6" i="15"/>
  <c r="O6" i="15"/>
  <c r="N6" i="15"/>
  <c r="P5" i="15"/>
  <c r="O5" i="15"/>
  <c r="N5" i="15"/>
  <c r="P4" i="15"/>
  <c r="O4" i="15"/>
  <c r="N4" i="15"/>
  <c r="P3" i="15"/>
  <c r="O3" i="15"/>
  <c r="N3" i="15"/>
  <c r="P2" i="15"/>
  <c r="O2" i="15"/>
  <c r="N2" i="15"/>
  <c r="BC1" i="15" a="1"/>
  <c r="BC1" i="15" s="1"/>
  <c r="AT1" i="15" a="1"/>
  <c r="AT1" i="15" s="1"/>
  <c r="Z371" i="1"/>
  <c r="X371" i="1"/>
  <c r="V371" i="1"/>
  <c r="T371" i="1"/>
  <c r="S371" i="1"/>
  <c r="Z370" i="1"/>
  <c r="X370" i="1"/>
  <c r="V370" i="1"/>
  <c r="T370" i="1"/>
  <c r="S370" i="1"/>
  <c r="Z369" i="1"/>
  <c r="X369" i="1"/>
  <c r="V369" i="1"/>
  <c r="T369" i="1"/>
  <c r="S369" i="1"/>
  <c r="Z368" i="1"/>
  <c r="X368" i="1"/>
  <c r="V368" i="1"/>
  <c r="T368" i="1"/>
  <c r="S368" i="1"/>
  <c r="Z367" i="1"/>
  <c r="X367" i="1"/>
  <c r="V367" i="1"/>
  <c r="T367" i="1"/>
  <c r="S367" i="1"/>
  <c r="Z366" i="1"/>
  <c r="X366" i="1"/>
  <c r="V366" i="1"/>
  <c r="T366" i="1"/>
  <c r="S366" i="1"/>
  <c r="Z365" i="1"/>
  <c r="X365" i="1"/>
  <c r="V365" i="1"/>
  <c r="T365" i="1"/>
  <c r="S365" i="1"/>
  <c r="Z364" i="1"/>
  <c r="X364" i="1"/>
  <c r="V364" i="1"/>
  <c r="T364" i="1"/>
  <c r="S364" i="1"/>
  <c r="Z363" i="1"/>
  <c r="X363" i="1"/>
  <c r="V363" i="1"/>
  <c r="T363" i="1"/>
  <c r="S363" i="1"/>
  <c r="Z362" i="1"/>
  <c r="X362" i="1"/>
  <c r="V362" i="1"/>
  <c r="T362" i="1"/>
  <c r="S362" i="1"/>
  <c r="Z361" i="1"/>
  <c r="X361" i="1"/>
  <c r="V361" i="1"/>
  <c r="T361" i="1"/>
  <c r="S361" i="1"/>
  <c r="Z360" i="1"/>
  <c r="X360" i="1"/>
  <c r="V360" i="1"/>
  <c r="T360" i="1"/>
  <c r="S360" i="1"/>
  <c r="Z359" i="1"/>
  <c r="X359" i="1"/>
  <c r="V359" i="1"/>
  <c r="T359" i="1"/>
  <c r="S359" i="1"/>
  <c r="Z358" i="1"/>
  <c r="X358" i="1"/>
  <c r="V358" i="1"/>
  <c r="T358" i="1"/>
  <c r="S358" i="1"/>
  <c r="Z357" i="1"/>
  <c r="X357" i="1"/>
  <c r="V357" i="1"/>
  <c r="T357" i="1"/>
  <c r="S357" i="1"/>
  <c r="Z356" i="1"/>
  <c r="X356" i="1"/>
  <c r="V356" i="1"/>
  <c r="T356" i="1"/>
  <c r="S356" i="1"/>
  <c r="Z355" i="1"/>
  <c r="X355" i="1"/>
  <c r="V355" i="1"/>
  <c r="T355" i="1"/>
  <c r="S355" i="1"/>
  <c r="Z354" i="1"/>
  <c r="X354" i="1"/>
  <c r="V354" i="1"/>
  <c r="T354" i="1"/>
  <c r="S354" i="1"/>
  <c r="Z353" i="1"/>
  <c r="X353" i="1"/>
  <c r="V353" i="1"/>
  <c r="T353" i="1"/>
  <c r="S353" i="1"/>
  <c r="Z352" i="1"/>
  <c r="X352" i="1"/>
  <c r="V352" i="1"/>
  <c r="T352" i="1"/>
  <c r="S352" i="1"/>
  <c r="Z351" i="1"/>
  <c r="X351" i="1"/>
  <c r="V351" i="1"/>
  <c r="T351" i="1"/>
  <c r="S351" i="1"/>
  <c r="Z350" i="1"/>
  <c r="X350" i="1"/>
  <c r="V350" i="1"/>
  <c r="T350" i="1"/>
  <c r="S350" i="1"/>
  <c r="Z349" i="1"/>
  <c r="X349" i="1"/>
  <c r="V349" i="1"/>
  <c r="T349" i="1"/>
  <c r="S349" i="1"/>
  <c r="Z348" i="1"/>
  <c r="X348" i="1"/>
  <c r="V348" i="1"/>
  <c r="T348" i="1"/>
  <c r="S348" i="1"/>
  <c r="Z347" i="1"/>
  <c r="X347" i="1"/>
  <c r="V347" i="1"/>
  <c r="T347" i="1"/>
  <c r="S347" i="1"/>
  <c r="Z346" i="1"/>
  <c r="X346" i="1"/>
  <c r="V346" i="1"/>
  <c r="T346" i="1"/>
  <c r="S346" i="1"/>
  <c r="Z345" i="1"/>
  <c r="X345" i="1"/>
  <c r="V345" i="1"/>
  <c r="T345" i="1"/>
  <c r="S345" i="1"/>
  <c r="Z344" i="1"/>
  <c r="X344" i="1"/>
  <c r="V344" i="1"/>
  <c r="T344" i="1"/>
  <c r="S344" i="1"/>
  <c r="Z343" i="1"/>
  <c r="X343" i="1"/>
  <c r="V343" i="1"/>
  <c r="T343" i="1"/>
  <c r="S343" i="1"/>
  <c r="Z342" i="1"/>
  <c r="X342" i="1"/>
  <c r="V342" i="1"/>
  <c r="T342" i="1"/>
  <c r="S342" i="1"/>
  <c r="Z341" i="1"/>
  <c r="X341" i="1"/>
  <c r="V341" i="1"/>
  <c r="T341" i="1"/>
  <c r="S341" i="1"/>
  <c r="Z340" i="1"/>
  <c r="X340" i="1"/>
  <c r="V340" i="1"/>
  <c r="T340" i="1"/>
  <c r="S340" i="1"/>
  <c r="Z339" i="1"/>
  <c r="X339" i="1"/>
  <c r="V339" i="1"/>
  <c r="T339" i="1"/>
  <c r="S339" i="1"/>
  <c r="Z338" i="1"/>
  <c r="X338" i="1"/>
  <c r="V338" i="1"/>
  <c r="T338" i="1"/>
  <c r="S338" i="1"/>
  <c r="Z337" i="1"/>
  <c r="X337" i="1"/>
  <c r="V337" i="1"/>
  <c r="T337" i="1"/>
  <c r="S337" i="1"/>
  <c r="Z336" i="1"/>
  <c r="X336" i="1"/>
  <c r="V336" i="1"/>
  <c r="T336" i="1"/>
  <c r="S336" i="1"/>
  <c r="Z335" i="1"/>
  <c r="X335" i="1"/>
  <c r="V335" i="1"/>
  <c r="T335" i="1"/>
  <c r="S335" i="1"/>
  <c r="Z334" i="1"/>
  <c r="X334" i="1"/>
  <c r="V334" i="1"/>
  <c r="T334" i="1"/>
  <c r="S334" i="1"/>
  <c r="Z333" i="1"/>
  <c r="X333" i="1"/>
  <c r="V333" i="1"/>
  <c r="T333" i="1"/>
  <c r="S333" i="1"/>
  <c r="Z332" i="1"/>
  <c r="X332" i="1"/>
  <c r="V332" i="1"/>
  <c r="T332" i="1"/>
  <c r="S332" i="1"/>
  <c r="Z331" i="1"/>
  <c r="X331" i="1"/>
  <c r="V331" i="1"/>
  <c r="T331" i="1"/>
  <c r="S331" i="1"/>
  <c r="Z330" i="1"/>
  <c r="X330" i="1"/>
  <c r="V330" i="1"/>
  <c r="T330" i="1"/>
  <c r="S330" i="1"/>
  <c r="Z329" i="1"/>
  <c r="X329" i="1"/>
  <c r="V329" i="1"/>
  <c r="T329" i="1"/>
  <c r="S329" i="1"/>
  <c r="Z328" i="1"/>
  <c r="X328" i="1"/>
  <c r="V328" i="1"/>
  <c r="T328" i="1"/>
  <c r="S328" i="1"/>
  <c r="Z327" i="1"/>
  <c r="X327" i="1"/>
  <c r="V327" i="1"/>
  <c r="T327" i="1"/>
  <c r="S327" i="1"/>
  <c r="Z326" i="1"/>
  <c r="X326" i="1"/>
  <c r="V326" i="1"/>
  <c r="T326" i="1"/>
  <c r="S326" i="1"/>
  <c r="Z325" i="1"/>
  <c r="X325" i="1"/>
  <c r="V325" i="1"/>
  <c r="T325" i="1"/>
  <c r="S325" i="1"/>
  <c r="Z324" i="1"/>
  <c r="X324" i="1"/>
  <c r="V324" i="1"/>
  <c r="T324" i="1"/>
  <c r="S324" i="1"/>
  <c r="Z323" i="1"/>
  <c r="X323" i="1"/>
  <c r="V323" i="1"/>
  <c r="T323" i="1"/>
  <c r="S323" i="1"/>
  <c r="Z322" i="1"/>
  <c r="X322" i="1"/>
  <c r="V322" i="1"/>
  <c r="T322" i="1"/>
  <c r="S322" i="1"/>
  <c r="Z321" i="1"/>
  <c r="X321" i="1"/>
  <c r="V321" i="1"/>
  <c r="T321" i="1"/>
  <c r="S321" i="1"/>
  <c r="Z320" i="1"/>
  <c r="X320" i="1"/>
  <c r="V320" i="1"/>
  <c r="T320" i="1"/>
  <c r="S320" i="1"/>
  <c r="Z319" i="1"/>
  <c r="X319" i="1"/>
  <c r="V319" i="1"/>
  <c r="T319" i="1"/>
  <c r="S319" i="1"/>
  <c r="Z318" i="1"/>
  <c r="X318" i="1"/>
  <c r="V318" i="1"/>
  <c r="T318" i="1"/>
  <c r="S318" i="1"/>
  <c r="Z317" i="1"/>
  <c r="X317" i="1"/>
  <c r="V317" i="1"/>
  <c r="T317" i="1"/>
  <c r="S317" i="1"/>
  <c r="Z316" i="1"/>
  <c r="X316" i="1"/>
  <c r="V316" i="1"/>
  <c r="T316" i="1"/>
  <c r="S316" i="1"/>
  <c r="Z315" i="1"/>
  <c r="X315" i="1"/>
  <c r="V315" i="1"/>
  <c r="T315" i="1"/>
  <c r="S315" i="1"/>
  <c r="Z314" i="1"/>
  <c r="X314" i="1"/>
  <c r="V314" i="1"/>
  <c r="T314" i="1"/>
  <c r="S314" i="1"/>
  <c r="Z313" i="1"/>
  <c r="X313" i="1"/>
  <c r="V313" i="1"/>
  <c r="T313" i="1"/>
  <c r="S313" i="1"/>
  <c r="Z312" i="1"/>
  <c r="X312" i="1"/>
  <c r="V312" i="1"/>
  <c r="T312" i="1"/>
  <c r="S312" i="1"/>
  <c r="Z311" i="1"/>
  <c r="X311" i="1"/>
  <c r="V311" i="1"/>
  <c r="T311" i="1"/>
  <c r="S311" i="1"/>
  <c r="Z310" i="1"/>
  <c r="X310" i="1"/>
  <c r="V310" i="1"/>
  <c r="T310" i="1"/>
  <c r="S310" i="1"/>
  <c r="Z309" i="1"/>
  <c r="X309" i="1"/>
  <c r="V309" i="1"/>
  <c r="T309" i="1"/>
  <c r="S309" i="1"/>
  <c r="Z308" i="1"/>
  <c r="X308" i="1"/>
  <c r="V308" i="1"/>
  <c r="T308" i="1"/>
  <c r="S308" i="1"/>
  <c r="Z307" i="1"/>
  <c r="X307" i="1"/>
  <c r="V307" i="1"/>
  <c r="T307" i="1"/>
  <c r="S307" i="1"/>
  <c r="Z306" i="1"/>
  <c r="X306" i="1"/>
  <c r="V306" i="1"/>
  <c r="T306" i="1"/>
  <c r="S306" i="1"/>
  <c r="Z305" i="1"/>
  <c r="X305" i="1"/>
  <c r="V305" i="1"/>
  <c r="T305" i="1"/>
  <c r="S305" i="1"/>
  <c r="Z304" i="1"/>
  <c r="X304" i="1"/>
  <c r="V304" i="1"/>
  <c r="T304" i="1"/>
  <c r="S304" i="1"/>
  <c r="Z303" i="1"/>
  <c r="X303" i="1"/>
  <c r="V303" i="1"/>
  <c r="T303" i="1"/>
  <c r="S303" i="1"/>
  <c r="Z302" i="1"/>
  <c r="X302" i="1"/>
  <c r="V302" i="1"/>
  <c r="T302" i="1"/>
  <c r="S302" i="1"/>
  <c r="Z301" i="1"/>
  <c r="X301" i="1"/>
  <c r="V301" i="1"/>
  <c r="T301" i="1"/>
  <c r="S301" i="1"/>
  <c r="Z300" i="1"/>
  <c r="X300" i="1"/>
  <c r="V300" i="1"/>
  <c r="T300" i="1"/>
  <c r="S300" i="1"/>
  <c r="Z299" i="1"/>
  <c r="X299" i="1"/>
  <c r="V299" i="1"/>
  <c r="T299" i="1"/>
  <c r="S299" i="1"/>
  <c r="Z298" i="1"/>
  <c r="X298" i="1"/>
  <c r="V298" i="1"/>
  <c r="T298" i="1"/>
  <c r="S298" i="1"/>
  <c r="Z297" i="1"/>
  <c r="X297" i="1"/>
  <c r="V297" i="1"/>
  <c r="T297" i="1"/>
  <c r="S297" i="1"/>
  <c r="Z296" i="1"/>
  <c r="X296" i="1"/>
  <c r="V296" i="1"/>
  <c r="T296" i="1"/>
  <c r="S296" i="1"/>
  <c r="Z295" i="1"/>
  <c r="X295" i="1"/>
  <c r="V295" i="1"/>
  <c r="T295" i="1"/>
  <c r="S295" i="1"/>
  <c r="Z294" i="1"/>
  <c r="X294" i="1"/>
  <c r="V294" i="1"/>
  <c r="T294" i="1"/>
  <c r="S294" i="1"/>
  <c r="Z293" i="1"/>
  <c r="X293" i="1"/>
  <c r="V293" i="1"/>
  <c r="T293" i="1"/>
  <c r="S293" i="1"/>
  <c r="Z292" i="1"/>
  <c r="X292" i="1"/>
  <c r="V292" i="1"/>
  <c r="T292" i="1"/>
  <c r="S292" i="1"/>
  <c r="Z291" i="1"/>
  <c r="X291" i="1"/>
  <c r="V291" i="1"/>
  <c r="T291" i="1"/>
  <c r="S291" i="1"/>
  <c r="Z290" i="1"/>
  <c r="X290" i="1"/>
  <c r="V290" i="1"/>
  <c r="T290" i="1"/>
  <c r="S290" i="1"/>
  <c r="Z289" i="1"/>
  <c r="X289" i="1"/>
  <c r="V289" i="1"/>
  <c r="T289" i="1"/>
  <c r="S289" i="1"/>
  <c r="Z288" i="1"/>
  <c r="X288" i="1"/>
  <c r="V288" i="1"/>
  <c r="T288" i="1"/>
  <c r="S288" i="1"/>
  <c r="Z287" i="1"/>
  <c r="X287" i="1"/>
  <c r="V287" i="1"/>
  <c r="T287" i="1"/>
  <c r="S287" i="1"/>
  <c r="Z286" i="1"/>
  <c r="X286" i="1"/>
  <c r="V286" i="1"/>
  <c r="T286" i="1"/>
  <c r="S286" i="1"/>
  <c r="Z285" i="1"/>
  <c r="X285" i="1"/>
  <c r="V285" i="1"/>
  <c r="T285" i="1"/>
  <c r="S285" i="1"/>
  <c r="Z284" i="1"/>
  <c r="X284" i="1"/>
  <c r="V284" i="1"/>
  <c r="T284" i="1"/>
  <c r="S284" i="1"/>
  <c r="Z283" i="1"/>
  <c r="X283" i="1"/>
  <c r="V283" i="1"/>
  <c r="T283" i="1"/>
  <c r="S283" i="1"/>
  <c r="Z282" i="1"/>
  <c r="X282" i="1"/>
  <c r="V282" i="1"/>
  <c r="T282" i="1"/>
  <c r="S282" i="1"/>
  <c r="Z281" i="1"/>
  <c r="X281" i="1"/>
  <c r="V281" i="1"/>
  <c r="T281" i="1"/>
  <c r="S281" i="1"/>
  <c r="Z280" i="1"/>
  <c r="X280" i="1"/>
  <c r="V280" i="1"/>
  <c r="T280" i="1"/>
  <c r="S280" i="1"/>
  <c r="Z279" i="1"/>
  <c r="X279" i="1"/>
  <c r="V279" i="1"/>
  <c r="T279" i="1"/>
  <c r="S279" i="1"/>
  <c r="Z278" i="1"/>
  <c r="X278" i="1"/>
  <c r="V278" i="1"/>
  <c r="T278" i="1"/>
  <c r="S278" i="1"/>
  <c r="Z277" i="1"/>
  <c r="X277" i="1"/>
  <c r="V277" i="1"/>
  <c r="T277" i="1"/>
  <c r="S277" i="1"/>
  <c r="Z276" i="1"/>
  <c r="X276" i="1"/>
  <c r="V276" i="1"/>
  <c r="T276" i="1"/>
  <c r="S276" i="1"/>
  <c r="Z275" i="1"/>
  <c r="X275" i="1"/>
  <c r="V275" i="1"/>
  <c r="T275" i="1"/>
  <c r="S275" i="1"/>
  <c r="Z274" i="1"/>
  <c r="X274" i="1"/>
  <c r="V274" i="1"/>
  <c r="T274" i="1"/>
  <c r="S274" i="1"/>
  <c r="Z273" i="1"/>
  <c r="X273" i="1"/>
  <c r="V273" i="1"/>
  <c r="T273" i="1"/>
  <c r="S273" i="1"/>
  <c r="Z272" i="1"/>
  <c r="X272" i="1"/>
  <c r="V272" i="1"/>
  <c r="T272" i="1"/>
  <c r="S272" i="1"/>
  <c r="Z271" i="1"/>
  <c r="X271" i="1"/>
  <c r="V271" i="1"/>
  <c r="T271" i="1"/>
  <c r="S271" i="1"/>
  <c r="Z270" i="1"/>
  <c r="X270" i="1"/>
  <c r="V270" i="1"/>
  <c r="T270" i="1"/>
  <c r="S270" i="1"/>
  <c r="Z269" i="1"/>
  <c r="X269" i="1"/>
  <c r="V269" i="1"/>
  <c r="T269" i="1"/>
  <c r="S269" i="1"/>
  <c r="Z268" i="1"/>
  <c r="X268" i="1"/>
  <c r="V268" i="1"/>
  <c r="T268" i="1"/>
  <c r="S268" i="1"/>
  <c r="Z267" i="1"/>
  <c r="X267" i="1"/>
  <c r="V267" i="1"/>
  <c r="T267" i="1"/>
  <c r="S267" i="1"/>
  <c r="Z266" i="1"/>
  <c r="X266" i="1"/>
  <c r="V266" i="1"/>
  <c r="T266" i="1"/>
  <c r="S266" i="1"/>
  <c r="Z265" i="1"/>
  <c r="X265" i="1"/>
  <c r="V265" i="1"/>
  <c r="T265" i="1"/>
  <c r="S265" i="1"/>
  <c r="Z264" i="1"/>
  <c r="X264" i="1"/>
  <c r="V264" i="1"/>
  <c r="T264" i="1"/>
  <c r="S264" i="1"/>
  <c r="Z263" i="1"/>
  <c r="X263" i="1"/>
  <c r="V263" i="1"/>
  <c r="T263" i="1"/>
  <c r="S263" i="1"/>
  <c r="Z262" i="1"/>
  <c r="X262" i="1"/>
  <c r="V262" i="1"/>
  <c r="T262" i="1"/>
  <c r="S262" i="1"/>
  <c r="Z261" i="1"/>
  <c r="X261" i="1"/>
  <c r="V261" i="1"/>
  <c r="T261" i="1"/>
  <c r="S261" i="1"/>
  <c r="Z260" i="1"/>
  <c r="X260" i="1"/>
  <c r="V260" i="1"/>
  <c r="T260" i="1"/>
  <c r="S260" i="1"/>
  <c r="Z259" i="1"/>
  <c r="X259" i="1"/>
  <c r="V259" i="1"/>
  <c r="T259" i="1"/>
  <c r="S259" i="1"/>
  <c r="Z258" i="1"/>
  <c r="X258" i="1"/>
  <c r="V258" i="1"/>
  <c r="T258" i="1"/>
  <c r="S258" i="1"/>
  <c r="Z257" i="1"/>
  <c r="X257" i="1"/>
  <c r="V257" i="1"/>
  <c r="T257" i="1"/>
  <c r="S257" i="1"/>
  <c r="Z256" i="1"/>
  <c r="X256" i="1"/>
  <c r="V256" i="1"/>
  <c r="T256" i="1"/>
  <c r="S256" i="1"/>
  <c r="Z255" i="1"/>
  <c r="X255" i="1"/>
  <c r="V255" i="1"/>
  <c r="T255" i="1"/>
  <c r="S255" i="1"/>
  <c r="Z254" i="1"/>
  <c r="X254" i="1"/>
  <c r="V254" i="1"/>
  <c r="T254" i="1"/>
  <c r="S254" i="1"/>
  <c r="Z253" i="1"/>
  <c r="X253" i="1"/>
  <c r="V253" i="1"/>
  <c r="T253" i="1"/>
  <c r="S253" i="1"/>
  <c r="Z252" i="1"/>
  <c r="X252" i="1"/>
  <c r="V252" i="1"/>
  <c r="T252" i="1"/>
  <c r="S252" i="1"/>
  <c r="Z251" i="1"/>
  <c r="X251" i="1"/>
  <c r="V251" i="1"/>
  <c r="T251" i="1"/>
  <c r="S251" i="1"/>
  <c r="Z250" i="1"/>
  <c r="X250" i="1"/>
  <c r="V250" i="1"/>
  <c r="T250" i="1"/>
  <c r="S250" i="1"/>
  <c r="Z249" i="1"/>
  <c r="X249" i="1"/>
  <c r="V249" i="1"/>
  <c r="T249" i="1"/>
  <c r="S249" i="1"/>
  <c r="Z248" i="1"/>
  <c r="X248" i="1"/>
  <c r="V248" i="1"/>
  <c r="T248" i="1"/>
  <c r="S248" i="1"/>
  <c r="Z247" i="1"/>
  <c r="X247" i="1"/>
  <c r="V247" i="1"/>
  <c r="T247" i="1"/>
  <c r="S247" i="1"/>
  <c r="Z246" i="1"/>
  <c r="X246" i="1"/>
  <c r="V246" i="1"/>
  <c r="T246" i="1"/>
  <c r="S246" i="1"/>
  <c r="Z245" i="1"/>
  <c r="X245" i="1"/>
  <c r="V245" i="1"/>
  <c r="T245" i="1"/>
  <c r="S245" i="1"/>
  <c r="Z244" i="1"/>
  <c r="X244" i="1"/>
  <c r="V244" i="1"/>
  <c r="T244" i="1"/>
  <c r="S244" i="1"/>
  <c r="Z243" i="1"/>
  <c r="X243" i="1"/>
  <c r="V243" i="1"/>
  <c r="T243" i="1"/>
  <c r="S243" i="1"/>
  <c r="Z242" i="1"/>
  <c r="X242" i="1"/>
  <c r="V242" i="1"/>
  <c r="T242" i="1"/>
  <c r="S242" i="1"/>
  <c r="Z241" i="1"/>
  <c r="X241" i="1"/>
  <c r="V241" i="1"/>
  <c r="T241" i="1"/>
  <c r="S241" i="1"/>
  <c r="Z240" i="1"/>
  <c r="X240" i="1"/>
  <c r="V240" i="1"/>
  <c r="T240" i="1"/>
  <c r="S240" i="1"/>
  <c r="Z239" i="1"/>
  <c r="X239" i="1"/>
  <c r="V239" i="1"/>
  <c r="T239" i="1"/>
  <c r="S239" i="1"/>
  <c r="Z238" i="1"/>
  <c r="X238" i="1"/>
  <c r="V238" i="1"/>
  <c r="T238" i="1"/>
  <c r="S238" i="1"/>
  <c r="Z237" i="1"/>
  <c r="X237" i="1"/>
  <c r="V237" i="1"/>
  <c r="T237" i="1"/>
  <c r="S237" i="1"/>
  <c r="Z236" i="1"/>
  <c r="X236" i="1"/>
  <c r="V236" i="1"/>
  <c r="T236" i="1"/>
  <c r="S236" i="1"/>
  <c r="Z235" i="1"/>
  <c r="X235" i="1"/>
  <c r="V235" i="1"/>
  <c r="T235" i="1"/>
  <c r="S235" i="1"/>
  <c r="Z234" i="1"/>
  <c r="X234" i="1"/>
  <c r="V234" i="1"/>
  <c r="T234" i="1"/>
  <c r="S234" i="1"/>
  <c r="Z233" i="1"/>
  <c r="X233" i="1"/>
  <c r="V233" i="1"/>
  <c r="T233" i="1"/>
  <c r="S233" i="1"/>
  <c r="Z232" i="1"/>
  <c r="X232" i="1"/>
  <c r="V232" i="1"/>
  <c r="T232" i="1"/>
  <c r="S232" i="1"/>
  <c r="Z231" i="1"/>
  <c r="X231" i="1"/>
  <c r="V231" i="1"/>
  <c r="T231" i="1"/>
  <c r="S231" i="1"/>
  <c r="Z230" i="1"/>
  <c r="X230" i="1"/>
  <c r="V230" i="1"/>
  <c r="T230" i="1"/>
  <c r="S230" i="1"/>
  <c r="Z229" i="1"/>
  <c r="X229" i="1"/>
  <c r="V229" i="1"/>
  <c r="T229" i="1"/>
  <c r="S229" i="1"/>
  <c r="Z228" i="1"/>
  <c r="X228" i="1"/>
  <c r="V228" i="1"/>
  <c r="T228" i="1"/>
  <c r="S228" i="1"/>
  <c r="Z227" i="1"/>
  <c r="X227" i="1"/>
  <c r="V227" i="1"/>
  <c r="T227" i="1"/>
  <c r="S227" i="1"/>
  <c r="Z226" i="1"/>
  <c r="X226" i="1"/>
  <c r="V226" i="1"/>
  <c r="T226" i="1"/>
  <c r="S226" i="1"/>
  <c r="Z225" i="1"/>
  <c r="X225" i="1"/>
  <c r="V225" i="1"/>
  <c r="T225" i="1"/>
  <c r="S225" i="1"/>
  <c r="Z224" i="1"/>
  <c r="X224" i="1"/>
  <c r="V224" i="1"/>
  <c r="T224" i="1"/>
  <c r="S224" i="1"/>
  <c r="Z223" i="1"/>
  <c r="X223" i="1"/>
  <c r="V223" i="1"/>
  <c r="T223" i="1"/>
  <c r="S223" i="1"/>
  <c r="Z222" i="1"/>
  <c r="X222" i="1"/>
  <c r="V222" i="1"/>
  <c r="T222" i="1"/>
  <c r="S222" i="1"/>
  <c r="Z221" i="1"/>
  <c r="X221" i="1"/>
  <c r="V221" i="1"/>
  <c r="T221" i="1"/>
  <c r="S221" i="1"/>
  <c r="Z220" i="1"/>
  <c r="X220" i="1"/>
  <c r="V220" i="1"/>
  <c r="T220" i="1"/>
  <c r="S220" i="1"/>
  <c r="Z219" i="1"/>
  <c r="X219" i="1"/>
  <c r="V219" i="1"/>
  <c r="T219" i="1"/>
  <c r="S219" i="1"/>
  <c r="Z218" i="1"/>
  <c r="X218" i="1"/>
  <c r="V218" i="1"/>
  <c r="T218" i="1"/>
  <c r="S218" i="1"/>
  <c r="Z217" i="1"/>
  <c r="X217" i="1"/>
  <c r="V217" i="1"/>
  <c r="T217" i="1"/>
  <c r="S217" i="1"/>
  <c r="Z216" i="1"/>
  <c r="X216" i="1"/>
  <c r="V216" i="1"/>
  <c r="T216" i="1"/>
  <c r="S216" i="1"/>
  <c r="Z215" i="1"/>
  <c r="X215" i="1"/>
  <c r="V215" i="1"/>
  <c r="T215" i="1"/>
  <c r="S215" i="1"/>
  <c r="Z214" i="1"/>
  <c r="X214" i="1"/>
  <c r="V214" i="1"/>
  <c r="T214" i="1"/>
  <c r="S214" i="1"/>
  <c r="Z213" i="1"/>
  <c r="X213" i="1"/>
  <c r="V213" i="1"/>
  <c r="T213" i="1"/>
  <c r="S213" i="1"/>
  <c r="Z212" i="1"/>
  <c r="X212" i="1"/>
  <c r="V212" i="1"/>
  <c r="T212" i="1"/>
  <c r="S212" i="1"/>
  <c r="Z211" i="1"/>
  <c r="X211" i="1"/>
  <c r="V211" i="1"/>
  <c r="T211" i="1"/>
  <c r="S211" i="1"/>
  <c r="Z210" i="1"/>
  <c r="X210" i="1"/>
  <c r="V210" i="1"/>
  <c r="T210" i="1"/>
  <c r="S210" i="1"/>
  <c r="Z209" i="1"/>
  <c r="X209" i="1"/>
  <c r="V209" i="1"/>
  <c r="T209" i="1"/>
  <c r="S209" i="1"/>
  <c r="Z208" i="1"/>
  <c r="X208" i="1"/>
  <c r="V208" i="1"/>
  <c r="T208" i="1"/>
  <c r="S208" i="1"/>
  <c r="Z207" i="1"/>
  <c r="X207" i="1"/>
  <c r="V207" i="1"/>
  <c r="T207" i="1"/>
  <c r="S207" i="1"/>
  <c r="Z206" i="1"/>
  <c r="X206" i="1"/>
  <c r="V206" i="1"/>
  <c r="T206" i="1"/>
  <c r="S206" i="1"/>
  <c r="Z205" i="1"/>
  <c r="X205" i="1"/>
  <c r="V205" i="1"/>
  <c r="T205" i="1"/>
  <c r="S205" i="1"/>
  <c r="Z204" i="1"/>
  <c r="X204" i="1"/>
  <c r="V204" i="1"/>
  <c r="T204" i="1"/>
  <c r="S204" i="1"/>
  <c r="Z203" i="1"/>
  <c r="X203" i="1"/>
  <c r="V203" i="1"/>
  <c r="T203" i="1"/>
  <c r="S203" i="1"/>
  <c r="Z202" i="1"/>
  <c r="X202" i="1"/>
  <c r="V202" i="1"/>
  <c r="T202" i="1"/>
  <c r="S202" i="1"/>
  <c r="Z201" i="1"/>
  <c r="X201" i="1"/>
  <c r="V201" i="1"/>
  <c r="T201" i="1"/>
  <c r="S201" i="1"/>
  <c r="Z200" i="1"/>
  <c r="X200" i="1"/>
  <c r="V200" i="1"/>
  <c r="T200" i="1"/>
  <c r="S200" i="1"/>
  <c r="Z199" i="1"/>
  <c r="X199" i="1"/>
  <c r="V199" i="1"/>
  <c r="T199" i="1"/>
  <c r="S199" i="1"/>
  <c r="Z198" i="1"/>
  <c r="X198" i="1"/>
  <c r="V198" i="1"/>
  <c r="T198" i="1"/>
  <c r="S198" i="1"/>
  <c r="Z197" i="1"/>
  <c r="X197" i="1"/>
  <c r="V197" i="1"/>
  <c r="T197" i="1"/>
  <c r="S197" i="1"/>
  <c r="Z196" i="1"/>
  <c r="X196" i="1"/>
  <c r="V196" i="1"/>
  <c r="T196" i="1"/>
  <c r="S196" i="1"/>
  <c r="Z195" i="1"/>
  <c r="X195" i="1"/>
  <c r="V195" i="1"/>
  <c r="T195" i="1"/>
  <c r="S195" i="1"/>
  <c r="Z194" i="1"/>
  <c r="X194" i="1"/>
  <c r="V194" i="1"/>
  <c r="T194" i="1"/>
  <c r="S194" i="1"/>
  <c r="Z193" i="1"/>
  <c r="X193" i="1"/>
  <c r="V193" i="1"/>
  <c r="T193" i="1"/>
  <c r="S193" i="1"/>
  <c r="Z192" i="1"/>
  <c r="X192" i="1"/>
  <c r="V192" i="1"/>
  <c r="T192" i="1"/>
  <c r="S192" i="1"/>
  <c r="Z191" i="1"/>
  <c r="X191" i="1"/>
  <c r="V191" i="1"/>
  <c r="T191" i="1"/>
  <c r="S191" i="1"/>
  <c r="Z190" i="1"/>
  <c r="X190" i="1"/>
  <c r="V190" i="1"/>
  <c r="T190" i="1"/>
  <c r="S190" i="1"/>
  <c r="Z189" i="1"/>
  <c r="X189" i="1"/>
  <c r="V189" i="1"/>
  <c r="T189" i="1"/>
  <c r="S189" i="1"/>
  <c r="Z188" i="1"/>
  <c r="X188" i="1"/>
  <c r="V188" i="1"/>
  <c r="T188" i="1"/>
  <c r="S188" i="1"/>
  <c r="Z187" i="1"/>
  <c r="X187" i="1"/>
  <c r="V187" i="1"/>
  <c r="T187" i="1"/>
  <c r="S187" i="1"/>
  <c r="Z186" i="1"/>
  <c r="X186" i="1"/>
  <c r="V186" i="1"/>
  <c r="T186" i="1"/>
  <c r="S186" i="1"/>
  <c r="Z185" i="1"/>
  <c r="X185" i="1"/>
  <c r="V185" i="1"/>
  <c r="T185" i="1"/>
  <c r="S185" i="1"/>
  <c r="Z184" i="1"/>
  <c r="X184" i="1"/>
  <c r="V184" i="1"/>
  <c r="T184" i="1"/>
  <c r="S184" i="1"/>
  <c r="Z183" i="1"/>
  <c r="X183" i="1"/>
  <c r="V183" i="1"/>
  <c r="T183" i="1"/>
  <c r="S183" i="1"/>
  <c r="Z182" i="1"/>
  <c r="X182" i="1"/>
  <c r="V182" i="1"/>
  <c r="T182" i="1"/>
  <c r="S182" i="1"/>
  <c r="Z181" i="1"/>
  <c r="X181" i="1"/>
  <c r="V181" i="1"/>
  <c r="T181" i="1"/>
  <c r="S181" i="1"/>
  <c r="Z180" i="1"/>
  <c r="X180" i="1"/>
  <c r="V180" i="1"/>
  <c r="T180" i="1"/>
  <c r="S180" i="1"/>
  <c r="Z179" i="1"/>
  <c r="X179" i="1"/>
  <c r="V179" i="1"/>
  <c r="T179" i="1"/>
  <c r="S179" i="1"/>
  <c r="Z178" i="1"/>
  <c r="X178" i="1"/>
  <c r="V178" i="1"/>
  <c r="T178" i="1"/>
  <c r="S178" i="1"/>
  <c r="Z177" i="1"/>
  <c r="X177" i="1"/>
  <c r="V177" i="1"/>
  <c r="T177" i="1"/>
  <c r="S177" i="1"/>
  <c r="Z176" i="1"/>
  <c r="X176" i="1"/>
  <c r="V176" i="1"/>
  <c r="T176" i="1"/>
  <c r="S176" i="1"/>
  <c r="Z175" i="1"/>
  <c r="X175" i="1"/>
  <c r="V175" i="1"/>
  <c r="T175" i="1"/>
  <c r="S175" i="1"/>
  <c r="Z174" i="1"/>
  <c r="X174" i="1"/>
  <c r="V174" i="1"/>
  <c r="T174" i="1"/>
  <c r="S174" i="1"/>
  <c r="Z173" i="1"/>
  <c r="X173" i="1"/>
  <c r="V173" i="1"/>
  <c r="T173" i="1"/>
  <c r="S173" i="1"/>
  <c r="Z172" i="1"/>
  <c r="X172" i="1"/>
  <c r="V172" i="1"/>
  <c r="T172" i="1"/>
  <c r="S172" i="1"/>
  <c r="Z171" i="1"/>
  <c r="X171" i="1"/>
  <c r="V171" i="1"/>
  <c r="T171" i="1"/>
  <c r="S171" i="1"/>
  <c r="Z170" i="1"/>
  <c r="X170" i="1"/>
  <c r="V170" i="1"/>
  <c r="T170" i="1"/>
  <c r="S170" i="1"/>
  <c r="Z169" i="1"/>
  <c r="X169" i="1"/>
  <c r="V169" i="1"/>
  <c r="T169" i="1"/>
  <c r="S169" i="1"/>
  <c r="Z168" i="1"/>
  <c r="X168" i="1"/>
  <c r="V168" i="1"/>
  <c r="T168" i="1"/>
  <c r="S168" i="1"/>
  <c r="Z167" i="1"/>
  <c r="X167" i="1"/>
  <c r="V167" i="1"/>
  <c r="T167" i="1"/>
  <c r="S167" i="1"/>
  <c r="Z166" i="1"/>
  <c r="X166" i="1"/>
  <c r="V166" i="1"/>
  <c r="T166" i="1"/>
  <c r="S166" i="1"/>
  <c r="Z165" i="1"/>
  <c r="X165" i="1"/>
  <c r="V165" i="1"/>
  <c r="T165" i="1"/>
  <c r="S165" i="1"/>
  <c r="Z164" i="1"/>
  <c r="X164" i="1"/>
  <c r="V164" i="1"/>
  <c r="T164" i="1"/>
  <c r="S164" i="1"/>
  <c r="Z163" i="1"/>
  <c r="X163" i="1"/>
  <c r="V163" i="1"/>
  <c r="T163" i="1"/>
  <c r="S163" i="1"/>
  <c r="Z162" i="1"/>
  <c r="X162" i="1"/>
  <c r="V162" i="1"/>
  <c r="T162" i="1"/>
  <c r="S162" i="1"/>
  <c r="Z161" i="1"/>
  <c r="X161" i="1"/>
  <c r="V161" i="1"/>
  <c r="T161" i="1"/>
  <c r="S161" i="1"/>
  <c r="Z160" i="1"/>
  <c r="X160" i="1"/>
  <c r="V160" i="1"/>
  <c r="T160" i="1"/>
  <c r="S160" i="1"/>
  <c r="Z159" i="1"/>
  <c r="X159" i="1"/>
  <c r="V159" i="1"/>
  <c r="T159" i="1"/>
  <c r="S159" i="1"/>
  <c r="Z158" i="1"/>
  <c r="X158" i="1"/>
  <c r="V158" i="1"/>
  <c r="T158" i="1"/>
  <c r="S158" i="1"/>
  <c r="Z157" i="1"/>
  <c r="X157" i="1"/>
  <c r="V157" i="1"/>
  <c r="T157" i="1"/>
  <c r="S157" i="1"/>
  <c r="Z156" i="1"/>
  <c r="X156" i="1"/>
  <c r="V156" i="1"/>
  <c r="T156" i="1"/>
  <c r="S156" i="1"/>
  <c r="Z155" i="1"/>
  <c r="X155" i="1"/>
  <c r="V155" i="1"/>
  <c r="T155" i="1"/>
  <c r="S155" i="1"/>
  <c r="Z154" i="1"/>
  <c r="X154" i="1"/>
  <c r="V154" i="1"/>
  <c r="T154" i="1"/>
  <c r="S154" i="1"/>
  <c r="Z153" i="1"/>
  <c r="X153" i="1"/>
  <c r="V153" i="1"/>
  <c r="T153" i="1"/>
  <c r="S153" i="1"/>
  <c r="Z152" i="1"/>
  <c r="X152" i="1"/>
  <c r="V152" i="1"/>
  <c r="T152" i="1"/>
  <c r="S152" i="1"/>
  <c r="Z151" i="1"/>
  <c r="X151" i="1"/>
  <c r="V151" i="1"/>
  <c r="T151" i="1"/>
  <c r="S151" i="1"/>
  <c r="Z150" i="1"/>
  <c r="X150" i="1"/>
  <c r="V150" i="1"/>
  <c r="T150" i="1"/>
  <c r="S150" i="1"/>
  <c r="Z149" i="1"/>
  <c r="X149" i="1"/>
  <c r="V149" i="1"/>
  <c r="T149" i="1"/>
  <c r="S149" i="1"/>
  <c r="Z148" i="1"/>
  <c r="X148" i="1"/>
  <c r="V148" i="1"/>
  <c r="T148" i="1"/>
  <c r="S148" i="1"/>
  <c r="Z147" i="1"/>
  <c r="X147" i="1"/>
  <c r="V147" i="1"/>
  <c r="T147" i="1"/>
  <c r="S147" i="1"/>
  <c r="Z146" i="1"/>
  <c r="X146" i="1"/>
  <c r="V146" i="1"/>
  <c r="T146" i="1"/>
  <c r="S146" i="1"/>
  <c r="Z145" i="1"/>
  <c r="X145" i="1"/>
  <c r="V145" i="1"/>
  <c r="T145" i="1"/>
  <c r="S145" i="1"/>
  <c r="Z144" i="1"/>
  <c r="X144" i="1"/>
  <c r="V144" i="1"/>
  <c r="T144" i="1"/>
  <c r="S144" i="1"/>
  <c r="Z143" i="1"/>
  <c r="X143" i="1"/>
  <c r="V143" i="1"/>
  <c r="T143" i="1"/>
  <c r="S143" i="1"/>
  <c r="Z142" i="1"/>
  <c r="X142" i="1"/>
  <c r="V142" i="1"/>
  <c r="T142" i="1"/>
  <c r="S142" i="1"/>
  <c r="Z141" i="1"/>
  <c r="X141" i="1"/>
  <c r="V141" i="1"/>
  <c r="T141" i="1"/>
  <c r="S141" i="1"/>
  <c r="Z140" i="1"/>
  <c r="X140" i="1"/>
  <c r="V140" i="1"/>
  <c r="T140" i="1"/>
  <c r="S140" i="1"/>
  <c r="Z139" i="1"/>
  <c r="X139" i="1"/>
  <c r="V139" i="1"/>
  <c r="T139" i="1"/>
  <c r="S139" i="1"/>
  <c r="Z138" i="1"/>
  <c r="X138" i="1"/>
  <c r="V138" i="1"/>
  <c r="T138" i="1"/>
  <c r="S138" i="1"/>
  <c r="Z137" i="1"/>
  <c r="X137" i="1"/>
  <c r="V137" i="1"/>
  <c r="T137" i="1"/>
  <c r="S137" i="1"/>
  <c r="Z136" i="1"/>
  <c r="X136" i="1"/>
  <c r="V136" i="1"/>
  <c r="T136" i="1"/>
  <c r="S136" i="1"/>
  <c r="Z135" i="1"/>
  <c r="X135" i="1"/>
  <c r="V135" i="1"/>
  <c r="T135" i="1"/>
  <c r="S135" i="1"/>
  <c r="Z134" i="1"/>
  <c r="X134" i="1"/>
  <c r="V134" i="1"/>
  <c r="T134" i="1"/>
  <c r="S134" i="1"/>
  <c r="Z133" i="1"/>
  <c r="X133" i="1"/>
  <c r="V133" i="1"/>
  <c r="T133" i="1"/>
  <c r="S133" i="1"/>
  <c r="Z132" i="1"/>
  <c r="X132" i="1"/>
  <c r="V132" i="1"/>
  <c r="T132" i="1"/>
  <c r="S132" i="1"/>
  <c r="Z131" i="1"/>
  <c r="X131" i="1"/>
  <c r="V131" i="1"/>
  <c r="T131" i="1"/>
  <c r="S131" i="1"/>
  <c r="Z130" i="1"/>
  <c r="X130" i="1"/>
  <c r="V130" i="1"/>
  <c r="T130" i="1"/>
  <c r="S130" i="1"/>
  <c r="Z129" i="1"/>
  <c r="X129" i="1"/>
  <c r="V129" i="1"/>
  <c r="T129" i="1"/>
  <c r="S129" i="1"/>
  <c r="Z128" i="1"/>
  <c r="X128" i="1"/>
  <c r="V128" i="1"/>
  <c r="T128" i="1"/>
  <c r="S128" i="1"/>
  <c r="Z127" i="1"/>
  <c r="X127" i="1"/>
  <c r="V127" i="1"/>
  <c r="T127" i="1"/>
  <c r="S127" i="1"/>
  <c r="Z126" i="1"/>
  <c r="X126" i="1"/>
  <c r="V126" i="1"/>
  <c r="T126" i="1"/>
  <c r="S126" i="1"/>
  <c r="Z125" i="1"/>
  <c r="X125" i="1"/>
  <c r="V125" i="1"/>
  <c r="T125" i="1"/>
  <c r="S125" i="1"/>
  <c r="Z124" i="1"/>
  <c r="X124" i="1"/>
  <c r="V124" i="1"/>
  <c r="T124" i="1"/>
  <c r="S124" i="1"/>
  <c r="Z123" i="1"/>
  <c r="X123" i="1"/>
  <c r="V123" i="1"/>
  <c r="T123" i="1"/>
  <c r="S123" i="1"/>
  <c r="Z122" i="1"/>
  <c r="X122" i="1"/>
  <c r="V122" i="1"/>
  <c r="T122" i="1"/>
  <c r="S122" i="1"/>
  <c r="Z121" i="1"/>
  <c r="X121" i="1"/>
  <c r="V121" i="1"/>
  <c r="T121" i="1"/>
  <c r="S121" i="1"/>
  <c r="Z120" i="1"/>
  <c r="X120" i="1"/>
  <c r="V120" i="1"/>
  <c r="T120" i="1"/>
  <c r="S120" i="1"/>
  <c r="Z119" i="1"/>
  <c r="X119" i="1"/>
  <c r="V119" i="1"/>
  <c r="T119" i="1"/>
  <c r="S119" i="1"/>
  <c r="Z118" i="1"/>
  <c r="X118" i="1"/>
  <c r="V118" i="1"/>
  <c r="T118" i="1"/>
  <c r="S118" i="1"/>
  <c r="Z117" i="1"/>
  <c r="X117" i="1"/>
  <c r="V117" i="1"/>
  <c r="T117" i="1"/>
  <c r="S117" i="1"/>
  <c r="Z116" i="1"/>
  <c r="X116" i="1"/>
  <c r="V116" i="1"/>
  <c r="T116" i="1"/>
  <c r="S116" i="1"/>
  <c r="Z115" i="1"/>
  <c r="X115" i="1"/>
  <c r="V115" i="1"/>
  <c r="T115" i="1"/>
  <c r="S115" i="1"/>
  <c r="Z114" i="1"/>
  <c r="X114" i="1"/>
  <c r="V114" i="1"/>
  <c r="T114" i="1"/>
  <c r="S114" i="1"/>
  <c r="Z113" i="1"/>
  <c r="X113" i="1"/>
  <c r="V113" i="1"/>
  <c r="T113" i="1"/>
  <c r="S113" i="1"/>
  <c r="Z112" i="1"/>
  <c r="X112" i="1"/>
  <c r="V112" i="1"/>
  <c r="T112" i="1"/>
  <c r="S112" i="1"/>
  <c r="Z111" i="1"/>
  <c r="X111" i="1"/>
  <c r="V111" i="1"/>
  <c r="T111" i="1"/>
  <c r="S111" i="1"/>
  <c r="Z110" i="1"/>
  <c r="X110" i="1"/>
  <c r="V110" i="1"/>
  <c r="T110" i="1"/>
  <c r="S110" i="1"/>
  <c r="Z109" i="1"/>
  <c r="X109" i="1"/>
  <c r="V109" i="1"/>
  <c r="T109" i="1"/>
  <c r="S109" i="1"/>
  <c r="Z108" i="1"/>
  <c r="X108" i="1"/>
  <c r="V108" i="1"/>
  <c r="T108" i="1"/>
  <c r="S108" i="1"/>
  <c r="Z107" i="1"/>
  <c r="X107" i="1"/>
  <c r="V107" i="1"/>
  <c r="T107" i="1"/>
  <c r="S107" i="1"/>
  <c r="Z106" i="1"/>
  <c r="X106" i="1"/>
  <c r="V106" i="1"/>
  <c r="T106" i="1"/>
  <c r="S106" i="1"/>
  <c r="Z105" i="1"/>
  <c r="X105" i="1"/>
  <c r="V105" i="1"/>
  <c r="T105" i="1"/>
  <c r="S105" i="1"/>
  <c r="Z104" i="1"/>
  <c r="X104" i="1"/>
  <c r="V104" i="1"/>
  <c r="T104" i="1"/>
  <c r="S104" i="1"/>
  <c r="Z103" i="1"/>
  <c r="X103" i="1"/>
  <c r="V103" i="1"/>
  <c r="T103" i="1"/>
  <c r="S103" i="1"/>
  <c r="Z102" i="1"/>
  <c r="X102" i="1"/>
  <c r="V102" i="1"/>
  <c r="T102" i="1"/>
  <c r="S102" i="1"/>
  <c r="Z101" i="1"/>
  <c r="X101" i="1"/>
  <c r="V101" i="1"/>
  <c r="T101" i="1"/>
  <c r="S101" i="1"/>
  <c r="Z100" i="1"/>
  <c r="X100" i="1"/>
  <c r="V100" i="1"/>
  <c r="T100" i="1"/>
  <c r="S100" i="1"/>
  <c r="Z99" i="1"/>
  <c r="X99" i="1"/>
  <c r="V99" i="1"/>
  <c r="T99" i="1"/>
  <c r="S99" i="1"/>
  <c r="Z98" i="1"/>
  <c r="X98" i="1"/>
  <c r="V98" i="1"/>
  <c r="T98" i="1"/>
  <c r="S98" i="1"/>
  <c r="Z97" i="1"/>
  <c r="X97" i="1"/>
  <c r="V97" i="1"/>
  <c r="T97" i="1"/>
  <c r="S97" i="1"/>
  <c r="Z96" i="1"/>
  <c r="X96" i="1"/>
  <c r="V96" i="1"/>
  <c r="T96" i="1"/>
  <c r="S96" i="1"/>
  <c r="Z95" i="1"/>
  <c r="X95" i="1"/>
  <c r="V95" i="1"/>
  <c r="T95" i="1"/>
  <c r="S95" i="1"/>
  <c r="Z94" i="1"/>
  <c r="X94" i="1"/>
  <c r="V94" i="1"/>
  <c r="T94" i="1"/>
  <c r="S94" i="1"/>
  <c r="Z93" i="1"/>
  <c r="X93" i="1"/>
  <c r="V93" i="1"/>
  <c r="T93" i="1"/>
  <c r="S93" i="1"/>
  <c r="Z92" i="1"/>
  <c r="X92" i="1"/>
  <c r="V92" i="1"/>
  <c r="T92" i="1"/>
  <c r="S92" i="1"/>
  <c r="Z91" i="1"/>
  <c r="X91" i="1"/>
  <c r="V91" i="1"/>
  <c r="T91" i="1"/>
  <c r="S91" i="1"/>
  <c r="Z90" i="1"/>
  <c r="X90" i="1"/>
  <c r="V90" i="1"/>
  <c r="T90" i="1"/>
  <c r="S90" i="1"/>
  <c r="Z89" i="1"/>
  <c r="X89" i="1"/>
  <c r="V89" i="1"/>
  <c r="T89" i="1"/>
  <c r="S89" i="1"/>
  <c r="Z88" i="1"/>
  <c r="X88" i="1"/>
  <c r="V88" i="1"/>
  <c r="T88" i="1"/>
  <c r="S88" i="1"/>
  <c r="Z87" i="1"/>
  <c r="X87" i="1"/>
  <c r="V87" i="1"/>
  <c r="T87" i="1"/>
  <c r="S87" i="1"/>
  <c r="Z86" i="1"/>
  <c r="X86" i="1"/>
  <c r="V86" i="1"/>
  <c r="T86" i="1"/>
  <c r="S86" i="1"/>
  <c r="Z85" i="1"/>
  <c r="X85" i="1"/>
  <c r="V85" i="1"/>
  <c r="T85" i="1"/>
  <c r="S85" i="1"/>
  <c r="Z84" i="1"/>
  <c r="X84" i="1"/>
  <c r="V84" i="1"/>
  <c r="T84" i="1"/>
  <c r="S84" i="1"/>
  <c r="Z83" i="1"/>
  <c r="X83" i="1"/>
  <c r="V83" i="1"/>
  <c r="T83" i="1"/>
  <c r="S83" i="1"/>
  <c r="Z82" i="1"/>
  <c r="X82" i="1"/>
  <c r="V82" i="1"/>
  <c r="T82" i="1"/>
  <c r="S82" i="1"/>
  <c r="Z81" i="1"/>
  <c r="X81" i="1"/>
  <c r="V81" i="1"/>
  <c r="T81" i="1"/>
  <c r="S81" i="1"/>
  <c r="Z80" i="1"/>
  <c r="X80" i="1"/>
  <c r="V80" i="1"/>
  <c r="T80" i="1"/>
  <c r="S80" i="1"/>
  <c r="Z79" i="1"/>
  <c r="X79" i="1"/>
  <c r="V79" i="1"/>
  <c r="T79" i="1"/>
  <c r="S79" i="1"/>
  <c r="Z78" i="1"/>
  <c r="X78" i="1"/>
  <c r="V78" i="1"/>
  <c r="T78" i="1"/>
  <c r="S78" i="1"/>
  <c r="Z77" i="1"/>
  <c r="X77" i="1"/>
  <c r="V77" i="1"/>
  <c r="T77" i="1"/>
  <c r="S77" i="1"/>
  <c r="Z76" i="1"/>
  <c r="X76" i="1"/>
  <c r="V76" i="1"/>
  <c r="T76" i="1"/>
  <c r="S76" i="1"/>
  <c r="Z75" i="1"/>
  <c r="X75" i="1"/>
  <c r="V75" i="1"/>
  <c r="T75" i="1"/>
  <c r="S75" i="1"/>
  <c r="Z74" i="1"/>
  <c r="X74" i="1"/>
  <c r="V74" i="1"/>
  <c r="T74" i="1"/>
  <c r="S74" i="1"/>
  <c r="Z73" i="1"/>
  <c r="X73" i="1"/>
  <c r="V73" i="1"/>
  <c r="T73" i="1"/>
  <c r="S73" i="1"/>
  <c r="Z72" i="1"/>
  <c r="X72" i="1"/>
  <c r="V72" i="1"/>
  <c r="T72" i="1"/>
  <c r="S72" i="1"/>
  <c r="Z71" i="1"/>
  <c r="X71" i="1"/>
  <c r="V71" i="1"/>
  <c r="T71" i="1"/>
  <c r="S71" i="1"/>
  <c r="Z70" i="1"/>
  <c r="X70" i="1"/>
  <c r="V70" i="1"/>
  <c r="T70" i="1"/>
  <c r="S70" i="1"/>
  <c r="Z69" i="1"/>
  <c r="X69" i="1"/>
  <c r="V69" i="1"/>
  <c r="T69" i="1"/>
  <c r="S69" i="1"/>
  <c r="Z68" i="1"/>
  <c r="X68" i="1"/>
  <c r="V68" i="1"/>
  <c r="T68" i="1"/>
  <c r="S68" i="1"/>
  <c r="Z67" i="1"/>
  <c r="X67" i="1"/>
  <c r="V67" i="1"/>
  <c r="T67" i="1"/>
  <c r="S67" i="1"/>
  <c r="Z66" i="1"/>
  <c r="X66" i="1"/>
  <c r="V66" i="1"/>
  <c r="T66" i="1"/>
  <c r="S66" i="1"/>
  <c r="Z65" i="1"/>
  <c r="X65" i="1"/>
  <c r="V65" i="1"/>
  <c r="T65" i="1"/>
  <c r="S65" i="1"/>
  <c r="Z64" i="1"/>
  <c r="X64" i="1"/>
  <c r="V64" i="1"/>
  <c r="T64" i="1"/>
  <c r="S64" i="1"/>
  <c r="Z63" i="1"/>
  <c r="X63" i="1"/>
  <c r="V63" i="1"/>
  <c r="T63" i="1"/>
  <c r="S63" i="1"/>
  <c r="Z62" i="1"/>
  <c r="X62" i="1"/>
  <c r="V62" i="1"/>
  <c r="T62" i="1"/>
  <c r="S62" i="1"/>
  <c r="Z61" i="1"/>
  <c r="X61" i="1"/>
  <c r="V61" i="1"/>
  <c r="T61" i="1"/>
  <c r="S61" i="1"/>
  <c r="Z60" i="1"/>
  <c r="X60" i="1"/>
  <c r="V60" i="1"/>
  <c r="T60" i="1"/>
  <c r="S60" i="1"/>
  <c r="Z59" i="1"/>
  <c r="X59" i="1"/>
  <c r="V59" i="1"/>
  <c r="T59" i="1"/>
  <c r="S59" i="1"/>
  <c r="Z58" i="1"/>
  <c r="X58" i="1"/>
  <c r="V58" i="1"/>
  <c r="T58" i="1"/>
  <c r="S58" i="1"/>
  <c r="Z57" i="1"/>
  <c r="X57" i="1"/>
  <c r="V57" i="1"/>
  <c r="T57" i="1"/>
  <c r="S57" i="1"/>
  <c r="Z56" i="1"/>
  <c r="X56" i="1"/>
  <c r="V56" i="1"/>
  <c r="T56" i="1"/>
  <c r="S56" i="1"/>
  <c r="Z55" i="1"/>
  <c r="X55" i="1"/>
  <c r="V55" i="1"/>
  <c r="T55" i="1"/>
  <c r="S55" i="1"/>
  <c r="Z54" i="1"/>
  <c r="X54" i="1"/>
  <c r="V54" i="1"/>
  <c r="T54" i="1"/>
  <c r="S54" i="1"/>
  <c r="Z53" i="1"/>
  <c r="X53" i="1"/>
  <c r="V53" i="1"/>
  <c r="T53" i="1"/>
  <c r="S53" i="1"/>
  <c r="Z52" i="1"/>
  <c r="X52" i="1"/>
  <c r="V52" i="1"/>
  <c r="T52" i="1"/>
  <c r="S52" i="1"/>
  <c r="Z51" i="1"/>
  <c r="X51" i="1"/>
  <c r="V51" i="1"/>
  <c r="T51" i="1"/>
  <c r="S51" i="1"/>
  <c r="Z50" i="1"/>
  <c r="X50" i="1"/>
  <c r="V50" i="1"/>
  <c r="T50" i="1"/>
  <c r="S50" i="1"/>
  <c r="Z49" i="1"/>
  <c r="X49" i="1"/>
  <c r="V49" i="1"/>
  <c r="T49" i="1"/>
  <c r="S49" i="1"/>
  <c r="Z48" i="1"/>
  <c r="X48" i="1"/>
  <c r="V48" i="1"/>
  <c r="T48" i="1"/>
  <c r="S48" i="1"/>
  <c r="Z47" i="1"/>
  <c r="X47" i="1"/>
  <c r="V47" i="1"/>
  <c r="T47" i="1"/>
  <c r="S47" i="1"/>
  <c r="Z46" i="1"/>
  <c r="X46" i="1"/>
  <c r="V46" i="1"/>
  <c r="T46" i="1"/>
  <c r="S46" i="1"/>
  <c r="Z45" i="1"/>
  <c r="X45" i="1"/>
  <c r="V45" i="1"/>
  <c r="T45" i="1"/>
  <c r="S45" i="1"/>
  <c r="Z44" i="1"/>
  <c r="X44" i="1"/>
  <c r="V44" i="1"/>
  <c r="T44" i="1"/>
  <c r="S44" i="1"/>
  <c r="Z43" i="1"/>
  <c r="X43" i="1"/>
  <c r="V43" i="1"/>
  <c r="T43" i="1"/>
  <c r="S43" i="1"/>
  <c r="Z42" i="1"/>
  <c r="X42" i="1"/>
  <c r="V42" i="1"/>
  <c r="T42" i="1"/>
  <c r="S42" i="1"/>
  <c r="Z41" i="1"/>
  <c r="X41" i="1"/>
  <c r="V41" i="1"/>
  <c r="T41" i="1"/>
  <c r="S41" i="1"/>
  <c r="Z40" i="1"/>
  <c r="X40" i="1"/>
  <c r="V40" i="1"/>
  <c r="T40" i="1"/>
  <c r="S40" i="1"/>
  <c r="Z39" i="1"/>
  <c r="X39" i="1"/>
  <c r="V39" i="1"/>
  <c r="T39" i="1"/>
  <c r="S39" i="1"/>
  <c r="Z38" i="1"/>
  <c r="X38" i="1"/>
  <c r="V38" i="1"/>
  <c r="T38" i="1"/>
  <c r="S38" i="1"/>
  <c r="Z37" i="1"/>
  <c r="X37" i="1"/>
  <c r="V37" i="1"/>
  <c r="T37" i="1"/>
  <c r="S37" i="1"/>
  <c r="Z36" i="1"/>
  <c r="X36" i="1"/>
  <c r="V36" i="1"/>
  <c r="T36" i="1"/>
  <c r="S36" i="1"/>
  <c r="Z35" i="1"/>
  <c r="X35" i="1"/>
  <c r="V35" i="1"/>
  <c r="T35" i="1"/>
  <c r="S35" i="1"/>
  <c r="Z34" i="1"/>
  <c r="X34" i="1"/>
  <c r="V34" i="1"/>
  <c r="T34" i="1"/>
  <c r="S34" i="1"/>
  <c r="Z33" i="1"/>
  <c r="X33" i="1"/>
  <c r="V33" i="1"/>
  <c r="T33" i="1"/>
  <c r="S33" i="1"/>
  <c r="Z32" i="1"/>
  <c r="X32" i="1"/>
  <c r="V32" i="1"/>
  <c r="T32" i="1"/>
  <c r="S32" i="1"/>
  <c r="Z31" i="1"/>
  <c r="X31" i="1"/>
  <c r="V31" i="1"/>
  <c r="T31" i="1"/>
  <c r="S31" i="1"/>
  <c r="Z30" i="1"/>
  <c r="X30" i="1"/>
  <c r="V30" i="1"/>
  <c r="T30" i="1"/>
  <c r="S30" i="1"/>
  <c r="Z29" i="1"/>
  <c r="X29" i="1"/>
  <c r="V29" i="1"/>
  <c r="T29" i="1"/>
  <c r="S29" i="1"/>
  <c r="Z28" i="1"/>
  <c r="X28" i="1"/>
  <c r="V28" i="1"/>
  <c r="T28" i="1"/>
  <c r="S28" i="1"/>
  <c r="Z27" i="1"/>
  <c r="X27" i="1"/>
  <c r="V27" i="1"/>
  <c r="T27" i="1"/>
  <c r="S27" i="1"/>
  <c r="Z26" i="1"/>
  <c r="X26" i="1"/>
  <c r="V26" i="1"/>
  <c r="T26" i="1"/>
  <c r="S26" i="1"/>
  <c r="Z25" i="1"/>
  <c r="X25" i="1"/>
  <c r="V25" i="1"/>
  <c r="T25" i="1"/>
  <c r="S25" i="1"/>
  <c r="Z24" i="1"/>
  <c r="X24" i="1"/>
  <c r="V24" i="1"/>
  <c r="T24" i="1"/>
  <c r="S24" i="1"/>
  <c r="Z23" i="1"/>
  <c r="X23" i="1"/>
  <c r="V23" i="1"/>
  <c r="T23" i="1"/>
  <c r="S23" i="1"/>
  <c r="Z22" i="1"/>
  <c r="X22" i="1"/>
  <c r="V22" i="1"/>
  <c r="T22" i="1"/>
  <c r="S22" i="1"/>
  <c r="Z21" i="1"/>
  <c r="X21" i="1"/>
  <c r="V21" i="1"/>
  <c r="T21" i="1"/>
  <c r="S21" i="1"/>
  <c r="Z20" i="1"/>
  <c r="X20" i="1"/>
  <c r="V20" i="1"/>
  <c r="T20" i="1"/>
  <c r="S20" i="1"/>
  <c r="Z19" i="1"/>
  <c r="X19" i="1"/>
  <c r="V19" i="1"/>
  <c r="T19" i="1"/>
  <c r="S19" i="1"/>
  <c r="Z18" i="1"/>
  <c r="X18" i="1"/>
  <c r="V18" i="1"/>
  <c r="T18" i="1"/>
  <c r="S18" i="1"/>
  <c r="Z17" i="1"/>
  <c r="X17" i="1"/>
  <c r="V17" i="1"/>
  <c r="T17" i="1"/>
  <c r="S17" i="1"/>
  <c r="Z16" i="1"/>
  <c r="X16" i="1"/>
  <c r="V16" i="1"/>
  <c r="T16" i="1"/>
  <c r="S16" i="1"/>
  <c r="Z15" i="1"/>
  <c r="X15" i="1"/>
  <c r="V15" i="1"/>
  <c r="T15" i="1"/>
  <c r="S15" i="1"/>
  <c r="Z14" i="1"/>
  <c r="X14" i="1"/>
  <c r="V14" i="1"/>
  <c r="T14" i="1"/>
  <c r="S14" i="1"/>
  <c r="Z13" i="1"/>
  <c r="X13" i="1"/>
  <c r="V13" i="1"/>
  <c r="T13" i="1"/>
  <c r="S13" i="1"/>
  <c r="Z12" i="1"/>
  <c r="X12" i="1"/>
  <c r="V12" i="1"/>
  <c r="T12" i="1"/>
  <c r="S12" i="1"/>
  <c r="Z11" i="1"/>
  <c r="X11" i="1"/>
  <c r="V11" i="1"/>
  <c r="T11" i="1"/>
  <c r="Z10" i="1"/>
  <c r="X10" i="1"/>
  <c r="V10" i="1"/>
  <c r="T10" i="1"/>
  <c r="S10" i="1"/>
  <c r="Z9" i="1"/>
  <c r="X9" i="1"/>
  <c r="V9" i="1"/>
  <c r="T9" i="1"/>
  <c r="Z8" i="1"/>
  <c r="X8" i="1"/>
  <c r="V8" i="1"/>
  <c r="T8" i="1"/>
  <c r="S8" i="1"/>
  <c r="Z7" i="1"/>
  <c r="X7" i="1"/>
  <c r="V7" i="1"/>
  <c r="T7" i="1"/>
  <c r="Z6" i="1"/>
  <c r="X6" i="1"/>
  <c r="V6" i="1"/>
  <c r="T6" i="1"/>
  <c r="S6" i="1"/>
  <c r="Z5" i="1"/>
  <c r="X5" i="1"/>
  <c r="V5" i="1"/>
  <c r="T5" i="1"/>
  <c r="Z4" i="1"/>
  <c r="X4" i="1"/>
  <c r="V4" i="1"/>
  <c r="T4" i="1"/>
  <c r="S4" i="1"/>
  <c r="Z3" i="1"/>
  <c r="X3" i="1"/>
  <c r="V3" i="1"/>
  <c r="T3" i="1"/>
  <c r="H6" i="14" l="1"/>
  <c r="I6" i="14" s="1" a="1"/>
  <c r="I6" i="14" s="1"/>
  <c r="H7" i="14"/>
  <c r="I7" i="14" s="1" a="1"/>
  <c r="I7" i="14" s="1"/>
  <c r="S3" i="1"/>
  <c r="S5" i="1"/>
  <c r="S7" i="1"/>
  <c r="S9" i="1"/>
  <c r="AI12" i="15" l="1"/>
  <c r="AI14" i="15"/>
  <c r="AI16" i="15"/>
  <c r="AI11" i="15"/>
  <c r="AI13" i="15"/>
  <c r="AI15" i="15"/>
  <c r="AI10" i="15"/>
  <c r="AK44" i="15" a="1"/>
  <c r="AK44" i="15" s="1"/>
  <c r="AK42" i="15" a="1"/>
  <c r="AK42" i="15" s="1"/>
  <c r="AK40" i="15" a="1"/>
  <c r="AK40" i="15" s="1"/>
  <c r="AK38" i="15" a="1"/>
  <c r="AK38" i="15" s="1"/>
  <c r="AK36" i="15" a="1"/>
  <c r="AK36" i="15" s="1"/>
  <c r="AK35" i="15" a="1"/>
  <c r="AK35" i="15" s="1"/>
  <c r="AK34" i="15" a="1"/>
  <c r="AK34" i="15" s="1"/>
  <c r="AK33" i="15" a="1"/>
  <c r="AK33" i="15" s="1"/>
  <c r="AK31" i="15" a="1"/>
  <c r="AK31" i="15" s="1"/>
  <c r="AK29" i="15" a="1"/>
  <c r="AK29" i="15" s="1"/>
  <c r="AK27" i="15" a="1"/>
  <c r="AK27" i="15" s="1"/>
  <c r="AK25" i="15" a="1"/>
  <c r="AK25" i="15" s="1"/>
  <c r="AK23" i="15" a="1"/>
  <c r="AK23" i="15" s="1"/>
  <c r="AK21" i="15" a="1"/>
  <c r="AK21" i="15" s="1"/>
  <c r="AM19" i="15" a="1"/>
  <c r="AM19" i="15" s="1"/>
  <c r="AK19" i="15" a="1"/>
  <c r="AK19" i="15" s="1"/>
  <c r="AK17" i="15" a="1"/>
  <c r="AK17" i="15" s="1"/>
  <c r="AK11" i="15" a="1"/>
  <c r="AK11" i="15" s="1"/>
  <c r="AP10" i="15"/>
  <c r="AK45" i="15" a="1"/>
  <c r="AK45" i="15" s="1"/>
  <c r="AK43" i="15" a="1"/>
  <c r="AK43" i="15" s="1"/>
  <c r="AK41" i="15" a="1"/>
  <c r="AK41" i="15" s="1"/>
  <c r="AK39" i="15" a="1"/>
  <c r="AK39" i="15" s="1"/>
  <c r="AK37" i="15" a="1"/>
  <c r="AK37" i="15" s="1"/>
  <c r="AK32" i="15" a="1"/>
  <c r="AK32" i="15" s="1"/>
  <c r="AK30" i="15" a="1"/>
  <c r="AK30" i="15" s="1"/>
  <c r="AK28" i="15" a="1"/>
  <c r="AK28" i="15" s="1"/>
  <c r="AK26" i="15" a="1"/>
  <c r="AK26" i="15" s="1"/>
  <c r="AK24" i="15" a="1"/>
  <c r="AK24" i="15" s="1"/>
  <c r="AK22" i="15" a="1"/>
  <c r="AK22" i="15" s="1"/>
  <c r="AK20" i="15" a="1"/>
  <c r="AK20" i="15" s="1"/>
  <c r="AK18" i="15" a="1"/>
  <c r="AK18" i="15" s="1"/>
  <c r="AK16" i="15" a="1"/>
  <c r="AK16" i="15" s="1"/>
  <c r="AK15" i="15" a="1"/>
  <c r="AK15" i="15" s="1"/>
  <c r="AK14" i="15" a="1"/>
  <c r="AK14" i="15" s="1"/>
  <c r="AK13" i="15" a="1"/>
  <c r="AK13" i="15" s="1"/>
  <c r="AK12" i="15" a="1"/>
  <c r="AK12" i="15" s="1"/>
  <c r="AK10" i="15" a="1"/>
  <c r="AK10" i="15" s="1"/>
  <c r="AO10" i="15" l="1" a="1"/>
  <c r="AO10" i="15" s="1"/>
  <c r="AJ10" i="15" a="1"/>
  <c r="AJ10" i="15" s="1"/>
  <c r="AJ12" i="15" a="1"/>
  <c r="AJ12" i="15" s="1"/>
  <c r="AJ14" i="15" a="1"/>
  <c r="AJ14" i="15" s="1"/>
  <c r="AJ16" i="15" a="1"/>
  <c r="AJ16" i="15" s="1"/>
  <c r="AJ11" i="15" a="1"/>
  <c r="AJ11" i="15" s="1"/>
  <c r="AJ13" i="15" a="1"/>
  <c r="AJ13" i="15" s="1"/>
  <c r="AJ15" i="15" a="1"/>
  <c r="AJ15" i="1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<sst xmlns="http://schemas.openxmlformats.org/spreadsheetml/2006/main" count="6050" uniqueCount="175">
  <si>
    <t>Ciudad</t>
  </si>
  <si>
    <t>Vendedor</t>
  </si>
  <si>
    <t>Forma de pago</t>
  </si>
  <si>
    <t>Categoría</t>
  </si>
  <si>
    <t>Cantidad</t>
  </si>
  <si>
    <t>Tarifa de envío</t>
  </si>
  <si>
    <t>Empresa AA</t>
  </si>
  <si>
    <t>Mayra Aguilar Sepúlveda</t>
  </si>
  <si>
    <t>Empresa de embarque B</t>
  </si>
  <si>
    <t>Cheque</t>
  </si>
  <si>
    <t>Cerveza</t>
  </si>
  <si>
    <t>Bebidas</t>
  </si>
  <si>
    <t>Ciruelas secas</t>
  </si>
  <si>
    <t>Frutas secas</t>
  </si>
  <si>
    <t>Empresa D</t>
  </si>
  <si>
    <t>Andrés González Rico</t>
  </si>
  <si>
    <t>Empresa de embarque A</t>
  </si>
  <si>
    <t>Tarjeta de crédito</t>
  </si>
  <si>
    <t>Peras secas</t>
  </si>
  <si>
    <t>Manzanas secas</t>
  </si>
  <si>
    <t>Empresa L</t>
  </si>
  <si>
    <t>Té chai</t>
  </si>
  <si>
    <t>Café</t>
  </si>
  <si>
    <t>Empresa H</t>
  </si>
  <si>
    <t>Nancy Gil de la Peña</t>
  </si>
  <si>
    <t>Empresa de embarque C</t>
  </si>
  <si>
    <t>Galletas de chocolate</t>
  </si>
  <si>
    <t>Productos horneados</t>
  </si>
  <si>
    <t>Empresa CC</t>
  </si>
  <si>
    <t>José de Jesús Morales</t>
  </si>
  <si>
    <t>Chocolate</t>
  </si>
  <si>
    <t>Dulces</t>
  </si>
  <si>
    <t>Empresa C</t>
  </si>
  <si>
    <t>Efectivo</t>
  </si>
  <si>
    <t>Almejas</t>
  </si>
  <si>
    <t>Sopas</t>
  </si>
  <si>
    <t>Empresa F</t>
  </si>
  <si>
    <t>Luis Miguel Valdés Garza</t>
  </si>
  <si>
    <t>Salsa curry</t>
  </si>
  <si>
    <t>Salsas</t>
  </si>
  <si>
    <t>Empresa BB</t>
  </si>
  <si>
    <t>Ana del Valle Hinojosa</t>
  </si>
  <si>
    <t>Empresa J</t>
  </si>
  <si>
    <t>Laura Gutiérrez Saenz</t>
  </si>
  <si>
    <t>Té verde</t>
  </si>
  <si>
    <t>Empresa G</t>
  </si>
  <si>
    <t>Jalea de fresa</t>
  </si>
  <si>
    <t>Mermeladas y jaleas</t>
  </si>
  <si>
    <t>Condimento cajún</t>
  </si>
  <si>
    <t>Condimentos</t>
  </si>
  <si>
    <t>Empresa K</t>
  </si>
  <si>
    <t>Empresa A</t>
  </si>
  <si>
    <t>Carne de cangrejo</t>
  </si>
  <si>
    <t>Carne enlatada</t>
  </si>
  <si>
    <t>Empresa I</t>
  </si>
  <si>
    <t>Robert Zárate Carrillo</t>
  </si>
  <si>
    <t>Ravioli</t>
  </si>
  <si>
    <t>Pasta</t>
  </si>
  <si>
    <t>Mozzarella</t>
  </si>
  <si>
    <t>Productos lácteos</t>
  </si>
  <si>
    <t>Jarabe</t>
  </si>
  <si>
    <t>Almendras</t>
  </si>
  <si>
    <t>Empresa Y</t>
  </si>
  <si>
    <t>Empresa Z</t>
  </si>
  <si>
    <t>Cóctel de frutas</t>
  </si>
  <si>
    <t>Frutas y vegetales</t>
  </si>
  <si>
    <t>Pasta penne</t>
  </si>
  <si>
    <t>Bolillos</t>
  </si>
  <si>
    <t>Aceite de oliva</t>
  </si>
  <si>
    <t>Aceite</t>
  </si>
  <si>
    <t>Mermelada de zarzamora</t>
  </si>
  <si>
    <t>Arroz de grano largo</t>
  </si>
  <si>
    <t>Granos</t>
  </si>
  <si>
    <t>Documento</t>
  </si>
  <si>
    <t>Fecha</t>
  </si>
  <si>
    <t>Provincia</t>
  </si>
  <si>
    <t>Empresa</t>
  </si>
  <si>
    <t>Producto</t>
  </si>
  <si>
    <t>Precio</t>
  </si>
  <si>
    <t>Id Cliente</t>
  </si>
  <si>
    <t>Cuenca</t>
  </si>
  <si>
    <t>Azogues</t>
  </si>
  <si>
    <t>Chimborazo</t>
  </si>
  <si>
    <t>Pichincha</t>
  </si>
  <si>
    <t>Guayas</t>
  </si>
  <si>
    <t>Quito</t>
  </si>
  <si>
    <t>Riobamba</t>
  </si>
  <si>
    <t>Guaranda</t>
  </si>
  <si>
    <t>Manabi</t>
  </si>
  <si>
    <t>Guayaquil</t>
  </si>
  <si>
    <t>Ambato</t>
  </si>
  <si>
    <t>Esmeraldas</t>
  </si>
  <si>
    <t>Ibarra</t>
  </si>
  <si>
    <t>Machala</t>
  </si>
  <si>
    <t>Canar</t>
  </si>
  <si>
    <t>Azuay</t>
  </si>
  <si>
    <t>El Oro</t>
  </si>
  <si>
    <t>Manta</t>
  </si>
  <si>
    <t>Tungurahua</t>
  </si>
  <si>
    <t>Imbabura</t>
  </si>
  <si>
    <t>Cliente</t>
  </si>
  <si>
    <t>Etiquetas de fila</t>
  </si>
  <si>
    <t>Total general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</si>
  <si>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</si>
  <si>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</si>
  <si>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</si>
  <si>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</si>
  <si>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</si>
  <si>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</si>
  <si>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</si>
  <si>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</si>
  <si>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</si>
  <si>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</si>
  <si>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</si>
  <si>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</si>
  <si>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Ventas</t>
  </si>
  <si>
    <t>0-20000</t>
  </si>
  <si>
    <t>20000-40000</t>
  </si>
  <si>
    <t>40000-60000</t>
  </si>
  <si>
    <t>Suma de Ventas</t>
  </si>
  <si>
    <t>60000-80000</t>
  </si>
  <si>
    <t>Cuenta de Ventas</t>
  </si>
  <si>
    <t>CONTROL DE VENTAS</t>
  </si>
  <si>
    <t>PROVINCIAS</t>
  </si>
  <si>
    <t>VENTAS</t>
  </si>
  <si>
    <t>PANEL DEL CONTROL</t>
  </si>
  <si>
    <t>Etiquetas de columna</t>
  </si>
  <si>
    <t>Empresa de embarque D</t>
  </si>
  <si>
    <t>ciudad</t>
  </si>
  <si>
    <t>Trim.1</t>
  </si>
  <si>
    <t>Trim.2</t>
  </si>
  <si>
    <t>Trim.3</t>
  </si>
  <si>
    <t>Trim.4</t>
  </si>
  <si>
    <t>mes</t>
  </si>
  <si>
    <t>Abril</t>
  </si>
  <si>
    <t>Agosto</t>
  </si>
  <si>
    <t>Marzo</t>
  </si>
  <si>
    <t>Mayo</t>
  </si>
  <si>
    <t>Diciembre</t>
  </si>
  <si>
    <t>Octubre</t>
  </si>
  <si>
    <t>Febrero</t>
  </si>
  <si>
    <t>Noviembre</t>
  </si>
  <si>
    <t>Junio</t>
  </si>
  <si>
    <t>Enero</t>
  </si>
  <si>
    <t>Julio</t>
  </si>
  <si>
    <t>Septiembre</t>
  </si>
  <si>
    <t>dias</t>
  </si>
  <si>
    <t>Dom.</t>
  </si>
  <si>
    <t>Jue.</t>
  </si>
  <si>
    <t>Mié.</t>
  </si>
  <si>
    <t>Vie.</t>
  </si>
  <si>
    <t>Sáb.</t>
  </si>
  <si>
    <t>Lun.</t>
  </si>
  <si>
    <t>Mar.</t>
  </si>
  <si>
    <t>fecha</t>
  </si>
  <si>
    <t>abril</t>
  </si>
  <si>
    <t>enero</t>
  </si>
  <si>
    <t>febrero</t>
  </si>
  <si>
    <t>marzo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</si>
  <si>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</si>
  <si>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</si>
  <si>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</si>
  <si>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</si>
  <si>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</si>
  <si>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</si>
  <si>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</si>
  <si>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</si>
  <si>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salsas</t>
  </si>
  <si>
    <t>Ascendente</t>
  </si>
  <si>
    <t>Descendente</t>
  </si>
  <si>
    <t>Orden:</t>
  </si>
  <si>
    <t>Max:</t>
  </si>
  <si>
    <t>Min:</t>
  </si>
  <si>
    <t>Carácteres</t>
  </si>
  <si>
    <t>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</si>
</sst>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dd/mm/yyyy;@"/>
    <numFmt numFmtId="166" formatCode="[$-F800]dddd\,\ mmmm\ dd\,\ yyyy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0"/>
      <name val="Arial Black"/>
      <family val="2"/>
    </font>
    <font>
      <sz val="18"/>
      <color theme="0"/>
      <name val="Arial Black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2">
    <xf numFmtId="0" fontId="0" fillId="0" borderId="0" xfId="0"/>
    <xf numFmtId="165" fontId="0" fillId="0" borderId="0" xfId="0" applyNumberFormat="1"/>
    <xf numFmtId="43" fontId="0" fillId="0" borderId="0" xfId="1" applyFont="1"/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43" fontId="0" fillId="0" borderId="0" xfId="1" applyFont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2" borderId="0" xfId="0" applyFill="1"/>
    <xf numFmtId="0" fontId="0" fillId="2" borderId="0" xfId="0" applyFill="1" applyBorder="1"/>
    <xf numFmtId="0" fontId="0" fillId="0" borderId="0" xfId="0" applyAlignment="1">
      <alignment horizontal="left" indent="1"/>
    </xf>
    <xf numFmtId="0" fontId="0" fillId="3" borderId="0" xfId="0" applyFill="1"/>
    <xf numFmtId="166" fontId="0" fillId="0" borderId="2" xfId="0" applyNumberFormat="1" applyFont="1" applyBorder="1"/>
    <xf numFmtId="166" fontId="0" fillId="4" borderId="2" xfId="0" applyNumberFormat="1" applyFont="1" applyFill="1" applyBorder="1"/>
    <xf numFmtId="14" fontId="0" fillId="0" borderId="0" xfId="0" applyNumberFormat="1"/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/>
    <xf numFmtId="0" fontId="0" fillId="6" borderId="0" xfId="0" applyFill="1"/>
  </cellXfs>
  <cellStyles count="3">
    <cellStyle name="Currency 2" xfId="2" xr:uid="{5EF3C318-5459-4240-BB8C-48CE0D3E99BE}"/>
    <cellStyle name="Millares" xfId="1" builtinId="3"/>
    <cellStyle name="Normal" xfId="0" builtinId="0"/>
  </cellStyles>
  <dxfs count="16"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dd/mm/yy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sz val="11"/>
        <color theme="1"/>
      </font>
    </dxf>
    <dxf>
      <fill>
        <patternFill patternType="none">
          <fgColor indexed="64"/>
          <bgColor auto="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/>
        <sz val="11"/>
        <color theme="1"/>
      </font>
      <fill>
        <patternFill>
          <bgColor theme="1"/>
        </patternFill>
      </fill>
    </dxf>
    <dxf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/>
        <sz val="11"/>
        <color theme="1"/>
      </font>
    </dxf>
    <dxf>
      <fill>
        <patternFill patternType="none">
          <fgColor indexed="64"/>
          <bgColor auto="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</dxfs>
  <tableStyles count="3" defaultTableStyle="TableStyleMedium2" defaultPivotStyle="PivotStyleLight16">
    <tableStyle name="Estilo de escala de tiempo 1" pivot="0" table="0" count="8" xr9:uid="{337E04D6-1D63-4330-B4E9-A562A8FC72AC}">
      <tableStyleElement type="wholeTable" dxfId="15"/>
      <tableStyleElement type="headerRow" dxfId="14"/>
    </tableStyle>
    <tableStyle name="Estilo de escala de tiempo 2" pivot="0" table="0" count="8" xr9:uid="{544DDC3D-0CAD-43A5-B480-25C435EBBFB1}">
      <tableStyleElement type="wholeTable" dxfId="13"/>
      <tableStyleElement type="headerRow" dxfId="12"/>
    </tableStyle>
    <tableStyle name="MiEstilo" pivot="0" table="0" count="8" xr9:uid="{E2F0BFB5-8166-4901-9388-6C1EFBAE23A6}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A0A4C193-F2C1-4fcb-8827-314CF55A85BB}">
      <x15:dxfs count="18">
        <dxf>
          <fill>
            <patternFill patternType="none">
              <fgColor indexed="64"/>
              <bgColor auto="1"/>
            </patternFill>
          </fill>
        </dxf>
        <dxf>
          <fill>
            <patternFill patternType="none">
              <fgColor indexed="64"/>
              <bgColor auto="1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</x15:dxfs>
    </ext>
    <ext xmlns:x15="http://schemas.microsoft.com/office/spreadsheetml/2010/11/main" uri="{9260A510-F301-46a8-8635-F512D64BE5F5}">
      <x15:timelineStyles defaultTimelineStyle="MiEstilo">
        <x15:timelineStyle name="Estilo de escala de tiempo 1">
          <x15:timelineStyleElements>
            <x15:timelineStyleElement type="selectionLabel" dxfId="17"/>
            <x15:timelineStyleElement type="timeLevel" dxfId="16"/>
            <x15:timelineStyleElement type="periodLabel1" dxfId="15"/>
            <x15:timelineStyleElement type="periodLabel2" dxfId="14"/>
            <x15:timelineStyleElement type="selectedTimeBlock" dxfId="13"/>
            <x15:timelineStyleElement type="unselectedTimeBlock" dxfId="12"/>
          </x15:timelineStyleElements>
        </x15:timelineStyle>
        <x15:timelineStyle name="Estilo de escala de tiempo 2">
          <x15:timelineStyleElements>
            <x15:timelineStyleElement type="selectionLabel" dxfId="11"/>
            <x15:timelineStyleElement type="timeLevel" dxfId="10"/>
            <x15:timelineStyleElement type="periodLabel1" dxfId="9"/>
            <x15:timelineStyleElement type="periodLabel2" dxfId="8"/>
            <x15:timelineStyleElement type="selectedTimeBlock" dxfId="7"/>
            <x15:timelineStyleElement type="unselectedTimeBlock" dxfId="6"/>
          </x15:timelineStyleElements>
        </x15:timelineStyle>
        <x15:timelineStyle name="MiEstilo">
          <x15:timelineStyleElements>
            <x15:timelineStyleElement type="selectionLabel" dxfId="5"/>
            <x15:timelineStyleElement type="timeLevel" dxfId="4"/>
            <x15:timelineStyleElement type="periodLabel1" dxfId="3"/>
            <x15:timelineStyleElement type="periodLabel2" dxfId="2"/>
            <x15:timelineStyleElement type="selectedTimeBlock" dxfId="1"/>
            <x15:timelineStyleElement type="unselectedTimeBlock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11/relationships/timelineCache" Target="timelineCaches/timelineCach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23" Type="http://schemas.openxmlformats.org/officeDocument/2006/relationships/customXml" Target="../customXml/item2.xml"/><Relationship Id="rId10" Type="http://schemas.openxmlformats.org/officeDocument/2006/relationships/pivotCacheDefinition" Target="pivotCache/pivotCacheDefinition1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[DashBoard2021 (Reparado).xlsm]GRAFICO!TablaDinámica1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GRAFICO!$A$2:$A$14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GRAFICO!$B$2:$B$14</c:f>
              <c:numCache>
                <c:formatCode>General</c:formatCode>
                <c:ptCount val="12"/>
                <c:pt idx="0">
                  <c:v>136478.99999999997</c:v>
                </c:pt>
                <c:pt idx="1">
                  <c:v>93438.8</c:v>
                </c:pt>
                <c:pt idx="2">
                  <c:v>35119</c:v>
                </c:pt>
                <c:pt idx="3">
                  <c:v>75152.98</c:v>
                </c:pt>
                <c:pt idx="4">
                  <c:v>127651.3</c:v>
                </c:pt>
                <c:pt idx="5">
                  <c:v>52267.459999999992</c:v>
                </c:pt>
                <c:pt idx="6">
                  <c:v>51023.280000000006</c:v>
                </c:pt>
                <c:pt idx="7">
                  <c:v>96993.4</c:v>
                </c:pt>
                <c:pt idx="8">
                  <c:v>200744.6</c:v>
                </c:pt>
                <c:pt idx="9">
                  <c:v>190532.16</c:v>
                </c:pt>
                <c:pt idx="10">
                  <c:v>130488.79999999999</c:v>
                </c:pt>
                <c:pt idx="11">
                  <c:v>61275.9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0B-4BFA-92E4-EE2270FEF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4453487"/>
        <c:axId val="1298745855"/>
      </c:barChart>
      <c:catAx>
        <c:axId val="1354453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8745855"/>
        <c:crosses val="autoZero"/>
        <c:auto val="1"/>
        <c:lblAlgn val="ctr"/>
        <c:lblOffset val="100"/>
        <c:noMultiLvlLbl val="0"/>
      </c:catAx>
      <c:valAx>
        <c:axId val="129874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54453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[DashBoard2021 (Reparado).xlsm]GRAFICO!TablaDinámica2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GRAFICO!$B$18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GRAFICO!$A$19:$A$20</c:f>
              <c:strCache>
                <c:ptCount val="1"/>
                <c:pt idx="0">
                  <c:v>Ana del Valle Hinojosa</c:v>
                </c:pt>
              </c:strCache>
            </c:strRef>
          </c:cat>
          <c:val>
            <c:numRef>
              <c:f>GRAFICO!$B$19:$B$20</c:f>
              <c:numCache>
                <c:formatCode>General</c:formatCode>
                <c:ptCount val="1"/>
                <c:pt idx="0">
                  <c:v>1251166.6799999997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F-48CC-BE8C-99B1C2A9D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99915487"/>
        <c:axId val="1295922847"/>
      </c:barChart>
      <c:catAx>
        <c:axId val="12999154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5922847"/>
        <c:crosses val="autoZero"/>
        <c:auto val="1"/>
        <c:lblAlgn val="ctr"/>
        <c:lblOffset val="100"/>
        <c:noMultiLvlLbl val="0"/>
      </c:catAx>
      <c:valAx>
        <c:axId val="1295922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9915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[DashBoard2021 (Reparado).xlsm]GRAFICO!TablaDinámica3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GRAFICO!$B$31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GRAFICO!$A$32:$A$40</c:f>
              <c:strCache>
                <c:ptCount val="8"/>
                <c:pt idx="0">
                  <c:v>Aceite</c:v>
                </c:pt>
                <c:pt idx="1">
                  <c:v>Bebidas</c:v>
                </c:pt>
                <c:pt idx="2">
                  <c:v>Carne enlatada</c:v>
                </c:pt>
                <c:pt idx="3">
                  <c:v>Frutas secas</c:v>
                </c:pt>
                <c:pt idx="4">
                  <c:v>Mermeladas y jaleas</c:v>
                </c:pt>
                <c:pt idx="5">
                  <c:v>Salsas</c:v>
                </c:pt>
                <c:pt idx="6">
                  <c:v>Sopas</c:v>
                </c:pt>
                <c:pt idx="7">
                  <c:v>Tarifa de envío</c:v>
                </c:pt>
              </c:strCache>
            </c:strRef>
          </c:cat>
          <c:val>
            <c:numRef>
              <c:f>GRAFICO!$B$32:$B$40</c:f>
              <c:numCache>
                <c:formatCode>General</c:formatCode>
                <c:ptCount val="8"/>
                <c:pt idx="0">
                  <c:v>186513.6</c:v>
                </c:pt>
                <c:pt idx="1">
                  <c:v>375437.97999999992</c:v>
                </c:pt>
                <c:pt idx="2">
                  <c:v>252236.59999999998</c:v>
                </c:pt>
                <c:pt idx="3">
                  <c:v>23009</c:v>
                </c:pt>
                <c:pt idx="4">
                  <c:v>18200</c:v>
                </c:pt>
                <c:pt idx="5">
                  <c:v>258720</c:v>
                </c:pt>
                <c:pt idx="6">
                  <c:v>137049.5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8-4D22-9351-686579BE8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97408271"/>
        <c:axId val="1295921183"/>
      </c:barChart>
      <c:catAx>
        <c:axId val="12974082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5921183"/>
        <c:crosses val="autoZero"/>
        <c:auto val="1"/>
        <c:lblAlgn val="ctr"/>
        <c:lblOffset val="100"/>
        <c:noMultiLvlLbl val="0"/>
      </c:catAx>
      <c:valAx>
        <c:axId val="1295921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7408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[DashBoard2021 (Reparado).xlsm]GRAFICO!TablaDinámica4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GRAFICO!$B$51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FFB-45C6-B1D8-CE0CA46261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FFB-45C6-B1D8-CE0CA46261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FFB-45C6-B1D8-CE0CA46261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FFB-45C6-B1D8-CE0CA46261CA}"/>
              </c:ext>
            </c:extLst>
          </c:dPt>
          <c:cat>
            <c:strRef>
              <c:f>GRAFICO!$A$52:$A$56</c:f>
              <c:strCache>
                <c:ptCount val="4"/>
                <c:pt idx="0">
                  <c:v>0-20000</c:v>
                </c:pt>
                <c:pt idx="1">
                  <c:v>20000-40000</c:v>
                </c:pt>
                <c:pt idx="2">
                  <c:v>40000-60000</c:v>
                </c:pt>
                <c:pt idx="3">
                  <c:v>60000-80000</c:v>
                </c:pt>
              </c:strCache>
            </c:strRef>
          </c:cat>
          <c:val>
            <c:numRef>
              <c:f>GRAFICO!$B$52:$B$56</c:f>
              <c:numCache>
                <c:formatCode>General</c:formatCode>
                <c:ptCount val="4"/>
                <c:pt idx="0">
                  <c:v>467858.9800000001</c:v>
                </c:pt>
                <c:pt idx="1">
                  <c:v>480123.7</c:v>
                </c:pt>
                <c:pt idx="2">
                  <c:v>241360</c:v>
                </c:pt>
                <c:pt idx="3">
                  <c:v>61824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02-4634-87EA-E2AC44939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[DashBoard2021 (Reparado).xlsm]GRAFICO!TablaDinámica1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VENTAS POR 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GRAFICO!$A$2:$A$14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GRAFICO!$B$2:$B$14</c:f>
              <c:numCache>
                <c:formatCode>General</c:formatCode>
                <c:ptCount val="12"/>
                <c:pt idx="0">
                  <c:v>136478.99999999997</c:v>
                </c:pt>
                <c:pt idx="1">
                  <c:v>93438.8</c:v>
                </c:pt>
                <c:pt idx="2">
                  <c:v>35119</c:v>
                </c:pt>
                <c:pt idx="3">
                  <c:v>75152.98</c:v>
                </c:pt>
                <c:pt idx="4">
                  <c:v>127651.3</c:v>
                </c:pt>
                <c:pt idx="5">
                  <c:v>52267.459999999992</c:v>
                </c:pt>
                <c:pt idx="6">
                  <c:v>51023.280000000006</c:v>
                </c:pt>
                <c:pt idx="7">
                  <c:v>96993.4</c:v>
                </c:pt>
                <c:pt idx="8">
                  <c:v>200744.6</c:v>
                </c:pt>
                <c:pt idx="9">
                  <c:v>190532.16</c:v>
                </c:pt>
                <c:pt idx="10">
                  <c:v>130488.79999999999</c:v>
                </c:pt>
                <c:pt idx="11">
                  <c:v>61275.9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E7-4CFC-BE0B-6AA61D732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7"/>
        <c:axId val="1354453487"/>
        <c:axId val="1298745855"/>
      </c:barChart>
      <c:catAx>
        <c:axId val="1354453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8745855"/>
        <c:crosses val="autoZero"/>
        <c:auto val="1"/>
        <c:lblAlgn val="ctr"/>
        <c:lblOffset val="100"/>
        <c:noMultiLvlLbl val="0"/>
      </c:catAx>
      <c:valAx>
        <c:axId val="12987458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54453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[DashBoard2021 (Reparado).xlsm]GRAFICO!TablaDinámica2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VENTAS POR VENDEDOR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GRAFICO!$B$18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GRAFICO!$A$19:$A$20</c:f>
              <c:strCache>
                <c:ptCount val="1"/>
                <c:pt idx="0">
                  <c:v>Ana del Valle Hinojosa</c:v>
                </c:pt>
              </c:strCache>
            </c:strRef>
          </c:cat>
          <c:val>
            <c:numRef>
              <c:f>GRAFICO!$B$19:$B$20</c:f>
              <c:numCache>
                <c:formatCode>General</c:formatCode>
                <c:ptCount val="1"/>
                <c:pt idx="0">
                  <c:v>1251166.6799999997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7-4363-82BC-C8D25AF98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99915487"/>
        <c:axId val="1295922847"/>
      </c:barChart>
      <c:catAx>
        <c:axId val="12999154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5922847"/>
        <c:crosses val="autoZero"/>
        <c:auto val="1"/>
        <c:lblAlgn val="ctr"/>
        <c:lblOffset val="100"/>
        <c:noMultiLvlLbl val="0"/>
      </c:catAx>
      <c:valAx>
        <c:axId val="1295922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9915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[DashBoard2021 (Reparado).xlsm]GRAFICO!TablaDinámica3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VENTAS POR CATEGORIAS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GRAFICO!$B$31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GRAFICO!$A$32:$A$40</c:f>
              <c:strCache>
                <c:ptCount val="8"/>
                <c:pt idx="0">
                  <c:v>Aceite</c:v>
                </c:pt>
                <c:pt idx="1">
                  <c:v>Bebidas</c:v>
                </c:pt>
                <c:pt idx="2">
                  <c:v>Carne enlatada</c:v>
                </c:pt>
                <c:pt idx="3">
                  <c:v>Frutas secas</c:v>
                </c:pt>
                <c:pt idx="4">
                  <c:v>Mermeladas y jaleas</c:v>
                </c:pt>
                <c:pt idx="5">
                  <c:v>Salsas</c:v>
                </c:pt>
                <c:pt idx="6">
                  <c:v>Sopas</c:v>
                </c:pt>
                <c:pt idx="7">
                  <c:v>Tarifa de envío</c:v>
                </c:pt>
              </c:strCache>
            </c:strRef>
          </c:cat>
          <c:val>
            <c:numRef>
              <c:f>GRAFICO!$B$32:$B$40</c:f>
              <c:numCache>
                <c:formatCode>General</c:formatCode>
                <c:ptCount val="8"/>
                <c:pt idx="0">
                  <c:v>186513.6</c:v>
                </c:pt>
                <c:pt idx="1">
                  <c:v>375437.97999999992</c:v>
                </c:pt>
                <c:pt idx="2">
                  <c:v>252236.59999999998</c:v>
                </c:pt>
                <c:pt idx="3">
                  <c:v>23009</c:v>
                </c:pt>
                <c:pt idx="4">
                  <c:v>18200</c:v>
                </c:pt>
                <c:pt idx="5">
                  <c:v>258720</c:v>
                </c:pt>
                <c:pt idx="6">
                  <c:v>137049.5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B8-42A8-A345-F536F1C53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97408271"/>
        <c:axId val="1295921183"/>
      </c:barChart>
      <c:catAx>
        <c:axId val="12974082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5921183"/>
        <c:crosses val="autoZero"/>
        <c:auto val="1"/>
        <c:lblAlgn val="ctr"/>
        <c:lblOffset val="100"/>
        <c:noMultiLvlLbl val="0"/>
      </c:catAx>
      <c:valAx>
        <c:axId val="1295921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74082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[DashBoard2021 (Reparado).xlsm]GRAFICO!TablaDinámica4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"/>
      </c:pivotFmt>
      <c:pivotFmt>
        <c:idx val="14"/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GRAFICO!$B$51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C6D8-4A2F-A5E0-B0576FEFD9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C6D8-4A2F-A5E0-B0576FEFD9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C6D8-4A2F-A5E0-B0576FEFD9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C6D8-4A2F-A5E0-B0576FEFD9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C6D8-4A2F-A5E0-B0576FEFD9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C6D8-4A2F-A5E0-B0576FEFD9D9}"/>
              </c:ext>
            </c:extLst>
          </c:dPt>
          <c:dLbls>
            <c:spPr>
              <a:no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GRAFICO!$A$52:$A$56</c:f>
              <c:strCache>
                <c:ptCount val="4"/>
                <c:pt idx="0">
                  <c:v>0-20000</c:v>
                </c:pt>
                <c:pt idx="1">
                  <c:v>20000-40000</c:v>
                </c:pt>
                <c:pt idx="2">
                  <c:v>40000-60000</c:v>
                </c:pt>
                <c:pt idx="3">
                  <c:v>60000-80000</c:v>
                </c:pt>
              </c:strCache>
            </c:strRef>
          </c:cat>
          <c:val>
            <c:numRef>
              <c:f>GRAFICO!$B$52:$B$56</c:f>
              <c:numCache>
                <c:formatCode>General</c:formatCode>
                <c:ptCount val="4"/>
                <c:pt idx="0">
                  <c:v>467858.9800000001</c:v>
                </c:pt>
                <c:pt idx="1">
                  <c:v>480123.7</c:v>
                </c:pt>
                <c:pt idx="2">
                  <c:v>241360</c:v>
                </c:pt>
                <c:pt idx="3">
                  <c:v>61824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6D8-4A2F-A5E0-B0576FEFD9D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/>
    <cx:plotArea>
      <cx:plotAreaRegion>
        <cx:series layoutId="regionMap" uniqueId="{982369BB-274D-40E0-B409-C872D1C9BD3C}">
          <cx:dataId val="0"/>
          <cx:layoutPr>
            <cx:geography cultureLanguage="es-ES" cultureRegion="AR" attribution="Con tecnología de Bing">
              <cx:geoCache provider="{E9337A44-BEBE-4D9F-B70C-5C5E7DAFC167}">
                <cx:binary>1Hrbct04suWvVNTz0IU7yI6uEzEgue+6WpYvLwxZkknwBpIAePun8zDfcH5sUq5xtaxy293R3RFT
IYdsE5sbQK5E5sqV+Ov9/Jf7+vFu+Glu6tb+5X7+9efCue4vv/xi74vH5s6+avT9YKz55F7dm+YX
8+mTvn/85WG4m3Sb/0IQZr/cF3eDe5x//q+/wrflj+Zk7u+cNu2VfxyW60fra2e/M/bNoZ/uHhrd
Jtq6Qd87/OvP/3v1d8vPPz22TrvlZukef/35q4/8/NMvL7/oD5P+VMO6nH+AdwP6CnHCGIsoC+G3
RPLnn2rT5l/GZfSK0IhjSTCOMEOCfJn8/K6BL/jhej6v5u7hYXi0Fnbz+e/fX/tq6b8/vTe+dU8m
y8F6v/6c3vu7BzP8/JO2Jv5tKDZPi0/jz7v95Wtz/9dfXzyA/b948gyRl8b60dAfAEnrny4G88Uo
/xZEOMUYRShiAkeS4z8AElJKCRJYCsllCOO/ecNvgPx4Pd9G5Mt7LyD58vhPhUl8196Bv/zbDgl5
xSWD8wGohDLk7AUi4asoREyEkn+Z8zco4rv/+T/fX8e3ofjy3gsovjz+c0FR6OajGe7Wf+cRwa8i
IuAnkkzSCMHvPyAiYTAkGEFMIzgMXwDzDy3q74Dz7N2XAD0b+lOBtG8+3n30w90XK/3rUQy9opJT
QRAKQ4wQg4j1B4go5yIkVNJvnZ1/ZEnfBuhvb76A528DfypwUts8Dnf1w539ETz/wSy39XfDXfvw
Qw/5zy5h+bENvuYC36U+wGSeM50QfbHvb9EbtvyD+b7tf1/ee+F9Xx7/qXzvDBLpR/3FLv96WAjQ
K8nDEOEoEkA1IwxR/CUKr4DZQOAWlFDCCI6+zP4bKp9X9D///eXht5b0bVh+f/EFLr8//1MBc6nv
C91CxfE9Q/yTpQCCUiBkYRhFIYfIDdSTgfGfHxEZvqIkZFSGCCqCP3LPf2hV34bn2asvAHo28qeC
6Ma3OeTUwv87McKviBT8CaJICIIl+iMXZYCboKGQ+A+E9B9b0rcBev7uC4SeD/1/DdHfW9zzQuGr
z/yz1TR+RWkkhYgksE7JSfSS9USvqIDhJ076slr4vcz9+6v5NjK/v/jV0v/jdfPfT/W/Z93kzt2l
n5WKZ2X190c/bxHEkxevflXLfbXPLwFw//DrzwKSye/yx9M3fF0Zf9ERfjPwlxce76wDIUTyVzgi
oIAQThmWkYDYNz1+Horwq5DwCEQexD5XejDUmsEVv/6MXzFOKIJ0JlAo4UUA3Br/NBTwVwjDW/BN
YcQYinD4uzR0aeolN+3vpvh///+p9c2l0a2zv/4MtWT326eeFsrBXyBhwi8JnFowhGCi7v7uGtQn
+DD+X6MZsqUvrUyyuRpPdJnKTYeadTuNdaOemeUbUxEoj17MFSFKOSISCxB/OJj1+VxsJZMpWI0T
Ynp/XEbHD6SuBtWUZlXd0p/WQnQqmorrGTdWeSE/dXP43vSZUaWYbqK6PqIgb5XLJqHKwucqiMrl
EFH7QevqPrPzonSj51hOQ3ZVhNQmRUQqrBDJShU06LHEtb/+/ragKHy5K6AVAhIcj0DMYsD3nu9K
Z6IArBaZTBPiO71Ec4p6HlSqxFmj3Bq4R27D4vT9Wf+AW4hgwhAhTnnEMHkxq8mnnkvXAm4OV5vV
NDyeBkpSY0SYfn8qDAz2+Q65BCUv5IhDCgBXlfIJ12c+stQ9KubBww6zatiMmvg0qJZ1Z8dGnJYl
KpNczmw3M+vf6nqpNyA7dofJRMUdKbX8kR+9MDh/qgCxgM1DtU654E/LfbaciVTazyRAyUAl3pPJ
jgnion/f68EcPPb1xdzW1eb7RngxacQFyGIYKGQI9DHE9MWky4TWkhezTEIxicd1wO5kmOkTUSzV
ouYyDNVQ/xDll6b/bVoBlJZHIRMQK77eq3TLFPrakLQQ7bRho7WpFzg8Fpb0O79wuy35+GksEd43
Hc83UUCCrY2qOSbITqv6p40gQR8Bb8CChfDn69UsIFRUmFYyiSgxW1t3PrY2fCiyYdpna7YtCpJ8
f0YIgc9d72n/EKAI4SSEoCdfzugCNk5hVOKk8st0KaOcblZvdZJH0Z6NQ/Cxavvxo7dRqdywotvv
z/7ikP02+5MchASccBG9sH4t6VxTV4ZJ5htZq66fpr0MaUbSoQ3n4gd7/YaLhRicS0rYaQRZ4Wvr
Ijx2JW86mQxZv14MVUFPTQmBsbVqJab5SCCU/cCrv+VfIUwJR1xwgYjAX8+5VNrwtQFEA4T1I+ML
PjS8LQ+BZ+N9263hboya/uincdgPE6mPkoAL9mM33Kw0F2fftzdm37D4V+t5ccxqvZpqxQIldmrU
ituTMaWNaTBBQpqTwrSRGqzVipLXuiUH7wc1NUs6RRed3rfLbeu3uHrXdei8CduNaIt9uRiroqB4
53Kt9DCnrZ3UBKenClAq7fqJzUzp7m6uX3vnVIHHpMZ3DO1shmODTGpxGZusuRc6S/o2OjNRvtX0
pkXFJvdZPE6diZlsdkExJnk+bljZp6HHBz3U+5GZOFjttTAi7WFtfWWPCNtjzsx9geZVDcVyW3XZ
HdVuX7T1mHYDCRQfigtq1od5LubYIuJUyRwHm2RDbNawSjO0xG2+qLIOjxU8SIriU0OlWtZyWy56
61h2AQdrW5bmgBuzR25WU4+3rL4qiVFt4NNybtJVzvE8Nhst0aaPbOqKtz7IFMc3vlvieZiTdmwS
P1ZqbccNz1ZlV5tkvbkA/40bU52Gukl0F6SdIddZHl6Ysj6NKIuXue6Tqi6PZqxjMiBFwJ9Vv8q0
NTYOhiYZK7MbKrnVq08R1IRqkV085MPtRPGlyLIP+XDfzm9o/miXTg1LfuUresEdehvAB2Bj78Mx
r2JZN6mp/HtP8ab2i7IiLxJIv9c/8Ez0grw8xYIQDgmw76cfoGZfnxRWtGbSAZaJ7c22J9GuLZqH
xZLj6luR8G5UJA8eSoKOsuUKR8XWZSzRBVPZ0qY1+ZAzF2vdKtnrmI9tzACAabwOXH7MTLHR443z
bw3NNhO4vx7JweWNEu6+jI4iSsrJxzxCiSlO2Xyq8rTpx00nZTr0x5CdCVnGYvwwLM2Gov4YDJEi
TMdUV6lok6m7zeadIXmSd3Y/dtWW62oz+miDJvmpnA9kJW/yvFetDtlRZ9xs5VJ1KQqbx2XC9xUu
IMeF/mbkxX1u+nO/RIkx74sh3/tgUYMok6Ft47IH1hP6i8r2CnfsNEz1ZvGBGmRkVI2HM9qVhVrn
7LSaRcnCb0tmUjj0h7oqVQP+Ftrp1OvKqKoUD8CqCxV1bjNPb/2cpRP4bNwV7a7NzZmYZ6OKsFeN
zi61I1c9qh+DqNvNZbD9Pvj0Sdh/mYYiAmGZhNAkI+Ql+KVEoQd3C8F+gqqmxzbReLZKdBOQ1vbM
BdVeO5SEOthmtHtnrL2fMvk6o+WboWqDtAiyC0MDrgyflJyAGHZddkUaBz7QI6wIhegWiC1u2U0x
hmmNwjr1trlaAYu1nraejhMcd3JNJq4sWndoRdeRjCHCpEt/0+VCUQMBzp3hial+SFZbJcuMARsc
D5GLS4NVEx47oRUmQSxZv5f9oaB0m3Gk+qx+3WF3XfaPVF7Uo1ZluesgHraQWav6cpAbmh3KwSvu
rlbxllU4dlX3Wi/inWk+ZTLfW8hXWTiAF+vdwpszh4OzJuKbvNJxWMHBbxYIJ0UccZ1EkVRtCbGx
CZQUNqkXn8DJuxStS6o1P+SEL2rk4lD5NUZzdl67MpHUnevIggNOZ4S5Lcp8Wq/6bZAv70ib77Jq
2hjbbtam2FXGXWvIWUveNarIsnv4Ilg7nq5qX18zl82bIqiQmiL8cXL8ZOviBHHudeTcpKD7cx16
ka5zPyWl1mvc8imLc5a/DpbqVqzHoNy5qArirF0/FS74UPEHPO2L5m0kAmWb5WQ8TVZ3cn454hD2
47iiPRyUoIs1GXYClZe86j8Aj9qsUZYufDmQzJ6GbG/mW1ZccLAlfRO27rwtK59MusNqCW5JlpbB
bdnw84nIlGbibZetRs1+KBSd3bu1tXE59IqPQo1dWMT9yq+5lOA5fDeU43Zm5Q7DubeZ3ekGEtyc
NGIr2mCTM3879Dc5o6cln9OlqG90ZiH7pI5frFFwviAeF3jZ25CrrBO7ubZQCwwqq++qNlS6HtSa
AXG4KoazVX4i9U2Giy1jxVZMDQRIsROhS/KqV7n3aqVuzzQ7n3T/rqU+7rtACXEODK9Ua9nUas0/
cQ0pCcGigzfcz8nQhYrV9a6LhjjvaFKH0a5YmRqDWckyV/WSxUOW781Qx9oGB7y+hXJmm9mHsnkH
NlN9MG0w/tD2fEP6XpGOXPMe7lks+KyeRVJ00YY3gHPogWTfcNxvZnIbEKxMv8SekW0eXTedTea8
j/MaHUvM0zkwl7a3SYSzE6+oYk0Vz1jEeVHtCy4uLTjEGpyNEVVevg/Eg/Z6U4VjOonUTpFygiTY
o6QgNF59kUw5n+K6to9mfd/UPvb5zbCcWYg1IAupgY5qdGs8cf6+kXMS6XPOg83aAk0cC5Uxv+1c
rkKRv464TaZ+SepoPRdVGFMPFEDeNQKpohYxq6XKEbjO/LDi6m2Oip3OOQQPkZCmOqc6U2ExpdkC
jjTT1A/DrkP5dYY4QFM16UJNrlbJt8CJDyJr3gV8Oc+aAeJGkI6eq3DRybzwAawOVTirU4pHqNdJ
98hKu2PlBCCNJp2WolJ1pJW34YYwf14W4rFdx9MMdiiXMz7aHXfFgdPuTYlR0jXDtpskOK5ICysu
4EA+1n22F3O+rW0EJ3rKwWs7/mHqShdnIji1gG2JZcy8i2fpX2d5oFXL55tFF5t5GLZQ+N6Ofa4w
ZJRwbY527YuknQKWVGJoVN1HP6qov0FzoxAKCtBBKMU8fKGEeNfPU1WD6uLKcbzIyUJ2lM3FRU+F
SVC/9tuxXKt0wnhVzoR8l4dUbmru5rTJI0xi4bS4qGrpEucZi7+f7z5Xlc9EoSeuE0WMcASliOSg
K37NdWbQHLQcS6jzcuSP3lq2gfOzpiQfaBy2WXsoZTPH1Dh67QmhiVyp3mRufCwKNJwtay02kgdy
n+uqgSOek8O6Er+tpnqlKiv99No2bv1B9fCNWvHZqiV6UT91cnEgrkH9lDVzdnAjH6o47N1yNy4Z
g4SrWbkv68IyFVW5gBpu0MEPCsY/LgGaUBTuBgBHgC5T9FTiPZMmij7Mq3oKRRKVvruwFXNpwXOT
0Jyhg8SkvsI9rd8F5Wy3RHfd4fvAfU1TBOiEmIB2/yTnQWsc7vp8PX1Ud2Eg5uFJzIvWxDkUXhes
NMe+lYsK8CeUl1mMg7Df/dPzshB6A1gyECrgetHX8zZBxlhuApHUmoTnfcjHDxKaCcrnKwQJG7JD
txYmHlc+vfuXZn6pj4Ras8B4qF/XJTR7QYI2xavAhzGI+q1woJwBEZ2Keyp19fYHUz9Z82+n5LO1
OZEhIwQzEFHJ0yF/BnaTB8Ekwgql0UohUug06G5qCobO3aaW4sBJtmvduidmuaiHEhTaCpry0eVi
P+qiV2hxF3NvNx54N+76WIvqjMosGVCYugxvs8Jss+Gc+nZTtYesyDaiOaxCx7PNU6iFtmsmTmE3
bwRwo7VY39qRbSJtN5QHxyiwaYCX7TQ/lPrKBKDJaXIeNcs+KoVCNDpfMh03kLdXbE/YTqmm5XEa
A1W2w6agn3ih48xFR2fsdvIsLjjeACUvTb8n/RoqWmkgYE6hcDNovq1KdkL9SQy1qnVzqAZ/klp+
EDMDMRS/1SQ6cI7VirrYefn6+0h8Vka+g8RLcY560CSXvAG/76m1qmF03i3RQg5Iov5B0Dza8jkY
Ez5AKLX1bFPQrqo331/F1zH9sztIBJLkU0wnEfqsfj9zh0o2oi0DUGQrGvQxFAxDHBSEgErX8fT7
U31jw5RDNxUUQQYyOtzX+9r1REAnOmIpk47Z4bJs2xpqPcYdifuRDOVualsGaNNPIHLY+RDWuSRx
JOrF/kARfEpUX1meEbjoSRk0D0GlxE/XPJ+fAVODb+QgnCUgu9OzcnHu1ta8VWNomjNc1u0PIg00
N/4wITS5BKjQcIkRbo8+jT+zcr02JAMCR4A/TSStXVcpWGK1mbo+e7TlIAsg5ag6K8qSbLPcl0GM
gmpkKbeNeYdcKvKzQfZc+Wa9JhwDAxrSgfr+R4Yh0R+XShGFC37gChyBYvpCW3Nh00vT+DydaT3v
OXUMKVS5KkqH2bev16VeH4Bkhlszl2ViZMcvBsYMiC2T4SRGeqqRMvU63iA9zjrup8EMUOVF7W2D
smWJxy6zb+1AylQEXf0Q+l56Vfgy6hQkKWBbw9xEmYoi2pZQFlD6Ubi8umlZnd1ru/ItVFTkOuzl
+qZsc3xsTabbeKZGVioy4Fh6yae3Vd7oA/XSvgVdEm8m6OIXUMxP5j7opqxQXjM2KNZDCzN2boDI
5qa8GKHYKodUBl37Oow66NdwyHwPbO6qXI05Xo95gM1uKafs3GYd/shsUKWLpeVd2IXsDSn5cu06
So8LCx3ICv0QXS+UVW8Eytq0zynadnDTdT9qPb81fcVOSxaaC4tZt/VZkaeC9uGnfpmjOMvAAAq1
YOc4mtrswsH96ndF17RnA0Tx01S1JmkrXG5CHHZXjkWGqcAWQ6saS0pVrtJdOT23bCd9W51wO8lp
s8LsKIbKK3ydmxltmy7DTmUzQg99TQd0ZLyz6UxQvcmjor7KiB3OPSv8R8t5c2K+avdd28gzGVT9
0QRQ7/l6hhPaSbtsJlrwBPavaSK60BRXwURszGWEW7eXRb/a2BNmu+qs9QNeE1QVtp2gTsbZ/L6i
67hqxZfZuexEMiruoL2R03ck55hFKfBGUPwaHWXTvqVFX8QNNsFDYdDaqqA0Hie00/l9hH33AQUo
GJW2dFpAtBD80fm1vxtGwcp4mHl2boZZ39KaPcmZ4dondeUY+GE0RjsBfpOQweQbhyw+ZrVB6VBP
1a5uPNqtlpKzoOmCw8ql3dfAFtKCsPxQdEORhNlQ3QhG7B0u2lx1NhiAQg16y3vf7MaF5mnGyXjI
hPBX0dhJNfZyeJd5go+FjHSj8sBmG77y8opKEKHG5Z7xQCz7GXP0gYfWxs3cdySW48yBFE4USjcd
wTa9ruR7Tyze5HIMj7PMzUH0QUiTHhhtEohg3LSkJtuyCu3Os9ltoO83nWhdE4CPC+hddsBEaqBE
q46aD7QYzFY7kT/YyC2vbUnaSunAdVqFE6TUxk9dss6r20i91AmkfrFHQ+NvytlMl3oGc9SVzm6b
KiPHsjc0HrppOLUkBMWtGPx646eo+zgHeegUkMO6ADkVySrxK12Oi8/BwVGH1kUtFiRCCb3lXT/x
clMtpLmuG/Az5TsslQske4NGTN8Niw1PfRV2H20lM2hBuKCgCulOHtdhwDejhQ8ob0Zz4/MQbxsp
/BsKXOQkByIPNRyOazMie+00aFiK5vVyObUG7/jay/OiiGwe1yycXzMA+tSMfXUq7Noc4FSBA7Mn
3QaJ0b3uFmcvaoKzVBYgFOqiDaDYLSoxKp911igzFMGHcSD1xfg0uxjDOvFydMlEMCSD3EJlr2e8
Y03A3k5Vmb8HFX48awO0cNU6UOvJ5KfD2ovm/TBKUE57yqfxlBVUHFHWN0AlpnFrWlckWOfFpjZN
E/uqCqBi9G19nGSAZ4XzDDRgi4ytgBRl5rqqItC9Iz6j93yl9FSgsD0VTcBv6qzM95MJ2ocB6uoq
jkK6ngwAc21sU95mVeuTvA3rKqmyApVKdn37sebNBFhnRm6GFfpt/ToD5dKInwzVIA+4IucfR7bq
m4kvkHNm251BL95eDszhQwlyO4jjaBxvOUXBHrWIHPtKLI0Ks9XX0DZv+aGasu5ylu18IXvjr6BK
iqY4QgO0eldhbkXbXWRh10ANyl3CfDRc2yakRkHfvoXEWuebgAP7P8KNiKVVFaH6boJrXx96kOZy
BS2loVNjycQnyf24dTT3dSwY0Me1WyRIbZ2Y9b4es3VU+dQKSGB0ZefQzXG3FP65KGg04kNXDuut
w7DKkq816OsgWEwgGi3ZeZvNZlZ9y8v7RZIVGobZOp9AuHVUYTbiPNbVGoAGmfEhwaKMNjOg8hoF
bX8ZzpO76ItuvbV0iSJlLAa5tsXTpQ+LpVQE+BRYq2ugsMhxAHGSQecn92O4jTSuzlCQNcka5v2+
JPkE+ZzJeNC+2FZ1N4AiEYUWpAQWnkRucFxFLT+NTodbbbG8Clc8HKoetzHkOJ5qnomHtcjGaxlC
8BzHLjpEaCljtJLqTSFM96aa2+oCV3OfZs4soAe6+S0cY+jxlBlKPa1YvI5huCdeyHhpV/aOD113
TdAQJF6P7fnEdAbnA7MnMSgntyHsJyZOgGWGoWMfvAWHJ9JC6Vx02oMUPIO+VQMC6Tyhs9mCssLr
O9GEF7koob3UXjIUpHiEVEs0iHnXI0OxBTF7inZQMm/Csj0WHL4CormDjFR9eOrsBJgkjGNIbXPc
6wPyZ525WBmJW3ctyw3qbknl4zE40fIC0X3LTpG9BF0O1TcEpXa+BMUKLQ9V/3pGG6GT1h/b/NBB
5yBrfJwHO8bed/RNbh/7Lq6dVvlykflLVh+C9lpkSEl84tgllBfxCl6a4xNeHyt+b9ZjL/dl8RGY
YjzZee97EluBUiy6pM6hHSHs25wBe7iYqItButm6oIVrKZ0i865tQKyEFJ+0kbRpC1HpfLL0KtAs
1n2ZFrS+QnKJC2iRaXRe5R+qjCbg2IlsXFzTQDF3sdZwrLMmtm2clwebj6lpSYLmQ0lwGjINgQrH
hIAaPwxgznekflNDd69+ap+y3RSd+5IDAFXMK4jss1cLB6tMwf0KFFp1+LGgs4JE+khYmZQzZK0l
S3NyNRUfs+oGQvcI9A2+Lkxp0G5kwG+jAIr6aTzCpZNLLYwidQ7i8buuEJuq8mfUDWdzK2MPxwWX
TTx1qfcd7IFBeDpDU/W6CXVSiFURwGZAzdslW2KC69MSoGMzDOfc1tcRNLzdZK9KUPPWbLqgwXys
bAb5fZ2VBUsDWV96f+qMVFXzodH2pmmGt2UYqZG1W4YcvHY7lJaqZR5O+QqtzOJTvfbnrRvBNyGg
zuUWoXOSgTZb0dd15LdRCZVrUah5NQlnQwq3WrYEkSQw/aZrPpbDZd7cYuAGtdWb1n8EJpqG4sFX
+RmHHjEHAu+mPSh5j6y6XNBFYaBhsURK9gJE6+Hgs1mVOWivE/QXsNhnfHWgFJznpt7WPaSP1m6a
uroqrFOub89FWdzgJpdxCeeM6v5y6WhctsE5Wo8NlLJr0GxabRLDedJlwXau+XTGIAPVOU2Zre6L
vtn4wG3ystwPYLG+DlW2QhiDUKijSxzZbRaBUop70Kvfye7KttEWgfzNQS4NDVeCtmmJUGyqPmaD
PF89UnQOleD06EDB77q7CGqMikJUmqWCyjj244VBeVzp8RKWrIL+rS4fJHqYdb3FawEG6DdTOEMH
sL4cZ1BW52kL3cB0jboL+iRg2yVXpLgo2DCrImBbPXdnzeBAeByhgrcxyytF2ZLo2is6PbGKNyBC
XLkVVHsjE4QWJcJxNwWvh2VStkIx5HtoleWpbW+AJ4EybpLJ7ALndhJt62pWw1rsTLbGeFi3dHJK
rwxsHiUyw2DkQ1U8rvjcRWZXhdDN/eT1rZSHBkRrD8CRY1ee8jyPWfWuWaD0fUOnbGNFGrUQ/d5r
xzYG9HC4zNQqBv06yAth2FTKIQ+HZjnJAG3qdgDVn9w42Wzg3rrK5+P/peA8tmPFwSD8RJxDRtqS
Oie384bj6x6TFECABDz9VC9mM3N9p02jP1R9Jdc3saXxiIs+41InIpwT9awWNoON9E7NzcWrVTUs
4V6TlerW61c+vs91lLKAZoDkY1PA9vXZsXKdba/cmLdD4uoyKZifG8z3WCqyQSsvdi0IthxcF7VH
+JAzybtwwPQu4n64lkqkDB+kcf4ry0sY1ansGFbnIF+wUWGKTBb2x7s1JvZB2R8OuVEu42ASidF4
Wx/EPhbTT+DloTyZ8mD1U+yQTdTwPFQ67pqscGv80mVq623l1DE6F3U/Cc8sCIeKYe2TTj5HV4yq
24l/ai9zin0xv8NHzBxxm+vvXu5Eq/Gq1Snvs3r6FLMVt1LHprn09NDSbYl6gP27DQ5NM5zdPiVN
fZHk0oSv7rgce/vFZl8StqhdHUpxX9DkS0NTM7abErtqG5mn4paukZt58LWtYsxMVccK9Vc66HUB
fhEFzwWOSeTyrKYj3kGVVthvJh2HzZeInIRa+AcelcvLJCzPjMkDJHwYtF3CxymJOolT3ydhFSVF
fY+q15K9RM4Ls6+SQdboQR20cYDHM4MgKFaTSHqOrHdrXLLQUYfKeTWCxZawMcE8jPcfL90Edkgs
V1SQ8dWx21iUb73+U/wYwd1VksZ238UdfZ2C+gA/NI68T6beC3fKG3qyPWvvl32qe3CF3MS0cnO+
kmQsvV0n160PIICq2+JXWRhVd38CjFAHmWuRjJa/gh9mGuwK6Agze2XTf1NjMqeu77w+zji2cwdL
eBCboRz22lA839++JMlslsxSNjgHkwzzo+oMtqyfVaGeV0ffPdvw8Mzyy+1tWUyx5CKeizIWcJIm
+2fF1tWhREg7SqKCJkG9Zn7wxlQQU58knLYbD/gMcavYItcezm7pOPkg3I0Q3oaHFPCDGxPpX/mw
9zyMr2Da4LRM+K5D02Qk+m+mcP0/bUOAK/SJdHezz8DjeFlB/mplxVK+jd2nT/4zxT9peIKdO3ba
IGXrCS5EP5M37XwjH54YG1Lr83v0tnUTAUx9DeSHVzHwBEsaQKDVUm6chqYdNoh6ntIC64N5TOHf
04uFwukWPzPH6xK99O5fV3xCkkmWCC4l57dpwosYlReXLVnUtah1QWwZL8EUvK/q94b8Ux5Nh8lN
nIgkDmiUyfYTR0/4osWz5OQWnhk8NVTX4qjmv7IOcm29VhxwLeYn33r48rtoXri+tW0bcyuMMc5s
iasyf7VS21lzoR4AQpvK2cCATh1vawHPhOvWzG/juG5GLCjhsGbNFAKXOGiGLS7KJ0BXkqJUBb92
9O3Xx3Uu40GBPKFl1joYi/BxqmSaT65wM8xKm9X+ioJforC8UpoWKCAuylJdhZmcXtj6bg2whqem
S0OFSXMeQiAU2Fqes4mTUyhoZf/S2JB5FA9vz02rX5d9H1651eR+aOVzOadr+coGkbrEPverxo4S
JcaTKRiKN6+d8UKwzJVf0fCfYv2NsR7ONk8aS+1WTCic7kKCh+qDFSuPFfYlMH2Qr9j4r3PLhPtm
2zQvlJVJtC5560QfM/suA5KK9R5M7kXTMe01pieoGY2mueSwz0IgM+6aUZimwH72An4SX0+lQIsx
71N/wTaSA/bOOjuruofovY9Kqs+l20149CIYk3WgiTvwU2NPqbSOc3WfgVLzCmbsqyf3JSYMyWK6
zhjKBVxihqdm4tFpDmWtT2V9n9iCRx7RY0B/g2JOZ3/Np4LGpoPofLPWYBvIdVc1VzXs/LKAeAfz
0rXf6dyc9ShzGTjnnsmrM7uJCqM30/ixM4Bg4UVsTwPG+Cl21Zw7ixuXXKWwHHNWlZsqhIY/qxuW
6Lx0UePr8cAWP6MgA9q6/56DOa9tP0i1Xb+HbfHr9B/LfHGeY+/4O4u9EY8InKohVuq7Nd5HHX07
QHek+eF03EuzbqAfxt0anpZi3DWrc5AmwEBfF5tJ8RxKwNYKwyPk9djY6JksSvtawzMf1z0kqH1f
6R0tr0INedCSoxfIxK3lmSn5HLwxYJNXAHAbFjZb4jh7TxYp85ed4TaM+iW3Brm1nWM0aPznKomI
jsE+xgFAW1aBsfLXlKFVDupf3xb4dttt6Z2gzGfaPqsV31GLU22pxAY9GaGagh3d9wN4QY0BzVm3
QcXSIDiyBcoWhl3pY+pt6YHxlxKymKR75kfZ5KOFMdsGXeFMfeJMZd6Iqowl2pCh6xqv09fYPUIL
ewmVHDrjaLdJASRsdLGtlCpMbOlv1wZH0b1azu8wbmCp52sjskX3uVhC1NwZ5WfdNLAFATAmPhq6
C4a99aIN6L0NheKkpMzhcULFdmMZ6qyO6o3VrNnioCNP0wXN78yDDgS8l1cUP+eGu9HXKXbf4xSZ
D79crz0pPFArztFe5vfF+Q/8CE1aX9CUdtMpIv0ZkmUShd8ewwngaCGaXPRYPiZpNszYL5qEqAr4
GuYp75qPkJEgKU0DQBIdsB6HHz50Y+wt1n8r1kSKL6hQ0ZvmgQtFSLM4ECjHS0Q+Slm9WutDRe/N
AtBuvNROszFjlLnFL1f2m+toEjMufZAmhZNhjvxBACS4EBHiu+yjeQvk/q+xAKZYVTwOX5YPCzv8
ZdgHwQ+wpFdTgHHMPvKBbpiMbh2bYzq0ALC8XWsfguda1dFrhVe0mPFrqDEYYjClh0XUr9AvN3Rw
YlpHEKQYcOpQ5kY1CQyXr0B4/4xw8Mkg+wzjCHu7vPIq2FOntbeW8+0F0dXCHDGv9W4I59xWY50Z
CDB9tV5bkCesDBNZ0nipm1g73b7QzWfY1V/+iKENYO1KETdpA5ku6ISOgZRc1kNCQWj19XaYvEc9
Ap+qyxGv1wqMd8qq1ZyCzgJwsj5qjE3BSPdikHAoawCh32E04yUKt31pp0IVZ3/uTwpYgDHXQXi3
xuq3vXecUfDUYZ4NRFTsU4ufh4QnbR+ex/IfmXjm9g+AP8cw0okrh9gHGtQEZGubnxk8hMCsuKJw
o6ncKszRkXXxRb+XI9pzQ2Lolbu+nB686LYLViR3VoemqE91H247Vu3JQo50lgpT/NjthZwwf+ip
TpRcwcSYcMdMnWNgyQuczLa39Y4L5GMYhLrIapLFWnMVORdKnDIHIKWOsvKqTUTMUTTRDnUmdgOd
CX85EPgKuVWGn5UttuMIRzueoxpKjahGvNRc/MMNLc7d45TH0vP3fQusGcpq36fgiRbMWOriRa18
OPPoJXVFf4AuNud1kewxFXjMDQHdanFYFGE7PmRgoeVW6jaE425R1AV7s47mzRWhlwOVxTHjng/h
EtXA9pZp45a1hR+vqrfWEm8ttvv/5qCWE/b7QB5LZryzD+T3LsqCXqfWIl9u20nQo24wxk4f/PSF
+z6FfR51/FIsdl5MDk4JLTC66sXaWR0GF49pEJLVU/eHm39efCbwqzfqXobauwxR0BycjhSJTfur
W89LXDY+TRwh75UPcQjHpQfoUp9VWXy11MXh9m3Y8KVqxpg70Y+mlCaVV+MQ+hgyW0gxQzPNGRwJ
zAur7R89NyogeIrXpReZ8Ud0vXY9VCIUOcqneFlAjMQ1eNzAM5c2JIehnvyshb/zr6NPbals97WO
3kMtcFrKDs69IPrOSuq9mRKTiVtNQ1L0miZDg1Zregi7kEc6lw3HmrFlMwFnzGGEHUMy3b1ZfQu+
PoZVh8najNs2Kk9lIy91FKZ9M/Y339QLNLYKKvBqt2lQ+WXShc1uYRVPe0iun8/MQjyXlYxVW7Q4
2wBrdNhg46NdmIMRbLMWi0buMD8l3iQTD5WsCNe8cVR4MLPCrrcg9WUz/dIH1alF51SmuHM//DAy
PPOlyubG36nG/XI8RnJeopf2Q4QK5ZEdo8VbKAZ722GVtwT7T9ttA+kQTopasf7b4fI2WW6QVYs7
pvOEFVsNBx3WKF1OFk3RuSPd1fYtli2dVScN6VRMrBH9YZ6djTHTmrajerQjeT5KpdOu4Y+xt99I
VKgMJGCXdnj6vCmjLelBpUrqf/ZCHmmFP0xrFuVdWd+iipwYSlFtQ4oZ2/LgRzARrJp56SQaA8Yq
hLi/NPadqGY+cAI0z1ba3a0L7y4WOONkxJaZBiSCyCwkwDnxfHVaOL+xpYZtiU0QDoUTlx3oZMha
qPww7RbwVo271DKD8mznre/UKekEBDzJ4wWoeGxrMf560yqywPbiiGETnFnzmI0r5LZabP89oAWD
lAf06CYrQ/ukl7r+VqLvSgwZvsvSWa1kyb2QDxC4wlIsqaNDbGncb/5T9hxA1KhYf48M8cXR6WZv
6xuH3hxV6Q67b4laIxgx5Id22BIwadEyyhi4egi/A9GXQa1TKkoY3Y2nxZepafAAjg6kfe1k7kKG
tvNIaQdV08YWlK5ogVC5xhFicWjxu293XXMgzbPr4TQ6zbcOuA9nHO7XdibPndoY3wEfEmGBLDyW
6gmTEoyvQ+uzCSNZ/65Yt1/cABGQ9u4EyuB9D8dD11IchKK9L3r6C4WfOkuQ8zbcrf2czS2aWi3E
2VfiiMX2bLXztQ2nI1ySn85016C0ztYsD7DN2thMVQbfeFPLOcfX/Nc47utUYzUa+/KTsDmACmeX
2LohRnCqv0qybrXFPrRdPl/WPHCHzLcfFWylMKgOPkeQxCqr3RiVVlzZLs/tFqwwSi1Nw3bNZWRh
4eRtiWoo9t3ArrLk2GC8LChVvBRgZbU+kOXPCTjCMs61bTysYD40gHB8b6bAHHXvLluPkt9mDH5q
pEfcDpkFOUAEUO4BLlHszxi/6uFrbP2feZz289CekT6ZftqmZtcSYUknJpF2sT5wHQvsSa2aP4Fd
KZUNEcHfZgVqwds9km0DcXhvLdpFfEcGCeDSg7cseb0KBmEf5lgtnfsydFbSzeJXLsDLHQhBIozW
hIHpz0k5XQQET/DSI/AYlKlzz3u3i4m/dvcG8gPk4YZa+4GS09orJBrbP9Ko3EesLreK+mg3Q3iH
DiJzp5/CdCowurAgRFGHSAVqZcpQLNjFMogyeN2yUcT9jsY+tbwoI1guItAgnU0wO1X4lJP9j0am
ituCf2GsujYkWmLEVReQ+eQ8+vNGLf81ClrSEyc3qjsKRc++1OdxqXY+6NI0sjud8sFJiwKud1uc
qcF7PS7Rvbeay2AAuLrdN0Hc98qdJgCTXCiYKvbwY4V230BO7yrEpMp7NzrvpSoEIkSlTmWhEMbp
hikeWDk/f2j99pplAAFeQ7VE9PZDtN22mozcsaBVWcGLADleD8Y0bS+W1nkpOR4E4XPuhn5qE0jT
sHpARhZ+82XXA/TzENK9f/BoxU3itupSFWZ997g7PZTX2S5spynDQr+TxDvNkTPkFMhzqaNtMfpw
ttmbweDD5/Vg3Jsz3QoIaZ5lv5hyhirnZRGYOyiO2z4id7sHSq0vorS3AhGmaJ0Os0C/Yk4JfcfS
z+kf7k0eGD+4VzZ6Qwt6AF0POMssQ3DZsKUzgn66VvXdAr6QgGcDodGWqVmsHyKm6K0l5U0H4qWr
ARNTf84np4ApM+Xh7GRD5WXaZXHUotmZ6TJa8hsrJeov31UwgcX8jXg0cDyDlRjq59TsLMlvvnhD
aUxMI8+lBpZSBTXd2U2xpb6wY123F9X1h9rXyBOFOzqTDSbOm4DMuDCdGj4fa9vaP1coRPgSKyzQ
xaChNOoyFBTClXwf5jqvEI/m6sAUjIrRfZmq7jDzFbNmVxzqmcX2MOb2sB6H2UeJnbchUl0WCb6m
Qse8OwYIjIveSnjjpwECdC4iwU29IkjhpktX5kZurPDbJu2nxNFpQthCNkLa7Ztph7MPL1u8jfLA
J4khmOQNmK6lWYDObAX252AkqWN+iP3V0KxeP5j6Gt1X6m37FdmDPUWvNsuuNC74j+2EudhHlECF
bTLyJhl8HTs8IQ08OPVPiiVG8D7pcTUiny+tfNModZz+54dAGLHlUaTfiNmZAcALNtTmKX3Qb925
uY3Jx6MXEp0j/zipTTW9OO7OgqOJomHYEUF1pGIPsKso9LpKffbkS603jajAqKF/6Q6Ris+BIk2h
Nh6GDIQyY9I/3F7juN6k/TZjobTNgDU72PtS7S08azUgar3c6fpK6j5VzTPgs2tHDIjqx6evgRGJ
B+1kbIPEqXBYOeZVNmQtgh/8HnhvtoeNrkgp5Bl2D6J9OJ36eUeeObn+Cjw9LU0dMy9H08TuOSeW
j0iIiOC7V5hTcaLuQ10kclSxDU+5/TDuZZQmZ95ec1gnCD1XzWfRWikbHwzjgDd5eE9OXb21oMZz
+A5S4cssxHZZf6h9hUGzsWZs0bsSghyp9iHsPf9P0h2FhD7ov2jYAOHeCoAxDp5Ki1wi5kmWIDER
c9tGxl5kHaQccm5K/fzLU1LuWpYQ06e+BUkLmhkmLHy50jzkDMCMfFXNPx1ipIfXy9ojZ0hfWhAK
YQQg7qLvEKNjRiB1w2zDvJtMoCGEcdIagFHEJ+gyQxbBBxvxm0BNQPrrJPsvhawAUjFpB53Xq6EW
QX3T2Aafi4JgR8Q6Yt1+u5rsa9Fm5TKnw1PHpisM/q0Kz3Xw7llbDNmpBaOXlrFpX4fw3WvPDFhY
+E6WjVjximGMmQUWbzw6ZN+oif1VxcNU//WQ9Ecc97HamfZTLP9WFBFHiiToN16zn+hGhj+1Fe5D
28Ex2DpmSl3vrfIPUwj9oLJja7q2Fs2hDUM+beO2atBTL5XX/jRqQ1XWhfw96E8YenKH24loWVZr
Gzpzg1k5bwcPZcCJewuM+/jP6fGbrS60RS/hocoZOxVLu5vIO6EemJK8sO9ABJIm9Pc0+OrKV69z
brabBKJMu9U9D1pnDkeww/21JU+iSGwbu9mMUeK5fewBcXPBO6ZinE9IMpcYllFUBYNkLbU+2T3y
kqtGTP4pxw47DxM6MMcTNpp0qcyWGXjHM0pHv8qD9se9b4TZcdXfXeAgASpOL5+HXOHJfGNwoou3
q3BvKIFb6bYbd8H+H/02pt9CarQWjIQDcnEFMq6ARurKGTLaEIXBA9gdppP8mQOrYN8vrbryXu4Z
iqhBALhD9G6qlgxHOQPykbVapUMAwoL8e0rfzvBBUMXVcCoRniD21sgfCJJ7n+xdVLIWM5IbXFm9
EVUEpO4nmr8dI+5etKRQnHL1xLxUufHrKHeKJbUwwjv8i+LlBE2WsFrjPoxx45AlRRx3AwoQ7TpK
OMObyd6C4YPS+dqhLODhXFogV+7UpDMH9gB/YejgQyBtiLs14C4uSQEVubDg/7DgOi3/FPKGci7i
ahi2Tu3lxQyDcB7OVXeBmaHMdYxuAfsiPs8E8lKMYIO6ywVqHIqsgr7tzDTm4A+lETnkirTkIpHM
iTv36I7YR96NfWsLEmMbjS1/1w4gGH0PHwP47s/QgB5ZAGEaNEX7d5i2VvsVrscZzpm44yTyUe8k
RwBp+Zja9zHscjpYSVmfRlhJBeTu3iQR/aetf/R5vuFJyw9LkDywpnRtbgbG9xy8RXPmA5nyvAah
r2/H5UmFhCPsnN7bzBDCR6/K7HlNh+jFLyeASHmldv2kUsFyKUtImN/G+eiZOjeosgUqwXJdOSgx
6xtJ3MQ4r5X18NSfAv021JtovTEsVkyHWzFDmHBVWvYy7eS0H8BYS7IHyJHa0SMod1gOYfNvetjp
EhboCLjP6zdqgm1Iz1Wd2/1LD8U7mH9rUC3qQ7Aos2b40epRrOSgIN8GiBOBtcFCFksrFw2E8A7e
+wrz5RUKMOC/Ko1Q75wKj6A4aUbSCN5rh4XcCdudnsR1qT1oZn6igC7701cPhyG0gr2wDw4+VBG8
hBVcd5i8f6ICEMG37vDRtrfCOVcjRKzxH0G+GyJbsdIr59CseFlseWj2HEu2tIdPz7RX3EKCzbtI
GMaDeOEIkkkXJy3aOl54D4lxYNpiVoR3J9sXUTX5AguIMGtjFoM7TCwQ+qjydyXOxHuvBh4rlQt9
1fWeO2Uc9l/D+hZ5Lyx4H9k/4At+dXKeVXf8ntl8LttfpJ82XH6FPa6iAbbmAsrxwjjEeoMObdqj
HDe6gDrpxGZ+MwKgDq82uFoHz/NC1zs6SaKmc9e7MbI0r145xEBK9+2IUHi5A62Q6Cip0KBVVuO7
GFxg4LiwAGFaGBbnFkkS/3f1qjjgSeAhcoivZK28pLRDaCLozDILGoW8tps+Z4puADSO5KVvUNQf
wn7X45WHZz1dtPXL222t/vPpknTqoiOS2fp79U+yeyHri4HPCyXYhwEF3T1pfrHdJSFZthA0sVGh
MuFOjAClZ0xXx4HPfAujfYE9P8CROfgKOd9OX3HrUDoQO3GWMwYFpzmyaEOcXLA+afipa/dzeNMu
EKu1xTqTT+0j6t56e+8aqIRFIjr1zpdvZk25694gfIRw8Yb+IFSTThIKZvGw+lNrR/FQ7YfCunfq
ICeKd83FrQVb2bU5eS7RaFVDwBCzg1M6/Qwuj+d6/FjhH3DviHRq7NOL8uZEt0Va9TSdIUoMjUTJ
OxQ13wj+TVwrG7wnjQHNEQMz0oabFel9Gdl4B5q8WOvMDV+fRJCzGRwguAhhcQyyDPcUGDtdoKDx
ChqlHvYVxyUAwZU0pzl8DANDV7WSSgCtnFxsiAojwoO6cz4DRdLdDsQtptt7D/V8qqDPO20SgsUX
GN1I8+J7734EiSrMkb4CwY8yUPcwhb0NIpuJIdVmtLEqf9S03DW1Rkj2EMG0EN0eMixizRcxLyma
DvYQjKD9XmFotSuRaIODPOCOBXDYJa7GYEW8due2PoOS3OpQbN1yTvxg49UMob4Kvgia5XgeoLKG
dDdZiHF/FCzvybHGjyv7+5lJndy3HtvV+o05XEl8ujdU2AZLZjg/pirXtNxW5R6pRmiJ9yjCvTKJ
hmXuAu1R61fUIsMJENSSGYJtOScnFwZ7qTFPuy0s7jku+23Y9EkEohlHe+t3M0SjuxVixSxSaSNn
1X1OLEh4UVxC5X628rTaPBsdL596pJTqMLfdbFTfVo+Ka4JDoPG3WCAcgyIwIDaAeANChrWn12QU
YDqUEgfA/3nlDtvKwnjBpp+Gz4d+WMVG2HJKBJJf3EeSGhprAJIwhJbEPG9nE/PoC5AdS1NsWIVw
Oi5NMMivgbYuaCrqRgB3kl9G+C5mUiPRopBwa2hgMAsOb0FR4Q/QaterpShSX3FMFXX/S3C3cULn
9YXzCkhD9df4znkOhbwBb7O2qyDHImIvIYd8whHyngEEzK7I7ZCJJ5b3sgrrtOBaC8Hki8GVP7t6
Dbc0VEngsG2NM1BJng4rfTcLPUJ1JQPqWw3KKhTIh44XqwLXqnHXA6At8FZrXs58b4FGhFEGc9Bs
ZoPsK3KkYiSxzQ+M4RaJ3inySDgMIxj9L1LDZqA8L9h4Uj4e8tCfa8m2EKF2A85JLf0PZJJeAoaz
M/ArdTCaUXWCnYw0PQibocD2ixW+nD00+LXDtuUt6RREr7xGnXTx1EG9gLGi/3mD3I+2QalZv8fW
vDja4hAkEVIn/1bE5EbYygSn0MMvQDvctcLjQG+4QJu+jO1XwAFvdkmD76GYJuCdK6gzN560B/dv
N1b5Mu8Xw1K+lhtThakv/R+74UCZ6mwMD76rsGxibMFlDjBBMOWpBupBggqDJFfji5ToIoXAx9yc
2cjxQPle4dbHMxyaZ95geF2hhpsZXlmL+2EKBBTGP3RGGDTWfJUuog0K1R8uJfkG7a5B5aFrLWMA
ez/puqtCpkZuZli4SAB6sTWyuHIyV/OkR0XGBTLrsRy+wTPayxk8SkB+ApFU5d/Q77l5r0fU0/MQ
nHCliaxOZt0By+zb1w4S57KhGorw0G8YFCbgFWq6sPGzGPJ2fBpNOVSwUewrhvn8RaB8lS+T3rrF
uwbYyC9hcbIfHJzacjNuDqDQhNuaHIfhUAGgwa0GQ4Owfor6MgQ3ghtp8NHIEmPkKeGsADpdlyO4
EDh7a7iHuFDwvGQ3XFlg+sPQ7hb9Ypt/fX8ucXdKl2MppL/MSmtw/SFuKajXR+eAIG5ftHfDKwvb
1HVfI9wNgFGoxckcZeo6afeNf4UbVSaEzbF5N9+zeRPe3q42Jty02IDDXoF0w0uNQf9V0Z0LKW1K
PUyv6sPSd2/68fjvVJ1Xib8Ai86YrU3qV066/Jng1aFvq96sIQZU1PvJhRq1C0E9Ufrn+lspt8K7
Y0XnHEtUzqMgG9Eeyq/BPXe4/3mAiPYlKChf20pcH1DNThQ/E/jb5oF4B/Pvy61gRWbXgEXN1QKq
yKB2/nhi0+L2CHwkba9xAMQzQNy/nv9IvQBHBhQwJ9QL4hpsnee9+Fhtnd6F2elgesxcD606awz4
FnBzi0hw5azPcWjYyQn2yJsWTTq8A8aiM8iCH4k7k0bcpTJuoZy48rw029XaBQw/i/1qRgeOGwD+
ejzQyUmWMgeui50U166VwD7EAyuUsbvUUVtm5ZXO7P4DdwrhQpMKuoHBYiZT2Ax2+x1FCR3PRrqp
5t+N92SUb6TcOvapN3HbPaoaVy/N24E88Gu5zc1q0o7tQrmj/bc3nCf7bA9pwPC/arKhu0bdqcYd
AW74DZWGjJ8IXEhwYhaE6pNCQ4VngNRehVKAWznQI0Ae6JUAyTsGDW5DwP59CcX/hJ3JcuNKkkW/
CGaBObAlCc6kJIoaNzClUkJgnsev74PuTdcrs6pavXqDUhKBCPfr9x5/4sJgHoNR15TuuvIuAQX4
D2OMk8nItct9qeBqCA/B+V4pBqfUFXI+WNmxizkyjU90CJAls7vHRjIvt3T5ZOsb3WBssK/gIyAH
Q27J3AJW4kvjfJjoBrV9HEN/6DDL3GKYBzVGnXoV0pUMZyN7Dzn6JnmUDJ6H0yw+Z/s+tw8xLg5E
uWTfZrsUa2bE7L1NL6n3nJqYNKjm+P9oJLFxSWKEmHoD0IkhV9jtvQa1Dz6Ts7etLeNYkZ715EiV
4wbnDENeEZ8DlBm5yvWNGnd58FsyGy0xu2NF9ZzvXuIEp0UPPoop2wGJWrfpGhAHycRN3L4X5UeM
nW4Oznr/RxssbDbnBEeT3X9kup+WW5eU3HLUeGtn+p3DrcovebsazL8xbcpYHgohN2ntm3JLfCaI
2hXi59qonsT0rCYe7YgFIii+RvLDaz/WhCD+WhTmqr6PuEPbtMf1f0qQl6OPCMoY8kCTflauz0wy
X5pV3z6LHMHutZAleQRiR+g6iUeIeq8Z+crAmZ1VqIHlzhkJE+ytYI+hQ899AFlImdc6ei/7B/cT
8E3c3jrYXomzqstT5Ozw3iZcHkX9nJh+zIjWXbnZBXtbMfiLUbDe6iZumGvZXEh1bZLEoBnZt8Nv
x1NTXXqaz4QsoWxcv5y+p0bjtik2mVZs6nBibL83WiqTS1MinqUQNz6t1N4gv9gOpeLEOcV7yZXw
5sVHZi12f84s3ksHpsYjvbBFSHXeSawjA9Y0+1DY/Eb0i9L3I0IqnbRrvynqo6nc2zFWYzzOQ/uY
TH8CbEUN2M+k67bD6O2SCj5S1q/5xjAgglyRw6bK7KdaDm8zAlkZp9wDJGvxEfUtwnXPDDS3CQdr
LmZm05eB9eC0S6jdNvcyrY5unJKO7/xwTDdmnR+J/DCBrcS3Ww2n1C4vXqY2dncikDKUf2NmyZgX
ICD5uFYwE93Jr+0b1H+LUXzBM2dW+9TRDonnBqtuzkj6d1sVBvcG55ShY9vjItfB141dvc8I/YrU
ZIxNvcqYvIwE8n297jtwBbXzapj2T5AZq3g6K5tMTgRiYGAioD+nsfJnEtfMblFz42HTptyPHdEA
72gg7Jc2AkTobFs7ZzLy5spgE3H+JZze0kkurjscGTxu81zf5Ul3m+KPQLxj+HqIUVoSHPhDXFKy
NNDNxMVBtNbTgzkMGBLQ3oubCJpNIpmJBesyGNbUsvjk30WwC+ejJjiHjZH5wjV0QD2Z0g8bxidg
JIP1bP7QBiZNdoo4PzPec8dON6H4FNnfWUjfRlyc8OGO2n2IhlXUzbtMzqeat6lzsYTGyU5oZFqc
+I/Kkp1VnkLxPVM8gk3mvoELAwXMWWhSwsZu6eJhPQ46R58Br8D96ePyRabZNk7sA4WPb8DqMocP
o9b9GdlMG7AwMgdN6HmibG2hMkFc3JcWlh7BVCk1o2c7Hr7Jqu5ncCueQHb0qnQDbXOg42jpYTBy
ecattORNjuVbI5vjCPwm78SlCedN7xLQz89DgzcPwlKFsccj+5AMOzsM9ySRt1OZrUfIRBXBUUEA
pDGTn5EZUtxSnA5iV9CbavrNLtNtFJyr6ikqb5mOn34qGO3kD0p1APcUhIgvJbv1HH1ajXNO8mGd
EDggS76r8okQw3zI6Ea8jm7J6/0gWYpWsTfLeS0DbzfiqUgS85QONY1PSmJXPyeAhyIRLoFnMny2
X1RLQET5LcZAbyw3uTDJuOVLf3QzezqzVI//ZKrzTQgWWtY+JPZro/CENuIczcGhL9q7bb9PPQnO
cP6RnfoYEw15jfgBkdI2CVaNDjVuYILbjk9FVawV9DuZdUhKMLfs19ElEKF044/Cjl5VZDNq2Ic5
sysEyJzABNPq1rsH7jp07zmfJo75HVz1U6ryJydpuPHwNAH50VO1GSl0jOFj6PxJHOay9NNqJyUz
BNfbTjJcawG1V8k9H18n8F1a5gIaKvfhgLnPfLHq02TvR44yi24vsVAKBIOJMUY4Y7aSMN0Y8GmF
TIOI+Dax2AvB7BSpppTvVhU8qizdk4/HmIvUqrdbq2Pe4/TXYDHBA1bwPOabRK36ULzahbOWqEVJ
8KVVtyJ9dbt6awTFMdatjdnwTJe1b9iVX9GHKcv8yHP32fCYZg2cX6H75UR00QU1fGihJia7gUM3
wTSv+oVDF+4SEe1STV0skyFITFucVOq1FNZxaUCd9GIad2KYPPbtzjIYlQXESaePaG43EeqthaTU
R7jvz/kQH7oewMBCJKiCdm/ir3eVM67saPCdAukvKTc95Wnb6bvZeJER/8yx7XtSUuajJ4AaPsC7
2eMNR8JApC5INEyV+TgU5ruwkBiw3ezGtt+nijODSIOGm72uPo1JHUuOO5faAIGe2jTcu0psxty+
hwuKB4SniqOtjMBS6Q0f6LAnPE2t610A7a7tAf8Qpo54qCf+2cTEIjk4ne5P/FlZKtC6mcs5DgpD
C3Jx2lpZi2qgPubExZ/mPuuOu3c0TmfXG/kXehBbCHpjR7ZcX+dF+TTYAR4cDXcz30GQ0G2pDysV
7+EQvECZWUd1dPD08HGWdPFzFRIybB4auzunDCYkY6+wyi516Zx1DpYmopqwsUTyqU4qvGgiPgxo
Qk4wX3SzfVaoieR0dgbgGBGonaH0h64Idk3HoLQxDnE4AIlTp75kpqmoFproI5UxFdB3AElsUHCN
nfoS5fU1cOvFq3sXkhcs7lZDSBnQfXhEkTD77W2dwZ4MtyVDuTFzV7ZlrdzuMSbxWGTTZYrro+Oo
lyiPzrXTrPVm2KGYMXZKF1zqJtRIrCTzOeOuzLp93XINRjdzqoDgwCAl0W5Pu5kB7lTzfg2tLwlq
BcO0c3u14eZ6tPNgZ7Xt2Sa3NuYf4ayQ4zNKluwgDHwVntr0DDxyJjFOPF3518+tldx1aVw70KmF
Z3POi62uRr+ZNQr2BPkyPLr5te7ilXKCbV5CdZ0b+kQL46c1MDVoo/hgJe4fmD+XYaByLPr2bund
bq60m1WhlAx2827YHBxTnqP5WSR0jZS/QuHCflBGRBqn/rtsq36jWSW1sJn/dkkP0zvtkNwtHA5S
lrh1MDK7uRX9mEVfHpEJ9SMRYu1ZJJP+1LjLFWYj78M5urgmcliBx9RwL6amzb7WM8fUoukrN3HI
0JKX5ncjlqCpsF/TJH2IRI052AOtbmiMEIeO9q4gMJlqlbcuc5PIcFd/SEcu5M8ewY9ywiu/vWLC
1dp7GJdm8esGmliTYiF4NjG60kb6f00l7rFlHJQWvbXOe9RXZ8byAr5bLvAzydwq+GOP1Xcjnb0Z
a48ptVGtuiO2UWcVNvItjpMrYt1atUSI3egjTPWdYgTeONpdkv1eBa6e+O0Q36ayYcBDONJt0vNg
7tzgtW1LP8j/mhXT+2YjSMKbYbjptRrgscdzB/EBM4BdUThM8WVwZzII6nN5fKcRLFPhLDmETUUu
eIwxz+Sen8U//WhssrHee9PdKKtHPememupLufdEH+kjcDcQU3Sd6Hnmvy97rP/yaFfHKUZccX51
Yy/wvXpqb9mfGaigvujuBsZd3b43+kTZ6qvxN5o5gInjtuXOiHve1VFV666h8ptnKDBUn49JVO+b
vPdHYtRUdtMvvnbElq9BRs+ZfrGsYyZwb1KjFdgzZ7M9zT2j4DT2obw+Zd6z55HzjfyQhMokXeyT
b1WN+7h+KeqnoAcr+q4piygH9uz0lBoEU8HllGIdTZAC8vVsiX67QBdzvGk4r73syyyfDfsbbivm
DIupYXXrdVDGrnVpHdIQbfM2jqeUltNu052l59uIn1+zH4KI45EfSxcfOiPGsakZTmJogOjvB559
XIw39iJb1MmFfBQZoLdJRGhS2Gjx1HSFWkPFOA4uCqfHOJHBTK7z2QX2eh6fHUonHMwE8BhCMqfb
Nc47ntPN2POYT59uuJ3A3zpfsjrZRrxOam3FmgHMJa+AFRllHPSZgoomNwiKjWrdV4/7r+yj84RY
2bkIG8ri73Ou9Q4R09rEl/gcDvMG/WU/5kxRguDeZdgIOKyzVIMqkVO0azhDQwi8+XmOnGNE5qXu
MUVxfE2z9pDRF+gkr/uTRhGsjOdUew+st34J/DxFs4HIi8ARrdOM2DNw8o7s/XJa61RkJmJfW31N
Q/5e43fQsZqI+iMp1Aca9SlsWn8h4CxWVTxNnfM82oPfkpcCKvTVJuPv6LUEv8wDvZHPF3kMMFNv
s6lGDSuDt6l3/iRc9KvObH8HmjI3FVyHuZn4osZ07pjDmzL4TK9tZ8wYbkgY42wCYnTxaN9Ulz0Y
+JzrWjuWsi03GiFY/BsrTWGwJ1FHSni1eEjz7Axp8tIW1rOG1jB6C1Qm2w59dWnz4pr1zTkO+nVH
xT5pHxqI4SphQvc4iJ+Uo7nvfxIy6Nn8aiHed+7FTuyn1g43jaGh96NvrpQV0SkllwYkrd4opKJv
A9PQMFDOOSplpFxndxNJMZckwvvxIMgC8eptqLG2LpVLTz3fId/EqJRTMR5hPmy90OB2xfFTEO3k
60SPrj0+sJn0OTfNrT4EOB7pbB0YCR3ktkq3z3WBOk6FNKEigKay6u6I5+gY9h6mqXxbtbgPeEGj
IT6ZlniHhfQeMqbuCVQYqvTZXHCqZLQbcPu7CmBLHO4CKtuqcJ40XFtFrHhr9gOdS5GJXZiJg0A3
KAx0vTIZAB6FyLXanbjy++igVRoz4ywcspwt9vxeuPFb4VVPQc2PVDnda+VyhTA8UAzZ5B2r7LWM
ls7D7IJtYFfxrqEFXTrIK8xSkude8j3O2XsXGFRm8330kjU8kWHTNUmxnpLOvMDmENchq29OK19n
zbwObhXuO8hCfpMMH6QWFqPNVub5T5g3qMozUqJGjZvCJBdqYIgAauhBZ2nETq8Qjcyx/JN0Xrvq
a3pzfU5uwhvfssG6jc6CH6jNnQb5s8sS39SM8VqO2WPQkm9Vpvfa6cJ7dHPnxUqy7yRG7QAw0jAs
ZoJvsphlrQ8vBYI2x5s+knNBVu/+xMl4bRsyYW3q7rFEEiRWx8AiioftHoA08/yITN0L1tWzzrCp
Fej1Fk/8dCr4YXBrZ3V/s7RxHTIbQ0gVdrTWGVs07Z6UN6yZmcNNSxERirXXFR9Nm1/D9GtAN22n
+Dh6tFD6UxazECUbgl0kySAwDKk0p15Rxu+jMcPLZO9qCy1QJhk5BzgcerOesHQLLNAeMzfPCA9l
mfiVEe300js1tbjlSGClGt4DL9823lfSgxcLWlKtxaHOmaQjOZnGyJegZuGv6xGc1BD8zvX0HYnd
NGeXBVXf06KZFQtdHiaeOxKFOVG1FpEqu2c92FcNl08NOrpv/mJDrlJO5CzZDG69jXKLyQgeXm14
0DNy/SrQztLyznMDb1HHzZdS+MfbPg5ekybaw1xfD6QlXB6SNl+oF5JeRpwUKd4cK8EkJYEqtWaX
DmJFQfsfnnrxsDDOB4jWCLANn8ZC/3KYDeEyHLk/MlX7HedxFipGFqQxkXgy9nLYTPzhzfFgM4wH
NNWY96xAmdR/CpFuGJbvrOy7srtdEbSftfcORWHbtZeUac+4jF+C19mBmIBOmTHfMfjrFqXTNp/K
ODzCeF9WFpCTVg+J2217FG2QrJSSGPxscWi497qIekO1FFnfGY4NHPGbVgFIjvi0S3FBvq/6YN8v
FGMCoQZ8SpBHaMHcHKW31sxthL8n5iHTdftxYMyka9i8+dWXY3DIM3FEFrhJIR/qBIM8wayknHD2
2YcE410Jo2emyG4xsjaQm4mKPzDQxBTJd6baB1tcDOY0c+D9eKiiucmbycsaa9qubePHmMRyUrwP
XLyjcbK4GELBRNs0TlM0ErmFc1shANutP2X3sLxpbP5QY7uq2LsgsCPJzj0qQ27kFOxtpDwmAWk4
nUb0oBh28jhBvpEWxQ2yWgoCz852HuU91fC57+TJbX/18UfRuxQDdynkcKz0GbuIpAq5s5k85P26
1eKzMJkes5EorPUjMaA3I6LAs1zqFfqRZYOR4d3qiHlH6BJBrhjWyHkUxAq1w1hXByCcjfoMYJAV
Vv/c8PiJtnkO2VhQ8e87xrWAoRSkzMOb/k0tX470Xkx8xM3sTTzTb4T6w+iJhzDH59mV6ySAG+a1
fu8xabChigb6XocbJnGKhHmwMQklu5qzYh3VttSSfUAOwUGK9/TB7zu0SOabcK23Ex4HKxiea+nB
aWCrSvXmhl/QfphNvCak11uxnhMGzhinan6ZxtJ6EUODcUt9G64lcL1m4JMCemFLw3dRwmt+LeSf
eLJmAgfBlokvv17qcnVrjIoqHOVBTesWzENTbYMe/ov4GTEg6Jru625JzQc+FT3CwG4xDwZHABNG
Zh1zdHMZZlT11dNYZFBNu3QejgMBHKhRiLM1g4kzUcY/Yd2cw6In8WICUkoPlVTvpPPCtYELeJag
542IEd6AJG/TQIBRf00pZ21R7lvHXoUzvrZGX5u4dBTKxgiXYU6AbFsEdkL5q1nip9Wyq2MbdxZ+
XcUQ3VIZvGiEEE381a5Bqt7SX7Qo/0j1btPWrMOYrIPQvksStGR06D2YL9bWeLaxhIDHhd0ZsaSh
wxkeT9tKoUKECL5xbD/NkFZIsLc05hQshBEA90BrDa3x5iDQK4buWZ8cBrG4zJ1LOi3gM6+6Rya/
G5scL3PHIHH8OGqPySQu9pJ6hSAFjxufoHzLupHQ4Web487SXF/1+4Bs91D+dvK5Hu7MbnHGNeSC
sClDxIn0M4pguLgeUFHLaBMU+8F4XPyzDY7FuCMH/OEVxXrMahp2xPIH4XnI8QpdTqeo4jKmkUh1
dhREr/xXbf/HguQtI/CkmG/0D11q+H7oL7HAqW5LagHb45nFDsxcP0FXbCoDV3GRbOMsugwQAsb4
tegrrAfU0pJVPQoZCL+xxSPqgWl/UfLJ7TgMsRNipqnwTXnovKxWWUlMOKxV2mMOLtE2I8kVchLA
EDheKCTY4uU7FiNR5y1NvxrnavEJ4ooK21vAS1hByKAsmb7VwJKLZf2HeCEwe5ur7xwXul3BNtMI
4Sa7CXBXhUm51+edxlsit0l2iyTvJrYjIRVLX6JHI/tCSDHTgwipqIv0pNGaTUCUlZxw3B0Ncqri
J2LXAr8cc+E9JDyfyEuzybjYzU7DoK1pQH1Lv9tBsOrVrXX2KvjJ+w/SKzMtvW5dOWjy+TVmEAS8
P/vQXVQLlpS1d6d+rUCJRTd7uBG96Jsbq4dajeRu/ULGyrO4svE9cNP1dKPZL0tQmGJHcu/mOHLQ
oJCip/KeqdeYgA66Kk5LSv+vGR7xtO/cM/pSmcc+hKuFfKTPF2FY0Ndf4OCFqz7Fc90HdBKI3Bw6
gpuMlECJHa9uHqRlr0Vu8OVI3Yd3J33WwpsRXKPF5vHHJgSfvdgcWr0TbtzuxXQ3Jp/PRAdKVHqd
0TckFmuBAN5Th5jCrzCJes49IyFqYWBlxrQZtUcyL/uEskif4l3NV5tavBQfHJf7LHkPayaEQBDK
/o1yzokJKRDW7a5OuTYZhDTdLRk/rek7mA69iYV7P0UvnsJZ3G4zzMXZdFvSVko7xMElJcg/XBLO
wHGfzcTVVywtACI1e3dL3ZLoZA5fADLM6WZ6bwUvZHmWHL6ZdksBZ4oHifbmgTKPDgJbRshQE4xV
uhlmpISR9qb8jDrv7GD3i/G7mcgbUtsJfNnk+hkOnVoq/CjeOs5TVeBM5SqbGbw3i8FKW+W4KG0a
7OlQ2Tv2qK1SZucTxW9xFRPQIzA2Dm7A19bTMSMSp5uh2pU3N/wh5lRjcKaz07GkcWwJumbCrDxF
R205wnFDts96fwvItZIpgpOG5g6858DMBkDOsFHJGys98My487c1XCrrNGPuMkrUFpN1R9sgFlvR
Ifig6bDQaPHGg3SaMK26AGvFvqO9loN1mKa9bbza+nkqn9P0apEFjDPage2U/WC496LXbHgs62so
JaCQozlR6lLig1ucb538HEFruxQpxiGrjrlZbLXxWGB4897daUGcgkTrGXT4U/e3639xfG1NJGKJ
oy4jLcpHhT9yMTukK8OIn83G3phV89LXlu8o9zzGoF4G87hYRngeimx+rx37IQdzweT5rTZtFqsY
nwva39KS0yQXckv7OEYAiwJen1vGB+ZglDDIs8Mmw8zPwJfY11rTNN76c2WGmyniGH+fFMmXjhLw
aUYaDDHH1e1Tivo2Q/rLeO2K5DTnS53yZHoD8dHHMblrVM7LAh6dBl9lMa/oypxfLBS/XsF21f2Q
JWhReNaYCuXze1v+6XWCRPFzQYYxqT9U/9Voh4h5mF0x/LMX1MzD3L9rkgiEDlKivBjUYkBT8TSP
vnCbTVOc++JvjsHHm51Nrd68tKK1f+vn1WSU1yLnebTJXctHgj8uk2iRwHI451zOamYPCQsz+Lwm
5zXLD6MiAJ0d4vHemu9Opz3F7CXJcDd01mc+c7vzuiVGyMorBK8EdtTRRMCyfpzhw2RfE+oY3KoE
a/Y5b7/CkF8uea2oby6GA/5MuxA6DYe9WTtMHKHDPkahjnsLNVg+KAysiWdx0b2HBtdJZNAG0F6x
/8IVKBB2+1xZpW8x5DXYlNVijYimk7loyikX+vey2CPH0KVK1jOx9yv4kPKzjndR8myCcS7QnIV9
q3D65nwSyGWbMMHNgtKhnQhk02jSn+FYcr0Xc0rWhXnsmC9mSwdOWWMBa7eqjHxF9850ctOEhDH4
XRaFt56sJxOzS0Z0CFj90UiwJxJKcNOfOisPqgrOMNOPiXHVtF9hXhsGig7diV5sUTbcIOTveOSU
jjnO02FBLaNviKnHU8hpP+3E/FZ526AM/dp9HFs8Me1WjofUxM0Ub/U6wcH/EnrvQ1NtspIznJ+U
VYhrY+x3seNt1YLAy/HHGu1HbLprPeI0HIa1I0b0UYoW+AoNJ2mNETp1so0TPZSyO/VU7wCqdnNM
7WKxcLQsmKRB46DGGgu10stncFansN2Zkk+9xjrukf0mgYVa5aUTNC7zAP7pNMLn01TrM1vhrF1s
3LglyImioiWPrH9aT9GXrgOy8BCA5FoRbfK0p5B4pW1UlxH9qOyeSpB8iIumZq8L2/GhXeYsRYrx
r5WR5yckuDQmuRXO42E+MSXYdLLeLWVPxmx05si2cP7rDEmcJTrDphr7l6IPWlRFRjN9Dth0l7Io
KI6PU8UZbqiz6tKtqWtHaTq+xY44a4FLVfqGMPWesCvzvBn0No6wBId8Z2ybWruAg/IrbAWqCzYB
O0xrfJqsI9L1CA8vRqZOnEX7nqMUiPgl0g9aiqMh5ZhBTGnsPwPRO6upWA96KVx+YSY5aAhWTLv1
OfYLYpsDX2lw4x1T3VNXcZ9Pxt+qGh4gauMjpFSOxqdsklBiiKSB8z+Fqea7Zrlu4BmGw0PKo2WF
2oHK6BjBL+G42ge6PFrBGaDufgoPhGmZCOiAGtu1pU1PxiC2be6taz64KqNLE2FS+IHj7pyAes77
YyTjzxyjY+HISQume5HpgnGa8QdFeaDdgKwyUDEdA2tvEFDKhewaHHKGDqHpaSetiwirl5N29JKw
/kjp/E51IYNr75r5rUuKmI0JVvAK663/I4rKhXUqXMUAgLe4FLG+tkAdPmRzlFJxWXwwHsshOQsL
JinphBowKRvcZ15u63T6q3Ny3vOe2H8r5gsko7/SneGsSuvQJzzpWs96xFgt8/o4jpKVrmmsJIo0
z7kSG8MXZ0cWA1+N/BaFNUVFVk82VlvcOu2M4zyO6gFzch/cZS6yXdstWK08jjklhrq4uLoZMWZT
wbpjOSZG/iA6Tm0FVx/Q784R3KIeCYatmUUA+OIF/WzkTb0tDSN8EEivqyCqtGBJoHsb5YbWziKD
+MG+yRwDymijwYxxdYs0uS2q9FrqFThwOCNEVKvyEWD5SWdVkafwEoUOgYzk14051raNbJ11mRn9
H5m1gFo1M5yusix7G2NA2uzNiLkW9moS1mU4hYBvaBjggs64DWwzsDHqm+EeH0IGTqptptvoTeOO
aGN2q5quOxXEZh+0TF9mbCVXftxU4krtRHACcIivtfmMHaZQx7pKo4vuTEAYyA3nW0Pxu8pjGW7g
HZXPVW7yGdk1HuE8sJ/4iWH5JfCiiIV5y4C1t4bHYByXy7DARUmKg41LU18wtoy72flGUXX7lSst
hwQQIGkLlSDBLYEmiyOybsfoGGsCQGwRFuE9thFfeSyYMv4fDK006TYrWb6RWlEbK+uC3SgL5q2R
J66hxfqEebKym9JaySijKT2O/t6+mErToEGCZmbNVsxV2AUtXNXWa1rwNRLeP0ZZ5b6VCIveqpFZ
fOBjCO8iKCXbKt2UfIUrqeE90bjtdhKe1vuhl6GJAkp2zpYyyC71ebKrWa/zmKD4/pfdOMa/rWux
WMfg6egQriH43z/WMVg6Wb5kZj+HNQbvucuD2cTN36nrDiErm7203romnhUilU2bbbNGwewh+oSb
BGjtxaV2EA11NHuP27F8hp35OmJ3+8+LPf59nYYlMHct6y0cwzKNf3yPWR7MbtHDzA9a1Ihg8AiY
cUqxuRoDJQyb/7JN499WltiC9KfpmYJV4rqp/2MNVTBn4Sw5gTY4qdRTyjl8yMUyvMbYsf3PP5lu
/XNxx/JnmbquC9cxTd3+x8qSXExuRvCS7bZRtyR4yFdvi5k4QA7smhcRcha7DJNtZixbhfOeRJut
sX9GRZlvuYvmXHRy7ehF+F9+Cdayo+Rfdpj873fmejwYCPvs8f7XlSLmLOXgph59YU2XTh3ZNty6
bHJyKBy7Oj9EaS/PYSkxhcykaOeGTX2llcpH9mi15IZb+7PQ7Oyt16Ps5FSR/lW6Y09LE4PSNnGF
C9lkflzO2UehN5CIFroIfj7XNnpmAMbAkiixkJPYJWRWwAWg4Yz6IheofT7VzbGd+PztDoMdIplx
TwUSbIehI7MSgrYOFkjpMIYcmKw+CsODk6TZQbwHW0kZkUbj3kWc2hZGWv+wzZChN4MHzBv/+RP+
t2eXW0s40qXEcQz+lH88uzoeDNG6rN/KCoiYjNpB/LS3JA1JvOIF+i87ynTj3z+1f/njln/+/xbB
mMtPk0Ro0mDxJUyrfIB2x7lOjIz5dvXEUU+EfbglMCNMU3INWRZe75zRy3/+ubHx/eu3AilIWIZr
L9MlXiTX+McDVECZ7KpOBJtOw0Q40/mirHcL8lfrDlMR7cHS49J9GvUH4nK7qWU4TD0Ha4ZVXKS1
vmOVAmMmZZdTqbaXBKnZZLqma3/AUONMOsj6QSByJqTVSuX5XTGvS2b5hMSGFBXqGgesOmPXsM7P
aWIs9XDbs3voy+7qV3NiXyXtIfh7Lp5f233Rp3NtXYb4BzyMLxusFcHA2AY5SYPBdJrtcVyVQ8t2
DNA+ims5brDoQlDITxWUZ6W2coL9/GZSi9XEJjSyqZH5aJK1IPbgUlgUhDHqnl3LyS0wei7GDjgC
f5tGfd2SR2J3BoQqvk+2ZuU01Ln0pbdbEsxIODrT0HA6s9SH5SWlpp1c7BlZk5wt+JvFzD3bsx8v
+klw2nBJVcvW3WMityFo+eRJaJdRvUXwwWeb2nQp6REKUqauU/mQgsPp6lNNfafQ+VzT27kekyD9
e9TeF9gEOy5Q/bU7hcvGar9dDAYI8X5KsLqjzV2irpHR71SKYRnLY0/EE52PTaN/58a4AUN8nDza
tppA5rAPOmfNkgMy1uqUob1Swm7gF/3vYCNvXlz9s2r/lr2z7R2eF+M5R5UGeUDe9aWh/pkLm6XR
7yYPj86GkYnYhY0lXhpPjoz8rHkmUbpWzbXwXqS3TavHWP+rvBkny0Vi3lXHjpFai9XFYHrfB8Ol
ma6N+6vBJTMFVux9hPVXVL7rfU75b2ZMyLDWJqRd0aQOwcfBUqj8DJZ7wJ0OKcSrkDLykIzPl2la
u57EGHH8Tb8sg6B3BbjpV+jiCB8e+pGhoJibDIis5Glq8INR9GNCj3c9hV/xhL+G7XyfNkQc7FYb
1gxfljRM/VkvbYfcjb2vOfBYQLfAPKObJuuMh/I6ud+Y1AcWu4EXDLS9sHTWqJLQrcttA2OcRY4b
KgDEXZzT3a5OX9wZAzEudTeqmJhRl3khq6rYytrN0HSm33zEH1nmD531PtXP2myuh9H2dRFfHKs/
Nu6HHRIkyfd9uDgK2azL4BnrXlG+dazvbZmzOOX/EHYey41j2Rb9IkTgwmMqWtCTIiVKE4QoA+89
vv4t5JtUZVdkDqo7orM6ZQjce8zea4uZN5CxRmItkWotig+Wv0pezyoz3jeBsmJzt2Q0P/VJfzl2
NfHb/fXr+FGJU7EBzmiW/fvxE/aKr2nIqJA1ZbjPslkpELKfi4HaVwBcS5k/dLzc/T1ubCYUJzRe
Tz0uBMgUM6OUliF0CQSViV/P0oppZh2FZzkTZy1XqwUKvK1VgulsrF9aJXem1mR+K18N/oQgyRis
HAyF6zm8KsEjpJN2Af325obU4nnXn/WmegorGZUP/fUExXgphpTc1hyyConEMugtU6O5JTWFSTKD
erXm/x/wsnqlfFa0ah0O/Mtxnq9qGih9SllXSQdSb23RLSPsoZ6yMBg/wPFh6YnQBfzBo/O/KwE6
T33VSIgor5705jGQjjmlrFXjPWeod1PzaFdkJe0Dtp0ZXmaW2S7rQlICAARBUmGYK01P/qQ4sHun
r34gHK4rH39bMe5MvbgmFt/2UH6WSbhPUma9QG21rkSTyl5LNas3JmlAYj40HRFipm/7yt9FKod/
Rt5B5vP0mM8RBKZ4iC9ylDy1RPJWPcQTTyyCXkG9ibespoOOsrdoktbazcbNalrzBqIg5luQ1Epm
rUZSAyadlFJbt7IRb2kbOzXDJVOtSAmjdWvpKYxLblRwdMO5kryauUUWCqPf7H0YwKFYr4by5Vou
z7JjAxINUzqIbiVlH3r1EhfVtulxMFGpGejWBzDMRsTujzXOUAWnUibtuC0Y0BC+EiiAXC5J3Tud
huK5Xrak44DHLaFIq2AZIPun3C/ZsCXTcCa8O/FET7BKV7EAnSYm0DBxSkxX4uiq09j4OTs4NBtW
W25JXGQI18HSalasz3p5QNu7Zppm8S902sT5CueBeZShUdXmL6aRBcm+rg3Apk5mfHfEA48c+PWr
OTwEH65c3kKgzUO3Ibh8YQusYCufzYsFiT9NPvMW3Dkt/4hZHhz4ohi+bIqMDLeoOX6YsKIlQr9i
Jm+DfuT7lvRtgmmaCSJ2QfKGhmhnD5+gjaNhlcu8Y9ikXQ1zITsbG4fTswpPX/XP2E5nccjaHstK
l7DRx0+VYTsy8Q0APZwu+8r/GUiYUTs+8aspJ7uIhf+sI/GELO1iA031SVQw1cVV1b4D6TBalxGC
gD3ptOGssD1k/C9V2xRGh+fUTOiicq4Hbw0JAhhsKwW49pEaQu4vAUsDDThm/pNrP4MujgG+0No1
jjUQAU9a9CiJhtgZJWbYVBy5/NmFHNpF9GBOPBcgKOw2vQfAhUeqoRLwDpWsOu0linlmV7gR6+sY
hwQBBOS5n9pCvQ/SLnLJELjmYiW5MC3rnW++9QNqjXJmGB9QR2bJhIXuPkmXQoNfDNsCL6Z9xlNT
ZOfSiKF5L03+9hE/AHKRgWMEeN9TU+ozIyzQ46B0JgTDcLHu3s1+1cTjctBwuo6XMfMIZohxfrwN
WjmvsSEg5af3QhNWuzMpwx2Fgr4appVQxWRKLwgr6Jdp9Sx9DyaKfHUuEtS/wWNER9yz7BLWlrdu
eljq4M4GwSfnl3u9OA/5IaTGQxqs1UyFe8z9rxhj1m44niV73IUmduh5WackTNg81EzeB7tcJSBP
/L+Urr/1f/9/c1hiantskuPU39Ibh1JCalZMvngjFVtYVSCkJKLHtTKSnT9Xyab1n1+Msa2wbGFr
ivZbwS4NVphFow8rKtQd4lCOXavujH4eSS85zTWFS6ielcYJqbEkDXtez3RPzWEmcVOwsYrRtnMB
Y3QrxNrMLKeiMgG+L9UFv/dXSXmRFYf8qloZZnbpQB1cK1gC05K57UMWZKQODxueH+ockSYrkAq4
0dGZTygh96n0bMx/zH444KWNmjgEfdnqrkfLAR9NTw8ZBj22mhX/3bZOy0A+pQ6pU3np8TdBqURU
/ZDqg1bFLLXJPy5VpjHdk14dJWEu1eDhohad5ESRks6mFYg56RMaeRMPTk0JouAbSA3xpMvLyVWU
T+MnppWT/6GYCCA6gH5fW/Jzoe3sT5x7bfwoCWCU+3TelvY8a05Dxh0XTy6BszXs1BZq5sjAl38p
nvx6iCJCw6Ry2QrG4xPRuvc3JlqEDpBOV7FlnSTtLl6YJx8hp4XDNwFD4DpiWCGvVfULU7qZNj6b
dOd+uk68t7y3FwVkCvNY4V8Nuh8DM0JGIau671aSb6WQ5GVfu4WaecnQ4XSGum5Ua9OnezRkvjoe
sLPRyD4gaIBqVNme2Fs5DIkVIvSI56JhtBjvlW6Z9WepN9d582IhS/X0HuPRGj9n0lgLU7CPNx2U
oSVQcivXgXEQSe9TBo4YYeaesZV0RlDsuinwrXE+2FS3U7k8Wb3gtePzyJrbr5xBQ+PtHkC5sO1E
s54rwdkv3iMKt9g8ZNJWROvGf9fYRZoZCUPWO0DsmSYLp9LNi59e8mFAhJDSl7pOXh3zvLzxiUwJ
6TG9zrmz6y3leslv3ALAXBsnF8UDzKXU3NnfMRq6LEJP4S9g9GEMgxIk88My8ePaavrLBGjLXwUL
0VHDvwP63IrwTHFsk75MrW1fQgW94XC0CXaoeomQolsNuI2WXF2HSC7yYpMbqOY6ksM8Soom66H5
SJH+pAvclz2fseFvG1nM6spzDCjcRoeaSAUc4Mc/zKDAe11iA/8PVV6JxogUDU1CMhO/Kaaj0Z/Q
bdGQC0APuGjjgcyOnvclPDKw4Hl7StRnijbZ+7GipU7JqbZgZ6uLPb6NiBkEEzmMkZY8l2UnxeCv
6l+q9gVh0DEwlOiag4PoiU3RU4BWSHgZtYB7t6tqrhFBHsIngCfoNfo+q1lxA8YlnXw0tlWMeB9Z
cVc6gbkOID/KFctikriYCgIGXdmsxGSXM+W1rX2UN7wxdOvpF7i+GQ69clh47kpGx+SHsOUymu5T
D8ZKpwBMiUXT7In0ijAiv/bFcxK3s155axKocg03kXCPJZaPFIOdztOqIxtBQOwhmtOjj1E+adAc
XBUbSsM9iPBqWXUflDZtdRRA4dllJAC78H5N4TtpdTXR+dMYZnh5BXogCbIA4DRw0aZ77KrLBLgU
tPAqVnFPY5XVLrsG40JgzCNdXin5o7QikDCCfSyKT0LgQFXc/OQtik6KDcUhMqmj6rUPuEAvwRrg
W0I3CsZJTnCBqzuKr6614LK9mekne3loXFgeI3QNHtjQApNkyZCbyXTZwSXfeko0oT9RF3xoOVj/
fsvAFS1OMGtlpFL+TaVMIR/HT7AErLz6MLC2zEzUk/LHIB6CYspu9lFA6sJG9OcxxWCi8OCKTSzF
6zIp3gyNlcCoOX7f393iV5DGLejLQyyuk3YT6eEC5ypyA+aOA3sjDf0Ga1HFw3qklOgifiqFX1Jb
gLFZ5tFBj8STLHhw9Y7Xz5pH0IX4cTz5oBqs28qrj2YcDbQZr9Juq4ApDkbM9ktfehs8DNhZRMUd
E2/yNYRbVO0B75yO+mPWe9sCvjGpXIyZ/XQFWhTJuwFzxUkkojIO0njL0WYE2gXsiws3oCpGWhbV
8RuEC4DNIUuXhVOy5x8Mfx8rrOUD2LQ5OWzeW9jHa4quqnkCH8fYiBUI4NClrnibIlcWUIxHlEmG
dstplvzUsYiGqeiZ0m4/4vb34rXZwV4Q4DAOeJiZQOI0ATFTtDBFGsh6VoAE7TPBcB0AldBcdhIu
vVn4RXYS9GDKW5PDCu0orbLo6NR64JTh0aXpllhkKd5n29aboLyHkyHZ9CnGrtokNIg/LV9Za4hW
YlhloaDqHWGWof+JqJOZOfLOXrxqDWl6lhmfbpLPdOVs6vBQunLZV1R9mr1KB2WSlnENzTwbp1jG
rYbUUbAWU8DoyuaygGFIwklzqZBZyjSXef1dFDcfE0nhfyuevbbGks3om0jIj7hK8g+Y5s441dEd
yVLXNHBEGEZQn6J7IVww63CZEUtKyTprXWJNHQFXxes2XHGu/9Uni7Z6NqsrwdjIDfYBn5cmq+fG
zglf/oR1DDlemfN8pOEmgBlZMjOIo9eWTYQPVj/gCTAw5AyEgaTFa9veVH7fo2rj28N9CO/U+9Gs
beD+YHxL4g8ffe6IlLsRXHThzaOzqtG/c4uYDAMiEzZO09FknYkFQ2h5yTL12sfAvBIoTlORCauA
UTaX74eAk0LduYjdk2hx5ALyifNDxSeiWAwuPahYU62x8zPmLAGakgBqEZvkVg0c4HNrLAFPkhw7
5WRaJ6SD5qlHWt8hvrfNRd2DiUzwI9MLhZqykcGRk1FRUf/QFWu92PjhMBuNq431dTK3qQNjQqRA
Cz0hk0d6TeQGO245Nek8EN0iyzcG87tI89mn909kZDNkx+iHJnO4NI28sKJdo3/aIZwu+n7MfSJ6
IDquKqJ8s+04XA3K+Ko+yHG4bLJ6y0LPGXwLVQWuTRE4RSQ93DbgrO4+uqz9UkhZsNAkaF8lqoUR
6EHBI+2dSrEPuBD6wWHPTgOSPll+CUnPtB5dlC+YGCzGrz/X1r/2NP/YYPyq4zVZZ2dkCVZHQv33
LNzrPREnIV5/PMsmEletXZYDtgUXE9KjjANpYVuIIcuG7E4FbdtOWGdGz8lXkocCFmUIFEICDAkG
n82eb7qLv3yD/zUh5xyziauXiUL/fURlBEHiMTflG0yGdIHQVJt5dRTxy+21RS0iDMG9bIujCGUa
tMKq1IXAlAc710eiUoTgjf/8Hf3XzEwzZJOj0zYES7B//8YCr23NKoARhS9NPgiqxpMsF8ZL2/YI
TDpbA6QWDe3wl1+EOq0CfvukdJVNOJoLU1GE+VvHFUuBqLSE+Jm+tMpnxYfq27q9tMsMQgRrV7eP
bmHXJUTKvFsEUiTNRjs0AK27yjki1xZoG84Ms6hN6hkOWz3rh6UUMlm0ZQuvVVUOq1ZTC1SklPd+
FCJhlazumPoKki1Lq7ZV13LG+xHwtNqUyBIIyV3Kp/3tdEQo3YibOtWK9xyFFKHExXdVGBDx+mkh
NwzDQsmT+C9bz993OdPzq2MCJJFa4/fCDPPfn0bW0M4xFbPnwndH0AFwnnzffBiSXj2HGvVt3qf0
TFWtrcIeOlIkAEyjfGLlJbXl7c+Phv1fn5EmdJtlsaKYtjw1sv/YLOHssPTQq+z5CKx1dNUng6qk
oBrVXaKgQXAbhaMb3UOKyQe2dKd0OUT7ejN645FX8S6aYBkFDWTqZlmQyYBcck0UPHOdM4rDqyWn
S80duZGbN71/Finm7RBFrL6slCmbiGkPfRoRnjP65XmTF0RbevMCfUygDEsWx9j9cC6RPCLECGJV
YqSC+4fUSw56mFNV9gx9f2nWzzXAowhfSqHkC53WJ4vPpj23uuzYxteaBTzCcN5IHD7iUjQndJ8b
2V1XE1qUiatvH3ssAi1bT6rPkDCLEDtQfGrSrcjkBYlubXcKsJr0Wb7oJWtu5I2juluZTW4AnNEw
w32TOb6xxbTDVdFklG7KrJcp2zGcC4WRMxf4xcbE3KrtLmPb/udP8reN5K/H6p8f5PTn//ggLeAU
7EFRVGHH17AamMoKDKSBkS5KyUYCK9f9ZaDyH8eKrgG0nNaBhs6J/O+vqPWFNrQBX1Gx5G6fgoK4
6V3cbVUrAD9U5YzWvEi7/PnHnJ7H388UTn3TMgwdK+fvh+sQSdlgdbE9H0RDVGtmNpcwpPKQw7r5
yxTH+vOXUn+b4SiWAfCviuy5DUJNSMTpilHej2r8UTO1nXs6JswwHD/+/AP+5/mgWZbM9WGqKvKB
f/9aZeKpLXa6xC+mCq4fGYwP4PZw0edpvJA0wnS0rgi3rdlTM5CQPe+rHuaJasM+iNv6b8eV/b8f
s4JYwhCmbbPB4j9++37wJNpWPdFMe25Z0VJrSmwfod8AZ/800dGFTQKoFRtMVtff1VCScuDt2thY
GDRsbqstNI8FV0MPapaMfVrtQIzCJJVCl9iEYMbajv1k6oFirYls87BAJ/DQYAmNwCKST4F3bNQb
GCCfhgG7w9UB0npTYlb7aYxiRlAjZJlsZfjV3E7KZSdn4CIwILK4EphpJfUK3J4T5VCyhu04/quG
Bgf/O6hOh5La7hQ2yZgCjYJMrGuEiZf4xFUrKO5ofFCcheUdYxWUfkQyAFblBEO/jzmcZWMFGjO1
SXlT9m05gf5f5anOU9y1T3pyn9xNbjKtr0jawi48gfp0IJ1kI+TsiMNPLddZb1KhkTgoQdoxoKmp
/SmwfRabw1JMfYONrlAnngkLGkZW0DchBDwGglXrrixNWgaWtGjcb3WKTIUllXR8fQuDSQ86iYw1
2eW6DaV5z5IgL981v+fA9OeB2zvSuNVZ2iqEkbX1UQFCspAh6WiuiRUJLX/J2JhMP8CZSMD1zJrZ
oe8uy6hYhy7tiqouPPAWfZB8yTjjFHMns3CVx/IlC2VsV8gELLy8E58M5ylgmGAhOhBfQ81wu07O
adEfFTHwEUUTHzNBX0xAynVksxx8pK29JnsGO0ayq2R/mcUFeXMdP6Z5SmTruY7rjxh9cZEG87IN
F4ie/QaXEJ+xgqexTpqDXB/qrnZsg5NJmrc+70l6Ryo4VxqsrAlJTfyqVEtZhoOYxxhA8LJi+4ZR
SRxtuZZ4BCONjymH9jXpgMHJ/eVtn97mf59n09tFWcYVbOroKv/9dvng1eXY5cOxQgkJgTLUCC3N
YuFHKs6wASNmHlTa3ZSK4Cfu/fAahiVuI6XKqzXq9snjUYty/+fv6jf5EncJ35StGoZp6hqKqd9P
9kH3olzLpLkXWB1WjVqCPJt373/+KmKqO//nZ//Hl5kO4H9cWZjqRgrDnA/GQPkPkTZFUlJKSROt
ek34l1I2srM5qO7OkCULYhWbGjmJvYdtBspfhFH/e68oKko5XbVNWZEN87dTd+h0PWtaPgcBZ4Se
EsMVyVoVY7W6lF///IMr+u8yrOk3zMVpK4qu8BV1c9Lv/eNHx/42JKiu3Lk8qdaDcTn6t7iEI8nb
zNhQilh/NY5GHiAO5OKpQYOl6G+0ORuDQzMZIFe4Tg0uhvQLJYQ2iMDUS5wpqtRL+3VukWwJZ82I
QP5B48mgZro+NrSRVT8IfPnJCnC1Z7s6OMWAUARGsRx2vsccSmQLXwOgGShbY0JdskwHkTNozxne
g8pnowk5u2A7wBvPgORbSPuuslcE0THZsUG9QG5ichIhI5U1JrIufAlMduqkzEeUw+pZU+6+TxYn
sAnb+IkYP9YxNp9WvhUu2ya21XbM/epeMpb1narOanlVFOWmYspZyP7cyNAWZBNVDzbwzo1vBqoV
qA0zU2xdNoADBnSJC8ZLmeiAjw2BvIaYipg1eWhoFEA8Wk87eJ9c9Yq+gyK7K0ioVXG1xJPlOYfS
eqOBkxn1xgys/UGgqU1plWGTBMQYzlGxC3kjcG4KWSxbFr+wimAYV7NYpdhK5UVaWY6KFSjEFpD7
G1nfBdm3xZw6AT7nMXcvwYf3u9z7EPFNQBqtjY8uqnGuvEIbL7p9bBR8tCqzZ/Yq6s0gg6Ewul0v
Ln39k6s3K+wYzEZg1sUqp+LTh1mK/kULPyccd8R228ZfYaYYGVlLVAhNVAML05SlebQScL2kxljk
xzXosNQA9yAeF8+TiGW5p6yvdWmpAgtze4bOJktFbZla/RpcBYjujwFkh/5oCT0dUFk0yiFNuEBk
xnLTZHgZ8nstxMX37oG9r2VkSwUGT6yQjGbBk/6MyUnlY7UGmI39Z5Geo9KfAt0gd70rpgoLQiFB
dol2gnElWHbUTl+x/516H1rHExZxf6503WHeaIQVdwJuaKSKMj+yhWa37j8G6+b25HESdtzisBw4
wrEE6nwHzGDm0nBk7A+QkgIj/VbwJbkTzfNRy6+xsUFtnRvnoD3q0EciY4aBguhK1JtPiVtwDTwC
BCPDp0CBnT5X4q3n2vBN0CIfqnGz2a0kyDu4g0aolmENHTlfsIWTQuiJrFXIvoGHtzXzo8ygCjoQ
5A8BrHfVZIuwfTGZu1vPMSZdPKgWs2kt2CfVe5nfMEGWBn8dDpbJjVTpOTlJVPfM1a0E2z4pJtnP
UKwV/UAcmQyLIBicnje9Kh9uxyoEEtOP7x0ynzUGSjiAhSFQAu+UlC+SjuwpVOF94zqfRmd8WhpT
xvg+jDLnPwHWJPFFLM8tved/5sFdVtkHPrzQWquUoBDsTQKLlNhlw8kMw95laNFCfW/GzwPXdowv
qetemywjf/WIw3duNO0s69pFq26rZIkYlNmrS18IkJCIlfigNMVmLC4WDrvO3ucUEEWfLHNc08Yd
D07KfVDwpqX6hgk+yOFrAALHxdCIzGPQUiiCD01599HZKxmgApYHU3AuQqqyHpxO2SrBHmXrrI1p
xeCksXePE1Rz5bpQHxnKA1cyZkoOsDWF7KNgIJuWlM+VvJD1h6YezMlTHS7Y08cAOGoddSxblows
ppyBvfRK8qjO3YyLS6/eZYyTpv9SMUzF7cbcYjU0PxH7On8KR+FgdBNyat7CauQEgZLtPkX1j8tz
05BLno8vHgLCyc0f7Wtvp5LaFGMnVFPyvlbkyMjWweTvyDDaSx+y4aisBcrXxMSPdbS1AFEc652h
ZV58Kqy7yjaA4tOTSCqXGoal7ZOLr1+VBJ+lEwhtE1SnCPtgi1a/qeytjp3AFktTIbuZ1xUBSEci
qPTWhj8qmaUF4js8/nn/3PcHWCYA9tgemHOjPUGRgBPIsQtpGTrpTBBSUGUYOyBZIhrd5C3GrgAv
GzsurRyXdVs7rYxXnCS0PtCQE5CKR4pkc1Ewx4XyNowfiCsXuKG+NRZvrX8eu+4wylC3CdxsJscm
dmFtYobLJOjZjwpHEdUhU2jEkyyKbekmDOXWIGzyqUBNFjiueeeJV/xhhpZn1mvXEhR4yWLIlzBs
tTzEvDOj+CG2dF+qMOJ69t8F71yu7+Uabq+CfgpTt/CjrTpiKxF0OgWm54isT6w3QRlfRZ+sO73a
EEad8bdT1TzxMcgt424MgZ7yUjEWMVE1KfW+mfQ+H2DNceppKXV7BkN7CgN50gwii7zNwIwwIznQ
5s/5IPnWINnNR9vkH6YfbOml1Zg8zJa9KRGlFQ81nmDOerX7Ufudp38GPcljZ+HSEzgWQg/dJ5xe
WalQ7TRueKyrWSmwmaJuRbvuJTuZNgOdkZY4XRXMNNRHfR0ubOkzre+iBjcBxIs+qaXoDtsfuVdJ
2sJDxC2EQCZGsGY87Iw12UmaCoOB4ChWThZ35SB9SWLVKLjiL1FFWliAu/pMXvc4ro38JRJHnTdW
NVAjbqWpLCquvfxqoqlsvYM+IN6Lx6Prfblc9qpegYRCeudWJ1WkNH28HSCxZCZqoiGhgdNCgXLO
UR91suONF0/jHkO/3LzWRrUwGPbjRGcxrJ4Gdbh10L3l98G7VuQU5UZ9MlmC5Mq48cJ3kecOdzqa
PwCPtgArSSCmLzi5rBI3bK5FW8WN9m1GP+emzXcIn6jO1blOZmZhg9dqr5JwT01CD5MiSIL8jykX
cHGD0kaH1BKC9OxWpXwaAOHFrL+BhACqTE5ahe5yE3JuFAFqagk4CT5YtDLuB7ZEGBc/JMmX7EiN
txpRtRWwnCOcnlUasSX2osP/GrHbfiVilUt+5eNa5djVvDc7PwMnWnYKXG6IIj67GD/m0HA/OnIF
Kg32ahVsau8WZ5AqOFZoBp1EXM20hM+XzULoN2XKgqsEhd9K6zzDVcsdFlXUf9FrYB509sk1uJzc
XEeKg2bRde+99lDjfZnRFHdcSGISRyx8qvBoEjgC+UrFVW8xY9OEgU1f4+xC9DkP4rsYNpr/mBiH
IEu3gzrX9NaRzbUq3TtE8D59tmDYG2WUgxqkmHRRY27JqXVxq22QALdIy7WhwNpItBFiKJTIozcP
cWsBBjMpe4nNRn/XUqMG40KPtzZ98jBADmCFlCAoNHpS3JFte4Q7oEcZinnYcqZIJ8367Fh8B/iQ
FBQf/YIRL74sKFg5+q0WB+ObF7wF0o/EpjVMXgf7mBYnvf52y1vgnZrpjeI+FBUbKrQIZBBCoPts
baeyD+qImhM3pZnNU7TLFgxFud+FwQ97mUI4WbFz+4I3yhk42HUi44EEBpQ/6J0lrp3Qx13uuKG7
aDHtRo3+gXfuKQq+VfziuOrVlauka0LMoEVjj++9tTp8o+rejnV6Dj1A6CLsXkTWIddntYbCCSEc
Kh8uwYVXrsFJsnMeQY19jfnaiDpn8Oqdwl05iVwq7J/R5DZSoh25RGWCRgbZhv/VxLckvrJBdPMp
sfEU9Oj19Rfmb9u0iF8i6gx7wjK1cAKMV294DotbWj779TmK3gclI1F7XMQyRa/uLtHJjrh/2bvB
h2YwwCpUyO/JMK5YclFIKwusKIta4e/KPvIE/mIsL3IOHObIREEAVGYgH0hZjkxyMtoHd7TFyOqB
M3QAPOFxlPiN9QZILfa4wO92Iq62ceXI7Rrap2qf3Y6QntER5MmXg3UwqM5kH1RBXB0jP+VHvfQk
yyUMyeX+M7YOSvBR+zxmzZVAPfwHH638Ufn5smggIMAAUQ3/MtKV1QUiLmGj+L3o1ntHZq8k81Ej
T74InbNgGSmnMEfWN8/Q6R04BXr2cdVSQJ2zV9hnS51h9qlCiWKCTscj+hHlV9WaSeSDqXNAWKaC
UBkmFkkSHB46OHmmbcYsfvjFS2V+4V8K8G7qs0jZ2t2BPN/CfQYL4ollH9bzxNgFEzl/F/JU5uO6
QzaKLVWPUb3cZWOnINd1P2J5m0Y7bHG8Qn5LymD12hibur6P5oXoIPwdU3YU6no1ewsA0cpvVnur
ihMYrdx8DOlzHB11YMYcbJyF0gtoP25OvXnKkpOiXQ2Bbn7Dq4H5Aq2AG62mQdmo4PXeWcVasxwZ
K2PSL2Ltzecdka8YuzsYrznBWpfAfJSDUyG08ewVIcJAmWV1U0/ZaYRUMYJC60Od7uOUh5UcvxL7
E+v3GFldaZ4HhGTKymWiqBAoPrE1AK3yDOWDPu+qF7WcF4GTQ2skj71zX9Vm5RYHxChqd4oQ046n
imFigv1fnnUQy41vRX2LY3QLpMABgv7myVYZBqvIBjjKaiZXSjqH10IUNW3OMyasKfWwosnfSySj
pvNUO4J+za58SQSI+fAkwCEUiHyJiM15vnV2zyQ3LLSUzEPYgHsL0jsHbL/Hp4uHBI32WB+Q5Llc
55PLAJHfuCZLr9OIlnptlDVTsxQpRYem78cPCH//YO74VKI/tOw3xktoWd5qd+MllJFgzlY10oZw
pTZcSk9V9GLU+/Jk5ntepCHfVdzn5UZS+Apzv6JM2UbVhi5clQi3czigpdcQnHUmfbndQh8Pbvku
D2/0eLRFjUrO9Nbon1EMuPqhjdYm6u9oUyHTGc+VjITggbKdS71/78ZnoV7VYDNRhNNtHr+PAN4w
JX03PEnEusALAnZGoKlo36hNB8tBBJC35yrcWGJCdXMfEj9Bd7d08aL492gy+DgDVYeq0/gD8F8g
7RrXbvTqtbcsnhaWWwX+fRu/kBwT+1zE66acDfozGR15jeJqNzYv5SQ7W1oZyrFfimo+KQBu3XwE
IoBLXzVQId1tkkzcnUYwkLYsYPvPdWz+RPP6yVyLRqaZJKZCt33lBe9QZJK+7hkzowFaPzkHzsTC
9ADe8AH7O0PcTSACLHCiVWhdveLZCpYoIWSxzgcQOwsJrU+6kZUzgROYWqB6wqhYmQqqSFgET81N
m8boiyEg7SlaK4RSiQiLA3H0xjnpSJhllBSDyFZmFnAWTpUYvEQ/iyjX2vyAFBSsW5tsXcbc8QJB
HhXdUDrETujWAVXqwE2YjMdy6uyiVwvYHdSNvn+WxxXNU67Muu4pwZHC9D6w+d3e3KxY6OJiZ3NK
MwM4XFyflXQV6JiIdh7wKGmTdswAvG2lfTFbFO2HhFalth+1+hKmM7vaUrRm9luf/SIaKDHiENJv
+biI8aC1aHeCBMUkABEOl+7FDG9lS0FCj3lEUFFoxAbBYac9aPstZzlrzakUlaUzfb5l7PPilqV7
1TtK8cHFBmdHXxgaeXkXIRDZfGoWnlL5UEgnCnQ/+NbclR0fQo9h+8aTrtBLaiOci475pLcLrUWI
+6juXvFsYHKac9SjkyGtq2mXRjMxwkcCftRKWhT6a0tHNywITECr42m8/yxIZwELgQgIUbdlQses
LymdhNeXjzb0v+XimX1KlbwQq2ENk460IvMOYXYEQXbBG0Bp0TGPNviHh6OoN1Yz9xo6+7XfgU7O
n7CugIgmkpoOEtXWKicShSoPw2+yLtxX3eNRWmh071jr0Z3LO0+sVDgidMsaGsUnhYjTz1I9ZPLA
QH5GWF751oGOfqqrE1ZBclahvHTxtrfWWFJKppTonOJNVy368iWNv2zoAjQFPab2pW9vuMfZecxA
4hrDWdOuLDLS4U5FKSx8uXeUfGRi291aVp3AvvXwA5Wd3n3AYTIyQdosEhPMpOyD8n0S7Tt6S9RV
hnI17OuQgcbYYI1vpXeh7fTgpmXP3BxJsA75gbg7yr3dPtQRwhX8pWadS8cqOOrFucjRzFFXLnv8
U9Rq5aykKDKbmd88B9BPLGMTIlOqZom5N8tNbu4tm/G/uU2Tux4tBTcYAFHGk0AGrbUFoLGRj1AU
Kcq0aKNzjY/ISlFSE7tHmd3bJ834rENO7pNFGI2FJhHdnIbMctFPiMjkUdovHb5IMimSlUtjod3b
/hnrptKfhxj+2tqCLIIGSQAzIegufbf0ecUosl7x4WvFQYpomrvPjMkWtXf/iJNdPLyJ9CMPvoLh
nUoc31w2Pby4HjclmYtJ840VKtfWruyIipwgTid9OZQbrXjthrmsPBJWMiGWs+oFaxxKo8xwQmuL
wnRC57nrUWCSYHo5LNH6Imkp2bS1dDvGu+uRojdXx7sunl2IQoL3ZR2QxojU3RcPF7OaMSMvge2Q
3m+wvfTSO6kQhBjwHdn5vTK2rXExkTr6n5gyJ56ACtFlVYqDqSxJnHeNDfaBEeuJtNH50+YwqnOl
X9GKlI/Shx630nR+wXMYqf/H3nksR45l2fZX2mr8UA3g4kK0ddWArhWFU3MCIxkktNb4+rfArtcZ
dKaRXdaTN6hRZlgECXfg4opz9l57vADtCu66wUsBLkvtrmt5TKwljC9sbeA4lk723GIKcDZDQm37
yXcwAt3W1nmpPWTmQa/OVQr48K0D74ahTmi3ziyTYi1L02Mil2oPkXHKDwxybNfrrLgTU3QjY0Hz
nqqJvX/eUfeJs3mdCMoWqx4toZPA6NOMjcP4N6t5iooxK1dlhmo1X42MvdhE4DkzXZSnF5267biI
NW5jxCFO94hfM+lvI2dptHee3KXWS6Pein5nZc9dHc09p6Mhh7Zt1fYXBi1DNbjNzHfmA7btoqWs
BKRnuG44W1vqhWmytXhQ22Ir+27hwgdP2TMTCN/f6sped6Yshply73XsSDaedlvVL4l37bPzJ0at
SK6jBAjvXU2QQL+UCD8cklIFAafEaUsBSJKBWZ0z+8OnoIzj5rcVZ/PhWjHXiNU8Y12TPpFRgKzP
qu4IDM/pdgahlePDCGwnM5aNztkdZ11uAqtZ15LdxNQTYSzh9zgTHETaLXXvVn/MQvD9cP5DFP9L
F3pxOi+qWcGhWOeJFHJD4W6ydlUgKCBZ2BZ5XNB+dxUd0rBFNPsWh0cci0gMaAA39cEdsR2tc3Oj
q6sw3rj1ru9vx+gSIGAMvC0Pz7381RjXiToiantp+neNzrhazHJtnxc3nD9GKpk1Gn5scFN1bwPp
JLb3Itgl5tzBRqqvkn5p4oUtDg55krnL6fqCgBnWxU6e13j/4VHm+y6+wiha04SGcYvjSGXzq5dH
G7NWuOwyXH/zPgIeMsOKFnVLhQpEnl3UwdaHI0IzkZaqgpiBccU5pVoF+DLIEPKxjR9ac0Hn5CxQ
oeFurebcE6xAK9dbm6jAwN/2l3wlC1AgFb6yegjlryBhCZk36lxrd7b2WHlXXfs8DogqOejHzTIr
rpJkmUGj6/P3EEG5paw8rMUdxWU4Z+Ej5wYOwiNmL39XZZd2c+l52wyFvMrx2SAeak4JVqR3GRXW
SetjASGCcW8YJMowmUf3BYMfpa25K238LoSYrcJ2QYljrIwzD1IuJ1B2QMlWzVf4vn2yCLuB6Deo
epCjngoJOXqblDcOY9G1z6a7VWPHQG9M0TnXDk1z33n9NRh8LJXwEm6gMBFej2nqbnK8U9wTN7W5
ZcmcwMsKrS4E9+ztGKIXlPz9YIW4iYfhqRtR7aS5VuTbiIuO4e6defEWwFw67ExE1Rhc0h29/DJl
Bn1Bcq1Q7SVxnm0qzH109Wx4Fg5BGSQpdPJKEKOddbRFZrV3mQNa1vC/rmGwSZsY6LWR7WqxSWk5
ZgxIQpgQHACLxzAEKIA2SGQfMM8akO7T+BY5etSiVjffgyxje8qpYa0oe8MoZqm+1e1Dqa0lNb9u
qaYXFGhyFsqGmSkVO/RZZSUeQ9QeKmI0Fz9HzmJ+C/Q2ydaekEt95MB8EXhXPhVpouAyfxdBclOY
pMESULK0uw0WB8QNKKHnBG/aFdkjyx5rH1ZO0KgtZ6n80mUP2s7DZhtbIN3wMhibAkhmL848ed0Q
1GrlOAYWE/SUOkwXXse0wjqqorl9UBNO6m9tw797tDnHpvVtSnZmhhGxUHeJy7TBYgMky6MhlnoF
ZYNm7vjvqnbrjueG+hCR8my1eF5sf+4hPssCf6F5DSDU6ya41hqLlZMDS/jWFPApvew8btpznxJF
mdorhsQYkS4AL9gqCHE8CCKoi3cLMONwO4iL0jtmaMXcbVjcMaxV+9lrtnI6wsPP5VTsvdQcdj2T
Ga7J2XnjmVZYttx7r7pU9WMvH4R+1dQe7bARMmY4Vyomy/ECjCuhe2nw5FGDc5XdWPC21x7YTXHo
goe6OIQIiOvrSMMm8F5bx5qgOpuuS/fcm28UTj4WOtrwYMJZadyFbxJLRuaPmt145SGufhXOM1PE
gIZecz14hgZN2FvqR2LkgukyB0IgbkhYIJ85GN7y8EXR9mEJ0SnnuGMBC5Es+pSFLgJO6jn+N+2N
jQYUnLmlv4fuOiWVEbbzGVBicjIgVC0i40JDIwnVf93Lt6x1n5PKubKEeZ0NG9X0z6PMWOX1ttMB
9casI6pXYfBhNxM4SXubGB1rWs5jfE1cDd5k3gJhRgzzMpgurspSd5K95nvkZukdm0ZzasuCU6FV
lmWFMpOap5KOUphkgsdd1F7aSouHeNCcbFu2rblrOGegYqDHjML9Ui14r91YMBwNorhTGjOSurqY
IUClusUB3yqKN0Jxmi0UMBaxGnEnlHmDrF2Q4aRZ3FhBSxs/GOZ9KAzWrsy6bIt62ZvDuZFTJU0v
Kn2l+rcKDbo0ndDbM9uJF5ITvRWYazWmNSHf4/jVt+cGRqEkxFgIBjrmxBLQaFOvO6eh9FTj2Y0p
lMGXmpsV4SbKJC7CyvrSW7uBuVIrnZ1obJXzEcwy6KFKIxdEMjQUyTyNYiM9aBrDckDgS2hNzLe0
7XsXgI4MHbxgr4FSrRmli2RUVg5fFowCh28UXdkyE/KlDtg+eecW0nxb1OvavaPRls7+DxxKPOwW
AllNkjcJW1gu2quxenaUtfOTdPyr4hAtpVBNzYB6Zgj7RGqXtO1YWGqBadGM+PWhZl9WXlxhGEjD
fVCOREF6WrbOckX8AIz6KvIzBAJgpEiqil5bnEhxiq4sfTmkPKQuR9wX1qG9DJEa3RceeSt65pfH
vIJn9L0QZvo+nwVAXJWSKxIYS0d9cKKCaRCdwyrMYZqrkvYOOAekIFVMqIkigon6wpbi+yvq6ldt
E9c0BZIc0yFlVJ4IfZj/Ediji53bJHyn5rjNScdVfYANlr2jZAcNQa6jwH2tY39thsOd6V05cfvo
mWyKpKKdC7WYG55Yun2Lzsb7JXQJXBTSd8rL0TX1VSvtYx60OJl5uQ1joJ4ORlaUFrzY4qWiBxRV
2aEnw9prYjJLLVxNxqLCqeB4+SJVJlp0Mktl/Rr4rOtes/IJhbItErrSkbmqBftBe03huKYBC1YS
5WYSkZcd/y27nkxjth7etEU61hmNrPahbljME9d8SSP2PliqRjNYA5A3gVYSbjv2wavPWY47gbvc
50Aar6veuBMBwhGTONH4EvbySh8norh1meb1RVKfM1uWnguLJtxgPFhXbbdp6DZmhkGUwxAtLeAK
YwgLLdJZK5vzVu+v4VLfVxWUz9HBtjkQ4MGZtB6bnWWGC7WKftkFgqa2ZdMRO+OqUOPzBAtjQUx9
JDNs5liEJRtqCIdV+ebq8TxmptHBxbU0113nMoQRrZP2ZamQeqo7iepHV2OQiMuouPML68UdOSTG
0dzkFDXQIE3cda4pT4YWrsmxu/FRSLkRHZ0OTXjn7MvywW1eLBpkiMJXqnfIFIQ5EBXBZoyIQ1yM
YibBtcSdLUFaXTec2LDU+O9xYu6wgcy02Fp1/qtqs/1z1kTU7QPc1Dk5YUp2P4bRaxCXNGvWmVLs
Ou3VRQflVupaT4MrhR16brWL0tnUPOumehtI3u4mkyP17RK0kdavR0SSldBpzJvIhB8SsOoibWYy
v/Xq+y6y2O9TpDDBV1LicRrrsbGQheRgsGOaN6meP6DP2RUMMgftbZTAoVQevn/nfnrjpr//TeuG
r2P0qoS5JcURiaZMNdltpDT4vr+MNkklT2cTXdPQhQsU6V+sDC3GepHj/ZlbmmxKjDR2NQ/LgUO0
CIICTxRtegV/BwkCirEdzKmiV/ue/0DKq8dep6bK8/1H+mquMASNJiknQaHE9/H5mzdhX2PBREvL
uu6Fy7gJ40dDYtpuY8zKrWexQ0ghZOzC0Cgv/GnYf/8B9D+791iRwAgyvQpE+p8/QeoletkkrYW4
w+Zg3/YUhHwjLPdD53Y3GjCYNed75xClk4FBn8i9kd4sG1NTaDDq3cxIrB6JmdMtq0grDtlghs/2
4PEIBze8MAa1YezV0QCceJC49Ia8rc5ka9jbHJTi4vuv82ffRuqWZaqgFXCAnRiZRiUbdSSxYPVk
Xy2yscVc6NFF//4qf6JLNYQUtopwxdBV2zy5aZadh7ozAE804SohirbEbc9Bf+0EGfiNRNhQ1+t4
UdQGfCAHKV4fls1lIUp59f0n+bP1EbaEIW1oa3gBTr5vWLdVw3CxSI0Kk6uuiBsSZRO8babqYuHP
mp9Wx2nxO32Ffr/gyava4060nWi05hEzFI9dylVskA8Yg684qG7NnJZw1lULegoWmln0JipnhwQa
ajPpNlOyMKkTAFDKcxvAUl5R1y8VwlCqKfGwUut5GGj1JLjL9oBmlbvCGLUfvsWf3TUbda0wJjWv
bpwYrFq3KUDfslkZyo7GhooxXcKHw97txOssFOYP1/uTXZuwbZsRo1nCME7tdUo0mrJO2FGEsRyW
sUbnLajdaGGIcFiJlLpbHKjZXIoyXP+z48ME5MmWkV2UyetwsmtrwZk4mmHZkOgic+X2HB+7WnsJ
VSE3gd++fn+1adh/HhzT1UzU6ppQJRPp57nEB8IdFDlXQ1nskHg4jsR9JOos5p78NJd/fdPBKhoG
O1JHtzBDTgP1tzWDw2prB3ljz8vctSlkhvhNoZbQF5uQ9PWo1ZQ0iBot5KAeoxRKeVubPGIDxgLu
mGjpDBioc8uI7v7pm6Az+0wrjKkyRZzMDaBlWMd7PlhbwWRqhVNB30jzFfJJ+YP15us4tgV3gIEF
tRQDzsnuWCVQxquoss0Nn/zYXIqAnlU+OUVK6pyFKX7S43+5IG5EXTcIyjFYPlX7xIvQtoQndQIQ
X6XEHZJVv5AHPQ/Vy27wo0dRuoZNYZ4TLz1YxUMPLHrM90Ogb4M4alnkVKrKsdPZj2R8U4bSZFzg
GsTE+YMzy/jyylkfC9r0flskI8mTVzxtM2BsXSAWMqu9KzUG8OQFWbWBGRFC16Zs14YZe6UeCY/r
UJ0XRgmzOIsbfdWkjRXOBl9pIU3mJKtHwlg7vZ09jEEjd5leh3eW7qf3MojNtzTLYqg3hgoHbujA
h8xqXsRjzho4Uw213/Wiq49KQrsya1JEuVlTo8VRGvqxsQVhtYmMdpfnzbizsyK/9f2sOcRNjcMy
l+VlDfL5jW3+6M5106IMa6cFfTiRqGtbqSFac0LKr6omd1BQxOkvdyiTH8weX45+wDxRKJqYUMDt
Mdw+v2oidURrhLCFKtdNjpxw9KPrDcNRmjkazNKODkqvKL++f40+Bu+nyeQDIcqzs1VrspqcXNWR
ahHUzKiLOvHdc+KHlNcshUO8SHj9kFyRzquzJ0YWjRA3zHT3VXhSO//+U3wd8BLPh4ENl3uLE/dk
llESWSNIZRjppqsccPzqVMuUI4dS/2IoMu2ffaFh3E7Ha3Xai3EsPLlcnhcWNbJRWxh1tircONh2
ZtAvOJITD60pi++/nPiTB6urmg2FWPJiC/Nk/ognVDYHWJ02Rt8+FXU50TI0q3yQNjrstqtMrGJZ
73ZQPhWK2lZfd6jNhrFtKD2n+iYNnfJVOilvGFQRqBZmi6wuLfJg5qFdW+Kkdo6lOSQKCku/vhgE
nKayTCDjtPRxTdZFJJiuuoy0JHgZS7JH/bCL6W/j/ACwQy4oOacL3bP5DRYWEBJds0QAARzb276r
nTtUanU0+/6+6NNtPhl6usm8arA1VzHinExzFcHM4Fs8cxGMCZ6rugAHwis3iF8deeNXWueg1SsG
rBplImm2oj2jJFihCXWqgc5iJjsXppLXE3iNQRyxXly8GO3UCsrCbCprK2Q9ckir462XacmVlouc
FMjaN3SSU3By777/Rp+HsW3gFjUMKXHEmoYh8Gt9foMVtWg8u2Sb6Ek6xspYLJMhq1dR6VJIVIL+
h8X589r89XInm8TcL/uGrAAC2JXEOmqJinwrcYPH77/Un11FOqynJvtfw5Yne19g+Y5VKOi/lcxG
6wevBpxHbf3wkpyQuv/ry1gYirE2suH44vvqY9tu2wiQc27H7VqxgheePrifBAhJl7nFOsl5O7n6
OcVbTjYSD2HhKcmqDCwLjwX84ZjB9E9t7D4+lTQmQAAQdwgXpy5nzdPITiha1FWEBd+aMSaSszBD
lRVbRCsi6XesH1aBzyvqP64oJbwGFUC6YZ/c7t7qKrfMJVdk6YPREj5xGuwIHmbrEQjbXcRWI+c1
oPAfBq8mp6n+j/fR5ulaE6ceXgaxCSZnu8/DN6ytTmOhMBd9WwZ0MQguU4vKPs+FTBf4l+pZETrB
IhsiYu2GmBwfRy31TUVtCRwP9ZDnyO+JwcpzKJ2jjyBPi2xBJ4OkgNsxr/K7wTT7X66s1X1jCWVp
9R0SmpxV6RwoGDq6Eg8OtByqK7Vj1hf1YImdVrc63WTKUbZKQchHTrQkaqo7B43dPNKhc/DZZtXW
9mhfGVGorQsFoVIS6RHNJIpAJHJqS1uT4VInhCNHegG/lFQ6BE4tB6TQqmkBj3WI1rMw2NThhOHA
AhUthhxKlIBzn5UjwTNm6t3Zip7fUcsMb6EEFSuZdiO/pizz6jzQEEQrhaZsRNI3u1Ery37tOPYU
uyLLXmUqd20E+oNrEXwyDJdmUdRrDGihvw6ZvEFzqU66atO8f4g8Ua29kE5UjM0A+J3uGrs+LUN7
FavELAWBxUyoWYAoVlEPDjc0UlcQaaQq7sYYRu8Quz4SPSrVEXDiUD6U/avw9XKDAD4g7kIvaasi
1y51ug9daiUo6/RSn7mhnt2Rtg7NR7V0kksLDRVRok++56wH3NY3iaTV6A4FWuaMsN2sdVRqYEm8
6GwXyQO+jJa2vdqT9uQJGDG00b2RkM6wiHZFKNi3xcGwrAFyE2sadWugos2m0H37WMZArjMPNJm0
e7mt7AGWbO0Q2Rt7kyCQZY8KLKZHeEDJrzxu1CdXD0lxUSxCd+Is7OAF+nJl9QT/znyhUayMpnyK
fKybC2I8yXnoPPCbQ1oiDiWdlMZ5r5j4JAv31otjOhode4+aRpOW1QAbDPteJ17FmoWjrxUrpXLc
+yQM9Ougz6wfppqTasfH62dy1AIQ4ziASZyT6TxohjZFQ4jxG4F1C2LKGrhZSihz5P5dTXXMxbBi
DlJ/7wzXuMtNw6KV1JMzklnkaX4/7U8v+8lkYNqmA/3Awoqj6SebliTClBOVEPwiD/JrGyZtfibh
sRgwsoZxywReXJQgSy66rkHPUcUu4svvP8IH2OHzZ7BVQ5q61DjM20I9Oeh2oSIDr1CcReraeB2c
rRIw6RLLjawwgQqpXo1Rv4qGBtWwRbA4sekwg12LDKgPakC2cAK0aDFwRgRqeQhflmASAjmQoEH2
Ns1djpGc5FymFpJP6CG3GQmbCdHu48yCmcCudPPxnf79tf8P7y27/K9PX/39P/nza5YPZeD59ckf
/34IXsusyt7r/5x+7L//2ecf+vtF/pZe1+XbW314zk//5acf5Pf/4/rz5/r50x8wawb1cNW8lcPx
rWri+uMifNLpX/5P//Lf3j5+y82Qv/3tL8+/koB1p6rL4LX+yz/+avPrb39xmBAMh2Hy779f4x//
4Pw54WdXzfPwXP3pD709V/Xf/qJYzl9VB+QGu0H2GhxKWP66t4+/stW/SiAcqkYh0NClNf1VmpW1
z4+pf2VbbdKswyWvcWJWp/prxQlv+kvxV5UfYPNOrURSMgB/9P8+4afn9cfz+7e0SS6zAFv53/7y
AUv6Y1CaFJbYDOAUl6zVDm/Iya5VNKDvBg9bX+lX97Q4TUJ9BpTG6JsCdMl5du1J/UAuMYZL5OKE
/JBrvkgNb5sn49Eek6MgCsvFfIwBfkYtDG8L8Lqi9W884BQWWkYBTTL3sJqRyI1EO8Rv6Oq7AAGS
W4QHT39SQvK/SMakj++yY4fIj52bYBOK+tkDoUdzs4c3lzZ7wmbWtMKxB49yHzse9LLhzvd00umG
dKWo2qXwEjQwwzyzvH2NdiYqnSuDGc/pOwy92KAD51Jz0OLTNqMuvnc9DDoEPYSBuMvDXxk23k5R
5mEB6a4cVy264U6aBBQR76O76iHRUm5O47M7R/dAZt1vA+gfj+f3xyGmeei7x3Gy50bJbCtmT3GG
Kve8aCRtRPCGjcSpHqB2QXpa+Q5KQzM8M0X62pRgvgOPwEtcG45xPVrDqmINSbRoY9BZssPhMnR9
STGNejq+Dhtzap1gGFWJ/8rUrWzEktTzRW1rNMPhmf24DPzpN2Kb9bHnlBR6P2/DDD+logK9Fw0M
p1OdZpWf/BoqfTc2qTmXIDB0b0qfUHcT0ERzfLo4xpz88TMXZVCsP3lGPQtYwS1OThKZuwGWp2uP
Sg0+D8di0N7UzX0m3GVn4upsdZYX2ov1a+jsTGcednStHHWe+ViY9hGN+qJd5kD8SpD8xgHAEset
p3JIljRgdwrjV6fRKIJoYeK4ze/cfp3pRCXn1aYlblIS0N42zlLtrPew3+ojEese7F8cfooJoTpw
6SdaA7o/1U7eEEO8RlMmem83N630X72sQMKMrSt79Etv0yD6K5Fel5C52FBAV2kuoqo403JjX3ak
HTQ4fy3EejEsjpSEDqNyV2Pv7kcYxZaPKAwZitr1W4+nl5Q9Wu1uXwC6x+5j/uKk45856GV6LNLw
xDuARrMc5HDqZQez7zNicQtU5+5lUOtXNEXfiMpb96Gy+n5Qf9SLvwzq34bAyU7cDgJDyRp2u+Ng
ZxtTV9KFUDv0pCRfzVrFIfBQQTURDISB1/pbGqRPpk0XmQjgftan4qbKQCZ3lZdvdMU6yhLo4eAA
WP7+c35sAr58TrIf6Csz7X6BQBmUqf8/SLcSjkFRaVo6qNCbJ9sqyy0req4cLOvMPup2fjQQt511
NhK5Qvbyx1sy/b6Te0IBD2gUOxbqoh+dwN8q5v/SNfxL1/AvXcP/Stdw2lyftmSfXrmTGvbQqWMo
p9ID25185igKQPcC7HtT4UKzR0WiVG43ac+aow+IPQfSETFQWZd1Ux08R3seClSxlY09vrWeoMKC
1XfdYzfW2iFp1aMb208a9AR2ECRLu05z8f08+rlu+LGlJAlBFXQWTLpsp4WX/22I2bQlOp2hQLJq
dA41trIfTZ3fZqjYEn0sEJbNQ47msPGltxjHwDrENr4yO0vwJlc2xtgCyBoKpypDA2Sas26CwQu1
6fFz5PXdP3sLDHbtlkGUGUXyL73bsc+70HWYpVOrhAjjQ9GAsbyyc+88z8hZ/v5q4usd53KGzTnB
5r/mh4Tlt1swREEmR864YKzEPm6zdMkpUKyCTNxXLeQ0vUVS4Bamg96agpLApJOCj60Sn3hP16ay
rO5GalUuFhrFVc97uPadH14H4IvO/GlZSfPRXjcx9i+ngwHv1+6Tj7Gk8ttVnYX+QmKRDjBDqlkc
476oqoWsyn5Tk9cwi0uS++rGKX44UJ8qc3hRPn/tk81y5nWFtGoK1HpZE0QbkD4FkXzMsBKzs8BC
qpMw5QhCKrXqihPQm1nH1zbn5+9v/0lD5ONjoNZQ1UlKYdinwgDSd1M3MgIa2Fipz5C/KYSy6jO/
wpBAdYTx5smfeqpfdtVof3jD6K/BdhPmaV01sqjfgUNCUSEg/KqTnD5Xs9dRsVaWlaGLa2c87qNp
QSDBM/eTYkb/XFzlHT+5vv55V/9Hfbvo5YXZlE8xKY9YA3+vcztKcSTPEBmBjYc5qOz953o32Bzq
XIF8/qPmTRl5XcRsqDOgxiiKOoLq6+BJju6Dp+RX3z83/cuD+/gSDrJUofHeaCcFGQhCqt+XJIV2
trarw/4AP5d0rUBvFrEjsc0T8huryaUbWsUsyH1vNZAliKeXrafwfUSDvRkuHfDHyzZxkBSbB6fp
ETXbhBXFFTah0opMov1KYxep2Df7MDyaPnz89COiO8EL9P1X+tPHYrB6MCioiJ/u1pSm6dVCcJqP
M2uHjgkHq1L+EkV/8/119C8zjkQaMkmZmOGQEJye6kxFdKIFzTwvJ5wjzdVogwsJ+loflcmCj6Ad
6tLHmDWqiggXo2K6BxjZvyLhaWu7dTekhey7wjg4iXjnPG1uUseLrkXvejllLzU46qby4KvdpVVp
lBCAh8xMi0K9aAkqd221++GQ8vXOod7VqbpMvX8Dvd/nAR1MTbAQudo89JJHERs3Mc5DPUp+GHPg
jz8vV9SCVLohiAkp3bCDP5XO/UGvtrR041hYKFrjmWr7ohXWRZdeU3nRQlzZ9gZb3RjsIvMBo10Q
E9o3QeLJDxeLtnuLi8ciuvepExrXNoSeSN0yIiFDxeT0IZtDsO7pFwXIx7Y+2PJaI5Uqitot1d4w
qud1+NBXOhgVSvBFMWvJaJT1pUOuqlkMc/R87B9YIKqNnmd0Jt+V8Um5c/V+pmGpnmIuLfyKGYjQ
4rbUoi0yf8gTzVVHaRxAySJBomy/jJQp5Z1EqGjnMzg5ERa/1EKmKEK8JuECceNZ4VKA6LbcR/wM
9llPJhycAvI+in7W5TrBzGfUYqyX1Ft5ZLuPPkZDPrezV4Nrl7AvC5GMdHch3x2YAm9YOkM/W/Uj
gZKovoMVddJFM6DDLGA1Y2zWxhc4qKEo4bbhMrtMk6cE1Zt1SCdbe2vsYu2lgZVuZf28sJQzaqfk
S5Xde+NvvA40yCswnco7l+BHlJqo7XqR1MsGx6xF6K82N4h96G7UO3LFQNWCJsM8ME/SRyXd1cp+
gIrXjfcCTJSJkk1eFU8dIWEVFpdiG1KfEndK1G4EkX5W8jqY751c6XJr9ndKfu5ihA7PxYMrLnp9
rgRLZJHUg3eJ2HbUAcwCkvXCy97bZqsQU5Zusu5W+MmZEe5os0v/3MzvJMUgwKYNKKoyJI45nUmq
JoBeO9wsxqwA4KPdl7AtpmSVwbkLqz2JlYR+wI7CKhsGSPmzMxtYxzCHDVIbFzLZCRgt9SFOllT6
gF8hr48NlA77GkpiXWJ4XqbxVWZtnMjCDoZtMgLIswIj22GFzrdYiWW1b7qt2l6rAuMjxkuVIjz5
DWC9io0/ng/Fe+7QF5Vnrn3uBcsqeEqH1yTGbcm7MlyM6hUlJjs6iv5KzY5lwTJCcCRyLnBjw7VZ
b6ju4+p3zpr0Pkw3pBXG4yZV5lOvD/SECccQxEYQPmIlqRCN42NziUajXmkeGwa3/GXFawA2nnub
Qwm0MZE0l772DtrCXtbx3iRacTzv6HOVGzKGK2/feCvyRf0E2EHEi0FfG3ImQIyMbKOWysxor1Sx
wrNZtkAIlmWyaZ37hKg3uoLB1tLWXnLjRevyELkXDUB5KGbheVfvvJKQET59CGJpQ/RNcCiDGhbZ
WWgtGYzELCTtwjbOgw5rKoxJrKV39ngMaAQI/1J1YYlNmu4FIzYYwcBP0AFUlORhQDzLxda+T1wE
+XeyXypipjEpbf3hkCLSd+886J4P/GKGGlFTtvVqOze98mZ3e2cLT9KrNq587sqbCSBgvebelBw2
Coy7GB7DVV7uhmDvUmnNVq1xJeSMcBHNPmsm3l1Gc3Kbo1zuyyXmyqBZNS6GkSf6krpRz3OsOwFx
MZKMOnIAvRJECfIKcAQGW3v/bKC7FNtXGZ+iFhNIUB9uleQwwvUd5pU1AWEc6CqPiVcTHozO4myo
cGLNVdkBXANCgBV8QNtlygN3Px+PrvaLSY8mJ6Gri1y+NfVRsCJU5zqiiwKkVED6nVqelf6NkW+V
CuhHtqkrNO8LiXXBeOotkJLragrPW0X7PjlkHAXiZONXJYRlLJi4KVRYDWto9LZ8jpxHZwgBsxWE
BS0iwoi0fp+M0UznhSlBDGk4trtLnSCpAlfjwIAtU1zChY3D25xrzbj3IOIP3aV6FYgtK+5WC45I
GFlO9YWvUVsjxkYPiQVmsnGOfn+RTv+XvPWQxnxxlboSMizIHgLmg3neXPTxZdtj54wW6TDrS24h
aAvmX2CWQC8oU13qYBQH297XYmV72Zlr4v/KsjkRMO89FdUOkFyICZTgzzOFHLXSj26qQdkFnbs0
SI/zVu0vDSLAKLSrwunXBJAFb+UjSASMqNjI/LXtr6ERw4F6UDVKqq0/V9Nmk+HkccW1ug2bC+JV
oW02m0G5VC3QCYVHyO9uYALLnb2Jb9HVXMyo7aKoEObhERs5DkwQGmWtV/tgeMzJUSqZHoVPZXli
19L9PUsIts33o2vOzQfK6UOymg5W5FMp1o2RvBjdNi1Xff3iJQ96e8VRyhOPtiShrFubPsnL93mt
bTXmTdqMZnyjZwurXfvQOUx9FjGJxfmeKrASL9WSZKNxVUY36aXtP2L+Ryo5K3AtoaA604loCqqj
qa5LdelCwjHCuwjyeMARTO/uiJeZ2elcdFhZaXw39n7AFULTX+7t4arQLmDuJQpL6YXoYaDzMsyy
ZJWV96XigVXZNvEmSI1Lt0wfmUzZuJYsULW/CKbFWLuUOJmy4T6+NseL1OpmY8OsFGAwgTBDHIrt
MaEUl9aBpdfl/DHgAg8ALYfTq3VWdle+L/BL7nIiYXVoUOZFMi7yfE72DN0KJumhIX+DiWsLvAxL
FdzBdhZxmWGBSX2Ul+ngziLiQsONC9ZG3QzdIRtxJuPCzc8MruHzWuARVa4BjBEmTYxYoi9I6k6V
nAb9EpKJHty46aui/6JEMhn3HHEbpizzMbxcIj8TeUlXXStXMlma54p5rhfXkdbOze7N5vXF0+7H
N7AnjGiur/pm3hTI9rk86ss9a1iGpzm5lmJp+t6sKgnZMwktauDTnAVw0lOgNXhFknJOEl3SsuaZ
d3bWXOnteZ6cV8WFaryL/E6L3zP7to/WAeIEwnHxXZ5HgX1MEkzy+s5o3lxw3eygsObSH+nn5aMb
XIYD9t1oofKDxGqnIy8Xqp4X04OSe5M0HEJG7GNox4p+HXJLYDYm2zabgUnUSlis6gYnVhgftRpp
6tK27wzjMD5U5bPLFxiUdU8utQ41tiTDbISwb6YXad6xLheL/8vemfXGjaRt9hcRYHDnLZO5Zyq1
bzeEZFncyeC+/Po56W58Zas81nyDnulpjAqoAurCZnILRrzxPucUyRuPMQFopYDdAoR+XpHY8jSz
RS22kWDEgzhcQ7o+jnxjXJ7XaL6FOaOIoy4v+9bxc+dbwWdm+s5bMdv3fYn1C1JGsJIwkQyCatox
1UiCsadDN8X50mV9vejL6b6Ob3K3KYF1mjcjqd7EnEnM0SMTLdmbXKAaAJcDL0mjW91l5fVuinFl
8LWt59yzbXZq4Fz21UuBctV2DsICFQ312Xo045dIhgsoBOw89cSUo+56KKBqquOqRJWqVG8ljBVL
vZAx7LSyWypj7McALjlBKC6f7gR+KLz/Y51AJOW8cWY66sfF6V8+l1BosLxi9kyMjPRMWdHB6kwr
rRt4qu1XqepyM3REbFhw7Wobpqms5Tt5pm9CD3eqUj0gtoDGZ0fb3nLWWsCkFUfMBa3hB+wolz9s
MIFkqFTYriLpVHlG6z4ZNd/1yX4zqnxAN9DeGi0QB3oNP6mefFh4/eM8HYv6CaUywqIfFl7VoE9x
KmKCsOODgsaspSXO/KQLTZz/kp9qhD8Ocu5Cpv1DEw7NjL+u7qbcwuyUnhOwPXzQXE+2tj7zcbJd
eJDuSLEKt5w5Dwep1spCVMM2zqJPaoIft8H+9iM+bN3Q3y//oVLBErDPW3lpxtFRU+eBdKQ6LgO8
N57q9AoitMFYTSMtq1Yl3ZWgAQobBFDWsWREAQPq2wnz06kB762Yn5mE/ifunr8u1vmO/VRN/HL3
/L/q7vnQAkmghlqDQVO4y94d/7gf3i1jrP6p0plBOwDSMF6Kwn2q6+AunqZjSZKWBvW7dhrRZFm+
nRa132fzMxk5vyeGY0PlpojzoEixVfAoSbBwlUoLoijheTx0QGRVR/dVnY5r4MpVmm3oed3OosDe
TF+bVfqOMl2pMfytUfrACPxC1OTia2Ya7WqSFtlgfQUsmvVYuGr7aaMZ4Zt0oWRWfcK8SnmGC0KL
SJ4vk3Z+qkASBywGUms6tVm4Ne38sy7kD527/7xmiJyJyNBew6n++vSropeJmVO6j6GeB2ZvrROA
8R6dh/ohTxhcoaL1aXzUz+LHorVRUNcj0AoTcJIB/EzMuvJJfV/8bowkP/Nfv+lDD4UZdXpEttr1
hwU+yE3yiFvdZxW6CxfGPl+F/mdb4T+CUH8bMH864oct+8idhso2OWK36JbpNbZ3v/xuXrB62TsP
3T753/gI/HSCHzMF6GcTs9ZxIjl4l+QD6mc9/mT4PV+jP5zRx9Djv0i79KMQ+qfDfiiUT/8llqoa
cWWM2l3ZzdnCjWhYVZSdUxm3aq56ua1sFUpc0wzXSzFWZxZfa5d38wB6caQTNwKTlo/RHXqcnejC
nWuDL06Mp1iN2feXW5fufBzxQEzmvaGlT38u93527T58PsOqhbAcc3vOPDHXKH0Xb44q76hJRe2z
WvWfVEmN301+CM6wy8BH2xAfb9ZfsioliK/cMj3l4fBoxWw6GTFAxNZ6rub2Vk1ZNI1nYi9I/kS9
IB1FnyzIqhnUq5tRjYbQvx1yOn3M8KoU9D9D83YhAk603c7MDHuZHxVdf0ibmMoe4FICpH5FP3TK
pEBT80Ni5Vui5fcjzXCqTWMYiuEfYqy0q7+juFj3oXZrI2Pvz0ihoI5Xf77y5/fsb4+Pq53zkdT0
/9aSYhNOmlsXELSwX+bUpvhTrUcR7ZzEPWamvoVXdNDOK9w/H/b37/9fx/3Rp/bTHKDQtaHNUrQa
I1kahrlyk6nxvT6ThWNu4lb3FkoYO5DPnWxeYljhkMiyXnz2Oz7s0PzjA8akXTu37LLV8GEwdrNu
0vv47GXX6gyLwcRANJCt652NOiBAUcge/fnMfzvUEg9hyo28UPsYIBsREhVTdJZL8kaxB4e0xtnP
kfT/fJjfD+k/Hee8wfLTBY7Zh5imCDN86yshAK8lhYGN2Iybb+z0x+6aUOZGrsXlnw97/lv//jj9
dXYfrmc9CjVVAo6agPqtq4LyXrxqMeUM9mcav9++wj+d4IdvlkqmV1glFzJXbS+ot3Whf3Krfncy
7OCxQGLvjobYD7Mbk67ortBLDEWT3NVnAF5byu9laxyJZX+Ssfvd2fx8rI/D+DzYhmix59XdTVZe
guD/b5+Mhn1W5bFzSH2LH3yZn54HU4naJJUKnsUs3uhsTUTusMxHLHhgTP/8EGjWj8jtr8/Br0f7
MMX/8kTxbfjyRH15orwvT9SXJ+rLE/XlifryRBFJ1NovT9RPnqhkXMGKNI3/GFUUWbFXmtPoev3S
RX3por50UV+6qC9d1H+cLsqyl6Xp/8uMUep8oWn34ssZ9W9xRiXNGnzEz9oorfODcPVvNEchYgqa
w/85eZQYghsRnGXbBSLkZqzem2J6jcyBRiqxn8PourCnS1EBy/3SSf3n66Qc9FXoOf8FRikzPwQz
aqn/+1Yp5LHrL7EUrddfYqkvsdSXWOpLLPUllvoSS32Jpb7EUl9iqf9vxVJh0D9Oo6r6oV6ds9cv
sjdvYQK/WtGNKRGBNt20iGfxKHPllEwpSc2pWOSdWAqzWQ013iZDJ5JQm9vWAv3p8q9eoZS2Wm0n
MMdgdGlI4wzajaPkO2eMiDK65lbXwtu6fDfzjDTZcxcanhjBtVc9mAu5t/Nkk5lzt+gjBOe9drC1
2YMZHqiZ3yM+yZ/D3rqwulfNbm0ibSiqhbWuLOVy7Akj9x2BaKmulJKkH0FMpbgI68fWvXKIpmn0
hnrFfEySjD+lKI9EkTeRc0kcadGDzBYiWYRBvam6qxCdo1rhc48vrX7e9kC7Nawq2KJH+zZPig2G
lHVqXc05Sl0Dh3B0kNO4VgCSZRM+YhHuTPrtjXSABkt/2iqC1YlOFedhGGuEdiJ8Z3nqPs5RtBW5
qK5kQE8svDpQy0a7m8Js0VbVSRqEoUJrk4vOR5FA4//YeI3uKoSf3Dd16uCE07+/SPELlZr55HJ7
og7jcljRmtvJFj92tVKi4IjdzQ8j0JvOYK/1yUDqOOOjcXMMMaE+b+IiyX0xFfBSYU2tmkC7cbVJ
7NJzZq7qrNkHK17u+pC02Jc37N/gDevc26b4pPnw7w1W2pk0KOCLw22Dl/xrj1pNDNxUDZoAlSby
NQpHpomuU+23RpR8gkz/e9vdr4c6/5Sf2p9avAiZe+431BgU1BBLoIOFwZGfUYH/3sd1Po5uQWQU
oOl/9D3+dJzGsHpzbOmnVNcEAceDtagWJOQgCl7OC33RXtXfrU9O7Te9lL8e8/ybfjrmOEaRKtAb
+OE97+9AhHktV/2DSxRtPS6zZexHn+Rd/t41+usRP9y4VivIyTfns9zFm3TXbsy1tdI2zebPjWR/
78789TAfblroKqXbmhwmbl8Mdyka8mHGbhzMpZCvfz7UZ/ftQ+OiBtq4aSuuYeJcZ9l7gRPyzwf4
Td8/J2PrruChcADcfzhC1xvuiCLR9Y1zMNW4L0j7kZz3DrSYxo3fEy4Etv7fvoKGgBrjWibECdQF
H1oYcUzmqdAB95C6LddNJjuYC85bFNTDNpiDdRRp/p/P0zh3Kv7a+sch2bSmt/rc4vrxpf5E3RQ4
pGZx6aCAG1/gy2wTqXwjLNIv5z5Ul3qZ5gsI3v/0OdmBwde92ZJs0r1BuCfdnJZ9b3XeX36nvi/d
bV8518IZlRXuERQ/snz/S/akdoHcpo2Z3/0QPhmttJ/dEg5Abyjd0jYAdfciI/1eK++deyY99/+L
Gii4p7+5OBDvHQvoNcbEj+GPIqliwQzC8YeKnFic8cmvZgyPeqEdSpNo3WSLiW7d7KknJ3fEdVYt
DZGZCzHpo6+kztvsBLTuk9JeN6VJRDUzdnEzu5t8rlHSOVawITciib8P93mhfsuiodzFSRx6WU+X
MTiMLCWI1u1COwYxUMV4wIdB3ZLrA/0ZdKfGNd6yJLAXJCAbT/RKtS3x95F9V5AYR8q4SHCUVnqp
+X3biUXVh49dr/P0JuCn9Z54Kd6uvajq/GCOOr81iMifF/P90BOoh6zybE3RZQNoJK0fsmHZhMcA
JnaHiROK7aGMZh+yKEE62sJFvZwKdx2KcDmG8VaJFL9FCZgE/bJHjanpF9pAiD9FFZ/pV5pAFG80
1lExCQSRgocG6cnhvQErUjTR5izTBnbtj1m6GJ32wnThYZDV1wGYzRC5O3zBMfcgRVctog54hANO
RIHM061TzVzQfb+BCrlsxoMznNA+7M8zOQvFqxQu80CgqrbwquZCjbW9gxS8Jl2vwsdWMS2qIvW6
zNnBVN9OzmOmu4u+vjLdZl1DhDibUfGg+XWrLjCueg6cWiXTtlXuevMU+SaewTzI4Fh2Jzi4oEuH
Q1N18BicXWneKCSBVQji9Jb7YzwChPhWkkGsI1rpB3LB/bWRl36GczVSJiyQuLUng30i1UMz4bm4
ljGqgy1rF3gNnlLbXBkxrJfy2W2qYxvaOOdzrw5i8tjvGsZlaw8CHDjC90x1rkvy2qQMAZWrXkve
0SkFhNJhi4t3JcriJZ3lgzHp2HzjndoNq4TtxyIdPLVEzaEoXjW/KHq5mG3+N8UBYdr7PmvehTbH
Xplkj+cA/eBgpjXn8GBBhpDZXdOnd0GcXRqGvJa5Cz/X6DZ6qy3HQrsh0fCYGaLZBdBpxgGcxBxC
/cks5OtZtgij2J/Q/Dg8Fv1EUAYs9w16Yuwh1Yy4MgiPsL6gJ9jBUnSpp0Vy2ZrFZShnF/JQD7mk
wVNbTuV9PqjKhZqVW20W16k6uZs+LA5Ok6MHtonhd3PwWrS5i/5MkF+LG47eVwC7YqGv3YzHfuqz
96EX35OhfW7r+U5va83rXFCsfRHfEzyp7ope3OqxbO50GX4fVZfEfwEpti4yB3cx/qIGAEznFOsg
CkAyjDfAx/eu2W8FQTfPQBWUJ9mNFhnXsSp8WULjsKJji8GlcEXJgxmvJzv4MTF39Jm3ob0yoPu4
UbgEKoVbMSEZnd32dreM9Woxk8QwMW6WQblAprcdmt5LZPLNLFPPUjMep3C+d0x3ZxWwOEz3vuzw
H6Pn7sFOGK3qG9L4hvdjvkWssEtqPKJunAeeOaX7aID0ZsOBHnK6ovo2WSaKstWmYRWLaumGZ0Fk
Q9YvWLdNtIpiHaxDtnZzFO0i8lOWZMYYLmPX9GrzrUrU1uG1OP9YZXDn17wB8FOaJlY8p17Edqku
kaOWi2DK1EujhjQdCyDM4znvbpyvay3OsDfc4jIUXptmN0UyXkd9eppHjTiFHu5DO78ZY/lQld3r
UBu3faMunc65r90KH2dwkLm8LmXwIjLFBDygvGszWvi0O0GZ2s1Tdpj0Yl8VuFFLPlALKNPY5yZN
WcxDnWzGKiz3jlpaJJKKs3xceyFaPC5SR+0xJI+Vr4ZWsmuhzRJrz6FbueYmkLN1a7ctv10/R+Xz
1NjXRJQ6RFM7c7DNZWyJatHigd+NLahktZ8usAG862mX8rCljFMSt/1QCnVtRPawFFGi38qoJXUZ
1yqErOkmkeawjhImLWURKIsqDdNTobgFnOyp2ssBnRVfgPLURFw+mTi9h1Rqn5HvWaVdsk6KrriJ
Ur1eOY2BVQ9CjGq1yNCRGCSAoiyBkRFzSi5b4wqPRbvTB9kuZQHuQE1NcbQaOR/nmWdHt6qNFhrf
rawjpeZ2T06OcRxFInpaazgaOu4/gJge4G4kHUZT+b0h1WWId2ipRcipy3mWvijQNWFnc1YSIcOi
ncdxbapSX8060A6lDS7VRuu9UQwwcGLBi1eRl86E/q6EymskZLWOG+A/aWy1WJurd5eP3Fr0WF4N
TERrbYBFMap3UwpaJE2zK1PWD4C/O0bW5jYRveXxRKzNJr42825jRgI0SrCMm4HUanpj5PUlq+Rj
rJfXRTC8CgsJt5aPG54xP9Saa9tsb9zRuIQOt7JrY0Vp5F6tzZ2RVze5GW6VLL7qssmPLWMvnXnn
FOHKYXmNCGhhgTJUsZk3VbqsBsSaYbeSbntyi4yPj5Usyipap858CRxsNzswqHNi4nkI2gkR7MER
ElpK0Z54D/iOwKERJEsYfpkDMMHMMfamcmdmzdZ2UterMYyBd0wPUxeFntVENQ4P7rxewSORgVof
nHR6qNPUV6VxBTt+rTZ2s+j68jrTtYXtNJdoUSNfd6ZdCeNGycS6sIZVYDVLHRJO25Adq9LWq4b5
ILphezZwq4p2tAvjUKQZFQhlSsDZIA41YvNZ1sm3fKwtT8Vc4ZVp9mi5yegX83BTNIazKmw78jPl
rCItLYQeY7WLQqpFVua8jpBqzCbZDnZzndfJFYG2S6nBjMmrzLdd5Vkfoegown0wpIDDotk39hCY
njLFl2lhXg/18C0660cBZV5VpvYqdGAWBiPwItRsqDIGC9W+Jtmc9DeuiuQ5E+o+yvURsBHOmyY1
klXO4OVY0WU7MEHLTYdXexoPAMCggvOIHFzF2JRiQGISpeFaD1oVJGtzn+fl/UwaegUD8sLKzLNc
IQmYCWsWEeMm4MBzI3w3T8BrRKaz0HR4U1LcuWXEcxQxl9Iwz4JH4vfbQaUuc729ExGQfn2or4JO
jTCSMzvrOvsmS8SzaYHtb4m+QWrrT/lgfNcV7dqGbujp+bwWuvVSaG62BQQqlyUuThpqgv2sdtfp
pCiMivZJzZQLo1Yv6rx+0RyISHOVQ9xItIo5m8GUVRH7XJZLOQWrTlp+WIu70dTuDY6G8718Sibn
wjVEtBydlNNyk1uGpsumlbvKKF9rJzkgxd6pmQ6OJzp2DvoXLYh7Lw3AuTmjvnUD575L4PHoo0B/
ocLPscb+GuLpTrXKV9vhuoWivXcaXFw1tBbbyb6FLUSu0J4e0ny+yfnDbkbgezDjt2Ic9rpRPmYA
C0WVbzVQG50OzagS/SHO5FUWzbUX5uY3JhHBgrH1YbQAOA2WvDCj+mnoeq7XvOZVWk2Vc5mjo8OV
vRdF/ZpYBRKQDCufNd3WitiAkLqejWJtSe1Yas4ah982r6M7MXcXpaI9yLp5SWxro0plr+vRytHd
Q5JGp9lGNF4n4PPVtY4UJIhxnKeVs2tcbDV1txkqeRg1xO+mweKAikeQXpR2ty2I89uVu+wq+12U
9VVkm2QRzYtxVgovMK/6zvISZg869KA8LNcFwNdKRBtywOZYHmZJ4dHq4ADFe013bpRmXjdnA5I1
TrezWoyQ5ew3XVYnO6rWRVT6LFY0PrvqXs/zqzoolqw2lpETQNZ3L6pBLGoFDZAK1ziZkn1U92sd
Bxb2VwHKtvfTERpt0Gd8Qq3tmWM/KdGFcJRNWU57fTLXiuwBcYq93am7cqj3bgm/RVqrKOjfEjfw
K5hLQxR8H62m8JpSP2pJtUqmfCPb5q4z9fXQtitTTS5tbkMUAL9z9GPUKssi7V9DAGbuAH4v77dm
MW8VlN7cplUhgo7RlurrkGRHN2AOE9kkOi1zUwHcOsOZoDOsax2m0xQXb5hy7oak8Zuxfp6zdjEG
/FgMU44Ir4u0fIh1e2foiNwxyFAt7nzTNo6Toq96QIFKHzy3fbnLbXk0uvZbkCrHeK6ZgDfKrlRL
GDDxSiTuYVCsfTEY9+gCnyo7mTx8iBtS25sBFlUmUfGhCrqKTO3CCMoj88xbp+e5xk+aeTJKluGU
rHMrPpwLEO3kbPJQ7s7JREUbtlUGGImSxm0/G8fBGY4OZqdcGmtsVY+6W0CpmvZpmNzMPcy9KHC+
1Vm/4LN82Xf9nSFNA64b9r453hhmcCGy4Qkz5Frvu40RTSsLF1GR2peaqhxc3Ol6Ep7w0e4R7h5U
5qjlYB3TONlWWoGBQ/rpYLV8s4NDOI23baStpFZwFcVpTLol6NtFPZ7VCnl7Qoy2n4b+W1k5721R
bAJEkOk4o9/h3nTdvJjb+jihVHLAWQZj98JC2+9d8ZoCCOJtkixHdeDHtfamJNYdqr6HLE+Z+5bL
cW7u5i6HKC3FrlGd/VQJv7RmqHxt8D7ANEjn1A8Dk7uDzT5JkkWgqTcOOuG4VSLPYIB2ogYUlnFt
BjWDCs5PJdb3deGsdZ2YcNCfxjE4+xvuEjveBpN8GLQGtlN5Ykr0Fo3JyoqV66Ca0P+cectw8eR5
ap3ql5NeXmVWdxfYyZNdjSvBUO9CTmrltJtE9U5BY5Vh9pp0sR+pHFgt6AsZXOQMlVUpd26grHp7
4GLh33Ab47rJjDWS99hv9QqOWI4avjBS/jMHfFEK7T5Co+Rlbv02leYqHFJlkaBrX5ZqHO6gXULm
1DrokxYbGW4BZlCr3DeHVeDKlVa9TDu1Ylqj7msNyJKr9Iav1+Oy0pILS2sexkFN+QIPIwuBIFpU
IZBDxwG6WQyscSbzPYPf55TRZqrMi3JmAhybM8ZoXeSLhq2pyxAUCgZqSlEhBpEpG5wN8FDNH3MQ
iHnUX5g5IhyM5e4CPe613WuQyMYyoHNy/BZVZ6y0AtIwSBmqGPEMP4tDdpZm5ttJwo6JYoK0lEF1
qrr6lNfcApZxguWtQX3RbMXVODkg1hqiGmVu7KjTTV7eaAUXGdxoqLsXVIsSv3InCnHJyKaPjFAD
x8pLLt1wlfXGN6lG88oVVFBQij8ZsT3c9k7d+EUzbS2LOTzRdn1FeN9lcT6ZTNC6+XSeN6yNsd23
ahx4hSUe8yJ+p7q/kxbDtXGmNYKltJM29cI2vc0reVGX8aYxC7+fOjBQ3dKsxn0T98fQmaEJOiPY
03SpJThzi+4B0vqpC7WDENEDY9ZJRP11UzqPQy7fez28nSLrVDrZKbVE8CDk/D0N+9d4mNfV1AyL
uGVvqmjiahmOunPoSwrKbTo8unhe/JGyz0IEzdOgDi8Gr8nU4bSZhMZqtIvUhTEpSybsxjJFBgrm
S38XrbwqNGYGVjNtjLpmgSqeM5VVo4FmytPjKV0HjjgmsCW0glvQVP1lKlrFM2NYsLpqbJo5TDyz
SnaT3TLNyLurvuSVUEWxGltKDUXGdKyYSiBykUpNh/p+78pLxD0V6xs9mw+yiYNTnOIUm+boJhxN
dTma9Q2O7WahKxb7iDmow6iQe2ln9TIbXbmwG+1WjdPHZGR+NkXZ7EeKmaA9D4rDOI53hooiXZj2
HVocawnUkOG9dwZfKeL5IiviZtO69Vgs1AKMTVgNu8HlaZUZn8ap7XPfKgJB+acW7KuO01uWtW9M
k8O9gQkTMlw5X1WZE/vBbF3JXr91HGWVzeMhUKzVbMANckL2FUfmvlE2NcjKdN0vh9bajpmteaPa
LuO8bTxknnLN3OKbLUCKucDLeP2R8gm3pabnFqdOV09K2VK4s6vyFq3T6DdOZS6rjoWdqYHPVBRn
EaXju5M5w1MWlGsoRDfZDGhw1MpkHdgxbqQIF05mqJOPQObVnfQnNw9zP1bB6NVxH18UZaj4jh1o
i56CA+bS8aFXM4d12Zn6WMbHPstjX2SuBm6PEmMfytbH71jsc40XumHJ7al1lvlxUBxx+imLeuYD
iEu881SZPRXD+Jqksd8o9mOWDjAik+hZTeG+J4opIR0ZE1MiTgepELKmdptpuBtzVnZhCkA71LL7
tDevhonqWcmsSTEAQ+cIfCiwdMFOV8EvgnZ7NKv0tkzOnFdH/65KbT33VbvTwv7aLKO1lOOdM8GN
kMFtqrvUV6d+IVLrIcz0694OKTB1+iJmLPWK2mAD3WrumZ6j2nKLwBOhcgWRbB22THTPPqipAosX
9xAt8dNhJs0uYGNDfzKCb7NRtrASYZcbgXJKc/Wpk9PF3FTZ2umr9LKMyqeaX+3bSnU/anin9dhs
PRjMJ7tsb5MSBO6oHkOLKZMRTpXX9eYSvT3eJ+beXVcbEGuRfqktCwFdrSYvwly16po4OkxhkZDZ
LlrPqaKR+ZRFgSDCGZZ07H6HirZlNe8ncZovTVWz0FwZrxbrYa/RVIDEBkRhq6KzQKm1pXAt+I4O
/s2UnwHSWQO/2FMYyqvAObVdfJKh+2an8+vQWVe9mm/AcfpDQC2sH9QNYsc91KJVM8a3PL+MMubY
rfoYOiTc0LuJlxebIcMUIL6khVcreuiVgwZDpoBZHHTaAXHzHTe7XIgmutCcqFjbFV9KvWg61rUE
MgNL2WRtzX3LAV1NElPDSFP93NhnSLH1NOORss1ZO5VW+J37e5taTC5KQ0chyHKThgQRYLW3sk0J
QO5mMPiFjs5LbqMAXQVOE/BEzLu5Ur4XrjzAyd+mBftdIaJSRUlfzMKh2OJcpg05htTczVG/hY/J
AolxyYjeg5AzioJ909R3ZjpcGDHVk248OnAcw6Tc0yLglVZxbGprwwO5jduMob33GpN5iTVxoDgv
Ft0Mmth2jE035t9NS9hIm8VqlDOsQh5QrY2qgyLMM303rU9RMMz3eq51b7UuKbVHkMfSBEpPZx+D
oKhXlkbTSm9vgtbwYS3dDSJc5eO8H7Qr0V0Fbce4q14PsMltTVvqvXJSKu58qNzMY7uQ1qnACdd2
nW/PHZbSIKWORE0agi0UxbxVipU5GOYNe7pimYZKs3DZBfLG0oKwZolx6fCAzVF8o2Sgn004+n6b
hv4wKS+smt27xnEutSm6rtwmZFQcQYcHj1rWraxRLJsIuLuWeXYqPXXoTq1SPneAuNUe8ladLorx
WQO/PYthUVsAPrsEMFt+ZRR352rzkJSYZ0vECZC7tmoSbFyskggN0lMtK/DesMpGiJejs67C7qrI
z97b3h+oQsSqsqtHzRvgbMLq9yjhLLqkPjWBu2yj4thSmOFJZyl1Fo3ts7reda123dGTM+bsT7gy
2MdMVNSmXanNfGjQN2TquLH6bKE45lMXQP2WB5NKQkFRL08M3wS0qqFTSOKZKrDmTzJcDQzx1rPq
pI+lU67Y2yljJnnquLDTuyFtLuCLV8VdW+7zrtwhVF4l2AemZFqO2qYwy4UJXFQML476lLh4uB+y
+qnVbl19A0I/yHZnkNIwgXHH8lBtOgWnNljp2koXLQ9aY/QeM0QnaZasz8tiojaoLSr0kfl4Ssu7
ngJU7n430I+n8xlsei7K/6ivxwzbCd/+xH3upbZSDTwF7smxL2zjQM0LlKjQ4HvtIwrJQ3aQdDS5
+j4YTi5Q2ah+rJyner7qw3PZV2cQksspYsHBtka91iUlJ9ZRTvWmUddCj1kCfcUpp55njwk1xLLe
KVzuGl66Mt24860DMKxOYo9vTdqOO7Nmd/7WHKjsJOxBpswd2D1rcnchsobp0qI6Q2zvVF14LJLd
edVlN6a9s7pjNW4d6lRNdUkrhR8OsZfpK5sROct/fKcg4NpeDTnZMnixbpjqLMq29lR12aWsTk5t
OawyfdczeNWO40XJIwtWn+lGJkNPRz2oNkfJojJn0GVfpYQxPQWs6+cXV71U1WnNt9rKtvB9PCfa
WcNJN97ZTXbpLmv6d7tZt5HcFDL2BFclVVeUF3jeUsrZTOR9ZuZL2X4bnYskpIBfp74TbtNs4QyV
b8AGT7QT0zCPm1sOb+VYbibnKUpee6u6RPUIFv6QZ/vQUDytqHynug37m5FjZQ416pCtjCHma5V5
xSBQWYdLO+/8zG2WiGIW7ZmWHeheXh3L6qkeeWVdxZdDziTgyCl6Rp97sxmBUcwOrcXjmD5rvbOL
i5SlN/MgVJWziwVB39TWRWze6wrVBFBR7Wl2kRzB0bbu9ZTJ3lYCFZ7WxcwjBn+ZWV9ncOkQ/eGK
NKhONV38XuGFbXnr22g7pI/EsRApw6yF/V9RMtp17rq0oHhZO5qBeA02Yuh8QMeRse/YE24j1VO6
y1RxV8qgs/uVguZOFuN0iv4HZWey3DiWRNkvghmmh2FLAARJkRRFzdrAFJIC8/gwf30f9qarosIy
ra1WlWkpEgTw3P0Ofo38M+tCtwsaq3wR7WnRGXBL+KQcWcuoeoudMYJvc2lwEsC9EkuQ9L+0litb
dW+VBjuRu21RnKIl38PLOK5xmW3kfI8Ty6kyyzy44r2Jn5iqH27xolXsN6t+luMYaGxIr/Uv4q08
2652mZqFN8kfWKOhrb4+Niyb7OeTsFQijBbO1qpAjVeP40llZO3XkVagCPRa7o1WfSaN+JTbsb8k
ExvH13kzc3S0a303Irczp2oCimsfdSWB4SKpnZXJqtnxy3zoCgOYwVL3mhF03uh5qNN46fZXNrW7
xgFLHnaqJLY3gqqb+vsUQiFwMwiuZoZABY7ZupZCJy03BJFfyrY+FJyjUzWEDTzTkCxEl6csq2Mq
HskVoFQmzq+aZlWTrw6HeUfml72PHXU31Z+a2RwQR+icZDk0tS4uRQr0Zm979dOeP1gr+GjYxFEI
fdtVNRGnKF1Se6tFC8NDvdPKd5eHU+3YpZ+OfuL2oeawFpyAhJuesnPBcEEsKapCvpKnHEjwqYaj
gR/oPteiQB8yhmjdk2risRKUZZ1sPp+6zRQtXiRdL2JPM2D2ZVh+dTL3bzvOEyl3Wgq8xRTZX6xZ
npPmvq7Jtr709oMo3mHOCO6WfuE8O/ZjvbhkndBmoNsSL/Sqm3Lltk4MZIv0Y9qJmnmqqTxF8ve+
5+lFnQBPdrl4iJXzzK5yxURtom5L0/Dcz5FN5canhLQzm+elL3woY3DjL0lHkL9b6xEST1aPvJ7N
PKMAepgkq9nLeKM5VCJ/yF96q9k6tAfzcGHdesfsBR4YAQwQpWG7v0bll3s7BIhUqF+VytkKZfDX
7GGaCTsRz/YcmKzkHgl2n9Wzbf/I9kPTS08rgxzIouzDFLSZKK+cHKHh0BtJoIJYSftqsg28rbZJ
R9hT51fFdtRJA9B3hBEZwHzaa1t054zzOeIMQd3GlkkYD3JLvUl7SpRvHA6jfuqItpNpaK8PBTul
i9HaVYBMqs6G1tGXZC0QfHsALR1r5xBxDILoQld1MXvQ2hBKiEiVoNNZQR8WAIWE0htt2EHKC/ec
pFu1vbZpuhHzV4qSqHvNzXutJq7iayStQbEDp/uejR9hy20HNJsXF22ERh0QCLG7XNlGdjBr1wZm
cX5sULFqT8rwrI4bFX7J5iydyQpZno3oNKY/ChIaOyfprgMETUuvthzkvtVlSY1AR1zboX4wh/dW
ZYe3Ig6VeqfNTDeCPKawyANX/10xUGQ0+fI1zx8ijc2W8Vb0vxz1dcmOLvvXo9W91OyvH36skeyX
Mo7Av6dDyVL5WpVvxpRfIt6JOY68gmYEoU3hpTUYBakn0CePIkt+ikb6ub11yQcb6vxaJdl2yRrf
KZRwWiamC4VEL89wgqrcddXZMV4SibSj21bjZUwPpQYn177L9dk2roV46YSX3PDXC1XbTE7a7bzv
P+ZiPsf5V2YTW1C/W4ig+8nPbiOVYW2s4TDTG0z5se7DMTqJRttM8/NUpZu2TMJE8+2I3/zeXWGc
cqIRzk2rbyzNfTJiBEd6Giw9Um3YZjPep+PDIi6j7SW0CF2Qct+YtDa13u5KWP5sPOfZpTa/ViPZ
wJ8Lw9iYtyIo7mX2E6sMaMahmqkXRSiyjphcMDhamwZxEPt1iZoJiekFEqjUl7G/SAhQ2xth55Wv
MkdkvQe7N2/qku5+7Q80iBs126vjB7h03RBOTebhziwYM0eTqXz1MiJJSpbEg8QLf1Ymr4wQlOgc
m/RuDAT6ei6Z/TXNy/oHyz5E7SOcyAq3AhKudnS548UyVWAKklyWM72Mlh0LO3Q0Am5aLytPTX6Y
GRb1lQwj1nQztubfVX5hX6l6C0hpiBqqmu6lXD4KZdjq+gP5QKQG0GLdVV3mD3W2qaJvpT3lbE0E
l5OR8og2vR5cnlWdpItd3eRbh248bX4YyKUodoaZeMvwKXVaClNe3exuBXcgsEKwYNl076EevBEi
OmF94Tw1TI41B/NdlJYh4UeOrgSS5IUKFF2ju5cu0liylWtb5ZnJttGaBrr1lMcnVFtS46cjmB4x
WVDEuTep/qLmfpm0W3uUB9hkJp6Lk51m61uipjHAFhDGJRWZYHoTdB/sV6ej+Xb1eTubXTCyLRqw
e2wfW6LthyT3XC1H9sbveVtKKYi6z66m8WLa324R863vdeec0uPA57fRm2OEjRoDcCZhD6u0vKZu
vM9SVltGdzbq9qo5xOZpsADuzfuKgAuqJXMUvXN76Oi2RXWa3X3O+isbcTPnpCTYKn+Ks4vTHRKG
3LU5G6iLyrCl0WyJ5NSMB2d9tZyrCd2kfAE0RVlCyBDPTn+WNfFZ7n5QANV9Vd5HxbZ1jmncc674
8YroR/qD/twyN64fjBZdjcYRaC2gJPD47a35e0i2oxvvkvgAgL8ZtUfbRgjqjT1pyeqyWWPCedB/
wJbztqzLRiH3iXaH1bWlc9JzweRLDJ9OKCNuB57ouN1ZWUtaV0qhLXeFE4qeDzMeFWvydFqkhFyY
ihf3bUDFWEbRvdXpb3l9Wm8cgmZsm/WQzY03iQJU1NqqetB3H0pLjZjEnUvLq+avpkIcuYjE5C8z
AqM0qY4GYkmvr2Dvug4grYm2hDHuEoWGqhg+s3K+a+VahZVaQxoQtl2aatBnCJUlP0PRHArD2KvO
9N1GcDdLFoUIJR8KYrGn1UI500cu22Azgh7M+h0AnlS0CU8GnH4VZK6Y6H7ls4iIFzHcZN92SxT5
KIjoo9L2y1FvHO+8krABB14nvzNTO89WVT/Ma63s1so5RnZxtdDKbEvy0mfolxlwXrWIjuzU8rpW
ymkhvBxC9Dqh392nq7VzLRLFtGKX8i4ldekj+nyZFvdYFT+OTIiuilmIzvOMEkNJnDAdecDFLP2p
XrfxXB6UTHjGonhqPYXzRL5zVB2qm0CqJAyHnPCWNAy70ghWStwfu5OhdMttVPSnjgjYTrbntC52
eWbsJS9bWpuvwrGuAj3dIsuLq9GMut2pY7vIIuJzRMRV0jbSA2inW1lJP3DISRoE9hUwVWRtDAww
YPhIfgxZH3qVXLBm/QCNv6I5RfpQAHM5v9Yo9XqCosZkCOYeqo4IjsZPkJCIMSyr311z3+fvovzI
OWgzbkVEolZK+58TtIgsdSOqfQ8DM5NbRO+F8HpKLN+szU81KwMNtq+32Gd9S7yhLePsVzwAzLxj
vbPpcVghwsrMyidQ0J/nbaFvC9XL+LfkjnFv54YEFJ1q8rQCmE2zumnzzqtJMlP63xToPjsr86XW
zY3bUWsAKp2PjMC89hX8319ApoXtNc2ly5+tOiT0LsruGICUvkAWFOgjkduc8fVBI3pJftSZry7n
jogqB+DMS+Lfsj2U00vaczqfpTjBndXJaVr3tc0XeWpYUbWELplWiWzDIn5sMqLuhvuif4uQYfXl
pjbIReEt4ihiKLlWaPjj6zCigSMyxa/Le0IV1e+STfvLw6STxUf67S51jlLeJerdZFNBsCw5PoeQ
FA+Oq3p8NWchvYbzkMPeRLt6dNlpW25X6wCiErFLvnjA6DG1d5LqOl7V6VfbnuPMo8tlEna/iCBJ
FZqQvIXv+m60ART7OhoPPLWAgzrLsElNIxov5+XsiYJC0fjBP0IQOZDFBNyQfczTc2Uc1CScrDBn
7LfabsO19wnV7KlzEWt+GINv0KJ3EN6PxvBplF8DYYhIAUHstT5YM9+kUVlIx3vS3Od1DME4eUO2
1QABQcQ8Xi/X/a2jrKl3lfEILlGWTI5EDYigp8jE71InhOenIwMxea9gvkdV8XTzw0z3VfQ5kCuU
fUvnWJiPy0NURIGaltthuigK48vWdD+NCslV4vGVRpVsLoMEO07cFKoiXTxZtYR3eS7xhqnKU2Vc
TeZ5rdX3bYxIuwl0g9IfZPQfZuyv+ObS6ssseWmKkyYOmjxGmS9foo5TaptVn/W4NSFUkK4BF+n1
ecl2q7IXFMSVoXKmLKKxnqAL7jB4eUu8dQdCA7f5somdTV59MzdOKiK6blco22QM1PZ1HejcHxPA
kolpFGlG46n5h217bn+ebtrx8iMzMsjHByfeaeqpJTSp+U7Y9C3mHQ4FLkvPHpQMVmlv1Xu3/TDk
eVDPqvRFwUdlJEJcECmkiunr1gfQlNO/yeZUZwGCjUycOopx+9LNqZdwFFSIOKu7As316pC4eCRy
DTQKMbVVPVAzmuqOvIhbRlTrniLmA4TNNqmD98ZQQZt3pIwSk9I+tUjZG1oUZ92b5WFA9tDqH4Av
sHmrvTOX/UotTpoHtFmaTtLMrrXuFZMWJUJRUW8U0Fnr3QAsQZqHUHUatql6JYzT6S4dLWnMQDUd
9fIt5vRbnIOTkNaFBOpjJSy2v8/6UIJE5jv6hQIZP9Grm744Fe5jgZSjoz/k/wMMZaQbZaBPxFo2
PJdePOxcCcSpbQtrJ0h+UfZqcSRVk17Jjo4lO/fr7BgBR6F31/xkDqvoN8pLplyoeokU42t0EFuB
S0TvNVllXdyh9vYYNRBV+ln/Vjfv2VjBSxy18ZcymZAxx/wm6B/fSw05yNbOT9XtqHHRdf6GGgDx
hWOZjO+MsWlu9jUpvrCThrNdSdSCPAX0hbN/UJfHZOHRRqVbg3br+Q+v/dxtiu7bZBZIuqeZ4LC+
QIKc3OXjfZW+p4gJwURk8dHaQT5TuJnIA3FUK1DKl9ppdqZJsAZgFmpEI0dxUm0Q+kcoyZy2Ca35
fjJ2ZrTTidqogi4HgLQg+t6a8d7+qKdT1l+H6P6Wu9s1d6kVNhgGKB5195gbQZYjp9nY5Ymw6xpv
g9zo3VYzjoN9buRp1Aw/zyHmy11P3idPDYsQmJvzVXqOtNGtfS0SLpHDt0Sp1MWLh6xd72lOTpJc
qaIIEvlhFgLdL0GFtJmI+RHq9ZSEVzc71DfvyrGED4ytUJgXhnlz4ZEPnUrDB/oyiH1N5EqlnRI2
wYMegwzY4jWhRVqanUDbVdiLN/WXfPkVEX0oo5ppGZfB7IZ5S5tdjmjs0JQr9UXCB7eleOic6XUF
FWyygjrgBt2YkAgLYA/ysVbwMKaCfcA1Aofm2uqT1ItohJ2iPdgZfoZ5gLApUF9Uh8UF+Eta9ctu
p7tCNET3YnwY7tThNDXfWc4UZxkIxoMmfVeR4sBv7CTMh1lRyXjmjHZXWMo+dxGzD2sZyHLYJnH0
JNGZ6qj1Igq5VrkAKd2ubAnHLMjykrSwKLgaojPNmQiwAUFEZ73ohviJiErLliN5pnqfBi4xSkOm
IWVMkNXFFjlxQNgZ2E9BfYT6zEiohNRoBAhKbG1xDMAKvaIIJMSr9nNOb8fKT7Y9HZqp2d40Z1U+
XJfsPVLf8PDeZ7dEQuZ+tDy0LGRHJurJAqnXir0xTQdhQDjUVzVivnd+O0g1m2gi1nRmnH5TozBe
Dwq5oJM+w62cY2vxK6b8WEIdWaYTeavxw2CZyxIvAsMb77klCj9WP9Tye1WdQICoLpURziSB4v1I
hzUsnfWu420aYN3LLA9VlKSTlf1Kyjw0m7tY/VrpH3GMUG9Uv0mji1VClapigxhzq3SHCXYQwHSv
2z9j1jyTB7BdVmtP4wN0Rl7p9K53WrCCFSqTP0NqELiBFbr0TFIxV73eNWZ3slUYtcJIgTemL6Vs
dqtJd62CtbqobBVdgQZt+2dlsAPd1a+N6VyduXmVjjwghNhUg3qS8Uoiasq0eJxk56mmcWynFGtM
uOZTKOJ415R8NSCguRXbtqmoYNVZGvnPDH+W9fSnkxrWjLmKdhVNsU2jY9s+pM0VYzTcQA2tVd0n
xLflRXJYrc8EM8mafpjSOuZkaOYlhzWOLYT+O4TU+5KBxB1yb3SJDM5vTau6M5rVcyI3RJiyz3Pj
rkBfKMbiLiq0Y667FPoYcQRyBFMEdWv5zBVosCjFBB9V5LzmWJEYka7wjQjwtOxXSctsJPBdZX+f
ixeZCIYf9ZiuyCGhyYV4W8YRp/b64wzJ+5wrwIXaRpcODE60kRoO+mnB4jE/1DhW0Ft5DtSzOSi8
wC9Ekc9eoum/ktjYt229yzt7s1RwdiCuFdkPinbp3SdsZLH9VHE3o3UKh4rczaR6sMBRHIbkqk2Q
RaC8odHRJ8SswaLu16YJijZ0kHSUtrtdsOkqEb1XQ53PzouCao20vEI2u5gdcNBKJqGvYkccKGwE
TRO5nxUQXj1nRF5AKOVQOpPCCAQFNjW+zNSdqr5WOdhQ47yZbXRJSoJ3mymsBNiy1m/NAZLLGs+R
C97pqr7rwu1aNeOu+iJqyysGAIXxU2mvdfFiD91Wj+pDpiEhkzzTDXHEog1aRrHENN6ryn7UXUSu
E+dXbH9aaGm6mh4+xvIAmD9x6Oaz9JKxDKY2DnM1DQslwbcA85MxI+dt8tKoJiG6NLLFydCfjBUw
naJg6vCD0fgilvd07f0UqNoEuhpT5NhH3Pp7dA8Q/jYwbtTvMIlu7MQiMDudAqsGiswbf6Q9xcQX
rvqzk/LvLCGe8oY2H559inJSZrXdWLCfYAKZr2OdqE/jMtXGm2oCRTTEFc/9uCsSzgyS9RTb8br2
A/L50HDc2fQGsBL0pvHOTlR/rsRTzBoAo3JPSZZuHVyvkBXc0Gk3TC69LpEzNSTMhBTJLf1s6oif
mxZomhz2XQMXHHc3tfuwQEZa2DyN3rPGhajX/kDU3Tv5NY9VbD/ixNtZCqezjXPM4iGfZzYszIM3
p5pX1c3DJCISw5WtBqKfRDnTVvJuFupbPEXPNka/tEv3rhZfVodBfm3j19iU90jdjgVsjAPXF7cl
yLZ11DhYJD6vSpCgzl1dkvikABFOoEpWtJ40o39M1tizXHIRcQ+oyOP0RLsf6iiUA+ww8UGow/CA
JndjA5Gb0C3I9L1wMjqgr4h9DVPicLHdKa26c2R3Xr46T4T4eUqGQZGQPjEQ6+turC7ZCRIOLSfe
NjCRc2lvhGkinrtkxG7X5XJasu5gWclzii+rsySikCkEfINrK/AsQb8qulfk67GkVuJB6XrKYHo1
ljaMutIfCuCEJVxhrZeO94skaGdlRp6W0CY2l8p1EVUUmn1/FOS1zdV7vCbIN0talnKvItTQ3QTL
qI3GoNhY2ULAeXTszfxJc/TzYNib2hWc8+pWS+ZArqigKkSkTXywq3OH+iaxom2F+DVdJXMiJgmQ
XliQHqWumdu/lLg/TROdYz0SJakRld4qVxO7HtCSfNMFB8dSVcCHJmlxOiI2DwAM6UUD/4GU6avp
29FXTII5a6P6PeRjvl2LIUE5gLrDcZptbUfYRysz/THqsTmUg64d3Eooj2q+aA/SvpUw7D7CTqny
Bpx6TcCObp8MRQGAG0GylHT5rAztcWEkb4wvqeLzKFTxUuTFfaoS1Nu7Mb2oAm86DYx39dqeC6V1
cfkZio9w6d2xnPOwuOjWYSMct/lyaxav6qObBMWq/rYjBXtWUlSIEODrlJn5X0ly+9DDfxX1aHrV
CJZrrRMB6Aotd5+NhKWK6JeY2y/pIKLJlEtBb9Qlw2HpXIsdKc5rluVnkDsPNyLK5fQ9xnKTwPtL
S3lyIlDhyNbyoJ+y69KgOVGU0bdlcSQ0145e+r4JourbaJEsYN4ittiIY5T6na+oLs8dVlx4LtHS
OCzZabJX3CDJx+3xXeZ2o+F907vZb6d4M2f5nuCkoMx+RuLpMe3s3OVJb9qLlg8Psv1M7Kdcm5kj
mmCI841tpY8r/30zooZyWIhyWDLAFQtn6U4dCaJOkId/lEqLvXF40g38WuJJaoCgVZDMv1MMXtlC
mnkT6tnIuzonrTdIOr91rYHqZXzJ026HfC+Y5QJiai+/c6JhE/k5OeljqZ1M81CqC0PA7KNZw47X
360j/HeRBaljPpTuo+v+ivI0iJ2Kcc/eKNVr26Ve1z3jlsDjvLRvSmLuBPLPtbgrcBL3GDYb1UsX
XNvYr0x8gAUpxtUsPFl/u+Wn0Tzq4st0bRQpJjRpex215N5A4t9bDq4gxM3zXcHIKfoiRBu2Tbl+
RdxjePVmLktT3zU41Vl2MLKoOBAkB5ErCJKj2N5giy4/iczyhvl1UVMwqSqY0BMNdeJlUMuTDciJ
xY1WjzGDe0dm7jo/WrRO1QTckMG5htg3pfW2WI0/jzzmy4eNe0V/jq1Pp70TeublnbJRAYGi4mUl
eXjN9nhU6GBxLkW1n/T2i0v9a8b0uIBXDjilRGLyzznXbrsBnM7Y1etjTIAX+AtJw5A0UfQ0lGgn
OKzLAn+LWwZdRR5wHG/VqTqu+OBTPL8dLLHF8bWsyn3JXKA5CLjuFJrgRH8sWNljvo7ZoQLDWnVw
XgCO1CvwaI/YGgZVCW6ntUZHZgD29e3nMlVvHSIPDX2N2r3ndfIOTH0Xyz7oWWcT1uizeAesx1lM
QV+sL9GyfPYIUme3P3b4jZiNAv7IJdKUZFsuHWhYE70uo/Urp9Cjv+t/TwxldqFSDiuDvOYOV7Vl
TK+Jzj099wP7i0zRejOqLhVVNSs1SB4u72/J6l2nHBqnb3wF+SOilY2SyI1pFl4Wt5u4YoIoj2te
nvrafLypNGcXuyKg8DS2p76qz+Uoj1jxvYGOfVHeFdzGbQ45eJnUn4KjeRx/EM555fpigt8jnxOQ
5L2IfakrgP/gmxvi9piU8pMUKGRlAlT0paOUmibaOSspZq/tyiesfpvKYRXAOO9VwWgpY58ea2vT
uYz08wPwTQZKudTzwWbycGOd6orMqfZKUE4rvRA0el/13WNlGFCjQLaOhY1I5wfsUcFr4tjVAOR0
SAsoQkvidDccEFod4tFFLMa6gx7JBS9oOmX4tdS3rO3eYmj3MXb/rz3ctuy71knDSYyBnTS/EDuH
EZ1tW1sP2JaOdZbw1uwmJpe6VMO4VPcquEGtg+s1+fTQmzFwrfKU9ubbbIFV6ivMmChNzhaxvtV2
9lq77UPUcUmtNby0NiUE/iCBtHOeRrDLhjzhw2oM0TZCTh5KRtDbBHkm8a/dtG7+Na/l2xDpdGbr
0+yyaWS1Jn+QOYnd+WCcNHNUz1PZXa3eeVkV4zzZbbwbalwRMp/eE7W6qYu2TlX9xJUEVV6BEhU4
2hbdc1uaK01KdhJDfU11bmmmMOFEJsJMSo0addvSaI+9rC56KaONm92AQUNP9srUWD//vIDkf5fG
mLoQhu66rkk8nP3HnhU1c9VOVUmYbQ20d0bPkTz1WCswTzzr62hv8sn8l/hK7S87T1jtornMtoRK
suDlvzfwpJGVuJaLP3OaVLFLF8IdbafPgyiL0a+3aRPmwm6hq2nMIz06rfjo8Ie0epit8vrP1284
/5umyTYl3bRNzcHD5Zi37T3/sQ8os1Us6CO4PMjGTSKmST/VWNxlNdNxvWktlRylrOo7qRJGRvNW
S/k1RfZjZGTPXV4pQaJE97WhCMzy0wbHarnBEP6g8zIxo6gMiTfKVbFCrTKfktEJ2AJx255RPqyi
DteCSc9gm0hW6FedbURSXXfqql4ZIUZKy9I+NRRRhPHoB08awE3b+StiHTRUPESY9FhDkeEsLZ27
xkJ6h0rJNtu9jfHWMMJIwLIALTdaf83aH8O+LzgIswyPHXysixCquHT2FsQVayJV7mG1Xs1c8/q8
eUwX660uf0d2vEcIe4yc7gkZ9m4RnHGackJRsI3z1HNyG3kEx9+YeC4HE0/ZpspqBk+aFAuhEKIk
VlpdrIqk4DU+xLpA1S/YpILFS52jc8GpwnByTl35FQMZ6mYfqtFAj5a+KvGCGSTGuT1tazZqrfjm
8rq/pmO3X2LUMkkUffGH+O4ajORQXE2IMniaXN1MWMWmXhxlkRwHbOEYHVijYZpXSkiwzi0ijJs3
sxJT5MVm/Kgs+Yu13ikZfo2cub1acWIpH7n4xiuUlK83YZgsl2M9GP7aH7EMU6m4nl4ApjGn0jOn
erezcCyKvP1gh9B2dSMIvoUoUnnson09v5jJveC3NJ5hHs9Vlg/+lCL5WJQXPWJ9w0tWivOk24ER
Wa9NdFuKNXQJpH3/toLKZ10LZokVoQEEaFdxFbBKWSF2XTaGs5nttMFlG5zcpaXm1bNfWqFVKdvY
HF46FJMgOUs8o2YtnlKYVLYv9AIFo3JeVJQr2rKXVF7snLu5kGjnWYdQfOaVs0kLMP3ooAwPSXda
7d968RRpWJfMJLSm0kfYgM6p92NYqBiTOa3b3kzN85S2bxXi95aTxbLOtot7Z81YJbjGv0Uqg17l
SyvPYpj9Dm2eWRQ3VpSabaAuc3fJCuWuoAuHtr61bV0U7+sOEQ/mSm19JbQxjOR3Vr7xm6FlnLaa
9lGBSOltu9Eb/Sra6mFYtFMxW35CcLtA7RE78GHWk9Da7ay/KCz3q3HoYV0KY/eKQc+f0SHEhXqX
aSKYb8AtUjdXi44C05jJyqlZw6WW0FoL60JHv1mV0+iiwrTfFes7HdItctdgsgI5uRuUpDjnVdKC
DW8d0KPHUOFFIX/q9b0siHKOn7rlJDlrqDsI30awaZQqQryX9ox/5iyEsqWloyendJlIEJlwHSt+
vCkXpnZB37qerdzxjGEmMvSztCAvC8szC3sT4z6d5+9Vy19jfKZpLDg8LF8v87OB2cxJpiBaeJBm
Ixi6bodu4xqpqAroYPAdgkestghbkFQrKt8UsZyjsuPcUIIRo6CzpP68ABe2CpCAWcAOjUwyevNj
ZnJnZhM3aayDaUkYGdlxM0gH4/xwzhLrp1rHI/2bly0nMcqd6BPA2uY508BEyy5sJqCT2WIMhgta
8p+ijRBixEBYrH+ZJgqEbMTH1LCGCjvGseLeZhrqX+jM2R4eo1hJwRfmpyVNtnPXgevbL2OLQBDe
yVnLO7kCo1UTPFhudeWmwHD9zwXlLzur6G10x8RLYDmq+kdBnSfdWBC2W3TrCHV5mWB8ELw1Gnbv
f/6kvxUuV2h8mKsJFZ37fxeueerKuls7tmOxE0pNAXYaH45N4kvJimXbd9G/LGX7361vpk5hVjF7
OSYg9R8faGWJdJu1YHFT3h37uD1WSn3452v626/3nx/xxw67BJiosavK8YfEdg6ttrRHy2jeTcj2
f/6g2x/6Y++aobouQjnbVVXdVf/7xytMdK/qymox5CmFZ5Y4gHvTKAKZylc7Xv5l0aF++3N/fhyK
b8vWLJVtKn/eq1KJTDOuFcs3osHatWP1NWbARGoLE70gP+QEiD9skwYkyVp0GPHwMbvmryRFPcVe
oiNajN2SDae4ii9S6hemsB7CsWaEmS31Xx6svyzfM43//LZ/3IV26rpELNyFTlHRS+MKCjQNN1sS
3UTtGeuzcEx3r1BnyUbaxfekt6lva1PqK4SIo1ErL6Wq/NtOwL88fv/1rf54syarrNrB5Fs1ZkS/
tMDoaWzw+v9/LjTd1tRb5LStG3/0pmuEG7puanaHsCYB+s4+ZBLvOD5of66Nx3/+sL+8wVzR//uw
2xX/R+upEfyLXQTzo6Ig04xd/TmfnHvbMb7Y4fY1T9Y5m8t/ubl/e/A1k5bXNmn4VfuPC5RyUPLa
qjHmNCzCsmzlsNqsUsvX2dpoUyH+5cz4ywttcLQJVxi2Zmp/zhdOXA+WI/k9EQOwL65vjnbPopSc
dzL45x/zb2PFf33U7df+j19zyJexN4eG81C481kWN1FFbF4qs39sdBdsPF2Dfi3zfQeQsnFzVrsY
VX7z1Gb/crj820X/MVIIS7cs9k1B0hcARHm6Q/sQdDNrsf75kv/6/FjsGWZ+43/OH/sqlRwTvyx5
IyqzkXcyGdat1Shh0a939owqvv0/7J1XcuRYmqW30lbvyIa+wFhXmY1rQeFOTb7AGCQDWl+Ii13N
GmZj8yEyqyuDGRPR/d75lJkMhis47i/O+U6u00fCXf7F4367XX2+nbEE1nWXTHbX/vwt6auJM9v3
BEbefn5T469x/rUasVXnUY5jkzoCBXnrdR9hJFnWj0uT1XFe0L30CIozMAIGUgFhDZhia3fRZvis
2w4HWzZchKK/jJgqtRj86tHYWO1TBnxzwuHOxnvbb7DnXbtxhWsEe3lfdTQx9cYptS3jNsbuhoMW
YUgZaYN9wn1y1iuFa8i3MuxM7mUjIf+wvWLLZlfZlcKUtxJKZxXu1Wxu46HdYM7N96M0S5zMxq5M
X4wqZPWDxnBKJNQtdox1h30Jp+xY3aQtogkPdsjPP9wfnhmmjw7MNVmjuJ/f5C4ZZausQKzsuKkv
Yr/sT0LkIRNoI1sVFN0rIdWpc4J0DfPHWoNuKyA22m9RJGLqtDQ6wH8OrnD2XdV4fqk3EZkUVnSX
gqc4RH3X/Oop/+jC53uu4wo1LUT0ny7ISijZYAITqy4UkjKY2Yzv49RghDrcYzkaN6Vjbh3B/Hti
yeyH9aEwlVpKQJyNlPA/DIg3VWwne39or3D5PrGZrJ601J8WolDG0klypkKRH1zXusheZeNBmcyY
Ef/8zf/BWAQWq657vsF17lmfXsiklROLuYYXokZ0OBXG8d5gDzmW3s4C57SQfOC/CLU3fvTu2XAr
TUf3HdPwP902Etm3HZ+hWLUhDJmJRYzuuWwAS+NV9iZzNoE2MmaAunSbyqaVNU6J2z1SjC4aHK5D
q99jBP/4+Tth/ejAsF1BbD3HheN+voMXgLTy3oaMEgxy22T1pclV581+5t7OT1E/xdhhChO7h30D
aO0lHjFwZqm6tsIekLPP/9XGswlbzNRHLLo1EinbPdchk/V0xMYEPJBZAUtTtc4zgC7sCML94Hdy
lZXplsbgSVXjI1qYfC3c8hoYO9zI6jyy01+64OB3P3/Bv3q9n44RTa87eIt8CqETWUttgrGp8Gak
DQJAXWP/9fOHE+YPSsN5CGbqs9KZQdT3x1be91Mt9BroMI4h3asWAgeubWTbBp1KPTw70UNbRotC
PVTDAZQlUtb7QeZ7I+5WTbBhUnkUzZfQrBe9urdR70DjeWj1U4FbA44VBLNdG9vnVE/RVQX7Clqs
qjFFxkNzaOKDo6LbVmBzLfuzlzPfj7D/JSgozDvftVaNaFacpKtoOovhiwenK3FppxO1C9niih6/
kTMxdkDwhVXexnhVcI/BDBh7N7GR7jMd2GLw7uvGvikAbWrZMenavYkzrLWbTYrIQNAuAwN41gN7
NwN8am88//w9nr84n48r27cFV68HkU3/9MXKi2ASZd9xCUu92gWDn6M2CF89MW20HDuz4QW8WAc9
H87Inz+0PddTf31sz/BN4fC99j7VW1HthSlEG3fVNGzqq6oSzBGQSZTVSeXeakycu8oA91AhSvDq
4hjU2EcbcdAiPUdbIoq94rvuVtZZL5PL1HN2pm6QjNCjoZ5cDVFoKFJAYiG0PUPc+1N6nXdQDfp+
26XuDkQzMxpscPn0FnPjXSSEE3S+WAOY3wDzuNaK9Dh/OdM2WpYIzwZRHSyr3NY+hNJfvBffmt+f
vRmfCt5O1uOQZq1YOSmSR8+5FtNtn9w50THxmbjW1p67wT7y3OvIVBdherKn5TzbVDsBWiIvcBS5
yI4itH3nwfKWfT4xb4SVY14CyYYCjM69HpiGHSyW0UM2818a7MGMdBs8InBPwnJhINVx5mP8HFEu
9Liv9KtWPLlMTyUuu35ExXlUNotaee+5yYXOtl0yxMT55dUf1XhyzHQxje+o+5GFILpjYjGtRcvW
567SYOsisIM2Yq1DhlezWyhaJ/lGs0651y2AdlmEbUzXgbNOym42hRcCCyWC62AH185zt7ncS4ST
k1q79PX7Pj+YoApRqvr1sgkvO7I3xq+BL1d1wggYDUTY5dhPp72PsBKGMlC5bcFWfOL5hQ5qAoQN
M5ERb1OBB6WwobngB0P9atxXIYKyW614rQL6PEyB4VJgVBXohmGxNec248lJFuRXg/+eecyyF5oH
EzLCp72N1bFCxAkfuktXOA1Vd2mE2Dgb3okns79sQDT6d/X4jiQ5dq5j3phs2HclTtcctw8yjOrY
WGsLQ461Rzgg8nNQL3Xe1WAh3qNsFeg3nr4qDNaujGseGG/ZESskPg8w1wi0YStoOkcK/rA9ICYm
ZrTMxjVLFOVtgngX9K91Fq8yUJbqw7L3VrVg3VL012Bh8HS0bGmilQKlF1doQl8mJquZhU34NrL3
VQ8jY82X0sQBkfNeL2d9ab82Hwb9JuTPE0HykCCY8D9K80ueQyojrmSDrEjvM97vTYw3g7+zWg8W
2/BFWy/r7Bz45xqWt8FTFg+Bs2Fwh3goBnMC/ExTlyNmJW/N5MaoLrAFpd5TUT27WJ9aDsn03Ixb
/HYWQu7oesR1VzNyb0CwvVbdra7sA0iU/QROpiia1TwiQ5vnxdAG73LrzlO7wdlU2DScatdqtHzG
Rdc9D+pUawfdOFnmoWiWNmoxtamMYmlO19V0SoavSOx1F/n6djSOocNwIj5hXUNE7OXNhkXBIk4f
JoDbr7Xq1q7DxogPFHGtwG3gXMAjAkNxbSSPYXdZVUcdlWfLqHYbOmipl7B1ncRe2vrV1EPYus/l
rmHjqNp12V4ikAQl8VzpL3V7a03rLr5RLXpJCiBwoM82KhF86Xm8Zd3qJQw/h7mVXttfYt6YAs5M
kwB+TBYlTGWzXeNB9fyDjQ9lTB6dAMs8WugRJ/AH9nR83Bh+kv2klmGsX3f2u21eSYpNINdD9DbI
A6dZZe497bJQ6bqrejAwMH1mCzM2kkjbKPVlwG7LLCdGubFAIhg+lyV2xIL7jjjBxWmzA8L/8imP
b1Kn21joKOl/XpIKuTn37LInbtOCEwBYMUadZ8sGs68zS29+NTs05gL2852YQpMJJc254HD6vuro
yyZQdcKd2Naym66GT850Si0sNSSz0OvoDumbruJtmptg80P9fhrbXxyN5lxJ/eU5WD41j20bhuV/
OhqFVyUmuDSxyisyF3RDH1dVHbDQ6FN70znund0HfD9cLacY5rtb19lmUtAirOkZ/BJwOb9Ao6oZ
/cJ2Vb0k9OcucBiQ9TUgYcXyJE77c+z5l04NC1cfbnUD0tzIquvUF8F4GSfuL+aXPyoeHYYrLsU3
shH309tqSa8Fbp7jTGwS3BXxVY9nMa2QWE7wUX9xnjq/erRPpepILxGLPgG2m3FdxVMVIrlp7Q0L
EbpyJzjh2wOPhLPW5FiHl433cEzC296qL61IPgLBXDs50U2+ZJCnBefUHu/DQT+bcYgbW283nWla
kHeseBPI/qNDP4A2lVWLYqZQusZ5UMaRPpkzMCHBiFugcDRBRpKF6GpmPneJTmwHntY+TMAK6uUB
ccAj4SGvgYyeXQfNDOt1xv4RCztclGKjWo71Qjx7jaj2w9hPq6As61UyTle9H3vYtfV9nZb71vxl
fWJ8q7U/X5ECWZjB9F5Ynj93aH8aIY0JH62fToIKALFH7wNg7cgh4KgE3oo+bGAnC8JMo+SeIo7R
/CPp8wcLxVfPlJS9CCtW39tlLQteOb1rRv2cGN591cXPbVNfR2j8YhltwyS8AG1VLTqUi1JAbotq
oK0x2w/kPMELhU/VmUvo3ls/QAneitsKkhSr3pcuB8wgUrgn9c0UcEBcdvj0cW8U1BPhxPEcgpoF
By8kFskc7A8+9j4h5SrDAASJJf8yEMHgjBhobZBQCcd9KZqjlCNMEoBfLaYB7ValWI8r+RHzsKBC
n3vZXuqsd7AFK/XW1/1ybPG/O3MpU62RCy6EF1FZwROie8kqptMGWrgGEb3f6edIA2RvgNLHpdrb
7IPdY61NAC9SXq53MYXgOwWUYzSfEIYw7mJDQmohbt2Qd5Kohj6jaEunhYESsw5aLDdX3AH4u2Py
Js5dV+4T9pwTEqThRQu6r63wNmEvD1Wa7xSKpi6Y9hnOGtfwlpNZ30hedo1VzI70eV95bVvv9ZCs
+8pZw/DeWqm7knp5MnDhWOxUiu5mkhqAsxYucJqyzauuCqWDNbDW0ouOZgjJCMeQhYDt5zXzD6ea
HoNTOiQcVcx+v78k+4Cbcx7PYFKjKiH9dx9mlZ2ZTp+92j4p3SeVw8lveqmmNavnkM1fdkhr2/jF
YPybKuPzd8PzmEdZgjkD88bvn4iWTq4jc3e+2TiwKYyZxCSZPdVdDGFE1iAai5YRm5ZdTpG6rcP8
a9x5V5oaT/0Q2r+49/3o7PB8V7iOoN9xPy9UCB+StcPPmUBSjBZxcwxVeAoi+VElOMokBPNovP7F
Z/HXqRDXh6vDZfDnm4P76S0QWpDUrZ75q37T7O2lvPXUQTOADw6kVhE7sA+XzVajZa9eh0fx3/8A
vnt08WllFXgYTgzJo9vn6kJfaosOBfQi3ab7/DTcRutfPeBfTxcez7N14P+Owy1x/vmfboZ9V7N4
tIW30qPU3QYAXZAGGV8S3XL2cdS//fzN/evw6/tH+3RyGnbWMXH1mZmHV8puufOmEIP8X8zYfvgJ
8noYs7DKdL7NXP/0miJEm3Fd8Zq8hC04WEWk7my7UF6Cg5ANrKTMtvVfXKv2Xy9WKHfzkcJYz2X5
8mmaCJuy94jF4VE1eSPzvF8DL4DCnhYAC+rwporlpu/DYxfIh7Aop5ULCUhz4jcCQlZ+Cic8oj4z
O+xr1lnlLN4rrJW99BHjdK+B0+ybttwGRvDsJ9NKVvB4s7C5TnUwZzCriqm5cl3KWN0GJJQvAAQv
zDkZkI63HTrurigV0L8zqieMCEY09CRHw3XqIpCuze7IF9vf2o6xsV1cO6I02s3PP3zzB9eaSfyV
y6TV8Yk7+XSXQzNUeNDXvFVg+F/ylKWJgbCm2oxkmQ1QhznGipNjew8KkFA7q+Z149YUNbRn+yi8
7hpl0UcTdHvagK2CA66QmcLdA2+qrSsfUFA5IR/P+yfoX/ufP/kfXFM8d2HMUWXcGT4PvUNq/zbN
2cNbmTstRre9bVzUNRw9RzSY6NjM8vnbI/772/i/wo/y9Ptdt/3Hf/Dfb2Wlmpgtyaf//Mdl/IY4
tfwq/2P+tf/8Y9//0j+uq485iuDjQ16+Vp//5He/yN//x+OvXuXrd/+xLgDwqnP30aibj7bL5LcH
4ZnOf/K/+sN/+/j2t9yp6uPvf3t9z2OOhxb++Zv82x8/2r///W8GVb7Aif2nT2B+kD/+xNVrzi8v
X//v/3ltfvxbH6+t/PvfsM78xqzPt3y2uGypmPr97d+Gj99/5P+GfsGhOCfMxDEtmxlUUbKV4NfM
30z28/Na1Hd8fC/zF7ktuz9+5lkcM/zMM5lPz0rJf74N331g//oA/63o8lMZF7L9+99+D3b703HK
/4BoqjNUnGfrNGKf7gnTlFo4cwYHEWRKGJFoAUI5BRKycbpF6fpQ5DH++GBVyvqx0UJE6XW2rGsM
i7mOt3iULk4HHYhKaANzzEanXFNq0gVUGJdNTz1i0e1vSUjFGp5mr5AbT3pIBaE7sb3Tk3QTIV5h
SqXSw6CavUS5NqbpdTcQS6KH+ZNAtIrejG1dOfBrppva+HVl8RQT3cpNqSAQUra4PE0vwC5mfh3L
OCYvCd3OaJj9LQKw+FTpbfUmR20Xswtc9y7KQjJUi0Va5sW2maIAS03Y7hpTJtvQk84qasd+6Yo0
2aZq6qDhsRz32vq2D8E8RnWW3qHz/mqW+bAqjcxeqgrASpcTRxDZQYNyGV9yPg4DtnvzOUglxa0i
3WASmHCcqTIuwwGLNyhrHCexQ0RX2qLOw94Iqog4IwZbakko2lErI/SRXfQ6EoUEnG025sS2d4Gt
BmaT1ULsJVpgZaZszYXU1MYIW1rRHvO7Xgl/2XgEl1iyNK61nFmXZTT09I3JuKhqcjgGsl26Zazf
5X0JIsD1tD1ySvB0unwywwicCZ0a8M7hEIvqpU11bVX4E9ltGu4qyOiD5rQHMkOYZ7UcJKyKmHfA
7i5kIHl6uA3NiQrFnKhgrRYQSvCMuoCMGD7ozDk2prcbWh/NfH7Su+6rV4r31Ipg9Y3DNs/K+ygD
6VOydNrrsujfHENCJiYmhqm0GnDJDbcGTuxlBiF56fRgJsrIGNalJvWtRPxKB4/yC8lbep8TlTTq
c2aSlbxHRm0dInfOU0JGvkbT3x5qwpbywLWOPYBTonkxnuRNWOyEbjg7QUxTVEl/P+ZtvDWBIG3S
sus3Rs+UMPCmd2VCq/B1fCtqTn/S5xyock6Eyi2ba7OBedHMeVFuzeRpDpByw0MUaVcWehpWe28Q
66Avlc6DMGNWwdoWQcSFFQAnB3+YkCkxElOl9OaLIrbKNsFdE2Olj+RZ+Sq+Lgm4qkhWaOfEK82L
YIjPKVj9nIdlzclYuKd2DlFZuXSnE9Qf9Oh2rK+hzTWsoJ37XOFQiXVIZhmHsrFwkwBHaY9ae9nl
g7vPZb9JbHWdNaQemrH3KlWiHTVBHFioG28WsuRxopdOw8caQdPSmRPFbA6chRui4ZPtdMoN1JeR
Gd1PRX+uMzayqc+3C0YOuJoa+sQce+aRf6Y5w5Hu6xZjxkGSj5bbYAizbGDEBsw2LtmoD3Ocmkmu
miQV6JoWwVm4WuQ/1LWT7lMt/VI6ZBD77lOSUFoMyrJXyvOIRDJAcIxW4yI0bnFF5JVzTRzWbdGP
8YVRliQq2fqjXU7uMSwtihdozIaMv4ioffMGxrl02u9SQblEyi4v3GYyWOyD1XYGDYlMAadJRRvd
Cuz10PQo+FtiD0O9YT8ocT07vXGVNB4IJj+6Fw5M/0yDKxBEosIZEdFYp/G+jkJvredmeTbcHndv
zDewgaZ1H6WSSfMc4uR2Wb5M0vyxaqOvll8GByfp64MDlHtOa7mIkesv9AJ7WVWrBjsv3lyEy0ti
cBAgxsAFsQWyu2hsdLRYNrXUvqqbjLmBjyTaFChja/hFfLR+wlP0SK2zo5fQ0r/oXXhphrNc3HVe
Ax+IQ+K1N3UNKjQfsEqLZnCX/1NjSDXXGIieHNuiivv3fx7gfykx/vfUvao/Vxj/+Tv/KjBQQM5F
gmEJF3HTdwWG4BbLutG1DLJk/O8KDAcbqY24yXAM20M8868Cw/rNNT1L+J6JSkpYtuX9dwoM2gra
s+8LDJM6Gs8xegyf0vTTcLBNiPdxAxyLifk1H3z8YbgRV2mVlasBzcsykMzwWj9zF0WEvyclEG0h
fB+KrvD3+RwEIDqxrcIa0Fd3n0z6o9TyHgtNnm8QDyZHQyCqri2bHDdWBrYm5dYphHwMJStVM2UB
Z5C0ecv07jGqEzaPGsg0h/jAhcat4BYWjXeZ2ZODE1w5x8KM78sOeonZ+f5e+Gm+wjUD8zEt1Llg
jgviclg4NU6prjGwVUVtuK40ZEWt025rLbtoUgdHO8ZsZvBhA+LYwoQ5GCwbzbxeyVE/1t0If7Gx
tp5gxdL54zNpdhGxlb1Pe6XGNf4FvLvEQxw9HD9bnAZy1eis2AZc+wtX5fgjnekZBAB38jytdyH5
shd8F/tqobXIjJUDrcIPfDzggCaG3PnQO/+CIXe7LK2O5CIb9bFNtaNBPV90Q1vfO3gKSYnq7zVV
+m8D06tj7HfVGgFMtZMZxkbfDp2N3rkfaeZZh74JHjklmX7X5IJgrz9Plodhx1dE2PupDoOPPKS+
z6Gt+mgzUKpwH5F0Sfxui61EVJgFJze+T105XNeWhxGvbVlkJYaLPxv0tZZY8ZGMhY8kgfYQJgDZ
q5FJKCE1dIytDShFauJSedM5h56/qUPbuLADZobEuTyGUQglPJ4+cjcLH8zQhpuQRCNgeWjPzLmy
QyNz514vkY6l4Zykisz3KRr4zKZG3tYGAbW9LZ5iF8ILqJI5WJOKrrUBvbSeSjdzhASjNqxKeh+U
69Isxn1PfXEkxE7Da9J42MIxsFcDViqjZhdk9ajlq0TppGYgtRd2etabsbuSTgzEqbvA+o4bx3yR
nkGWgW0HkI0o03SzeieXEXYGWziq4/Cxyr2YaFm72Wmp62/7COJFGmTjoptr22iucqsU0Lvyy7cy
kfFJDlTh9VwVIzWPVhGFckc5BhOjHBbBXEWrEY9fOlfW1lxj98jetlpBGog+JU8mkZgMPtPrqKl3
PXV6n9XpwS8HfU4T3ExzMT/NZX2Z9KdAxa+aT8FPtGl3G5W9evRyQVxBkV6kc4NQVt/GnjQNam4f
+r4BIeqUFcoimgvNMa6tqHgy0RIxa7qP6EQQirE3KKHp2J2fb735nIHtxxU1nz0ph5A2n0a99F7V
PDqOOKwi8pLTSat3SYzssplPNGs+27wGW3szn3dN6F7h6CxWOUchVSL+6vl0DOZzMp9PzJyFaD2f
oRBo2J7P52rMAWtUunaWfT7jIsPgUHIMxxzHznwus+7jcwI1gD+dU1vN57c5n+TGfKYrhjNrzQz3
eRaAz55P/nyuAby5GhCGdpfO9YGh46doyRaxCj1e0j8ScYj8d4H+Pl0Xsx0ypdjAeXltz9UHZRgl
21yRdHNtMlq8yFwGLxSCby0MQMCDFDM8gns0qG/MudDxhOEx53Hvslh3rrsRqjxoCYyi+pNMSKRg
80po7Fw02TGhw1YKKjKjorJkchhG+RGGYQ/pKn2SfmIeBEnYi7aZ7nutfhkJxq3N+Ks+UPoRZlJu
4hbXYjXn6ILL6dblnK3bE7KbzcbePkrCK3JjTpSLF61R+ztjMm4m4nmzgZxec07sLess23YqsC7C
BAYSETKrumYhGmkgWzI1W/jKgrTQWaYmyXVbdlmJa6eI5lSrTm+JQxJ0QylJcDIxq0OpJrw5fnEc
Pbslw9O/lSMdbSDc5yqVMAzGi4Go1w5HF+rMaWNk84ONNBPxIPwLRmsrZ8TMj3B0nTjN04DoE4AW
FVxYn8rGIo2lanZWqmI6W6rgXvWXHbc07sawjUV0Pdite2nWhkn8r7ayJhYmjdm9ujB62QUQpPCo
EwXr6tp10KgXKtiI7z6O3ImlvWXN3R0W24uRMdnRtXoTYaM6yp4872oO9gYOsqwseG1k02zcOf07
nXPAnZythZhD5POMbapTOYgqcvMdNPW11tBDp3nJUqt3SA/IMIgaMYuLOXk8/RZCnsx55HlEMnlB
RPlAVLleq2ob+SqYR3toamXj72KizVuf3Eyk1ekW/wak+JTVkq6wH6IYBSc6x6NPmsKOHMTP4xyd
PuQtKI4avGCntRtZBTeN3z7UypozTtw3SST5a1N0hMLkVbGo1dQcfTUzAgksBcCs5NrWu3YjjNB8
CXsCn6eJ6IESt3SUYoDKBqzbddK/a314TvDLLnsHdZlfg1uPE6KJI0vt6ln4ZwpsppWv1XejoT1Y
9ngX69ltEKX+URBSQD5O4cWARv1rVF7vfartQldD3Zur19Q0tBUMAQZtHSw7RMlkwd+ScP3UutVd
rrqbeNQugjJ+ssP6sdAJhbd8dvNyhnDiEyTQjHxJ4o/frJQLFsn0TUjXh66o8u8Yn75nfuZs2ArA
3uLlgUQpxo09YcVqDNCbzDNIM8+4ICPuTKy+6tsw87jwQ/HokMU4pdiAOhU/9T4UjTZNEsAyWrDO
RxcHR2DXu9HkTwBQtBauN7BVKDMdwjoR4EFcnWJvvLDx5lIWQW3whttGpeVKpI5N+h3Nviqbh66N
Xg3PJjm9q96mEImiLOsn4fZI+/GddimhEpnln31Vvg7zV9HPd1POV8wOrZ3I2hNWxpvQ14eFOaBa
mLSYRGqHZLCcBKL4aIA4juv0IRfTo81gY5NmzXXt6U92wsLQmsY7ps+HJCuR5CrKKul8pBWxMlZl
llvE58CZQ/nU6R2+aAcrv812vvOM19ipZpxYTyPZ3xjtbIIBwEhY+7xkdgE5MMPdeJX93CY2ZLW0
f2sDg0lLD8EgarGNc0/EoeFy31aAmoPI7TlMPYjSrV0StKW/BULeNnr5EUxFQkPu7Cetv3ZCHTYO
WqQEmi24aZBwmmU+2kn1pIegzP+njfq9jfp9VDt3MP//Pmr52rxF8Z8bqX/91j87KcE8FmWkwyzU
Z805L9X+OapliotsczZl45v6/Ud/jGqN3zBu0XjxD9Y3ZNp0P39MavXfLMednXe6IzzP02nN/tnn
/RcGtY7//Xj/2+YLeYyOTAVDA8r2T4PalluPP1kplJZgzrzwPQWBJIzwjHVfjNzoj70bmhv+JboY
3RyX6HyEFo33UsbB27csy3EApTkW9RWG+KsgdEAApCZ6MQa7iZ/vh8DH2W4XT+kw5Stht/q2K+tp
VXSSozScK7PGxmKqifTkkJC4jSffJ3JnjHeUf4cQQ/pDXCHesRPHfFAOi/iYo3mRt+V4lGgPDloD
1imiVmWc5UenukUsbLcSJX5riaUzDs9aksWbJhzClWcVgp22eyxNB05kUOwb2b5zWnbESeTOumUz
T4xGBsTbxS/bN5jE7Rgka2YoWg9sBgWzOhbVpbaIbYv6toxvlSnQccyNVCesbFOV8FNqOienJYpU
FvZD72eXRB0scphtuXEbxDhzkwqNXZnMmBUS0y4tf6qXqSZfrZao0hYxrNKmvSxURiC0czBF8QWm
x8eIjWBhKkutfVw/a31w1I5GKNpEo/kUpU25GoW9bgUdXGASyFk4+m2dhOi6oERpxhOidszLtJsF
E2DRxxtN79Gcw4W30NF0nfMSzWPjjtwN1lItit3JZILWRdxM7DLcum52YdkugX7ixa77U6TavV0a
JOl6AvFjMWrA6tikhf4L7QJaxymi1iEwrK24L5aqA5kmFIs9/yWH7OYmzp4xH7FWibE2XHWZwCFk
0egvEyOGwIFRoGqdDy8iOBh1OTlg1S6bQqZ5rbeOFGSKushfhy4lRLYz3rwiSw+x7rIxIM4dKlf3
UXnZOfKwx+opx5J0e3kRNiSsaFP6qA21s9aGaYPR1FzoVniSerFDc9pvnJBx7eSaCUoUaQDYEjeW
pTZJpMjHyqejDFGjagU+eazisLAQUA76aKEaIqhJwyEYF/aT8MBm0KEhGWnY+fo2Gm1ILbSEilC2
xPVORs3YW7VFfNupjnMhma+hYNq6BEl08/rfKnYx2RbmYCz9vrgqGkzmqYbpeGjAMXRpdjYZTSxy
QlSwfBVLN3ZjyKnVrSbt5aj7x2IcKYaHYic1lKyYovEed8yBUT9BON8EmnNhNsMm6cpdYBa7fNbA
uyEiYm0oXpxenAY/u0XKtmXiUdBO9WDvp3OQDOPaGG+0sn6Qfa8WnsTXicDpS4DSm0F/XG6CFpmM
lrsXQQ3Lv/N3dLK7umG5H2rHLgkvQ01sut6+RdhO7IhWXCrQzvFoXAAOuO3SeKsk4hT6buzhgflY
d/DC8GhSrqVYsNKsapYAEw54oPZVE6wSl2AUd3SOQVW8ZwlIXbpJWg6eitZx6DZFex118ioNqyMN
6VYM44EEmPMgm30lynt/5iPNccetfgYiBnuihEFa13Jfebg9vYFgHa/pwRyITYaocZaKXaQCF3w0
jnvuUwQKD5vB44Ux0Fm5cXvIZHSeDAHEVntokuyst83lSNQSJbENko2pjpPqqFs1EIfFRVGQ9api
7Rqr20Gzu0MQ0+2m+DSQH5UhwkUJ5FMRf+vriqg6c4JJ7uZ35RS+WA0puwMsn9JhFiDK9sFJnG02
RfdapHGZefdlG7/TjN/wzbmzZHSvaNvhEA33vWSyIeRgIhfVLpwsfSAakUVpgRo13SUhfG2/npme
FrA0ykpIUmV172shsJ72WDXJc5ZHj01OsC4zHWjfmslE2cIokXGb4gh0F2DvVtPk3Dq6uBpZdi31
xL5E04PXSZBDN5XvgU2mZQGht6KDwfP7dez0bR27EJjM5MWdfERIjJSGqeRi91H50keja7XhaDv0
af2co2zhoPNBSFSNfMyJVfDbah+6wtmlVrBPTLhaJerAsIQzlRF2unQ7rrt87O9ioznJPvnS+d5N
39RrwJ2Ptptf+h1wQtCZizZvn0IGHvyLahgjtmco6tWyVhl0QjlcFbX7lUnBYzzkO0cHQ684DqVn
n5WdX3VdMhE94j1mM7JEOtwgEtWgY/CIHo6uASbl0DZhI8HIx/42mkefENRTHmHGgu3TXhp+bEGY
nS6YJvKmSpo15Q+HLAhOXUKaTYncLnYfZCV2WVyeKkyGWcvKpmtGhK7V+5y1FZAsFbqkUA8Z7LtB
pxeM+61inb+O7GjDyOWEiY3MEMOcQ72M66nPx4WO6MsgnpyBxVH3kD9xy73tFRuDQAsuGfRhpCmq
TezEV4FnXjqGOLCFPUrBGkQLot3oNgdDIXvUR20rWxB7eZ3QilrBWSgmDx2BtcsWHWA5D+00O9sY
ItkmZggC3tP32QTAS41jgmIkvq8DgzqEQRc9wLJP9KM/lN5ajIoPojdf7J7tTWEbJiHrJeL7rIef
qVZBLz4Izl2PifUoZYTuPj+0g3ZuyJyCbaVtSTVm/0t/VmvV1o81DUdAWG6yns0j/oh4WaZkLKUm
gGLhgSM32q99GTvLnnsG6G5tB2aOKMJMpByV3hmgolgavfb/2Duz5MiRs8tupTeAMrg7xtcIxMSI
4Bgkk3yBkclMzPOMPf2r6I31QZZKymSV/jL1s/QimaRiTIDjG+4993o2QJJmJlkqInG5JUmr8ABl
BfS/ZGxAfrY922q7lYr960Z3aQI19941/KdGJB8Y0lrMFDn7R02Q7+7QHsKsOgTDtC9c+2yN0TGm
n4Ut+2BojkPsTxF5HcjY0M2vS+Iy9zIjA8dmULorGjl5CbPTVQ2R1WsjWz6xevkYEltuh9b6CEnt
XNk+yiSFlNynn181kZzxAVCvcN997ev0i2/mL5lhvotkvJBTWoGEj/M9lOxNlcfHMAzuyGu5Dgr7
VXT8LkZWq2synRaydpBuMe0QPGz0p3QkT++/TcgvTQg9w79vQs5v+dv7//2fv+hC+Mf+6ELc3wxd
IBhRLj48lxHvP7sQR/y2NCCI1CW+7d9XPf/oQmg1bKzt/EtJhMFsPRCu/CEYEb8B5wDcAmBiAV0J
cBn/QR/CW/t1m8PbkybdE/shxe7ok0DKDhC0VBohQGW8TIQ7Bc59JExyGnA/Bc28tnRyUghj3Qm7
v/vp6/pHT/SzWOXPry11lDKoaXQoWWg/fxUCliGj8ij3dbQlbbvRRhKe0XXwZBiYDOUzQ4DMLVKA
l2VzVc9u83sL/YvY6eeX/+FF+GWTZUiWZRih0XpK/OafhI9Bz+g5VRwH5HLvW4txPutSA3qBLfOj
ZY/PQyaulucOW+f1RFxzzWNCOlTrrI5bi0kJx4TScwYviO7qhxa6jjZcOgJ/xhr6J1iosfredU8m
QKn//av77OlFXrSAUqS0lSMcfsJP771Ihw78OVxkCyzdCgmcudbn8hmLALB7KyhRKfOmmtQk1E3O
z25W3Oqh9dBaxdfAIhE7rANjMzd/p1nDXvEXgkuoDHS1iNbwRX4WJYZtXfv9iC9scppra0lAMeIv
dpfqN8MSdJ1xylFVuTnWLZqMkTxsvVV3oUyfcj4SyGaK6XCKtjEWNoMs7T6073LFfHMuzF0h0KaA
RyV7YonetsriaxZSlOstWzGU1I5RfBekdfsOvKhmCfBOJAbSkExvnehqngM9rdkS+K3/iP528/fK
at5VPhBH5gSL8a6OQP4nZ8Kim5W9yO9m4knrbnLWCY8yZuhko6iSB68VueIaa2vmjZH14kfT+xgD
fPcnoNq+4FOSIk71PrdISgg0Twg2t5eE8wCypGkmLrEfkJqXFPTWoR2C1wWcaclIJ3EAcw6x6Uy0
bxBiQ8AqKRIdg2x15Ws8vQP/a5d25S5eEthdTE3Tksle8kg5xCjXvGhJbIeqGC4fimckce4yc7bA
OE4M7XatNC8ase8gQij+YndijxF+5NwOe8MSQEyrJS9ekXgKHVhALCBNHnq2OPYuCfMGBTIYZm4b
OybUJHTLZh8UZNJ3PWkEiUqnlVW01saM/EeTPpnh2fhoG3lxipZ8+6plBpEsmfd6n33B13IxLZAo
lU3yRGsxMkYHCpxbK9Y1FyqKJ6BzJEmt4zl7GufwIYpQ2KYNepwWS/Gg0vk05T3g884tbwcTGoMe
6l/jrPM9xuJ0vQ5dqWYGL2EuDDyyNP+DUdxbyyjRquKrZGJ0isx2j6MBjhsFEw6F8RbDDxDcdvri
OuIcx2ayK0xCMRMdIQ7F2KtZ1xsrGOmtFFNntqVjqb6TC4/cNxDGhoynTRGiZaoUB8sMCQxHg3U/
6sOb2fYvU1Ja+E4NY2crIH1FGbon+oRqA8uYzMSo+G4CzIw5dlPkV7IED1/H2nPuwCgmXhF+6ENT
E1CEI+nQaNEpiLp95Jo3ugifM6UoQ50bMQ/PArtoj5laxA4z0UhsS6e+ZqazxwTODGNali2bMoQY
pDkLGf4ayemlTwbuj9nZCdGiWMK55pNR1wXp98wSX2C8+1hgmU9Rye069tY3AdJtvKazizwsINnE
EvEuIwg8jkm+MqZ8vPhT/kIzxzwjrgvehImcTo/DbRdpb7qNX1nG1HJj++NgHTdZCMmL933lBu3g
NUlNIM4QO4yAjKuyGRrG4dyrKV1raNSuB2GAEUi9REnUXX3jWg30OaCevU9CRwxyconukasgICtc
ZjVhvhrXcSHRO042iSldZ02EDxKJaajo3hn4IHEu2O33AIostj8AwpQ3YrfeBw3p2AMwtMHmx0t6
GdxCrMjWUZthP51JxOH4eWhGvu6sgKMQtiFbrfoSzCNKg/w+iSt6voH2uAmi6ygK7ibNssHX2QwO
UEamBnARh2R5TUT8Zer8QJZ83lzj3SQ3iZzfA5V/tEl0m1ndJcv1eW1WcPG7riSgzLxP21acKjHd
l1kILJhVpTf1yVPSI8lzou+FsPdJxD3AyR2xv5lxtXb3qLq3Vl2/IZSv13GTvVNen+TUPQfKVphj
2oipe39yEHwjNX+Ky/xGRfZD34qvZaELoqSRL46mgcTKV+S/1qLEyDO+z3D+RVZfdAs+edRfMZYL
V0Hs4vBpb6hTlvyu+Y4p6W7M/O+VDpllYjpFBIZ+dmENwig1ruFpn0sLU03c9ndGaO7Ad9wWLHdi
vQB6OOwGo724PWkwlv0WUHIQLdFd5qwlXQtja8fww9fb276esEnXFd6W8lkvjWcdhR3rhtfMTy+J
6WxZg5/yGXdnoZfXFWn0Dc0t06so3MVWbXL0zntNlxpiKvjkdCHcfv541wwHI4uoFdIFZDte0qQ7
wjg/gZ+85wSGsTnnzyoJ7isDX00w7+2ZjJEZhR4KuOymNsV7oZt3Vm7j7uv8fZDOFzVlhFPOBDeU
sruyqzJdZw56T8DsU7wqR5PzsGOKdMfEbTq0MMAOLOMrr5oiruYpWED9T8BoP5SvYxwGYNgo6xFv
jddKoDJuw+YvGgjQ9qf2MheVyyq6uu/qch9js9HF9JrV4dmK5WHOykMtoOF1Fa1lm6prN3KPU9vu
tTZj+uRDok8iQQSWQlaZjddF2dzUbfkxRwWgbh0LuanpV4LMMQJ1AFsmGN8C/U5lhbtxw7HbM4R8
llH+NckRNg66/5iIge16RZ40amCvV8HVFLRP88hY1CTRelvOYMnL2LodrHYXOmpbMNwoqvo0V8z6
TD26QACwV8qN7nPDZ51WazUICYM6buxvRhljU5PNWxbyK4Ki6HlaludOWF/jXl+qjIqHr7QhTZAN
sII1yKXEAAr4OP5qtAqW8HXY2D3hX4xaFnE0OS3KJv9kEswyQ+daxOaTIftjzCJ2W0rCxFtZHerO
hFw/MPlQikvHkiDZs8GY98PUSEKpTLS/TY08dqw5WgP8MP2zTc4NOiQqOZrVlDLCZj3NLhaE7T5s
K8ZagleKiJBIlQa+xrlDYr13Qk4Ms2csVM8D3HQtexir5llNDFXx4nEB5dZHZudUQoFx0UlG7zr7
ijMQvH84b81mfm6G6JBM+RtQHoDosbnvcyKfUmHdGMsl5hSC9DhXu7jYaqs2eyR78YrN30EL53tf
Y1vnp84VwqqrLlUCcRZy78DGetxnqJGNgYh1MdNuKHld8USFWKDAUaP4KX3igpIx/W6ETg5jvmXW
21rnKLOf61qdk3KxE0rrjsO3RtKxTOlsQsuZLGEtmfgATpPcSgP+XmrXT30Ty/toCIZNrY8pwHA9
2ktqCS+0LG2TWTx5K6ZTV4UTMuTTSmC83M25EwJiNRmWDZn7XbFWXHd+jssjtq47N3pwmZ7yDTsn
Ny6fyzQF5pJmF9ctnhCTnwbIsecB8UIUaftuTA+YMAhaKethRfLJJZohWo4V5YY+M3RJNBuFOKxt
CFJgOpPhZHTWVaUtxNPRvlP45w2q4tUs+bUqob2HdXurYuvZnAhaV1bwaIUY0c0ifBx7pGRTDfXA
jWJGDGofNmjokIRfwkYTJH+n33IfBEKfZwEieZJQOJYfO02aDPRl641dtpV1w94punKF2CDTuy6d
8lbHyk28u4b2gY8BpKF1PeBLYjcMHZVcW38kaMH4vHW/dJEfLUHrDrKEDczTktxw9ZjFgc3AAv4u
qPUvFZWgy6gfEmlqw36P7uzQOacBfaBO49cmwdGwUdNrUaq8Lo+HY9dYELqmWH+gChqPmQOEVK9R
kc9TVt5oVkn4WElatWwMTKm92bzjLMM7ighiH7Q82lvEuEMSKoPr366/Rs2EQCOWU1RsKsNB/G2I
iCwSKCltAR3Fr6rVGPrl17EIhNcy+rJTHONjSlqgxo5/jglj7QiGWM3lxCXM+GfVRYRXDTplSZs2
pMu3abCn+D1LhquePy6QH9+9RVt+C+yShb5R6g1Hc2STo4Gn93tLzFOnJwBEFDxbUpG44srAREyf
M50E32yF+9zSxK4LhDxG2KfWaVnIO6zq5T2HQ/VWEfOyrWf45bYf3auc4pOALnLORkIeG2mFL04C
YaQtwaP3g48boLGAqIn60QwJBLObhmucbOYvMm7J4MiJuh98xeu5GCgKnlqsJnLnDrcX+6SCgShm
zmqvRhZyxKUTXM/4cJ1JdFB1Whc3EuH6YR7LH8lXyitKVj/SqopNtmxpBqbk22jGPOV0Y3lUo2lf
Vca3Fkf7UEtU7AHw6xHokB56NXPXoXfWJtAfZgW1c6Pch9EuAdn4Lt+u6RLcbsecIwlZPUz9UMpB
SiYLAfbUBlGGcWnNNt3a40cAHpjkgnM/ySt9ZK/SEzhhkuCpu5xobolk0WfJUOkb3cFNoDESjhir
Ep8n4FsLd75Q+12RsPY0ZSfIBuuCsw6Dz1oVKltbyO5qniq1SdSNtpyYU4dfrCCDrtJCKlo7PTcO
OQjjC9XRRi5zdXYphpEcLZkelqlgmbCGU8O5s3mYlJwFImt2zE82clZ3ChU+oj3jSivbR0vrYGZ0
YjsDPsFT77VW6lmcqgV5VkarPPa6IFWjW8sZu4OQGDsc06snN13LsD6Ykf7cFBizE3/dd8ahislp
M+SmSJItOq2VxVbUnmdipODW+MONhiKS7dlVwVYgBao7DPYREhffmbsW+GQ4bwMvCNH1lw6V+jA7
XGoGNkMLx0pmv7ejC4LF2BbaK1Iu7N4NV0GglRY1KohqUbB6NKb03RySRyKkOlLkzJooVuLnVuiI
C7Gha+WM7Ox+ojHBj9EiiX4dAze5DkI1NJ4KyginB2IP+sOAK9qIIrpC4U/XjmkRYIfnoUO+OSDs
8szaRjrrq9SD25/SYtjHBKvoPsY+gJGQIPnyatH4FgkaEnM5vFG1HssEeX3lJ4THdN+t3PDEZG6z
xDrMFTvwBAnipGlnQpyOWq1fa8l4m1jdKQn916RULNk1kmiLo7IQ2KouInOCgOti3Eqr/W5V7qVY
tmVUho8Ovqu1UdO9EGXNasLtXwKum15Ln3sdlxQpuJQwiKTwww3vfdyejYzCdCLBDGDXOopNr+36
76Eus62eAKyQQeR6VsLC1UbeZGWwbXQ7p5dKb4sgu+MhtjHRyU7+gA6mPzrTd2Fm+4T8MGhEFPXI
hwKLwr8zh1NfyWkPjuCryPU32NxPOJ6ICh6Mq2Xvk4DvSoCL4M24KSc0B6Q+fHNr5zRq1nGy2agi
nvX16dKGFHdue1zQOzVxqpWdbcflYTLTJ2Scu2YxfclJAEPvA8so2BtVetSUeU36zGkq9X2MWK3j
QPOH4qbWCbedyz16vX0qCwwdbMsQku+DyHmZh+A2gHpbtczxfGbiedWUK1E7d5UEE8SFFxXxfiSr
YZIIFSAeoGtf8817XFYk7TZXyoW7owP00YNbhFl7a5ZHWvpz7drbATtIZ5RX6Ny/5K14zqL+RmjO
q2lOlJAIuCvKID1tzlPWneSsk+NqbKSjzn45vBSJvEuVQ0CeVm0F5kbEZoRjyBJQVb0vzPBq1BHs
2egRq5Kc0xQOvGXtHaJN59K5YyizF3a0J7X+UET1xQ4z1MlN7AXSCM4ZQRQ71tLkx4iQxNxBf+W5
OCOAKtx1bvA3F8Wwq5k+8gnzKupCucVxSuRFOJevaCo5f0efR3ej2fPrPIpHfR6z7+CzOWm1ItrU
VSrX2Wiav3tE/u1kVvyqjbGoLiyUYI7NsEmxmnQ+TYbZpMIyi2mIINetpx37nOKeR/g9CmN5aDdN
v7rfTAnz2rU6/M1gdZHd/DQU/vzSnwHOQaABZEx46fzSD1u4VityVD0dv+Ra35N787+/3F8MSx3U
RLh8bfwZf3JwD8pqCpNWmpTci7EwjjRo6+rvhsV/4YL+5VXkr4P2yq1xDFjwXPot8K83DS/Xpr/J
NrEXnevN4IVLXPaWkevf/I4/ptCfv8yfP96n7QKiERadNi8sd86u71e5R2hctiH7EKwB0ZaP5cZZ
qbV4LF4yj2TFv8Ntfh6T//g1f34DrF9+Zg3EtujcaaEAEe+4S/bljXNLdDepQLwuqo9nrfX8v/vQ
y9/89UPb2GLYqigdFDj//utrBmnqVkGC/6TaEM6xDfbDrtllO4JD1902X62sFYjYFUHV6yNoqat0
Z/7NRWX8mQruKIPdgGMo3oRtfvraEer6AUMz25vxdnHzo7ca5S5U/sZNCEFZrC5hc0XhteSwrRUd
0Kjx9JA0VxlhwwkAABsfnz6wySU1HGkQw2fnYNlwkvT2yejmu1EirnUhwXZf/A6teMAvGoDNSsST
U6fbUQXv2pie4ib0soGRaVEGex5LxzTC/28YR2seN//JrcRmzWGbZgDugGZOGov89KGnroglJR2Z
z0ilVk2Y3okeA8NMxfn/8UKktS4gV6UDCvn1941VQCsTJDygWJeTONzAYExbRhKdbf13wYrj/1+G
/GUl9+8XrIfs/e29q9/+YsPKP/fHhtX+jR0oTgB+CJt13k8bVtv9TdomIqbFLads7sN/7ld5tIDr
ZHSvI7CWjv4vQ77+m5DwR5B58keVYyr3P9R5/noc/NB58kBb3qAFk11Zn46gYUZUh4+992ajyTzl
NN1m7jD66u4IB0rDCi70CYYyWuy6ma9jy0aVT9iMp0ssDJWPIjuxO0nWr46GcXbNa/KvCO6ap1fD
b5qrOfbBWzbQasy8eTQGa9cr4u2L+D7zcx1dmgi8umpf9VJxG/NU3aJJv9YcrGP2OD6oif/DyvBL
8n9zbE4B2jyMo13gxTUSaAIgrvWxNI9zGEAtjkvsHkpmh0qWzB/mNvMyUNmomPTvCaneVPpBCzyy
uBaU76cECzUQRj084jKfzji3rYM1wOdUZMxVgRYf8NiQAWniTvA7phVz6pCzG7UbW43aNioZA8xK
PsRZdJdHgP3c/jj5jCsJcL1gSgMa1DgH1L/GOkLiAJ1FsFWyki29EM3RooSQiyYiRBwR+/Js1DYd
JGKwfa9b8w6b/SVHWTFN2cuA0kKhuAgX6QVKn/keBV2DvAOduYNCI1qkGtARPsalTcOr9tEtco4o
cCavUbQx5SL26Lsi26lFAFL1uty5bXZf6vYB21nhYSEgtTOMPqogZxUWHHkjt6oEBI6+JFqEJrT3
wYYiEPHJIkNp0aP46FIG9CkJ9hTPQLHiWEhX0LAAbhotokI1tJ7OInGRi9hFSlJIq1p/hYN9B+DO
Jt7WuROLRiaZybJtkM0Mi35mWJQ0LZIaB2lNumhs8JfhxFt0N7hQqlW6aHGQz2kEdtY7hUxHLnqd
BOFOsyh4IAs/VnZ0gHLxQaLj8xwJ8jXtbw7Zj1M37JJFC1QsqiBz0QcxrXl1FsUQ1Togyn46Voua
yJcjsGFBIHXyyIQ39vRIXuI53Yclf2KRI5Fovpt1pr6LUMmpol2/SJdUxVzBRM3UypqyIpy+V2N+
QNlFyitxETqOpgkJVKmHzwxIXpOMpxcaKT8WZy2St2lS3rYg40nJ9M+McjOUzepBLEIrOTRHifIK
++uWBSVPRHu+wdjDpt/AUoO97jZCt0WsQbPJFimXlcijtoi7gj7ba6i9qtG5slF/ddp0zBY5WIUu
LFv0YQseAb0YdvFTj36s9J1b3Qx2uYPoIbbVjnEuqi3XOfEwA6CqIS3AwvOQYNJZCeHQEcUvLW6L
TZfguQR5TJEM6C4Yvtg9d0qkj18c8vRAXBLBEwfJU2na11q86Hkbl8WLnwC5GQ15AmoP5NkIyy3z
VofhkttuTKJRUEHwxxCdPBFFr8AyQdpmNnqUgNJB5PYfJDbj0Sir/EJ3CpkGwSo8Br/kW2dsD+aR
ZGYD5+NOc0xCTwrRbsaiILiRF2MjPTNIB4/WPIrBfdDZLbGGQCt7kIvqAlQB8x4/hOHPhfs0OyQX
l0X83md5t2mRmXsWaT1buMfjdmAtug7mPMXXOLootIYv+TSkF/xyBhmBhQnutPYJw5wufaqfahHW
nuRLYNLcNIe0shTjPhy0RuF84zbibymjWxUh5qLCN+fH1KrVbsrsZKdooOCesipUqPNWHSnGj0gP
Yq+XEJbmNsm3rgAIjCFIXbdpRxbS6BfPgm0ivlbTvG5c5qjKHdOAWiQMvEk25maRJeNAKrpLU9Gt
Eiu+c3oOdKA/GACmDZa/p8Hon1rNuQsIQ3K0+mu56NHsFhtauKsIizMa2L15HD6ZKP8g5F+7Inpg
S+xFuXkCbx+cHEZAaNYZ4JT2xiRzbDDkIYubw9S7m7LontvExTvnnMSUbV12vIsVMV9ab0td61nz
0Vvl2deISRs1AoBGuXEqaw9jY5MF1I8SsS3BCpxhgwAka9zr/RR4ih6Xo7dili5PSWeAE5RXcUug
GPEgnjAntepxj66sHH9mqeswiAs8SiXMsI3GBnNFx4nvzWQR0Lbad3DkpFa6xcHu6vfKaZ0VVonY
K0Wlv7R5kxwhpeqrXO92w4TY3DSqwssCLAZMDMObJuoVc8PilrLxo5HNu621VwBlgKh0zr3GEAWT
IYeYk/RrFoSLrRljZG/prBmi/NoGALc1wvls1cjPg7xnxFumlefO0amZWBUaifZV8xUkraB+ICn9
OU7UEwgPbhutJceKPU6Uo5zVYmPPxjg6aJFPPzkIZxXa2YuPO0MPuMgqfIKsTDQiTPt8r0/dWzEv
GbgjgHrLunQWNrCyOLP/2msROr4hrZ2V2w3FJuL5vY1HKLN5OcXexKab9Ub/0paj4UWkrxKBHCWe
ATbPIHrAywN92Diq3c8DtGDCSu9L5RPwOn1YiuK5LelCVegyg3Gt70El81WTiIdiLp5kDJIOVUjC
BcY5G2f6C2AWZ9PTrZ8qP/7oBv3ZmlDj+HnyMUBMHGeB9iFobs1uuEyxVa7i0Em9QHX10YgCuJXW
La985ZAnPLJc9pyBY72oOyTFYh8alNdlayweYa74MN8QDOH1DRlbQWPthqJB64+mP6h5rgZKmisb
qMIWrc2T02KdyB2LHdFyqBhB+jYbxfIYCLmDq0scJWj4e7M88Gxqdm7D+D9NtBejIiasCo3k4PQk
8xaGwfRaMUDJBP+J7QearzIlEVH4+d4MuTPGDFi0DwiMBc07aitrDYNlhhrjn4tJkPhBCro20uA3
3KFXue/nG7TlYq1USUFo5ki/yWSOqu41EJV9bJTWrEeJuJStDw4yNxpepkx/hz6wMseOfAhrQPiQ
WI8qyJFblIxCBmtxD7bdeyzro+6mbMp8PJekLMkR8m7gxJu6HQ/+PNTEnLfw21ktnu0KUXCsMEW3
Y7AFOHn+Uar/lyW2cD4Q3zE3+vedy5rQiPeifpuLn3uXf/6Df7QuDpYyOgyTZsQCO2Qxl/nDokbr
wvga/BspYsrVl//pH82LJn7DurYEq7q2kj/4cP8Sh8qFT8Z/S+QojY+hIM3+B+JQw/k0DWMrbkis
a/RISi5t1KdZBjAxnuaRUHDKuXJnh90zrtHqLjDqGUtzqj33gfki4EohkET0UVvON63yL/i4iA7s
iK8sUxuLmzJbMjaZxw4tS7h+JKVltso7LSSfapRpuSnYe3ICcrQFfTscUitY7GD4OVYJOvEny4e8
HhUm3O7c9gkgQsrFRoyiF6NKJttLzmBSJ/UB1FTkbO0gArNlpDe2T4EUxPMH8Ij9XLiPRc2evbR5
7qVpIEkLXDRfkRy3WkHkcmrGW71xHjiqUTR0Vrw1fBlvYqM7S1Zhdur6e18sSlBHu2Gi5l9Jq7xR
y4rfSYR73VWs7mpHzyHyzIjbZUk9wYCTymImnJSBCW0fa4288YNdH3XnPBs/nARFkp+Cgs2XuJrC
HNe+GWM7juR7nQxfcbudGM0+ltnwzQ+qE2iyF5GNX4rR2LLH26d59bWLY2ZJOGzXwsQk0Gp6sQ4z
SA6mpb9wNtw69RIKYA/kR7PhWrF3QS0inNEDBuwl2HCpdjhuw7SoNrkfPZZz9JoOEdnVsV96uW+/
h2OZbRhjJqsuh4WkqEzX1uQL0uFnSLVY8thRoUZSYvwo5YxluY6Rp9pUn5pgcKo5PBBRA6CWSIp4
12G2K4ppG5DLh+i2PeODw9lX6+g2a9f3gBKAe4dzuAY90XFSBcOKGJty2+TW48BC9TwVhGMHlUYr
neivJQX5ysiBzUQAxgATtPkmH/I7owfAAID5NSpgVGExstbsZ3Y8CcqNL1lkmbG6KzIB+91Q/arG
bMOeCvlk2BXDdm6j6UaYJpqtjnVmquHpgrLMwGuoUdxlUrJGZu+uBTWXXlbTsOvMOemkq1XdsYyE
X/vWFKyviaKRgKIqsQUe9oAb8LoVcbHBAJmuB7LTkAcWt5E+veUF68R4ag+B2ez9CjmTmOxDZcQW
9o3+ydLoq+au/SDD56WPRvwfPajelECDPmrNZ66m+csU6qSBanO3yoX9HoX5vplsZ80ujMj0zl8R
O9HcDAg89vAxjQ2Z5y8i6BYDaolEaGJJBrMMu2MvDaAJhtzp8wBjQsMvrWsud1xiE2JX83ghH9X1
YL0Y+wnIHWhlv1i3DbkKKnDNk1EjjmTTx53hTygzAyPZsWauNqUV6mfqIcFApACsFTksolxWpDFj
ESaJ8ylDe0sHzJbL8fvUq0yrWuchh4RR0seW4RjdOBMVDCPB/LUDEbeLa5KMTZF/tUoEmFZrkVUp
h0Xlkku2Lmz8LU4brDiWxkaSSdIpjt3rMvMJV80ZSyIZjc7oEuzNKCF80l73qK60M9AlQpIV2RXp
7Pae02riqrUSTKNT8WVw66upzN51DCLUAUhxE+T0a6HxGjbNYDawtgnt+T0pGLMQgnMSqfbNstBF
OTJ4SVs8VGVkepFZ7jj83GkGTGiY1skd5qMPLY5v2Hg0K3fnVwtSyEVQHln5rmSfvrcHyrtJRq/M
2N0j4fQdI5OGjpTGoE/8N3gZixkJRlJX9ZdpZLKRtghvxdSzrM7IxQoM8hZ0n80m2sstO8Q7N3Ye
FBB0ZFP2IqG21bHXsCZmJvI5GdX3MWBw/F/JMUdquCNoMl+XbQSYyDHrVYM1qgEaspt8+5sK5ytO
49SbADKSKXtnMEliArJ09ZPxwH3wNDfE6vX1UuFDiXWdsT/7trz10wA3WW9M60QEEPyikElB0G2q
gWmPmbS3LYOcnSpS+zQP7JfBV+/d0thblPtUr6C/+fkFdzQZx1GAfMJHcuXllEt3uMmMxcl/aKeB
nKC8yx+S1DyFsTtv6PeOQocrlLQVZVggi5tiSOObTNjABDWXfb5RJTdBayh+tP67o0v9YCwQw3nB
GeYL2DBYEIcprEMJ8zBe4IdN4H/M0BArqIg9dESUg3sESMcZamLhkwGZOi/6glOkc7oV8BXNBbRo
B0yAsqB/nxYIo1hwjO0CZuxx4CJYEh4TpOdsgTfWC8YR8syrE8vhalwQjwLW45zXX1LXdFZoAR04
gNjY6snYkqBVrhNUQWsya04sQHtm+2W2i/tO3/YOlE+54CXBZrGhKYGs9At8MhxEftLibN5mGmNI
7ubCm1LOieAHuJJkibWdlPFGtSPp5AvbMgNy6S+0S9AoR2fIJsBCUAvFwsSMgWPi8iZSt1uImUEV
ZWtjoWhOC08zX8ia2Tz0TDbkiwwbKNgjz0OApLgFM7QGJuK2vVhgnRXUzsSP0pdqgkNkN9UDxzGR
6xUDjUH57SHLxJ2Tly/lgluaEnHXBMimizk1ft8K/LfeXepdgHMUoP++3t2k/+em/lzr/v4P/VHr
ur+BxaWgZTW91M+Cle4/al1Hp6B1yK5lQG7xxF2YC3/Uuuo3nZkt9SzcO0vokNf/Veuq37DuwEPC
AAMi2WRl/p/Uuksl+9PWblnmQGFwiWcwqJx5qV+3Or4sOkfrZt9Djn1jl9k9R/NWucnfJPaqT7u5
P73Osqv9iRQeBX1vN1Hje5OYjt0SHV/MOSJpqgaRUTXoSXAx8vmRZ+NrAE17XzlatK+qJNwMMK/2
eYVFMqP/TidUOiE5Xn3Znkm1WJuOPHJEfHMU3lZZMvxKXq0mejcsA8RMk83rvhoAfDVa7BxaXd/9
9Ivf/v5V/Wyn+ry0//HJsCKxc/yxifvM2pZdhFHexOfII/sKzJ7YggX3IvKlroHD7VCNIe5C1LbW
/nbn+pff6s+v/WnJYkVRFkSyx2PpD8c2qV8cvLcIbZXna7axDlpUTXo6UhaYsrofzXo/jpRiqHSe
m9x/GXVY7cyhk41IQW2IWHdQKZuDVyNj2nd22OZUUi1eNNxLa1v4tVczct3hfwFE4Q53Q4aDoOqM
99qw6ZWM/u+Wyi7325+uT650FBHsc/FWLZ3aT9dN0WhjV3W673Ua2h0qOx3hVYe9y9C6AyyMPcEz
CG/uRnFTmhMO/odgiAGwNWsNJVtXfY3DdOe7JFvl/ArtOYF9pshZRlM6gQWdi4NT3+hjtE5MRJsL
9gGCWdljxrc+hvTKyK9jP+FRUazpx1aK9YqLfTqU8s3s6ic1zQzByVvqAdaa3037UUyn2jgP8Tct
CDdOAzKRcOV6JGZQu69YJ5nEd2JYQj6SemxtV0ncrHPKpzw/Vrh2wnDrTG9u/6x8ShED6SHujOj/
EXZeO45r59Z9IgJczLwVSUlULKly3RAVuphz5tOfQfu/OG7/2AewYcDe7q6SyLW+MOeY6gNqHXID
dmYL8cGWnWaYgB/eAya4etu7fG6bMiW3riujXwVxSpvwcwJmYMTOPMizQLuy5zJCl9vjEM4nFgtd
cKok6YgLku4gxeqNM2TBVDHUdGh/0u5JI16tln7AoqWEf6zTl5ssnafolanNadHtzWTZFHP8DzRD
c3XNIr9jwNVwY0eQ8c2V6Ebjl4nvSXor9NKR0BcHhcSeQ3e17ttMCi9pBi8rSrcXDGYb2L3KsIuy
aq9nSBTZtAFriYfmZ2mVe5nHD7P9boH6XaJxT+43XjF0h3Z0zGf53NYsGYfCVSyFNvPZFB9191MN
xnaAzNcrjwVUgTKV97nx3EoW4kEdG/EbVOGNmLot9nlHRwJgKTdjJRK2jwQ3wR+80DpbNsLIh0T8
RGto6ny25LOBLQgsRCcxXZei7RCM53Ym9O5XooBUZb/U97H81su1Z9ofc/GboxqILOZ31gzXWHh2
Q3J5G3kkCG0ClJJ0+nYNuLMIz+PyCYR0NyjFtugmd9A7PivsqGng1fnFYOJu97OvRMXFYAvBIPY2
t5AdcLS3Z2x3ZOxE5W2mfbTqD70PYR1I7jyy/hke1eajoeFqrN00eJKx1cdHuT7EAxLmQ1C8N+Nl
Nr9b4F/M+ynJAmkva+LDVqOzaOg/F8wfNWJjHHdWrjtKT3rps7mQ8UsjZsa1z9oDV16onhMrPPQ0
P9r8W+A2G7HN9Nrb3DxKC8iGSfeEnJwNjVmr+a6HmZMW+yGEpcrxskgFjROq2de+Y9nLYUZXQ1Rc
tm1141AAc0ZGqkYHpeocotLPhKVAjcy284CilsPsn8/2vwRE/z7aLRllBY8NaKS/JA9dOSSVzUbD
rYwfXndKTjDH6pcd/x+34996nf/6i/6Cy+pjg3lAIgauc83N1j13frsbjsAOd8IrbqHb/x+/2H/f
+oiuSCLBxkpwB438f56qQVaZEA5mxg38RjqGqalPPUZW/8fxLf77AyQ90NSR5Ci6Iqt/i1PK1jK7
dFDXu9HcMLB4KRQHg2PriA/jzX7h3p83yfO4H/+fRf8fpHT/AvL+r8oGDRQGH/7170A2/V9A3/91
c+Bsodtvu9BrFkhNdtH4kQisjWxV7wsJmZzN4PHXwGfZtwXQbzlnHa3qLRuQPsLWZyH8r3S/rfrn
fF25qz0S+EQLKwdnSbJrLNTWqoQRsvVAsXL2ZkPvjgFJ1prGQSoEt4zR2qs21sL8qiKkt+rnxM4W
B9VBw7mHltaAYjDnSKz78mkR7R5QFT5N0zwFcQef0dw3i75P+uq3HUuVQh+VtBXShEVfZs+Yv0WP
gDU3xjsXyt+1Etxx7X7NC+ZXK+vTA19yz4Y+fDL0qMc6lRJTNUevbVOcgkF/les8c5agfpmwIGyn
OQYMMiRvfZJdIrJsezskLw4jHgpb+vPaKqdLiineXZqF2DgJgKyAyrKsu6fS0N8aTHb0msc2GFmk
j/gl0x5TcN8m3xFSzhWCgkFnyjWX6OmYbqXhlpIRW0e1sjM66dJNvOGgkSHp1K2/ZFmB6kL/blaP
mWrnvWNV0SHIi4iViG5u4JtcAnM46Ao/eDoSdLZYV3Qc7qR15Waakw+tNM/ZgJJ8ivl39THMTFcU
weIbMovwO7ViPhZ5EvfWPOF1lA2rdKPUOkYFPacxpR2IdQvUT6Zkmy5vDzMbqXZanrj3fLwRx6Jq
vjVtuuaZXnkEhuFJ76I3ZSr0TWkpLKmzDHeIQtTBDFfH0bCm7KQqnUjNW+1cZZPaF2GzyVMzMiKj
YniuDZt5yCK1l0blImtqo8EMhvzFVoiWMUER7tMoewpkhnNlAkyJ/TVHrGD3GZTv9H7Mk8Hl3uCO
rTJuIMqTOSjOmFSsg4nSRHe8Kql53+txvhZq1W2mKiU4MWaYXS+gscApFsw9sAez6+Iib42eXHg8
5dQsxj4SOrAbONhMQt+xK6V70aaWF47q4Ik5nSnUFoIh8yW5qZA4tlKVn9M+zbeZbZ6yWVWPfSkz
kwLY7LTTLWjzfD8sQjrRyr8HwnzQJIkQJt0meVXCrzf26ru+4iHLFRQZrchI5va9l68YSdW0XsSy
XKIODHcIsMQbo/XxgqyUSCUVVCJ/A+mFZAvczI1WRqWqrilrYCtRar+i5n1LwFkWYC1TuXiqwVwG
Vv2Ygr2UwmCvydhp2miUyCydP6OVkdmo9p5a9WdopCtwWz5R8KbZW60VjzwIT7OQXrqmbZ7yIADx
MieLF9chV1jIJlifE9hQK69Tie2rpKLogEdwCIMWk/hK+JRW1qe8ALRf6Z/WygHVVyKotLJBTW2l
hM7wQpuVHJrH5A61/6KJrlzRBMBow8frtHndYhfI9yETZCecKuPP0KPRscmGxkF/4QBxQO3O6+R1
a3UGnh3TMRq+WSZchVqflGqd5GJLwuVeaItXMy4PaaDK1ZEffqpCBhIzegtvZ16pj9GcItJK9zGZ
AUZf3tU4PptKcA5Tm3cvAicZGtRsNH/OmC23GcoXwF0nqkLW3Uhk+p5TQZ2qLzPTvnRjPK0Jd6U8
wc9N76RNurFB2TZq96rOMQEHroJGQWqa3Zrd1wb15CawtEFn3Uu4pAIeesXEyZbAQPWKnhIvOCR7
GVsczk3fZIqu9exjgCrgmkFylo7tZYF3FLcSZyMWktiM19C37ZRxZAdGuhPjcxk+VjxTYoq90fpI
2Dmm06VrZQJbMxPTTfMI2hbmEdqZbN4lpgzPJt7cre5JKeEsC1gHsrzBp0mO5rHMzrwyINSGuwbT
Nlw+dB4QgmQcUembttvnKrlzYilvk5S5AkOS3ZfvbVdc2OeORrcnteIwcRlN4pYnCQ7EEb07K15a
eAw3XAuYgPbxlLvMwWCVI3uy0pwNDAkWPEFkTRILyCvRaxsbhHNVcRQo8U5U9rFt5HsBNL6Kxjc8
RtvW/lxlbpwqDIFLIsdVLhF7oyoTfwSGmQEQEJlf/AC/SzN/x4RFLfm5CIlfoOVRspjrvefOFx3H
Zk48S39JJCrnpo/3Q/uDBQMp/XOYgxIzmy0IO2eQ1jiJ8SryedxEgXSyNPu0tE9sUBySM5ymTrZD
ErykbQyoTnNGCQ7Jkp27AnITU79Elo8R0YOFMaKFsTYmfqhsRm8DlY3cn+MgXwWuzLF6jIPeafke
ooYoCvsP+ZqbSZ2cHEsXk0OkHhEoRbCmS+7lpeLpBFsXcnqoypyI3Zvaqk952bqh+FPKGJCseafl
37Xe78qg+2jst4W5Yt/xBpgOJi+nQmzAJ5ViqQLPgPUldDquel29VUl4IFuIHdC0a8PoiuoR+EfG
nBIPQBE5NQUKifVOH1deH3WHLv7OE+xOS+V2KNhDEPtZJZ8xitfYYwdFIDqWPUWdN11SY7CNMczZ
jqRuWdtgcu/2lEwPI1YagVOWgHi3mgIf19zBCmzyoa0r4xaw0NhZqhmpl+6noZ9W9BoLqT1kujHY
xR+cj1d4r8do5ieLuqsun9HmbZbA/mPP/b5QeaVHvg0JDFeXPCBIclK2BsgfJ+WogY2DnYDaQTnO
BFSuPZvBoWWDs53zp7C6S20M5K7bYDF05Kp3rd48RAorAhjNOlOdoSHXbj5OUOKSrIemYjqzpRFT
zVoORFqiozuPJm/AejL01tHsfsX0J2qifUmyX1Yg58ZdBB4ckddeQ3MaFHAzpTWbnGxXJgRhIw4N
WyWCW1OGCSAz8XtnKbWDfW9igOohh4RCRszGWibZMQ3Jn5raH6efNvoITC4YbXhsefzkrn0MVbFF
Msga5lKq6NLpz5t2eI3WP640b/TArpnrbrJIdE/iOtnyNcRJJLjumfEiSu28wdbPAPc47hglzxl9
qowsJ3BVkXkwiSHEGVvgy/sAK5aBJM4mPmjAJxdI+UZS0BmyIdaC8bGx7FPQr6XXqxl+Ruxvpf4F
pCAzdmdJ6cdRjTR8mKu6sJQHP83GjcmjauFia0e+qTHYMm/zTNYnDR9LpkU8WQtmq2AL+oOPF6pa
dAeI6qit5sjEP3UKsJN6GwwzebV/JqwsQsJWaFaboO2gnuWeQp7tMpLCZHbOzF57ie8mXra6ucD8
40edwQqOhxFTLRQypzCafZfDPom/wqY9QdfDy6p6sZ75tRW9AZ0IHSUhahz3CYsb2v5RLj51K1Ag
GbxkIyJTecUesdCEdxG0aFKITY0WjMA1qPiU2FMNE25o/Uqa/KeTaLp15Qmt7UUe43tmBQAOTUc1
yFRXLEdo4lmKi3d48G6H8m6eNV+WvquEfSKyIknG0dxoE/l6KWELGmLK2B2rnkywZN7WETai0vxc
YJCCWrmxLQEUUnVb0eKUtZKGZVA7eqE23Q3S0qMYleyQ+iO1ujEZ54yml+yR+ilW+Xhw0EJ/dIPU
8EAIgXeRz3p/Nq3nyMg8Ndxp1iuM2401fHQFYcSS6UXDPpgBe1a/vfXYjNil2UhyF69fLpEaSixO
mYBUzyOhe+z6CXbaj4hIrRpVjx8mPcXIu404dqKo1uGpxFB7QCqgL8W3uDEibSMUfio0CzUIbD6R
gaEsg5DYsdn0DOJdoPyqeOSsipFaD2wP1mh+kigK0uTDHGK3ZtFclikJzPF5XG1ZyUs51F5rhFu6
WzdA/tUUe3LfeAOcMHuGBGD2nIcEgWuNV6+4eUrbaYooSGN8quPeqB9WpTNiiSE5ypS3nDC6tZMh
ERma5BnGa5Z9tsZF40tc7mPY3QPeQyLdNdLt52+Am3M/bJRQfiYb677U34W0uu4yx5BuVYacAFBm
TTDHIJadxIsCfSiniuH1rAx6T7KMGgAn+Sd6ZTXzZeScZom/L429GQNUZM2OYLrRHCf5T5z/Bnw4
qsx+mf4yYlS+oHLDJH4cR6iBYvI08aQHWNujO3VcFPwphndJ2S44XIR24ayBtZ+obtpuh/xdmOdx
ZDPfPRnNS12DQ7/r411mO9/eV2CkNCFdeAZGYGNTTSKws+lhGECC/9Zwx3s3ttiad1xmjIS5a6un
PHpJBuAQGZXHChD7XFoOAcbGp4oE6gL51eJSuVPJsEvWtlPzPJYSqVHMsIohcMxschDSgeak06o8
ZJ6bpr2yBHZkUhg0XduM9K3ZoxTeleASh5es/dLTfZg/65xbUKJds39W174cwCRdgc4ePrcRiWs7
kZpQbxCByTQ5BAEaTzk+AU2KAGD27iQ9lEGzT6mJBCjIhj+NrJcyeOfE3OfpWwj8KutBUw6vFHOI
YZKKkVd/IfJTDQhOoVWYPrT5O5j9Qb1kPH/xsx1FiNe3JK+jiL2vZtNI8pPgnCVuM55TjsFpn2Oe
50gOfVZ2i/2kRfc0Pqrj5xyCTbqr9mvJC1mdLM7fXLpn6R52mJUgTk/8JPbl9qMMUWtgw8/cEZfy
MIVuS/+KnNcYd3aS0doUjAck9NSqo3FryOGxQ/wRJ1vDuNVlgwiSGLmpd1uSgxppU5h71FkO88Ra
300AeLKBj7K9WOVFpt0jfYEaWkpeSOtGkqKTUACRp7qbBJbVbtMjnecNT+4axxaTeSeGtNlJB2k9
xeEOdI9iuAfWsZ38iGZ6XON6Bl/Y+kbp9raE/S59DXpPL3xz+dbGc60B99ddpVLcXMUIvw0SmZge
zO4oVrBoMWmOUcTMHZnlLFfkfY+cFcK/P897XXnRBe7Yxyy7aDaMg/wr7bczeeIduIWXfHyomkuI
0rbsDyo+agwbaeqmy723PiZ1t5iUKkiEa5TANGjToaz2g/1mzgvT0oqP5U5zO/c/q7dYKrcEy/gW
fTPkDyoScw/bbaPzVCtKgoaAOW7dPg8NS5fIRJBcvqqjSnL2rueRKPPlrTH0a5E3hBR1rw1ezi5V
PjKTOa+UHmeLr64DA9is+SDXxAh4i+4535sBCwrn7VRvEZFsTGCx7B0ktEOA0msVfXXMaY4CJocs
QDF4I8uGd2ACwXnLwEstpH7nvH0l1FDsMaZxU+0RQsTDlD5J1NCIk+CCxxvUU7ypWFzYxPGuRrWb
CZr7EZ7Hac36KZa3rvoamNcHyWOJoZulUzR8tpIf94itIUjApXfbHp7rm0Tj2CJoFdVZoSrrtWkP
HdqTkZTQ8A7lT0HKhL3gI8OukNWnJHgdVmFHdSkRlPaw5hrroVOeTPJy5PRlBtTMNR0te5BUUL3X
3uMlL/wJiX2Q+8n01KlvRi/dEhLmcxbsvfZRIKwOeevwVGxjClQp9Yv0QJJVof0xRsYlmtuuBSNy
GVJZiu4zDPlwSZCJh/asGMxlpHM/7cNxrzKzr+JtaD7EiP9jOgPNQsnLU8RyqSjfQoVbBTlNuLZY
SNdNGXWH3j3WWuVpPRN160pgDOX6fFTFIV4y7vXvgdE+sNhNVO30eHLagP3GR5Ps4vRRtckoVjmF
9Xsd8T7wTZC27IbpZcTIOEjHOSOjj1q2Fb1j2s8kj5KJhWyJyEmSyGoKHI1AC63OHaKO31qLDz0s
GGnK3Ki2M2s3VUpAxbUe0TQHJa0OGXZ2M/vTgD6K6gBwantIlYsk/cqAVXOeQPoUUW71CXlhyH9j
e9J8YP6wGwvGXuyr5HlwJ4VDf0Y49Vrb26Bi+mo+TB0B9N3Wmnywk9zhW9GkXqM+h/YbiV1uDl7S
5DcFJeoo0wB1yt6CbjmpBQRDpXtPgOoT90eXOYLlnDy4wx6Ukj2rXQ7XnNjMHPj1tbL640AdD4t2
tySUMBpAqqo8jpRqlJXbqWTrVz12oXoMu51KJFDSPELKQLLebsqRiJFsdoxI9fsoPk71RCELnVOG
DCyxUaxaGESEH3ddihWeJUX8KUTtxfbB1CzAjdXGlm4hkDMWreeJPU/V36r0O1ISR5XAAugG5GCn
SPlTQosHyfbSVHfIKMMnT9j9gjBcuL1F3jnVT55yynNyr4NVgdDPCJ9UwuF0/ZfaD+XeSrhc41x8
mh93TJLDXHOUK9GJEc5WFdIBNIenWcjfq9nVa8E+F8TDNAIpXi5tgE0uTahj8HM10lnUMaEyHMeQ
A4N1PzSaBGNfhYhPzH5JbZUhVb4BqaRmfY6FLzEAmEiIYt2ya/WvsZI2Wlt7UnouTT4wFSiEvInH
eCvwNZeg50b+pBHMclmXx77mWp+VH+AA15Gkq7mnaI6nWz5bNXwCtGQ1Xw/AR1Ot4DHm23C8Zjxa
Wij5FEiHmPk8xxVqVOugBaBIuH1DP8BSYAoBHpHMNmm+KaO87dCJN3xxNagIB7MBmkPD3BkBZZ39
paTTnyV5Gnr8PWUOIomo0lRd4P/MaFNTV8pah6UwyqH8mKqEbxrmR5ahrJJHTirow+bsjrXcOekK
GzRCvweDOcv6vqDclJfYE0uPr5D48UHeqrBpCktfCc/3Um2ueWJ7WclDNxmGb/O20+k91IvG6o69
QlvK9zpVj3XHFrCX3QxdVqnED1lUvtcRicLp/DjFUF3g1ko602riWAEWemo5YrSBVs22uIiw2oh6
N/V8VfSnxKB61WSfrHVVl8jEa7TWVrG7fTPPTsXMsGRzYA4Z7731IEksXhV6nT6HnWGAGzCL57Is
uX4z8ur0nHDCOjvMrXaRJe2e4akY0vBUyepPGrSf4Ivegmw+4Rtk2YmuEK8ODumMPpnAwPi+VDZj
CLvo3QryGXEWK9qyTB1hJF+I7WJXSpJ8oxZWt68SyXbxor0nhJHRtiEaqY2g3i2KakBp6y2vtQgw
Qzfl1gwZQP0itVSN99iYaeOnHuo+PnDFZtA+m9rOWoqKjyM6W3WWbArQFErTvPam9KbMBFNoTQ/+
sUa61WjlA5JXcp4a8ao3SuZ1Gi+PpJNbxGxuY1r0pbDjQ5yL8wcI9POgxIvTaVglIfcWboavD8Gf
7qVleJYt+TIM8103J99MQbUsBf1iQfXzz8vKv3Z6674LDYqOLBP9nYmu/j93esizzUqTkaBWVMQv
5HhLToyLxC8r4+uf/6Z17fnXZu0//qa/tDw9mMJMxiPpyjNxFoP0ncnZjWjDE4Lq42JoH//812l/
S2z+/asZwlrdzNjjtL9+NVz8kQbBNHAH8KhxzQYRGGl9Y1yrI8N22JO45kiHNL1lvc2F/KCA3JxW
LXuRMtqWCP19kMsY6iJxKmynKLmSm1yKm1apLcV3fbTw7joooSiry8BR8ffGyk8vcK3gduq1i8ES
TCRPSvyVcHEESPgm87BA/Rmnm95DpmtlAv+4Tmin0pd6LvawRDYJhXOOmxFdPWc5Txf9E+2p2vH/
j5FMhI18U7QWpAv/cFZVu64avvRowCoUEcXxjHCJOMTFCRXP4LYlboJp30ZuEBV9jdGfFr1vqr5q
08PYPIXSe0gblqEVAWkaPqLgpMC/2u17qp5jzjSE/hvmtwFzMhSbrsn0A0aQL636gwIzkD35U/sr
5cq+ZaNEiMjJ1OunHOG7PDfs4JJzXtDhYCrTxmafRQx0EAe/Uzj6UvGp6bkvl/pxaqNTqnLulpJ8
hATrdeYj3MhtNmd3Oc03A4TH1VE3hMKLJ+WRdEOv6rgw0vI9HcBx2cRQlOApcGqKZXI03OJKae2W
lhxGm1yaznpuevFecFp11FImAtKB+eZMXuNk3CuDmJEocZX81ayIWU5peMqPeZaov14N5YdlHs2m
b/f6ijr1ynEnlZ96+5LV7bGfimOmE9Ngj7t5DTuGVcxHjIk0hp4BGw/2YbR60+FytcM9x1w0apXL
FGsQdD7LodG3g0qS5bSJClQ+5XwkORJR6tvchxhCpl0mwCbhBOhEt40pJshf13vUbBXDJ4Np5NAc
JQk7KdsVa+x3zI0med6bsPWtq8U/ADaRhC3wJeZVRv7bmSj7m6OFQLdj7WfHfmn8GUMfY4KTda/m
/CX4cuXmOclYtI+HhDhNW5zrcRcxb0BduCny72rwcZuy+bsOkh8Ir55/7JCCSB7hYH2atfEgEeLJ
KnY761d+bkk/5hpTFwbnhFxrr3NKHut3a2zSNa+IdyxBtKzVdJ0uxvaqeFQrguWiW5dSsyfMq1cQ
cc4ou6mdkgRv02RAbW0rJFfkT84Br8fIN/5kyvkpZdLt4GsuzE1RHwwaddEWu1Y8qdqfmMQD674Y
kHoVWGRkSTEzo+mV2mMRbKLQZwUsp42rx+89YT3ABPFlNkRNltzs95hWWStejeq30n5nkjrjEYJd
YFw7bdyF2G00zZkzAs5o29B9VQQFIidv6vSLtsgVE0iRoXiLk2yzoElrgL8t0V5du/HaLW2yGOXu
acmSnYmvvIoehlp9mwlvCY6N/FSJnRQMj1nHyvN9mlfLrmMYn5hUnJx1vTJ+K+YhN3c1ZvHe6+1b
gbe9vDVG5oT1ljAQHmkYVQttRrwB3oXUXXeMpGYHNTp1hvI52OXFmwkDNlu2syYwqNyXEsSTlTla
8D5rhIGQi54y54yMyLO7wJFAbFagEdt5HYS0FGI68UnBtC3aR+nPbJKDqLoi7zZl/AWLwZkY8ZC8
yVu3Pixd/EbTHA3XEHVVfZurC2iuFIk1iR0YD/2leU3bfB8kZOHayykxj4SCoqDfrMukcW00Z7sh
Id1Po+0/3x3iLyfXv68O1Cf4i1DB2X8zYeZG4l5HGMHUlQaLUTdjXIbaQ1j3m4VJD0NTM/fscjyJ
cHo28/INOvzzP/8QpvX/vTFtxRJIbDVb/ltIJM1WUqYLEZkZ+VN9MF3HQT0Zk5tKLxUdKsKyRL0p
vQ8lmlQSxOMTZS5kjMXmDmGCk51JOHJZM6a12Jul5bcoxxbVkxgVlPGrpLzIih9g7ldmAF5+FBNv
vwSnoqGB+ZJF4i7zl53+WiysRJHvlgYyLDBstuoRIL8mtLdLrPEigbw6qLkfEtCiEr+GLije6gWU
WeQkEFn5z2HAOxpsCnRiXSFvQ/6k1ho2lfoldRcNfUqH5s5E2NFQrentVRLmVo2/AsEhwIYtBSiw
zgLMdWTfy4cMjC8SMQW7aGFATJW3Cgcg+KRdQNmekV5Ss+ooMa+Nkbbl98JZND1wIg7ZVxMQxzkV
BMkdWhKiy/5hLrkA4TVa4c2aTyp6nGKh+eGfyyhGSUj2wIwgLjsKWsUJSO0UHUwm9KO2RgkxeKSz
7oL3sd9EZBXhCyT6BxOYTxRbXR5U/a4VAsX+oxn6DeaiPHynqvbq+rE2r0idnHj8NeDAlSwdVHJr
8+qId4BlqvacaNT+bKdGQ933qoVd4cxONVIXYlvYn2qYWClJmQAXpX2Uk2RnFA7+PX3Td56RnZVx
W043aTL3Vf9iTcwO9AmVw96YfwEZeCYWxBrcRn1u2gKRjL4N0GDEwM+sxYnQHQLm07EQMf5Fg2kt
7mwjQFwVjQiilvCBGAA+vueICKWKfAc4ZIeJ464fULb2pYcB143qjxR9XQZyWDoKxMHRh8Z8zqQt
mK2PtqPxkoXf6uY9Ku7VTB4AnDv2wj5c5KpqnvlWgvwNouqK0gR/h6qy4VO3IC10BnxQdl+Cc/5k
/8nIYS5T1gyRBzV9X1G9BzK/8MCely3odNeEgz5QMCRc8FXhrNxaqUVGJ1xXtoLgOe8gTtEoX20Q
tu0keZbx3KWvIwmgKiHKL5i9DpXBPnmcalaJ4KnKiY5DSvWNLmb+W75nI4JKKrB0wZRGuGCM7NnU
2mMv+4vrx8mNe2bsQBBvpobtm0DzLbFMyt4V0wf+CJsks/adkByi21g/49QhUttOrjAVeOY2ufpI
VSeHvxZORWpSFfuO2d7t5X1hxi9+YCpsQHS7suwXLQME/UfVfvR88Q2Nb0cDYjnCHuWOZYsmwpJi
IXizW5jzKjCzBuP46Ie9fi47Jr+wYBVqF+PY0t4V2EmwQ8fmPg6o61oGqHXiwUIBL7GzGRHJAUfL
69BFmwQEc4aoGug6zk1yyxt8csFOZsMXJdO1LNmIPMBXZuKM1SwlqNEGJ4KGKK+epvoxJ4lwUt57
gAhDz1UlgmtDYGtBYpDOE6uzTdFrjg8mp+nnIj9o8C4D9dKrPRclK8ltO35S+wztVSAyoLfPZ7eB
slFSTRTtE7kKG/S7cAQ3gjWZFLltjoqFVW9wHdt7sXDQobRWycoLce/BMRx7G8aM4aa6vFOqr8ZK
d50smE+iggh4rgb1Ocrf0/SB9AkimEwKrW4f1Wy2ms4JYmbh+k7SD3J+TTr1RHWG+AHr0rtZfDOr
ljR/ql5Txv1hw7uYg2TEVRlqDKi2en8M4TVKAuGO9KlVLXrwY4jfT2vIlZJZIkbPKnWMROJ5vtPE
LuwuM2O8Eu+WIX/O4ktQbdn9OY2JbDsIstULYlYUHlxxyKRs3+T1u0ECk71oPik2b0E9b1NhPsdT
c8nE06pqYCnvyUHLFB476cwcRWOtwZhQCTPPgjur2b+twoeEwzVIoLFe9FQAUOfB1YG/gDxJcfPy
64TyRTUYPzVPUXpuB5mB4a4Yj4rB+H/Z18Y2kt7n0ITcmFKSZ17SQ8k5Ri2pyAfELZGEvewIzabv
YAxau6jYTSUHk2Y4jeznkq8RxbA8k2a8jbW7Vr4H4JraeqGnUX2y9Fx7lsmrPzVwxZl7z0Z0zhTG
1LGCzizcGeF7MmV7qjKg7aHpI1kJ58uI6Apm2aGuFE/ULwsLO0N7ruimosK3OiQ3NFXFeF6saBtm
uAv3C1+FUV36JWePBx8XYG49MBXqM0+BV2Ql3/lUOLFNshh4cpzCBFf/QHuCKUr9a3JYoapA0SxG
WrkJ+nJyDdBGEwHJB/49DN0hbt4SYsUtE41o8KStg/fs24qUvcYuJyOAkThKh3HLVmYtllJIm6bG
O3sP2/3ULE5pfAd55ejKjYbZSXD0TS1lIeLCYiZFW8CFGp0Qx+pccrMhAhAMRJl2uDIYrMyLy0PY
30HlbWS6z6r7U9fPJNFs6uiPEtp7kBRMCjFbv2rhkyT/jgSMGA9d+sYmb+z7Q1+iVqGAZR0Urjv/
iIiv5UBNS/LEJYp80elOOB645oLoB2Pc0D6a7RPwfMbv55jvS5PVG7ElO1P9TvEO54KIb3YvySE2
eEeQdmfp66D2THmNfcwTYDTN8wxTo6hfh+FZ5fNeVHuFOiAb2ffhr2Yd4+C360559hmhXFmQN/WC
yy55Dmm9uhH6Is8k0wIIlyxysHwKoncEEoQ7g62nCYxRlus7da1CJc0rJZ0L+FMwrKEw9bLgQQzB
piXVI6suLd+IYuEvCY+E31BvnKISOXzMjiWGCsRkdQBE1unJniSCjSRnBAk8kt/oBnRXk/3SY16F
b+B1k+rk+bxPaZYSTTnIJSJW+dhSBtE2a5M4RAnuQePJJubCZF+mzuyiWI95xCAglH/N5f4yw/in
i+eBGL2yOhjYLFItYgg4EbT+AuN3A/+SWu/e97Jnpade/7aTZBswGIAgLdIv5DhtO/BOHZf5yaDO
b7uLnCXbvuyOXbH4c2SxZRBOIWK/TqWvYIg5q8fPsRx+lPFUWMzotZ+GKT6KwhC1qRU+NOIccyFM
s8/cmQ4FcH7UVJvKtL7GFPq/lXrLzz+X2H8rzf9V52tQCQ0UFzJi87/QqZnWKqOim6vSPGTr6GSs
O5z+/D/sncdy5Ei2bf/lzlHmUA5g8CYMHUFGRFKTExhVQmuNr3/Ls25bZ7Kzk1bzW4Oy6k4BQjmO
n7P32grXfeHezIgCGUAcyoW3K7Z/PrT5u8bbT4c2P2VSBWOAeypGJcx2c0TaE76NxJYyc0CAOsYk
+LEC5E5/FlFPnKbkUzCmXbEIEppFMi3jZRr533LLhbhO4Vh77X1WVLfEh4X8HQRshqgTk2Q01kGw
M73pEEn4K/7s3+jJ9DoUrOh1HBuM7IIPXSJTgFsPXcJnYGSF3SGjBfbnE/7qfD9ZsqLESEf6sz4Q
pJFv8aGxaXh9cT//c8NkmAAJ0ZISYgP245MhIqzSkGYgUCcDiA8eRSIkA3Y2r772St/uH5/Qrwf7
9Oy4ST54bptAkPKyRRN8pHSNK+aH//Sy/XKUz4+J32fRpOUcRdTVCcnKdUQhW2vF/s+H+WS54EVQ
h/FwrrqW9EAJ/9oGtvH9CXfOtKVm1tumKVmtfcBxoXuwcvHFXVL2wl8bwRyLpDx8qtymH1njP5vz
RDQQJuSS0SOJLcHguuiav3E6/9XH8duz+fcRnE/vVoWY0vDdQltmmf+uI/AVElGDn+3jdPriwv3n
Y/3LyTifLpxHDrXfpCX9cywhy9ayjS3x0hTCZlN+0ZX44ro5xq/3KBr6wpkYAUGJj3F723xE2i+e
tt9eOCkAfUr0nFiZfz0EAt429zNeIETvF76jBFIZiVc+O/qvDqWrH/c/HgPJwwa8mgdP/3STXDtu
K7snH25YYKN/aa6SjQId6/fywV99ZV364dv509E+3ScrC8ypBMHD0RAk5qsWhtW63UaLEWnZwbho
r2B4frFC6J9i6+Xfr9VP5/jplokGef6PNUIfUY3rPbWVFoAKNMZdgpeROWrcZcckRhCJTv6jmeqD
6QWXfSpXkg2K31srK8B317Hncmq6Hb11TG1EF0bOXBo0FdnvREyge7HYt2HzCew9IXtL+KO0Fp/Q
FuOQXcx2d12kb1JCG/DtTVYE8AyS/k3OOsOeaEOe/UaGJH9n9XoQBT2tSOXkMUSu6SfdxgI/pXGs
cYcOYY+SiYLembH4tDtKSG/gI8LH2pPVWrpkQ1WLhmq0xydjU+jPFJr1IxJbOCEzkcW0Vwkwa0Ox
iPBANoR45Z7c5MZVz1fQSR6EqmsMAnuIDhuzRwdLjDU2iwShrwQGN9urGDSKA2+xiN+s0sZ1SUWi
xwcNX4Osp6U5niOPaZ2YSOmlkPGYK9uWt0CMzES0WyYxMGn6YE3vb1wLbKqrrTr/g+yn1YilKsOE
RPwbOilJGYwY1UdyzQsx0jUv62crHNcOgsnIH8lmP9h4SQ3GqX17MkzVMrWSK0CV5DugfBAUD7me
rDMfGZBduAsvDv11nVTbmKClxDRXgQScEWXvAo204VwKfKBiru+LGBaOhnvZdR3MUIj5kOcFOEz1
QR7rqaXb22bf8mo8GfrELUr8fE9Mjc7GoL+dMbxGL3mP34RdpGdll40I1wUcPr8eOE3nnAn3pk3b
lxR9SZUT4NjHK0QvYYdYlHtsoG5vs+4o2mM7tDtP3tk4WfowYZ/+OMdMSQhjoBe/1rlUpquCjPUl
g0+25Oz4ybyJ9GvI+xqPYGJxm/CF2EoHIpIvFqvfroc/vVyfFqt5mKo6RXq7HCBduUQxMff981fx
h6PxP1YNB8OqZZvEBzmq4PjJDRhqUydSn9vvxtoPCdI74fEXud1+97J8XzMkgry48+PoajJ9gIP9
qk2YduvM+EmaRiEoiB4siJfzjG9E5n10FXd09kV5BcWUZrbu3CeJ8z5ZOay8wls7PYZnaewNt0eG
TBYaktYS3aGvIjgU3zRFAG3Fl/DxDqT9bQYF6SRLvqy7Jxf324Utu5btGeuM68CsBfRxIGLvrpuq
DbZGnpdh77kICUf5PAfJk0COugmGkjQy3SoYMer1F59iXd2F/7iErmN7WEcNg2v46yUsbNsctYDK
ol3S+1rIhb51d2/JTq7rBX3UrxIJvjrcpxLQ9ANIwzHFRQHCZuesYTwNF28N0toValp6TosvV/mv
DvmpEIxT27BblzN0sNCv8GwTqXehLZCw1mswOUtt2Xzh/P3tk88FldK0PK7tpyffNhty5TxMTW4X
kjiVX8Vl+MV9s35bS/90DPUz/PToo9+fa7emsNFo8+JF0wAeQRobW4GUz7x209ZAT4gjtZIB4sW0
5uELG5IaczButWdc+1F5llmFmzJ9sQeDW9+jS9ZcUoxaZ0zp8xXfCI+EapuYTkUQV8L+NIrAqjVY
jJ0edXeQzRtjbC7DoGGgGrUHEQaIETtvXDm8cJctUTcXOsN2EnTCjdlz9TsycIeZoQTcKMZwuV/c
dr7+rfRiYFTTmO09JzK+2Mv9tmr66VKpGvGnS2VNdpCUJIQsyU8ZVmaLlsbPiFhx/fksMep+se79
qIw+v1K8SYD72fHz7fp0vGmw7aLrWZX6yPlGVR+u0lGPH5K637h1g367bWgnZGJc9471GOFEWfx5
XfzdswGdHU0sMjXd+PxOw6eleIt5NqZwfreDcT+bah5i4Cu1UIuC/jz9+YC/u8KGIz3OFxgOGMhf
r3Bv1FPS4rVbusC+sNXj313GtGwszHZ/PtJvC0XoOPBR+LRg4f9Usnm+GKa5+rFe4Vhkr01swz7G
hrccV8UZPwhBoMXa+eJL89sT/Omon95o7GNODTWKW5oTHxSn2YMc7NteteVj2HpfnORv799PR/v0
bptgqZJIPbDZVG31qL+vxbRr9PYQe82bI+cvpDhfndynu1dKR7qwEtm4zDeW9oE/B9zO2oME9ud7
99Vx1K//9B7OARRfY+LWVeLZZ0DWhx50dYRw9fj45yP9bgH++SH59FGzkjCuA2KXl4qiAwrxhbft
i4umLsrnl9wUIKBI9QG58HlHPttG2VhZy8Z/WEaIRSt33zAO/efn8fNBPj3slYcZklESi/ysQ/Z8
may7Px/gd7fk5wN8eq47h3YVcWt8/d0GJ+sRgPeq0kGSM83585F+d0t+PtKnZ9pv7MYrJo6U0CWb
cSghK1n+80NA1lIrvVp+f3wyf3q+ymrWK0PtWOEygEpx5ms3129/HOP/yGiQ0STiIB6A/05GO0dv
IeG14cuvIOD//XP/gqM5f7m0MQ0afJ7AsqjgTv8GAZsOvT/eGNsBm+ZS/f0vHE38ZcKYAXjkCXZi
P/JNmoK4hf/3P5r4i48KtDQ6EYK/0BGG/CdsNPezegQOsEAoiXTEMSziuNxPnY02juCs2srGQKjg
xazRPY98QO52fZ8XAk0XwyO4nQwjvS4/W/2cgBZvrcPUNMEpVb9sM5R5yhrk7XM2M+pT6Xmmm4Wb
oGxvySjAcqihbW+SpEb0jhNSjMJ5Fpl+BgCPmTOuGBPN+TxiWmm7FY0jdwGFWH8d/DTBxmsEQNSQ
CZkh/h3PQdTQI51FSEFGwGDo/aJs7HkRF366CkmT20x2hvze2Dkjvf6irZBhNF13knIGykItuuw8
SKBmrN/GHQZehoLMAL1OJ/+3qFdBjANzmBGgJ24wLiZs4q7U6k3lRvz/Ob/NL7yNETbmxk+0Hhkv
ZPIiN297XQ8x2FG+2W6xFblzPXsQOfsEiYGjwCr6qMOfLFAbmIxXdckkoUmy8RsJXtRfGePRRiCI
mcBRaV58nZtdtRZBXvGjslm1ByxafTl9s1GaZVrj7Zo6xtJr4AyUzqSEyHFL6lP4Ek3MKVITfWWh
zI8zmAy86h1wkorsTnNM8F+5wKfa3kIZ3p2sJj6x9S/o3tBVr4ya5LzAfQz9+FE2pJskApvyMOrX
Y6Fjy0xGOgrcuQs5tU+a2+1hN++r3FlpAJgvUjHqRwkPZiEnd3h2jHhcVj04HDLx9A2yvwegITO5
wTUZeiV67yJJgaeC6JLCfTFqh3mkIy490HlIYPP6VmMHCbOT0BxZfJ8xLGNN+hhJFgWmahTLUbiH
xG6+w8I42k55T7voiciqkslwt8TzomZS5KzISaAtAnAvywJbMgGqXTChUZvjZRMmd9NUrdge4Mb2
HdQ2Ck6TCfJajZ7mk8GTGarsnEal6FhZbDAuKtmemX2873w4p5KSiIeXFB7Trp6ndEA7rRJ64iy8
HpiU4XVm2NbcNSrLRzN1czeUSQNBdXiWhodgRGX/mKUgP2zIjU2tkoFc5OQX+L9QUKncoIYAoT7g
8UgTtjh1pz03VQMwTeUN0ffk7TByekXA3ks9XCeK/k6WFbBYRYQ37bTfQCWvdw2KTktx4xtjhF5b
4mMCKa+Dls+L7EXE3hmVJkbDgFwSP67cBRGYd2QU4NscmbHi4SI3XLzic7qaa35KvzfQqYxDd9Mq
vj1gYucg5fCs+2W5jPX0Jm6GU1y3OnIonrBWofKDCWi+qfD5JRz9aHSvvBKjeqYQ+50IXw0v+kYC
g0U1C4ZfD818C9jaOXgK0p/r9NwcBe4vFcI/6bN0UyusvzUCSiyF+xR2yCkdKwIvpWIAkohAAGDT
t6AVlWs3e0YP89LNij9hGKp/NwDo0MJ7SFJEPnooWVIJ4ty1MB31JBEQp7MhaBZyDncfTdRqyIMN
1gXC5mwP8mEttnQ0iFdEu4nf2lBXdCXIPmhn62yThWDNaX1IQmi5UY3zJS26WxE0Z6I+oeUk3TMT
k/dK4MCgO/pQk7YwqNiFoCOAAQrFE5ntyIPGOl+yZCEsLbP7VuU2pD8aLtZ3pxLwgXoVkqBiHjjy
e4UNvDCTaw0D5cLDvUA2xrCyLHqBtkqLKLwYOwH7X9uuLQIK2ycJt4XcyRZi+IjjWEpHrENB/VOU
8IoCCkjUR9WWN/aqs2jxklwhSLAoZ530kKB5YRCYbzUVcyFM7FjxBHEiIgYjSUzrohZM7rldxX4e
7G1jkP89ZWjnWJ1i1ALDTWM2r0lQ35Db5a3jmGWS9Of9qPI4AkFKk/Mjo6Mcr8jCideGoR99k2am
RV7VFakb8cIi6SOQRH6QbHVdqhAQSRpIbTSvYINxuzX9a9768aKd1F9pWI9zJVGz1/1uEqTSFLWJ
tKBuNzbAEwS9cXKo9Eo80bbA3KqSSXKneO16tBReVS21CgCwprJM5pJvh8cZrbCDo2yzQnmT1Eo6
H3VP1WjtCwJuUba2O6M2lpIHu0e4osvm7DTeDZ/FrVGN7zIt1gHEvon/uJBJuwqq8MULZyXbKY7E
wq+Lzt4ZQXDb2UjbRQMKww+ujGw86Hn34bnhMWUX6w3yOQsbrMaRuUsGbCMh0/SoHGfyYfUn4nqb
5ZgQr0t+sdjUlbzXbbq9vizfgg57dNJCdYApgRID2tcKhx9t0kYU5Mjw8PnaMB4KwaWFjm/smpEA
dpzgJkJlc0b2H91lgTXvzKJqFlHjoYJJNRXlEQcKjbKLKnFV9vF6DlUmTXEKswhGoLtLM/0AE+vg
EO50McFlhhTIeMMsX5qp2lsdD8XkXJuNs/VitYbH3ropo21JclUB8KPtUSzQway22WRtYkytsvN2
aSq/D7aXXfnJ8FJIkS1Jm6V1o8+QGQvo4tkB+OHV0MiVW9Ny6/3kBHP1kAzdWWBn4zEnjjkWl13t
PHuVt0V1k80nDxB7hZimNJJdpNRG0EWCsT5DKjhlMse9gJqITcNb0levjYnktdHss55gRitYbb0Z
44YR0uYJXl2Y1ChgdyMSuFwMSL/Cxz4rl2Gc3rRF9OFa/ZWovcMMIcATw32PxdKM08ehDK8rt3wn
R2LZe6HDsMWAr8NW+NAOOIgGF9hgZ2FvJ4DiMvSrx6GQT1pP6WUBjs+7Ur9oO5Y3P8AeOzjvhVO+
DSSsMaFgUlN4criIFUhy1oO7DFzfRTzAP0SZ/571xUYDlLQSVfzUW2hYUy1+DCGwLzwtZXzTzEvd
9PZB4UPCMYlnCqobVu+HUQ9fpJ3d+zN4zVp+G/QGBe5waagnfCxQxc1Z+xCV5spoQcmSeF8uyBu6
T2QSU4civm5S72Gu4DeK/L52oP84WBWDgdlEpJh+EzOojKiVyN77jn0z9kRfRhjLLuxoputPnPVc
Fsc8ay6LkdCzqM6WMHT2oXDOuos9EXjNmV+BXGSm52ywVyy2DFGC/qxJCV20KW5Z1IgvcjCgdbmJ
a8of4e549TdSzS/t0iLsQIo9teIHiTBYtY3jJFpaIyG+3dLxiULQ7/FaDpgw640Pq58bxkzCFSXO
QP2lNWvrZNv82LPOd6UyLAmIgO9/2gALdTr8rkY+PFc646vKQ2qmRXq3sV3k0VlQnN0uOPozrpNI
V+igwW03Zafd2uFYb82C/4j1RwhTzYUPimxXpczDJHRusAzJN5xUqjUanu3JgenaTwh0+qMVz2fX
LQHeIh1H1WK9S9ffxC7reENQcpUl9PfT8cmLUYHgNJxWVjbeVoT55E107UlQAY5DDESbeuuurxZp
jSDakAX2H4ima1kpTU3A1jpXQB+dcryx0fPIyXpyvOisvrR2H2JLMsW1Ow3zWhs6JD3GeKxanUFd
gc0DkczRylIy9wLo5BWoGNlaV6w6C2IGr7LYf5dW9OjhZm4j770ugytd+ncVkA/w8CA9bd5zD7Zt
Ep/z2uM0LBQm1kAgQ97dyB5HSGJB7gGixwhDE+8a4ebbmHiyi7DFZ1S2c7+eq+bJaXCFG1OA9rb2
r1t2dJtANyu0eA1Gpn7aQCfZdZ54jtuZIqJlvWEh/G633a7NS6Qf+fQdN9FdMuskjDFmRqOG3FwP
5rdI9t7Rtw2ker12A0XWWCdVZy5iXH9k6NnjfhCCar7En2Exs2VIDuzQxiCfBNatHjXhzvY4q5AA
R9AgvOWTbKdF3E4rf5yux8mQ973uPjLihTCEuaYfKndTOfOD1jV3WoPNFwAYTQpteBy6AEibiToz
aiSCzMZM114+ZMshQ8qrkemBcJZcBXaRgG2iwEHfK4CalnY3rScwxmjEiuGU8Iz+3bb5vy7E/8D2
FA6tgz+1IY4v5S949n//mX+3IDBL6gSo0pqQqLjom/2rBeH+ZdFokDBSDfvXLCLxl8BLoiQvdJCI
HeI30Z/4VxdC/wueo/QELT+duERD/qMwIn5ENXb6qYFIFDh4IQKOlLwCE4n1aSxl1NYcjG1DzCZZ
IdSbIezFGmmsYL2q2JIZgX8CRJhSA3c7EgwZMzN0Jy0dVUmPHxiOmgOfoLrVFPo4rMyG9HTvaJns
EXKWYyNqbiHKPJQ9mCc8t+tKD0f25rzNENyOQzbfpwVFYID61Ay1+6pojn6vOeuMYMaydUEgmk29
dFK212xnLswIH1hvxKhQkepRN7L19YOYeBdcCeRSQhqq9xqXno5oN5Hibg1rEc/VdmAsim0BWEnt
Y+CPQINqGdVNXZtsxOFZDp6e4yMo7+1Wcy5o430fw+TSDullzH1wzP1hXEf4kKqu2RVJ/2DMyMf6
LidICWOCYDNZNASYTVton+FV7XRo6MPJW9LEuAPhRNUZ06cwU/4a8qHKTR6jpG+np0Ai0vABvF7g
mSERPZ7w+EWAGySU00VhVdE6xAy51Gz2RZmIik1URuWx6i38MAFN8jpvTp4DVclvtA2Nxy12y71R
WQ9RE5frcs6/F1YJHJ8yGutI8OqF8Y4NPnQOwhY9/d2RCB+qwXEAsdQrkaC6Y8iW5/6dn9CXmGV6
2czmpm69o52F77rpXubQbBprfh91/d62ARTkfryNgLdxV6JlNJR7a+z3UosuHb1f+lP61BTG99kF
EEGoULgMjeqoB+4myqpTrRPUGKF1RqL4qmfBuRx7fzXF2puLt3Fhj9jyiiB9nxhjs+MWiKKL+Lnp
EjgG4/jSeBQrjYweqrjkkbMpzytr3VFgcyj3NTLjZziV10SpzlZ9qbVs4MLZ3kQezI3Wzx/Hvvno
Uw/a3oymsqr0zRT76TqPmxpHP6iawA0YEMumv/Bcfy80G4Ed27VOZAdvqNZdZqd3pWWeWlPflck0
rXJhvPD5RlirLDDpFH+zEXunM7mViMy6Eg5JYpt3RVmAQ4/J0GCm8pQ48ak3kISVQbDvg+J7VmNE
xuxySa4J7OYRZTm4aPCJ4GaTKjpCxyOltoIJGFck2yRr2AG4Istr0aAt+Pt5oAiu4YWjLT+pscei
l9k9AqH9ZOlYRqYz+46zn3enERsB1DJegRkpcAGFacbvOQ/H0arPUW0/1DEm19w72E64wBv/TWuN
3RC210FIYYJzVIOTK29svb2eZ/jlWnQvSdkKuukjc4kHbsrSApwlkqM7h9ZFWGMYUkh0qyvXtEcJ
NVV7L+CIsDGX+SBX1J7bmoCrEu8PwiKMlcNj4bmbdkz3aYMAf061MxRF/yGuM32vzU23TTzYvg71
FR9updqZByDLhVdCBFdmJT/Ol3GVPcZD+VTP6Yefme8dwCwUUMQwJcUHZcBybJyPSCan2GnPGrQi
jMbVxYhd1VcHN7w7K4Evy5bRfJYVjFIhKpDhAvCL0Fbm4N0RZRjvutzWr0bNM8FpeMcoGiEG+Arb
MgkdziNKrbCz4fUUw0jfFyCM2dkw9Dy2XGz3M0se22q+7+z625hPuy4xdtaEMJVqY8ZcST9xQBq0
KBOmqX4cSkpEHsOCNboKekyfmGsSK902Opu+aVwNDZ6VLDvron42tDrHSlQfjV53FgS9rYl5eBFz
cmWU0Z1tBeDk6eZYQbQh7hH0/thfW+l0U5N0A7l5ZxiUKjnIS6/2v9m5UoKPyVVP0s9FHkVvJdgf
0nhBgKCREh2fgDmZXwmNfNK19Awe5lttxR/zUIGjaokHGC7DST9ornFP/hdPdXrDt+MG7izcljRf
dF1xmWvtKdLm7GLQ5H2S198KftiynbaNMIhVC5vHoGk+2tCBjRl8GAXZ37K9zlvzGuurom5CjHOl
yd4tOXSSnJpauA++5e5oPN+EOur9WMg76EQfXlq+oWy6F4G8b3X7eSrE3vDNZ5z42GD9flToP74H
9UPgKs+zTGlD9N1bO9ZrLSenIHFBLxvFU+3Sa+uteVzqNH4XrY5QQTOCJcm1h9l12C+1eOVppqRE
8xbTsWCSjP1Xuxsc/8kOq3vLd3Zm0l2TVkdSrZUstB69juHGWxAn3YXWG3LddCATcf09yYLOrefE
l24aHWETwGsRx6Ecy53ugm4KCRddGImNv24sFL2mwfErvKhdeRGOLbS7ILX8fF7GvQ4IP0L0xSu1
IOvDWFnmUCwaMX9YGcYO29F3AqXdimnkW51PeNOaYmCpyO7BUCQLpuzGyQtY6twh5jkgRF4Fv/QX
zTCs/Ea0ryxbOcS2gFeqjMQSNbq/it10OCeti0AtjwnDy9z42FUZ/bIcLKamVWIFnZxPqdGJI4iZ
fBvPc3sxTeFhhKK5NgS4tczSU+rfZlq7mj4spWaBPWvxb/iddufo3Z6dafatDqv3NPVWoZats1Gn
jVGfTYf96+jCYNU8y2HnDzQ3ZNC6nGZaflaGfTpruWVdkotD6sZMP+JoZUS6SdwGbVOPt3CtRciI
wjm/TwIV3zTjFhIiPk2df1VmRrgY85A6KZ8sdcO20C1OemdLPqjaefQnNmnpAFDV7PE0TwYOyMl+
CH1iSLKImOUmvy9yr1OqK1Juk+ROeFQ6qDv3tVvgXuMybXSvP1nRsA2D5JRY8StO9giwA/s4sDmm
SnHrr8ohNVcyG7iIRrYmP4JXiiT5NJuPNVIUjRjZ/ZhgztZm8RRp+fucpTfS4+8I59hc4fG4JGqZ
qs0aX6owunV8rLpTQdQeo1CI1oB3UrdG8UOjsmc800Rgnoe8eS2y8TSPyPnNwD4KH49VWeDrwjjb
2IiAWCwPYcL83bfENkxa0qTqfRoltBiKet2L6r3ziMnM8is99sncqtddVx56SI0EFKvPoXWOkoDM
3vSpkM0VsgzWoq66s/NySwbNwgltbyHaOd5kmVyPIPSR217ODMKiAgATbVJwbqAG+1nkfGHx/Y1U
jDgubVzVi94V7Zbkx3jnB0mwCfv0rs+qIx4duC9NnGJQho5Y47TAz8xWfR20LWjvAX2N0KkH4ZFn
R883K4oi/1Zrw4fQMr/nRfJeGObWN3NrT0ZxvZ316D0xi+sqbdxtGumbQdZH04WWacMgv+ibkT35
TNebe6bDnkkPgieACvjayMVRj2Z/4c16vtZS4tmIXZpBG1QviIrPqM6fR6E/kkqOOcTmX2Vs7nuf
tMExAOaICQ21YNbrOGwUvFOqyQu4OKUl7BZaF9wqr53t9d1W00W+9RICHidLmezM5h5R4yta2Y+2
EC/IBE9pg18xL3nNfbEpy/aOH4EtwzgCcipy4sK0bm2XkOFioOy2mS3q0knXFYOJhXTmu6HxX1s/
fbAq58kdm9e4zcnghPS7goeHVz3j+TQG8zREfA/xKLioWKt2KzN1NlkUL4q0zzdBbnI2I4WH0Q8a
iJUANo9LezTWpCoGDVpRWJYigSWyUDVpY4injNwoRqXeXVLOby2Tv4s2rcdVHRM1zdz0w2K/saT7
ndE4z7uD0VnbHofE0naGD7DwXOKr2IMVEuQORuLSXLLHIT/B7JjtztX33pnekR5can4bXTDf8RhZ
zGemvj6Ay+lUoxJfpwHr4+w234oUbEJRcuOduYOID9VhivGqmfBllpQBw/PEudPozfXj7OuMZJgC
Wpm/DyCcyBhqnhoT2mpgyM6DsS0zxFgVj1HJ5C4dw8d5IlJBDRwLRNaU+CTRWkN4GnBUD2o8iXWR
zYIaWdptdur0kvadGmeWarAZ2oReVwGLVpprz0HE+DOqaGB1aiSaeLCv/SHxdmSpfOuYm1pqgBrb
8G90NVTN1HjVccJrOYp9qwavfSlqZNUMY43UsY5Grp2yCPd6Yl8ysylWhprfapRMF4Oa6Qo13YVI
dA01q9g6DH5rrQ9XRaCT8sUoKTP46FRBbaymgFgGNTkG7URjTE2TI3hjZMgogyzfIS1i5hzZUQ0F
md+WeDVJ3SP8Csedbls1rbYrjzFjx0sRibg7DUXCkDYDtk4DeTfyI3sFQfNaZ6WrirbshSVTlpuJ
2PNOzcpdNTU31PxcqEm6FfYBMzUZnwFGite6A/Nr0/ZaTWoKL5lZ0ORSs3kmnmd3xP1MximMgNGj
5AoHbZXMHrVeqRUHrWhvDTXsp4Zl7N907sJgscGOXCEKUPIAcjmCE+Ap62Aq8cA4pIR75xiESYLy
FnNf3pc1VIAJ5QFscIepHG1NnNbhKk4h74ZF+1q2QBdJG87pDLBwOg4lS9GpVE4zeRZD8mgNnQno
DzFNW8Q3UctHszbDt2buz4WN/V2Lsme3jpdO9S692yzzwju3YngUZtg0G5/hPEx8Fogu88G8ZtF9
l0l7QaKbSl8CWsEDlu47ZBzLxNHZ4McqGjxSAZtm9VIU4cjENAuB2/vgapJA0nEDwBLq+jPj4pGO
mvEszPTB0+KngvSLtUN0/DIui5yU2OwFU6XcCxOBFrSzbWvACB7RJ28n2nyUruG5N4x0UQQlgUnE
xW2d1v7uqX1XQ+gHb2pP+1WYLS1XLp/MdXgQg1dc6YIevUUbdUGE+2We2XQ+2d75of6MVFIwSmVU
L2B1bzVjaF9+dGDJVjngeUaOJsFJ8hwwXgQ6MxdmxI6s3Vmh3q+disEwPXJIu6P2vQFdhVsaK0WW
AYWVHhvGXI+HNYnJyQ1umidngAYNDeyx6wxgNdEJidjNMKa2EujykPRvgcnsHI7oWthE7kqiNzxh
/W1++r82oRIr0b2jPfffxUq3XR509UvYfVYr/f0H/9UqdP9SeUK0/RxLCoUi+7lVyP9GHiRtnSad
JenQ/SvKUfxFKjkOLP6xHWTzls0v/rtVaGM6Q8tkm/QZ4cMY/0SvZIpPIj06haZENmVZtnI6yM8M
OGgTneF3oVhabgjpPTO1tZTdRykqm61pbmxjYQMaQPa7MJwx3jPrvrR12S6qYkzXc1s4m9gbXVge
xbxMehLgynh4c0aUQMi9Xky0wquxwgtC14QpaZs/2JHa+3ghFNDYqO612fAXVY2kZTbmnRcw2eih
S5UgD2VFE8hj1w4Ms23Jsij8lew9xAQ63YweLA+0DCKopoKeYQYPbOvL0VpUOmaQaQhhDJP6CDwS
grqJSRqgudUxWfKNJSE8/pmBE6+Wesla9brZwYSLSDdf9ALqmKteSqvtekLwajhlvLCuenUd3uE6
JaWmVa+14P1u1aglMHnlRQxsn5pWP1pqQfCH6XlmhSjUUoEQAfI8oAhDLSO1Du7IrZJZZcZAM4BS
i/eD9ITG6/gSu3ih+VZ/L9TyVPR9vo5dWE5mFBNohytqUstZyITlAlIo4igSxXvfk3uN1S8nPmPF
cK5AWoPlaOzgeLNW1qyZtlo806RghJ+rVbUih2IjQIvrRPCyqLMAx6ZVbt1Re6rH+V1T3aUEszcl
2gBCQJFPinp6pDn+4gj7OS+rZK+7I70fuyULsfNf06n4mDpuMH7T5iJ3o7ekgctp0UQZZ/1EQXkT
9vkpmP2OXkQmtpY3boQ+gB+T2c60msfWhP3bgmbOwFsbTYafHRmEmasxVncs2tnfDPVkLFtzLrdd
jEAO48DCrztM5O6lo+G1R4lfLZPSqTd5YNxVI/0BnHVgUHlQwYCXsHxzX5Dqbl9XAm6Q4V3yfXpo
5hyOCnMfV+/ri75O8k2UshnwuurU2fGtaQweFDrVVHaCalH2BTbxKadGd7pdFRNrYSceIoDQXtoW
oizoRfPB1s2HoKBIa5LYOXWk5lxojaI61KV/1SdZD8FPK8EgQLbsixBZzsR2LG+s8WDw6bnwa7Zp
iWDkm7OdrwpzO6SjwxOLB5RUp2jhJkjwymi46cUsCUOBCxBl2ZOr2SSIGiNKNxMuV5omr3VVtkTT
UOVUkjn+7AoYe8bt0Nq3RUgQdtXO5er/s3cey5YbSbb9IrRBRgBm/d7gaH21nMCuhApoja/vhWR1
V2YWi7SeN2kc0FKccyEiPNz33qsv1MmW+M6ihE7G1OH/A7uDgjB35Flw8sbg5L4oe7zvE/fKrMh6
CjVeOnZ5dw0w4r3uOCURJbgLfEKuzVJ/8iPvaJsWkJSBJDvGoNeuhOyCXhffUh+sXS3Nv4Q7PE4S
452IKSkTDPKrgqJ53SZzoAqYcwLvSdqp037ZeyZpMUiQGEgaq3wGpON8L/YQEG2T0ZnbrawKnDoJ
weJU16ROso4U9AOIexeUn7tiRrFzDODU0fJh7hDSu03dnKwHo1k1M8bdLDX7MKZxRefW5MAkwb3r
dD7XNQR4XB7Oupuh8E5BYNU4kIjVMYXWa+LWQ2KeZOC8ZzNUfghRCcgZNN9GaO20BH2Cn9PpKOk4
LTvVfzozpZ6I50cNLReyJsIq4nqf5qDtw5lxD+t+qkmg+z+lcTPuP//ff8/40AX/+90bP21evA3R
z0rjf8z5+HP/3LwxgjA808mAY9Lr/io1hiyrY1838eHMe/BPmzdmQTTKHoxEIMkGhdXPmzcOFlTI
Ors7dEgdG/f//89fnO31b///M0fYntXOv4z5bBsLLzYc13ZcRpIm9cXPpgdW7WLQyMVkZYtuzAzX
bJxfQ1/viB/K76yAN9Epaa3o7qM/ErhTjvp1psqPIApfgXKc09pGpuaBbMhcxlCTrbHvFLxUVpyF
n2HWeKtY5He9WTDcGmk+hQaHRdYg2ngE2avkDbUfg3rEfYtqDMHrNOgAJ7Klj9jD6DLOSxv+rm7b
DpN/lg1JFs28BFbzYqhlLIsqEk/mvFAyuUFAV2SQXllFi3k5Hcp+rzUQcVFxuCj0FNLnkSzsiVj5
daup+wH8Qzgv0VVTZVuGUhhQS0xlFSu5mbpPeIpOSpjbvrXvR+FBU5gXfzFvA5NK21U1bw05e4SO
wQg9BtsGrUaManl/yRP/FmP0iOSTtO5aFgClZxRs21+cOD9mgYIWxkqRzXtUBAWkTawTe92ZeNbn
op0PrB5Bs2xvg9Xqu3zWjAZsfUNDhGnb3Am7eHKMEpeyILtnUB9wv1iZwSgT/+g/dCR/4ND4aLwR
GRM77kKKMTm4bLsDAJjA0Z/taIqWpa1PmK6d26FtcsTe5qdk9+7ms9XgZCk5d5y3xmDiCDKfwfI+
eQSmxLGs9zl91n6IxZnbfgOE0CLImpNcTSsj65OWqRv7fT0O1zVnv3g+BA61umubMSc2yyPciJjm
+Xce8qaKHjjTYzz1mPjZAeB5jWKqMRpavBw4sX7nSwRk4dqcT6N0wsqHepYvTLOQoZwlDbiQ1Kb6
oXOwYs1f6HM4UGXpzXaYBRGWTUpOXmGV7WKARpPNYaf2yO3X0sMwSymgZfbP4yyvkHp+Drr6oUJ3
EVp2TMVjXEbPv04pXapMPNMaE49+298mCDeYK2BxdHSGxyU32kwkIWrgwtYKyYfVM2+MKNZWgAk4
q9OkYW6kn2jYDIdkVo2oWT+SzkoS0obutR/aElUYl8Fwv6J+1rPPChQy78g0StOzhTilnVUqArlK
iWzFmPUryaxkaevxNULaoqfDtpq1Ln3QlYdWR/+S5u5tU9Eua+1pXE9N+dBZSlKBzgf3WUETFGhp
KkmOHLt6s5GJY2CiRHIT1f2dgwanBamGFQpZzqxNitHp+GG8HFM6pCUqVhMlD9joU4uypwida+S+
z0yMPhXKHxUGqygTZ3ss7dUE6IAwIfXpoBaiUd2uq1lApKEk6q2ODqvpR5DKzFsxy430iYa9FlxL
dEg/qmST1gs8pB8vzrgpOc8O43QBUoAoBprIqfRUsJwkuXGmkRnbpo/WpFUE1Ho+uQYVqCojBM86
NsZHx+ZPGCj9KZ6m8abBwp/l4l4SLkpOfpStOpUQ3Sbp/NlWS+IWr24hSVbW6c9LXGG7vmzjc5NX
6tWb/GQ9EKm8pAQ6Oii6VnRczdep702a97SCE6HpO1PHx+RmU3UQnptu/BwJGCCjZwXWc+uZFbGH
PBxEk5XBoc4adREtGcFxyGzRIrAe+9CyS5hh1Mq2NuByavjPeY9/M/mODfCTvjqiKYpWQwXBO+cq
APHJLiijv/XKf4FO+Dx5uGjrzFRMrtvkamoy8CXNQyihLeUyXlNyhFCK2nhnE8K/013/SUr36Iz1
wdQZR7WFePGygDNClB2mIdupOJXrDjUUqyChdeg8aEfQP9kmY+4ecmU/WcZYLjB3xxv2w4E620Q9
ogcfk5zPV2mVr8h8pj6vyRFNHLQUOUyILKgZhTnwDR3vfhzdvWzHo2vUwbKWEUNzBwqHVZH9YTqv
XhA+WWlOTlUtPwn+u0S6/Q0LySKcOyNMIB+WA1/kWhu87GC2jG4gLBC6rWbhm2c0oNo5f4Em5t1O
qXYNgvm7OnjvW3npEywdtglR06vFXV+xTdWcG2iHT+hE5yQIl7YroBzPW0ezwFTyKi842Uksd3Tb
iVbutuNgAQdBiGHDRqNZC3a7KJiHDb140bPhtQVu3ibDt9YJoCussjN4qd9Wgf5KKQw3dlSslWHw
WRLrz2xwZjabXgnAWpM7PZkenK4il658+r8S748Sb66bvDme5t9XeOs6/are1Odb/XON9z9/8J8l
nm0K9irDlp7tUZv9T3/G1f/DYM4yC7Icx8TuTBX3j/6M8R8EQjhwyUyBxmr+958F3izz8vCY8I+D
O9rjd1j/mxKPptNPBZ4DFdbia+ku7QLBuHWuJX8u8JSum2ApbX2l7ahZAMUt+isc33+cBn4pLH8p
JP/sU9iaaDcxYLB/qMl+8jaiWzQNM0cCnZFdEeDfaIzdT1f/+g/l2V9/An+r6c7GPeFILuqvP4eJ
OaojclFfhcWLV0Nlg5nz15/wo1H1s+QN453j4WiwOVHPl/03W65R15oVU8ivHOQBS39bXatV8ipv
yw+mAh/MitLN+M5Y4q8/1kT798vVm3N+HFsKPtiyaOXxIP36sw3OFCvgw2BTJFRVvfBJXTcDwpbj
5IRI5KmFhVeb6YM9aAeKeDYIDAZJY2/SKNihgWASx1zPd/eWU2wTLbxrQ22nzOlBpN0hTYpdTtCl
NzAX7LPXxk3ArJpnAscZ+JTo4+gRFFb3iMybRFtCScgVIUk9eYojbRMWwy4XwzEx8y2J1gfRE+JA
g9oKqxuXPd4nBhpeb7lhjrYPFO4g278ZpNxONomVjcOGH1FejLP1QOTEmNuzHQFGD3zRLnlAdIQW
o9Syi60kA+m8ZhUfEJcZqjb3eHDReCs+PjD6bNUEXn6IesQx7myH8GdjBEnaM1PM+FImsXtRVOD7
wUcREIKzHWdrhT+bLErdeuEnob2oMf8KVPUssoQjcsc91ezPpLJPkISvw2D4MsV4nPByGHg60pEW
iYHLw/bEPsL1QXzsxZ1F8iF+EIk2KQoK5uCzU4QwMjPUP4lH33WjdsdA9brHWULk7Y0xO02oofPU
y+a59KHHi6JmU0qUJPVDonEucmBJUmLg86y5uVvlVVdFTBIneAFJhjxCC0YlFg4nMmAYcI6M2fFc
N2gkdK3oiCCuD2FjrmVJpaEzrbEhtIBP23FcOVv9+BVq5cWrLQx43tqtof2N6aYv/BODzYMCMDN0
wLX0ct/Z5r7RwjcH3pE1YnULofP0cROcIl+cSlIjQpHcYTS8CD06dq7xiAqTeJ6ofBdRtQ1kQwRx
uC7Dugf+oK8GiFfFk5mqRypMXIy06dzAeA2ZjVUlTVrhY77i+tdH4QL26AgiQg6VI76ome5caA+K
C54m5nqQxp8IgUKRzXz4MljEZo9Nkm3wm5b0O53mCTWdex2oAjNBzjFxUmTQDalMtqFCppj5zvSQ
hT3h7wk95l5QTNmh9iULYHZJKayVbCk9aytTe02ASotd46T1+n1k9/6yBnl3cCtotpPvqntOUmCk
eP7sqlFre0q6pWuU1C7RBDKpZ+5bKZyzhlTvmazIfEh1+ai7KYTZAqksrKVxhSXT2+teBSVA7z1Y
z1P9ABQmhn6X1hypEFst3BS8UWwSYe24WbEK/MzZQB2hCZbZ2HhtQWyTg3JpVRVldp8nenVliO6T
XGmYmGFwzNsaKsZYwD7nVrUi6J9FG8pdo8/UAmK8F12eowXtEHfpRktif/YRKEZ3vSzrtSBPdqYy
8nfpHnbI9NFOTSyRA2FSjI1Jk02R7FR9g3gNZiCdzGOXWIeWUdi6sdRLYdAkSzEuqjS/0zVKZwA6
wToV8imo20/R84ANlfMQSHWHx5D8dgkBLUwSMnBa/+AnSbuOBq/aVW7wkMZJuRydOF1i1Ea3hy0B
1hnnvDS0LOAS2lM3e6YMg3aiL24wUJc8o8VVJDMaifKJMd93jKqqMAmvJLpLA6zY3jQpEVg9dhdC
q+pnWPKohlvvPBTala6HFHzMpUPt1onSdzE119nQ3QuN+YFTG1TYAy+H3VpkXOswJtpjJqHa5dW3
XhfLhqjmyiHwIzRvU9O6pDFt01CWRPEn12XVPKmpuqacPjFbZ5QarqpU31SMBVia7scof8AUfUeD
+ysmJb8BaZUlBJ56BGkNE9KD1CD4FZ7KcTTGI+bVFT/NI9R4HAUtS5/Qvw3lQqgGDKIxvXBd9VlI
Yx2ja4HbgDSod0FNK7Fseu8yTs6d14YrLyAQSiSHPlY3poP2JkbqvKjnHBFt7mR2g7YsUuYIYeYl
C8MOHj1lr31mwws0uSsORXeJcM6A0m+sTKz9MvtuvPaxrPEvIQ2+DSZE2solaVYVZ7+dldmN+Iz9
+CxSscPd9NgO/tkOk5s8cwDhDUl7Uxktb4DPBjG/05F0NlNMk9bqq2/NNd7TEOlHUmHBwXF3jcLk
OU9zY1U2PfaMKV/g0wFaPg7go1Egcf1WPlqsxilwxSYbHRiDL1yIAQqvN984c7+NILnT9OaWefVW
OR0B58mWLID7DG1cEhabVNJDGKrkZajSrZnE91puXQ1pc6a/wXnCvZqP9oDqgdpWaoPkbSditraB
+PQUiknZuh+RKZAelVuZI53wU/eqzFwuARG1xHRKFnQ6DlxTJjtkgOkkyCEzL7QNbWVGzXDXS0Lc
hl7HDKKdMke9Cf6KgFjHviQQAMWpwSqiEyAmxG1nA9jo3HXvMSgxN26cHVk/EWjgHxVvInmtUWlr
hCFTFS0dcHFldNDbc5FfTba5zJpbGW/04tFM8N6Cx4uvdGuf2Sevvh7MR13dm/q6hgWErH78TMq7
QUc5ukIHkwWHggA91EVL8ppt+6WAvVd/lYQe0x0Kxiu/vbbVQctuBSATaTASbFaWEy6nnm6EcTKm
r8T5yKcjjIE4fG/JtGfB3YPVoFelrw1RsOn5617UT4F96pOrnnl7aYltwysYh3MZsctSKl4UevhD
SUuwfOKgMuNoaWj1M+0+mXKkLvZH21WwZwPdJd7eutEiHATk04eWutElmXaQ1yL9kgSvic/2CV5W
pmRFWwgUmqtJwYbwyW+dwQkHXO7rHPWyPhxi01hTHi1KEv9NUzzZVcW1fjbVg8JQqYS+qu0dL14b
O9ydhLEPA5lhpslzyXrtY/LRYBbGV0hCUTdaXwzqSCyi6zH668C86cN3P7nX69uOh4W/Dl+ylm2k
5jx69F/bvjv6DWEOZDibKtiK7LkIxYbV9Gw11XmYhUgcXA2W0h4mDlKAhmzEJjwj3LhLXfYo+qgm
N67S06eRoGcUqacRtBLS84tTq1uPZ7vpazxzSIT8/spihpnUvkQrN3A85hFHBsuZtsglU5HXFKtH
mlZPMeKmzs62Nkb+yX+s4hqRyVCdgmlcDuG3msoLkCgeXGhnQ4xU8oI6GrmFdae8dgtsdqHCcF79
GI5V69GLt9TaKy0vN0X6HlfXQfpozNojsh+z9p1+HxCGzzYJzrBvayde5Q3GCnP8spPrUb8Kc9Qn
EJEpmRa2qsgNGOanYBH2PRI9sadcIDs8uAS5okc3ICyqN6lKbsKavaLMLiIO73ElyGU8YyOj8ppd
Fr6TdtGnY6p1tJjTTRblq9zhtO9rW9QV/dkuuoXCmGbXYBohDbYacrk43ldcsZmiQ/wB6YxQ77xr
w6tpTJBEbyBhM55lcYNCd6tj/XAGsXIZXwsLeDrLQ87GaFfyMmGwtDjkoU04Ni1j9OLNm022VrzU
GfhxGoU4cIUsaZlE3TVfeaGVT1H8KfVP4H5bYyJ3FthP76I+H9R1B6BC4aueAA9NXnFlFUimazTe
ZngV2kSoh5q9jYbinFbN2gy6LY4MFOKkMNjjKgIRhEoYbeeD7jc3zFyZ/0ngEiOVSLfrtbtq7Jlo
6ojNg93c5qux6IDadUW+6vOd1jQ7qbMM0piBcpSDrjCqacuMfBERhxCTtCB9g4t8SMKvybigSt8l
7ioKv9voUYIyYt9quXHmsWBqjhvGTp7T8bFWD3RkN9iMvYyl8QVY3SaPQXB7yNps/dYLerZK8iYb
veWlGZkGM+LMqlUfmPeNRIgGwCpgsIqgDfE1sjfqg7wDEE8I97xa4EKxykevvzF5tPAOL2H3rYPq
puzu0+ZxIGdBOd6aUz/dc3gKNkHuprErZ/tjUi9N5E2+sjd9a5CLAWqwq0jU1KrzmOIX9nRidc0B
bpWgkuAsUdbXAUbw2SIUG19BcCUk1vlCLfCebEYAqexGEKW+0wLOlw4G6slwbzzgck6LMbnjaf10
9ZPfvjnWRuTnPjhqZbswXAhSKRAPjDLx2jdpxxoBHW2YutCZdMLxntnBtYkhCUr3ODc2g7zuiZ5v
0+fOWhsUbsNjhvDOyG6G6LXMkf0j0yujVQq7tH3O0Hwmecep4qr0jom3C1gPFJG2zjGO64vJBCWO
rnIXEPG92YynUr/VZw0vzoHwGGQQp4j2Y/zaN8kW7S0jV0J5a7q7GEborS1QUq57QAsV62+Ockt3
+EHwT+AlWkgzXUdewzNYrUJ9N1HiiPiF8yOOaf5jGmFy9BBwv1V+FKT8jgMI4wbYLec8NG+wWiWT
sTsZ3gfqVhJVqtPb+Kpj8PRlQogKMbARbrGpX+beRWqPGgMCYVTH0LjvEftpmX5Vhp+99ZUGJnnx
kEAnVpDm3iDfNAseyu67Sk8SNEPFUFcvCbD3yBiIiJ8eFtJ6VtWjb7ZQNM6o0w52AOgElU2f9lT7
EDYnarrA2hPesbND/O3VDWDatZDhnY0MpWDmbGru2gs+svQ4eM7eJzFhUPeq/WpR5htRdJdGp4HX
Fh3+0p2xZ5wru97j+n6UARKzfiRUhmA7D0ns8BkW/SYz38hpwCxzss2Ljie7Hz8QZQR+S5RNRiT8
PODBAa+/TZh7CpaInN4oInGOvNPadh4U0kqPhLLUS7aWXy1dxGuaew2sFayxsaFXvc0yJhhitpJQ
9+f2dVofLAu/cw87zlyCzsUSB1FGfsHti4xnvXcPijUxN/eDjUyPeZHvfkfAx/P8oSmebfer99/z
Pl0SLbcw4H+r6dyMb+XgPnScTfEW9fqxR9zoT9YuiiXF770DUjtETDfDbWMxH5u2RoxsgtJ4DrYB
5Bz2n634bpyrCe+T6b8NKY8L3SPzu/CfXT1cjrIckeTdtC0PogyuTDWuZZGw1jkLrbeWXeAewugx
dt8ra8ZZm0uD4CVQuVw9e2l08Ki4oiw5G4J9Fqr0WV39UzV8B5Gz6bT7MB0XBDLDnP+081c/vk27
G0ZMtDiQP1pqB3OFoyqRcMa0yarPAfN0iAR2clYGBMHypaQjEQ8PTTNtG/jwop5AqYitbx07YjBy
uWlR4ufe7NT+QCZvR6eJkVZdjQtkqGudopwCSPGNZmLS2czMNeXSFteAdD5cDFWt56181hCTlQnD
5Tpvb9X0iD+UWB1QFcQvI8cm/XkRt141lyfGxoMVGzDY0EkvqVJxEwK4LqfxUIrrVIs3ttA2Q0Dw
Z3CvaqYKUE/LiWzHQi57C4yxqT1YWBYjqnv8N7L+qlR5wxB4MaEwj7VqP1GkpN5ekL5U2JBYglNY
3dbWKUX3rJC5mjMnq9/F8e08V5LTD8bN06BeA8eF83XntOZV5zUEKlFARSktF2+TpxZninxNA27t
cUgVMj5k6llLp3OAzNbuH1EDeZGx0TlwFPo6LD6z0noKc4Kui33L1ScheDlhamQufI6BL+MOHMI7
hpScddf9eG+BUqHIoAPiQat0UKjhj+Oq9bRd42OAqSOI7lqFIruV3snxPkhHWA32tGl9uh/FxUtv
tMnZOfm0D+PrqiaAyEd7LjfK1B+9Ib50Tb7JHeNSAt40BnNZCfnQxzYkRLGwUkarbU2ZT5B0NWyM
kftOu8TN/A2Tvm3qgoceGxKxnE1gssxHzVGN9toroP9F5eswj3hQLK46fXYD+h9G+ZS6F4f13W8+
huzQZ59ylmi5RDuZEY9kJ18N8j3y/i31mkPeT1vDZmGcxHn0mz39y2PeOxT8kb9tK3q0Xr8jJgJs
EdhnnW2TYVwZdbOVfzp0hTyUQCQ9AGRVvXES92TBLzGj/MKgaK69qbHdeyy7WyXinWsYByv3ASKP
+z4FjOyNG61GL2ecZN3xy6jHiQYgRQvhQbucKaAYp1eK3bKu3svE5+4mu8A6u5xZOv1STdyjhBcb
hIreowVkQS2y+lDW9DM7ajRjwipMEjsKd6KYAurd3KbwTbyjSm+DcT/k9OtsUkZsdrFoctk9K7Yl
ow02CC5It2Unwq0JjqZ9aYpPoXE08XJcd06DFcvHdgzbACJ8xQE0t3cEcuOggrb5UTfbmjbuFBMF
1IHFHolVzwZWoGkbI1hO2FpQLq/N1MEaI7elo2092E5VjkSYY0A1MB0W3TqS0VZjWjYabMpkvLH/
XVKHzC+IaaHHnzPFvrG7VWvBhZE9sJ/punR9RnWGcdLH4XE0vmzMWMvEzryVV7Rn6ZaXikmaFK8W
nWTMOqQ1uFddE3y2oFRVr992LkrEidsw4/XiJ6HcmQUU37dUcKyI9VtaFzjER+2LPDxMLBNh5hK/
DvmsJv6gRV2wlo7SRWbHBH76rORjzMwyw2FoxNu+IU3C/0gr/YFeIzV6h8mcLjrVRu+/Id11rtxM
cC9LOeyScSL5TNw75Io19QtaunUlYBVjvB6RjJcVENhR6ae09rYqlzcQWokrSjZkQu4B8Tjzyarw
rkMeURJNHGQpSDrq3j+OWXQfjd7Wq42FF8lkia2XE3y+IYN7OaXmi5NZ7z2owNZuVjZsvBXVzHUa
OvDFEx2LzqvlyGuNUmLAw1uLgd5HQxK7yfUPp+ukJdskAHUWeEQlk/JiFAd+0Gf4py92Q90W+ch8
GJ9Dt14RR/9k9AToBmDqvIR8lGhXt9Zn1NCLifCqBzgsowqW0tSfnQIOQDx9RlROTuMdCG/5jPNo
nSevAlyoB26pDBgcVbR4hvLM5PrQ99d1Zt0g49uV1mlgwauOA/2TkLcbtxygAPI0StywxPa0ZN9j
BbPNE5ZCnA5kxqApiB13p/dvTFbWGeXixMLNpnITUkpL7coG7Jo37NDxLDGe9mXQfqZ+gUF/zuWr
jrEfnSM66YoB82iS2za6J8YnWP6spjhkOQEtbtdGywrP6UL1Yq8gz1O3MND3yJCruz39pYWnnEMi
sWeP2rSppHFlBMQtYYzOTnlIb0m6JO5Mzj4hSMB0unVmM+EeRjI9AvEc4qhqGqZqMJ8jujlZ2PBg
p9m7LkzjzkrpDuWWfSiTjmFbzhKAJToYKbWqK0sm+acxNNYyCr03k7nzBZGM+mx9LnXs2s3SFZRh
huw+CQpk22WUU4tmP2KsWKq+aL9bkJ3OYAwxm7iw8GV1vHOpZZ9yi6VBt8Z2awYRsS5uEz5klnpI
OO1/DU6Ut5z3nfwUqN4isibO77LA967JeHZfsqzPt3TuHJLNS+et9E360Rh+ivTKB7DmtwavjOdT
yjI/2WsFhYylOgDaoVvXSwa6lxGqE9cgru4C0VlXNTHSxNO7Psaf8tqMEGMGMYkFRpbfheTSzu8O
U5MpulSB/5J4ZK9yxEsIg6mwa6aGfOsYwi5DK+KNtCk6mXHR62yHtd/ihjIm3T6RCoray87ux5KY
ObthC0ymY5iJbMNamt2OdWIzKxsOjkWSCihA5gTwsStjei+8uREVJIeok4+CwcYiCYr6FDR5f+fH
vfXQB5QpZtgyDis7qM8x+25fkkVBu6QwVX2KlBq3bRzRzsiHk3DbO2uoXrN0+sRGI5ZT3OwSGZyD
OKfJLVYlRBQ8VREK0yFE+jXpePVCgowLEe9HFaarcorH566ImW8GiGuqBB5jZwgT/UbMCdAr8EEq
dqKEg8fGUDZMSQw8FssacgfocJU49jQ919ooioWuuls0qOeEbbTq/Tvs6U9EW10IzkIJY++r2Jxl
4+4mDdhYyxoCRmMRL+b5D30Cus1vFDlyHhupE0MbpxotHPUpLEG0ZYfnxM7DhzFAvm+K4EGM+BAr
y3ryig6VtvaumRy3cjKxFqZuXNujh9cL23uAWbXHxlk2yK6ySqDyiHjJjYlonNSl5VZ5DIuEfpZF
1S/QxrODOd5Xn+XaWWPTdTIOWCq9RyloLYeuelKhSTya7p61AAnH3NDqfIDqseT1H1Lvuxtoocsy
I0dIDnBHO2wQEFI2BZl6B7P4sd2HwYZidsAOpUc75OLqEPZBv5adZdzix37EVOGuZJ1cE2DEm96h
446l1l4rn4OVsO0KH6K4iYtmzkdxsEjJp4p+cYs9bvZpZ2vXir5VFbQbN8WxE+XWCusY1jXLvDQt
60NQN3dkmjLsicyDwVB1VQAGWA0WHZ+69h7aENKcH063qafvi4ry2sgfXB/4oundy9yo2Ds51SaG
uJoqjiB+7OxMyZSYpIG3qo/2nm08BeG08R3O200LpR5vr2zq9zCeD+GZ+GQ54U6OtPY8v3gi2Pmu
nPpi66mELNaQCYgRpLssdG9iiCpLy4yK1VQbjwGPdEQgVdaO9cKDF12lYcotC2f8Jjllkd4xHQ/e
M1bttq7KbVzjMuzG2sR02AOHlFmxrgzSoTQUZgs6Z3LlGPQdw0T0OBvoEhXOcJPWdDyxmUsKZk4j
QxQFa7tU7VLkKlkGdXIyYjW3bOxHu9buwpopcm1KCedFOcsiIuy1iAP2v4xCz+rgHatrD1PswpxT
03TsxDjXDVrrTMl0n1iXcjB0pvHlriisbSkEgYkN9t8meuun7BCP8QUZ2sULYaJa6XjRVHEVtqyP
w5Cv8C1f/DGQH+hADoL0FtIs3CuRc24Oh/QyCns3JMORUBzWtCJ7/2u5wm/BQNh8MCDqJL+QTmSZ
Dk7WX8UKvZlE7WBq+spCEAMmjR5XIFiS6QvbE6HsuiPKl7AjWXhqXpDK0fZJ1ZxAaPGQB9mJtxfg
UDBnHJiHvMvPTtfdZUPr/40kZZZQ/6R8+ccX9RxXmNKTvKK/S5sT0oOzAsVIvbYP5qM8Nsf2I7k3
1mqtzukfWql/K4Ax51Tmf4pH/vXTfkuPt3JTVSSbAnfFZL4SgfYVEyC86tj7IRNsHOWeRmWdq6y5
tJnc9QgYIre8KWwMzjZCUjmsIDbQsGfuC5CzutLSLuXg7z789f1z/uyLGsROSZfoKcN0f1O52JPZ
56GtDAY2zUurIb/QbUGYTVTA3aj9xVQkhOVKQuCi7Ib1ZCJspjxNIUu+14fsePIla6GuCflNjs6L
gFFKOvtjLPp7T2E/1wK8yhQ6pROdUVF/AyBADk1W5CFpxcUxS1zdPiVcSG9K39RBw2SWVEzhNduI
1Fqf+FymmE/e6O2YmG78Jq/XKfwgWLj1zcCWuAh8U56rRIV7xKKMy1P9C5uPB8q3dP5GdWSgCfuX
22qi4bdJFrWw0s2//pOwqZqYVBK4NWuCeK05Yugr4+itye1c0wdjqhT9L2EOfzxJP3/kb2qgwMPG
hUZMX+W1+VDlwRasDw3pUD1w5N7+9dNg/Gre++PDEDtZus1/puH89jZPXdi7RFrSSRf5s2nLDTEx
PMI9Kpma+Ee7vTd6mjHMPa/Y/rcG8AovKPa620CmRYA09PusJM/3r7/W/Gr+/jLheDWkEKhL4VT9
etWJGqCMmZVYkXqKkuspOPvRy19/xJ/84DaeDGYhpm45/8IEcQ3fZe/kfc3Kekv+zlZ4QY733sTO
FmZ/sxbNt+y3n8exMYBI1/qxfP52lRmEVHkr+XlM8iW1NkW58ncAg9/Uaz/u5C+fMS+HPz2pRmDo
mP06Y8XgqNqOVRysJwUese6tZJFgUioZ0jpof86oIAj7SYddFcV7DYRTO6LJzvAqPTaaJ/8GBfRn
r5BjA6Hg8QI6Y/2uDSQHM8AoFhsURrS3YvZKmhhwozKx68fQJzfK3pd++sZ7RghDpUPCNW9rpzna
OtnAf33X/2xT+PnL/FjGf7pKWS9l59NXXqVCQyWgOC9YTokaS90iDtxTr9/VngHR1Ty2LSljdhET
xNiJy998D/tPHnHHdhwAHZ5rOobz28KiInjz5EuyO9EGIqHjlOcxQQ5aD+N7WIU5aTwVzjMSz++i
zDy0LTKVdGSMf1WQXjs+Zu3WSJ6LQr+kboZmJNzHI4dfTwufG1Q7EREVWY3kwCx3iaavZT192wNn
FVxNswOjWeAbXynjjZZu7QO315mRGuRk+OmH4KxfZt4594JtZN1nAOACtmdOmvnSlulOCyFMB93G
jsu1Cw48qhS6MdBjU30rcrGm+NxSWR91oz4Gdv4R6rQKqpBKqPDfrKhBLqO6dVGZGtql/2LvTLIj
N7JtO5fXhxZgqLsOh9esa3awGEESdV0YgNn8AfxRvIm9jZCUClLK4Mp+drRSSUWA7gDMrt17zj7R
hV7CixujEaKQ6Egl7ky+EwYBGBFoiqkT1cK0SjLnSA8qXUfRe67DWIHbkgBT6IzgwkZuyFnzoOXl
XqVIlrDajOwq4ThXKPQCxtzHF8hdzDcxFO3abX14Kz3SIVOjR8TwuQFrN+TrfkBhUgwbEwFmS5p7
AJ4fsJyXl+mpyfJ1XCl+VZJNFToX1D2nQQ28aeQhJYP9WA6ZJ5gGiCalvpvtBfsH0DqH91HumtTe
xjOAYtN26DRVHvkv91LXLq0geA6b78V4p4cEOLIHT+EVPqAL+nUPgOkv+WB4HMPUs7Ocnkn/1OsA
QTDKtFYIbMNUrr94Mv9hYfzwYH7afkYb1kpTLfYPczx3hgVYXSfPzC6Y542PgOAweGUj9mt7O6A4
Xk9qWtHLbTJgNMkChejNBcpekAbY21+so/ryVvxtIV1SnHTLwvRuf6rpOsUYpOOylqT9JC+bDo+4
iZUAw+Vm7tt4HbruXsulPyT1t1iRDGMjjYKhheCoV/IYO/SOHfOuNpxd0o7vcWog32Ssq2dGvsU/
+TZF8gl4xk5MXYiqsT8TjXaqw/ybzXxvjYmTADyIZcSMu5U874avAmH/eYH66RN+qiMTR1T23AKa
WnJN1bNZXQ0rUiH2mje/Fdv58td3+6M6/Mem4RqIwm2gojYnfeTrP28azqBkkGHZmAqcN+H+4FQ7
ICeB98d1/ot6+J/fXZ9LVvS/9xLc9N/7/Nv//v+y/dlL8Nef/NNMYP5GgbmUYoaDP0Azufd/cmHt
31ysArqq4yMAUrr86F/RNJZFuQjqQTewihr8Jn+SHtTf+A8pTlV0+VRSWPz+IysBENqPu5aFaYFa
Edaeg2uV39T9VGQ4eVNojAZKImIzyKHSStZ8jBdrMvGja+2+VYqYiWB/28/tYzMrvrgem/6AF+Jp
UJSrUeVwrXdrYo/Zf6Dgd+TuNQDSHVleB4V8r+zpQreImAf4rwMblH16nZNQiZsdFCBN/DoST6pR
Xyal/VzOjaeHw6lqrU1VGmeCjWtVjC3JDxj/nPwY1/1FK6sn2GPFrujyY049OxFNm2rBedrEG2Kf
Ltu4JfJ1uo2cfK9q7sFGppOrzbWmwCLouGTqZD7CoPUswhuj4lBt6hWWwnCbAbnvUAUJO3/Mo4po
3e6Q1ZoPf/9s7sxtlQ/HOSbxFEPeKVbsa9ds9jpdL1pFyJPc29iaz6LSPtfLhhGYcpl00RuQ0FNe
l+e15dxEqWBz7ohfRe+nRUj2qkHx4zR+QtyxFXTDM33azRnKd0cUByeOjiizIdAbR00RTCPtVPMK
lEMEKG5cd36pTXEqzfw+CvKtrmkXqsjOqYjWTRJtjCb5Ntj6XVXHd1XGXLVn/N9m+8TK72jDOsQP
MNqRcsNsAVAWIfFjJdkk1GPSsuMNVvmtnEGcLeZ9CT5DLZw95J19HxKrE+Z84ap+bJvs2DP2TOcA
2z26/iF9Qxj+VjeIIqpgQ2v9pWyNR2q4tT5qly7zOSDDt0qF5YBZgOOg8wirLX5hTqq5sqGuQfzk
aOiHEmVXGwoT9fBGm7tzdyTTBHOAComu5nnDEtiZTN4Qy4xyvk86Uogqaxf2cuO0ULdN+SY0g8TN
jJFkxzmvy8rbGYIY95sHzUkMa22EyQvDqteoZ7PHA0CjBTZpWYJsqM4LMwDNN44oXZXQxzf4vFgm
Z608t+bh6ETj3glA2id59oTa/FwXwVWcmsW6x73lxWkQ7GeFp0hJhnbNICX3XSp3XHxodULDJovB
LapVotgdY5fsOradx6lPz6twvJzCUac5Kfvt2BqvvWgJcTEUzs5u89a6IQbtwSTOpwZPCsbE8IWV
XQOMvDA00Eljoe/cyXmCNPdQMVJIx3JrR3Jj/+CI4HVICO8sM22j2T/iYq5c+G4rTqgbdZ72zDbO
qeZvmxZFoaK4uyYPbEiJsOmRRLW1PK9c47qOsvMICQxEZITt7SMiQj8fkVOYmaCkrd4qHblLMOWH
0MA32zqPihvuEm3YJl1FZ1k8W067Q4e/1ed0W/eaT8PoOI/TddGntxCY1wjSCGiumOrPwx1qx705
LWqC0DkGZnknWmUXJM4Co926xGGtTJyorMUAtOwDT8NNUzqDF5G+buntfijHY23NB/BVm8wFYDmb
D2DuhjU9T0/J3HNFaocqaXe9isrT7FBl01BKI44z4dVkFkcrAGgbGguG7wAi+rJUK5DCDFUGkKmz
pj+bmXYs3Pqqj3HpdrW6K0R6ptmCsbTtR3nPd4HWNYmbb0OYn5Ra771IGVB25sXFAIeJ1s29DmrZ
tWgwEylzHSBsXtnMMlEiYCpoAQ4afX9flcoWN8VjUyExKROJHzW9dd10T+jWrsHRAGlkjwt6l8/p
vWgwdSjTptLkN3wad63AhxOPTbR2WvnsQHHxOiDdm5zG3VGhRFmFpnHMBI6XfIaFk7pPBa3DfYWJ
zo+afr51lq96skbnqojNyXfisn0ERpChcSWLL1qpSRje6E3x2CiSXgJdfCKdgqBhbVbe7RRRRpEG
1U2dyFtBI3MiDJXgBpKszIwJjqpgCUd3eBPa1lNhdGIbGW5BezQYd2qWYT41rMhjTnBZdNr7XGXV
una075o13sUqZ2L09ZKAkeDQTC09fk28m+bkXLtuUjEudTASjaAEBswOXt620dZcbBd2kV1bOAK9
Tk+Lvdu0N0PBqaGVVn3Sc03F0CEbHyKERCnjTEjeEpZRZxYgMWsOByMD5MgE2TUX4i5z6+tJGPpW
T/V3gkL6/ai1N+6k7Czc73whDPTZtoDiqu11TN7Zqrbj+BAxpNoE9XOdO4gKomWN7xqEN+a8Ds3s
jMw0mLPFkssizHbLmijOSxEikC/rS5wmmHiVIN0hbL7NkvRx1siwyAOa3U2JJwqnOIrU+SVq5/ww
6XZ4DWgOWXHmeIHoUORU4Oog/Io1juSIwKiuvciEFgDjw9bqDuTOd04mNmWUjX6m5eBobN5rOJU6
3i/B2S7Qxq1E2cugwuKpnHCdVSmEn6SPFh1zPR1LuGaD1SUnK69upUAQXmrmHp24scoU2DbVSBxY
2FrriKyO3WA3xW7AIwN9bn53eJS2Y4JKCa7AO/CLaNVI7LO5Wl5HNrDxoCHVoeg4u+olB+ImIZwq
mrVHh/HiNkeg6yVYepGip9qZNiuUFk3vXBrLp9hpbRTvutw6s5qSDllt93TADCxNFb3+ssAHr8Vh
tMnKPPeCObQvZJ9Pa60vsqPIUrqdaSl3gYmQXAsDpMC1aTM47vE89fHAm6xL7Dxt/+TWDjRgEIFs
knZ6ysasWc+BUSKvCFHXt9FjahNxkiruc1YMqu+IEnm5i4+vxzymRp291tIA+WuQhHv41+qdU7qP
hdVB1U5zX51LqNRExZ5VU/xkQW9YMxY+tA0NBMcZ4DST3oFHYmZKl/6ALqec+CViCiQLz53rVBRs
MnxwIaejLGOYb5WjvrMbKqcBt5NRomO1gjgnXEMxzkdbQ+UcuCeMJBwcB+RoGo71fsj1dTejRBnN
IFqrsWqe+M/R2PYMJ2dSXbzAVE1Pb2bElmV1p1jjlZvAkrJE8daleeqBVrlONAuloyaCdSewjCxx
WvGgElieoBYp6I2Uzmz6NjUtzY9J7Po+K4iQsmCsL3LyeQ6OvSvjE4GA1brp7W2IbDLu9WOx9FGU
Bvx5uVAze8eA+YFpaz329bthq7lXAQldYc54h7HARFmnWKQFtxf4olbEOo9Uq6jPmNshXnOYQATJ
fR9pGJjKllgO13kvlPymTeeBvo+4nirlah7ku6vWCb2fikn2zEONYQDFYIkClLScHhGgSJkZ5FH4
fQzlXndmyEFFsmO/Y3/oXUhntf5sEyzj9Shn3T5d8+4dw8UGYxXVhdUVlymPJqANWXthLJ+qsRSe
Do94JfT6IuxV5J+1pSA+j54mCuQ6HK+ZjW9SuM3EFiHEny8CIe/0GFWgqqDLtDB+okmcnmKH4toY
CCUwI3BsvKxjt4lE3MAA033YF9dqYD/Zdv4WpUj4g75kZgZGwtXR44pswCSGOKqqjZPShCjl1eiQ
2UV3mOfxTM5kumHY4xDPJLMGk7hKk+51EFgGwlA/WSE1ekkSFZuKtYm1XKziDFWtEWDXmkOmEuWc
fLNxNW2xxw5I6QoLtjApUtiNnXWf8f/ZyfBgh3ayrhKM/o6MXpI5u+2XdTZzu2urFict6K4Vs2rX
TcvEJHUY8osyRFgbm73fdu0rCSz7Cj0HIHvz6MJG9QvC2gh9zeKNNconq9VRJ8a52FoJQAVUF9Gl
q4yjH7YDf8jI4oMkC2Itpv58iGPcIhruKUsw/cumjnHNsMy3E5W5EkwQBsSF6h67OIq2uSLTy7CF
lJfYWeYlojKAg0OI04dM3aZ9TwfLKB5DWAxbcswXIo/xrinta9CowhtwVcqiPs8ECKpx7lGetTaq
J+fZGNxiL62c54tsqJNLg3kd9W4Jg635pthhBL5MIAyuYF30WXiBHGuvmOm0KqP8CazaVY1dDHJE
f2wa/RTn8dUwqTdxAsdhoCjF1gSla2JA5qJqYy+wQGb0cMmqUMEZUVXHSR3NCyUyTao6dTorjCY6
Ki7PKWt24XdQ/9CfpQ14LWQ3Tqe+5y7s4jAGboKiMSCyrs/3Q1L1PhkC1rrlfh3bQLmUffE+1LyY
9RKHaeEtYBxxgg2Kpp5qiCktw2PCKBtcw7iPJxAdZN+ZBFaqjUbGhzWpa5cwy4Jfch2xWvPQVneg
K54Mu7q34XDvegy2K7mEYwpSMicIXgxa3kmKHNfE5J3qJVATs4X0LL06on2g45yZN0o9G3xMRmHB
ggVu4APPk/ZadN37tICDpwBKCLpIa9XZ2p1VQEnWQbci1jujExciYSywWcb6zpqV5NSk9LL0BVMM
XuMNzBwouQVh3Kr1a2hSt7NK32UdmGMn06nhkBXMVg3WPOa2RQsWGQn4c1fCuu0WZLI2oJJUJBhl
JQeoTDO32GpVzpB7ZMwwLuBlB9Po5bDAmPPevIgWPHO2gJrVpgfIVoLxsKE467X91EJ15njzDWt1
vxr6XGMXjIiLVaDXS2DQWjlcxpmEn10viFqNA13JQVgbhzuiobf0yAssO9FGQ/kU2eIltcs3F/i0
Itr7caFRM/NXSRhET2VQxO9qmftQZG9dU+k900yzNcGiNGor1kd3oV33C/dahhCwE1iyXgkUWy50
7D7H5yxV7dG08H536aWUxQtTtXnJTaApkMJYVBfetmin81mY1y0SugQgd9hhnQqWOMl+oXW7scRd
5UBKHEB5j40A4azSjgTyrTTZq5tB/WbZMA4FIHA6z68hYPBgAYQDCq9St17jkczP1Ua2OykGhNlY
UXcayKON3lpoRVVTs3ZujJ1zqLp0r0+YQeouHnyFXKFpIQm50K2V8ERxYoJgsnb9jDJ14vHHtQgA
OGzkJmp04Pya/W7GqcXwHspUFYW9n4b1ouwqMBeikCNIYgZBkmByXI+a6eIUbCq4ngFhcEHxBJyz
9hqJDqMQI/xpcFERUoVcwe02WcqbqlJJILVhrcoJW090hCuYVVcJ/+pF/fhQU9ScYYBKkRyZZ4aw
Khz3gbitNVQtuam8pKMgH7Df67V1SsaqWYeWgi2h3ffYCcnBZOdJgh52C8GrqqKfhsS+dXK1WM/I
21DQmV4nw+gwo6hGJMsxXM63ahm+NU1zpkTB3m75sioCKHgPxG3p4GaYYvnQybn0JWWvFy5lSC/Z
PHnYEDubJBEjsjUUdp42jh6o4XZOkK9dG669O09PKHW3o8YxxR2/MxS/7wLk98ng65V2GcEiAqV8
6HjxmxwgVB3hYEh9S6Rvc1s/5hPTqoyswIFRHS4Hz8z7fVI3hxjqNXaw6l4J562ChGtlWyqQz9h5
FsSv0dejMHVf5krzVbsjRA9svRUcmbLeBxYmzFG9ymo0NYXNWaYaejBE20isxVidtOEpmR6gtXG8
ZAAB4cZReVHVt37kmZAzngGrCYATkFY8O8mqqux+FWWKXwhuh6GX5wOqymxGRJSz71DDM6AJcXBN
xBe5xFDGxl0yI92cSLpZ9FsTVVMbLYa2Rz000AI1+BQmD0vSReoSN5NY7sloTR8F/r0U7LFlAJS/
mwE29ZXu+BTG1Zlt0L1yB7P2sbrZ+5G3A8J3UJ+Xql5Q8WKFyvWsuWghaR2yTDHWvdXH22h25iuJ
6feAzpmluEXMJ2UVnmZbwnlzycO4jwOaIxOpE7CUZHYsM2WRg83KpnAaa6fj06fHWWUuIO4iOB8D
fE8sPuW9OePUmckl3sA0Q5MKAEq5BDqUP4jIwjthoLvwiAGJjwI7vvQGkFVe0RLDYUfuPQl0zQoF
REycBUe5CS44NaXEk5M0JatuFhDLQZZgxIAeWdx70+M5CijzQGbjEHXHIwIw7m0b5X6B93uF2AG6
qiqvawi9mR1+G6r5xBmF3g9iXmF6vaNthhSFWCEx7ZJsifhKrfxgCvZRmF2MemuvQWjuKn2+UiJx
HkrihhIY2EPZVIzSonYtquze0grVT9FneMFIOGLUX0alW+6p/97yrGwucaifyUbTOTVGi4SDToe2
AEOMiAwFCJqwJ8YD9w/5cUOLB0LLdWSmRzcy72a4DNVgnkQ438XkVCHjDI99h9i96WOugFkBV2/u
TQVfQWxNqNLN1lfgwjHd64GJB9sZC0Q34omFT4oBD9PD+ByM9LApa4jnbqqQgNAGYFQTtl6a9Req
gsw0zasrHeH6VGd3g5VB0tAhk+BNLDytTV6yvsVgAF8Vy7nC6UZ2xgn6a/6QBHazsvq+ZqRZILJp
Ij9KIQKDu2vXajVvsWHaSBONC8aswwWRScOlqSsYwQabBK2Gdltjs7E3DTL+KeCvbgPHywqc32UJ
fzjrhztlbmJw8tyQns4KGzkM0aAMdvQi65sgVuc94wcEoFFtXCdtGR2BWN3lFic/1tTHmvwRn0Dr
FOsTyjetHZ/koFwRA3v1YwDy34HQHwMhncnIvx8IXb603cv88vdp0PLH/poGoV2zLChRmrMMOv8c
BYEEp40GVMoCFGUww/vXKEjRflNVQyMjEJoHiCQGNH8Ng8RvTGOR5C0/tXU43e5/gpUCtvxhFLuM
ghAv8LcIfktmQe4njQ6IbCWsRwICkZoyylHTCNnQedZpwfiU6vNA2JgUtqoRC1/aWU1U1lgykimU
0a9GU1+DA2mOk4uTkBVneo31YUJIpr2Ert0emz6nt1da3dpy1GIbICw+BXokEEdguclVRUMTVsr7
pi/a8zQwqi1ZV83DqAfYG0k9uR+GXNlbvAKbOdT7nUF9tCGH5ZsYERRwzJu2RoFvioL4IcZhYQzF
XTlb4c5SSvU5DZX4YICS9IkZ7fZh301bIV2HDDw5XJGMo19MkjZTEMXDFq+Fta/nLFy7ca5ug96e
9mFrytukw/cY9oWyb0P0tG04RzDJ6+Y6YEW5YdFWvQk//1qB1XM7oIS+TsNSP7psoGRquSGaDBJV
sAmnL7bEh9k0SQ+pcqTHDR3jQssImQjtqEabmuBAiyaYUJlC/K5rcX4xejKeJv5mgtXcUxLb802b
dMHBIV/7LDQIzJqhlxCsmytbBHgpMDtMXzQFcL2FhbwhEQC79azKvRg5qncjvmNtUo1932QjgutY
f80U2D34Mug2lg4blh0Vx9AsAshMoj1QDKTYTqEVmk4s11oFWDDlMHFswRWuc9k3O0fXaiisiPBn
HpgjE/bhlNkjWdAKe248IW1W2miERu1gywZ7c5uljXFckv0OZcsptCMl5k5SbB9DXgiw72FRsq2o
mk3IiA53RostuA2V3PY6t0rMFnsCwz3zTMgWD2VQWmKfVJr7nPQlJe3CWY68AFyE3wWhicZfAlWx
VOy0nC2vc7KZBzQcoYaCK6VJOMg8unUH2iYoewHjuhNYl4FIiFUGpuBxTKx+b2vj/I2aDPgp1bX1
TDpNRPsYMOBJLvGCbldGUAQDAssm7B4Z8eCbcOTs1jkkhRm9E+/cISu2UHdjFClK9uIUFAlNVlKg
5C7ZUQz2PWnaU7SjTEmYyEaKOtJ/A+m7GrJBHIepBhIOPOnedFP3xlBC+ghWh4feUUtxSePF3RRm
xHFZuEPrR6UU9C8LRx6h2vLZVLIyCfbIHyAOsL87yGUmocpHvVHMQzxhj4ewmtw1ZGgcOpPU9mwY
x8sGytgxGQ1n0+mQ9fm7ZYmbE6pvtg3V3OAE28blPiesWXg1ivcDbG713kbG/d5FMVtQZqZIhnX9
rMwgKazaviT1pzQ6+6Kp80o75F05PlOzDG9OGJbTNiqgP+7p/S/HtUktmMaqeNd6N5U7aZWqR6xw
sZ8ze7pWjIqgocLst1Mn1Mcg1rvdECTKjYCjfjRDM6SKpf6LOa8hpmb8lKCErDJeDvqjqZPbWyNP
J05FHM6vXYrM51ZGKLjobEf1OqKTcq/GVf1QDKG6wbfIeY8KCd6GFsT0olqYbxMqK4Hayam0Xtvn
zYC9xDWnJsBRUtEpxQ6XsUy1BmtMTdZYHovKq1R1uC7KWHmumtYhgS0ZXp0G+JOojW7xLcAnoIK4
qhKtqSGZLMWrktu3VW4aNy5p5+e9perMrSqDWWOJtj5v5fAdw8xwhwh4OsVRJ+GMNeNw6jCmHP+7
7//OlPxdzqGz4/77fX/7kv3v/6tewn8Sgix/8o+t33FJ89WEiWRDd/iHg6bjj93fFWzxbLjke6g6
qvaFFfgvqiS7/oINJ4WDk/yyIf8pBAE4CWPQRMNMJ9UgScT4T/b+Txol4kZsexGz2guJ3FaBlX9U
DVlm3YVJjG+o9cMduQs3w47a1RObbsvs/QuJ0kfJyd8upi169p8Um1lbGQTZqoJg9asEJ/B4l4y/
F6P/Vrz/UfK2XAIvA4ILG80NHHTr0yUmwNOKBbjXb9pDPu2dpFzhc0vz/U/3+vJ3mdrPCMsfNNCf
5Gt/v9An0ac+O460M1el2xkrh76t7uaQl34W+X1lDCc1m+6KPs/8kbMopootik6QAMtIhXvxhuz+
PQgGEAsNNMRBONdlpJxyhNrII+V3Nxsu8cQkh45UI48IkkdVse2N4Ay5SmFAbAYjIkZ48XdxZvQU
28GvLRqvEMY5beqNopBKG7Nmh8l4Ocb9JobQPs6RT0zFjaJY3xyYtPU03wt+bubNxrE576rqttZS
pmRG5lzyRHdY/AcaBYgTW4uvsFTM/KHTIwji7kNhBbc0Ii/Mvn4qYu12IjiXRvJ5MkT3+swIW4Gk
t67scfCUAFFVam9UI38NJRkS6CLobTlt7rcpbaVcByQkA0lf2XnTKv02GOjSOOSHbjTGbPTyoGbT
nM1RbzaXRtV+y0N5snva0snoPlUY6K2Bg6bmNPic2vS2lCNiEHBK5A3ez3XsKzETFbcwdoMO77eG
qNKxC9PdJxaV5L2hPRhVxRGziQ+Azl6zdPGqZdSfk/PgRuNNlZkvfRVCadNDASgCfNgk53c9oqls
WfupBOVnxDssGu8iGO6KQlzRIz2vlOkwSWNvjAXdI8gRbnPP4BVcn4MNQA/sja7oA/uOjQcq0S4m
23wibNKf8vw+7VE70gU8q1z9vK4auqem4WG3exlDnWKRiJgQcZ+UQBVGX6mV7RShb43UNKCXCM3F
7jMyNI3sm94QMRln99gm35iMPailed+m4imHhq41APHM+hqVJrOfTL2IB6VGJdNuQ7z5RVExVeuC
ZxFK4Mswg0g15SzgkCnQ5uLcCDVjU2TKeaHam0m3bsIIvkqkuHusTKVvD67F/kf4nBVnF0oSXEym
cabVINeyaT87+iVAgrM5bh4lHfxORmdTRNR309YkKPM/Eqleuk6dEckdD0czbi+wgjZeV/U3XdUe
RtM9JLJaKlFwdnQdmcbHMHHL+p7IyvO5Lh7GQt2banKV5BMRqA5RpLO6VftGfqVF/9vK5nAgY8HR
bN22hGp+EtPpATzqJtGEXzer3tc38MQIMV27Xr/GMh2sGGBtdOklX4hol5j4j6vQj+suckIOcWA5
Pq1ClmDqKxHr+6wkvrvCmzWuQM+t8QoQQ3SANHgPvPO1e65gP31hONE/HhtZAtmjWHAtNi/SKIzP
ilO7m6TTZz9yVXlFGu0utRFNoxprfXuu+lUclIU3IvtGeuIc9SgZaWPC41ZAys76XU8LZ5uYw3vV
HI38goDoaYdDbiEDBj7IdQZP1RKQkK7VMn+a3fTWMAEQJjOSpSy2wQbYlHjKgfTLafXr5f1vu8jH
T6YvP/9po7ILJR6ckFzaBICDWpmeKSZclSiPZfnFTvJ5BzZtbGA4B4jWtXVwyNYnkbbRBL3jVO7s
d2vpm6faY36+B5HlOcdpV+5+/cE+Wf6QWS9XM1VjSTEBL+x83h9lONe0S2cemGGdXhsHjh/u9pt+
mnfiaZw8BnlybXrZwWGnwfT8xTNjLS/CX6pv8NgWcGQHdRWheRixzE/fbAbeAB4eLE1VDzZd1N7F
CdQGxJmU+QoIArNCIuKEwzuY1a0laBMCQ9+BobgaWebyJT+ya86zaqb7xrFgZUXiZirycjNHIDED
ugtel4EAVnW+xjS1VrjEJUL+MSHGFQd6BRSGI8y3DAM4ogs5bjj0IvLPetNXg/yhocU8BKjNmca9
JkQ0rlUFuiy9X9gCxbzT3f7UjsZtJrH6oyq6UB15CVAmXU3afE9HvAXSVn3nfLMtUKo2fSQ8xhG3
audb4RkLvblq4rcJkApOEqbzjd+QlfnF4/tpNfrjS7Y0lgTVcXTxaTVSoefiAGdVsF2k8+HKdDH8
MTr/9bP0ySe53EsbMxB9KwYQBol2nxYf0dnBlCbLW4ILI16N37VHbWP46PJWhpeth13+2GNNz7cg
Y5SD2KG5Uq9//Tv8eF4/Pk8ffgfj0/Ochxy+LScFZUZqRmqx1Ve3KGmh/XWbzLaQCeI47ua9KKeL
rEkuyzgFF+9eTu23mCkJ6ruLsW43KFtXWsUhy0rPdDtYN6pD20CjLVRuA1J6+2KTFoeACDUrP8wW
hvE2JI1K386glB2O+UicEFLPD+1gbNy43eimcnQVWtTatJXjaxJfsSdt2lhA7Jn2LtgpfIHnE1jj
vECLorUnrZXEDiRHmrSrpMBzq7+bEVlmHZIAEDak1qBq1DYJkNUSYQrZMCs9jbcg+SilCEsxt2li
nNT6ZOHfyOL8kDb9yY7tZ2s0fLXWHmKBSNDUVjPGNYzdN7++Ex+fOcDnKN0FXR5YripPhPHpYQh6
tTMyIUDIDuV26PotiqyNNYVfLGAfV+bfL2PQDFVxu7r0V5Zf46eVOVNdxAv8Lr50yPo1cZqRQ9y+
qDAMf/15tGXd/evJ+vuVPq1USUwAUiK5Ung/PkLOOJH/DVnVSz3nIjrC83y2v6oiOCb+8pKf+rDE
wAPAywzDHzYsivrNqK9oqa6aPb+ED7Zc0jdYYVG6RcF+pqy/rCaWdeHTR4b+rJJO6ZhEUYpPW9HA
e9SFsoNQ79OuslbFZjkN8px5EVlKX7pjtY8FxI+vmOsZKgc1fdkOlp//dDMLCEWWTRngSyQfkMes
iVkp6Ic5ggzUTsa1jeYSoikRhU5S03Ilw9izhBj9/+he/1jJLMaoLCUcHFkvPz28ZEJOGCA4BTdr
QoRxLXtsw8yBGftsRh95a7oJrr/8upe16a+v+8+rYo3lnE+yxNIa+Pnjj0no6Io2C86I5oR2IeWe
i2GnSGhboeqbOrYMGGn2jCLk9YtP/PFW/7i2LUzB9oBNhRfp062O51oJUdHMvrKr9umRQ5in7hFR
rYIjAVTer6/28bn+42KWYMZB54LS49N9FrNbWP2gA1Qk0NxUWWpdkoAT8EXuTs2LdQzTTGAm/fVV
l4/w6esFaeBSkRu6YQrx6arDOFflVCfCTy3Q5sV9Sybpr6+wvI+fr2ALJjSOiSyKlszHG1iCpWiK
mn5GV+8lZ88IWUxg39EE14qbX1/qnz6MjeNWGBSKWOY+rXsTIaA43ajbdOV2AjOPrfDXF7CXX/av
D/PHAo4tnIYTGQgUaR8/zDDU1D16afqWBolOKlFxSx75q2UijIQg7GyVOoF/apZnQaVDjy859eV3
Y0AiPS1h8KviDG4F/D9Z3gF2y5GONjeFjNMdUiuURtb06hojA+wx0dc93kjYU8QPyALIX2fK84b0
rhXz5PtwgB5tNe+mMx0sO2DIifrUdRSgzPO5loGAk6lykdnyhBifstxCa2c16Xmc0XDorK4ibafa
MpL6bhp16eU1zBpEXNsAOaA3jy44u+A4N8o21BiOIrKCuOkKoHp4bFX09utkkbGoktgEpj1I5lVU
VJ3T+TjsXwdnOOYxrXI9PVjSfMz1ODgQQHZNgNK0VbSOboyWD188aB9foL8vlMvb/NNCyZrYaYam
6H6yr88hAu/khlHPRf/F5vrpOPn363x6oNEo9kOSqCbw1QPDZuKPnK29IfCM9F/YEcCGV7TRGeL7
zQo6zfrLHfAfHkJgKoACeJ9My7U/7YDQHVu3xFDnS08cun22Ls/SbbZCDLEjv/Xsq4Xpk6H99w/8
8/U+PfTo+GHB5YbpF4+T5xzyQ4kAfJV6pD1tkQ5/veV9XHf/fsHlTv90J5XCqU26fKY/5+Z2hDlW
td8HAu8jWEn/x9l5LTeONen2iRABb24JgFaUoVxJNwiVVAXvPZ7+LFSfmZZQHHHmj46+6mhtAtgm
d+aX64McmTQDNdQnX/s9RK8C+cTvF/mfDOtikX9+v8vr31QafTDRO8S2b26UK39vXuW7/82Wv2jv
/etBZ8PMLw9q1krdzl9S3aTXtJ49kA1ZF95K34h2fxrfahsuj5PuquvGptnwipBm713Fx9BOVuBi
7dTJSWG+i4dLc+zrTvrnh5nEof+9zy2+gFcWRtYi03GNHMZfBPM+fvn+Lf+JkxZvmSFMavtkZFQi
iq/P3qeT0E78F7eTYyD2OFO8pD0AXS56an+jg58yaoqLHrL1lx5Eb5ZGh5SmgVzUV1YR3CrUP1W9
3DUIhTwFTzaULwVtMn38hpr/0pyYv8Rfv1bnBNPpEqUGv/hSg1qkiNg11W3T1NVVYR9M5a4Sc5RR
kT0U0k6SwoOl5jjZaKsgTf4pI/2PGftza9CkDfa/x19sbn4Q9Z3WWtRpHWNVX7ebePNu3AkbJM4O
xLZLsd7ZxwUjJIvUxjBwWnyceBotWj+5qPT7gsAae0iWAGG9A3bT/n4iLLIt/3+ufRprnoufVrs4
CFnNTJgfrdgZiNJ/aGvaBp34F/2Fcw7cgYL4S/5JLn/1v4jnz+ymX+5kiy9r0S9YmfOjduvyTXGm
bWjHO6AFLC8e12kvzKRzd7PPV8DFh8zFoaVhbCIDIEo3WpYeBRhEhX8ktb+/8GLPPNmXfWwxVGFh
A4PGlN3lrifdWd5Fa6IHwyUv7/g/xGblXZo2c4C1WCVfRlxMGx/hQlrGjKhTdhinG5W0Jq23Oqbo
Kb6w5nAj4jUY09yZtaYjersmOqr0SHsA6i88/Pxw3/2UxawyDUiAecFPGdbNleqS83DFzKb2ZEtu
taEufWG8Mzvml0efX82nWRz0pU5TmTxv5eZ+vI4c07Fe5z2ankLHcy/fF85MpC8DLq7eRKHtpKUM
qBgfOPV4+rqWftF2s/7+wb6G738fUYtgA3vkjpQj79HCbku3Mtvw78L8xxie0uQSOefSIy0CjdHS
fKGqGMv/Pdr56mipVzGXekh0KprBTeZOveuz3X3/hBfP+8VhJxlt5welpgB3effpOqUVbtWRC61w
t037dK2NR4Q0robV7IWR57/8zSS1Fok5VSlEbtU8cO2GI8WJ5GM+8blRRzf+drzON5ZbuXlq0wk5
/PLN1aVjfpFX/+vrLpMLdRurhTj/gGi8ztjos5vAaV/iapfvhg33+Uur5MKqXPIUvJRTupxXZbdW
1jJJjHA93taOsDEPha352/I/ODfxqpx5V6pC1XuZ5c3o2UcVT+za29MP8jW2so0c8YW7mwPC5vLl
4Oye+2m8xQ6YqkqVq39ic8ptVzkWfbj3OeAZIDJuAIdTkbyckpr3lr+m0adBF3sdKam6gNXIW30X
Sczov3zXuAbQ7jLklkuBHbj/2cz5NOZivzMHZezGFr34XJFR7cxBBIaCeGVsckf/qZ8urJSzW8On
4Ra7XTeNVSxTJnbz31ng+NtsDcFhJbh407jWvvg9ueUavsWlreHS51zsfhUAD7nyNM2Nn+bJ0x7D
O5q4VoNtrqpT92hc2hC+Zrv+WY8EXKQVJVOe2SNfTxEu1kJgRoSZSmxuEAQe0Bp89FOzEWv64XKd
Ft3G+6GW4z2JjocL7/jc4lSoYVNpQzsDWuXr4NTCTSRWBP3+07Qe3+at13DT2hXXsjOCFl19P965
T/p5uMUMGgwIcR4teYCjmnRFa5IN9+8DjeVN4XXr78eaT47lCvk81mL6mKVOYTEQVbeAjhvQ4q9F
xqalk7LVTqH0rIIz/37AcwG79XnE5czxEh4Qrqhb/zY31no6ZIdkJdngFO2G9XipZnhxvMXZKSmI
DpOaM7q3cUiqV/3G272TIO4oq6c32cWq+rk95/PzLQ7NqKv0CbcM1S398GhYxR2dij9UVbsQxMrG
ucCKVJ6K/konRbks/WawWNK8DxW3ygl0AmudNspVK+RXgRVc4aa90YPiIOX5oW7bh0oZtm0erb2Y
i0RftRt/MK5NS36JcWb1/QhxxlB/BGP5rsu0RDD91qmHU9bQHRNRv9dRIU50zc22sFuR9hKq7OtJ
H3d5oN32A64HWaVde1G2HkC/DIK0U1SCakv7ncjNIQy7E0poAeW3j89YSieTMXaPXhrRjKp02CcO
vu03eGMHpvnI5Th3i3F6TEVKgIKyzSX95Mv1VTRxGQ5pnTabF0NeeQNdV6gW9dvY20DtMFMZOxa/
uyWtew9xw19Bmf0YIvPYBVOxUixhJ01xRZMWsbeYH/DLtjUPiooAr4A/tq+U6hQCzSf1cCzDwm0K
hLC9XOyqVNv2hrSvVdjFOG3sQlAWq17I9r4x/TQtetvMiLbmCTMbRQjvUOQ/kU+ktQsDy8FsTxUd
Liu1hPvfWXMdxkfUaknS9ZSU7wr8kKnSHswiPyrIjmzagp/NMRIeBiG85tatnDSv8UFw0+WZ1ZRK
fRLl+DAIo11C36E7Wd52UdDvhr7X6FcKPtJ8gODcnSQ5wXKC3npluqIoKNG4YmLROtCNOWgiKhyh
Oom17OOCUjwocropzNG3zTh6HD1rG6aSXQ3Bz65V7zvVQsrU0SSIPXBmPIpNvUWAT6KlLe+1AL+A
QcQpSFPpZQung4mjWZ92V0pb13Rb0zukVAq4hgJOC0WiFQ6MVzW8Ufiw8P+9OHIj7F9pom7uVQVu
k14XOJ/H7XOVB/QTij1WYuG9rkzyFfjy45jJFdZA2PmqwrEvphc0fU7Xkh+qOrl2lKo4GWpxKkRP
X/WDSJYk2QSR8tT3+rrvvENRJJtcCDZWT6XIrGVABYGFS2NKDzJOI+THsTzRC4zqKpp8lD65robE
seL6aEwaeZcw+YGf6i81lD+KacIRjzxxgXhILKJbTcMKIgh/Shqasr5EGIWm4mhN3mObBzd1U96i
QdlajUm3TzxNbkAH6cqcplt8NTcwtVD+KuUmt4RjE/d3SHt3dSmkTmwhAlSuqrR5qATvrsgo95gx
hr94fNTbIUgjeFrRSzmKxzYAV5CYaMnpnQIj0cv0ThnIptAeoXKLG2pl9CDWgLKmvN3H2cD1gXxt
aWDpIQ9yi5ZC3wPWvxYzBfaNdUcjxkeTVsdGtXawEIDAF/sBotPYDK/wVoAdBVgDNWnzWBXdK73o
wSoFJAVFt75wevy95yGSot7ErGfLpO/l60mMPhKXKJEweYy3hgpqgeDq+/Pp/AiMwSFlQsRbHE+F
BOVcwPLGNfR6jdeCZON+PFwIny4NsjiTMmBhvaSokjtFxjqU8SFKI6bd909yJh8/v6x/H2XxspJy
zNBK0mxH5/dViWbA5b52KF87MjlAEeQ19oPPGKT8KDaXouD5LX0NKxgapCmKIYTI8Oa+ficQQOOk
TrLsyo1PsV3aM8Eo0kXwpAtbEX33+0edn+S74RYRkyHJJe7edD5GO2Xdbrpt5eL8t74Uhf59tH99
qkWwRJwUh4PMMPTY3Aw8GuYR2SZXpgtn+5nS9teBFpOwNZVOSWCa/NFZocZblY+GO/K94vuLuOBL
n2oxF4U2qcqB9Aj5mfw6sJXD8EA30CFExw0TLLTBwm4Tt7D/k5dJulizFOShBv3xX6eIKs4g+BEt
F/AUoAQam65Pv6zofD81zr7Lz+MspqKkIViTe8bJrsJt4qSkDlrHXEVbIvft92P9Hbgja/z0SItp
aGFFLgyze7kPVWxIfydlvaKbX7M+vh/nfEz7KfRbDCT2nS/VZqC4yFYhRuzFI4VD7HVJB1kbc3t5
Pf8989kPaTaQFQriMr0DXz9WjnaiGqEquOpg0H9qOVNyaIyn7x/r79f3dZDFfhVpionyE6OkSMc5
C3PpvArWA8h5Rbmw/55N77B+YGHqijzj778+T2zmWYBcaq5kFTvlKnJSOzsAcJgFDJfrkvMU+7o9
8WCfRpO/jjYWtU/XUf3Pci5HR97PxbPkeTZdPHVuu0O/emEqnp8in8ZcLC8FYFpML9l87ZnWkxOA
W1p7Tkht0ltZtEs6Fy9a8xz4+pRsWrJFOomXKhlLFbOYYjAkDuB9wE+hvw6vQ38d2KHrOZjljC7c
5QJB8+R2J9I94MMuHXd/z1HGV1B2zXMUeeriieH2aNUI6NwVNyReMCpCA75uDmg/7empOk2PzdF3
pJfv5+zfn/broIvdpVKiHsgobqdtMLhDbUIJqNffD3FmsjIGGmkoeaTr/mkm+ZRBD822KPGtPjtZ
/5Oq0zyazr2fpQGlYF6ln0ZTMkvp1AirTN0zn1tf/Dm1GBywYp5MszI3DXhJe5AxEQr0WlsnZvhR
+coT/bsHQ+2QANPhj/OLhKgR+KCtSrDc/Lb6XabWhVPy7Kv/9EMXh6ReV54ZecgN+t5wPQObTXF3
4c2fHeJTuLkYYrDYCsdA1ziHs52+h2Zuz7O5csPbxsarzTEvbExn5/CnARf7rBJJdS0PzGF6/FdS
dR97j3V0YcqeG+PzKbX4wD23n27QOBANoGIjdrKx9qvvPy68unm1LXcDhGkKITS2DXT/fJ1GQ80N
pFHZzJt1eG2sgaytoF2tZzkgdJXLe+yl8RY7Oj9tMJOi1tx2P6ddTf8mWccbulmoNE3Gdby+uN+d
mxyfn3Cxq0fWqAg1NXwKaclD1dnikbLdSkc9SyJL2A/HeH0pWDu3xX4ecrHFIfylm3tgSA23sTF7
mrTt0PwWcdUpra0ZPXz/Dc9Fhp9Hm1/Ap51AD/pW5/LKRFF/q8GvsL+h0XuFp5JdZeGFiX9GMKvR
xoBVki7qiHf0xcz3sk4Lu5oeGPPon8IDsjDXdKRX9dY4dq6+lreleWFfVeYP9NcU/TTkIt5QJkPF
bYAhh3X/RPfiOnXj+FY33fQRcI609d3sJ+Qf2zrO6cncKWx/Xb22z8MRt6hqHzvR0TTXeeEIH8LV
96/+T/fLN7/NWCyf0ZvGtiYfjaYUH4Un5b7AyOo3Ank73ydO+CjeMtMdbyUdK4I+KEvuXGPoXInW
bSe/GbeXdqaLv2ixwCyUlyG+bdxZfctc098nk9SJhfdaVnGMnjJM3EvBwSJnh4XExtNbQEGIp0Bw
mvkxBVy+g74CXMQEXlyM+S86GuMVcOsjPpGHuKqp7Rn5c+uhqoPWpW7DRryZxuBH1pkJx08MltTP
S3x3rAvV1TP7IWoOzlc6EggblgceGN4khBcBSnis3yZDOJW9+IiT24Ud8cxq+jLM4iwxRSwa/I5t
N4zqY1W9AHd0RTOzyZasw+SS0cyZ+A997qenWqwnSRe4jsQBdSF3jv+sdeJMh3hTO6PTnarNpd1w
PjQW8/XLcIu11HW+5+ctT4fVnZ2AJoA6JgnXoNIvbRR/V4K+PNiyNNySSKTnKacp5P8oQjuXP/n8
TMsasJBqTQ1HkvyJGd4WdbMzrrqAB+qUIlx5JnWfgH/9SHgqBegnXbUX0xgkVghqlnZJXM4K8940
68mJo/YGP7vpQsh75jjgBxp0K9MxQU/W4iQvitIosmmSXLXJsUznl+IP+Qzy8yfJxNim1wJDDklw
L+xNl4ZdzGRCE7HT6OhzvWMp7up6DcyufQJANzmpW26mrb6DfEyumhKkcZqDpXoX/+hbG/Vn93s+
/9NgdUl9en55/fsuFvO9EJmARU/ejmZfo3EjGdFUBA85x7pPcr5/A5dewGKyR6Mp6JM2shXSZhiW
TpSl62aGgNaCa5WlKxjWhS+96Jaa65/MepILsxxeo3Fl8XiGAKTMyDquc3vtoXKAsDvVOtnNbzy6
B/uEbpz9X1xHB2oWl5f3fNT/tbw/Db944rJrfJw0ybsKsXDr65QM+hLJ4fev9cIgy+77qI3ioZFa
dsjgrhIfxcu1xz+60W+eY+lZmBgsUD0aZbfVrDczhO06ie3RFJuXqsfX3Ze1whma5iBow9rExzI2
AuTmonmvJPpPuQYwXBuhxUmFuDGzqpNhUl/rW28vlyDhKT64tSHeQC/ZqX751tAmA3hLu8MW6L4z
4netStzask7Y2WIPTNciVJaXIpDvUp2f0hfAivVUw6wRGWUe8B60NabuBy2VNlOp0qXft3hP1j+t
IDgF8mSX3fgietmjlkfAkLD6WvdDI8w0m9+y4t+MXu3gCvJm6e22Lf1XvaKeXARC6CaR+eL3ArgZ
Jc9okUfQV9K2SAf2L0Gy3gdtPMVWtqHf1BX1xAUT/Rxl1h40+b7MoqcyDAo7S5Kefa71d2pO42Sf
GXQkYoa56qVa2xiV3+Pjrr9o7bTtI0rJBujAvqUnRaq63i5972GKBOC6XmxtjIa6VlAo737UIvuH
OSsVIzxjb4QwLYOAygbB7aqAZgJLENZRJ+FtGam4P0fiySuk6xzbDBY8gEwVNRuWg7kbRMnvUFEw
Up1wIBDr3AlB1w2Ag7sg/YBJiolgeR/2wraxMIvqKPzYfk/vvl5gdlBa2XPWW9TFrVvRMjinvQGk
MVQWWu8jalmN+qjMpMCZLmf13eMop5h/wptLcXbGWASxUhckmKiXxUtXq7pdTnEIG4m6OoTWuE1+
GfixYzbKB4ii+gaUg+iMbf5TbII/qAe3SEwfiOdEZ7aplI4vgTescu8QFNW6sLB97xv6/0WVGptB
xUZjzlqtBvtJfdSNFHPiBIZf+doWwmsVjhMYreglCUT47SHhlUlNsYlBuQKCvtLF4Sab4utx8O/8
Tn35fmGfDQ7wzOCIgjsiynME9ukiYQKR1Yepkt1JibZ5Zdmj19/IxnA0jWL3/VBnNGtslJ/GWpyJ
LXQJPPYU+f8cHpwNGz8NtDgFi7j1C7UkwSZhXVHnuUsyDs7EeOGsufTuFhs/AtBh0C2GiSgNtuS0
oA4Z+MFTeVh//+oujbTY43v86VpSWbjZl+ZxGgG5jPnPOI3cqrQuhBBnD+t/352yuN14QUI9U2ko
pKRofL27ocOG5TmSSF8n9YU00bnvRE+iCIhdZ/ot5fRF4TV1VZWym9BHJEOKBLqOGKC6cHidjRY/
jzOfbp8mee3rg6ChiiIAmdY1lRQsDmZYxQoWPNQLx8/sGq4JmY/mR3jzHxTcgNr/+5SLJQa1pg4l
s0CJ6pUrDxjkCI20kEXy6Pdlc7HlUT4TD+i0k82dlxQFlt1xyFHEGqqdwtWZpmKufsjuI3b+tbo2
t4Hblpvv5+a5HKhMbyZKRWvutJxttj6/XUwk+EenHU+7qXbta7AW/kiWy9uBVtZLUnTl7Jz5NNpi
KWRGIORlGlMzKo8TxGBkEG47+LvUg6pXTmgPoAgnD9FgrAu4XYMZ43/T35llvzGwWxqTygZ5ugs4
wuJZCqGQFaIAW8S7QZt5ArVDScDt4A5iAmQn0gvF7pU43NZYSPgeyAro17P1W6zkl65PfzbbZQj0
6U0u116t6wHhiK+7vhooNu3d7+hcdxmEulWe+POhlp9oeps4lPA00lPkCZavHUOZB6vz8gpBSYlj
OKpC3Pcqr/olDwWhvdHBv6/wObKmeBeEgryvavFn1VPGUar+oZE17MK14FWqwSCUSe6WY0m3jtzS
txEAIjcnmpYreSRwkvdaLtzCb8XLZLiP6+x9apTHnFNP6nW3UrKDGGD+YaH7tRLaXI1GUPCwV7NN
g3F9YUYHufJv01jfpdYsY1JXJk0qa6/TsU2SU6CSlb5BUPSzUpQt5oyHqYVx5E9OJhYHvQLfV3qO
RpJqVSLyy/PRpa6wne3XLdoHI8nalmHd2Di9XOuh4gM6H/WN0GH9M1Wmk/gpqqHccrJJalcqEeV1
ZGERA3GXUnHqu+EQBVdKUb8mhfE7nXww5J6n2rJEPi8suaY35pMJPMLtkQE6mGIGTuoPIthlK9zG
OtT3DI8lCMIJ/ZUAh+x6dshIMiRRVVxUq0no7iprmEjF+9Jdmlq5bUWRtpssPmXrteQoKVOuKtCy
q74fETJp/b0+hgeyuCXBm+wTryX9wTQnQkmpawDk+mCKZVg6369qSDNf9hFT1ehvgudhQexWQMAs
azZRYzAeB6frI2ej22N6jaa0QIkDR5uA051ERBgRVBe5KgAHBupVOWmVbRXxFkwhnVCC8lRNxJRG
FjVQsKNbDEWg2ZRgMXv92lP7zBZw4bInb1oPXuDmAcD8MTUf9SqKdrGgvU3Z+BGAjuRPjBp+nZgN
UX6/xy/mZhSbfSqDhMbiIzPH34XW3YFH3CvycBQ7y3KY9B66mr6wkXydCiG9M3UP1wacCny5WKlV
v40D7Mfg3O9kJcXZDkNRKu6MU9KNVc0uDsn4jFvwLzMDxh4Ft8Ew7hEG0QgiSx80pgJb6gPMIeK1
oOlr1cw30mxWZnT3PSj3vZH3OBdnOKt1gCzo+eLtCZhAgRLrpSuw7xK6JT0hcAVz3laDucUZeDOU
njirfI6hIeyaTNs1NSzpVtDGlTZEt7EQrCNxlAlyIY54xrCL/emtF6lJCHJ2iELUtsCb7Krqd5Ko
32lNuDMaY6MDNFZ12l8VJXzOJ3jOsf6jSsMUz8002vpm3eDSWb95SbE35OFXEUdvWdDRwZYdhlq8
6SpMl3vzru6Vl7wYJTsKlVPf4uQBrDoNy5M/zOuxuZHS9FTgnL4ypRBFpx8e6ibdKl5xiKg5JXNn
DdTXbAr3+WgldmNxbyoq5Q6WOOtWFG3ueO9WkdLSEE4AhsJgrwrSSyUGGL/U7BKFf9t08g7t1KtU
VCdslW5av37LRfXQ6A9hwTWKgSy1uh85G0A5Y5fWpIi5pocGcBjtzoP4I2HpZDRkr4Im2FmDcvC9
5CpJPW/Vd/Uuqas7ofeJDpICAaCODYDVQAGdPMBkVoslmhxzEpjpFYgiMqWCpK+CNseEWFZOQ4Sy
UJOj/aiZ0VrT2seyJo1IKiofxJvex7Y7zAn5g3TadmaES2GBAlLVb0rgtQIGfIizNGRhs69D1N4S
8iOizmRUXoIT1hjNFRI8d2hsuT3EzTHP2okoRgNGYhq4Nps988Q8isO67Vw1Xosz6gv9V7SKcvmD
DqNDDVba6Qv4aE3evjQ4naR+ed9PwboQpNtaGw/AWK+0Ut9nUnfb1ZWLhPGQ9tUubqybOGiOZW48
anJ/4w3dNhuiE2XIZyXTnuI6ec5yrOSrTn8WO/UQY9s6ZHLgyDEldb/+kSX1s+JRjsn1ijgooVNk
AOHbxNUzlC2K06kZ4NmkPEPP16FHSPuuYk70SiPaglz9KtoZ5xl40Gcq3FSMOPmZiMV7LmqHCFz5
KgqCtZ6oP/wc9eUQhg95URxzX7kOrdgJBdC/SvsqFmLtmB218KjWniMB80G55KpYqe3Jb/ARxmRp
lyIys0fRU/hxsE9TGQ+7Vr7RwlHdd2JabsMw9K6Cotg2Gn4bVq9dV131Vpdm5U4cmDbHy6knM1kq
Lc3lik+4VzzCbWidTGGfmlplD1orvG7V4rUKwk3JwWkbopUj5E05z81wE5uhv5U9vwIWE42rRsdi
KvQKAtXWCjGEzBNXktHPDp16lfYaHoQTXTeC5fmuV9S3Qd1kjgabdKV344mFs63S9hgoqkKWz1T3
hkQsI2sCJgwshTWNUsIKrxOnAsVaTOhgGzR2TmA2WDw39Xtvas99QqsrRk64BSjm1lcj00ml6Bmh
5HPowQnL8UnSYtzOQrV99QDerovcT+3AMx69psDtLbwx475Zq6WFYDkQ0CGXV8Zk/AzkblVlQbme
gYuJ37xG5SjcxEoCFyd2NKW/53Z8P/XGSY+9xm6G/qZJAUdJRv9zRCElg4wG65I5Oo6Pqhr90GIF
26n6RyJpvziooRa0vKlodnWSRmVbcq2PMJtoleCm7YMrYTBCdBjxW2aIJi0v2Vsr+Tdy41nQ+cNt
6zEvG53kiKaUKWmIvHd7zz8KfU4+RO+PAF5+0glBC5jJbPDk8mhlkbT3ZOKnZqA5S8zFo2WoP4KS
/7/LisdCYeHGbY2J9jC2qzqrTuWo4ZKYC5krS0VjpzMjUm3i4KooClBFbEgymECvF8k9DHrrBP5c
7dLFqy5sjFU8pBglA/Unpsr0feTLa08QfzZm9hiOAlZTJCqdSMY9JJN5Hb536kIiv5HXuOpHfASt
2d5F9gABhvGII4JRq/sGihVlrHHyjyQAH4cmk/mFZnmb6Sm6VOi6rtQU15gubKNGvLKCnDJkpP2o
hndxku+bHp/xJHCwFiROwDopORSw/gB0ZQ+J1cMgHAdHgli8beTuVdVSnN2SGM9F8yPEsmmF9J7M
jmnElKGml1rCck0Malz8Yjxjmqu2T0BBW6AoJQxtesHYhV2/b5XhKs5IaU14gWyMKTZxMfSAeWm3
+DnYeKEJ+MflpDuE3ulUEExZxoEWWN2Klp1xF0tlDqER5DienfigCeW9DnAC2CEvXhJx/hM1ZmuQ
YFmm4EWX90q7ErBpqALhSYvER9+C9qwaCZUJLPgENqKVKE9XuBs8iUX+UnojlhrJr8TUt12qO5qI
IZhOTq7UoUcWXnFTqeWtXsdXGFcCTfNYjnLwRhLqudaiTRo1kT3WhUsQe5tVzV035m+VAZI0svIO
94U+2IDgLJ+I9KnMCWbC95P+iJ0bZzYuXuMvgptcx5/B+2yyLanT12mCAxqQBv+mz/kPg4TdqjLV
136a/dBRr9vJVPanpkdtDav5I/KHXSZn93HJBB8FGn3aaDZU9exhaDQ4fvm66fxnOsuu1a74qEyc
TrVuZ/qjv6J7+Mh3cuUowX6t2jXduveOZu/WSns99MbBEMdt4JsIzrWfUifbpP/uC4vCb2b5DA9R
exWFGtZAY3rACQzSZH3MG+G96kPuFgq9q1r9NBQd7jF+d5fW9B2kCPHT4hfE+YMk+fsRDyxb76tD
WZkUCTwFVkGUPEhCtA8H482axMExBfgiXcfVIM1vS2Cpq1CBZSqVJoULL77vOnMdVjHXlGLbWf6V
ILD7VNKN2VenZoB2hOHNySdz6E3mPkayjA/LsS7olhSJ7CgarFJd2+U+QY2fhTuV1wq0pHlvK8xD
h/ZanLK7oeB9mdaU2lYeK/QHSIexNPBKK8QrLZk2Irmg1EuZBsophqEK063BfJfkKBRd09bNkauf
7l+nY2vHcb3BSiXGRCNA4a5nxET5ppGqa1E3r/Vc2AUAY1M/umtq87HsEBTEBSy9srgxqv5eijDu
sLxnC3QrFBm+Qdr2tTOJSNrh234MbfQTON9NXFfvAjjVFV4h+c7Pqo8pTl8zRXmYTL13m0C/G8P0
ZbSilnbr+s3spHuNZdkM+quk5u+yhk9pqEXX7CsDvnj1TVbHFKfDCSfLiO8/1uGTH5OytBpDhJeT
XU2B9obKaXRbLmlAaP290LVk/ID72X7hGQ45V4xUNCk5DF5vrbKiFnZFqA6bYozeao1VJ/qdhw1d
cW21xWPsp2/0dHzUBvKNWWEvhPmtJNXHZpSIStTiUWL/hZRKlwXv6S2t564N3Au0AHNji/7b9xyL
SxwXJXlV19p9JoEx8wiRtm2va+tK59mz1EpBnmI5lWgsqjGcPmqB4FA3Qk4kvaYRJqicoovXkxE+
GLp+7GIKMH2eOHyKH7rY/ZaF/K6vht8k7CbijXQ/yLFh5+ynFzJoZ+6COr11qgjTmh7/pWJobJpR
bmosGoHpb4vsSBXAjaDNfX/nVL7mHv9cOb8Ms9AxhO3YZVqvS66cmnSAJQq91LXfrsRslHdClBSb
rjejHan7JxWLSrTepD9ojUtE7AegIlZEHA7SesAb2Fut5AHLK9+IX7W8QneeF1CchKbfq7KnrYHn
RjgXNOxeWCGscrPlJirQt+BT71tV0wD5PRmlFVPyuekqwqcSL6eWjW5qqbFRiLgRZkdRv/eSCw3A
54ptyF9nyjX9lMgvvibUulqMRvI9JNSUYaVae9V//f5Fn03ZAZCYFURk7XAJ+TpCY4xjCCvqD4/O
bU+h222NR2w/Nyng4lVy4bteHG5Ob3/Kv04lRmKxn5Gze58l0QbynRhZ1GpwSWBcRvGce3+fn26R
/i/Rsnij0qDUe6IhH2vFbfVTBTU0dxZbu4sZya8l539mramT38UpRTexdvn6dClw3CKuesX1jXEP
cOpNojcnzwaAwaX/oIcYHYQFPX5CBlkUe7RiI2AgZwsECNcYzIKrxo98FMNxnZDa3/tJ9VRqWmH3
lPPw5OxMvMXktwxOA0XAiRRm3X30aLBX8pgeKy3ac5JPTpW3J0vFXLpPMeBKsDF36oDLIIvo0cPs
iD0Q3F2K4D2PZf3CF/57f4CIo9G8x3ySsa1ZzKdArUSrlQULDtxV3WGemt43inZhE1qIwuYX/XWU
xTTqI0EL/ZJRMhxkJhaGEMLIFITKSfr0pGbi3RRDAOCoEwpauq3Jmcr64BmdM+j9ppNy1wqjVYyg
x/SHVcFlQbXid3OI9+UIH1zXDwWOcDBzbBRBnB6zTda1rqVYak62MZsm15cgwV8LO//1SFDZNEXX
ZWuJbQr8acIJKPAooMbkbNBESqXT4FFcg476ftH/yR7/m12ex7JmDRWNP6bM6S8vXl/rWWnh1yPF
2jWqfW1XOQMXc7dYY0E1HskpzBzM/nZcQyhemz+LaxGTrgNlahR2/oNk9zv92V/L19//rHkz++5X
LRZr1adSHOWTQI+Lv62P4UbbyA5z2v1+mIXo6u+nX6zSweAaHVqigOgeIAeOCCXNxuofHjNU4Rtl
d2G8v7/s17e92MTbWh6NSua5mjjnuotf89ySSXLXGwlL5WJbl+UxqaYVDHk7g18xZftJivBHnzbV
VCBYvzTXFtvwX69gWV7QyqBtyKTyCvbyHjwWhaHxA/qdK2/Na2H9/QtYcML+Hm1xmItqkONky2ji
nuoJSjcU6U6w9n9xpjossWj10F2RYHfDDZ2eK9RB+/7hH1pSb/8/9s5jR3IsvfevMtCeBXoeApIW
wfAmvanMDZGWnjx0h+ad9BR6Mf1Yo749PZq5c2d5AW0aqKyOrMwIkuf7/rZfIdu5Yj77h/a3f3Qh
/HrK/MVhZERtV3X58i5wIdhv02XRZ7pk7KR77yve/CNx5l+x3v/zfbD+eDzQMRfKsf51gSf74hiv
1So72Nv/4yv5p+raruVXed81X1/d5U3+6/LSD9DYhkLz7t//+Mf2z3+Ovqr1W/f2hz9syi7pptv+
q5nuvlraBP79X/8c+rX8n/+vf/mnr1/f5WGSX//2L2+fBdWOMC9N8tH9jUY13pO/X8hyrto/3f3n
f/zNPhZe+FsVm/9DXzIgsKCTy0bWLbzob21s/g+slnydRFSxdLVwL/53H4um/8C6JGhXp5PNEbqp
67zut0oW8wdmViLVmYQ43qHuzX+qkkUXfxxw4VFsZLWEpbqGcKBn/7qUBZ2Al1Uh8GtlZXrg+ire
hqxpKuxuWyKu8xyo2TMIhINRo6uQjjA6lGKKM03aIBLrwSTBJACmrg6GAu+OpvjO7SKsw6wJq3Qu
T27cPRuu3qxMhe6nbnwRzIY4m/SqBlj+rc8yysOV8Kpm0xs0S+SooDyRNfu5z+eXkLTe9yRUnraa
/fqpHKibNWbtIvoUuCtqwJiq7igivd9BgWSrOAY6Elr6VLBVbQYz2xtZtR8bdd3qKPtSq3yuMX0j
Snxy+g7tPf0biHlmdTBJzWvzn6Z5VF5egd7Uh16lH/BgxOP2yakGZa2BQ3BxArfHoXxPNfAJGjZn
JFHGmXD200Avy8brC+7Z1FaHUjPdk2tOyWaIuynoLbO/YPJHu8S0uyKzdIkUoAhWDF72nVR+v5m7
ujjlSgfe093XuigpU8phJL2cT8M/0PQKrovUbWt78kuPiR2IlJpZsoagtXBfzhS81PbJmfVv9EIG
ZzgN6R2D/drR8pw6S5qv98NIhHxDTgLJ4dlnVbA3mu30nZeEpfo+CeVwaLh2NEo5I819EX6Gxz2M
P+BmzLMwiPo2VHaPHt6DACs/B0pF4aGj60IlT31sr6nJuyar7FgJ3OPhUDD8cCes7KR6Z1SlHCw7
O7FxMsLiXOVJGkjeHTAB5W1y1z1quf/gF1VNfVlWBZPZXIDUnVVFPDaNYLI40u6bB6Pymp1hR+mm
6ppqY7aztaJhzzs0BLKCsYTZduhaaknD0r8KIzpiHHyyq1ZP6IjtWVrNVNx7o11s5x44J1uW90Si
sabnvjfsAy29XJR6xVPYkSlV0SWEdxFfs07Deg7RPS1e+0ajMXn5nJv8UuYh8LEq76qhydfOQKD0
MFk7b0TPOxjXsTO8xTPh0nzyztZuk5OGdj0otfypdEsZJDnCrZ70YohFJshIhCkBVu60rmzzYbS7
A+czxXJG9jbC2azjNPZWVQYUndc7l9aI+8hI68DqRRNEk18e2dbsG2I9xoCr9W4wZiuoe+97oCmm
yMJPInWpPI/iZ9N0Xs2CZpfCcZ/auATVMajZ1hL9VCfhgXSARwsO0zMGi/5ABk8RTvz45gRX1Wvo
FYZqXVY5KQAy/aDEkIrkPJkCn/wxWgFtllHHeNap5T4qWgJ2jdWqbdRBdQ0u2fNj3XobC9wzNevy
KMrorXDESwF5vAKL4XFD2bCMfzplr+9R46e84zqd3ZWXbvLQ3YwdxaWjvM+Vk12DxOZ0FcloFfru
T92LXntb/3bD6mpoBx5RpRkGqaUn63IsT4lR3411+V3NKQ7zpP1KZDhs68T5oNHBAuD3o42ki8Gj
DELRCUhz7tyeBD7rq6Gao6OR2zqk1ohukIN758/dTxogKdhtCTXB4dQcQ01rV7peYgwZKNZ2IDBH
h7uEdN/aW8PlnqYUyi0TkbMvS+pZQ63lKjd5i2PhdrxTKqa7yupI3udTyTLpXAzF5z/1Q3qEdr8b
fe01naQB106hOa29hP/QrxEb7msyy+FkNUA9vWtgy5t+dhFtRH5jjqAHHkV6+fCiFdVH27fWwdTo
zU517VM1zSsywnIF/WtvpgjJBO/EZ0z+AHtJq1ZJI6iuL3Lodl/JXT6bP6suvmlapQ6FVr7XrX9d
gl8l1FBOfXSbphE670S9aGXio3JMroxE35iOdW+p5kmPaCMONQXA5Exfg5dyZ/lcxbBuZVBNrR7o
Fdh949cQ6mEtQJ7iCcpXgU4K49bWFcnpIxkodqncfcPbMuX5QWm9szLS0b1hjco2vTV/cDgjcKSP
E77EvWummYjR7FbXovsskWu40BNekXlTlu6GA7uiRKOG6w3z7ppiXbKAK+0hGct+W2okSTdVdKsX
3TZsp/vUKF3SUvv3XpcvdpxdMhJr6FC/i7xxgw7gZkA74tjzZUrMpfE+vGQ2MYq9hGYo9ctUa0Dm
uf85N7AmaG93fWLc+kY8A8B113HqH7PIeHG96ewK81VZ035qx3czwRsr09kPGCIyiELXpchXN7ae
NX00vn3vjgPYG2URRvPkzc3VPHdn3UUzO2hcymHRPlNSfiZz5z1u0Ed4TfNWRM3WDps7wx6vhbAT
Nj7qRaJoaOgQGXct5FLdV2ejM9Sa52C+qqfhLrZT4xzPzl0fVQdUmxUAoUI5OrcPbZbcwP5/EoHw
DnF3nZXaWjNw9JiuJtCJJDfCsB9R4aB+6VGcAZWOQZwsb2105Q6oprKsBBtr8rtoUreGLR9oGIRZ
qeabIbXDNSzN81RXIzzK/FCjiwh6mcCXGcO4zg07CxyzfUalfGU240Zoinoig+iWITRO49BOAckk
cuNFkdwaNZd4mNqBrnGwOApdh9MSQmNnrnawZB9tQMchESjeghj/NJBD0E1lPjW6G668OuqDrih7
zt/aRP8hk7XwzB2NpXfpqEqkTsOOdH1IR3mkgflJelQseyjAKnNdp/opJnoy6uidEuV3L6dj7U1g
hVr3iHbnMbGK2yRLb4cKYXLb20Gm5xuTJKJEE4QcsSil7reM9Su05FQ1l89kgh46J3ucRn7gGBuJ
LdZtKXa4PU52xJ0SNpQftOadF7fHqjN4fAEfTrq+zvr4XmuQHNPos8rAVEXrBLVunwfKkrgjBn01
1wYNNe7JpkNTdRykPBMfE73cFHBfsdE/R5n76M8zwVBWvSJnjgB2gaRDzu8FRdym1rz5Xh4Y3bTV
u+ay8KPjjHib0tO1ackdv8AeSPN7plhSZeYpK7prbSixvdOK5MfdxnXma7/On6Wnb7VxfBCtOBOl
hByslCS8F+s0SQ+RRe9XiB9wqKj20k9mGl3TDP9g6dp5zpybRDh7K562g9+dwkptRrN7iUJxpVfx
Puv0rZWgzBU0Y1p2/5WE4kPnLSFsKLq30ulk++WmNaafpbR3bYJLXQyXxjUvzmw9yBzpUVOpA62b
+zySxzH39klsQrMn56FOdjS2UoZuk8UTOmzdRvVgF+UlccwrqYiKl6oPBqPcgLLvtSk9lHY2oGuy
XtpUvJLzfDQqeRlVui31ilgn/0gVGA4/c7pYY35na/JVcgmC/r6SKv88a9bWSKzLJPKNP1g7Y3aR
b1jescqqZ8+I7iLJmO+KHSretZEYP1nYaFc2H8ek/LRcPhfPcjiGkP1UctvhsYs4pWIH5ZXdpJcw
Qr8RFtCz42BsG4ZkEvcPmLpOminue9QDHcEPPIevO0luq7Au+ew9CWR3hhnfqI4HqDJ3ddfSYJfv
rbTetsq45KYkrDgOvxIajhM/XEeh+kTCtJVjHpSQY3TlHlG7UTyjb+zJ4dk8nShcPcSpeW2n027k
PLM1vFU5FkhhlnvHBmBLGkUMYHqK5zxftVq1bgYjQIN0lWbhAQhs04YQ3EVxWzjGqfGQchZxtbac
atcU7XXn258qS0eiLIYH0TCrhi0c1+Tee4uWiKgj3PjHxl1Lgy7dqNzmUbVLNXVBVbu04gVqunQ9
x2qTTYgMi42lklNcydvEAGwp8nptI8qQYUYltRsQwcnUq+1VLc9Ka7Eb0Lpqucdi9NETgBBa4USX
XnrSOi6RSrvyLP9sW/F2ltqJzPd97sg3No/n2Gmv6Ip/lKVEbxrvpomLnPffI1crGaZDHWv3je0/
lDpPJLOtV2mTnyC3PmndvhFQ9URx7caeTvqpehldeUUqRR3MbbfTRLwLNZIhuPYAzdsvQ038pll5
Kw11TsqmXxnL5W+XB1aAU57Jx2IcTlUafYoc+i8kkSwt5vtIDc9aO00EhaUftTscST8rmBirnyJs
MjrBindpGUdnVHe16pPAHA1rZWIhDUQonnxRnUSHojEcNAgZagfXji3Pc27tTKkdapGeaZJ8bxB5
ZELd5Fb8MLBXrpxkwCzDmzGa9YtVDORNCPOrbKObvu7XFlVCmtB3kTbvyz4PgzBqU8jjuMcoQzlD
XTRv9kDMq6JRM4VmRpHT38WuOJUUOBFfJuhpnI38oFvum1lQbGiP7srUzLt8sL/MkUV0iklQdikp
lrr1urQjeQy6q2JCGpYO8tZpWUjCvnlErqlvQtvpeGRWBlSvbwWiiqd1Lo1Hw4p2UeyIIB4KYP25
5dk8tyR19QZYOjmmPuXIXXlv2O6VJtxqZ7oL/xR2+sqIM1KADYLthGbv89QfzmbXY1aaxnPuiDpo
Bw3AVVB8kes3SGXTbZRrxjoqUI7GMYFt+uStx1Tdz1W9boQPf24gD63oqgx0ixJC6Zjvk948hn6Y
BTAEH2np3IVTcmPVCbo007unqKddCeXdlRFKE6WSNyszP5GmPLFUX9LcvqXj9qK89s7Iq2NlhHsn
F+/5kjU5jPVRq2mzwo3trWcnStZppYltMQ/3PKpGnhv5m2oLtANjg5Q6Kj4IDHrVe2h5QAfSWzLy
9dySAqvCuOiNz2ioDggEEZixsNah9ikrTN6h2iTJfIkGwuHb9GCi+1tbXn8zjlbArfFAJWoVJN24
m6V9a8ECe9n0XIV6c26kgVGhInu/G7RqaxmNj/s5zFeILv1VTje8lsqjMaT7MULHmTQnh3r7YSwu
nYR698vu2jMkcQtpdjZLu0SYh+1HpOMRoc0xFfNNlEaIBkEOSoqbgWiuI6/dyiHbC3bYOTNOtWqR
ZNWE4kQvc13dsqWswzy5DRuN4sP6XncghOLsyW3sLRPSFtvIDZTwvWa0d34WrtMoZgEvOM/q/j0m
lqgKx8uQdzctq/9UqG0/hps8tm7sot+zzt41ZrVLUG2sjL5+UA76cFs2zyJNb8fMp+Kumh6NoT9Y
DkYxDKHJSrhTvLO89ptK4G6f1Cn2dHsAAo+098ywvpnIsahjU+BMHLzt3CLHMvX6qUPBxq84NTe/
ELx/Cqu8JB9N1Vbf3R+ByV9g4++o5f+niCac5N9HNNGN/ud/qLfmbyChvO43QFP8EDDu0GlgmjQa
LG6B3wFNHj8sUpgtMOr/ynz6DdA0fiztgIR6GGRC+RRBAnb+jmcu32hphLZglYXF3/0G7d78mZMB
Ff67/Q62/T/hTGqsUYjzvXyLjMu/YpRS0U1okYAzZRHWB+m212p55DSR8s6Ok4Q7JFXdTRKFB9Mo
wNvocsVREZ38iNPV5JWr3rNvHOEpqoeKDpypwRJI5T0Q/RNdSfcTfb0Bzh25Kvz5do4JE3Uakuos
6zSH3lc7F82uDaPbkS+jVixYhCfoFKtr/W0Zl+5JteWNlTR3fUF2IqmgSFpEhgS28XrAIYcdCmSq
sOO7euyGbTsp5hta4L2iq3cxbYtEAHBazCOZRapWD/x84Kw0/RLLGb3TLUk75NjtnKnq6Q+k0G9w
veM0d8OdmVEwKK3uO4yAFnw93NWIZnsXTb8Y5lMqPf88Y3ZYV+/JVTc0TMM85ts8feFuJlk4jL8z
qzjrKZVQuTLf84FGJNfujrqm4UdJMxEs2rhNOy0iab96V35zbLX6Z+9mdaCXFesRqbDIRSMEQaaB
K96Ir0RlZluXHqBDVvTJJS8T9qIiTLaq9K4aN+4Z9YrAGNc6uUKIxoJKS521tGIUMm6K6XZS9Oa5
Rvmhyba7qErrdgL36OtEgeCKtWVc+WognGNqtRffKx506d+okX5Ix7Qa2pr9k1XrzzGVzys55PvE
sNeJOT2gL3yXkV5vRrdl5mqc8qpKwutY0x/GTFsEc+SnMZhffKcSga6omq4LRvvIwsoZacU5kY7c
2DGfh617D8VkPgx1yqTsDm+OB+3e1rLbAUC+uxyKCE+p1PY1znpOYHGDztFlreTqEXlir8zOsVaj
KbeJW937c+mvGQTjT18mnPr24mfpxz4ocSlgXSAEVffSq2gKX4aq/qzb+sUk/ihQunia6Zps594A
h2/LYErREJXJ1vCjW1yXz74jz0Y2P6oQWVBTTt2+qstpPVn5oc7077oaPntadQNWQtTAkf7qW+OO
VFTO+MEFU1bZ+K1q4OFyfKXj7sWm2ArtLbByhH0kMHN4tRImIIpGRZuFPeM5U14gCm4Clxg3LiLL
3/iyHw6eBBYq+l5fkzBMT+zo5K+zj/CmwYrdFaa2a8uiIRxS/SwcixU8bWUwLdBogR51EAnUXt0e
+MJDbujAqJmTYqFyAaRt5ZOGw38oapXwn/kTtQT8Cm500uyG15moEiLwWkH1Bk7UNZpwa9d15l2l
CvjCLr8rFrA3TcuLWNDflpkbNHjQk3t7gYerJL0emqW8ekgVcD0gcpWBFWBDPmStvJkkvaAV3j+V
6sTMLyC0wT1vLbB0O4cRADVQdRGymVNC6F/ZJk3S5QJpaxlabMeuvUNv0LCARLbaaE6bb2laMja1
EeWQDEDktqnbCAEdA0klQ4pY4PQQXD2unKOx4Ow2TyF+ToYoqVdnFzTeicdLmIFqhgtWT9Yt19OC
34NHHEvcFh3AvmlnT5GbXKsF8ZdA/5qmeyudicBbWAH0ZcY5hSjwFsZAC90Xo8rhEBY2IR4I6gXR
IV5Y5cV6AKpc1wsFoRYyAodvuc+RxQLdtyYFDUZ1anILrZk+3He4kA5jGK3NOQ4MvQlsBArHthDV
hrvgSxZ6sfVJi1nptTgAMNyOBbdMA3dSpPZrtpAp6JoBABeCJaub/NteSBfEaehMQbJXZok6LbUK
QWAHNA0JMwlFDtI6Wl7THXn2xRu1EDv6MJ0ETI9cKJ9kIX8iWCCG4nwlF/BLwhAxW58sLvINEseP
UVQH4oyrQELAeH3DlJkD9BFYA1BVTk/yV/xw/twqv1qrVD7ocFX0OO17MKlNa1LOtdBZxUJseQvF
lVnNUS2kl+h9tYld/9JkyMWsuXqKf3Fkpm3U7yhJ5xdGzWZfDwbPwCYENC3bwLb7q8oDWgsX2s0M
XQuazz3LhZIzFnIuHlEIOfB1+A9O+kLgEY9voCfTblFyQCvFJi6EaJ6CyNMfKBsaArmQgd6MzrRy
26OqEYRnC2XYwR32cIik5HMAynhbLvRitZCFk9EJPCAaemTLluvQ77VFa2xssB3oG+WP7BRWA/Vo
28hd2vJJViG+flCAtfD7F3sgMzwOcccuZ5RmcQVOjTZd2gT8AJgb/ScjwEavu+6IAcA5e/n8UQ76
/n/HxW46fP7bvxioKT3fYnL6++PiBVd8+fan+zcY9beo+htTIy//bWp0f7i+SfgD1jzTdJ2/pMHF
Dy4106WcmwhlHMnMmr9PjTaGYSZDpkOylpgqf58arR9MYAyT/IccG7o+nX9maoRf+IPiB6mTARPP
vfGLVl+G1D8KIlxLYhgUqbcW0Zzh+IvMejEzamUcNLE9MFuJrkH/Ei90oDLdu1EVPe6EoQyvp9LD
w9bQDn0eshI2LDPSLX1t8pYA7IpyjTZGzVS0Jnan2evIpB9Le+/1ZcY5OXjDdka9pgd9E4v7iPNq
V8jQ4Jgadf2z5hmon2xHUpJr6vkWHjO/Dc22waIT9++t4xSwCYtdtCy8i6dl9anSQuru83Giud5r
gTmt2Fl30kqstStBD3CRmVSfe75RElEU1zMuDNMmQf1SgrduYh1OLY074N6qcsYznS/qkXtcfURS
UW+dyOpEtHm/luE43utznFIbl5kx3lbq5kaV+IE+OvLiErxxao2GAzOre+Na5iyqppP1D34Dtor3
UgEyGg0ng6GR9MPYx6jQgpwGiz1oZ0xjvktTSZNASIpGSGOA6uyV09RJvseImT3N0AraqnPmlIjU
MIlKSNqaQqrS7xiXZ9uZgT9l/SzpoXuMG2GT4+tW1L6HifJe0SFUd1mS6N99PNt7/E0uCgCZv3ui
TR9am5CWLBSL9jlymDosFY6nIUy1e7Tg3X7uTP1n6cMNYfu2rpjr5zsHLvvYyFGcilpfnvmhg2ZN
pcS94TZdKyt0ikML6aZ2jjP5/MpdNb5q8Vibq2Skjm/j50WtOB0k63lb6ee0K9Jj7NX6wzTMqCyr
0S2uR1wd+yjrvGC0e/1n4srhechsAcBcMPwYSbIew8QFlhl7PSDMgBaH0E0+tU6PD+xuOI601M93
Ym7Ti9/MRbwDqRdXcaylX3YlIwjEceRpXsZE6Yb8s2XUzudMhuF91qT8E/M8VnA8dv+McjR+TvsB
xEcXpOf76TzsHb1IP23CP7GIOQVNSJpe7uOpqd7BasO9sLiqKjaknVZ04i6Ls/mmFpAIggYMbExq
6B4qRSgcfiILRSl0TLj0MnviSGkEUgK7b540opsoXejSI93r1aGpZ+spNQgdLZWNgSPssvBpbkKd
2azvtqqzSGiJy/rVVTI64J0oy0Oo0kRh8zTMq0ngHlqFdeReRXGR3YF5V++WO3JRIzO5cZ1GbKPY
c97gm71n1SNgWFW1n36mcxaLVT1i8g4GBc0aRFlsmoEUCXd8WYv3uczab2MW/XPj5fREIPnzDjgk
snMWVtGVEwFf++SBHawpH/hlpB10jbZccOFoPpMUIPc1Vq2PpnXEhzRBi2ppqW8kEMnTZBAeW09+
xTzTMHCTrTOuQ73z3+ljiEj4p/zxRk/14dxB+d/G1pgcos5SJ2WkUluxCKPoj1XKvlJYdY2uQtqP
tW+Hz1lhmnAmWvdVuF577ryKwoQ6qWs8Q6V3qw+5sNd+PnzIHE9O0+EED/73dP3D6Qpu8fdP13OV
vv2NI5XX/Hak+j84pem3Fui7dRK+OLD+G4gR+g+brnoiWz1Utb8gmt9OVOuHZRKqA58BFuPr1qIz
/A2HsX94NroEf9HeG+jPUPj/Fe7yf8NhxK9orN81tMjK+NkcUBgiwHUICJOD/S/19ZmbpJbRC3y0
nfEMWBu9l4aGv7bCsVI42n0SOWGAI67a51bFBJfkMHgDw3HhGbfYat1t1Rf6zhyQiuRlnlzBdE4g
rP4XqotujQvUXdejJ1eTa+01c0m6SZS2NTpf3MxOkuykA/w6p8Q5tFMUbvkNYJNdvHlGQdLRbLXj
ZnJJXEF25R1H2VXEGGTdO9q7n3kI+xuaoloPlG+YPVR2nBPSYRXjtCkqzwyo8yuPeQ2Z7o98t6LA
h6IrNe4mht+70jK1jabZbOkhx7kTxxtH1nKbYsta1/GAVCR/4cx9r2QX77oST/4s0ipoPeuFX05s
wzxv0bWZd1Pdm5flp97KsvNZIyaMq3VXr5x6eOn78FWbiD0LVeLuB5ulRxtorGHjO4S+eGvtkp80
pKKmax3jmE9JEyCSUWse1axho+nusGyHD+wSM1+zjX1Hmtym9c10ZxVxcxyHqV61wE2HUUXlpW77
zzZunXUDBgz/GFIJk3ruOklLbav39ocm6gxK0B8DOAP+spgfUolxT2sJHEjspmPj66ygL8Nq5xiN
GVQ5H+Bc0mOZGLpCe4GDb4w07VhrlTgUI24oOGGW+zm/l7Opb4gCq9e+RCas4va2B3XYdtH4MyE4
ILUQgtQuhnMnQ86QSKpyIPoqzUdXj6Qi0PLC2c5GgzULIryeiEtOi2stDG/mKuZSGXR/MzXEl8nQ
zzfuSDhYb2wlLorA1KsPA9FsELV+sdLDyF7XPQnbqfA+w7Ff2C64gWhsfka2+UwGBImONUYv7sbv
JDLXszc9d3b/ZKDCRNmhYSKNcA/X+kfY2hW5P6T9hPANgTlVkKqIj1adxRvHHfMOQFJw/BlYMTL1
0aV2RW2v/eL3nb/VXBuiuAVnTDy+Z+uZK+a3u1iq69SRhJQJ4623QZfSkIQzAIA3Odc/PQYF9GZt
tMdzABOcfIqs/cr6dG/XzkvrEoOuFGeAx+bWTz+58q/t3gi3pTc/T1HyZMpsy752kqLYETV2rWvJ
kzVky4miD6tx1O9E3t5UEMZ6gZ+494s9RN82xBIaO9qtyggj0Ikg25XteOyr+ieVOciSevkhHXZq
UWXf09Q9DSGUm1+ToJlpPuFjYlgQkluntvBMi/HM2HtT1RNZ6lWuEw3V2gGqQlSAKakZOfrmfZgt
0oBYCzd6znk4+OQQqyn5WY7+zFyXnDiMn+2Qd7Rg5Eo6VazM3Bo2ekxRwqgGzNEEPyHa6whXAeck
dvEm8uRLPxvaWdSSMqI2fnQsTQ+gN61VNgECZ753Tvus2AIfX4hpjLC2lultmAxi5ZQak9UwKhKZ
Q29jKz1D+UbMWqTE2uynm6wmzQ35ZLayOr2HUe8JoJq0r0ijw7cuhzbQ3WnaoUnpCYgbrpnxso2F
5Wyt5pZZKZVnJnduLI2AXM+JsMJHUt6mzkJBTuPtbDoPXme3T30bcpjbGs7L1OsuY1mMlznr4s1Y
Tz05PWlzMKrYPk+hC5pZqkd8bGXgSNhDG8HzVd4QbrMKJeYWq7X9HTEq4OgkrZ59obEciF/YNo8P
2h9irGvWQ2VqyTqpFHEV3E3E45300jx04/ww2ZQaFO0xy01swaEI1xhqEKHynCb9RLvAKhDGR4ji
OlLNKbdjNF3yNULNfDCnslg1kh1EjPK18t0NSap7p/IuyFNeJ4JOVwy863kur2HLgRKZMM26P9JA
dAXJ4a20ogQKlwR6+ABeEFQ30RAZbE6CLoJufks8lW4k6BzKWf+KGJNdnAzzKppLazW7VcFBJKc1
UMtAmFuqBeQofhDTO63iKSHNyeRRXZj1qTY8VLfyXrkobdCdbRk4QXyow1oXZUuAn9m9a2Z7qBM0
oXM/i7Vro57hHuf7utExTbQCGIWfnpSQfmvpcBE1WVCacp67pjzTtvFcgDbtPSfmymijB69JuHtg
A47zHBH1qY3v8P93fqR/lOyJq65m39LAk/iO4Zthx2vR5mDspMJmvfy2Cu5e29uHbXMePe88wC2u
dKPlNKwehJ4mK9cNb5A9fWvSbDbIDOag06tHeFGcwJp4sZh88W6zQNHsNQeDmXNVgOyuKYnNWHbN
KzvyAtVEaBwjit0WcZLXO9qq8kIv6Gr5Cdl0yHWRBEbumOCHdbrqFZwOy/FbX88HfEM3pH+sdSc+
sW2/5AxFq7BsDmaPVoQhCIGrN/Ok05NjpJnWytaGh0Kf+i0U9RYnP5zK0Mu1l7KTDuJ7QgK3MlM9
XeftmO3wvVFXWepHq1hSeMDeo1qeytTcGxGFtqUj0OvW9VqZ5T3hM3A3CZHgkfZR0iwXmE31qmyW
15Teky6x6yAZk2Kbtlq2S8LZWGWNitD7Di+ha49AfbO1to283hqNHlJ8Ttih7p1a34o3kaBLWx8O
Km0xhCBBOWJFvVZJ2fO2a/OqScnkmiNEJKq7bsFtz7EChWtnesZGE0t3H6sjEiuxHzt5U7TsZbBS
xIZWaArsLg6DxiuNFYkxQHce3Y5FgR956mr0VrR3oC4mWEbIiUAygTNfDhyxduI9JwlyOirI3os4
eSCuSKxsK4rPzozeRrcA/lUVbgsnemiMAjywDv+LvTPNbRzbtvRUcgIM8LDnnweURHWWLfftH8Jh
O9j3POxm84ZQY7gTq4+OiEw7IrtbfqjKVygkcBN5bVMSRfLss/da37rW9BC5XqPRWokqxfesZHK9
Dg/sCh+ADesEcakMaP+2mkVrNvad+3bqoyVitnwVl8wHrFw7V0L3c1DX5AQy8y+q9GDYQFUrcTeg
DEUfiClOWm6JQr8qz7TG3COsWAkkVW5o7ozJN9EUDQOJZF/qKZIHGYOLaODddBXumxZ2SgHtzO6R
WUH8WTtTPa4bp7WWZoyvESv2lXSGFyVNjixmf0rnpx4Dg2UaMMNDFhoedV1/PFZugXuPiCLFiE5V
Mh2XA5i49dR2RyMU122iRY+AKjD0juGxYdcHMxYMHSYkqpo+wqZqlGitGkz13GI4xQ5y5EbNWTPm
hzAPLsJmniv4TFNM81DE1oPGJM9ze8PZNIhZVZ17P5mgfBnTTRFzwXcTxt3oxVKCjYYXe9GU9kVf
Ix4pguFKK9J8TfuGNgbN3izWg21n2d16kBgGCnW01owNKoQAE09TlLoeTRqE5yj3PACot5aYCANH
jW37XCi5KI5tI7thuWOxUqKXnHp7EVF8Is2cuT66ytY3MlZ2EyM+ly+mg81AsXIUkBEhv6WMU8yN
1qkydSgVAwtJo3HpgLCFIqGRRJYTHEhk7kVmtCgLlKNohCDRQfcQwbE7pWsgpZz1lgHFGOjpopD6
c1VUJyGSpdYxvuRaia0CnB579GgjK0C6EGNuHUNHCTjUkRc05YkWclfksRPAw53Kyz4ygM9aAF77
cx0o78IMqgenmvn1ZXzdyGpr5OIy1sjQSxvGg376mULyXIkTKggOMsXwLjonmbZwGipACfolykkM
LX37aDfqoXdSOnadvmlGWPhKU1+wAUDvqZQESoMG2bAw+pvEVN1ZcUVGRpOytYhI2g6tgOAPQbOE
Itq/UsjQWGaONawDoONHjC/bvTMZiscFYS+baIJJ14JhUiO7914FwbmDCr9iJLbJUYnmvtxHfr3T
mzBeEtqirCY92jB+2kQG9cJQuuMCHeYX4Btbl95iNVQXSQAUpHNgSbb0AdCuxNf64MDBknvUtc8M
F3AP2Fy37Xg8VSikrD47terqxbfqSx+h4jKSDgaZyr1sG2aSWTccT1H9madnv0y7FLShqZJhAEyE
uE4Wnj5yvwwB37pkSdiUff6kaeOFWY2nuQ3/J9Wh/ILZcGR/mvXTVTowlLVAdiza1GJkrFTOnlbN
bQqjbIpovBSjitqluRKle5K58oDc9dovg/smsx4sLafjixjNQ4170FpnVWZ02XJH3Ex9fjsIpLly
AB5nP6LJCiCH6BeFNdyXYVMtu6Y/l3V+6vfxsKAmia9yLUg2tHPWLpjgKuYeS4fOPNFDRTljH1Nd
okVFE1C4/pJz+SLZo3ZtswMwcJrFZFxKk2lQN4VXdHshVRj6Xo/jl1EAg+JhOa7bNO+vUO+oX52q
/18a833WgfP2j7sxD49ZUT/+gvo8f8JR9fI7nRn+/ntnxvmkExNmmJrFv4Vjv5PIGLoKkl1n32C4
r8lMb1ozWJ8sBDDIY0xNNd8MO8xPtHrIDuKnLuobFzf/v9GaYahC6+V9a8Y0aAKZcHWI0/upNQP0
r7KLDFm7WfsalRnlTU1jfkkXw1+kbrgjf0+e6rOdxY/cCaJ2Oi4C9suYJGBowlVdSWTDZh9COCup
HLnvpk1SOZZnVJIgz8rAlaX2Nag9cDVN6u+6tHgx++JKg2VEhVeapygIyJOE5blThv6FVeaiEy32
wbjEkRWXpscdm7D3Iu/XafTnMBaoHXgFxQQzlmsRE0QoUzAglTPVj4Et5Zpy4o8g04YU5UthwR8d
avCGQlADFmNP6ZqY2Qb3FAw65GMMTcdm3bAsn3ZsYZZR3+zsiRVGp1Pr5RWCiabW+KhN2i67GACH
2SBxc2TFrRfarVzauJJYRgLKs9iIFjyFH1wNwiOrEcgkEV/pdvilVFu8iuaFJcDF6V3OyLVhezBW
xnmgF0/BpFMsujOXvZj3pDiFYhfKsRPY/Va12RBpBVp6WRWHzs3wxxTmY6RP5bLVQowGigaIrA0f
q5pRiCUdeHAzvEXVwk0EG2VDzrNgV9PAWGS/AD++GJdWQHs5j4yAIIIAF14S1BBwImcl9Bjrd+Um
HJx8FhGgR5UuesqSs7moyLHYma5tb5nUzdqBpFsEhnpXScm8uk0erbgDGQaoMkn0z3QFr9lzgMqs
72sTQUHtVzRTfDa8OFJvktgt10qLJqQ2s3DthoHtlakfE1mOdjhMGuDV0YxQpQvyEMT4FALH0VB+
ZvYRG2NzpaGpfKSCRd5ppzCjKpNKkr3jGbCxq2yYDn1gy2Vs1gUDMShNDb2spW9z9emgVz1lzG5g
0V+pRRXg9LQvuU8dLwona2sMJeIFn291MN0zsESn4dhfpm12CBRRbK3A7V4H2pgDJ+yj5cBlM5PY
iknfOq7V04ZRH9DeH5dKfKHn2mXnm1+oCw9jzpafBht6pAT7a5NcD8icjjVn6DcBKFy2z0DD9ILA
tDiMvdqOlTVY0LOpGdtdXLNdMxSn3oZpQbKQgaJqCtMXq0kjzwLqz5ENSqy+oAPjRudFXwbrHIr6
0qrtbaLS8Wl7zlaspTdWnN5SYemb0XeK01QjAqJniLaw2/ZEG9ODxeBcxMizXBT9C9sgvoRSJgOr
lAFc66/MlmZTXCfHcZ8UUB9x5Lbk0a5bmd37kjNQNsVRFgW7umlOhbSTK9vwdQZUsljLMj/WZHQj
ZA7VFBMLFjLJw0UeurlodYJuEyfRHWp+SppBZktdMc86h51dl3WnamWfKhGPhDhUFm7EHl01/L1s
tZMmMfqFklLaDjZQSEa9r63ORWlZkafYE3RlVdM8NXeOAwEL31DBepclpUHmOtfcWnQ56sRfCiO7
KIO5LjeBN+cGbRcIxdWiUOw7UybEtPduTzB5cjz07VNdSXxGeROR7kBC89iIiYBo+UXWSJOcEjE2
YcDFFjU/TnSYmmsjhQyCddr1KviKS2EBX5BpfNNHOI47isJF75QMAie7XlQ0IWYdTrgOR9iNzLBb
bsdY2SjTeDcpmpdb8b5W8C2NUYBU2UBOZjVMyFQLsKRW+yjTC7mbjOayV8n84CF1FyvuJVIQuKVN
DfMgGW+EL2+CCESj4cf3g608aqqFkCoZr4oG+rCPIH+dMrzFfVT17DWZX6v2cN5PKdeXo5CQyvnc
5RL9/ySD64TiF+9EAzG5CuuLulPMS8OH1QzokkWkQqtoOPktTiuU6ViO+Lwd+xQuvdseteImTsd1
qRvuQrVLd61qerx3zQxiJ2rzRTSpt0kpr4ugOrekvfF5GrLTdnZVDGIsyG3pNYiJcVRY1SLQSHZw
cGJ4imNHQHlpZOEZJVEuMZ/LuXvbdLbu8QhB9zdm/lJT0ichakzptH1t2r9paqSrccRxNc69YR0u
5CJWnLOYtrHVlpeIS9pVkNFVFvYQLgtpcbcoZuFlbfZk0IQefRzSso8kS6h129CobueONU335nwI
603V2y9VmYP0HhigIXi7bOduNxUrlIm5A95GmnJkzV3xcO6P4zliajz3zNOQ5wVkrnBrGaLAJjkA
KBlzuuxzv12l0VHNHXg60aRZOnRiYAQ9hXOfPgEX5gW1xU55AHIWVY0HF4hcIq2bjptWOLt+7vrH
o1EdqW4H/GMiMzFJBoFkgTlBXyJhSHMXg7Seb0g1MLx6nilAZ2TBnOcMkqV/bcQDIHCGEH2b79BG
MAtuuOO62p12dafT0WZ4Iez23gU+iUSOO72YJxz+POvwm37YB60RLzRsajz1GYk4tbgf5yFJaOFC
y+fBiWCC4jNJsTDfRvNoJfQHxxuz2gCjx4U2NbQXYhT4qzEzTVh0xYBrhcy/cghSBLI4xoVI7aMw
Qp8Wp/W4apmYLmVnhmcDgx98TAWYT8CuuJmwA8aMZ5isyS2fqz9Sm4hIMy0bVmHG4Wi8gdg1q9Ns
FJwIFWWdGHKejD1XzTgPpLLGjs9qvWo3/jyuGphblfMAqxw7pvUaXuCURRIvgh0e6L/CX0yVaTM5
iUXnXZyPqA/QyTHSCJ3E5q8qFZ2sTpDLkL6ETqNcVn110rvISKtE9EstSrWTMpxuXVh/QDqhPi+A
v6CkGNXhyyC6dldLv1gNkpEDNKFtNOLVNWVmbPqpLrb4IvAf6+NFHbMAYES8kJN5K2c9VzhVKYR6
kjtJ+TnBmnId99OB6ITEs5roqG9qAKKJZS59Jd6Z5IEuysl5crTYOg4j3d41ffpYjjnrvqW0+8Jp
klVU8SgWEa1XgTvhIhzNo3QG1OWxsUu1cKvbyenYRVSqQ3whaGwvxeRetaFueULSFg3z/kwyv14q
dbaN8+YpNCsgyvUhLdVlE3QXYJTYWdU+TxHINrjEKFtxK+LlZAauCly0mb/zTStaJhb3kQgJ1lFp
Ki9qnkZnVjTmy2giyyfsjbt/f9T9385RYAmysxBz/dm+aRaHPf6ySl/y98Ps3/72256JkTXKK4gn
6Offb5kcwd5HaKptOqppWYbKC37fMolPlsXCj2QLHh3J9dqbabb2yeRvyJJn/8VfsbH6d7ZMdJZ/
3DIZmnBcgSgOkwOBk7Pr4A2gJ6Bbj4akdz1MBdWxH6Kz7stpo9TaGvEWT88quxsxEmU6ZYDC5IIH
GYueZsVY1WOdfOqm1k9KPil3EpDCoiJzQ8EvurHCGLBrHH2J3elIGth2nXoi71inE8g6INd1rGQb
2djFdYb0aDFlsbbIDRTPSYcuDZTwVTDGLzhjNfYxFcwm575reFT0DZexlbh4hzLaDxFjTG437g3K
tdimC65kpbIUTphvhiw+6CIvmLO61+y09nY326w0mmTsIhZJG9QeuVRPlBEXrMH9gtTf6z4Ctmub
vENdsFdqh+jKjc01WPB9j9jScHBJ07Bj3u1sjHy4UAzxuQrcZymjUy0v3VP0R/WKvBC5RXxGbeBM
5Zo4D6Q1c+JWZPGMsUpfrmqNZMchzFdtZ2F5sMtsJSyGpvT0d1ZugV5ztC9RUj/r8/N2VKB1dE0U
HrN2qmtDrXC5xXa4UlpH8zpApksaNXMgDulZjbEyA1a7kPViUQ7qSVJka6doryQEExpsHE6rwLkJ
hEUZT2kjLo6JaprxHq25Vpsq3chEPahCuzeckNkgqE3VKNpDbfhPRCxUPKHjgwIOjmYN311ltcvQ
iQMAGtVmDMIDfhM0c3qyNjpUXFZzU9QG2xZX6RZ6KPUlAqyLMNUvSkO/BVxVsGUXV1YiLlBynDdl
0WApMXFHlNoGSuYXJYgvcsJ6l7wz9hNKEa3QM9bkbRIvrw7iuqUUfhgZe27LcUL3Y4VT+dCS2rOO
ZaitO9uEW2H6a59N4VJGDXFPYwFmwA3VreBJyV4Kyib8wEWuS7w0mhGcVH3DZM0qHyK13ql2tI1s
zF9Cn/WG8tIpQPqoKRtiKCJ9kW1bYZ8AClrnEogAe/+J1rN+XYnkIjaNVROLGZJe3RIFwrIhrYc8
YpjNMobV+U4v9ePGtddWCBGiKJnXRnV9ZMx7eyXYU5Ntx4ANdAEnBB3iOEF5qZ1zFjCifADfjxXb
e6PQPqt9cFaM5r2I9dOMnCsE8sTRgDq7AOO+sYTYRjleGEc/kD2yt0Y4IVZ3SO3urjEt1XNCeeRq
xbPs6xWqq2U7+0Y1cx7eANzvwu6lrmD05hnK9qGVR0OTHMpxTJDxFfoNeJaBHDO743w36P0KNVgn
9XDHLrmuVw0NYx4hZj1ug7Z1tjHq/iNlpH3Za1S7w2ju9XFcR9NcNrYM5aJCXEJeVpblkD8VY0Gb
HeJybtnUE5rrrp1AQqsVdG+JST24nRUfqozhHyUhre2YfTGhYFxxR41LjlNVbwcj+eLE0CBcRVsr
7FDToshwzbtMWWJ27NKPfC81LR/ngn3mkDG8skMtPcU+PXh6OW5qUBV8L56r21wrIHhoNZWqc5a7
6Sz0Hj67NhkViZ/dY3s+Y+Wnqdy6486unENL6VuPLzF/HtK69/q6PO47+zCZ6iFKg53lUr62MSNm
HU0aO/J9mPgHJh8gGUb7slJiRmDhGqvMgxPlxLqI2CRgxkcFqRIloVjkqC6aFj06/p6LJg5p6tOT
hiUO1sKvy2VdNnQxUkruSHXHh9FuWpPO4Hhsx6G8zdHjhbIvdikik5Wf+eY8LyGj0k1OlQ6yTZGl
p4qTDWvNMjzVKWFfY8f1XN+I79WoMZJVNUR439+sq99scL/kMjsrorxtUGjTb3zf0jM0Fiib9qIw
cFD+CE/1W8fJOpNtJTpTT11iKllic10aV7hLPWW3zJe29xcvOQu43nURCWBB2SU0YSMyM1Qalm+X
xKGtQza9vGS/xAKyjLZ4TZfarl/D8t7/VV6s+MHWhwbcVlXbQRBuo1tDE/7+1fzM9lUfgIGnHqVn
PCY22QaN72Y4qnZMVU+iy2+f799qef83rMoMR6Oz/OarnPl437h3h8cM7t1p/UKg7k8l2fc//N7G
NinJOBQtYt0Q8OF+Exja9ieLDB4b1aHuzPUaF+P3mkz9pOrEz+DmtNEZQqdjbvabxlB8ohjjoABn
+RrRLf5bqn0dkf/7S5CBlw4eD2adwAGAae79RYFeB75anzWejiHMudcCUxjuimYCeJAMeES/I9ai
YockCuU5LICj0cgqpOApFQVPrpDlg6qorLVRo2OGL0vLfGnlVD2SFWLEy3ow/UNRD0DNaJnjconM
8k6h03E96iJ+SBNfv3Cgg10OU9PfwN/CLR2PYDpA1rMqIIkZtlMaDgB2Ijc7U+u0P05oqh4mwOHR
okFfctmWsMLTcGy3aGTGHflX2RqZBRkYWR+sbSL27sJI5VlOCeVuIYYBIAql0HGRDsOhUaaGfAXf
0C/zqE9pfCpThQoIINgibl1kMTR89KfORjexrDWBjZV9n3VMygQArlb3l3rZMWYLpG51qykzh+zI
r/zUQY/p98PCapsy8CxfMU6HiUwRTkkKv7dLVYU5oxzpuEeIVZYoRCzYVU2pu8grW87zZPvjA2Js
ijGF+Ifz0ieNsmh9Yy9RqO17s7P2QeUPwcoyI+0hj3M4IT407R61QbmULIxbcNoJGi7T9LRmIH3J
LI1DrDm9s6pygaCvYuROkKhmt3zOwNcQGwIcHhXpnlQyrR6S0KVkYecRPPgdY+GlFijVtSQWBSGf
NcpNOOg6x9KJNtF61G4glfy1gF5YryG78TUbAw1OhHKKTj0aJCeIQwqFr6bzbxWjUW+wqaHPEaGy
CwqDM6K6pDiESXkyqQbzChOzkyDg6EXQ+l1X4czuBq2KT76OOrgCA1jVvpoR7ma5c1UYFU5BKdYH
OAIC2fcPWiH9Oy0fioOb+sVT16qd2JqZ66tebUr7xKJxCT4Hn8C5P0VMHVzwR15LDtGpUP16a9Zk
BdD10tTrkrf6WGugUhATzi6sNsdEsIgrc06cy2rns0GDaq0rIsBTwJMWyZDTrGBxGKc1lpKA8bFT
4ZQswGMRcHQwzDS5d/xhunNkQbyCnolghdVx2k42vAFNKYt1pyvpBcYOJvmtIjLPIW9n3ZZBiyuF
N2YrqS0WY9kONM/C6j41w+gyV/PYiy2izk22MV6X+O6DrxrOHtOJWKkEhtyTcZ1uLWwwq1GZ5JOf
tcVFrjfalWH49mWS8vxrVRo73DitN+BWX2Up3rAkM5D6JVYBGSYqqK0ct3GOstG1H+oA3puSTNkd
4xZ/IwcZkWeC8pezF4T+bWXX3XNDr2Alel07SjI1YaCdsImxNLmH9tDeICADxxD5fsmdj84JLgWl
bMqwq1v1Y2NeMK6atu7YyxvMD+baVSpsy0SIhMvJzXLM0CTVXLZa0xwyH5UtU5zaPJFs1yzEoFG3
SVIGBSDUrAeycxkzmDGtFE1v0dQELlY7BsOauadzTpBWK6xNZzioKQU9peMMRZBHTu5DE4Tg5PN4
Kk9ByshjYnOSoxTXlteodrVKe1lvnZShUjyU2p6mI3WSE/VeYY7BivZbcil1vzlSjNxfSTvM92nh
9NzyKoImpZBXRTDqz22dDmem7xg7U1SImaVP/FDd9LsoTFS2PVr/iCEcLRai63VAZonHPads1EFJ
Voqe1+dJ64cntJr9I+KG1csxNNxjbrLuKjEkQtCAnm6c8stV4YQHNcZc09d1daymZrbOk9E8ZSaf
4XCGIGj1wcy50hKiSnrURQldukEfJGQoJ9yPhaXCMOHIg4Q3VIyduqSBVl+2jqgvXPDIO1uMSFhF
7+6ZVklmm1CxAicdrlxpjzvijFTauFXgmU1r7dyQ78mJ9GoTh110OiV9B1EodvHoznWxAvgDkxyZ
WQNeAZ714z1ubQepWXbOYwx1U3IbRji9g8KNlszTRoJVzHEZ29MND8tp1UGI2g4liqS6HYHfsI7c
pHzPpDoYpFW5NcGECo0AAqP7G8zo2koMdCkBTAabrBitY4v03o0Zs2TSMMggs6TtnuTIxyoSo6dP
YenFce8e9zQeCEIP0n1BhoRnkQaxMqJhUhavlcf/60XWa+uLYuOPJQNz66v4BRAee4zil+eXX1KA
wVfNv/4TAUH62LxTEHxrh3G877WXgxfDomlFO+gHc4ftfoLUS9+NgoeshFei8Lfai9ILycFcXNFH
o1nGjznkd3uHigXztVnm2vypoDwT/05HDI/lD7UXQgS0CrMoAVmlzq7jfe1FAyMif7DFDqa4z4xf
2P0rz/DMQ/hVqr6LneqJof49yI1sYzoMPYcJ/R6myTstM26JytGoU5T+CINyjGhocjcE6cyuC3X2
hdHYggikAbl01DTfaLE77ATQzxAk2sbJJ/PErqBCyAY/f9eKcGUXkXNcpkODQAxKGSLhy0GCDOhT
Iz7pwmnYqm143jBJzhc53Ssgn2zzkuCGuarlqVmeo2J4je+0riT6GZ530znd7xEtIUOXCo1lqM/P
wDql2Szi0CNKnAbFWN+ksWKsuE/wRbDGsUL16fFYsIEFGXoAznHZGdq41unDeG0VTexew1MjZ0za
tHpAuVGUm6Rmho10dYmwa60l7bgd0AQsKrM8H1oVBqG6TjSGnAQeeHjakaOa/jWp6qDS1PqkgcK4
NA2m9ayn1UKVnY0QI7+s9eQkMHRBVklyrCTxWUtkyiyvP7emnikBYSYoUCdlG6VUBWLQ7wxAl/Q5
622N6o/wWTdZa3kNKU0GByZpZ5YzESkRC7kZSc1b1KLn4YJW4CGyZc+AAxWZjvSq1gxry05VnUc3
5sJw+/EsHgRsV9yXbpSma0X452VfbywaDlASxF0bBRuezQ2ItZHxjaYdYqslz3W60SBPGrV25BJ/
spZqd+y49bnFpIfEMh2/W4vfzkwC7KpNcVXMACe+kMNYw5vMyNvozfgsyBzIrKZ9ZmrA66gKzpgk
kPVYEA+ZNcdqSSAUEU9kqTH4wt63GLt5lm6bl5paHQhooIlrdxe23W652FZEzQOVhhbdmeCWo84/
S8HmzXF7T03a31hFSAHbMT+vMm2FJPQ2r5BZi7gh4SjrMQnXRwJ5oDZF52Nc3jDSfdBC/Zayj9ls
D6PB7+cw9yMzayavHOL7KEdgWo7hnWwo7C27egpqZ1hx0W5gQj0n/aQtfHbjBIT5V5kNOIravicj
1wShAUqbEXbuuSolzSTKW/CtN6bfDPAruM+Clm5VWNfrwkBtW7d3PDuOM8OmgYznibUSSV6QZy0b
Do00lj5VVmIsvdopn/tcOTfi9K7W8Zao/Y0OBkfQBCce50QW0QsC1csuMT1f658Fo0NR9VtpNNva
zXM0L0O7KPVg1zLgT5JZ29vn96USPQWRoKtiFyt7sE7RNJ8BUwPD86i43WVfzdeTz8et3G1X2w8B
qkLKfo0A03hJ+XI2Ku6+hr/h1mxUhsaiSEhPXEK5GNWdpgJH0myNKC0185Skf+Qaz06YF3+JCGpT
HNjYxjRtgamuTNy7LqhSZmZLWzHGZTnzFLtmQ4DbzExb+zHCQTw320Cxz5hrXbVjRVJK/ugW7clI
3xTCVR+RnZbuJwF9YhTbbuygCmenY+gcp3W0jiv1RPbtA/tDT4S0LAducGrd+EkM1gZtw3mYBlvf
0TapGU1rKdQbERonsegosrWLUsOkLPNNbg371O2If1RAdye3uA3I6cweuBKdRdq2N8kEBmLIXSQk
xspPxIl0kjvR5w9lmOOqVXeyq9hXdEeJNl1rMtjx2c6tdth0PsN19aawLjTnXK8fuWZPfApkdTLX
IMgOtEq58Zx2b9sus7/0pK3NVeSOtzO5rBAxvTaNrzYFAYkgIP+c1C3ZhH23D/RwOzTKvjOGL0nh
nDKQ6Jaujp93DOyn1rUPQs293mYIMIr8xK77gw/+dQFr7pAb4WEgmkKLlPsAwiW3q9YvQJdsG7JR
60GoR03EvojLQC6gGyHOVtV4Kbk3q6xv5ltcO8GtvtVmhZGiEPuZGdCTNTe6iB2E6IYaXSHQYjIe
tMdkbR8CR18HY0PirnVGbiO/MZGwC7s7ZB44YvKNjubQZm/oqnUseoXHsn+txk0BVzN/Movq1gkH
udWywl21gXoe9lib7K7Yl3GxTlXzqLQwiowReMWqLZ+DTJ5a2XCwYntLeq65aHqES36bgVWKmq0D
skim+qHFkLeouFI8/Lc7p7d2nVqgQRcPkZKeaFq1dUR1oaTSXbhjezV1CDt61lYmxuG+kca1mkwP
eJYurASunynFTZYqDAbwLleRUnqNYQQ7dcjHXZtCuGOJywbmPKClcdfH96XbPqdpe6TTmVnGSgiZ
ye+vVOlvuSpYgUb9PE8hv5Z0RGmZejm/Ms+ekSxoZ0peor1LN9gXX+jCwgSsw4spz5HVNPu2Ha56
QsV56hpnVKGARIZzggpQkYAeZtkBvTSN4zayuNqazA42mCkmKCDFcamWB7tlpDY55cwyXGdGfNXT
fUkIMzrkM9e5k1NBlWCtiqqfVpESkVBcemwjLkszO6+AQ4c+cN2ZFs2GIt/74fDklBXbDQFEU7HZ
rJZ14jWTc1lN2Q7w35E+86eDVxJ1VcOkBk6tloD8iplXbdepAx4sw8CjOvjRTEGIq4MAo4HvyJUU
4OYEf63NPFXgodPCTssbLLqX5FuvUpDZSW6pDL+UG8V1ctr4wXkFF6oAsz1K+zR9xW533a7oCCcF
yB3NZG5nZnQDPSAmp+kR6s0Eb8BUL+zhnEXo+N3XDvQ/opL/9iZ+N+njV1Py/NPX9vhVsfoxK+Rv
/dJ3Se3vH+jvRYe4KDKJ5fhhZ/D6tl6jS/7sKPQkolY+06FV6N+mRR58/885gYmtxpvT8Ecf9M8/
w8/BKT8f5907fCoknRwCV4KoyN/uWWaq3rvNzx98xB8O8OYjik908aHzoYRmgMBkgv3D28/MRof0
Kbgw81iDvu//lc//+EcRMXzPJtanv3cSfjjKm5Ogf1JN1hgS73Ds02tXOeIPJ0HTsePbGggcymXr
a2P///yF8MNHeHm9wd6ggr5+Qb8F8vzB5fDDYd6cCfQaNrQfA3Ckw9SAWdO78wAlyFHZZ/4TrwQL
mQkTkL9zO/zx5xef4CPhGEQEg5qFWdfPZ8D4beDyTzwNtoHk+uOnwdUs/iF0GmaEyv/+dCHY/NDR
hMr9wqPh64n/B90QvGkdWvRHTwR8K6CoMDrornxt1ry/IUiP0sF3qPSOLNsE8/H6gv+g8/CVIaZ9
9BGpftKRcaHvUh1HqCpBKz+uE9htIIA5DBQhc/wTnxDfzgTz0489ItRPiOCguqB3Y6FA5jCL794+
JVHRcT1wa1i6pmsI1r6+5D/ooqBfyaSWb/CjZ0JlrkxCGh4mLo15Es1HfXsqbK4KjdGzjWrwKwbn
798ff+N8/VpPIvxIn1/Lzeilea3wvtZYf/kL3wu1nw/wrQCbF1eqrHe/N+fWfT3y1wV4/u//eLem
vNaIb374vWZ8fZlvf/7t8/38yu9e6/uH+v5/bqOX+rF+CsfXH4zf3uVXRcGVzANZP4by8W2NyJf9
dWX87f38FLr363XwZ4c/i57C2Xn349G/XkofPfpGPo7vG/K/FvEfPTRbT05a+vzz4V2bm+DDh09/
Oa3fkRd/XXw+emgujuwznsfpx8N/XeQ/evj/MXHSv5+A+UrnjX+tpz965OV8jUZvD/3t8cuz8qPH
3mWfHz9znX8/0m/177zMffTol/JJZp9/P1JSo8z56PFPkPxw+O8HevPmeXZ+9OCHx/LdlfL1pM9h
rh89MpqQonwcfucrnavNjx797LFpH6ff+UZ1KriPHvyvMkL/OIv0bz0W/wLY/8GjLx//9T8f6+8n
4berRWer99ET8/fYsR/8AH+C0Pvgkf+mHfyDr7J5TP/1nyVo3eb7CX/zJfwX3LJ/JQP84Nt/4/34
5YzIKxbwl3cf5NvU+7/gufy/OWv/0w/4e0XSrx24n0un75213/uz92Xh/BtP6ctj/R//CwAA//8=
</cx:binary>
              </cx:geoCache>
            </cx:geography>
          </cx:layoutPr>
        </cx:series>
      </cx:plotAreaRegion>
    </cx:plotArea>
    <cx:legend pos="r" align="min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_xlchart.v5.5</cx:f>
        <cx:nf>_xlchart.v5.4</cx:nf>
      </cx:strDim>
      <cx:numDim type="colorVal">
        <cx:f>_xlchart.v5.7</cx:f>
        <cx:nf>_xlchart.v5.6</cx:nf>
      </cx:numDim>
    </cx:data>
  </cx:chartData>
  <cx:chart>
    <cx:title pos="t" align="ctr" overlay="0">
      <cx:tx>
        <cx:txData>
          <cx:v>Título del gráfico</cx:v>
        </cx:txData>
      </cx:tx>
      <cx:txPr>
        <a:bodyPr vertOverflow="overflow" horzOverflow="overflow" wrap="square" lIns="0" tIns="0" rIns="0" bIns="0"/>
        <a:lstStyle/>
        <a:p>
          <a:pPr algn="ctr" rtl="0">
            <a:defRPr sz="1400" b="0" i="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s-AR">
              <a:solidFill>
                <a:schemeClr val="bg1"/>
              </a:solidFill>
            </a:rPr>
            <a:t>Título del gráfico</a:t>
          </a:r>
        </a:p>
      </cx:txPr>
    </cx:title>
    <cx:plotArea>
      <cx:plotAreaRegion>
        <cx:plotSurface>
          <cx:spPr>
            <a:noFill/>
            <a:ln>
              <a:noFill/>
            </a:ln>
          </cx:spPr>
        </cx:plotSurface>
        <cx:series layoutId="regionMap" uniqueId="{982369BB-274D-40E0-B409-C872D1C9BD3C}">
          <cx:dataId val="0"/>
          <cx:layoutPr>
            <cx:geography cultureLanguage="es-ES" cultureRegion="AR" attribution="Con tecnología de Bing">
              <cx:geoCache provider="{E9337A44-BEBE-4D9F-B70C-5C5E7DAFC167}">
                <cx:binary>1Hrbct04suWvVNTz0IU7yI6uEzEgue+6WpYvLwxZkknwBpIAePun8zDfcH5sUq5xtaxy293R3RFT
IYdsE5sbQK5E5sqV+Ov9/Jf7+vFu+Glu6tb+5X7+9efCue4vv/xi74vH5s6+avT9YKz55F7dm+YX
8+mTvn/85WG4m3Sb/0IQZr/cF3eDe5x//q+/wrflj+Zk7u+cNu2VfxyW60fra2e/M/bNoZ/uHhrd
Jtq6Qd87/OvP/3v1d8vPPz22TrvlZukef/35q4/8/NMvL7/oD5P+VMO6nH+AdwP6CnHCGIsoC+G3
RPLnn2rT5l/GZfSK0IhjSTCOMEOCfJn8/K6BL/jhej6v5u7hYXi0Fnbz+e/fX/tq6b8/vTe+dU8m
y8F6v/6c3vu7BzP8/JO2Jv5tKDZPi0/jz7v95Wtz/9dfXzyA/b948gyRl8b60dAfAEnrny4G88Uo
/xZEOMUYRShiAkeS4z8AElJKCRJYCsllCOO/ecNvgPx4Pd9G5Mt7LyD58vhPhUl8196Bv/zbDgl5
xSWD8wGohDLk7AUi4asoREyEkn+Z8zco4rv/+T/fX8e3ofjy3gsovjz+c0FR6OajGe7Wf+cRwa8i
IuAnkkzSCMHvPyAiYTAkGEFMIzgMXwDzDy3q74Dz7N2XAD0b+lOBtG8+3n30w90XK/3rUQy9opJT
QRAKQ4wQg4j1B4go5yIkVNJvnZ1/ZEnfBuhvb76A528DfypwUts8Dnf1w539ETz/wSy39XfDXfvw
Qw/5zy5h+bENvuYC36U+wGSeM50QfbHvb9EbtvyD+b7tf1/ee+F9Xx7/qXzvDBLpR/3FLv96WAjQ
K8nDEOEoEkA1IwxR/CUKr4DZQOAWlFDCCI6+zP4bKp9X9D///eXht5b0bVh+f/EFLr8//1MBc6nv
C91CxfE9Q/yTpQCCUiBkYRhFIYfIDdSTgfGfHxEZvqIkZFSGCCqCP3LPf2hV34bn2asvAHo28qeC
6Ma3OeTUwv87McKviBT8CaJICIIl+iMXZYCboKGQ+A+E9B9b0rcBev7uC4SeD/1/DdHfW9zzQuGr
z/yz1TR+RWkkhYgksE7JSfSS9USvqIDhJ076slr4vcz9+6v5NjK/v/jV0v/jdfPfT/W/Z93kzt2l
n5WKZ2X190c/bxHEkxevflXLfbXPLwFw//DrzwKSye/yx9M3fF0Zf9ERfjPwlxce76wDIUTyVzgi
oIAQThmWkYDYNz1+Horwq5DwCEQexD5XejDUmsEVv/6MXzFOKIJ0JlAo4UUA3Br/NBTwVwjDW/BN
YcQYinD4uzR0aeolN+3vpvh///+p9c2l0a2zv/4MtWT326eeFsrBXyBhwi8JnFowhGCi7v7uGtQn
+DD+X6MZsqUvrUyyuRpPdJnKTYeadTuNdaOemeUbUxEoj17MFSFKOSISCxB/OJj1+VxsJZMpWI0T
Ynp/XEbHD6SuBtWUZlXd0p/WQnQqmorrGTdWeSE/dXP43vSZUaWYbqK6PqIgb5XLJqHKwucqiMrl
EFH7QevqPrPzonSj51hOQ3ZVhNQmRUQqrBDJShU06LHEtb/+/ragKHy5K6AVAhIcj0DMYsD3nu9K
Z6IArBaZTBPiO71Ec4p6HlSqxFmj3Bq4R27D4vT9Wf+AW4hgwhAhTnnEMHkxq8mnnkvXAm4OV5vV
NDyeBkpSY0SYfn8qDAz2+Q65BCUv5IhDCgBXlfIJ12c+stQ9KubBww6zatiMmvg0qJZ1Z8dGnJYl
KpNczmw3M+vf6nqpNyA7dofJRMUdKbX8kR+9MDh/qgCxgM1DtU654E/LfbaciVTazyRAyUAl3pPJ
jgnion/f68EcPPb1xdzW1eb7RngxacQFyGIYKGQI9DHE9MWky4TWkhezTEIxicd1wO5kmOkTUSzV
ouYyDNVQ/xDll6b/bVoBlJZHIRMQK77eq3TLFPrakLQQ7bRho7WpFzg8Fpb0O79wuy35+GksEd43
Hc83UUCCrY2qOSbITqv6p40gQR8Bb8CChfDn69UsIFRUmFYyiSgxW1t3PrY2fCiyYdpna7YtCpJ8
f0YIgc9d72n/EKAI4SSEoCdfzugCNk5hVOKk8st0KaOcblZvdZJH0Z6NQ/Cxavvxo7dRqdywotvv
z/7ikP02+5MchASccBG9sH4t6VxTV4ZJ5htZq66fpr0MaUbSoQ3n4gd7/YaLhRicS0rYaQRZ4Wvr
Ijx2JW86mQxZv14MVUFPTQmBsbVqJab5SCCU/cCrv+VfIUwJR1xwgYjAX8+5VNrwtQFEA4T1I+ML
PjS8LQ+BZ+N9263hboya/uincdgPE6mPkoAL9mM33Kw0F2fftzdm37D4V+t5ccxqvZpqxQIldmrU
ituTMaWNaTBBQpqTwrSRGqzVipLXuiUH7wc1NUs6RRed3rfLbeu3uHrXdei8CduNaIt9uRiroqB4
53Kt9DCnrZ3UBKenClAq7fqJzUzp7m6uX3vnVIHHpMZ3DO1shmODTGpxGZusuRc6S/o2OjNRvtX0
pkXFJvdZPE6diZlsdkExJnk+bljZp6HHBz3U+5GZOFjttTAi7WFtfWWPCNtjzsx9geZVDcVyW3XZ
HdVuX7T1mHYDCRQfigtq1od5LubYIuJUyRwHm2RDbNawSjO0xG2+qLIOjxU8SIriU0OlWtZyWy56
61h2AQdrW5bmgBuzR25WU4+3rL4qiVFt4NNybtJVzvE8Nhst0aaPbOqKtz7IFMc3vlvieZiTdmwS
P1ZqbccNz1ZlV5tkvbkA/40bU52Gukl0F6SdIddZHl6Ysj6NKIuXue6Tqi6PZqxjMiBFwJ9Vv8q0
NTYOhiYZK7MbKrnVq08R1IRqkV085MPtRPGlyLIP+XDfzm9o/miXTg1LfuUresEdehvAB2Bj78Mx
r2JZN6mp/HtP8ab2i7IiLxJIv9c/8Ez0grw8xYIQDgmw76cfoGZfnxRWtGbSAZaJ7c22J9GuLZqH
xZLj6luR8G5UJA8eSoKOsuUKR8XWZSzRBVPZ0qY1+ZAzF2vdKtnrmI9tzACAabwOXH7MTLHR443z
bw3NNhO4vx7JweWNEu6+jI4iSsrJxzxCiSlO2Xyq8rTpx00nZTr0x5CdCVnGYvwwLM2Gov4YDJEi
TMdUV6lok6m7zeadIXmSd3Y/dtWW62oz+miDJvmpnA9kJW/yvFetDtlRZ9xs5VJ1KQqbx2XC9xUu
IMeF/mbkxX1u+nO/RIkx74sh3/tgUYMok6Ft47IH1hP6i8r2CnfsNEz1ZvGBGmRkVI2HM9qVhVrn
7LSaRcnCb0tmUjj0h7oqVQP+Ftrp1OvKqKoUD8CqCxV1bjNPb/2cpRP4bNwV7a7NzZmYZ6OKsFeN
zi61I1c9qh+DqNvNZbD9Pvj0Sdh/mYYiAmGZhNAkI+Ql+KVEoQd3C8F+gqqmxzbReLZKdBOQ1vbM
BdVeO5SEOthmtHtnrL2fMvk6o+WboWqDtAiyC0MDrgyflJyAGHZddkUaBz7QI6wIhegWiC1u2U0x
hmmNwjr1trlaAYu1nraejhMcd3JNJq4sWndoRdeRjCHCpEt/0+VCUQMBzp3hial+SFZbJcuMARsc
D5GLS4NVEx47oRUmQSxZv5f9oaB0m3Gk+qx+3WF3XfaPVF7Uo1ZluesgHraQWav6cpAbmh3KwSvu
rlbxllU4dlX3Wi/inWk+ZTLfW8hXWTiAF+vdwpszh4OzJuKbvNJxWMHBbxYIJ0UccZ1EkVRtCbGx
CZQUNqkXn8DJuxStS6o1P+SEL2rk4lD5NUZzdl67MpHUnevIggNOZ4S5Lcp8Wq/6bZAv70ib77Jq
2hjbbtam2FXGXWvIWUveNarIsnv4Ilg7nq5qX18zl82bIqiQmiL8cXL8ZOviBHHudeTcpKD7cx16
ka5zPyWl1mvc8imLc5a/DpbqVqzHoNy5qArirF0/FS74UPEHPO2L5m0kAmWb5WQ8TVZ3cn454hD2
47iiPRyUoIs1GXYClZe86j8Aj9qsUZYufDmQzJ6GbG/mW1ZccLAlfRO27rwtK59MusNqCW5JlpbB
bdnw84nIlGbibZetRs1+KBSd3bu1tXE59IqPQo1dWMT9yq+5lOA5fDeU43Zm5Q7DubeZ3ekGEtyc
NGIr2mCTM3879Dc5o6cln9OlqG90ZiH7pI5frFFwviAeF3jZ25CrrBO7ubZQCwwqq++qNlS6HtSa
AXG4KoazVX4i9U2Giy1jxVZMDQRIsROhS/KqV7n3aqVuzzQ7n3T/rqU+7rtACXEODK9Ua9nUas0/
cQ0pCcGigzfcz8nQhYrV9a6LhjjvaFKH0a5YmRqDWckyV/WSxUOW781Qx9oGB7y+hXJmm9mHsnkH
NlN9MG0w/tD2fEP6XpGOXPMe7lks+KyeRVJ00YY3gHPogWTfcNxvZnIbEKxMv8SekW0eXTedTea8
j/MaHUvM0zkwl7a3SYSzE6+oYk0Vz1jEeVHtCy4uLTjEGpyNEVVevg/Eg/Z6U4VjOonUTpFygiTY
o6QgNF59kUw5n+K6to9mfd/UPvb5zbCcWYg1IAupgY5qdGs8cf6+kXMS6XPOg83aAk0cC5Uxv+1c
rkKRv464TaZ+SepoPRdVGFMPFEDeNQKpohYxq6XKEbjO/LDi6m2Oip3OOQQPkZCmOqc6U2ExpdkC
jjTT1A/DrkP5dYY4QFM16UJNrlbJt8CJDyJr3gV8Oc+aAeJGkI6eq3DRybzwAawOVTirU4pHqNdJ
98hKu2PlBCCNJp2WolJ1pJW34YYwf14W4rFdx9MMdiiXMz7aHXfFgdPuTYlR0jXDtpskOK5ICysu
4EA+1n22F3O+rW0EJ3rKwWs7/mHqShdnIji1gG2JZcy8i2fpX2d5oFXL55tFF5t5GLZQ+N6Ofa4w
ZJRwbY527YuknQKWVGJoVN1HP6qov0FzoxAKCtBBKMU8fKGEeNfPU1WD6uLKcbzIyUJ2lM3FRU+F
SVC/9tuxXKt0wnhVzoR8l4dUbmru5rTJI0xi4bS4qGrpEucZi7+f7z5Xlc9EoSeuE0WMcASliOSg
K37NdWbQHLQcS6jzcuSP3lq2gfOzpiQfaBy2WXsoZTPH1Dh67QmhiVyp3mRufCwKNJwtay02kgdy
n+uqgSOek8O6Er+tpnqlKiv99No2bv1B9fCNWvHZqiV6UT91cnEgrkH9lDVzdnAjH6o47N1yNy4Z
g4SrWbkv68IyFVW5gBpu0MEPCsY/LgGaUBTuBgBHgC5T9FTiPZMmij7Mq3oKRRKVvruwFXNpwXOT
0Jyhg8SkvsI9rd8F5Wy3RHfd4fvAfU1TBOiEmIB2/yTnQWsc7vp8PX1Ud2Eg5uFJzIvWxDkUXhes
NMe+lYsK8CeUl1mMg7Df/dPzshB6A1gyECrgetHX8zZBxlhuApHUmoTnfcjHDxKaCcrnKwQJG7JD
txYmHlc+vfuXZn6pj4Ras8B4qF/XJTR7QYI2xavAhzGI+q1woJwBEZ2Keyp19fYHUz9Z82+n5LO1
OZEhIwQzEFHJ0yF/BnaTB8Ekwgql0UohUug06G5qCobO3aaW4sBJtmvduidmuaiHEhTaCpry0eVi
P+qiV2hxF3NvNx54N+76WIvqjMosGVCYugxvs8Jss+Gc+nZTtYesyDaiOaxCx7PNU6iFtmsmTmE3
bwRwo7VY39qRbSJtN5QHxyiwaYCX7TQ/lPrKBKDJaXIeNcs+KoVCNDpfMh03kLdXbE/YTqmm5XEa
A1W2w6agn3ih48xFR2fsdvIsLjjeACUvTb8n/RoqWmkgYE6hcDNovq1KdkL9SQy1qnVzqAZ/klp+
EDMDMRS/1SQ6cI7VirrYefn6+0h8Vka+g8RLcY560CSXvAG/76m1qmF03i3RQg5Iov5B0Dza8jkY
Ez5AKLX1bFPQrqo331/F1zH9sztIBJLkU0wnEfqsfj9zh0o2oi0DUGQrGvQxFAxDHBSEgErX8fT7
U31jw5RDNxUUQQYyOtzX+9r1REAnOmIpk47Z4bJs2xpqPcYdifuRDOVualsGaNNPIHLY+RDWuSRx
JOrF/kARfEpUX1meEbjoSRk0D0GlxE/XPJ+fAVODb+QgnCUgu9OzcnHu1ta8VWNomjNc1u0PIg00
N/4wITS5BKjQcIkRbo8+jT+zcr02JAMCR4A/TSStXVcpWGK1mbo+e7TlIAsg5ag6K8qSbLPcl0GM
gmpkKbeNeYdcKvKzQfZc+Wa9JhwDAxrSgfr+R4Yh0R+XShGFC37gChyBYvpCW3Nh00vT+DydaT3v
OXUMKVS5KkqH2bev16VeH4Bkhlszl2ViZMcvBsYMiC2T4SRGeqqRMvU63iA9zjrup8EMUOVF7W2D
smWJxy6zb+1AylQEXf0Q+l56Vfgy6hQkKWBbw9xEmYoi2pZQFlD6Ubi8umlZnd1ru/ItVFTkOuzl
+qZsc3xsTabbeKZGVioy4Fh6yae3Vd7oA/XSvgVdEm8m6OIXUMxP5j7opqxQXjM2KNZDCzN2boDI
5qa8GKHYKodUBl37Oow66NdwyHwPbO6qXI05Xo95gM1uKafs3GYd/shsUKWLpeVd2IXsDSn5cu06
So8LCx3ICv0QXS+UVW8Eytq0zynadnDTdT9qPb81fcVOSxaaC4tZt/VZkaeC9uGnfpmjOMvAAAq1
YOc4mtrswsH96ndF17RnA0Tx01S1JmkrXG5CHHZXjkWGqcAWQ6saS0pVrtJdOT23bCd9W51wO8lp
s8LsKIbKK3ydmxltmy7DTmUzQg99TQd0ZLyz6UxQvcmjor7KiB3OPSv8R8t5c2K+avdd28gzGVT9
0QRQ7/l6hhPaSbtsJlrwBPavaSK60BRXwURszGWEW7eXRb/a2BNmu+qs9QNeE1QVtp2gTsbZ/L6i
67hqxZfZuexEMiruoL2R03ck55hFKfBGUPwaHWXTvqVFX8QNNsFDYdDaqqA0Hie00/l9hH33AQUo
GJW2dFpAtBD80fm1vxtGwcp4mHl2boZZ39KaPcmZ4dondeUY+GE0RjsBfpOQweQbhyw+ZrVB6VBP
1a5uPNqtlpKzoOmCw8ql3dfAFtKCsPxQdEORhNlQ3QhG7B0u2lx1NhiAQg16y3vf7MaF5mnGyXjI
hPBX0dhJNfZyeJd5go+FjHSj8sBmG77y8opKEKHG5Z7xQCz7GXP0gYfWxs3cdySW48yBFE4USjcd
wTa9ruR7Tyze5HIMj7PMzUH0QUiTHhhtEohg3LSkJtuyCu3Os9ltoO83nWhdE4CPC+hddsBEaqBE
q46aD7QYzFY7kT/YyC2vbUnaSunAdVqFE6TUxk9dss6r20i91AmkfrFHQ+NvytlMl3oGc9SVzm6b
KiPHsjc0HrppOLUkBMWtGPx646eo+zgHeegUkMO6ADkVySrxK12Oi8/BwVGH1kUtFiRCCb3lXT/x
clMtpLmuG/Az5TsslQske4NGTN8Niw1PfRV2H20lM2hBuKCgCulOHtdhwDejhQ8ob0Zz4/MQbxsp
/BsKXOQkByIPNRyOazMie+00aFiK5vVyObUG7/jay/OiiGwe1yycXzMA+tSMfXUq7Noc4FSBA7Mn
3QaJ0b3uFmcvaoKzVBYgFOqiDaDYLSoxKp911igzFMGHcSD1xfg0uxjDOvFydMlEMCSD3EJlr2e8
Y03A3k5Vmb8HFX48awO0cNU6UOvJ5KfD2ovm/TBKUE57yqfxlBVUHFHWN0AlpnFrWlckWOfFpjZN
E/uqCqBi9G19nGSAZ4XzDDRgi4ytgBRl5rqqItC9Iz6j93yl9FSgsD0VTcBv6qzM95MJ2ocB6uoq
jkK6ngwAc21sU95mVeuTvA3rKqmyApVKdn37sebNBFhnRm6GFfpt/ToD5dKInwzVIA+4IucfR7bq
m4kvkHNm251BL95eDszhQwlyO4jjaBxvOUXBHrWIHPtKLI0Ks9XX0DZv+aGasu5ylu18IXvjr6BK
iqY4QgO0eldhbkXbXWRh10ANyl3CfDRc2yakRkHfvoXEWuebgAP7P8KNiKVVFaH6boJrXx96kOZy
BS2loVNjycQnyf24dTT3dSwY0Me1WyRIbZ2Y9b4es3VU+dQKSGB0ZefQzXG3FP65KGg04kNXDuut
w7DKkq816OsgWEwgGi3ZeZvNZlZ9y8v7RZIVGobZOp9AuHVUYTbiPNbVGoAGmfEhwaKMNjOg8hoF
bX8ZzpO76ItuvbV0iSJlLAa5tsXTpQ+LpVQE+BRYq2ugsMhxAHGSQecn92O4jTSuzlCQNcka5v2+
JPkE+ZzJeNC+2FZ1N4AiEYUWpAQWnkRucFxFLT+NTodbbbG8Clc8HKoetzHkOJ5qnomHtcjGaxlC
8BzHLjpEaCljtJLqTSFM96aa2+oCV3OfZs4soAe6+S0cY+jxlBlKPa1YvI5huCdeyHhpV/aOD113
TdAQJF6P7fnEdAbnA7MnMSgntyHsJyZOgGWGoWMfvAWHJ9JC6Vx02oMUPIO+VQMC6Tyhs9mCssLr
O9GEF7koob3UXjIUpHiEVEs0iHnXI0OxBTF7inZQMm/Csj0WHL4CormDjFR9eOrsBJgkjGNIbXPc
6wPyZ525WBmJW3ctyw3qbknl4zE40fIC0X3LTpG9BF0O1TcEpXa+BMUKLQ9V/3pGG6GT1h/b/NBB
5yBrfJwHO8bed/RNbh/7Lq6dVvlykflLVh+C9lpkSEl84tgllBfxCl6a4xNeHyt+b9ZjL/dl8RGY
YjzZee97EluBUiy6pM6hHSHs25wBe7iYqItButm6oIVrKZ0i865tQKyEFJ+0kbRpC1HpfLL0KtAs
1n2ZFrS+QnKJC2iRaXRe5R+qjCbg2IlsXFzTQDF3sdZwrLMmtm2clwebj6lpSYLmQ0lwGjINgQrH
hIAaPwxgznekflNDd69+ap+y3RSd+5IDAFXMK4jss1cLB6tMwf0KFFp1+LGgs4JE+khYmZQzZK0l
S3NyNRUfs+oGQvcI9A2+Lkxp0G5kwG+jAIr6aTzCpZNLLYwidQ7i8buuEJuq8mfUDWdzK2MPxwWX
TTx1qfcd7IFBeDpDU/W6CXVSiFURwGZAzdslW2KC69MSoGMzDOfc1tcRNLzdZK9KUPPWbLqgwXys
bAb5fZ2VBUsDWV96f+qMVFXzodH2pmmGt2UYqZG1W4YcvHY7lJaqZR5O+QqtzOJTvfbnrRvBNyGg
zuUWoXOSgTZb0dd15LdRCZVrUah5NQlnQwq3WrYEkSQw/aZrPpbDZd7cYuAGtdWb1n8EJpqG4sFX
+RmHHjEHAu+mPSh5j6y6XNBFYaBhsURK9gJE6+Hgs1mVOWivE/QXsNhnfHWgFJznpt7WPaSP1m6a
uroqrFOub89FWdzgJpdxCeeM6v5y6WhctsE5Wo8NlLJr0GxabRLDedJlwXau+XTGIAPVOU2Zre6L
vtn4wG3ystwPYLG+DlW2QhiDUKijSxzZbRaBUop70Kvfye7KttEWgfzNQS4NDVeCtmmJUGyqPmaD
PF89UnQOleD06EDB77q7CGqMikJUmqWCyjj244VBeVzp8RKWrIL+rS4fJHqYdb3FawEG6DdTOEMH
sL4cZ1BW52kL3cB0jboL+iRg2yVXpLgo2DCrImBbPXdnzeBAeByhgrcxyytF2ZLo2is6PbGKNyBC
XLkVVHsjE4QWJcJxNwWvh2VStkIx5HtoleWpbW+AJ4EybpLJ7ALndhJt62pWw1rsTLbGeFi3dHJK
rwxsHiUyw2DkQ1U8rvjcRWZXhdDN/eT1rZSHBkRrD8CRY1ee8jyPWfWuWaD0fUOnbGNFGrUQ/d5r
xzYG9HC4zNQqBv06yAth2FTKIQ+HZjnJAG3qdgDVn9w42Wzg3rrK5+P/peA8tmPFwSD8RJxDRtqS
Oie384bj6x6TFECABDz9VC9mM3N9p02jP1R9Jdc3saXxiIs+41InIpwT9awWNoON9E7NzcWrVTUs
4V6TlerW61c+vs91lLKAZoDkY1PA9vXZsXKdba/cmLdD4uoyKZifG8z3WCqyQSsvdi0IthxcF7VH
+JAzybtwwPQu4n64lkqkDB+kcf4ry0sY1ansGFbnIF+wUWGKTBb2x7s1JvZB2R8OuVEu42ASidF4
Wx/EPhbTT+DloTyZ8mD1U+yQTdTwPFQ67pqscGv80mVq623l1DE6F3U/Cc8sCIeKYe2TTj5HV4yq
24l/ai9zin0xv8NHzBxxm+vvXu5Eq/Gq1Snvs3r6FLMVt1LHprn09NDSbYl6gP27DQ5NM5zdPiVN
fZHk0oSv7rgce/vFZl8StqhdHUpxX9DkS0NTM7abErtqG5mn4paukZt58LWtYsxMVccK9Vc66HUB
fhEFzwWOSeTyrKYj3kGVVthvJh2HzZeInIRa+AcelcvLJCzPjMkDJHwYtF3CxymJOolT3ydhFSVF
fY+q15K9RM4Ls6+SQdboQR20cYDHM4MgKFaTSHqOrHdrXLLQUYfKeTWCxZawMcE8jPcfL90Edkgs
V1SQ8dWx21iUb73+U/wYwd1VksZ238UdfZ2C+gA/NI68T6beC3fKG3qyPWvvl32qe3CF3MS0cnO+
kmQsvV0n160PIICq2+JXWRhVd38CjFAHmWuRjJa/gh9mGuwK6Agze2XTf1NjMqeu77w+zji2cwdL
eBCboRz22lA839++JMlslsxSNjgHkwzzo+oMtqyfVaGeV0ffPdvw8Mzyy+1tWUyx5CKeizIWcJIm
+2fF1tWhREg7SqKCJkG9Zn7wxlQQU58knLYbD/gMcavYItcezm7pOPkg3I0Q3oaHFPCDGxPpX/mw
9zyMr2Da4LRM+K5D02Qk+m+mcP0/bUOAK/SJdHezz8DjeFlB/mplxVK+jd2nT/4zxT9peIKdO3ba
IGXrCS5EP5M37XwjH54YG1Lr83v0tnUTAUx9DeSHVzHwBEsaQKDVUm6chqYdNoh6ntIC64N5TOHf
04uFwukWPzPH6xK99O5fV3xCkkmWCC4l57dpwosYlReXLVnUtah1QWwZL8EUvK/q94b8Ux5Nh8lN
nIgkDmiUyfYTR0/4osWz5OQWnhk8NVTX4qjmv7IOcm29VhxwLeYn33r48rtoXri+tW0bcyuMMc5s
iasyf7VS21lzoR4AQpvK2cCATh1vawHPhOvWzG/juG5GLCjhsGbNFAKXOGiGLS7KJ0BXkqJUBb92
9O3Xx3Uu40GBPKFl1joYi/BxqmSaT65wM8xKm9X+ioJforC8UpoWKCAuylJdhZmcXtj6bg2whqem
S0OFSXMeQiAU2Fqes4mTUyhoZf/S2JB5FA9vz02rX5d9H1651eR+aOVzOadr+coGkbrEPverxo4S
JcaTKRiKN6+d8UKwzJVf0fCfYv2NsR7ONk8aS+1WTCic7kKCh+qDFSuPFfYlMH2Qr9j4r3PLhPtm
2zQvlJVJtC5560QfM/suA5KK9R5M7kXTMe01pieoGY2mueSwz0IgM+6aUZimwH72An4SX0+lQIsx
71N/wTaSA/bOOjuruofovY9Kqs+l20149CIYk3WgiTvwU2NPqbSOc3WfgVLzCmbsqyf3JSYMyWK6
zhjKBVxihqdm4tFpDmWtT2V9n9iCRx7RY0B/g2JOZ3/Np4LGpoPofLPWYBvIdVc1VzXs/LKAeAfz
0rXf6dyc9ShzGTjnnsmrM7uJCqM30/ixM4Bg4UVsTwPG+Cl21Zw7ixuXXKWwHHNWlZsqhIY/qxuW
6Lx0UePr8cAWP6MgA9q6/56DOa9tP0i1Xb+HbfHr9B/LfHGeY+/4O4u9EY8InKohVuq7Nd5HHX07
QHek+eF03EuzbqAfxt0anpZi3DWrc5AmwEBfF5tJ8RxKwNYKwyPk9djY6JksSvtawzMf1z0kqH1f
6R0tr0INedCSoxfIxK3lmSn5HLwxYJNXAHAbFjZb4jh7TxYp85ed4TaM+iW3Brm1nWM0aPznKomI
jsE+xgFAW1aBsfLXlKFVDupf3xb4dttt6Z2gzGfaPqsV31GLU22pxAY9GaGagh3d9wN4QY0BzVm3
QcXSIDiyBcoWhl3pY+pt6YHxlxKymKR75kfZ5KOFMdsGXeFMfeJMZd6Iqowl2pCh6xqv09fYPUIL
ewmVHDrjaLdJASRsdLGtlCpMbOlv1wZH0b1azu8wbmCp52sjskX3uVhC1NwZ5WfdNLAFATAmPhq6
C4a99aIN6L0NheKkpMzhcULFdmMZ6qyO6o3VrNnioCNP0wXN78yDDgS8l1cUP+eGu9HXKXbf4xSZ
D79crz0pPFArztFe5vfF+Q/8CE1aX9CUdtMpIv0ZkmUShd8ewwngaCGaXPRYPiZpNszYL5qEqAr4
GuYp75qPkJEgKU0DQBIdsB6HHz50Y+wt1n8r1kSKL6hQ0ZvmgQtFSLM4ECjHS0Q+Slm9WutDRe/N
AtBuvNROszFjlLnFL1f2m+toEjMufZAmhZNhjvxBACS4EBHiu+yjeQvk/q+xAKZYVTwOX5YPCzv8
ZdgHwQ+wpFdTgHHMPvKBbpiMbh2bYzq0ALC8XWsfguda1dFrhVe0mPFrqDEYYjClh0XUr9AvN3Rw
YlpHEKQYcOpQ5kY1CQyXr0B4/4xw8Mkg+wzjCHu7vPIq2FOntbeW8+0F0dXCHDGv9W4I59xWY50Z
CDB9tV5bkCesDBNZ0nipm1g73b7QzWfY1V/+iKENYO1KETdpA5ku6ISOgZRc1kNCQWj19XaYvEc9
Ap+qyxGv1wqMd8qq1ZyCzgJwsj5qjE3BSPdikHAoawCh32E04yUKt31pp0IVZ3/uTwpYgDHXQXi3
xuq3vXecUfDUYZ4NRFTsU4ufh4QnbR+ex/IfmXjm9g+AP8cw0okrh9gHGtQEZGubnxk8hMCsuKJw
o6ncKszRkXXxRb+XI9pzQ2Lolbu+nB686LYLViR3VoemqE91H247Vu3JQo50lgpT/NjthZwwf+ip
TpRcwcSYcMdMnWNgyQuczLa39Y4L5GMYhLrIapLFWnMVORdKnDIHIKWOsvKqTUTMUTTRDnUmdgOd
CX85EPgKuVWGn5UttuMIRzueoxpKjahGvNRc/MMNLc7d45TH0vP3fQusGcpq36fgiRbMWOriRa18
OPPoJXVFf4AuNud1kewxFXjMDQHdanFYFGE7PmRgoeVW6jaE425R1AV7s47mzRWhlwOVxTHjng/h
EtXA9pZp45a1hR+vqrfWEm8ttvv/5qCWE/b7QB5LZryzD+T3LsqCXqfWIl9u20nQo24wxk4f/PSF
+z6FfR51/FIsdl5MDk4JLTC66sXaWR0GF49pEJLVU/eHm39efCbwqzfqXobauwxR0BycjhSJTfur
W89LXDY+TRwh75UPcQjHpQfoUp9VWXy11MXh9m3Y8KVqxpg70Y+mlCaVV+MQ+hgyW0gxQzPNGRwJ
zAur7R89NyogeIrXpReZ8Ud0vXY9VCIUOcqneFlAjMQ1eNzAM5c2JIehnvyshb/zr6NPbals97WO
3kMtcFrKDs69IPrOSuq9mRKTiVtNQ1L0miZDg1Zregi7kEc6lw3HmrFlMwFnzGGEHUMy3b1ZfQu+
PoZVh8najNs2Kk9lIy91FKZ9M/Y339QLNLYKKvBqt2lQ+WXShc1uYRVPe0iun8/MQjyXlYxVW7Q4
2wBrdNhg46NdmIMRbLMWi0buMD8l3iQTD5WsCNe8cVR4MLPCrrcg9WUz/dIH1alF51SmuHM//DAy
PPOlyubG36nG/XI8RnJeopf2Q4QK5ZEdo8VbKAZ722GVtwT7T9ttA+kQTopasf7b4fI2WW6QVYs7
pvOEFVsNBx3WKF1OFk3RuSPd1fYtli2dVScN6VRMrBH9YZ6djTHTmrajerQjeT5KpdOu4Y+xt99I
VKgMJGCXdnj6vCmjLelBpUrqf/ZCHmmFP0xrFuVdWd+iipwYSlFtQ4oZ2/LgRzARrJp56SQaA8Yq
hLi/NPadqGY+cAI0z1ba3a0L7y4WOONkxJaZBiSCyCwkwDnxfHVaOL+xpYZtiU0QDoUTlx3oZMha
qPww7RbwVo271DKD8mznre/UKekEBDzJ4wWoeGxrMf560yqywPbiiGETnFnzmI0r5LZabP89oAWD
lAf06CYrQ/ukl7r+VqLvSgwZvsvSWa1kyb2QDxC4wlIsqaNDbGncb/5T9hxA1KhYf48M8cXR6WZv
6xuH3hxV6Q67b4laIxgx5Id22BIwadEyyhi4egi/A9GXQa1TKkoY3Y2nxZepafAAjg6kfe1k7kKG
tvNIaQdV08YWlK5ogVC5xhFicWjxu293XXMgzbPr4TQ6zbcOuA9nHO7XdibPndoY3wEfEmGBLDyW
6gmTEoyvQ+uzCSNZ/65Yt1/cABGQ9u4EyuB9D8dD11IchKK9L3r6C4WfOkuQ8zbcrf2czS2aWi3E
2VfiiMX2bLXztQ2nI1ySn85016C0ztYsD7DN2thMVQbfeFPLOcfX/Nc47utUYzUa+/KTsDmACmeX
2LohRnCqv0qybrXFPrRdPl/WPHCHzLcfFWylMKgOPkeQxCqr3RiVVlzZLs/tFqwwSi1Nw3bNZWRh
4eRtiWoo9t3ArrLk2GC8LChVvBRgZbU+kOXPCTjCMs61bTysYD40gHB8b6bAHHXvLluPkt9mDH5q
pEfcDpkFOUAEUO4BLlHszxi/6uFrbP2feZz289CekT6ZftqmZtcSYUknJpF2sT5wHQvsSa2aP4Fd
KZUNEcHfZgVqwds9km0DcXhvLdpFfEcGCeDSg7cseb0KBmEf5lgtnfsydFbSzeJXLsDLHQhBIozW
hIHpz0k5XQQET/DSI/AYlKlzz3u3i4m/dvcG8gPk4YZa+4GS09orJBrbP9Ko3EesLreK+mg3Q3iH
DiJzp5/CdCowurAgRFGHSAVqZcpQLNjFMogyeN2yUcT9jsY+tbwoI1guItAgnU0wO1X4lJP9j0am
ituCf2GsujYkWmLEVReQ+eQ8+vNGLf81ClrSEyc3qjsKRc++1OdxqXY+6NI0sjud8sFJiwKud1uc
qcF7PS7Rvbeay2AAuLrdN0Hc98qdJgCTXCiYKvbwY4V230BO7yrEpMp7NzrvpSoEIkSlTmWhEMbp
hikeWDk/f2j99pplAAFeQ7VE9PZDtN22mozcsaBVWcGLADleD8Y0bS+W1nkpOR4E4XPuhn5qE0jT
sHpARhZ+82XXA/TzENK9f/BoxU3itupSFWZ997g7PZTX2S5spynDQr+TxDvNkTPkFMhzqaNtMfpw
ttmbweDD5/Vg3Jsz3QoIaZ5lv5hyhirnZRGYOyiO2z4id7sHSq0vorS3AhGmaJ0Os0C/Yk4JfcfS
z+kf7k0eGD+4VzZ6Qwt6AF0POMssQ3DZsKUzgn66VvXdAr6QgGcDodGWqVmsHyKm6K0l5U0H4qWr
ARNTf84np4ApM+Xh7GRD5WXaZXHUotmZ6TJa8hsrJeov31UwgcX8jXg0cDyDlRjq59TsLMlvvnhD
aUxMI8+lBpZSBTXd2U2xpb6wY123F9X1h9rXyBOFOzqTDSbOm4DMuDCdGj4fa9vaP1coRPgSKyzQ
xaChNOoyFBTClXwf5jqvEI/m6sAUjIrRfZmq7jDzFbNmVxzqmcX2MOb2sB6H2UeJnbchUl0WCb6m
Qse8OwYIjIveSnjjpwECdC4iwU29IkjhpktX5kZurPDbJu2nxNFpQthCNkLa7Ztph7MPL1u8jfLA
J4khmOQNmK6lWYDObAX252AkqWN+iP3V0KxeP5j6Gt1X6m37FdmDPUWvNsuuNC74j+2EudhHlECF
bTLyJhl8HTs8IQ08OPVPiiVG8D7pcTUiny+tfNModZz+54dAGLHlUaTfiNmZAcALNtTmKX3Qb925
uY3Jx6MXEp0j/zipTTW9OO7OgqOJomHYEUF1pGIPsKso9LpKffbkS603jajAqKF/6Q6Ris+BIk2h
Nh6GDIQyY9I/3F7juN6k/TZjobTNgDU72PtS7S08azUgar3c6fpK6j5VzTPgs2tHDIjqx6evgRGJ
B+1kbIPEqXBYOeZVNmQtgh/8HnhvtoeNrkgp5Bl2D6J9OJ36eUeeObn+Cjw9LU0dMy9H08TuOSeW
j0iIiOC7V5hTcaLuQ10kclSxDU+5/TDuZZQmZ95ec1gnCD1XzWfRWikbHwzjgDd5eE9OXb21oMZz
+A5S4cssxHZZf6h9hUGzsWZs0bsSghyp9iHsPf9P0h2FhD7ov2jYAOHeCoAxDp5Ki1wi5kmWIDER
c9tGxl5kHaQccm5K/fzLU1LuWpYQ06e+BUkLmhkmLHy50jzkDMCMfFXNPx1ipIfXy9ojZ0hfWhAK
YQQg7qLvEKNjRiB1w2zDvJtMoCGEcdIagFHEJ+gyQxbBBxvxm0BNQPrrJPsvhawAUjFpB53Xq6EW
QX3T2Aafi4JgR8Q6Yt1+u5rsa9Fm5TKnw1PHpisM/q0Kz3Xw7llbDNmpBaOXlrFpX4fw3WvPDFhY
+E6WjVjximGMmQUWbzw6ZN+oif1VxcNU//WQ9Ecc97HamfZTLP9WFBFHiiToN16zn+hGhj+1Fe5D
28Ex2DpmSl3vrfIPUwj9oLJja7q2Fs2hDUM+beO2atBTL5XX/jRqQ1XWhfw96E8YenKH24loWVZr
Gzpzg1k5bwcPZcCJewuM+/jP6fGbrS60RS/hocoZOxVLu5vIO6EemJK8sO9ABJIm9Pc0+OrKV69z
brabBKJMu9U9D1pnDkeww/21JU+iSGwbu9mMUeK5fewBcXPBO6ZinE9IMpcYllFUBYNkLbU+2T3y
kqtGTP4pxw47DxM6MMcTNpp0qcyWGXjHM0pHv8qD9se9b4TZcdXfXeAgASpOL5+HXOHJfGNwoou3
q3BvKIFb6bYbd8H+H/02pt9CarQWjIQDcnEFMq6ARurKGTLaEIXBA9gdppP8mQOrYN8vrbryXu4Z
iqhBALhD9G6qlgxHOQPykbVapUMAwoL8e0rfzvBBUMXVcCoRniD21sgfCJJ7n+xdVLIWM5IbXFm9
EVUEpO4nmr8dI+5etKRQnHL1xLxUufHrKHeKJbUwwjv8i+LlBE2WsFrjPoxx45AlRRx3AwoQ7TpK
OMObyd6C4YPS+dqhLODhXFogV+7UpDMH9gB/YejgQyBtiLs14C4uSQEVubDg/7DgOi3/FPKGci7i
ahi2Tu3lxQyDcB7OVXeBmaHMdYxuAfsiPs8E8lKMYIO6ywVqHIqsgr7tzDTm4A+lETnkirTkIpHM
iTv36I7YR96NfWsLEmMbjS1/1w4gGH0PHwP47s/QgB5ZAGEaNEX7d5i2VvsVrscZzpm44yTyUe8k
RwBp+Zja9zHscjpYSVmfRlhJBeTu3iQR/aetf/R5vuFJyw9LkDywpnRtbgbG9xy8RXPmA5nyvAah
r2/H5UmFhCPsnN7bzBDCR6/K7HlNh+jFLyeASHmldv2kUsFyKUtImN/G+eiZOjeosgUqwXJdOSgx
6xtJ3MQ4r5X18NSfAv021JtovTEsVkyHWzFDmHBVWvYy7eS0H8BYS7IHyJHa0SMod1gOYfNvetjp
EhboCLjP6zdqgm1Iz1Wd2/1LD8U7mH9rUC3qQ7Aos2b40epRrOSgIN8GiBOBtcFCFksrFw2E8A7e
+wrz5RUKMOC/Ko1Q75wKj6A4aUbSCN5rh4XcCdudnsR1qT1oZn6igC7701cPhyG0gr2wDw4+VBG8
hBVcd5i8f6ICEMG37vDRtrfCOVcjRKzxH0G+GyJbsdIr59CseFlseWj2HEu2tIdPz7RX3EKCzbtI
GMaDeOEIkkkXJy3aOl54D4lxYNpiVoR3J9sXUTX5AguIMGtjFoM7TCwQ+qjydyXOxHuvBh4rlQt9
1fWeO2Uc9l/D+hZ5Lyx4H9k/4At+dXKeVXf8ntl8LttfpJ82XH6FPa6iAbbmAsrxwjjEeoMObdqj
HDe6gDrpxGZ+MwKgDq82uFoHz/NC1zs6SaKmc9e7MbI0r145xEBK9+2IUHi5A62Q6Cip0KBVVuO7
GFxg4LiwAGFaGBbnFkkS/3f1qjjgSeAhcoivZK28pLRDaCLozDILGoW8tps+Z4puADSO5KVvUNQf
wn7X45WHZz1dtPXL222t/vPpknTqoiOS2fp79U+yeyHri4HPCyXYhwEF3T1pfrHdJSFZthA0sVGh
MuFOjAClZ0xXx4HPfAujfYE9P8CROfgKOd9OX3HrUDoQO3GWMwYFpzmyaEOcXLA+afipa/dzeNMu
EKu1xTqTT+0j6t56e+8aqIRFIjr1zpdvZk25694gfIRw8Yb+IFSTThIKZvGw+lNrR/FQ7YfCunfq
ICeKd83FrQVb2bU5eS7RaFVDwBCzg1M6/Qwuj+d6/FjhH3DviHRq7NOL8uZEt0Va9TSdIUoMjUTJ
OxQ13wj+TVwrG7wnjQHNEQMz0oabFel9Gdl4B5q8WOvMDV+fRJCzGRwguAhhcQyyDPcUGDtdoKDx
ChqlHvYVxyUAwZU0pzl8DANDV7WSSgCtnFxsiAojwoO6cz4DRdLdDsQtptt7D/V8qqDPO20SgsUX
GN1I8+J7734EiSrMkb4CwY8yUPcwhb0NIpuJIdVmtLEqf9S03DW1Rkj2EMG0EN0eMixizRcxLyma
DvYQjKD9XmFotSuRaIODPOCOBXDYJa7GYEW8due2PoOS3OpQbN1yTvxg49UMob4Kvgia5XgeoLKG
dDdZiHF/FCzvybHGjyv7+5lJndy3HtvV+o05XEl8ujdU2AZLZjg/pirXtNxW5R6pRmiJ9yjCvTKJ
hmXuAu1R61fUIsMJENSSGYJtOScnFwZ7qTFPuy0s7jku+23Y9EkEohlHe+t3M0SjuxVixSxSaSNn
1X1OLEh4UVxC5X628rTaPBsdL596pJTqMLfdbFTfVo+Ka4JDoPG3WCAcgyIwIDaAeANChrWn12QU
YDqUEgfA/3nlDtvKwnjBpp+Gz4d+WMVG2HJKBJJf3EeSGhprAJIwhJbEPG9nE/PoC5AdS1NsWIVw
Oi5NMMivgbYuaCrqRgB3kl9G+C5mUiPRopBwa2hgMAsOb0FR4Q/QaterpShSX3FMFXX/S3C3cULn
9YXzCkhD9df4znkOhbwBb7O2qyDHImIvIYd8whHyngEEzK7I7ZCJJ5b3sgrrtOBaC8Hki8GVP7t6
Dbc0VEngsG2NM1BJng4rfTcLPUJ1JQPqWw3KKhTIh44XqwLXqnHXA6At8FZrXs58b4FGhFEGc9Bs
ZoPsK3KkYiSxzQ+M4RaJ3inySDgMIxj9L1LDZqA8L9h4Uj4e8tCfa8m2EKF2A85JLf0PZJJeAoaz
M/ArdTCaUXWCnYw0PQibocD2ixW+nD00+LXDtuUt6RREr7xGnXTx1EG9gLGi/3mD3I+2QalZv8fW
vDja4hAkEVIn/1bE5EbYygSn0MMvQDvctcLjQG+4QJu+jO1XwAFvdkmD76GYJuCdK6gzN560B/dv
N1b5Mu8Xw1K+lhtThakv/R+74UCZ6mwMD76rsGxibMFlDjBBMOWpBupBggqDJFfji5ToIoXAx9yc
2cjxQPle4dbHMxyaZ95geF2hhpsZXlmL+2EKBBTGP3RGGDTWfJUuog0K1R8uJfkG7a5B5aFrLWMA
ez/puqtCpkZuZli4SAB6sTWyuHIyV/OkR0XGBTLrsRy+wTPayxk8SkB+ApFU5d/Q77l5r0fU0/MQ
nHCliaxOZt0By+zb1w4S57KhGorw0G8YFCbgFWq6sPGzGPJ2fBpNOVSwUewrhvn8RaB8lS+T3rrF
uwbYyC9hcbIfHJzacjNuDqDQhNuaHIfhUAGgwa0GQ4Owfor6MgQ3ghtp8NHIEmPkKeGsADpdlyO4
EDh7a7iHuFDwvGQ3XFlg+sPQ7hb9Ypt/fX8ucXdKl2MppL/MSmtw/SFuKajXR+eAIG5ftHfDKwvb
1HVfI9wNgFGoxckcZeo6afeNf4UbVSaEzbF5N9+zeRPe3q42Jty02IDDXoF0w0uNQf9V0Z0LKW1K
PUyv6sPSd2/68fjvVJ1Xib8Ai86YrU3qV066/Jng1aFvq96sIQZU1PvJhRq1C0E9Ufrn+lspt8K7
Y0XnHEtUzqMgG9Eeyq/BPXe4/3mAiPYlKChf20pcH1DNThQ/E/jb5oF4B/Pvy61gRWbXgEXN1QKq
yKB2/nhi0+L2CHwkba9xAMQzQNy/nv9IvQBHBhQwJ9QL4hpsnee9+Fhtnd6F2elgesxcD606awz4
FnBzi0hw5azPcWjYyQn2yJsWTTq8A8aiM8iCH4k7k0bcpTJuoZy48rw029XaBQw/i/1qRgeOGwD+
ejzQyUmWMgeui50U166VwD7EAyuUsbvUUVtm5ZXO7P4DdwrhQpMKuoHBYiZT2Ax2+x1FCR3PRrqp
5t+N92SUb6TcOvapN3HbPaoaVy/N24E88Gu5zc1q0o7tQrmj/bc3nCf7bA9pwPC/arKhu0bdqcYd
AW74DZWGjJ8IXEhwYhaE6pNCQ4VngNRehVKAWznQI0Ae6JUAyTsGDW5DwP59CcX/hJ3JcuNKkkW/
CGaBObAlCc6kJIoaNzClUkJgnsev74PuTdcrs6pavXqDUhKBCPfr9x5/4sJgHoNR15TuuvIuAQX4
D2OMk8nItct9qeBqCA/B+V4pBqfUFXI+WNmxizkyjU90CJAls7vHRjIvt3T5ZOsb3WBssK/gIyAH
Q27J3AJW4kvjfJjoBrV9HEN/6DDL3GKYBzVGnXoV0pUMZyN7Dzn6JnmUDJ6H0yw+Z/s+tw8xLg5E
uWTfZrsUa2bE7L1NL6n3nJqYNKjm+P9oJLFxSWKEmHoD0IkhV9jtvQa1Dz6Ts7etLeNYkZ715EiV
4wbnDENeEZ8DlBm5yvWNGnd58FsyGy0xu2NF9ZzvXuIEp0UPPoop2wGJWrfpGhAHycRN3L4X5UeM
nW4Oznr/RxssbDbnBEeT3X9kup+WW5eU3HLUeGtn+p3DrcovebsazL8xbcpYHgohN2ntm3JLfCaI
2hXi59qonsT0rCYe7YgFIii+RvLDaz/WhCD+WhTmqr6PuEPbtMf1f0qQl6OPCMoY8kCTflauz0wy
X5pV3z6LHMHutZAleQRiR+g6iUeIeq8Z+crAmZ1VqIHlzhkJE+ytYI+hQ899AFlImdc6ei/7B/cT
8E3c3jrYXomzqstT5Ozw3iZcHkX9nJh+zIjWXbnZBXtbMfiLUbDe6iZumGvZXEh1bZLEoBnZt8Nv
x1NTXXqaz4QsoWxcv5y+p0bjtik2mVZs6nBibL83WiqTS1MinqUQNz6t1N4gv9gOpeLEOcV7yZXw
5sVHZi12f84s3ksHpsYjvbBFSHXeSawjA9Y0+1DY/Eb0i9L3I0IqnbRrvynqo6nc2zFWYzzOQ/uY
TH8CbEUN2M+k67bD6O2SCj5S1q/5xjAgglyRw6bK7KdaDm8zAlkZp9wDJGvxEfUtwnXPDDS3CQdr
LmZm05eB9eC0S6jdNvcyrY5unJKO7/xwTDdmnR+J/DCBrcS3Ww2n1C4vXqY2dncikDKUf2NmyZgX
ICD5uFYwE93Jr+0b1H+LUXzBM2dW+9TRDonnBqtuzkj6d1sVBvcG55ShY9vjItfB141dvc8I/YrU
ZIxNvcqYvIwE8n297jtwBbXzapj2T5AZq3g6K5tMTgRiYGAioD+nsfJnEtfMblFz42HTptyPHdEA
72gg7Jc2AkTobFs7ZzLy5spgE3H+JZze0kkurjscGTxu81zf5Ul3m+KPQLxj+HqIUVoSHPhDXFKy
NNDNxMVBtNbTgzkMGBLQ3oubCJpNIpmJBesyGNbUsvjk30WwC+ejJjiHjZH5wjV0QD2Z0g8bxidg
JIP1bP7QBiZNdoo4PzPec8dON6H4FNnfWUjfRlyc8OGO2n2IhlXUzbtMzqeat6lzsYTGyU5oZFqc
+I/Kkp1VnkLxPVM8gk3mvoELAwXMWWhSwsZu6eJhPQ46R58Br8D96ePyRabZNk7sA4WPb8DqMocP
o9b9GdlMG7AwMgdN6HmibG2hMkFc3JcWlh7BVCk1o2c7Hr7Jqu5ncCueQHb0qnQDbXOg42jpYTBy
ecattORNjuVbI5vjCPwm78SlCedN7xLQz89DgzcPwlKFsccj+5AMOzsM9ySRt1OZrUfIRBXBUUEA
pDGTn5EZUtxSnA5iV9CbavrNLtNtFJyr6ikqb5mOn34qGO3kD0p1APcUhIgvJbv1HH1ajXNO8mGd
EDggS76r8okQw3zI6Ea8jm7J6/0gWYpWsTfLeS0DbzfiqUgS85QONY1PSmJXPyeAhyIRLoFnMny2
X1RLQET5LcZAbyw3uTDJuOVLf3QzezqzVI//ZKrzTQgWWtY+JPZro/CENuIczcGhL9q7bb9PPQnO
cP6RnfoYEw15jfgBkdI2CVaNDjVuYILbjk9FVawV9DuZdUhKMLfs19ElEKF044/Cjl5VZDNq2Ic5
sysEyJzABNPq1rsH7jp07zmfJo75HVz1U6ryJydpuPHwNAH50VO1GSl0jOFj6PxJHOay9NNqJyUz
BNfbTjJcawG1V8k9H18n8F1a5gIaKvfhgLnPfLHq02TvR44yi24vsVAKBIOJMUY4Y7aSMN0Y8GmF
TIOI+Dax2AvB7BSpppTvVhU8qizdk4/HmIvUqrdbq2Pe4/TXYDHBA1bwPOabRK36ULzahbOWqEVJ
8KVVtyJ9dbt6awTFMdatjdnwTJe1b9iVX9GHKcv8yHP32fCYZg2cX6H75UR00QU1fGihJia7gUM3
wTSv+oVDF+4SEe1STV0skyFITFucVOq1FNZxaUCd9GIad2KYPPbtzjIYlQXESaePaG43EeqthaTU
R7jvz/kQH7oewMBCJKiCdm/ir3eVM67saPCdAukvKTc95Wnb6bvZeJER/8yx7XtSUuajJ4AaPsC7
2eMNR8JApC5INEyV+TgU5ruwkBiw3ezGtt+nijODSIOGm72uPo1JHUuOO5faAIGe2jTcu0psxty+
hwuKB4SniqOtjMBS6Q0f6LAnPE2t610A7a7tAf8Qpo54qCf+2cTEIjk4ne5P/FlZKtC6mcs5DgpD
C3Jx2lpZi2qgPubExZ/mPuuOu3c0TmfXG/kXehBbCHpjR7ZcX+dF+TTYAR4cDXcz30GQ0G2pDysV
7+EQvECZWUd1dPD08HGWdPFzFRIybB4auzunDCYkY6+wyi516Zx1DpYmopqwsUTyqU4qvGgiPgxo
Qk4wX3SzfVaoieR0dgbgGBGonaH0h64Idk3HoLQxDnE4AIlTp75kpqmoFproI5UxFdB3AElsUHCN
nfoS5fU1cOvFq3sXkhcs7lZDSBnQfXhEkTD77W2dwZ4MtyVDuTFzV7ZlrdzuMSbxWGTTZYrro+Oo
lyiPzrXTrPVm2KGYMXZKF1zqJtRIrCTzOeOuzLp93XINRjdzqoDgwCAl0W5Pu5kB7lTzfg2tLwlq
BcO0c3u14eZ6tPNgZ7Xt2Sa3NuYf4ayQ4zNKluwgDHwVntr0DDxyJjFOPF3518+tldx1aVw70KmF
Z3POi62uRr+ZNQr2BPkyPLr5te7ilXKCbV5CdZ0b+kQL46c1MDVoo/hgJe4fmD+XYaByLPr2bund
bq60m1WhlAx2827YHBxTnqP5WSR0jZS/QuHCflBGRBqn/rtsq36jWSW1sJn/dkkP0zvtkNwtHA5S
lrh1MDK7uRX9mEVfHpEJ9SMRYu1ZJJP+1LjLFWYj78M5urgmcliBx9RwL6amzb7WM8fUoukrN3HI
0JKX5ncjlqCpsF/TJH2IRI052AOtbmiMEIeO9q4gMJlqlbcuc5PIcFd/SEcu5M8ewY9ywiu/vWLC
1dp7GJdm8esGmliTYiF4NjG60kb6f00l7rFlHJQWvbXOe9RXZ8byAr5bLvAzydwq+GOP1Xcjnb0Z
a48ptVGtuiO2UWcVNvItjpMrYt1atUSI3egjTPWdYgTeONpdkv1eBa6e+O0Q36ayYcBDONJt0vNg
7tzgtW1LP8j/mhXT+2YjSMKbYbjptRrgscdzB/EBM4BdUThM8WVwZzII6nN5fKcRLFPhLDmETUUu
eIwxz+Sen8U//WhssrHee9PdKKtHPememupLufdEH+kjcDcQU3Sd6Hnmvy97rP/yaFfHKUZccX51
Yy/wvXpqb9mfGaigvujuBsZd3b43+kTZ6qvxN5o5gInjtuXOiHve1VFV666h8ptnKDBUn49JVO+b
vPdHYtRUdtMvvnbElq9BRs+ZfrGsYyZwb1KjFdgzZ7M9zT2j4DT2obw+Zd6z55HzjfyQhMokXeyT
b1WN+7h+KeqnoAcr+q4piygH9uz0lBoEU8HllGIdTZAC8vVsiX67QBdzvGk4r73syyyfDfsbbivm
DIupYXXrdVDGrnVpHdIQbfM2jqeUltNu052l59uIn1+zH4KI45EfSxcfOiPGsakZTmJogOjvB559
XIw39iJb1MmFfBQZoLdJRGhS2Gjx1HSFWkPFOA4uCqfHOJHBTK7z2QX2eh6fHUonHMwE8BhCMqfb
Nc47ntPN2POYT59uuJ3A3zpfsjrZRrxOam3FmgHMJa+AFRllHPSZgoomNwiKjWrdV4/7r+yj84RY
2bkIG8ri73Ou9Q4R09rEl/gcDvMG/WU/5kxRguDeZdgIOKyzVIMqkVO0azhDQwi8+XmOnGNE5qXu
MUVxfE2z9pDRF+gkr/uTRhGsjOdUew+st34J/DxFs4HIi8ARrdOM2DNw8o7s/XJa61RkJmJfW31N
Q/5e43fQsZqI+iMp1Aca9SlsWn8h4CxWVTxNnfM82oPfkpcCKvTVJuPv6LUEv8wDvZHPF3kMMFNv
s6lGDSuDt6l3/iRc9KvObH8HmjI3FVyHuZn4osZ07pjDmzL4TK9tZ8wYbkgY42wCYnTxaN9Ulz0Y
+JzrWjuWsi03GiFY/BsrTWGwJ1FHSni1eEjz7Axp8tIW1rOG1jB6C1Qm2w59dWnz4pr1zTkO+nVH
xT5pHxqI4SphQvc4iJ+Uo7nvfxIy6Nn8aiHed+7FTuyn1g43jaGh96NvrpQV0SkllwYkrd4opKJv
A9PQMFDOOSplpFxndxNJMZckwvvxIMgC8eptqLG2LpVLTz3fId/EqJRTMR5hPmy90OB2xfFTEO3k
60SPrj0+sJn0OTfNrT4EOB7pbB0YCR3ktkq3z3WBOk6FNKEigKay6u6I5+gY9h6mqXxbtbgPeEGj
IT6ZlniHhfQeMqbuCVQYqvTZXHCqZLQbcPu7CmBLHO4CKtuqcJ40XFtFrHhr9gOdS5GJXZiJg0A3
KAx0vTIZAB6FyLXanbjy++igVRoz4ywcspwt9vxeuPFb4VVPQc2PVDnda+VyhTA8UAzZ5B2r7LWM
ls7D7IJtYFfxrqEFXTrIK8xSkude8j3O2XsXGFRm8330kjU8kWHTNUmxnpLOvMDmENchq29OK19n
zbwObhXuO8hCfpMMH6QWFqPNVub5T5g3qMozUqJGjZvCJBdqYIgAauhBZ2nETq8Qjcyx/JN0Xrvq
a3pzfU5uwhvfssG6jc6CH6jNnQb5s8sS39SM8VqO2WPQkm9Vpvfa6cJ7dHPnxUqy7yRG7QAw0jAs
ZoJvsphlrQ8vBYI2x5s+knNBVu/+xMl4bRsyYW3q7rFEEiRWx8AiioftHoA08/yITN0L1tWzzrCp
Fej1Fk/8dCr4YXBrZ3V/s7RxHTIbQ0gVdrTWGVs07Z6UN6yZmcNNSxERirXXFR9Nm1/D9GtAN22n
+Dh6tFD6UxazECUbgl0kySAwDKk0p15Rxu+jMcPLZO9qCy1QJhk5BzgcerOesHQLLNAeMzfPCA9l
mfiVEe300js1tbjlSGClGt4DL9823lfSgxcLWlKtxaHOmaQjOZnGyJegZuGv6xGc1BD8zvX0HYnd
NGeXBVXf06KZFQtdHiaeOxKFOVG1FpEqu2c92FcNl08NOrpv/mJDrlJO5CzZDG69jXKLyQgeXm14
0DNy/SrQztLyznMDb1HHzZdS+MfbPg5ekybaw1xfD6QlXB6SNl+oF5JeRpwUKd4cK8EkJYEqtWaX
DmJFQfsfnnrxsDDOB4jWCLANn8ZC/3KYDeEyHLk/MlX7HedxFipGFqQxkXgy9nLYTPzhzfFgM4wH
NNWY96xAmdR/CpFuGJbvrOy7srtdEbSftfcORWHbtZeUac+4jF+C19mBmIBOmTHfMfjrFqXTNp/K
ODzCeF9WFpCTVg+J2217FG2QrJSSGPxscWi497qIekO1FFnfGY4NHPGbVgFIjvi0S3FBvq/6YN8v
FGMCoQZ8SpBHaMHcHKW31sxthL8n5iHTdftxYMyka9i8+dWXY3DIM3FEFrhJIR/qBIM8wayknHD2
2YcE410Jo2emyG4xsjaQm4mKPzDQxBTJd6baB1tcDOY0c+D9eKiiucmbycsaa9qubePHmMRyUrwP
XLyjcbK4GELBRNs0TlM0ErmFc1shANutP2X3sLxpbP5QY7uq2LsgsCPJzj0qQ27kFOxtpDwmAWk4
nUb0oBh28jhBvpEWxQ2yWgoCz852HuU91fC57+TJbX/18UfRuxQDdynkcKz0GbuIpAq5s5k85P26
1eKzMJkes5EorPUjMaA3I6LAs1zqFfqRZYOR4d3qiHlH6BJBrhjWyHkUxAq1w1hXByCcjfoMYJAV
Vv/c8PiJtnkO2VhQ8e87xrWAoRSkzMOb/k0tX470Xkx8xM3sTTzTb4T6w+iJhzDH59mV6ySAG+a1
fu8xabChigb6XocbJnGKhHmwMQklu5qzYh3VttSSfUAOwUGK9/TB7zu0SOabcK23Ex4HKxiea+nB
aWCrSvXmhl/QfphNvCak11uxnhMGzhinan6ZxtJ6EUODcUt9G64lcL1m4JMCemFLw3dRwmt+LeSf
eLJmAgfBlokvv17qcnVrjIoqHOVBTesWzENTbYMe/ov4GTEg6Jru625JzQc+FT3CwG4xDwZHABNG
Zh1zdHMZZlT11dNYZFBNu3QejgMBHKhRiLM1g4kzUcY/Yd2cw6In8WICUkoPlVTvpPPCtYELeJag
542IEd6AJG/TQIBRf00pZ21R7lvHXoUzvrZGX5u4dBTKxgiXYU6AbFsEdkL5q1nip9Wyq2MbdxZ+
XcUQ3VIZvGiEEE381a5Bqt7SX7Qo/0j1btPWrMOYrIPQvksStGR06D2YL9bWeLaxhIDHhd0ZsaSh
wxkeT9tKoUKECL5xbD/NkFZIsLc05hQshBEA90BrDa3x5iDQK4buWZ8cBrG4zJ1LOi3gM6+6Rya/
G5scL3PHIHH8OGqPySQu9pJ6hSAFjxufoHzLupHQ4Web487SXF/1+4Bs91D+dvK5Hu7MbnHGNeSC
sClDxIn0M4pguLgeUFHLaBMU+8F4XPyzDY7FuCMH/OEVxXrMahp2xPIH4XnI8QpdTqeo4jKmkUh1
dhREr/xXbf/HguQtI/CkmG/0D11q+H7oL7HAqW5LagHb45nFDsxcP0FXbCoDV3GRbOMsugwQAsb4
tegrrAfU0pJVPQoZCL+xxSPqgWl/UfLJ7TgMsRNipqnwTXnovKxWWUlMOKxV2mMOLtE2I8kVchLA
EDheKCTY4uU7FiNR5y1NvxrnavEJ4ooK21vAS1hByKAsmb7VwJKLZf2HeCEwe5ur7xwXul3BNtMI
4Sa7CXBXhUm51+edxlsit0l2iyTvJrYjIRVLX6JHI/tCSDHTgwipqIv0pNGaTUCUlZxw3B0Ncqri
J2LXAr8cc+E9JDyfyEuzybjYzU7DoK1pQH1Lv9tBsOrVrXX2KvjJ+w/SKzMtvW5dOWjy+TVmEAS8
P/vQXVQLlpS1d6d+rUCJRTd7uBG96Jsbq4dajeRu/ULGyrO4svE9cNP1dKPZL0tQmGJHcu/mOHLQ
oJCip/KeqdeYgA66Kk5LSv+vGR7xtO/cM/pSmcc+hKuFfKTPF2FY0Ndf4OCFqz7Fc90HdBKI3Bw6
gpuMlECJHa9uHqRlr0Vu8OVI3Yd3J33WwpsRXKPF5vHHJgSfvdgcWr0TbtzuxXQ3Jp/PRAdKVHqd
0TckFmuBAN5Th5jCrzCJes49IyFqYWBlxrQZtUcyL/uEskif4l3NV5tavBQfHJf7LHkPayaEQBDK
/o1yzokJKRDW7a5OuTYZhDTdLRk/rek7mA69iYV7P0UvnsJZ3G4zzMXZdFvSVko7xMElJcg/XBLO
wHGfzcTVVywtACI1e3dL3ZLoZA5fADLM6WZ6bwUvZHmWHL6ZdksBZ4oHifbmgTKPDgJbRshQE4xV
uhlmpISR9qb8jDrv7GD3i/G7mcgbUtsJfNnk+hkOnVoq/CjeOs5TVeBM5SqbGbw3i8FKW+W4KG0a
7OlQ2Tv2qK1SZucTxW9xFRPQIzA2Dm7A19bTMSMSp5uh2pU3N/wh5lRjcKaz07GkcWwJumbCrDxF
R205wnFDts96fwvItZIpgpOG5g6858DMBkDOsFHJGys98My487c1XCrrNGPuMkrUFpN1R9sgFlvR
Ifig6bDQaPHGg3SaMK26AGvFvqO9loN1mKa9bbza+nkqn9P0apEFjDPage2U/WC496LXbHgs62so
JaCQozlR6lLig1ucb538HEFruxQpxiGrjrlZbLXxWGB4897daUGcgkTrGXT4U/e3639xfG1NJGKJ
oy4jLcpHhT9yMTukK8OIn83G3phV89LXlu8o9zzGoF4G87hYRngeimx+rx37IQdzweT5rTZtFqsY
nwva39KS0yQXckv7OEYAiwJen1vGB+ZglDDIs8Mmw8zPwJfY11rTNN76c2WGmyniGH+fFMmXjhLw
aUYaDDHH1e1Tivo2Q/rLeO2K5DTnS53yZHoD8dHHMblrVM7LAh6dBl9lMa/oypxfLBS/XsF21f2Q
JWhReNaYCuXze1v+6XWCRPFzQYYxqT9U/9Voh4h5mF0x/LMX1MzD3L9rkgiEDlKivBjUYkBT8TSP
vnCbTVOc++JvjsHHm51Nrd68tKK1f+vn1WSU1yLnebTJXctHgj8uk2iRwHI451zOamYPCQsz+Lwm
5zXLD6MiAJ0d4vHemu9Opz3F7CXJcDd01mc+c7vzuiVGyMorBK8EdtTRRMCyfpzhw2RfE+oY3KoE
a/Y5b7/CkF8uea2oby6GA/5MuxA6DYe9WTtMHKHDPkahjnsLNVg+KAysiWdx0b2HBtdJZNAG0F6x
/8IVKBB2+1xZpW8x5DXYlNVijYimk7loyikX+vey2CPH0KVK1jOx9yv4kPKzjndR8myCcS7QnIV9
q3D65nwSyGWbMMHNgtKhnQhk02jSn+FYcr0Xc0rWhXnsmC9mSwdOWWMBa7eqjHxF9850ctOEhDH4
XRaFt56sJxOzS0Z0CFj90UiwJxJKcNOfOisPqgrOMNOPiXHVtF9hXhsGig7diV5sUTbcIOTveOSU
jjnO02FBLaNviKnHU8hpP+3E/FZ526AM/dp9HFs8Me1WjofUxM0Ub/U6wcH/EnrvQ1NtspIznJ+U
VYhrY+x3seNt1YLAy/HHGu1HbLprPeI0HIa1I0b0UYoW+AoNJ2mNETp1so0TPZSyO/VU7wCqdnNM
7WKxcLQsmKRB46DGGgu10stncFansN2Zkk+9xjrukf0mgYVa5aUTNC7zAP7pNMLn01TrM1vhrF1s
3LglyImioiWPrH9aT9GXrgOy8BCA5FoRbfK0p5B4pW1UlxH9qOyeSpB8iIumZq8L2/GhXeYsRYrx
r5WR5yckuDQmuRXO42E+MSXYdLLeLWVPxmx05si2cP7rDEmcJTrDphr7l6IPWlRFRjN9Dth0l7Io
KI6PU8UZbqiz6tKtqWtHaTq+xY44a4FLVfqGMPWesCvzvBn0No6wBId8Z2ybWruAg/IrbAWqCzYB
O0xrfJqsI9L1CA8vRqZOnEX7nqMUiPgl0g9aiqMh5ZhBTGnsPwPRO6upWA96KVx+YSY5aAhWTLv1
OfYLYpsDX2lw4x1T3VNXcZ9Pxt+qGh4gauMjpFSOxqdsklBiiKSB8z+Fqea7Zrlu4BmGw0PKo2WF
2oHK6BjBL+G42ge6PFrBGaDufgoPhGmZCOiAGtu1pU1PxiC2be6taz64KqNLE2FS+IHj7pyAes77
YyTjzxyjY+HISQume5HpgnGa8QdFeaDdgKwyUDEdA2tvEFDKhewaHHKGDqHpaSetiwirl5N29JKw
/kjp/E51IYNr75r5rUuKmI0JVvAK663/I4rKhXUqXMUAgLe4FLG+tkAdPmRzlFJxWXwwHsshOQsL
JinphBowKRvcZ15u63T6q3Ny3vOe2H8r5gsko7/SneGsSuvQJzzpWs96xFgt8/o4jpKVrmmsJIo0
z7kSG8MXZ0cWA1+N/BaFNUVFVk82VlvcOu2M4zyO6gFzch/cZS6yXdstWK08jjklhrq4uLoZMWZT
wbpjOSZG/iA6Tm0FVx/Q784R3KIeCYatmUUA+OIF/WzkTb0tDSN8EEivqyCqtGBJoHsb5YbWziKD
+MG+yRwDymijwYxxdYs0uS2q9FrqFThwOCNEVKvyEWD5SWdVkafwEoUOgYzk14051raNbJ11mRn9
H5m1gFo1M5yusix7G2NA2uzNiLkW9moS1mU4hYBvaBjggs64DWwzsDHqm+EeH0IGTqptptvoTeOO
aGN2q5quOxXEZh+0TF9mbCVXftxU4krtRHACcIivtfmMHaZQx7pKo4vuTEAYyA3nW0Pxu8pjGW7g
HZXPVW7yGdk1HuE8sJ/4iWH5JfCiiIV5y4C1t4bHYByXy7DARUmKg41LU18wtoy72flGUXX7lSst
hwQQIGkLlSDBLYEmiyOybsfoGGsCQGwRFuE9thFfeSyYMv4fDK006TYrWb6RWlEbK+uC3SgL5q2R
J66hxfqEebKym9JaySijKT2O/t6+mErToEGCZmbNVsxV2AUtXNXWa1rwNRLeP0ZZ5b6VCIveqpFZ
fOBjCO8iKCXbKt2UfIUrqeE90bjtdhKe1vuhl6GJAkp2zpYyyC71ebKrWa/zmKD4/pfdOMa/rWux
WMfg6egQriH43z/WMVg6Wb5kZj+HNQbvucuD2cTN36nrDiErm7203romnhUilU2bbbNGwewh+oSb
BGjtxaV2EA11NHuP27F8hp35OmJ3+8+LPf59nYYlMHct6y0cwzKNf3yPWR7MbtHDzA9a1Ihg8AiY
cUqxuRoDJQyb/7JN499WltiC9KfpmYJV4rqp/2MNVTBn4Sw5gTY4qdRTyjl8yMUyvMbYsf3PP5lu
/XNxx/JnmbquC9cxTd3+x8qSXExuRvCS7bZRtyR4yFdvi5k4QA7smhcRcha7DJNtZixbhfOeRJut
sX9GRZlvuYvmXHRy7ehF+F9+Cdayo+Rfdpj873fmejwYCPvs8f7XlSLmLOXgph59YU2XTh3ZNty6
bHJyKBy7Oj9EaS/PYSkxhcykaOeGTX2llcpH9mi15IZb+7PQ7Oyt16Ps5FSR/lW6Y09LE4PSNnGF
C9lkflzO2UehN5CIFroIfj7XNnpmAMbAkiixkJPYJWRWwAWg4Yz6IheofT7VzbGd+PztDoMdIplx
TwUSbIehI7MSgrYOFkjpMIYcmKw+CsODk6TZQbwHW0kZkUbj3kWc2hZGWv+wzZChN4MHzBv/+RP+
t2eXW0s40qXEcQz+lH88uzoeDNG6rN/KCoiYjNpB/LS3JA1JvOIF+i87ynTj3z+1f/njln/+/xbB
mMtPk0Ro0mDxJUyrfIB2x7lOjIz5dvXEUU+EfbglMCNMU3INWRZe75zRy3/+ubHx/eu3AilIWIZr
L9MlXiTX+McDVECZ7KpOBJtOw0Q40/mirHcL8lfrDlMR7cHS49J9GvUH4nK7qWU4TD0Ha4ZVXKS1
vmOVAmMmZZdTqbaXBKnZZLqma3/AUONMOsj6QSByJqTVSuX5XTGvS2b5hMSGFBXqGgesOmPXsM7P
aWIs9XDbs3voy+7qV3NiXyXtIfh7Lp5f233Rp3NtXYb4BzyMLxusFcHA2AY5SYPBdJrtcVyVQ8t2
DNA+ims5brDoQlDITxWUZ6W2coL9/GZSi9XEJjSyqZH5aJK1IPbgUlgUhDHqnl3LyS0wei7GDjgC
f5tGfd2SR2J3BoQqvk+2ZuU01Ln0pbdbEsxIODrT0HA6s9SH5SWlpp1c7BlZk5wt+JvFzD3bsx8v
+klw2nBJVcvW3WMityFo+eRJaJdRvUXwwWeb2nQp6REKUqauU/mQgsPp6lNNfafQ+VzT27kekyD9
e9TeF9gEOy5Q/bU7hcvGar9dDAYI8X5KsLqjzV2irpHR71SKYRnLY0/EE52PTaN/58a4AUN8nDza
tppA5rAPOmfNkgMy1uqUob1Swm7gF/3vYCNvXlz9s2r/lr2z7R2eF+M5R5UGeUDe9aWh/pkLm6XR
7yYPj86GkYnYhY0lXhpPjoz8rHkmUbpWzbXwXqS3TavHWP+rvBkny0Vi3lXHjpFai9XFYHrfB8Ol
ma6N+6vBJTMFVux9hPVXVL7rfU75b2ZMyLDWJqRd0aQOwcfBUqj8DJZ7wJ0OKcSrkDLykIzPl2la
u57EGHH8Tb8sg6B3BbjpV+jiCB8e+pGhoJibDIis5Glq8INR9GNCj3c9hV/xhL+G7XyfNkQc7FYb
1gxfljRM/VkvbYfcjb2vOfBYQLfAPKObJuuMh/I6ud+Y1AcWu4EXDLS9sHTWqJLQrcttA2OcRY4b
KgDEXZzT3a5OX9wZAzEudTeqmJhRl3khq6rYytrN0HSm33zEH1nmD531PtXP2myuh9H2dRFfHKs/
Nu6HHRIkyfd9uDgK2azL4BnrXlG+dazvbZmzOOX/EHYey41j2Rb9IkTgwmMqWtCTIiVKE4QoA+89
vv4t5JtUZVdkDqo7orM6ZQjce8zea4uZN5CxRmItkWotig+Wv0pezyoz3jeBsmJzt2Q0P/VJfzl2
NfHb/fXr+FGJU7EBzmiW/fvxE/aKr2nIqJA1ZbjPslkpELKfi4HaVwBcS5k/dLzc/T1ubCYUJzRe
Tz0uBMgUM6OUliF0CQSViV/P0oppZh2FZzkTZy1XqwUKvK1VgulsrF9aJXem1mR+K18N/oQgyRis
HAyF6zm8KsEjpJN2Af325obU4nnXn/WmegorGZUP/fUExXgphpTc1hyyConEMugtU6O5JTWFSTKD
erXm/x/wsnqlfFa0ah0O/Mtxnq9qGih9SllXSQdSb23RLSPsoZ6yMBg/wPFh6YnQBfzBo/O/KwE6
T33VSIgor5705jGQjjmlrFXjPWeod1PzaFdkJe0Dtp0ZXmaW2S7rQlICAARBUmGYK01P/qQ4sHun
r34gHK4rH39bMe5MvbgmFt/2UH6WSbhPUma9QG21rkSTyl5LNas3JmlAYj40HRFipm/7yt9FKod/
Rt5B5vP0mM8RBKZ4iC9ylDy1RPJWPcQTTyyCXkG9ibespoOOsrdoktbazcbNalrzBqIg5luQ1Epm
rUZSAyadlFJbt7IRb2kbOzXDJVOtSAmjdWvpKYxLblRwdMO5kryauUUWCqPf7H0YwKFYr4by5Vou
z7JjAxINUzqIbiVlH3r1EhfVtulxMFGpGejWBzDMRsTujzXOUAWnUibtuC0Y0BC+EiiAXC5J3Tud
huK5Xrak44DHLaFIq2AZIPun3C/ZsCXTcCa8O/FET7BKV7EAnSYm0DBxSkxX4uiq09j4OTs4NBtW
W25JXGQI18HSalasz3p5QNu7Zppm8S902sT5CueBeZShUdXmL6aRBcm+rg3Apk5mfHfEA48c+PWr
OTwEH65c3kKgzUO3Ibh8YQusYCufzYsFiT9NPvMW3Dkt/4hZHhz4ohi+bIqMDLeoOX6YsKIlQr9i
Jm+DfuT7lvRtgmmaCSJ2QfKGhmhnD5+gjaNhlcu8Y9ikXQ1zITsbG4fTswpPX/XP2E5nccjaHstK
l7DRx0+VYTsy8Q0APZwu+8r/GUiYUTs+8aspJ7uIhf+sI/GELO1iA031SVQw1cVV1b4D6TBalxGC
gD3ptOGssD1k/C9V2xRGh+fUTOiicq4Hbw0JAhhsKwW49pEaQu4vAUsDDThm/pNrP4MujgG+0No1
jjUQAU9a9CiJhtgZJWbYVBy5/NmFHNpF9GBOPBcgKOw2vQfAhUeqoRLwDpWsOu0linlmV7gR6+sY
hwQBBOS5n9pCvQ/SLnLJELjmYiW5MC3rnW++9QNqjXJmGB9QR2bJhIXuPkmXQoNfDNsCL6Z9xlNT
ZOfSiKF5L03+9hE/AHKRgWMEeN9TU+ozIyzQ46B0JgTDcLHu3s1+1cTjctBwuo6XMfMIZohxfrwN
WjmvsSEg5af3QhNWuzMpwx2Fgr4appVQxWRKLwgr6Jdp9Sx9DyaKfHUuEtS/wWNER9yz7BLWlrdu
eljq4M4GwSfnl3u9OA/5IaTGQxqs1UyFe8z9rxhj1m44niV73IUmduh5WackTNg81EzeB7tcJSBP
/L+Urr/1f/9/c1hiantskuPU39Ibh1JCalZMvngjFVtYVSCkJKLHtTKSnT9Xyab1n1+Msa2wbGFr
ivZbwS4NVphFow8rKtQd4lCOXavujH4eSS85zTWFS6ielcYJqbEkDXtez3RPzWEmcVOwsYrRtnMB
Y3QrxNrMLKeiMgG+L9UFv/dXSXmRFYf8qloZZnbpQB1cK1gC05K57UMWZKQODxueH+ockSYrkAq4
0dGZTygh96n0bMx/zH444KWNmjgEfdnqrkfLAR9NTw8ZBj22mhX/3bZOy0A+pQ6pU3np8TdBqURU
/ZDqg1bFLLXJPy5VpjHdk14dJWEu1eDhohad5ESRks6mFYg56RMaeRMPTk0JouAbSA3xpMvLyVWU
T+MnppWT/6GYCCA6gH5fW/Jzoe3sT5x7bfwoCWCU+3TelvY8a05Dxh0XTy6BszXs1BZq5sjAl38p
nvx6iCJCw6Ry2QrG4xPRuvc3JlqEDpBOV7FlnSTtLl6YJx8hp4XDNwFD4DpiWCGvVfULU7qZNj6b
dOd+uk68t7y3FwVkCvNY4V8Nuh8DM0JGIau671aSb6WQ5GVfu4WaecnQ4XSGum5Ua9OnezRkvjoe
sLPRyD4gaIBqVNme2Fs5DIkVIvSI56JhtBjvlW6Z9WepN9d582IhS/X0HuPRGj9n0lgLU7CPNx2U
oSVQcivXgXEQSe9TBo4YYeaesZV0RlDsuinwrXE+2FS3U7k8Wb3gtePzyJrbr5xBQ+PtHkC5sO1E
s54rwdkv3iMKt9g8ZNJWROvGf9fYRZoZCUPWO0DsmSYLp9LNi59e8mFAhJDSl7pOXh3zvLzxiUwJ
6TG9zrmz6y3leslv3ALAXBsnF8UDzKXU3NnfMRq6LEJP4S9g9GEMgxIk88My8ePaavrLBGjLXwUL
0VHDvwP63IrwTHFsk75MrW1fQgW94XC0CXaoeomQolsNuI2WXF2HSC7yYpMbqOY6ksM8Soom66H5
SJH+pAvclz2fseFvG1nM6spzDCjcRoeaSAUc4Mc/zKDAe11iA/8PVV6JxogUDU1CMhO/Kaaj0Z/Q
bdGQC0APuGjjgcyOnvclPDKw4Hl7StRnijbZ+7GipU7JqbZgZ6uLPb6NiBkEEzmMkZY8l2UnxeCv
6l+q9gVh0DEwlOiag4PoiU3RU4BWSHgZtYB7t6tqrhFBHsIngCfoNfo+q1lxA8YlnXw0tlWMeB9Z
cVc6gbkOID/KFctikriYCgIGXdmsxGSXM+W1rX2UN7wxdOvpF7i+GQ69clh47kpGx+SHsOUymu5T
D8ZKpwBMiUXT7In0ijAiv/bFcxK3s155axKocg03kXCPJZaPFIOdztOqIxtBQOwhmtOjj1E+adAc
XBUbSsM9iPBqWXUflDZtdRRA4dllJAC78H5N4TtpdTXR+dMYZnh5BXogCbIA4DRw0aZ77KrLBLgU
tPAqVnFPY5XVLrsG40JgzCNdXin5o7QikDCCfSyKT0LgQFXc/OQtik6KDcUhMqmj6rUPuEAvwRrg
W0I3CsZJTnCBqzuKr6614LK9mekne3loXFgeI3QNHtjQApNkyZCbyXTZwSXfeko0oT9RF3xoOVj/
fsvAFS1OMGtlpFL+TaVMIR/HT7AErLz6MLC2zEzUk/LHIB6CYspu9lFA6sJG9OcxxWCi8OCKTSzF
6zIp3gyNlcCoOX7f393iV5DGLejLQyyuk3YT6eEC5ypyA+aOA3sjDf0Ga1HFw3qklOgifiqFX1Jb
gLFZ5tFBj8STLHhw9Y7Xz5pH0IX4cTz5oBqs28qrj2YcDbQZr9Juq4ApDkbM9ktfehs8DNhZRMUd
E2/yNYRbVO0B75yO+mPWe9sCvjGpXIyZ/XQFWhTJuwFzxUkkojIO0njL0WYE2gXsiws3oCpGWhbV
8RuEC4DNIUuXhVOy5x8Mfx8rrOUD2LQ5OWzeW9jHa4quqnkCH8fYiBUI4NClrnibIlcWUIxHlEmG
dstplvzUsYiGqeiZ0m4/4vb34rXZwV4Q4DAOeJiZQOI0ATFTtDBFGsh6VoAE7TPBcB0AldBcdhIu
vVn4RXYS9GDKW5PDCu0orbLo6NR64JTh0aXpllhkKd5n29aboLyHkyHZ9CnGrtokNIg/LV9Za4hW
YlhloaDqHWGWof+JqJOZOfLOXrxqDWl6lhmfbpLPdOVs6vBQunLZV1R9mr1KB2WSlnENzTwbp1jG
rYbUUbAWU8DoyuaygGFIwklzqZBZyjSXef1dFDcfE0nhfyuevbbGks3om0jIj7hK8g+Y5s441dEd
yVLXNHBEGEZQn6J7IVww63CZEUtKyTprXWJNHQFXxes2XHGu/9Uni7Z6NqsrwdjIDfYBn5cmq+fG
zglf/oR1DDlemfN8pOEmgBlZMjOIo9eWTYQPVj/gCTAw5AyEgaTFa9veVH7fo2rj28N9CO/U+9Gs
beD+YHxL4g8ffe6IlLsRXHThzaOzqtG/c4uYDAMiEzZO09FknYkFQ2h5yTL12sfAvBIoTlORCauA
UTaX74eAk0LduYjdk2hx5ALyifNDxSeiWAwuPahYU62x8zPmLAGakgBqEZvkVg0c4HNrLAFPkhw7
5WRaJ6SD5qlHWt8hvrfNRd2DiUzwI9MLhZqykcGRk1FRUf/QFWu92PjhMBuNq431dTK3qQNjQqRA
Cz0hk0d6TeQGO245Nek8EN0iyzcG87tI89mn909kZDNkx+iHJnO4NI28sKJdo3/aIZwu+n7MfSJ6
IDquKqJ8s+04XA3K+Ko+yHG4bLJ6y0LPGXwLVQWuTRE4RSQ93DbgrO4+uqz9UkhZsNAkaF8lqoUR
6EHBI+2dSrEPuBD6wWHPTgOSPll+CUnPtB5dlC+YGCzGrz/X1r/2NP/YYPyq4zVZZ2dkCVZHQv33
LNzrPREnIV5/PMsmEletXZYDtgUXE9KjjANpYVuIIcuG7E4FbdtOWGdGz8lXkocCFmUIFEICDAkG
n82eb7qLv3yD/zUh5xyziauXiUL/fURlBEHiMTflG0yGdIHQVJt5dRTxy+21RS0iDMG9bIujCGUa
tMKq1IXAlAc710eiUoTgjf/8Hf3XzEwzZJOj0zYES7B//8YCr23NKoARhS9NPgiqxpMsF8ZL2/YI
TDpbA6QWDe3wl1+EOq0CfvukdJVNOJoLU1GE+VvHFUuBqLSE+Jm+tMpnxYfq27q9tMsMQgRrV7eP
bmHXJUTKvFsEUiTNRjs0AK27yjki1xZoG84Ms6hN6hkOWz3rh6UUMlm0ZQuvVVUOq1ZTC1SklPd+
FCJhlazumPoKki1Lq7ZV13LG+xHwtNqUyBIIyV3Kp/3tdEQo3YibOtWK9xyFFKHExXdVGBDx+mkh
NwzDQsmT+C9bz993OdPzq2MCJJFa4/fCDPPfn0bW0M4xFbPnwndH0AFwnnzffBiSXj2HGvVt3qf0
TFWtrcIeOlIkAEyjfGLlJbXl7c+Phv1fn5EmdJtlsaKYtjw1sv/YLOHssPTQq+z5CKx1dNUng6qk
oBrVXaKgQXAbhaMb3UOKyQe2dKd0OUT7ejN645FX8S6aYBkFDWTqZlmQyYBcck0UPHOdM4rDqyWn
S80duZGbN71/Finm7RBFrL6slCmbiGkPfRoRnjP65XmTF0RbevMCfUygDEsWx9j9cC6RPCLECGJV
YqSC+4fUSw56mFNV9gx9f2nWzzXAowhfSqHkC53WJ4vPpj23uuzYxteaBTzCcN5IHD7iUjQndJ8b
2V1XE1qUiatvH3ssAi1bT6rPkDCLEDtQfGrSrcjkBYlubXcKsJr0Wb7oJWtu5I2juluZTW4AnNEw
w32TOb6xxbTDVdFklG7KrJcp2zGcC4WRMxf4xcbE3KrtLmPb/udP8reN5K/H6p8f5PTn//ggLeAU
7EFRVGHH17AamMoKDKSBkS5KyUYCK9f9ZaDyH8eKrgG0nNaBhs6J/O+vqPWFNrQBX1Gx5G6fgoK4
6V3cbVUrAD9U5YzWvEi7/PnHnJ7H388UTn3TMgwdK+fvh+sQSdlgdbE9H0RDVGtmNpcwpPKQw7r5
yxTH+vOXUn+b4SiWAfCviuy5DUJNSMTpilHej2r8UTO1nXs6JswwHD/+/AP+5/mgWZbM9WGqKvKB
f/9aZeKpLXa6xC+mCq4fGYwP4PZw0edpvJA0wnS0rgi3rdlTM5CQPe+rHuaJasM+iNv6b8eV/b8f
s4JYwhCmbbPB4j9++37wJNpWPdFMe25Z0VJrSmwfod8AZ/800dGFTQKoFRtMVtff1VCScuDt2thY
GDRsbqstNI8FV0MPapaMfVrtQIzCJJVCl9iEYMbajv1k6oFirYls87BAJ/DQYAmNwCKST4F3bNQb
GCCfhgG7w9UB0npTYlb7aYxiRlAjZJlsZfjV3E7KZSdn4CIwILK4EphpJfUK3J4T5VCyhu04/quG
Bgf/O6hOh5La7hQ2yZgCjYJMrGuEiZf4xFUrKO5ofFCcheUdYxWUfkQyAFblBEO/jzmcZWMFGjO1
SXlT9m05gf5f5anOU9y1T3pyn9xNbjKtr0jawi48gfp0IJ1kI+TsiMNPLddZb1KhkTgoQdoxoKmp
/SmwfRabw1JMfYONrlAnngkLGkZW0DchBDwGglXrrixNWgaWtGjcb3WKTIUllXR8fQuDSQ86iYw1
2eW6DaV5z5IgL981v+fA9OeB2zvSuNVZ2iqEkbX1UQFCspAh6WiuiRUJLX/J2JhMP8CZSMD1zJrZ
oe8uy6hYhy7tiqouPPAWfZB8yTjjFHMns3CVx/IlC2VsV8gELLy8E58M5ylgmGAhOhBfQ81wu07O
adEfFTHwEUUTHzNBX0xAynVksxx8pK29JnsGO0ayq2R/mcUFeXMdP6Z5SmTruY7rjxh9cZEG87IN
F4ie/QaXEJ+xgqexTpqDXB/qrnZsg5NJmrc+70l6Ryo4VxqsrAlJTfyqVEtZhoOYxxhA8LJi+4ZR
SRxtuZZ4BCONjymH9jXpgMHJ/eVtn97mf59n09tFWcYVbOroKv/9dvng1eXY5cOxQgkJgTLUCC3N
YuFHKs6wASNmHlTa3ZSK4Cfu/fAahiVuI6XKqzXq9snjUYty/+fv6jf5EncJ35StGoZp6hqKqd9P
9kH3olzLpLkXWB1WjVqCPJt373/+KmKqO//nZ//Hl5kO4H9cWZjqRgrDnA/GQPkPkTZFUlJKSROt
ek34l1I2srM5qO7OkCULYhWbGjmJvYdtBspfhFH/e68oKko5XbVNWZEN87dTd+h0PWtaPgcBZ4Se
EsMVyVoVY7W6lF///IMr+u8yrOk3zMVpK4qu8BV1c9Lv/eNHx/42JKiu3Lk8qdaDcTn6t7iEI8nb
zNhQilh/NY5GHiAO5OKpQYOl6G+0ORuDQzMZIFe4Tg0uhvQLJYQ2iMDUS5wpqtRL+3VukWwJZ82I
QP5B48mgZro+NrSRVT8IfPnJCnC1Z7s6OMWAUARGsRx2vsccSmQLXwOgGShbY0JdskwHkTNozxne
g8pnowk5u2A7wBvPgORbSPuuslcE0THZsUG9QG5ichIhI5U1JrIufAlMduqkzEeUw+pZU+6+TxYn
sAnb+IkYP9YxNp9WvhUu2ya21XbM/epeMpb1narOanlVFOWmYspZyP7cyNAWZBNVDzbwzo1vBqoV
qA0zU2xdNoADBnSJC8ZLmeiAjw2BvIaYipg1eWhoFEA8Wk87eJ9c9Yq+gyK7K0ioVXG1xJPlOYfS
eqOBkxn1xgys/UGgqU1plWGTBMQYzlGxC3kjcG4KWSxbFr+wimAYV7NYpdhK5UVaWY6KFSjEFpD7
G1nfBdm3xZw6AT7nMXcvwYf3u9z7EPFNQBqtjY8uqnGuvEIbL7p9bBR8tCqzZ/Yq6s0gg6Ewul0v
Ln39k6s3K+wYzEZg1sUqp+LTh1mK/kULPyccd8R228ZfYaYYGVlLVAhNVAML05SlebQScL2kxljk
xzXosNQA9yAeF8+TiGW5p6yvdWmpAgtze4bOJktFbZla/RpcBYjujwFkh/5oCT0dUFk0yiFNuEBk
xnLTZHgZ8nstxMX37oG9r2VkSwUGT6yQjGbBk/6MyUnlY7UGmI39Z5Geo9KfAt0gd70rpgoLQiFB
dol2gnElWHbUTl+x/516H1rHExZxf6503WHeaIQVdwJuaKSKMj+yhWa37j8G6+b25HESdtzisBw4
wrEE6nwHzGDm0nBk7A+QkgIj/VbwJbkTzfNRy6+xsUFtnRvnoD3q0EciY4aBguhK1JtPiVtwDTwC
BCPDp0CBnT5X4q3n2vBN0CIfqnGz2a0kyDu4g0aolmENHTlfsIWTQuiJrFXIvoGHtzXzo8ygCjoQ
5A8BrHfVZIuwfTGZu1vPMSZdPKgWs2kt2CfVe5nfMEGWBn8dDpbJjVTpOTlJVPfM1a0E2z4pJtnP
UKwV/UAcmQyLIBicnje9Kh9uxyoEEtOP7x0ynzUGSjiAhSFQAu+UlC+SjuwpVOF94zqfRmd8WhpT
xvg+jDLnPwHWJPFFLM8tved/5sFdVtkHPrzQWquUoBDsTQKLlNhlw8kMw95laNFCfW/GzwPXdowv
qetemywjf/WIw3duNO0s69pFq26rZIkYlNmrS18IkJCIlfigNMVmLC4WDrvO3ucUEEWfLHNc08Yd
D07KfVDwpqX6hgk+yOFrAALHxdCIzGPQUiiCD01599HZKxmgApYHU3AuQqqyHpxO2SrBHmXrrI1p
xeCksXePE1Rz5bpQHxnKA1cyZkoOsDWF7KNgIJuWlM+VvJD1h6YezMlTHS7Y08cAOGoddSxblows
ppyBvfRK8qjO3YyLS6/eZYyTpv9SMUzF7cbcYjU0PxH7On8KR+FgdBNyat7CauQEgZLtPkX1j8tz
05BLno8vHgLCyc0f7Wtvp5LaFGMnVFPyvlbkyMjWweTvyDDaSx+y4aisBcrXxMSPdbS1AFEc652h
ZV58Kqy7yjaA4tOTSCqXGoal7ZOLr1+VBJ+lEwhtE1SnCPtgi1a/qeytjp3AFktTIbuZ1xUBSEci
qPTWhj8qmaUF4js8/nn/3PcHWCYA9tgemHOjPUGRgBPIsQtpGTrpTBBSUGUYOyBZIhrd5C3GrgAv
GzsurRyXdVs7rYxXnCS0PtCQE5CKR4pkc1Ewx4XyNowfiCsXuKG+NRZvrX8eu+4wylC3CdxsJscm
dmFtYobLJOjZjwpHEdUhU2jEkyyKbekmDOXWIGzyqUBNFjiueeeJV/xhhpZn1mvXEhR4yWLIlzBs
tTzEvDOj+CG2dF+qMOJ69t8F71yu7+Uabq+CfgpTt/CjrTpiKxF0OgWm54isT6w3QRlfRZ+sO73a
EEad8bdT1TzxMcgt424MgZ7yUjEWMVE1KfW+mfQ+H2DNceppKXV7BkN7CgN50gwii7zNwIwwIznQ
5s/5IPnWINnNR9vkH6YfbOml1Zg8zJa9KRGlFQ81nmDOerX7Ufudp38GPcljZ+HSEzgWQg/dJ5xe
WalQ7TRueKyrWSmwmaJuRbvuJTuZNgOdkZY4XRXMNNRHfR0ubOkzre+iBjcBxIs+qaXoDtsfuVdJ
2sJDxC2EQCZGsGY87Iw12UmaCoOB4ChWThZ35SB9SWLVKLjiL1FFWliAu/pMXvc4ro38JRJHnTdW
NVAjbqWpLCquvfxqoqlsvYM+IN6Lx6Prfblc9qpegYRCeudWJ1WkNH28HSCxZCZqoiGhgdNCgXLO
UR91suONF0/jHkO/3LzWRrUwGPbjRGcxrJ4Gdbh10L3l98G7VuQU5UZ9MlmC5Mq48cJ3kecOdzqa
PwCPtgArSSCmLzi5rBI3bK5FW8WN9m1GP+emzXcIn6jO1blOZmZhg9dqr5JwT01CD5MiSIL8jykX
cHGD0kaH1BKC9OxWpXwaAOHFrL+BhACqTE5ahe5yE3JuFAFqagk4CT5YtDLuB7ZEGBc/JMmX7EiN
txpRtRWwnCOcnlUasSX2osP/GrHbfiVilUt+5eNa5djVvDc7PwMnWnYKXG6IIj67GD/m0HA/OnIF
Kg32ahVsau8WZ5AqOFZoBp1EXM20hM+XzULoN2XKgqsEhd9K6zzDVcsdFlXUf9FrYB509sk1uJzc
XEeKg2bRde+99lDjfZnRFHdcSGISRyx8qvBoEjgC+UrFVW8xY9OEgU1f4+xC9DkP4rsYNpr/mBiH
IEu3gzrX9NaRzbUq3TtE8D59tmDYG2WUgxqkmHRRY27JqXVxq22QALdIy7WhwNpItBFiKJTIozcP
cWsBBjMpe4nNRn/XUqMG40KPtzZ98jBADmCFlCAoNHpS3JFte4Q7oEcZinnYcqZIJ8367Fh8B/iQ
FBQf/YIRL74sKFg5+q0WB+ObF7wF0o/EpjVMXgf7mBYnvf52y1vgnZrpjeI+FBUbKrQIZBBCoPts
baeyD+qImhM3pZnNU7TLFgxFud+FwQ97mUI4WbFz+4I3yhk42HUi44EEBpQ/6J0lrp3Qx13uuKG7
aDHtRo3+gXfuKQq+VfziuOrVlauka0LMoEVjj++9tTp8o+rejnV6Dj1A6CLsXkTWIddntYbCCSEc
Kh8uwYVXrsFJsnMeQY19jfnaiDpn8Oqdwl05iVwq7J/R5DZSoh25RGWCRgbZhv/VxLckvrJBdPMp
sfEU9Oj19Rfmb9u0iF8i6gx7wjK1cAKMV294DotbWj779TmK3gclI1F7XMQyRa/uLtHJjrh/2bvB
h2YwwCpUyO/JMK5YclFIKwusKIta4e/KPvIE/mIsL3IOHObIREEAVGYgH0hZjkxyMtoHd7TFyOqB
M3QAPOFxlPiN9QZILfa4wO92Iq62ceXI7Rrap2qf3Y6QntER5MmXg3UwqM5kH1RBXB0jP+VHvfQk
yyUMyeX+M7YOSvBR+zxmzZVAPfwHH638Ufn5smggIMAAUQ3/MtKV1QUiLmGj+L3o1ntHZq8k81Ej
T74InbNgGSmnMEfWN8/Q6R04BXr2cdVSQJ2zV9hnS51h9qlCiWKCTscj+hHlV9WaSeSDqXNAWKaC
UBkmFkkSHB46OHmmbcYsfvjFS2V+4V8K8G7qs0jZ2t2BPN/CfQYL4ollH9bzxNgFEzl/F/JU5uO6
QzaKLVWPUb3cZWOnINd1P2J5m0Y7bHG8Qn5LymD12hibur6P5oXoIPwdU3YU6no1ewsA0cpvVnur
ihMYrdx8DOlzHB11YMYcbJyF0gtoP25OvXnKkpOiXQ2Bbn7Dq4H5Aq2AG62mQdmo4PXeWcVasxwZ
K2PSL2Ltzecdka8YuzsYrznBWpfAfJSDUyG08ewVIcJAmWV1U0/ZaYRUMYJC60Od7uOUh5UcvxL7
E+v3GFldaZ4HhGTKymWiqBAoPrE1AK3yDOWDPu+qF7WcF4GTQ2skj71zX9Vm5RYHxChqd4oQ046n
imFigv1fnnUQy41vRX2LY3QLpMABgv7myVYZBqvIBjjKaiZXSjqH10IUNW3OMyasKfWwosnfSySj
pvNUO4J+za58SQSI+fAkwCEUiHyJiM15vnV2zyQ3LLSUzEPYgHsL0jsHbL/Hp4uHBI32WB+Q5Llc
55PLAJHfuCZLr9OIlnptlDVTsxQpRYem78cPCH//YO74VKI/tOw3xktoWd5qd+MllJFgzlY10oZw
pTZcSk9V9GLU+/Jk5ntepCHfVdzn5UZS+Apzv6JM2UbVhi5clQi3czigpdcQnHUmfbndQh8Pbvku
D2/0eLRFjUrO9Nbon1EMuPqhjdYm6u9oUyHTGc+VjITggbKdS71/78ZnoV7VYDNRhNNtHr+PAN4w
JX03PEnEusALAnZGoKlo36hNB8tBBJC35yrcWGJCdXMfEj9Bd7d08aL492gy+DgDVYeq0/gD8F8g
7RrXbvTqtbcsnhaWWwX+fRu/kBwT+1zE66acDfozGR15jeJqNzYv5SQ7W1oZyrFfimo+KQBu3XwE
IoBLXzVQId1tkkzcnUYwkLYsYPvPdWz+RPP6yVyLRqaZJKZCt33lBe9QZJK+7hkzowFaPzkHzsTC
9ADe8AH7O0PcTSACLHCiVWhdveLZCpYoIWSxzgcQOwsJrU+6kZUzgROYWqB6wqhYmQqqSFgET81N
m8boiyEg7SlaK4RSiQiLA3H0xjnpSJhllBSDyFZmFnAWTpUYvEQ/iyjX2vyAFBSsW5tsXcbc8QJB
HhXdUDrETujWAVXqwE2YjMdy6uyiVwvYHdSNvn+WxxXNU67Muu4pwZHC9D6w+d3e3KxY6OJiZ3NK
MwM4XFyflXQV6JiIdh7wKGmTdswAvG2lfTFbFO2HhFalth+1+hKmM7vaUrRm9luf/SIaKDHiENJv
+biI8aC1aHeCBMUkABEOl+7FDG9lS0FCj3lEUFFoxAbBYac9aPstZzlrzakUlaUzfb5l7PPilqV7
1TtK8cHFBmdHXxgaeXkXIRDZfGoWnlL5UEgnCnQ/+NbclR0fQo9h+8aTrtBLaiOci475pLcLrUWI
+6juXvFsYHKac9SjkyGtq2mXRjMxwkcCftRKWhT6a0tHNywITECr42m8/yxIZwELgQgIUbdlQses
LymdhNeXjzb0v+XimX1KlbwQq2ENk460IvMOYXYEQXbBG0Bp0TGPNviHh6OoN1Yz9xo6+7XfgU7O
n7CugIgmkpoOEtXWKicShSoPw2+yLtxX3eNRWmh071jr0Z3LO0+sVDgidMsaGsUnhYjTz1I9ZPLA
QH5GWF751oGOfqqrE1ZBclahvHTxtrfWWFJKppTonOJNVy368iWNv2zoAjQFPab2pW9vuMfZecxA
4hrDWdOuLDLS4U5FKSx8uXeUfGRi291aVp3AvvXwA5Wd3n3AYTIyQdosEhPMpOyD8n0S7Tt6S9RV
hnI17OuQgcbYYI1vpXeh7fTgpmXP3BxJsA75gbg7yr3dPtQRwhX8pWadS8cqOOrFucjRzFFXLnv8
U9Rq5aykKDKbmd88B9BPLGMTIlOqZom5N8tNbu4tm/G/uU2Tux4tBTcYAFHGk0AGrbUFoLGRj1AU
Kcq0aKNzjY/ISlFSE7tHmd3bJ834rENO7pNFGI2FJhHdnIbMctFPiMjkUdovHb5IMimSlUtjod3b
/hnrptKfhxj+2tqCLIIGSQAzIegufbf0ecUosl7x4WvFQYpomrvPjMkWtXf/iJNdPLyJ9CMPvoLh
nUoc31w2Pby4HjclmYtJ840VKtfWruyIipwgTid9OZQbrXjthrmsPBJWMiGWs+oFaxxKo8xwQmuL
wnRC57nrUWCSYHo5LNH6Imkp2bS1dDvGu+uRojdXx7sunl2IQoL3ZR2QxojU3RcPF7OaMSMvge2Q
3m+wvfTSO6kQhBjwHdn5vTK2rXExkTr6n5gyJ56ACtFlVYqDqSxJnHeNDfaBEeuJtNH50+YwqnOl
X9GKlI/Shx630nR+wXMYqf/H3nksR45l2fZX2mr8UA3g4kK0ddWArhWFU3MCIxkktNb4+rfArtcZ
dKaRXdaTN6hRZlgECXfg4opz9l57vADtCu66wUsBLkvtrmt5TKwljC9sbeA4lk723GIKcDZDQm37
yXcwAt3W1nmpPWTmQa/OVQr48K0D74ahTmi3ziyTYi1L02Mil2oPkXHKDwxybNfrrLgTU3QjY0Hz
nqqJvX/eUfeJs3mdCMoWqx4toZPA6NOMjcP4N6t5iooxK1dlhmo1X42MvdhE4DkzXZSnF5267biI
NW5jxCFO94hfM+lvI2dptHee3KXWS6Pein5nZc9dHc09p6Mhh7Zt1fYXBi1DNbjNzHfmA7btoqWs
BKRnuG44W1vqhWmytXhQ22Ir+27hwgdP2TMTCN/f6sped6Yshply73XsSDaedlvVL4l37bPzJ0at
SK6jBAjvXU2QQL+UCD8cklIFAafEaUsBSJKBWZ0z+8OnoIzj5rcVZ/PhWjHXiNU8Y12TPpFRgKzP
qu4IDM/pdgahlePDCGwnM5aNztkdZ11uAqtZ15LdxNQTYSzh9zgTHETaLXXvVn/MQvD9cP5DFP9L
F3pxOi+qWcGhWOeJFHJD4W6ydlUgKCBZ2BZ5XNB+dxUd0rBFNPsWh0cci0gMaAA39cEdsR2tc3Oj
q6sw3rj1ru9vx+gSIGAMvC0Pz7381RjXiToiantp+neNzrhazHJtnxc3nD9GKpk1Gn5scFN1bwPp
JLb3Itgl5tzBRqqvkn5p4oUtDg55krnL6fqCgBnWxU6e13j/4VHm+y6+wiha04SGcYvjSGXzq5dH
G7NWuOwyXH/zPgIeMsOKFnVLhQpEnl3UwdaHI0IzkZaqgpiBccU5pVoF+DLIEPKxjR9ac0Hn5CxQ
oeFurebcE6xAK9dbm6jAwN/2l3wlC1AgFb6yegjlryBhCZk36lxrd7b2WHlXXfs8DogqOejHzTIr
rpJkmUGj6/P3EEG5paw8rMUdxWU4Z+Ej5wYOwiNmL39XZZd2c+l52wyFvMrx2SAeak4JVqR3GRXW
SetjASGCcW8YJMowmUf3BYMfpa25K238LoSYrcJ2QYljrIwzD1IuJ1B2QMlWzVf4vn2yCLuB6Deo
epCjngoJOXqblDcOY9G1z6a7VWPHQG9M0TnXDk1z33n9NRh8LJXwEm6gMBFej2nqbnK8U9wTN7W5
ZcmcwMsKrS4E9+ztGKIXlPz9YIW4iYfhqRtR7aS5VuTbiIuO4e6defEWwFw67ExE1Rhc0h29/DJl
Bn1Bcq1Q7SVxnm0qzH109Wx4Fg5BGSQpdPJKEKOddbRFZrV3mQNa1vC/rmGwSZsY6LWR7WqxSWk5
ZgxIQpgQHACLxzAEKIA2SGQfMM8akO7T+BY5etSiVjffgyxje8qpYa0oe8MoZqm+1e1Dqa0lNb9u
qaYXFGhyFsqGmSkVO/RZZSUeQ9QeKmI0Fz9HzmJ+C/Q2ydaekEt95MB8EXhXPhVpouAyfxdBclOY
pMESULK0uw0WB8QNKKHnBG/aFdkjyx5rH1ZO0KgtZ6n80mUP2s7DZhtbIN3wMhibAkhmL848ed0Q
1GrlOAYWE/SUOkwXXse0wjqqorl9UBNO6m9tw797tDnHpvVtSnZmhhGxUHeJy7TBYgMky6MhlnoF
ZYNm7vjvqnbrjueG+hCR8my1eF5sf+4hPssCf6F5DSDU6ya41hqLlZMDS/jWFPApvew8btpznxJF
mdorhsQYkS4AL9gqCHE8CCKoi3cLMONwO4iL0jtmaMXcbVjcMaxV+9lrtnI6wsPP5VTsvdQcdj2T
Ga7J2XnjmVZYttx7r7pU9WMvH4R+1dQe7bARMmY4Vyomy/ECjCuhe2nw5FGDc5XdWPC21x7YTXHo
goe6OIQIiOvrSMMm8F5bx5qgOpuuS/fcm28UTj4WOtrwYMJZadyFbxJLRuaPmt145SGufhXOM1PE
gIZecz14hgZN2FvqR2LkgukyB0IgbkhYIJ85GN7y8EXR9mEJ0SnnuGMBC5Es+pSFLgJO6jn+N+2N
jQYUnLmlv4fuOiWVEbbzGVBicjIgVC0i40JDIwnVf93Lt6x1n5PKubKEeZ0NG9X0z6PMWOX1ttMB
9casI6pXYfBhNxM4SXubGB1rWs5jfE1cDd5k3gJhRgzzMpgurspSd5K95nvkZukdm0ZzasuCU6FV
lmWFMpOap5KOUphkgsdd1F7aSouHeNCcbFu2rblrOGegYqDHjML9Ui14r91YMBwNorhTGjOSurqY
IUClusUB3yqKN0Jxmi0UMBaxGnEnlHmDrF2Q4aRZ3FhBSxs/GOZ9KAzWrsy6bIt62ZvDuZFTJU0v
Kn2l+rcKDbo0ndDbM9uJF5ITvRWYazWmNSHf4/jVt+cGRqEkxFgIBjrmxBLQaFOvO6eh9FTj2Y0p
lMGXmpsV4SbKJC7CyvrSW7uBuVIrnZ1obJXzEcwy6KFKIxdEMjQUyTyNYiM9aBrDckDgS2hNzLe0
7XsXgI4MHbxgr4FSrRmli2RUVg5fFowCh28UXdkyE/KlDtg+eecW0nxb1OvavaPRls7+DxxKPOwW
AllNkjcJW1gu2quxenaUtfOTdPyr4hAtpVBNzYB6Zgj7RGqXtO1YWGqBadGM+PWhZl9WXlxhGEjD
fVCOREF6WrbOckX8AIz6KvIzBAJgpEiqil5bnEhxiq4sfTmkPKQuR9wX1qG9DJEa3RceeSt65pfH
vIJn9L0QZvo+nwVAXJWSKxIYS0d9cKKCaRCdwyrMYZqrkvYOOAekIFVMqIkigon6wpbi+yvq6ldt
E9c0BZIc0yFlVJ4IfZj/Ediji53bJHyn5rjNScdVfYANlr2jZAcNQa6jwH2tY39thsOd6V05cfvo
mWyKpKKdC7WYG55Yun2Lzsb7JXQJXBTSd8rL0TX1VSvtYx60OJl5uQ1joJ4ORlaUFrzY4qWiBxRV
2aEnw9prYjJLLVxNxqLCqeB4+SJVJlp0Mktl/Rr4rOtes/IJhbItErrSkbmqBftBe03huKYBC1YS
5WYSkZcd/y27nkxjth7etEU61hmNrPahbljME9d8SSP2PliqRjNYA5A3gVYSbjv2wavPWY47gbvc
50Aar6veuBMBwhGTONH4EvbySh8norh1meb1RVKfM1uWnguLJtxgPFhXbbdp6DZmhkGUwxAtLeAK
YwgLLdJZK5vzVu+v4VLfVxWUz9HBtjkQ4MGZtB6bnWWGC7WKftkFgqa2ZdMRO+OqUOPzBAtjQUx9
JDNs5liEJRtqCIdV+ebq8TxmptHBxbU0113nMoQRrZP2ZamQeqo7iepHV2OQiMuouPML68UdOSTG
0dzkFDXQIE3cda4pT4YWrsmxu/FRSLkRHZ0OTXjn7MvywW1eLBpkiMJXqnfIFIQ5EBXBZoyIQ1yM
YibBtcSdLUFaXTec2LDU+O9xYu6wgcy02Fp1/qtqs/1z1kTU7QPc1Dk5YUp2P4bRaxCXNGvWmVLs
Ou3VRQflVupaT4MrhR16brWL0tnUPOumehtI3u4mkyP17RK0kdavR0SSldBpzJvIhB8SsOoibWYy
v/Xq+y6y2O9TpDDBV1LicRrrsbGQheRgsGOaN6meP6DP2RUMMgftbZTAoVQevn/nfnrjpr//TeuG
r2P0qoS5JcURiaZMNdltpDT4vr+MNkklT2cTXdPQhQsU6V+sDC3GepHj/ZlbmmxKjDR2NQ/LgUO0
CIICTxRtegV/BwkCirEdzKmiV/ue/0DKq8dep6bK8/1H+mquMASNJiknQaHE9/H5mzdhX2PBREvL
uu6Fy7gJ40dDYtpuY8zKrWexQ0ghZOzC0Cgv/GnYf/8B9D+791iRwAgyvQpE+p8/QeoletkkrYW4
w+Zg3/YUhHwjLPdD53Y3GjCYNed75xClk4FBn8i9kd4sG1NTaDDq3cxIrB6JmdMtq0grDtlghs/2
4PEIBze8MAa1YezV0QCceJC49Ia8rc5ka9jbHJTi4vuv82ffRuqWZaqgFXCAnRiZRiUbdSSxYPVk
Xy2yscVc6NFF//4qf6JLNYQUtopwxdBV2zy5aZadh7ozAE804SohirbEbc9Bf+0EGfiNRNhQ1+t4
UdQGfCAHKV4fls1lIUp59f0n+bP1EbaEIW1oa3gBTr5vWLdVw3CxSI0Kk6uuiBsSZRO8babqYuHP
mp9Wx2nxO32Ffr/gyava4060nWi05hEzFI9dylVskA8Yg684qG7NnJZw1lULegoWmln0JipnhwQa
ajPpNlOyMKkTAFDKcxvAUl5R1y8VwlCqKfGwUut5GGj1JLjL9oBmlbvCGLUfvsWf3TUbda0wJjWv
bpwYrFq3KUDfslkZyo7GhooxXcKHw97txOssFOYP1/uTXZuwbZsRo1nCME7tdUo0mrJO2FGEsRyW
sUbnLajdaGGIcFiJlLpbHKjZXIoyXP+z48ME5MmWkV2UyetwsmtrwZk4mmHZkOgic+X2HB+7WnsJ
VSE3gd++fn+1adh/HhzT1UzU6ppQJRPp57nEB8IdFDlXQ1nskHg4jsR9JOos5p78NJd/fdPBKhoG
O1JHtzBDTgP1tzWDw2prB3ljz8vctSlkhvhNoZbQF5uQ9PWo1ZQ0iBot5KAeoxRKeVubPGIDxgLu
mGjpDBioc8uI7v7pm6Az+0wrjKkyRZzMDaBlWMd7PlhbwWRqhVNB30jzFfJJ+YP15us4tgV3gIEF
tRQDzsnuWCVQxquoss0Nn/zYXIqAnlU+OUVK6pyFKX7S43+5IG5EXTcIyjFYPlX7xIvQtoQndQIQ
X6XEHZJVv5AHPQ/Vy27wo0dRuoZNYZ4TLz1YxUMPLHrM90Ogb4M4alnkVKrKsdPZj2R8U4bSZFzg
GsTE+YMzy/jyylkfC9r0flskI8mTVzxtM2BsXSAWMqu9KzUG8OQFWbWBGRFC16Zs14YZe6UeCY/r
UJ0XRgmzOIsbfdWkjRXOBl9pIU3mJKtHwlg7vZ09jEEjd5leh3eW7qf3MojNtzTLYqg3hgoHbujA
h8xqXsRjzho4Uw213/Wiq49KQrsya1JEuVlTo8VRGvqxsQVhtYmMdpfnzbizsyK/9f2sOcRNjcMy
l+VlDfL5jW3+6M5106IMa6cFfTiRqGtbqSFac0LKr6omd1BQxOkvdyiTH8weX45+wDxRKJqYUMDt
Mdw+v2oidURrhLCFKtdNjpxw9KPrDcNRmjkazNKODkqvKL++f40+Bu+nyeQDIcqzs1VrspqcXNWR
ahHUzKiLOvHdc+KHlNcshUO8SHj9kFyRzquzJ0YWjRA3zHT3VXhSO//+U3wd8BLPh4ENl3uLE/dk
llESWSNIZRjppqsccPzqVMuUI4dS/2IoMu2ffaFh3E7Ha3Xai3EsPLlcnhcWNbJRWxh1tircONh2
ZtAvOJITD60pi++/nPiTB6urmg2FWPJiC/Nk/ognVDYHWJ02Rt8+FXU50TI0q3yQNjrstqtMrGJZ
73ZQPhWK2lZfd6jNhrFtKD2n+iYNnfJVOilvGFQRqBZmi6wuLfJg5qFdW+Kkdo6lOSQKCku/vhgE
nKayTCDjtPRxTdZFJJiuuoy0JHgZS7JH/bCL6W/j/ACwQy4oOacL3bP5DRYWEBJds0QAARzb276r
nTtUanU0+/6+6NNtPhl6usm8arA1VzHinExzFcHM4Fs8cxGMCZ6rugAHwis3iF8deeNXWueg1SsG
rBplImm2oj2jJFihCXWqgc5iJjsXppLXE3iNQRyxXly8GO3UCsrCbCprK2Q9ckir462XacmVlouc
FMjaN3SSU3By777/Rp+HsW3gFjUMKXHEmoYh8Gt9foMVtWg8u2Sb6Ek6xspYLJMhq1dR6VJIVIL+
h8X589r89XInm8TcL/uGrAAC2JXEOmqJinwrcYPH77/Un11FOqynJvtfw5Yne19g+Y5VKOi/lcxG
6wevBpxHbf3wkpyQuv/ry1gYirE2suH44vvqY9tu2wiQc27H7VqxgheePrifBAhJl7nFOsl5O7n6
OcVbTjYSD2HhKcmqDCwLjwX84ZjB9E9t7D4+lTQmQAAQdwgXpy5nzdPITiha1FWEBd+aMSaSszBD
lRVbRCsi6XesH1aBzyvqP64oJbwGFUC6YZ/c7t7qKrfMJVdk6YPREj5xGuwIHmbrEQjbXcRWI+c1
oPAfBq8mp6n+j/fR5ulaE6ceXgaxCSZnu8/DN6ytTmOhMBd9WwZ0MQguU4vKPs+FTBf4l+pZETrB
IhsiYu2GmBwfRy31TUVtCRwP9ZDnyO+JwcpzKJ2jjyBPi2xBJ4OkgNsxr/K7wTT7X66s1X1jCWVp
9R0SmpxV6RwoGDq6Eg8OtByqK7Vj1hf1YImdVrc63WTKUbZKQchHTrQkaqo7B43dPNKhc/DZZtXW
9mhfGVGorQsFoVIS6RHNJIpAJHJqS1uT4VInhCNHegG/lFQ6BE4tB6TQqmkBj3WI1rMw2NThhOHA
AhUthhxKlIBzn5UjwTNm6t3Zip7fUcsMb6EEFSuZdiO/pizz6jzQEEQrhaZsRNI3u1Ery37tOPYU
uyLLXmUqd20E+oNrEXwyDJdmUdRrDGihvw6ZvEFzqU66atO8f4g8Ua29kE5UjM0A+J3uGrs+LUN7
FavELAWBxUyoWYAoVlEPDjc0UlcQaaQq7sYYRu8Quz4SPSrVEXDiUD6U/avw9XKDAD4g7kIvaasi
1y51ug9daiUo6/RSn7mhnt2Rtg7NR7V0kksLDRVRok++56wH3NY3iaTV6A4FWuaMsN2sdVRqYEm8
6GwXyQO+jJa2vdqT9uQJGDG00b2RkM6wiHZFKNi3xcGwrAFyE2sadWugos2m0H37WMZArjMPNJm0
e7mt7AGWbO0Q2Rt7kyCQZY8KLKZHeEDJrzxu1CdXD0lxUSxCd+Is7OAF+nJl9QT/znyhUayMpnyK
fKybC2I8yXnoPPCbQ1oiDiWdlMZ5r5j4JAv31otjOhode4+aRpOW1QAbDPteJ17FmoWjrxUrpXLc
+yQM9Ougz6wfppqTasfH62dy1AIQ4ziASZyT6TxohjZFQ4jxG4F1C2LKGrhZSihz5P5dTXXMxbBi
DlJ/7wzXuMtNw6KV1JMzklnkaX4/7U8v+8lkYNqmA/3Awoqj6SebliTClBOVEPwiD/JrGyZtfibh
sRgwsoZxywReXJQgSy66rkHPUcUu4svvP8IH2OHzZ7BVQ5q61DjM20I9Oeh2oSIDr1CcReraeB2c
rRIw6RLLjawwgQqpXo1Rv4qGBtWwRbA4sekwg12LDKgPakC2cAK0aDFwRgRqeQhflmASAjmQoEH2
Ns1djpGc5FymFpJP6CG3GQmbCdHu48yCmcCudPPxnf79tf8P7y27/K9PX/39P/nza5YPZeD59ckf
/34IXsusyt7r/5x+7L//2ecf+vtF/pZe1+XbW314zk//5acf5Pf/4/rz5/r50x8wawb1cNW8lcPx
rWri+uMifNLpX/5P//Lf3j5+y82Qv/3tL8+/koB1p6rL4LX+yz/+avPrb39xmBAMh2Hy779f4x//
4Pw54WdXzfPwXP3pD709V/Xf/qJYzl9VB+QGu0H2GhxKWP66t4+/stW/SiAcqkYh0NClNf1VmpW1
z4+pf2VbbdKswyWvcWJWp/prxQlv+kvxV5UfYPNOrURSMgB/9P8+4afn9cfz+7e0SS6zAFv53/7y
AUv6Y1CaFJbYDOAUl6zVDm/Iya5VNKDvBg9bX+lX97Q4TUJ9BpTG6JsCdMl5du1J/UAuMYZL5OKE
/JBrvkgNb5sn49Eek6MgCsvFfIwBfkYtDG8L8Lqi9W884BQWWkYBTTL3sJqRyI1EO8Rv6Oq7AAGS
W4QHT39SQvK/SMakj++yY4fIj52bYBOK+tkDoUdzs4c3lzZ7wmbWtMKxB49yHzse9LLhzvd00umG
dKWo2qXwEjQwwzyzvH2NdiYqnSuDGc/pOwy92KAD51Jz0OLTNqMuvnc9DDoEPYSBuMvDXxk23k5R
5mEB6a4cVy264U6aBBQR76O76iHRUm5O47M7R/dAZt1vA+gfj+f3xyGmeei7x3Gy50bJbCtmT3GG
Kve8aCRtRPCGjcSpHqB2QXpa+Q5KQzM8M0X62pRgvgOPwEtcG45xPVrDqmINSbRoY9BZssPhMnR9
STGNejq+Dhtzap1gGFWJ/8rUrWzEktTzRW1rNMPhmf24DPzpN2Kb9bHnlBR6P2/DDD+logK9Fw0M
p1OdZpWf/BoqfTc2qTmXIDB0b0qfUHcT0ERzfLo4xpz88TMXZVCsP3lGPQtYwS1OThKZuwGWp2uP
Sg0+D8di0N7UzX0m3GVn4upsdZYX2ov1a+jsTGcednStHHWe+ViY9hGN+qJd5kD8SpD8xgHAEset
p3JIljRgdwrjV6fRKIJoYeK4ze/cfp3pRCXn1aYlblIS0N42zlLtrPew3+ojEese7F8cfooJoTpw
6SdaA7o/1U7eEEO8RlMmem83N630X72sQMKMrSt79Etv0yD6K5Fel5C52FBAV2kuoqo403JjX3ak
HTQ4fy3EejEsjpSEDqNyV2Pv7kcYxZaPKAwZitr1W4+nl5Q9Wu1uXwC6x+5j/uKk45856GV6LNLw
xDuARrMc5HDqZQez7zNicQtU5+5lUOtXNEXfiMpb96Gy+n5Qf9SLvwzq34bAyU7cDgJDyRp2u+Ng
ZxtTV9KFUDv0pCRfzVrFIfBQQTURDISB1/pbGqRPpk0XmQjgftan4qbKQCZ3lZdvdMU6yhLo4eAA
WP7+c35sAr58TrIf6Csz7X6BQBmUqf8/SLcSjkFRaVo6qNCbJ9sqyy0req4cLOvMPup2fjQQt511
NhK5Qvbyx1sy/b6Te0IBD2gUOxbqoh+dwN8q5v/SNfxL1/AvXcP/Stdw2lyftmSfXrmTGvbQqWMo
p9ID25185igKQPcC7HtT4UKzR0WiVG43ac+aow+IPQfSETFQWZd1Ux08R3seClSxlY09vrWeoMKC
1XfdYzfW2iFp1aMb208a9AR2ECRLu05z8f08+rlu+LGlJAlBFXQWTLpsp4WX/22I2bQlOp2hQLJq
dA41trIfTZ3fZqjYEn0sEJbNQ47msPGltxjHwDrENr4yO0vwJlc2xtgCyBoKpypDA2Sas26CwQu1
6fFz5PXdP3sLDHbtlkGUGUXyL73bsc+70HWYpVOrhAjjQ9GAsbyyc+88z8hZ/v5q4usd53KGzTnB
5r/mh4Tlt1swREEmR864YKzEPm6zdMkpUKyCTNxXLeQ0vUVS4Bamg96agpLApJOCj60Sn3hP16ay
rO5GalUuFhrFVc97uPadH14H4IvO/GlZSfPRXjcx9i+ngwHv1+6Tj7Gk8ttVnYX+QmKRDjBDqlkc
476oqoWsyn5Tk9cwi0uS++rGKX44UJ8qc3hRPn/tk81y5nWFtGoK1HpZE0QbkD4FkXzMsBKzs8BC
qpMw5QhCKrXqihPQm1nH1zbn5+9v/0lD5ONjoNZQ1UlKYdinwgDSd1M3MgIa2Fipz5C/KYSy6jO/
wpBAdYTx5smfeqpfdtVof3jD6K/BdhPmaV01sqjfgUNCUSEg/KqTnD5Xs9dRsVaWlaGLa2c87qNp
QSDBM/eTYkb/XFzlHT+5vv55V/9Hfbvo5YXZlE8xKY9YA3+vcztKcSTPEBmBjYc5qOz953o32Bzq
XIF8/qPmTRl5XcRsqDOgxiiKOoLq6+BJju6Dp+RX3z83/cuD+/gSDrJUofHeaCcFGQhCqt+XJIV2
trarw/4AP5d0rUBvFrEjsc0T8huryaUbWsUsyH1vNZAliKeXrafwfUSDvRkuHfDHyzZxkBSbB6fp
ETXbhBXFFTah0opMov1KYxep2Df7MDyaPnz89COiO8EL9P1X+tPHYrB6MCioiJ/u1pSm6dVCcJqP
M2uHjgkHq1L+EkV/8/119C8zjkQaMkmZmOGQEJye6kxFdKIFzTwvJ5wjzdVogwsJ+loflcmCj6Ad
6tLHmDWqiggXo2K6BxjZvyLhaWu7dTekhey7wjg4iXjnPG1uUseLrkXvejllLzU46qby4KvdpVVp
lBCAh8xMi0K9aAkqd221++GQ8vXOod7VqbpMvX8Dvd/nAR1MTbAQudo89JJHERs3Mc5DPUp+GHPg
jz8vV9SCVLohiAkp3bCDP5XO/UGvtrR041hYKFrjmWr7ohXWRZdeU3nRQlzZ9gZb3RjsIvMBo10Q
E9o3QeLJDxeLtnuLi8ciuvepExrXNoSeSN0yIiFDxeT0IZtDsO7pFwXIx7Y+2PJaI5Uqitot1d4w
qud1+NBXOhgVSvBFMWvJaJT1pUOuqlkMc/R87B9YIKqNnmd0Jt+V8Um5c/V+pmGpnmIuLfyKGYjQ
4rbUoi0yf8gTzVVHaRxAySJBomy/jJQp5Z1EqGjnMzg5ERa/1EKmKEK8JuECceNZ4VKA6LbcR/wM
9llPJhycAvI+in7W5TrBzGfUYqyX1Ft5ZLuPPkZDPrezV4Nrl7AvC5GMdHch3x2YAm9YOkM/W/Uj
gZKovoMVddJFM6DDLGA1Y2zWxhc4qKEo4bbhMrtMk6cE1Zt1SCdbe2vsYu2lgZVuZf28sJQzaqfk
S5Xde+NvvA40yCswnco7l+BHlJqo7XqR1MsGx6xF6K82N4h96G7UO3LFQNWCJsM8ME/SRyXd1cp+
gIrXjfcCTJSJkk1eFU8dIWEVFpdiG1KfEndK1G4EkX5W8jqY751c6XJr9ndKfu5ihA7PxYMrLnp9
rgRLZJHUg3eJ2HbUAcwCkvXCy97bZqsQU5Zusu5W+MmZEe5os0v/3MzvJMUgwKYNKKoyJI45nUmq
JoBeO9wsxqwA4KPdl7AtpmSVwbkLqz2JlYR+wI7CKhsGSPmzMxtYxzCHDVIbFzLZCRgt9SFOllT6
gF8hr48NlA77GkpiXWJ4XqbxVWZtnMjCDoZtMgLIswIj22GFzrdYiWW1b7qt2l6rAuMjxkuVIjz5
DWC9io0/ng/Fe+7QF5Vnrn3uBcsqeEqH1yTGbcm7MlyM6hUlJjs6iv5KzY5lwTJCcCRyLnBjw7VZ
b6ju4+p3zpr0Pkw3pBXG4yZV5lOvD/SECccQxEYQPmIlqRCN42NziUajXmkeGwa3/GXFawA2nnub
Qwm0MZE0l772DtrCXtbx3iRacTzv6HOVGzKGK2/feCvyRf0E2EHEi0FfG3ImQIyMbKOWysxor1Sx
wrNZtkAIlmWyaZ37hKg3uoLB1tLWXnLjRevyELkXDUB5KGbheVfvvJKQET59CGJpQ/RNcCiDGhbZ
WWgtGYzELCTtwjbOgw5rKoxJrKV39ngMaAQI/1J1YYlNmu4FIzYYwcBP0AFUlORhQDzLxda+T1wE
+XeyXypipjEpbf3hkCLSd+886J4P/GKGGlFTtvVqOze98mZ3e2cLT9KrNq587sqbCSBgvebelBw2
Coy7GB7DVV7uhmDvUmnNVq1xJeSMcBHNPmsm3l1Gc3Kbo1zuyyXmyqBZNS6GkSf6krpRz3OsOwFx
MZKMOnIAvRJECfIKcAQGW3v/bKC7FNtXGZ+iFhNIUB9uleQwwvUd5pU1AWEc6CqPiVcTHozO4myo
cGLNVdkBXANCgBV8QNtlygN3Px+PrvaLSY8mJ6Gri1y+NfVRsCJU5zqiiwKkVED6nVqelf6NkW+V
CuhHtqkrNO8LiXXBeOotkJLragrPW0X7PjlkHAXiZONXJYRlLJi4KVRYDWto9LZ8jpxHZwgBsxWE
BS0iwoi0fp+M0UznhSlBDGk4trtLnSCpAlfjwIAtU1zChY3D25xrzbj3IOIP3aV6FYgtK+5WC45I
GFlO9YWvUVsjxkYPiQVmsnGOfn+RTv+XvPWQxnxxlboSMizIHgLmg3neXPTxZdtj54wW6TDrS24h
aAvmX2CWQC8oU13qYBQH297XYmV72Zlr4v/KsjkRMO89FdUOkFyICZTgzzOFHLXSj26qQdkFnbs0
SI/zVu0vDSLAKLSrwunXBJAFb+UjSASMqNjI/LXtr6ERw4F6UDVKqq0/V9Nmk+HkccW1ug2bC+JV
oW02m0G5VC3QCYVHyO9uYALLnb2Jb9HVXMyo7aKoEObhERs5DkwQGmWtV/tgeMzJUSqZHoVPZXli
19L9PUsIts33o2vOzQfK6UOymg5W5FMp1o2RvBjdNi1Xff3iJQ96e8VRyhOPtiShrFubPsnL93mt
bTXmTdqMZnyjZwurXfvQOUx9FjGJxfmeKrASL9WSZKNxVUY36aXtP2L+Ryo5K3AtoaA604loCqqj
qa5LdelCwjHCuwjyeMARTO/uiJeZ2elcdFhZaXw39n7AFULTX+7t4arQLmDuJQpL6YXoYaDzMsyy
ZJWV96XigVXZNvEmSI1Lt0wfmUzZuJYsULW/CKbFWLuUOJmy4T6+NseL1OpmY8OsFGAwgTBDHIrt
MaEUl9aBpdfl/DHgAg8ALYfTq3VWdle+L/BL7nIiYXVoUOZFMi7yfE72DN0KJumhIX+DiWsLvAxL
FdzBdhZxmWGBSX2Ul+ngziLiQsONC9ZG3QzdIRtxJuPCzc8MruHzWuARVa4BjBEmTYxYoi9I6k6V
nAb9EpKJHty46aui/6JEMhn3HHEbpizzMbxcIj8TeUlXXStXMlma54p5rhfXkdbOze7N5vXF0+7H
N7AnjGiur/pm3hTI9rk86ss9a1iGpzm5lmJp+t6sKgnZMwktauDTnAVw0lOgNXhFknJOEl3SsuaZ
d3bWXOnteZ6cV8WFaryL/E6L3zP7to/WAeIEwnHxXZ5HgX1MEkzy+s5o3lxw3eygsObSH+nn5aMb
XIYD9t1oofKDxGqnIy8Xqp4X04OSe5M0HEJG7GNox4p+HXJLYDYm2zabgUnUSlis6gYnVhgftRpp
6tK27wzjMD5U5bPLFxiUdU8utQ41tiTDbISwb6YXad6xLheL/8vemfXGjaRt9hcRYHDnLZO5Zyq1
bzeEZFncyeC+/Po56W58Zas81nyDnulpjAqoAurCZnILRrzxPucUyRuPMQFopYDdAoR+XpHY8jSz
RS22kWDEgzhcQ7o+jnxjXJ7XaL6FOaOIoy4v+9bxc+dbwWdm+s5bMdv3fYn1C1JGsJIwkQyCatox
1UiCsadDN8X50mV9vejL6b6Ob3K3KYF1mjcjqd7EnEnM0SMTLdmbXKAaAJcDL0mjW91l5fVuinFl
8LWt59yzbXZq4Fz21UuBctV2DsICFQ312Xo045dIhgsoBOw89cSUo+56KKBqquOqRJWqVG8ljBVL
vZAx7LSyWypj7McALjlBKC6f7gR+KLz/Y51AJOW8cWY66sfF6V8+l1BosLxi9kyMjPRMWdHB6kwr
rRt4qu1XqepyM3REbFhw7Wobpqms5Tt5pm9CD3eqUj0gtoDGZ0fb3nLWWsCkFUfMBa3hB+wolz9s
MIFkqFTYriLpVHlG6z4ZNd/1yX4zqnxAN9DeGi0QB3oNP6mefFh4/eM8HYv6CaUywqIfFl7VoE9x
KmKCsOODgsaspSXO/KQLTZz/kp9qhD8Ocu5Cpv1DEw7NjL+u7qbcwuyUnhOwPXzQXE+2tj7zcbJd
eJDuSLEKt5w5Dwep1spCVMM2zqJPaoIft8H+9iM+bN3Q3y//oVLBErDPW3lpxtFRU+eBdKQ6LgO8
N57q9AoitMFYTSMtq1Yl3ZWgAQobBFDWsWREAQPq2wnz06kB762Yn5mE/ifunr8u1vmO/VRN/HL3
/L/q7vnQAkmghlqDQVO4y94d/7gf3i1jrP6p0plBOwDSMF6Kwn2q6+AunqZjSZKWBvW7dhrRZFm+
nRa132fzMxk5vyeGY0PlpojzoEixVfAoSbBwlUoLoijheTx0QGRVR/dVnY5r4MpVmm3oed3OosDe
TF+bVfqOMl2pMfytUfrACPxC1OTia2Ya7WqSFtlgfQUsmvVYuGr7aaMZ4Zt0oWRWfcK8SnmGC0KL
SJ4vk3Z+qkASBywGUms6tVm4Ne38sy7kD527/7xmiJyJyNBew6n++vSropeJmVO6j6GeB2ZvrROA
8R6dh/ohTxhcoaL1aXzUz+LHorVRUNcj0AoTcJIB/EzMuvJJfV/8bowkP/Nfv+lDD4UZdXpEttr1
hwU+yE3yiFvdZxW6CxfGPl+F/mdb4T+CUH8bMH864oct+8idhso2OWK36JbpNbZ3v/xuXrB62TsP
3T753/gI/HSCHzMF6GcTs9ZxIjl4l+QD6mc9/mT4PV+jP5zRx9Djv0i79KMQ+qfDfiiUT/8llqoa
cWWM2l3ZzdnCjWhYVZSdUxm3aq56ua1sFUpc0wzXSzFWZxZfa5d38wB6caQTNwKTlo/RHXqcnejC
nWuDL06Mp1iN2feXW5fufBzxQEzmvaGlT38u93527T58PsOqhbAcc3vOPDHXKH0Xb44q76hJRe2z
WvWfVEmN301+CM6wy8BH2xAfb9ZfsioliK/cMj3l4fBoxWw6GTFAxNZ6rub2Vk1ZNI1nYi9I/kS9
IB1FnyzIqhnUq5tRjYbQvx1yOn3M8KoU9D9D83YhAk603c7MDHuZHxVdf0ibmMoe4FICpH5FP3TK
pEBT80Ni5Vui5fcjzXCqTWMYiuEfYqy0q7+juFj3oXZrI2Pvz0ihoI5Xf77y5/fsb4+Pq53zkdT0
/9aSYhNOmlsXELSwX+bUpvhTrUcR7ZzEPWamvoVXdNDOK9w/H/b37/9fx/3Rp/bTHKDQtaHNUrQa
I1kahrlyk6nxvT6ThWNu4lb3FkoYO5DPnWxeYljhkMiyXnz2Oz7s0PzjA8akXTu37LLV8GEwdrNu
0vv47GXX6gyLwcRANJCt652NOiBAUcge/fnMfzvUEg9hyo28UPsYIBsREhVTdJZL8kaxB4e0xtnP
kfT/fJjfD+k/Hee8wfLTBY7Zh5imCDN86yshAK8lhYGN2Iybb+z0x+6aUOZGrsXlnw97/lv//jj9
dXYfrmc9CjVVAo6agPqtq4LyXrxqMeUM9mcav9++wj+d4IdvlkqmV1glFzJXbS+ot3Whf3Krfncy
7OCxQGLvjobYD7Mbk67ortBLDEWT3NVnAF5byu9laxyJZX+Ssfvd2fx8rI/D+DzYhmix59XdTVZe
guD/b5+Mhn1W5bFzSH2LH3yZn54HU4naJJUKnsUs3uhsTUTusMxHLHhgTP/8EGjWj8jtr8/Br0f7
MMX/8kTxbfjyRH15orwvT9SXJ+rLE/XlifryRBFJ1NovT9RPnqhkXMGKNI3/GFUUWbFXmtPoev3S
RX3por50UV+6qC9d1H+cLsqyl6Xp/8uMUep8oWn34ssZ9W9xRiXNGnzEz9oorfODcPVvNEchYgqa
w/85eZQYghsRnGXbBSLkZqzem2J6jcyBRiqxn8PourCnS1EBy/3SSf3n66Qc9FXoOf8FRikzPwQz
aqn/+1Yp5LHrL7EUrddfYqkvsdSXWOpLLPUllvoSS32Jpb7EUl9iqf9vxVJh0D9Oo6r6oV6ds9cv
sjdvYQK/WtGNKRGBNt20iGfxKHPllEwpSc2pWOSdWAqzWQ013iZDJ5JQm9vWAv3p8q9eoZS2Wm0n
MMdgdGlI4wzajaPkO2eMiDK65lbXwtu6fDfzjDTZcxcanhjBtVc9mAu5t/Nkk5lzt+gjBOe9drC1
2YMZHqiZ3yM+yZ/D3rqwulfNbm0ibSiqhbWuLOVy7Akj9x2BaKmulJKkH0FMpbgI68fWvXKIpmn0
hnrFfEySjD+lKI9EkTeRc0kcadGDzBYiWYRBvam6qxCdo1rhc48vrX7e9kC7Nawq2KJH+zZPig2G
lHVqXc05Sl0Dh3B0kNO4VgCSZRM+YhHuTPrtjXSABkt/2iqC1YlOFedhGGuEdiJ8Z3nqPs5RtBW5
qK5kQE8svDpQy0a7m8Js0VbVSRqEoUJrk4vOR5FA4//YeI3uKoSf3Dd16uCE07+/SPELlZr55HJ7
og7jcljRmtvJFj92tVKi4IjdzQ8j0JvOYK/1yUDqOOOjcXMMMaE+b+IiyX0xFfBSYU2tmkC7cbVJ
7NJzZq7qrNkHK17u+pC02Jc37N/gDevc26b4pPnw7w1W2pk0KOCLw22Dl/xrj1pNDNxUDZoAlSby
NQpHpomuU+23RpR8gkz/e9vdr4c6/5Sf2p9avAiZe+431BgU1BBLoIOFwZGfUYH/3sd1Po5uQWQU
oOl/9D3+dJzGsHpzbOmnVNcEAceDtagWJOQgCl7OC33RXtXfrU9O7Te9lL8e8/ybfjrmOEaRKtAb
+OE97+9AhHktV/2DSxRtPS6zZexHn+Rd/t41+usRP9y4VivIyTfns9zFm3TXbsy1tdI2zebPjWR/
78789TAfblroKqXbmhwmbl8Mdyka8mHGbhzMpZCvfz7UZ/ftQ+OiBtq4aSuuYeJcZ9l7gRPyzwf4
Td8/J2PrruChcADcfzhC1xvuiCLR9Y1zMNW4L0j7kZz3DrSYxo3fEy4Etv7fvoKGgBrjWibECdQF
H1oYcUzmqdAB95C6LddNJjuYC85bFNTDNpiDdRRp/p/P0zh3Kv7a+sch2bSmt/rc4vrxpf5E3RQ4
pGZx6aCAG1/gy2wTqXwjLNIv5z5Ul3qZ5gsI3v/0OdmBwde92ZJs0r1BuCfdnJZ9b3XeX36nvi/d
bV8518IZlRXuERQ/snz/S/akdoHcpo2Z3/0QPhmttJ/dEg5Abyjd0jYAdfciI/1eK++deyY99/+L
Gii4p7+5OBDvHQvoNcbEj+GPIqliwQzC8YeKnFic8cmvZgyPeqEdSpNo3WSLiW7d7KknJ3fEdVYt
DZGZCzHpo6+kztvsBLTuk9JeN6VJRDUzdnEzu5t8rlHSOVawITciib8P93mhfsuiodzFSRx6WU+X
MTiMLCWI1u1COwYxUMV4wIdB3ZLrA/0ZdKfGNd6yJLAXJCAbT/RKtS3x95F9V5AYR8q4SHCUVnqp
+X3biUXVh49dr/P0JuCn9Z54Kd6uvajq/GCOOr81iMifF/P90BOoh6zybE3RZQNoJK0fsmHZhMcA
JnaHiROK7aGMZh+yKEE62sJFvZwKdx2KcDmG8VaJFL9FCZgE/bJHjanpF9pAiD9FFZ/pV5pAFG80
1lExCQSRgocG6cnhvQErUjTR5izTBnbtj1m6GJ32wnThYZDV1wGYzRC5O3zBMfcgRVctog54hANO
RIHM061TzVzQfb+BCrlsxoMznNA+7M8zOQvFqxQu80CgqrbwquZCjbW9gxS8Jl2vwsdWMS2qIvW6
zNnBVN9OzmOmu4u+vjLdZl1DhDibUfGg+XWrLjCueg6cWiXTtlXuevMU+SaewTzI4Fh2Jzi4oEuH
Q1N18BicXWneKCSBVQji9Jb7YzwChPhWkkGsI1rpB3LB/bWRl36GczVSJiyQuLUng30i1UMz4bm4
ljGqgy1rF3gNnlLbXBkxrJfy2W2qYxvaOOdzrw5i8tjvGsZlaw8CHDjC90x1rkvy2qQMAZWrXkve
0SkFhNJhi4t3JcriJZ3lgzHp2HzjndoNq4TtxyIdPLVEzaEoXjW/KHq5mG3+N8UBYdr7PmvehTbH
Xplkj+cA/eBgpjXn8GBBhpDZXdOnd0GcXRqGvJa5Cz/X6DZ6qy3HQrsh0fCYGaLZBdBpxgGcxBxC
/cks5OtZtgij2J/Q/Dg8Fv1EUAYs9w16Yuwh1Yy4MgiPsL6gJ9jBUnSpp0Vy2ZrFZShnF/JQD7mk
wVNbTuV9PqjKhZqVW20W16k6uZs+LA5Ok6MHtonhd3PwWrS5i/5MkF+LG47eVwC7YqGv3YzHfuqz
96EX35OhfW7r+U5va83rXFCsfRHfEzyp7ope3OqxbO50GX4fVZfEfwEpti4yB3cx/qIGAEznFOsg
CkAyjDfAx/eu2W8FQTfPQBWUJ9mNFhnXsSp8WULjsKJji8GlcEXJgxmvJzv4MTF39Jm3ob0yoPu4
UbgEKoVbMSEZnd32dreM9Woxk8QwMW6WQblAprcdmt5LZPLNLFPPUjMep3C+d0x3ZxWwOEz3vuzw
H6Pn7sFOGK3qG9L4hvdjvkWssEtqPKJunAeeOaX7aID0ZsOBHnK6ovo2WSaKstWmYRWLaumGZ0Fk
Q9YvWLdNtIpiHaxDtnZzFO0i8lOWZMYYLmPX9GrzrUrU1uG1OP9YZXDn17wB8FOaJlY8p17Edqku
kaOWi2DK1EujhjQdCyDM4znvbpyvay3OsDfc4jIUXptmN0UyXkd9eppHjTiFHu5DO78ZY/lQld3r
UBu3faMunc65r90KH2dwkLm8LmXwIjLFBDygvGszWvi0O0GZ2s1Tdpj0Yl8VuFFLPlALKNPY5yZN
WcxDnWzGKiz3jlpaJJKKs3xceyFaPC5SR+0xJI+Vr4ZWsmuhzRJrz6FbueYmkLN1a7ctv10/R+Xz
1NjXRJQ6RFM7c7DNZWyJatHigd+NLahktZ8usAG862mX8rCljFMSt/1QCnVtRPawFFGi38qoJXUZ
1yqErOkmkeawjhImLWURKIsqDdNTobgFnOyp2ssBnRVfgPLURFw+mTi9h1Rqn5HvWaVdsk6KrriJ
Ur1eOY2BVQ9CjGq1yNCRGCSAoiyBkRFzSi5b4wqPRbvTB9kuZQHuQE1NcbQaOR/nmWdHt6qNFhrf
rawjpeZ2T06OcRxFInpaazgaOu4/gJge4G4kHUZT+b0h1WWId2ipRcipy3mWvijQNWFnc1YSIcOi
ncdxbapSX8060A6lDS7VRuu9UQwwcGLBi1eRl86E/q6EymskZLWOG+A/aWy1WJurd5eP3Fr0WF4N
TERrbYBFMap3UwpaJE2zK1PWD4C/O0bW5jYRveXxRKzNJr42825jRgI0SrCMm4HUanpj5PUlq+Rj
rJfXRTC8CgsJt5aPG54xP9Saa9tsb9zRuIQOt7JrY0Vp5F6tzZ2RVze5GW6VLL7qssmPLWMvnXnn
FOHKYXmNCGhhgTJUsZk3VbqsBsSaYbeSbntyi4yPj5Usyipap858CRxsNzswqHNi4nkI2gkR7MER
ElpK0Z54D/iOwKERJEsYfpkDMMHMMfamcmdmzdZ2UterMYyBd0wPUxeFntVENQ4P7rxewSORgVof
nHR6qNPUV6VxBTt+rTZ2s+j68jrTtYXtNJdoUSNfd6ZdCeNGycS6sIZVYDVLHRJO25Adq9LWq4b5
ILphezZwq4p2tAvjUKQZFQhlSsDZIA41YvNZ1sm3fKwtT8Vc4ZVp9mi5yegX83BTNIazKmw78jPl
rCItLYQeY7WLQqpFVua8jpBqzCbZDnZzndfJFYG2S6nBjMmrzLdd5Vkfoegown0wpIDDotk39hCY
njLFl2lhXg/18C0660cBZV5VpvYqdGAWBiPwItRsqDIGC9W+Jtmc9DeuiuQ5E+o+yvURsBHOmyY1
klXO4OVY0WU7MEHLTYdXexoPAMCggvOIHFzF2JRiQGISpeFaD1oVJGtzn+fl/UwaegUD8sLKzLNc
IQmYCWsWEeMm4MBzI3w3T8BrRKaz0HR4U1LcuWXEcxQxl9Iwz4JH4vfbQaUuc729ExGQfn2or4JO
jTCSMzvrOvsmS8SzaYHtb4m+QWrrT/lgfNcV7dqGbujp+bwWuvVSaG62BQQqlyUuThpqgv2sdtfp
pCiMivZJzZQLo1Yv6rx+0RyISHOVQ9xItIo5m8GUVRH7XJZLOQWrTlp+WIu70dTuDY6G8718Sibn
wjVEtBydlNNyk1uGpsumlbvKKF9rJzkgxd6pmQ6OJzp2DvoXLYh7Lw3AuTmjvnUD575L4PHoo0B/
ocLPscb+GuLpTrXKV9vhuoWivXcaXFw1tBbbyb6FLUSu0J4e0ny+yfnDbkbgezDjt2Ic9rpRPmYA
C0WVbzVQG50OzagS/SHO5FUWzbUX5uY3JhHBgrH1YbQAOA2WvDCj+mnoeq7XvOZVWk2Vc5mjo8OV
vRdF/ZpYBRKQDCufNd3WitiAkLqejWJtSe1Yas4ah982r6M7MXcXpaI9yLp5SWxro0plr+vRytHd
Q5JGp9lGNF4n4PPVtY4UJIhxnKeVs2tcbDV1txkqeRg1xO+mweKAikeQXpR2ty2I89uVu+wq+12U
9VVkm2QRzYtxVgovMK/6zvISZg869KA8LNcFwNdKRBtywOZYHmZJ4dHq4ADFe013bpRmXjdnA5I1
TrezWoyQ5ew3XVYnO6rWRVT6LFY0PrvqXs/zqzoolqw2lpETQNZ3L6pBLGoFDZAK1ziZkn1U92sd
Bxb2VwHKtvfTERpt0Gd8Qq3tmWM/KdGFcJRNWU57fTLXiuwBcYq93am7cqj3bgm/RVqrKOjfEjfw
K5hLQxR8H62m8JpSP2pJtUqmfCPb5q4z9fXQtitTTS5tbkMUAL9z9GPUKssi7V9DAGbuAH4v77dm
MW8VlN7cplUhgo7RlurrkGRHN2AOE9kkOi1zUwHcOsOZoDOsax2m0xQXb5hy7oak8Zuxfp6zdjEG
/FgMU44Ir4u0fIh1e2foiNwxyFAt7nzTNo6Toq96QIFKHzy3fbnLbXk0uvZbkCrHeK6ZgDfKrlRL
GDDxSiTuYVCsfTEY9+gCnyo7mTx8iBtS25sBFlUmUfGhCrqKTO3CCMoj88xbp+e5xk+aeTJKluGU
rHMrPpwLEO3kbPJQ7s7JREUbtlUGGImSxm0/G8fBGY4OZqdcGmtsVY+6W0CpmvZpmNzMPcy9KHC+
1Vm/4LN82Xf9nSFNA64b9r453hhmcCGy4Qkz5Frvu40RTSsLF1GR2peaqhxc3Ol6Ep7w0e4R7h5U
5qjlYB3TONlWWoGBQ/rpYLV8s4NDOI23baStpFZwFcVpTLol6NtFPZ7VCnl7Qoy2n4b+W1k5721R
bAJEkOk4o9/h3nTdvJjb+jihVHLAWQZj98JC2+9d8ZoCCOJtkixHdeDHtfamJNYdqr6HLE+Z+5bL
cW7u5i6HKC3FrlGd/VQJv7RmqHxt8D7ANEjn1A8Dk7uDzT5JkkWgqTcOOuG4VSLPYIB2ogYUlnFt
BjWDCs5PJdb3deGsdZ2YcNCfxjE4+xvuEjveBpN8GLQGtlN5Ykr0Fo3JyoqV66Ca0P+cectw8eR5
ap3ql5NeXmVWdxfYyZNdjSvBUO9CTmrltJtE9U5BY5Vh9pp0sR+pHFgt6AsZXOQMlVUpd26grHp7
4GLh33Ab47rJjDWS99hv9QqOWI4avjBS/jMHfFEK7T5Co+Rlbv02leYqHFJlkaBrX5ZqHO6gXULm
1DrokxYbGW4BZlCr3DeHVeDKlVa9TDu1Ylqj7msNyJKr9Iav1+Oy0pILS2sexkFN+QIPIwuBIFpU
IZBDxwG6WQyscSbzPYPf55TRZqrMi3JmAhybM8ZoXeSLhq2pyxAUCgZqSlEhBpEpG5wN8FDNH3MQ
iHnUX5g5IhyM5e4CPe613WuQyMYyoHNy/BZVZ6y0AtIwSBmqGPEMP4tDdpZm5ttJwo6JYoK0lEF1
qrr6lNfcApZxguWtQX3RbMXVODkg1hqiGmVu7KjTTV7eaAUXGdxoqLsXVIsSv3InCnHJyKaPjFAD
x8pLLt1wlfXGN6lG88oVVFBQij8ZsT3c9k7d+EUzbS2LOTzRdn1FeN9lcT6ZTNC6+XSeN6yNsd23
ahx4hSUe8yJ+p7q/kxbDtXGmNYKltJM29cI2vc0reVGX8aYxC7+fOjBQ3dKsxn0T98fQmaEJOiPY
03SpJThzi+4B0vqpC7WDENEDY9ZJRP11UzqPQy7fez28nSLrVDrZKbVE8CDk/D0N+9d4mNfV1AyL
uGVvqmjiahmOunPoSwrKbTo8unhe/JGyz0IEzdOgDi8Gr8nU4bSZhMZqtIvUhTEpSybsxjJFBgrm
S38XrbwqNGYGVjNtjLpmgSqeM5VVo4FmytPjKV0HjjgmsCW0glvQVP1lKlrFM2NYsLpqbJo5TDyz
SnaT3TLNyLurvuSVUEWxGltKDUXGdKyYSiBykUpNh/p+78pLxD0V6xs9mw+yiYNTnOIUm+boJhxN
dTma9Q2O7WahKxb7iDmow6iQe2ln9TIbXbmwG+1WjdPHZGR+NkXZ7EeKmaA9D4rDOI53hooiXZj2
HVocawnUkOG9dwZfKeL5IiviZtO69Vgs1AKMTVgNu8HlaZUZn8ap7XPfKgJB+acW7KuO01uWtW9M
k8O9gQkTMlw5X1WZE/vBbF3JXr91HGWVzeMhUKzVbMANckL2FUfmvlE2NcjKdN0vh9bajpmteaPa
LuO8bTxknnLN3OKbLUCKucDLeP2R8gm3pabnFqdOV09K2VK4s6vyFq3T6DdOZS6rjoWdqYHPVBRn
EaXju5M5w1MWlGsoRDfZDGhw1MpkHdgxbqQIF05mqJOPQObVnfQnNw9zP1bB6NVxH18UZaj4jh1o
i56CA+bS8aFXM4d12Zn6WMbHPstjX2SuBm6PEmMfytbH71jsc40XumHJ7al1lvlxUBxx+imLeuYD
iEu881SZPRXD+Jqksd8o9mOWDjAik+hZTeG+J4opIR0ZE1MiTgepELKmdptpuBtzVnZhCkA71LL7
tDevhonqWcmsSTEAQ+cIfCiwdMFOV8EvgnZ7NKv0tkzOnFdH/65KbT33VbvTwv7aLKO1lOOdM8GN
kMFtqrvUV6d+IVLrIcz0694OKTB1+iJmLPWK2mAD3WrumZ6j2nKLwBOhcgWRbB22THTPPqipAosX
9xAt8dNhJs0uYGNDfzKCb7NRtrASYZcbgXJKc/Wpk9PF3FTZ2umr9LKMyqeaX+3bSnU/anin9dhs
PRjMJ7tsb5MSBO6oHkOLKZMRTpXX9eYSvT3eJ+beXVcbEGuRfqktCwFdrSYvwly16po4OkxhkZDZ
LlrPqaKR+ZRFgSDCGZZ07H6HirZlNe8ncZovTVWz0FwZrxbrYa/RVIDEBkRhq6KzQKm1pXAt+I4O
/s2UnwHSWQO/2FMYyqvAObVdfJKh+2an8+vQWVe9mm/AcfpDQC2sH9QNYsc91KJVM8a3PL+MMubY
rfoYOiTc0LuJlxebIcMUIL6khVcreuiVgwZDpoBZHHTaAXHzHTe7XIgmutCcqFjbFV9KvWg61rUE
MgNL2WRtzX3LAV1NElPDSFP93NhnSLH1NOORss1ZO5VW+J37e5taTC5KQ0chyHKThgQRYLW3sk0J
QO5mMPiFjs5LbqMAXQVOE/BEzLu5Ur4XrjzAyd+mBftdIaJSRUlfzMKh2OJcpg05htTczVG/hY/J
AolxyYjeg5AzioJ909R3ZjpcGDHVk248OnAcw6Tc0yLglVZxbGprwwO5jduMob33GpN5iTVxoDgv
Ft0Mmth2jE035t9NS9hIm8VqlDOsQh5QrY2qgyLMM303rU9RMMz3eq51b7UuKbVHkMfSBEpPZx+D
oKhXlkbTSm9vgtbwYS3dDSJc5eO8H7Qr0V0Fbce4q14PsMltTVvqvXJSKu58qNzMY7uQ1qnACdd2
nW/PHZbSIKWORE0agi0UxbxVipU5GOYNe7pimYZKs3DZBfLG0oKwZolx6fCAzVF8o2Sgn004+n6b
hv4wKS+smt27xnEutSm6rtwmZFQcQYcHj1rWraxRLJsIuLuWeXYqPXXoTq1SPneAuNUe8ladLorx
WQO/PYthUVsAPrsEMFt+ZRR352rzkJSYZ0vECZC7tmoSbFyskggN0lMtK/DesMpGiJejs67C7qrI
z97b3h+oQsSqsqtHzRvgbMLq9yjhLLqkPjWBu2yj4thSmOFJZyl1Fo3ts7reda123dGTM+bsT7gy
2MdMVNSmXanNfGjQN2TquLH6bKE45lMXQP2WB5NKQkFRL08M3wS0qqFTSOKZKrDmTzJcDQzx1rPq
pI+lU67Y2yljJnnquLDTuyFtLuCLV8VdW+7zrtwhVF4l2AemZFqO2qYwy4UJXFQML476lLh4uB+y
+qnVbl19A0I/yHZnkNIwgXHH8lBtOgWnNljp2koXLQ9aY/QeM0QnaZasz8tiojaoLSr0kfl4Ssu7
ngJU7n430I+n8xlsei7K/6ivxwzbCd/+xH3upbZSDTwF7smxL2zjQM0LlKjQ4HvtIwrJQ3aQdDS5
+j4YTi5Q2ah+rJyner7qw3PZV2cQksspYsHBtka91iUlJ9ZRTvWmUddCj1kCfcUpp55njwk1xLLe
KVzuGl66Mt24860DMKxOYo9vTdqOO7Nmd/7WHKjsJOxBpswd2D1rcnchsobp0qI6Q2zvVF14LJLd
edVlN6a9s7pjNW4d6lRNdUkrhR8OsZfpK5sROct/fKcg4NpeDTnZMnixbpjqLMq29lR12aWsTk5t
OawyfdczeNWO40XJIwtWn+lGJkNPRz2oNkfJojJn0GVfpYQxPQWs6+cXV71U1WnNt9rKtvB9PCfa
WcNJN97ZTXbpLmv6d7tZt5HcFDL2BFclVVeUF3jeUsrZTOR9ZuZL2X4bnYskpIBfp74TbtNs4QyV
b8AGT7QT0zCPm1sOb+VYbibnKUpee6u6RPUIFv6QZ/vQUDytqHynug37m5FjZQ416pCtjCHma5V5
xSBQWYdLO+/8zG2WiGIW7ZmWHeheXh3L6qkeeWVdxZdDziTgyCl6Rp97sxmBUcwOrcXjmD5rvbOL
i5SlN/MgVJWziwVB39TWRWze6wrVBFBR7Wl2kRzB0bbu9ZTJ3lYCFZ7WxcwjBn+ZWV9ncOkQ/eGK
NKhONV38XuGFbXnr22g7pI/EsRApw6yF/V9RMtp17rq0oHhZO5qBeA02Yuh8QMeRse/YE24j1VO6
y1RxV8qgs/uVguZOFuN0iv4HZWey3DiWRNkvghmmh2FLAARJkRRFzdrAFJIC8/gwf30f9qarosIy
ra1WlWkpEgTw3P0Ofo38M+tCtwsaq3wR7WnRGXBL+KQcWcuoeoudMYJvc2lwEsC9EkuQ9L+0litb
dW+VBjuRu21RnKIl38PLOK5xmW3kfI8Ty6kyyzy44r2Jn5iqH27xolXsN6t+luMYaGxIr/Uv4q08
2652mZqFN8kfWKOhrb4+Niyb7OeTsFQijBbO1qpAjVeP40llZO3XkVagCPRa7o1WfSaN+JTbsb8k
ExvH13kzc3S0a303Irczp2oCimsfdSWB4SKpnZXJqtnxy3zoCgOYwVL3mhF03uh5qNN46fZXNrW7
xgFLHnaqJLY3gqqb+vsUQiFwMwiuZoZABY7ZupZCJy03BJFfyrY+FJyjUzWEDTzTkCxEl6csq2Mq
HskVoFQmzq+aZlWTrw6HeUfml72PHXU31Z+a2RwQR+icZDk0tS4uRQr0Zm979dOeP1gr+GjYxFEI
fdtVNRGnKF1Se6tFC8NDvdPKd5eHU+3YpZ+OfuL2oeawFpyAhJuesnPBcEEsKapCvpKnHEjwqYaj
gR/oPteiQB8yhmjdk2risRKUZZ1sPp+6zRQtXiRdL2JPM2D2ZVh+dTL3bzvOEyl3Wgq8xRTZX6xZ
npPmvq7Jtr709oMo3mHOCO6WfuE8O/ZjvbhkndBmoNsSL/Sqm3Lltk4MZIv0Y9qJmnmqqTxF8ve+
5+lFnQBPdrl4iJXzzK5yxURtom5L0/Dcz5FN5canhLQzm+elL3woY3DjL0lHkL9b6xEST1aPvJ7N
PKMAepgkq9nLeKM5VCJ/yF96q9k6tAfzcGHdesfsBR4YAQwQpWG7v0bll3s7BIhUqF+VytkKZfDX
7GGaCTsRz/YcmKzkHgl2n9Wzbf/I9kPTS08rgxzIouzDFLSZKK+cHKHh0BtJoIJYSftqsg28rbZJ
R9hT51fFdtRJA9B3hBEZwHzaa1t054zzOeIMQd3GlkkYD3JLvUl7SpRvHA6jfuqItpNpaK8PBTul
i9HaVYBMqs6G1tGXZC0QfHsALR1r5xBxDILoQld1MXvQ2hBKiEiVoNNZQR8WAIWE0htt2EHKC/ec
pFu1vbZpuhHzV4qSqHvNzXutJq7iayStQbEDp/uejR9hy20HNJsXF22ERh0QCLG7XNlGdjBr1wZm
cX5sULFqT8rwrI4bFX7J5iydyQpZno3oNKY/ChIaOyfprgMETUuvthzkvtVlSY1AR1zboX4wh/dW
ZYe3Ig6VeqfNTDeCPKawyANX/10xUGQ0+fI1zx8ijc2W8Vb0vxz1dcmOLvvXo9W91OyvH36skeyX
Mo7Av6dDyVL5WpVvxpRfIt6JOY68gmYEoU3hpTUYBakn0CePIkt+ikb6ub11yQcb6vxaJdl2yRrf
KZRwWiamC4VEL89wgqrcddXZMV4SibSj21bjZUwPpQYn177L9dk2roV46YSX3PDXC1XbTE7a7bzv
P+ZiPsf5V2YTW1C/W4ig+8nPbiOVYW2s4TDTG0z5se7DMTqJRttM8/NUpZu2TMJE8+2I3/zeXWGc
cqIRzk2rbyzNfTJiBEd6Giw9Um3YZjPep+PDIi6j7SW0CF2Qct+YtDa13u5KWP5sPOfZpTa/ViPZ
wJ8Lw9iYtyIo7mX2E6sMaMahmqkXRSiyjphcMDhamwZxEPt1iZoJiekFEqjUl7G/SAhQ2xth55Wv
MkdkvQe7N2/qku5+7Q80iBs126vjB7h03RBOTebhziwYM0eTqXz1MiJJSpbEg8QLf1Ymr4wQlOgc
m/RuDAT6ei6Z/TXNy/oHyz5E7SOcyAq3AhKudnS548UyVWAKklyWM72Mlh0LO3Q0Am5aLytPTX6Y
GRb1lQwj1nQztubfVX5hX6l6C0hpiBqqmu6lXD4KZdjq+gP5QKQG0GLdVV3mD3W2qaJvpT3lbE0E
l5OR8og2vR5cnlWdpItd3eRbh248bX4YyKUodoaZeMvwKXVaClNe3exuBXcgsEKwYNl076EevBEi
OmF94Tw1TI41B/NdlJYh4UeOrgSS5IUKFF2ju5cu0liylWtb5ZnJttGaBrr1lMcnVFtS46cjmB4x
WVDEuTep/qLmfpm0W3uUB9hkJp6Lk51m61uipjHAFhDGJRWZYHoTdB/sV6ej+Xb1eTubXTCyLRqw
e2wfW6LthyT3XC1H9sbveVtKKYi6z66m8WLa324R863vdeec0uPA57fRm2OEjRoDcCZhD6u0vKZu
vM9SVltGdzbq9qo5xOZpsADuzfuKgAuqJXMUvXN76Oi2RXWa3X3O+isbcTPnpCTYKn+Ks4vTHRKG
3LU5G6iLyrCl0WyJ5NSMB2d9tZyrCd2kfAE0RVlCyBDPTn+WNfFZ7n5QANV9Vd5HxbZ1jmncc674
8YroR/qD/twyN64fjBZdjcYRaC2gJPD47a35e0i2oxvvkvgAgL8ZtUfbRgjqjT1pyeqyWWPCedB/
wJbztqzLRiH3iXaH1bWlc9JzweRLDJ9OKCNuB57ouN1ZWUtaV0qhLXeFE4qeDzMeFWvydFqkhFyY
ihf3bUDFWEbRvdXpb3l9Wm8cgmZsm/WQzY03iQJU1NqqetB3H0pLjZjEnUvLq+avpkIcuYjE5C8z
AqM0qY4GYkmvr2Dvug4grYm2hDHuEoWGqhg+s3K+a+VahZVaQxoQtl2aatBnCJUlP0PRHArD2KvO
9N1GcDdLFoUIJR8KYrGn1UI500cu22Azgh7M+h0AnlS0CU8GnH4VZK6Y6H7ls4iIFzHcZN92SxT5
KIjoo9L2y1FvHO+8krABB14nvzNTO89WVT/Ma63s1so5RnZxtdDKbEvy0mfolxlwXrWIjuzU8rpW
ymkhvBxC9Dqh392nq7VzLRLFtGKX8i4ldekj+nyZFvdYFT+OTIiuilmIzvOMEkNJnDAdecDFLP2p
XrfxXB6UTHjGonhqPYXzRL5zVB2qm0CqJAyHnPCWNAy70ghWStwfu5OhdMttVPSnjgjYTrbntC52
eWbsJS9bWpuvwrGuAj3dIsuLq9GMut2pY7vIIuJzRMRV0jbSA2inW1lJP3DISRoE9hUwVWRtDAww
YPhIfgxZH3qVXLBm/QCNv6I5RfpQAHM5v9Yo9XqCosZkCOYeqo4IjsZPkJCIMSyr311z3+fvovzI
OWgzbkVEolZK+58TtIgsdSOqfQ8DM5NbRO+F8HpKLN+szU81KwMNtq+32Gd9S7yhLePsVzwAzLxj
vbPpcVghwsrMyidQ0J/nbaFvC9XL+LfkjnFv54YEFJ1q8rQCmE2zumnzzqtJMlP63xToPjsr86XW
zY3bUWsAKp2PjMC89hX8319ApoXtNc2ly5+tOiT0LsruGICUvkAWFOgjkduc8fVBI3pJftSZry7n
jogqB+DMS+Lfsj2U00vaczqfpTjBndXJaVr3tc0XeWpYUbWELplWiWzDIn5sMqLuhvuif4uQYfXl
pjbIReEt4ihiKLlWaPjj6zCigSMyxa/Le0IV1e+STfvLw6STxUf67S51jlLeJerdZFNBsCw5PoeQ
FA+Oq3p8NWchvYbzkMPeRLt6dNlpW25X6wCiErFLvnjA6DG1d5LqOl7V6VfbnuPMo8tlEna/iCBJ
FZqQvIXv+m60ART7OhoPPLWAgzrLsElNIxov5+XsiYJC0fjBP0IQOZDFBNyQfczTc2Uc1CScrDBn
7LfabsO19wnV7KlzEWt+GINv0KJ3EN6PxvBplF8DYYhIAUHstT5YM9+kUVlIx3vS3Od1DME4eUO2
1QABQcQ8Xi/X/a2jrKl3lfEILlGWTI5EDYigp8jE71InhOenIwMxea9gvkdV8XTzw0z3VfQ5kCuU
fUvnWJiPy0NURIGaltthuigK48vWdD+NCslV4vGVRpVsLoMEO07cFKoiXTxZtYR3eS7xhqnKU2Vc
TeZ5rdX3bYxIuwl0g9IfZPQfZuyv+ObS6ssseWmKkyYOmjxGmS9foo5TaptVn/W4NSFUkK4BF+n1
ecl2q7IXFMSVoXKmLKKxnqAL7jB4eUu8dQdCA7f5somdTV59MzdOKiK6blco22QM1PZ1HejcHxPA
kolpFGlG46n5h217bn+ebtrx8iMzMsjHByfeaeqpJTSp+U7Y9C3mHQ4FLkvPHpQMVmlv1Xu3/TDk
eVDPqvRFwUdlJEJcECmkiunr1gfQlNO/yeZUZwGCjUycOopx+9LNqZdwFFSIOKu7As316pC4eCRy
DTQKMbVVPVAzmuqOvIhbRlTrniLmA4TNNqmD98ZQQZt3pIwSk9I+tUjZG1oUZ92b5WFA9tDqH4Av
sHmrvTOX/UotTpoHtFmaTtLMrrXuFZMWJUJRUW8U0Fnr3QAsQZqHUHUatql6JYzT6S4dLWnMQDUd
9fIt5vRbnIOTkNaFBOpjJSy2v8/6UIJE5jv6hQIZP9Grm744Fe5jgZSjoz/k/wMMZaQbZaBPxFo2
PJdePOxcCcSpbQtrJ0h+UfZqcSRVk17Jjo4lO/fr7BgBR6F31/xkDqvoN8pLplyoeokU42t0EFuB
S0TvNVllXdyh9vYYNRBV+ln/Vjfv2VjBSxy18ZcymZAxx/wm6B/fSw05yNbOT9XtqHHRdf6GGgDx
hWOZjO+MsWlu9jUpvrCThrNdSdSCPAX0hbN/UJfHZOHRRqVbg3br+Q+v/dxtiu7bZBZIuqeZ4LC+
QIKc3OXjfZW+p4gJwURk8dHaQT5TuJnIA3FUK1DKl9ppdqZJsAZgFmpEI0dxUm0Q+kcoyZy2Ca35
fjJ2ZrTTidqogi4HgLQg+t6a8d7+qKdT1l+H6P6Wu9s1d6kVNhgGKB5195gbQZYjp9nY5Ymw6xpv
g9zo3VYzjoN9buRp1Aw/zyHmy11P3idPDYsQmJvzVXqOtNGtfS0SLpHDt0Sp1MWLh6xd72lOTpJc
qaIIEvlhFgLdL0GFtJmI+RHq9ZSEVzc71DfvyrGED4ytUJgXhnlz4ZEPnUrDB/oyiH1N5EqlnRI2
wYMegwzY4jWhRVqanUDbVdiLN/WXfPkVEX0oo5ppGZfB7IZ5S5tdjmjs0JQr9UXCB7eleOic6XUF
FWyygjrgBt2YkAgLYA/ysVbwMKaCfcA1Aofm2uqT1ItohJ2iPdgZfoZ5gLApUF9Uh8UF+Eta9ctu
p7tCNET3YnwY7tThNDXfWc4UZxkIxoMmfVeR4sBv7CTMh1lRyXjmjHZXWMo+dxGzD2sZyHLYJnH0
JNGZ6qj1Igq5VrkAKd2ubAnHLMjykrSwKLgaojPNmQiwAUFEZ73ohviJiErLliN5pnqfBi4xSkOm
IWVMkNXFFjlxQNgZ2E9BfYT6zEiohNRoBAhKbG1xDMAKvaIIJMSr9nNOb8fKT7Y9HZqp2d40Z1U+
XJfsPVLf8PDeZ7dEQuZ+tDy0LGRHJurJAqnXir0xTQdhQDjUVzVivnd+O0g1m2gi1nRmnH5TozBe
Dwq5oJM+w62cY2vxK6b8WEIdWaYTeavxw2CZyxIvAsMb77klCj9WP9Tye1WdQICoLpURziSB4v1I
hzUsnfWu420aYN3LLA9VlKSTlf1Kyjw0m7tY/VrpH3GMUG9Uv0mji1VClapigxhzq3SHCXYQwHSv
2z9j1jyTB7BdVmtP4wN0Rl7p9K53WrCCFSqTP0NqELiBFbr0TFIxV73eNWZ3slUYtcJIgTemL6Vs
dqtJd62CtbqobBVdgQZt+2dlsAPd1a+N6VyduXmVjjwghNhUg3qS8Uoiasq0eJxk56mmcWynFGtM
uOZTKOJ415R8NSCguRXbtqmoYNVZGvnPDH+W9fSnkxrWjLmKdhVNsU2jY9s+pM0VYzTcQA2tVd0n
xLflRXJYrc8EM8mafpjSOuZkaOYlhzWOLYT+O4TU+5KBxB1yb3SJDM5vTau6M5rVcyI3RJiyz3Pj
rkBfKMbiLiq0Y667FPoYcQRyBFMEdWv5zBVosCjFBB9V5LzmWJEYka7wjQjwtOxXSctsJPBdZX+f
ixeZCIYf9ZiuyCGhyYV4W8YRp/b64wzJ+5wrwIXaRpcODE60kRoO+mnB4jE/1DhW0Ft5DtSzOSi8
wC9Ekc9eoum/ktjYt229yzt7s1RwdiCuFdkPinbp3SdsZLH9VHE3o3UKh4rczaR6sMBRHIbkqk2Q
RaC8odHRJ8SswaLu16YJijZ0kHSUtrtdsOkqEb1XQ53PzouCao20vEI2u5gdcNBKJqGvYkccKGwE
TRO5nxUQXj1nRF5AKOVQOpPCCAQFNjW+zNSdqr5WOdhQ47yZbXRJSoJ3mymsBNiy1m/NAZLLGs+R
C97pqr7rwu1aNeOu+iJqyysGAIXxU2mvdfFiD91Wj+pDpiEhkzzTDXHEog1aRrHENN6ryn7UXUSu
E+dXbH9aaGm6mh4+xvIAmD9x6Oaz9JKxDKY2DnM1DQslwbcA85MxI+dt8tKoJiG6NLLFydCfjBUw
naJg6vCD0fgilvd07f0UqNoEuhpT5NhH3Pp7dA8Q/jYwbtTvMIlu7MQiMDudAqsGiswbf6Q9xcQX
rvqzk/LvLCGe8oY2H559inJSZrXdWLCfYAKZr2OdqE/jMtXGm2oCRTTEFc/9uCsSzgyS9RTb8br2
A/L50HDc2fQGsBL0pvHOTlR/rsRTzBoAo3JPSZZuHVyvkBXc0Gk3TC69LpEzNSTMhBTJLf1s6oif
mxZomhz2XQMXHHc3tfuwQEZa2DyN3rPGhajX/kDU3Tv5NY9VbD/ixNtZCqezjXPM4iGfZzYszIM3
p5pX1c3DJCISw5WtBqKfRDnTVvJuFupbPEXPNka/tEv3rhZfVodBfm3j19iU90jdjgVsjAPXF7cl
yLZ11DhYJD6vSpCgzl1dkvikABFOoEpWtJ40o39M1tizXHIRcQ+oyOP0RLsf6iiUA+ww8UGow/CA
JndjA5Gb0C3I9L1wMjqgr4h9DVPicLHdKa26c2R3Xr46T4T4eUqGQZGQPjEQ6+turC7ZCRIOLSfe
NjCRc2lvhGkinrtkxG7X5XJasu5gWclzii+rsySikCkEfINrK/AsQb8qulfk67GkVuJB6XrKYHo1
ljaMutIfCuCEJVxhrZeO94skaGdlRp6W0CY2l8p1EVUUmn1/FOS1zdV7vCbIN0talnKvItTQ3QTL
qI3GoNhY2ULAeXTszfxJc/TzYNib2hWc8+pWS+ZArqigKkSkTXywq3OH+iaxom2F+DVdJXMiJgmQ
XliQHqWumdu/lLg/TROdYz0SJakRld4qVxO7HtCSfNMFB8dSVcCHJmlxOiI2DwAM6UUD/4GU6avp
29FXTII5a6P6PeRjvl2LIUE5gLrDcZptbUfYRysz/THqsTmUg64d3Eooj2q+aA/SvpUw7D7CTqny
Bpx6TcCObp8MRQGAG0GylHT5rAztcWEkb4wvqeLzKFTxUuTFfaoS1Nu7Mb2oAm86DYx39dqeC6V1
cfkZio9w6d2xnPOwuOjWYSMct/lyaxav6qObBMWq/rYjBXtWUlSIEODrlJn5X0ly+9DDfxX1aHrV
CJZrrRMB6Aotd5+NhKWK6JeY2y/pIKLJlEtBb9Qlw2HpXIsdKc5rluVnkDsPNyLK5fQ9xnKTwPtL
S3lyIlDhyNbyoJ+y69KgOVGU0bdlcSQ0145e+r4JourbaJEsYN4ittiIY5T6na+oLs8dVlx4LtHS
OCzZabJX3CDJx+3xXeZ2o+F907vZb6d4M2f5nuCkoMx+RuLpMe3s3OVJb9qLlg8Psv1M7Kdcm5kj
mmCI841tpY8r/30zooZyWIhyWDLAFQtn6U4dCaJOkId/lEqLvXF40g38WuJJaoCgVZDMv1MMXtlC
mnkT6tnIuzonrTdIOr91rYHqZXzJ026HfC+Y5QJiai+/c6JhE/k5OeljqZ1M81CqC0PA7KNZw47X
360j/HeRBaljPpTuo+v+ivI0iJ2Kcc/eKNVr26Ve1z3jlsDjvLRvSmLuBPLPtbgrcBL3GDYb1UsX
XNvYr0x8gAUpxtUsPFl/u+Wn0Tzq4st0bRQpJjRpex215N5A4t9bDq4gxM3zXcHIKfoiRBu2Tbl+
RdxjePVmLktT3zU41Vl2MLKoOBAkB5ErCJKj2N5giy4/iczyhvl1UVMwqSqY0BMNdeJlUMuTDciJ
xY1WjzGDe0dm7jo/WrRO1QTckMG5htg3pfW2WI0/jzzmy4eNe0V/jq1Pp70TeublnbJRAYGi4mUl
eXjN9nhU6GBxLkW1n/T2i0v9a8b0uIBXDjilRGLyzznXbrsBnM7Y1etjTIAX+AtJw5A0UfQ0lGgn
OKzLAn+LWwZdRR5wHG/VqTqu+OBTPL8dLLHF8bWsyn3JXKA5CLjuFJrgRH8sWNljvo7ZoQLDWnVw
XgCO1CvwaI/YGgZVCW6ntUZHZgD29e3nMlVvHSIPDX2N2r3ndfIOTH0Xyz7oWWcT1uizeAesx1lM
QV+sL9GyfPYIUme3P3b4jZiNAv7IJdKUZFsuHWhYE70uo/Urp9Cjv+t/TwxldqFSDiuDvOYOV7Vl
TK+Jzj099wP7i0zRejOqLhVVNSs1SB4u72/J6l2nHBqnb3wF+SOilY2SyI1pFl4Wt5u4YoIoj2te
nvrafLypNGcXuyKg8DS2p76qz+Uoj1jxvYGOfVHeFdzGbQ45eJnUn4KjeRx/EM555fpigt8jnxOQ
5L2IfakrgP/gmxvi9piU8pMUKGRlAlT0paOUmibaOSspZq/tyiesfpvKYRXAOO9VwWgpY58ea2vT
uYz08wPwTQZKudTzwWbycGOd6orMqfZKUE4rvRA0el/13WNlGFCjQLaOhY1I5wfsUcFr4tjVAOR0
SAsoQkvidDccEFod4tFFLMa6gx7JBS9oOmX4tdS3rO3eYmj3MXb/rz3ctuy71knDSYyBnTS/EDuH
EZ1tW1sP2JaOdZbw1uwmJpe6VMO4VPcquEGtg+s1+fTQmzFwrfKU9ubbbIFV6ivMmChNzhaxvtV2
9lq77UPUcUmtNby0NiUE/iCBtHOeRrDLhjzhw2oM0TZCTh5KRtDbBHkm8a/dtG7+Na/l2xDpdGbr
0+yyaWS1Jn+QOYnd+WCcNHNUz1PZXa3eeVkV4zzZbbwbalwRMp/eE7W6qYu2TlX9xJUEVV6BEhU4
2hbdc1uaK01KdhJDfU11bmmmMOFEJsJMSo0addvSaI+9rC56KaONm92AQUNP9srUWD//vIDkf5fG
mLoQhu66rkk8nP3HnhU1c9VOVUmYbQ20d0bPkTz1WCswTzzr62hv8sn8l/hK7S87T1jtornMtoRK
suDlvzfwpJGVuJaLP3OaVLFLF8IdbafPgyiL0a+3aRPmwm6hq2nMIz06rfjo8Ie0epit8vrP1284
/5umyTYl3bRNzcHD5Zi37T3/sQ8os1Us6CO4PMjGTSKmST/VWNxlNdNxvWktlRylrOo7qRJGRvNW
S/k1RfZjZGTPXV4pQaJE97WhCMzy0wbHarnBEP6g8zIxo6gMiTfKVbFCrTKfktEJ2AJx255RPqyi
DteCSc9gm0hW6FedbURSXXfqql4ZIUZKy9I+NRRRhPHoB08awE3b+StiHTRUPESY9FhDkeEsLZ27
xkJ6h0rJNtu9jfHWMMJIwLIALTdaf83aH8O+LzgIswyPHXysixCquHT2FsQVayJV7mG1Xs1c8/q8
eUwX660uf0d2vEcIe4yc7gkZ9m4RnHGackJRsI3z1HNyG3kEx9+YeC4HE0/ZpspqBk+aFAuhEKIk
VlpdrIqk4DU+xLpA1S/YpILFS52jc8GpwnByTl35FQMZ6mYfqtFAj5a+KvGCGSTGuT1tazZqrfjm
8rq/pmO3X2LUMkkUffGH+O4ajORQXE2IMniaXN1MWMWmXhxlkRwHbOEYHVijYZpXSkiwzi0ijJs3
sxJT5MVm/Kgs+Yu13ikZfo2cub1acWIpH7n4xiuUlK83YZgsl2M9GP7aH7EMU6m4nl4ApjGn0jOn
erezcCyKvP1gh9B2dSMIvoUoUnnson09v5jJveC3NJ5hHs9Vlg/+lCL5WJQXPWJ9w0tWivOk24ER
Wa9NdFuKNXQJpH3/toLKZ10LZokVoQEEaFdxFbBKWSF2XTaGs5nttMFlG5zcpaXm1bNfWqFVKdvY
HF46FJMgOUs8o2YtnlKYVLYv9AIFo3JeVJQr2rKXVF7snLu5kGjnWYdQfOaVs0kLMP3ooAwPSXda
7d968RRpWJfMJLSm0kfYgM6p92NYqBiTOa3b3kzN85S2bxXi95aTxbLOtot7Z81YJbjGv0Uqg17l
SyvPYpj9Dm2eWRQ3VpSabaAuc3fJCuWuoAuHtr61bV0U7+sOEQ/mSm19JbQxjOR3Vr7xm6FlnLaa
9lGBSOltu9Eb/Sra6mFYtFMxW35CcLtA7RE78GHWk9Da7ay/KCz3q3HoYV0KY/eKQc+f0SHEhXqX
aSKYb8AtUjdXi44C05jJyqlZw6WW0FoL60JHv1mV0+iiwrTfFes7HdItctdgsgI5uRuUpDjnVdKC
DW8d0KPHUOFFIX/q9b0siHKOn7rlJDlrqDsI30awaZQqQryX9ox/5iyEsqWloyendJlIEJlwHSt+
vCkXpnZB37qerdzxjGEmMvSztCAvC8szC3sT4z6d5+9Vy19jfKZpLDg8LF8v87OB2cxJpiBaeJBm
Ixi6bodu4xqpqAroYPAdgkestghbkFQrKt8UsZyjsuPcUIIRo6CzpP68ABe2CpCAWcAOjUwyevNj
ZnJnZhM3aayDaUkYGdlxM0gH4/xwzhLrp1rHI/2bly0nMcqd6BPA2uY508BEyy5sJqCT2WIMhgta
8p+ijRBixEBYrH+ZJgqEbMTH1LCGCjvGseLeZhrqX+jM2R4eo1hJwRfmpyVNtnPXgevbL2OLQBDe
yVnLO7kCo1UTPFhudeWmwHD9zwXlLzur6G10x8RLYDmq+kdBnSfdWBC2W3TrCHV5mWB8ELw1Gnbv
f/6kvxUuV2h8mKsJFZ37fxeueerKuls7tmOxE0pNAXYaH45N4kvJimXbd9G/LGX7361vpk5hVjF7
OSYg9R8faGWJdJu1YHFT3h37uD1WSn3452v626/3nx/xxw67BJiosavK8YfEdg6ttrRHy2jeTcj2
f/6g2x/6Y++aobouQjnbVVXdVf/7xytMdK/qymox5CmFZ5Y4gHvTKAKZylc7Xv5l0aF++3N/fhyK
b8vWLJVtKn/eq1KJTDOuFcs3osHatWP1NWbARGoLE70gP+QEiD9skwYkyVp0GPHwMbvmryRFPcVe
oiNajN2SDae4ii9S6hemsB7CsWaEmS31Xx6svyzfM43//LZ/3IV26rpELNyFTlHRS+MKCjQNN1sS
3UTtGeuzcEx3r1BnyUbaxfekt6lva1PqK4SIo1ErL6Wq/NtOwL88fv/1rf54syarrNrB5Fs1ZkS/
tMDoaWzw+v9/LjTd1tRb5LStG3/0pmuEG7puanaHsCYB+s4+ZBLvOD5of66Nx3/+sL+8wVzR//uw
2xX/R+upEfyLXQTzo6Ig04xd/TmfnHvbMb7Y4fY1T9Y5m8t/ubl/e/A1k5bXNmn4VfuPC5RyUPLa
qjHmNCzCsmzlsNqsUsvX2dpoUyH+5cz4ywttcLQJVxi2Zmp/zhdOXA+WI/k9EQOwL65vjnbPopSc
dzL45x/zb2PFf33U7df+j19zyJexN4eG81C481kWN1FFbF4qs39sdBdsPF2Dfi3zfQeQsnFzVrsY
VX7z1Gb/crj820X/MVIIS7cs9k1B0hcARHm6Q/sQdDNrsf75kv/6/FjsGWZ+43/OH/sqlRwTvyx5
IyqzkXcyGdat1Shh0a939owqvv0/7J1XcuRYmqW30lbvyIa+wFhXmY1rQeFOTb7AGCQDWl+Ii13N
GmZj8yEyqyuDGRPR/d75lJkMhis47i/O+U6u00fCXf7F4367XX2+nbEE1nWXTHbX/vwt6auJM9v3
BEbefn5T469x/rUasVXnUY5jkzoCBXnrdR9hJFnWj0uT1XFe0L30CIozMAIGUgFhDZhia3fRZvis
2w4HWzZchKK/jJgqtRj86tHYWO1TBnxzwuHOxnvbb7DnXbtxhWsEe3lfdTQx9cYptS3jNsbuhoMW
YUgZaYN9wn1y1iuFa8i3MuxM7mUjIf+wvWLLZlfZlcKUtxJKZxXu1Wxu46HdYM7N96M0S5zMxq5M
X4wqZPWDxnBKJNQtdox1h30Jp+xY3aQtogkPdsjPP9wfnhmmjw7MNVmjuJ/f5C4ZZausQKzsuKkv
Yr/sT0LkIRNoI1sVFN0rIdWpc4J0DfPHWoNuKyA22m9RJGLqtDQ6wH8OrnD2XdV4fqk3EZkUVnSX
gqc4RH3X/Oop/+jC53uu4wo1LUT0ny7ISijZYAITqy4UkjKY2Yzv49RghDrcYzkaN6Vjbh3B/Hti
yeyH9aEwlVpKQJyNlPA/DIg3VWwne39or3D5PrGZrJ601J8WolDG0klypkKRH1zXusheZeNBmcyY
Ef/8zf/BWAQWq657vsF17lmfXsiklROLuYYXokZ0OBXG8d5gDzmW3s4C57SQfOC/CLU3fvTu2XAr
TUf3HdPwP902Etm3HZ+hWLUhDJmJRYzuuWwAS+NV9iZzNoE2MmaAunSbyqaVNU6J2z1SjC4aHK5D
q99jBP/4+Tth/ejAsF1BbD3HheN+voMXgLTy3oaMEgxy22T1pclV581+5t7OT1E/xdhhChO7h30D
aO0lHjFwZqm6tsIekLPP/9XGswlbzNRHLLo1EinbPdchk/V0xMYEPJBZAUtTtc4zgC7sCML94Hdy
lZXplsbgSVXjI1qYfC3c8hoYO9zI6jyy01+64OB3P3/Bv3q9n44RTa87eIt8CqETWUttgrGp8Gak
DQJAXWP/9fOHE+YPSsN5CGbqs9KZQdT3x1be91Mt9BroMI4h3asWAgeubWTbBp1KPTw70UNbRotC
PVTDAZQlUtb7QeZ7I+5WTbBhUnkUzZfQrBe9urdR70DjeWj1U4FbA44VBLNdG9vnVE/RVQX7Clqs
qjFFxkNzaOKDo6LbVmBzLfuzlzPfj7D/JSgozDvftVaNaFacpKtoOovhiwenK3FppxO1C9niih6/
kTMxdkDwhVXexnhVcI/BDBh7N7GR7jMd2GLw7uvGvikAbWrZMenavYkzrLWbTYrIQNAuAwN41gN7
NwN8am88//w9nr84n48r27cFV68HkU3/9MXKi2ASZd9xCUu92gWDn6M2CF89MW20HDuz4QW8WAc9
H87Inz+0PddTf31sz/BN4fC99j7VW1HthSlEG3fVNGzqq6oSzBGQSZTVSeXeakycu8oA91AhSvDq
4hjU2EcbcdAiPUdbIoq94rvuVtZZL5PL1HN2pm6QjNCjoZ5cDVFoKFJAYiG0PUPc+1N6nXdQDfp+
26XuDkQzMxpscPn0FnPjXSSEE3S+WAOY3wDzuNaK9Dh/OdM2WpYIzwZRHSyr3NY+hNJfvBffmt+f
vRmfCt5O1uOQZq1YOSmSR8+5FtNtn9w50THxmbjW1p67wT7y3OvIVBdherKn5TzbVDsBWiIvcBS5
yI4itH3nwfKWfT4xb4SVY14CyYYCjM69HpiGHSyW0UM2818a7MGMdBs8InBPwnJhINVx5mP8HFEu
9Liv9KtWPLlMTyUuu35ExXlUNotaee+5yYXOtl0yxMT55dUf1XhyzHQxje+o+5GFILpjYjGtRcvW
567SYOsisIM2Yq1DhlezWyhaJ/lGs0651y2AdlmEbUzXgbNOym42hRcCCyWC62AH185zt7ncS4ST
k1q79PX7Pj+YoApRqvr1sgkvO7I3xq+BL1d1wggYDUTY5dhPp72PsBKGMlC5bcFWfOL5hQ5qAoQN
M5ERb1OBB6WwobngB0P9atxXIYKyW614rQL6PEyB4VJgVBXohmGxNec248lJFuRXg/+eecyyF5oH
EzLCp72N1bFCxAkfuktXOA1Vd2mE2Dgb3okns79sQDT6d/X4jiQ5dq5j3phs2HclTtcctw8yjOrY
WGsLQ461Rzgg8nNQL3Xe1WAh3qNsFeg3nr4qDNaujGseGG/ZESskPg8w1wi0YStoOkcK/rA9ICYm
ZrTMxjVLFOVtgngX9K91Fq8yUJbqw7L3VrVg3VL012Bh8HS0bGmilQKlF1doQl8mJquZhU34NrL3
VQ8jY82X0sQBkfNeL2d9ab82Hwb9JuTPE0HykCCY8D9K80ueQyojrmSDrEjvM97vTYw3g7+zWg8W
2/BFWy/r7Bz45xqWt8FTFg+Bs2Fwh3goBnMC/ExTlyNmJW/N5MaoLrAFpd5TUT27WJ9aDsn03Ixb
/HYWQu7oesR1VzNyb0CwvVbdra7sA0iU/QROpiia1TwiQ5vnxdAG73LrzlO7wdlU2DScatdqtHzG
Rdc9D+pUawfdOFnmoWiWNmoxtamMYmlO19V0SoavSOx1F/n6djSOocNwIj5hXUNE7OXNhkXBIk4f
JoDbr7Xq1q7DxogPFHGtwG3gXMAjAkNxbSSPYXdZVUcdlWfLqHYbOmipl7B1ncRe2vrV1EPYus/l
rmHjqNp12V4ikAQl8VzpL3V7a03rLr5RLXpJCiBwoM82KhF86Xm8Zd3qJQw/h7mVXttfYt6YAs5M
kwB+TBYlTGWzXeNB9fyDjQ9lTB6dAMs8WugRJ/AH9nR83Bh+kv2klmGsX3f2u21eSYpNINdD9DbI
A6dZZe497bJQ6bqrejAwMH1mCzM2kkjbKPVlwG7LLCdGubFAIhg+lyV2xIL7jjjBxWmzA8L/8imP
b1Kn21joKOl/XpIKuTn37LInbtOCEwBYMUadZ8sGs68zS29+NTs05gL2852YQpMJJc254HD6vuro
yyZQdcKd2Naym66GT850Si0sNSSz0OvoDumbruJtmptg80P9fhrbXxyN5lxJ/eU5WD41j20bhuV/
OhqFVyUmuDSxyisyF3RDH1dVHbDQ6FN70znund0HfD9cLacY5rtb19lmUtAirOkZ/BJwOb9Ao6oZ
/cJ2Vb0k9OcucBiQ9TUgYcXyJE77c+z5l04NC1cfbnUD0tzIquvUF8F4GSfuL+aXPyoeHYYrLsU3
shH309tqSa8Fbp7jTGwS3BXxVY9nMa2QWE7wUX9xnjq/erRPpepILxGLPgG2m3FdxVMVIrlp7Q0L
EbpyJzjh2wOPhLPW5FiHl433cEzC296qL61IPgLBXDs50U2+ZJCnBefUHu/DQT+bcYgbW283nWla
kHeseBPI/qNDP4A2lVWLYqZQusZ5UMaRPpkzMCHBiFugcDRBRpKF6GpmPneJTmwHntY+TMAK6uUB
ccAj4SGvgYyeXQfNDOt1xv4RCztclGKjWo71Qjx7jaj2w9hPq6As61UyTle9H3vYtfV9nZb71vxl
fWJ8q7U/X5ECWZjB9F5Ynj93aH8aIY0JH62fToIKALFH7wNg7cgh4KgE3oo+bGAnC8JMo+SeIo7R
/CPp8wcLxVfPlJS9CCtW39tlLQteOb1rRv2cGN591cXPbVNfR2j8YhltwyS8AG1VLTqUi1JAbotq
oK0x2w/kPMELhU/VmUvo3ls/QAneitsKkhSr3pcuB8wgUrgn9c0UcEBcdvj0cW8U1BPhxPEcgpoF
By8kFskc7A8+9j4h5SrDAASJJf8yEMHgjBhobZBQCcd9KZqjlCNMEoBfLaYB7ValWI8r+RHzsKBC
n3vZXuqsd7AFK/XW1/1ybPG/O3MpU62RCy6EF1FZwROie8kqptMGWrgGEb3f6edIA2RvgNLHpdrb
7IPdY61NAC9SXq53MYXgOwWUYzSfEIYw7mJDQmohbt2Qd5Kohj6jaEunhYESsw5aLDdX3AH4u2Py
Js5dV+4T9pwTEqThRQu6r63wNmEvD1Wa7xSKpi6Y9hnOGtfwlpNZ30hedo1VzI70eV95bVvv9ZCs
+8pZw/DeWqm7knp5MnDhWOxUiu5mkhqAsxYucJqyzauuCqWDNbDW0ouOZgjJCMeQhYDt5zXzD6ea
HoNTOiQcVcx+v78k+4Cbcx7PYFKjKiH9dx9mlZ2ZTp+92j4p3SeVw8lveqmmNavnkM1fdkhr2/jF
YPybKuPzd8PzmEdZgjkD88bvn4iWTq4jc3e+2TiwKYyZxCSZPdVdDGFE1iAai5YRm5ZdTpG6rcP8
a9x5V5oaT/0Q2r+49/3o7PB8V7iOoN9xPy9UCB+StcPPmUBSjBZxcwxVeAoi+VElOMokBPNovP7F
Z/HXqRDXh6vDZfDnm4P76S0QWpDUrZ75q37T7O2lvPXUQTOADw6kVhE7sA+XzVajZa9eh0fx3/8A
vnt08WllFXgYTgzJo9vn6kJfaosOBfQi3ab7/DTcRutfPeBfTxcez7N14P+Owy1x/vmfboZ9V7N4
tIW30qPU3QYAXZAGGV8S3XL2cdS//fzN/evw6/tH+3RyGnbWMXH1mZmHV8puufOmEIP8X8zYfvgJ
8noYs7DKdL7NXP/0miJEm3Fd8Zq8hC04WEWk7my7UF6Cg5ANrKTMtvVfXKv2Xy9WKHfzkcJYz2X5
8mmaCJuy94jF4VE1eSPzvF8DL4DCnhYAC+rwporlpu/DYxfIh7Aop5ULCUhz4jcCQlZ+Cic8oj4z
O+xr1lnlLN4rrJW99BHjdK+B0+ybttwGRvDsJ9NKVvB4s7C5TnUwZzCriqm5cl3KWN0GJJQvAAQv
zDkZkI63HTrurigV0L8zqieMCEY09CRHw3XqIpCuze7IF9vf2o6xsV1cO6I02s3PP3zzB9eaSfyV
y6TV8Yk7+XSXQzNUeNDXvFVg+F/ylKWJgbCm2oxkmQ1QhznGipNjew8KkFA7q+Z149YUNbRn+yi8
7hpl0UcTdHvagK2CA66QmcLdA2+qrSsfUFA5IR/P+yfoX/ufP/kfXFM8d2HMUWXcGT4PvUNq/zbN
2cNbmTstRre9bVzUNRw9RzSY6NjM8vnbI/772/i/wo/y9Ptdt/3Hf/Dfb2Wlmpgtyaf//Mdl/IY4
tfwq/2P+tf/8Y9//0j+uq485iuDjQ16+Vp//5He/yN//x+OvXuXrd/+xLgDwqnP30aibj7bL5LcH
4ZnOf/K/+sN/+/j2t9yp6uPvf3t9z2OOhxb++Zv82x8/2r///W8GVb7Aif2nT2B+kD/+xNVrzi8v
X//v/3ltfvxbH6+t/PvfsM78xqzPt3y2uGypmPr97d+Gj99/5P+GfsGhOCfMxDEtmxlUUbKV4NfM
30z28/Na1Hd8fC/zF7ktuz9+5lkcM/zMM5lPz0rJf74N331g//oA/63o8lMZF7L9+99+D3b703HK
/4BoqjNUnGfrNGKf7gnTlFo4cwYHEWRKGJFoAUI5BRKycbpF6fpQ5DH++GBVyvqx0UJE6XW2rGsM
i7mOt3iULk4HHYhKaANzzEanXFNq0gVUGJdNTz1i0e1vSUjFGp5mr5AbT3pIBaE7sb3Tk3QTIV5h
SqXSw6CavUS5NqbpdTcQS6KH+ZNAtIrejG1dOfBrppva+HVl8RQT3cpNqSAQUra4PE0vwC5mfh3L
OCYvCd3OaJj9LQKw+FTpbfUmR20Xswtc9y7KQjJUi0Va5sW2maIAS03Y7hpTJtvQk84qasd+6Yo0
2aZq6qDhsRz32vq2D8E8RnWW3qHz/mqW+bAqjcxeqgrASpcTRxDZQYNyGV9yPg4DtnvzOUglxa0i
3WASmHCcqTIuwwGLNyhrHCexQ0RX2qLOw94Iqog4IwZbakko2lErI/SRXfQ6EoUEnG025sS2d4Gt
BmaT1ULsJVpgZaZszYXU1MYIW1rRHvO7Xgl/2XgEl1iyNK61nFmXZTT09I3JuKhqcjgGsl26Zazf
5X0JIsD1tD1ySvB0unwywwicCZ0a8M7hEIvqpU11bVX4E9ltGu4qyOiD5rQHMkOYZ7UcJKyKmHfA
7i5kIHl6uA3NiQrFnKhgrRYQSvCMuoCMGD7ozDk2prcbWh/NfH7Su+6rV4r31Ipg9Y3DNs/K+ygD
6VOydNrrsujfHENCJiYmhqm0GnDJDbcGTuxlBiF56fRgJsrIGNalJvWtRPxKB4/yC8lbep8TlTTq
c2aSlbxHRm0dInfOU0JGvkbT3x5qwpbywLWOPYBTonkxnuRNWOyEbjg7QUxTVEl/P+ZtvDWBIG3S
sus3Rs+UMPCmd2VCq/B1fCtqTn/S5xyock6Eyi2ba7OBedHMeVFuzeRpDpByw0MUaVcWehpWe28Q
66Avlc6DMGNWwdoWQcSFFQAnB3+YkCkxElOl9OaLIrbKNsFdE2Olj+RZ+Sq+Lgm4qkhWaOfEK82L
YIjPKVj9nIdlzclYuKd2DlFZuXSnE9Qf9Oh2rK+hzTWsoJ37XOFQiXVIZhmHsrFwkwBHaY9ae9nl
g7vPZb9JbHWdNaQemrH3KlWiHTVBHFioG28WsuRxopdOw8caQdPSmRPFbA6chRui4ZPtdMoN1JeR
Gd1PRX+uMzayqc+3C0YOuJoa+sQce+aRf6Y5w5Hu6xZjxkGSj5bbYAizbGDEBsw2LtmoD3Ocmkmu
miQV6JoWwVm4WuQ/1LWT7lMt/VI6ZBD77lOSUFoMyrJXyvOIRDJAcIxW4yI0bnFF5JVzTRzWbdGP
8YVRliQq2fqjXU7uMSwtihdozIaMv4ioffMGxrl02u9SQblEyi4v3GYyWOyD1XYGDYlMAadJRRvd
Cuz10PQo+FtiD0O9YT8ocT07vXGVNB4IJj+6Fw5M/0yDKxBEosIZEdFYp/G+jkJvredmeTbcHndv
zDewgaZ1H6WSSfMc4uR2Wb5M0vyxaqOvll8GByfp64MDlHtOa7mIkesv9AJ7WVWrBjsv3lyEy0ti
cBAgxsAFsQWyu2hsdLRYNrXUvqqbjLmBjyTaFChja/hFfLR+wlP0SK2zo5fQ0r/oXXhphrNc3HVe
Ax+IQ+K1N3UNKjQfsEqLZnCX/1NjSDXXGIieHNuiivv3fx7gfykx/vfUvao/Vxj/+Tv/KjBQQM5F
gmEJF3HTdwWG4BbLutG1DLJk/O8KDAcbqY24yXAM20M8868Cw/rNNT1L+J6JSkpYtuX9dwoM2gra
s+8LDJM6Gs8xegyf0vTTcLBNiPdxAxyLifk1H3z8YbgRV2mVlasBzcsykMzwWj9zF0WEvyclEG0h
fB+KrvD3+RwEIDqxrcIa0Fd3n0z6o9TyHgtNnm8QDyZHQyCqri2bHDdWBrYm5dYphHwMJStVM2UB
Z5C0ecv07jGqEzaPGsg0h/jAhcat4BYWjXeZ2ZODE1w5x8KM78sOeonZ+f5e+Gm+wjUD8zEt1Llg
jgviclg4NU6prjGwVUVtuK40ZEWt025rLbtoUgdHO8ZsZvBhA+LYwoQ5GCwbzbxeyVE/1t0If7Gx
tp5gxdL54zNpdhGxlb1Pe6XGNf4FvLvEQxw9HD9bnAZy1eis2AZc+wtX5fgjnekZBAB38jytdyH5
shd8F/tqobXIjJUDrcIPfDzggCaG3PnQO/+CIXe7LK2O5CIb9bFNtaNBPV90Q1vfO3gKSYnq7zVV
+m8D06tj7HfVGgFMtZMZxkbfDp2N3rkfaeZZh74JHjklmX7X5IJgrz9Plodhx1dE2PupDoOPPKS+
z6Gt+mgzUKpwH5F0Sfxui61EVJgFJze+T105XNeWhxGvbVlkJYaLPxv0tZZY8ZGMhY8kgfYQJgDZ
q5FJKCE1dIytDShFauJSedM5h56/qUPbuLADZobEuTyGUQglPJ4+cjcLH8zQhpuQRCNgeWjPzLmy
QyNz514vkY6l4Zykisz3KRr4zKZG3tYGAbW9LZ5iF8ILqJI5WJOKrrUBvbSeSjdzhASjNqxKeh+U
69Isxn1PfXEkxE7Da9J42MIxsFcDViqjZhdk9ajlq0TppGYgtRd2etabsbuSTgzEqbvA+o4bx3yR
nkGWgW0HkI0o03SzeieXEXYGWziq4/Cxyr2YaFm72Wmp62/7COJFGmTjoptr22iucqsU0Lvyy7cy
kfFJDlTh9VwVIzWPVhGFckc5BhOjHBbBXEWrEY9fOlfW1lxj98jetlpBGog+JU8mkZgMPtPrqKl3
PXV6n9XpwS8HfU4T3ExzMT/NZX2Z9KdAxa+aT8FPtGl3G5W9evRyQVxBkV6kc4NQVt/GnjQNam4f
+r4BIeqUFcoimgvNMa6tqHgy0RIxa7qP6EQQirE3KKHp2J2fb735nIHtxxU1nz0ph5A2n0a99F7V
PDqOOKwi8pLTSat3SYzssplPNGs+27wGW3szn3dN6F7h6CxWOUchVSL+6vl0DOZzMp9PzJyFaD2f
oRBo2J7P52rMAWtUunaWfT7jIsPgUHIMxxzHznwus+7jcwI1gD+dU1vN57c5n+TGfKYrhjNrzQz3
eRaAz55P/nyuAby5GhCGdpfO9YGh46doyRaxCj1e0j8ScYj8d4H+Pl0Xsx0ypdjAeXltz9UHZRgl
21yRdHNtMlq8yFwGLxSCby0MQMCDFDM8gns0qG/MudDxhOEx53Hvslh3rrsRqjxoCYyi+pNMSKRg
80po7Fw02TGhw1YKKjKjorJkchhG+RGGYQ/pKn2SfmIeBEnYi7aZ7nutfhkJxq3N+Ks+UPoRZlJu
4hbXYjXn6ILL6dblnK3bE7KbzcbePkrCK3JjTpSLF61R+ztjMm4m4nmzgZxec07sLess23YqsC7C
BAYSETKrumYhGmkgWzI1W/jKgrTQWaYmyXVbdlmJa6eI5lSrTm+JQxJ0QylJcDIxq0OpJrw5fnEc
Pbslw9O/lSMdbSDc5yqVMAzGi4Go1w5HF+rMaWNk84ONNBPxIPwLRmsrZ8TMj3B0nTjN04DoE4AW
FVxYn8rGIo2lanZWqmI6W6rgXvWXHbc07sawjUV0Pdite2nWhkn8r7ayJhYmjdm9ujB62QUQpPCo
EwXr6tp10KgXKtiI7z6O3ImlvWXN3R0W24uRMdnRtXoTYaM6yp4872oO9gYOsqwseG1k02zcOf07
nXPAnZythZhD5POMbapTOYgqcvMdNPW11tBDp3nJUqt3SA/IMIgaMYuLOXk8/RZCnsx55HlEMnlB
RPlAVLleq2ob+SqYR3toamXj72KizVuf3Eyk1ekW/wak+JTVkq6wH6IYBSc6x6NPmsKOHMTP4xyd
PuQtKI4avGCntRtZBTeN3z7UypozTtw3SST5a1N0hMLkVbGo1dQcfTUzAgksBcCs5NrWu3YjjNB8
CXsCn6eJ6IESt3SUYoDKBqzbddK/a314TvDLLnsHdZlfg1uPE6KJI0vt6ln4ZwpsppWv1XejoT1Y
9ngX69ltEKX+URBSQD5O4cWARv1rVF7vfartQldD3Zur19Q0tBUMAQZtHSw7RMlkwd+ScP3UutVd
rrqbeNQugjJ+ssP6sdAJhbd8dvNyhnDiEyTQjHxJ4o/frJQLFsn0TUjXh66o8u8Yn75nfuZs2ArA
3uLlgUQpxo09YcVqDNCbzDNIM8+4ICPuTKy+6tsw87jwQ/HokMU4pdiAOhU/9T4UjTZNEsAyWrDO
RxcHR2DXu9HkTwBQtBauN7BVKDMdwjoR4EFcnWJvvLDx5lIWQW3whttGpeVKpI5N+h3Nviqbh66N
Xg3PJjm9q96mEImiLOsn4fZI+/GddimhEpnln31Vvg7zV9HPd1POV8wOrZ3I2hNWxpvQ14eFOaBa
mLSYRGqHZLCcBKL4aIA4juv0IRfTo81gY5NmzXXt6U92wsLQmsY7ps+HJCuR5CrKKul8pBWxMlZl
llvE58CZQ/nU6R2+aAcrv812vvOM19ipZpxYTyPZ3xjtbIIBwEhY+7xkdgE5MMPdeJX93CY2ZLW0
f2sDg0lLD8EgarGNc0/EoeFy31aAmoPI7TlMPYjSrV0StKW/BULeNnr5EUxFQkPu7Cetv3ZCHTYO
WqQEmi24aZBwmmU+2kn1pIegzP+njfq9jfp9VDt3MP//Pmr52rxF8Z8bqX/91j87KcE8FmWkwyzU
Z805L9X+OapliotsczZl45v6/Ud/jGqN3zBu0XjxD9Y3ZNp0P39MavXfLMednXe6IzzP02nN/tnn
/RcGtY7//Xj/2+YLeYyOTAVDA8r2T4PalluPP1kplJZgzrzwPQWBJIzwjHVfjNzoj70bmhv+JboY
3RyX6HyEFo33UsbB27csy3EApTkW9RWG+KsgdEAApCZ6MQa7iZ/vh8DH2W4XT+kw5Stht/q2K+tp
VXSSozScK7PGxmKqifTkkJC4jSffJ3JnjHeUf4cQQ/pDXCHesRPHfFAOi/iYo3mRt+V4lGgPDloD
1imiVmWc5UenukUsbLcSJX5riaUzDs9aksWbJhzClWcVgp22eyxNB05kUOwb2b5zWnbESeTOumUz
T4xGBsTbxS/bN5jE7Rgka2YoWg9sBgWzOhbVpbaIbYv6toxvlSnQccyNVCesbFOV8FNqOienJYpU
FvZD72eXRB0scphtuXEbxDhzkwqNXZnMmBUS0y4tf6qXqSZfrZao0hYxrNKmvSxURiC0czBF8QWm
x8eIjWBhKkutfVw/a31w1I5GKNpEo/kUpU25GoW9bgUdXGASyFk4+m2dhOi6oERpxhOidszLtJsF
E2DRxxtN79Gcw4W30NF0nfMSzWPjjtwN1lItit3JZILWRdxM7DLcum52YdkugX7ixa77U6TavV0a
JOl6AvFjMWrA6tikhf4L7QJaxymi1iEwrK24L5aqA5kmFIs9/yWH7OYmzp4xH7FWibE2XHWZwCFk
0egvEyOGwIFRoGqdDy8iOBh1OTlg1S6bQqZ5rbeOFGSKushfhy4lRLYz3rwiSw+x7rIxIM4dKlf3
UXnZOfKwx+opx5J0e3kRNiSsaFP6qA21s9aGaYPR1FzoVniSerFDc9pvnJBx7eSaCUoUaQDYEjeW
pTZJpMjHyqejDFGjagU+eazisLAQUA76aKEaIqhJwyEYF/aT8MBm0KEhGWnY+fo2Gm1ILbSEilC2
xPVORs3YW7VFfNupjnMhma+hYNq6BEl08/rfKnYx2RbmYCz9vrgqGkzmqYbpeGjAMXRpdjYZTSxy
QlSwfBVLN3ZjyKnVrSbt5aj7x2IcKYaHYic1lKyYovEed8yBUT9BON8EmnNhNsMm6cpdYBa7fNbA
uyEiYm0oXpxenAY/u0XKtmXiUdBO9WDvp3OQDOPaGG+0sn6Qfa8WnsTXicDpS4DSm0F/XG6CFpmM
lrsXQQ3Lv/N3dLK7umG5H2rHLgkvQ01sut6+RdhO7IhWXCrQzvFoXAAOuO3SeKsk4hT6buzhgflY
d/DC8GhSrqVYsNKsapYAEw54oPZVE6wSl2AUd3SOQVW8ZwlIXbpJWg6eitZx6DZFex118ioNqyMN
6VYM44EEmPMgm30lynt/5iPNccetfgYiBnuihEFa13Jfebg9vYFgHa/pwRyITYaocZaKXaQCF3w0
jnvuUwQKD5vB44Ux0Fm5cXvIZHSeDAHEVntokuyst83lSNQSJbENko2pjpPqqFs1EIfFRVGQ9api
7Rqr20Gzu0MQ0+2m+DSQH5UhwkUJ5FMRf+vriqg6c4JJ7uZ35RS+WA0puwMsn9JhFiDK9sFJnG02
RfdapHGZefdlG7/TjN/wzbmzZHSvaNvhEA33vWSyIeRgIhfVLpwsfSAakUVpgRo13SUhfG2/npme
FrA0ykpIUmV172shsJ72WDXJc5ZHj01OsC4zHWjfmslE2cIokXGb4gh0F2DvVtPk3Dq6uBpZdi31
xL5E04PXSZBDN5XvgU2mZQGht6KDwfP7dez0bR27EJjM5MWdfERIjJSGqeRi91H50keja7XhaDv0
af2co2zhoPNBSFSNfMyJVfDbah+6wtmlVrBPTLhaJerAsIQzlRF2unQ7rrt87O9ioznJPvnS+d5N
39RrwJ2Ptptf+h1wQtCZizZvn0IGHvyLahgjtmco6tWyVhl0QjlcFbX7lUnBYzzkO0cHQ684DqVn
n5WdX3VdMhE94j1mM7JEOtwgEtWgY/CIHo6uASbl0DZhI8HIx/42mkefENRTHmHGgu3TXhp+bEGY
nS6YJvKmSpo15Q+HLAhOXUKaTYncLnYfZCV2WVyeKkyGWcvKpmtGhK7V+5y1FZAsFbqkUA8Z7LtB
pxeM+61inb+O7GjDyOWEiY3MEMOcQ72M66nPx4WO6MsgnpyBxVH3kD9xy73tFRuDQAsuGfRhpCmq
TezEV4FnXjqGOLCFPUrBGkQLot3oNgdDIXvUR20rWxB7eZ3QilrBWSgmDx2BtcsWHWA5D+00O9sY
ItkmZggC3tP32QTAS41jgmIkvq8DgzqEQRc9wLJP9KM/lN5ajIoPojdf7J7tTWEbJiHrJeL7rIef
qVZBLz4Izl2PifUoZYTuPj+0g3ZuyJyCbaVtSTVm/0t/VmvV1o81DUdAWG6yns0j/oh4WaZkLKUm
gGLhgSM32q99GTvLnnsG6G5tB2aOKMJMpByV3hmgolgavfb/2Duz5MiRs8tupTeAMrg7xtcIxMSI
4Bgkk3yBkclMzPOMPf2r6I31QZZKymSV/jL1s/QimaRiTIDjG+4993o2QJJmJlkqInG5JUmr8ABl
BfS/ZGxAfrY922q7lYr960Z3aQI19941/KdGJB8Y0lrMFDn7R02Q7+7QHsKsOgTDtC9c+2yN0TGm
n4Ut+2BojkPsTxF5HcjY0M2vS+Iy9zIjA8dmULorGjl5CbPTVQ2R1WsjWz6xevkYEltuh9b6CEnt
XNk+yiSFlNynn181kZzxAVCvcN997ev0i2/mL5lhvotkvJBTWoGEj/M9lOxNlcfHMAzuyGu5Dgr7
VXT8LkZWq2synRaydpBuMe0QPGz0p3QkT++/TcgvTQg9w79vQs5v+dv7//2fv+hC+Mf+6ELc3wxd
IBhRLj48lxHvP7sQR/y2NCCI1CW+7d9XPf/oQmg1bKzt/EtJhMFsPRCu/CEYEb8B5wDcAmBiAV0J
cBn/QR/CW/t1m8PbkybdE/shxe7ok0DKDhC0VBohQGW8TIQ7Bc59JExyGnA/Bc28tnRyUghj3Qm7
v/vp6/pHT/SzWOXPry11lDKoaXQoWWg/fxUCliGj8ij3dbQlbbvRRhKe0XXwZBiYDOUzQ4DMLVKA
l2VzVc9u83sL/YvY6eeX/+FF+GWTZUiWZRih0XpK/OafhI9Bz+g5VRwH5HLvW4txPutSA3qBLfOj
ZY/PQyaulucOW+f1RFxzzWNCOlTrrI5bi0kJx4TScwYviO7qhxa6jjZcOgJ/xhr6J1iosfredU8m
QKn//av77OlFXrSAUqS0lSMcfsJP771Ihw78OVxkCyzdCgmcudbn8hmLALB7KyhRKfOmmtQk1E3O
z25W3Oqh9dBaxdfAIhE7rANjMzd/p1nDXvEXgkuoDHS1iNbwRX4WJYZtXfv9iC9scppra0lAMeIv
dpfqN8MSdJ1xylFVuTnWLZqMkTxsvVV3oUyfcj4SyGaK6XCKtjEWNoMs7T6073LFfHMuzF0h0KaA
RyV7YonetsriaxZSlOstWzGU1I5RfBekdfsOvKhmCfBOJAbSkExvnehqngM9rdkS+K3/iP528/fK
at5VPhBH5gSL8a6OQP4nZ8Kim5W9yO9m4knrbnLWCY8yZuhko6iSB68VueIaa2vmjZH14kfT+xgD
fPcnoNq+4FOSIk71PrdISgg0Twg2t5eE8wCypGkmLrEfkJqXFPTWoR2C1wWcaclIJ3EAcw6x6Uy0
bxBiQ8AqKRIdg2x15Ws8vQP/a5d25S5eEthdTE3Tksle8kg5xCjXvGhJbIeqGC4fimckce4yc7bA
OE4M7XatNC8ase8gQij+YndijxF+5NwOe8MSQEyrJS9ekXgKHVhALCBNHnq2OPYuCfMGBTIYZm4b
OybUJHTLZh8UZNJ3PWkEiUqnlVW01saM/EeTPpnh2fhoG3lxipZ8+6plBpEsmfd6n33B13IxLZAo
lU3yRGsxMkYHCpxbK9Y1FyqKJ6BzJEmt4zl7GufwIYpQ2KYNepwWS/Gg0vk05T3g884tbwcTGoMe
6l/jrPM9xuJ0vQ5dqWYGL2EuDDyyNP+DUdxbyyjRquKrZGJ0isx2j6MBjhsFEw6F8RbDDxDcdvri
OuIcx2ayK0xCMRMdIQ7F2KtZ1xsrGOmtFFNntqVjqb6TC4/cNxDGhoynTRGiZaoUB8sMCQxHg3U/
6sOb2fYvU1Ja+E4NY2crIH1FGbon+oRqA8uYzMSo+G4CzIw5dlPkV7IED1/H2nPuwCgmXhF+6ENT
E1CEI+nQaNEpiLp95Jo3ugifM6UoQ50bMQ/PArtoj5laxA4z0UhsS6e+ZqazxwTODGNali2bMoQY
pDkLGf4ayemlTwbuj9nZCdGiWMK55pNR1wXp98wSX2C8+1hgmU9Rye069tY3AdJtvKazizwsINnE
EvEuIwg8jkm+MqZ8vPhT/kIzxzwjrgvehImcTo/DbRdpb7qNX1nG1HJj++NgHTdZCMmL933lBu3g
NUlNIM4QO4yAjKuyGRrG4dyrKV1raNSuB2GAEUi9REnUXX3jWg30OaCevU9CRwxyconukasgICtc
ZjVhvhrXcSHRO042iSldZ02EDxKJaajo3hn4IHEu2O33AIostj8AwpQ3YrfeBw3p2AMwtMHmx0t6
GdxCrMjWUZthP51JxOH4eWhGvu6sgKMQtiFbrfoSzCNKg/w+iSt6voH2uAmi6ygK7ibNssHX2QwO
UEamBnARh2R5TUT8Zer8QJZ83lzj3SQ3iZzfA5V/tEl0m1ndJcv1eW1WcPG7riSgzLxP21acKjHd
l1kILJhVpTf1yVPSI8lzou+FsPdJxD3AyR2xv5lxtXb3qLq3Vl2/IZSv13GTvVNen+TUPQfKVphj
2oipe39yEHwjNX+Ky/xGRfZD34qvZaELoqSRL46mgcTKV+S/1qLEyDO+z3D+RVZfdAs+edRfMZYL
V0Hs4vBpb6hTlvyu+Y4p6W7M/O+VDpllYjpFBIZ+dmENwig1ruFpn0sLU03c9ndGaO7Ad9wWLHdi
vQB6OOwGo724PWkwlv0WUHIQLdFd5qwlXQtja8fww9fb276esEnXFd6W8lkvjWcdhR3rhtfMTy+J
6WxZg5/yGXdnoZfXFWn0Dc0t06so3MVWbXL0zntNlxpiKvjkdCHcfv541wwHI4uoFdIFZDte0qQ7
wjg/gZ+85wSGsTnnzyoJ7isDX00w7+2ZjJEZhR4KuOymNsV7oZt3Vm7j7uv8fZDOFzVlhFPOBDeU
sruyqzJdZw56T8DsU7wqR5PzsGOKdMfEbTq0MMAOLOMrr5oiruYpWED9T8BoP5SvYxwGYNgo6xFv
jddKoDJuw+YvGgjQ9qf2MheVyyq6uu/qch9js9HF9JrV4dmK5WHOykMtoOF1Fa1lm6prN3KPU9vu
tTZj+uRDok8iQQSWQlaZjddF2dzUbfkxRwWgbh0LuanpV4LMMQJ1AFsmGN8C/U5lhbtxw7HbM4R8
llH+NckRNg66/5iIge16RZ40amCvV8HVFLRP88hY1CTRelvOYMnL2LodrHYXOmpbMNwoqvo0V8z6
TD26QACwV8qN7nPDZ51WazUICYM6buxvRhljU5PNWxbyK4Ki6HlaludOWF/jXl+qjIqHr7QhTZAN
sII1yKXEAAr4OP5qtAqW8HXY2D3hX4xaFnE0OS3KJv9kEswyQ+daxOaTIftjzCJ2W0rCxFtZHerO
hFw/MPlQikvHkiDZs8GY98PUSEKpTLS/TY08dqw5WgP8MP2zTc4NOiQqOZrVlDLCZj3NLhaE7T5s
K8ZagleKiJBIlQa+xrlDYr13Qk4Ms2csVM8D3HQtexir5llNDFXx4nEB5dZHZudUQoFx0UlG7zr7
ijMQvH84b81mfm6G6JBM+RtQHoDosbnvcyKfUmHdGMsl5hSC9DhXu7jYaqs2eyR78YrN30EL53tf
Y1vnp84VwqqrLlUCcRZy78DGetxnqJGNgYh1MdNuKHld8USFWKDAUaP4KX3igpIx/W6ETg5jvmXW
21rnKLOf61qdk3KxE0rrjsO3RtKxTOlsQsuZLGEtmfgATpPcSgP+XmrXT30Ty/toCIZNrY8pwHA9
2ktqCS+0LG2TWTx5K6ZTV4UTMuTTSmC83M25EwJiNRmWDZn7XbFWXHd+jssjtq47N3pwmZ7yDTsn
Ny6fyzQF5pJmF9ctnhCTnwbIsecB8UIUaftuTA+YMAhaKethRfLJJZohWo4V5YY+M3RJNBuFOKxt
CFJgOpPhZHTWVaUtxNPRvlP45w2q4tUs+bUqob2HdXurYuvZnAhaV1bwaIUY0c0ifBx7pGRTDfXA
jWJGDGofNmjokIRfwkYTJH+n33IfBEKfZwEieZJQOJYfO02aDPRl641dtpV1w94punKF2CDTuy6d
8lbHyk28u4b2gY8BpKF1PeBLYjcMHZVcW38kaMH4vHW/dJEfLUHrDrKEDczTktxw9ZjFgc3AAv4u
qPUvFZWgy6gfEmlqw36P7uzQOacBfaBO49cmwdGwUdNrUaq8Lo+HY9dYELqmWH+gChqPmQOEVK9R
kc9TVt5oVkn4WElatWwMTKm92bzjLMM7ighiH7Q82lvEuEMSKoPr366/Rs2EQCOWU1RsKsNB/G2I
iCwSKCltAR3Fr6rVGPrl17EIhNcy+rJTHONjSlqgxo5/jglj7QiGWM3lxCXM+GfVRYRXDTplSZs2
pMu3abCn+D1LhquePy6QH9+9RVt+C+yShb5R6g1Hc2STo4Gn93tLzFOnJwBEFDxbUpG44srAREyf
M50E32yF+9zSxK4LhDxG2KfWaVnIO6zq5T2HQ/VWEfOyrWf45bYf3auc4pOALnLORkIeG2mFL04C
YaQtwaP3g48boLGAqIn60QwJBLObhmucbOYvMm7J4MiJuh98xeu5GCgKnlqsJnLnDrcX+6SCgShm
zmqvRhZyxKUTXM/4cJ1JdFB1Whc3EuH6YR7LH8lXyitKVj/SqopNtmxpBqbk22jGPOV0Y3lUo2lf
Vca3Fkf7UEtU7AHw6xHokB56NXPXoXfWJtAfZgW1c6Pch9EuAdn4Lt+u6RLcbsecIwlZPUz9UMpB
SiYLAfbUBlGGcWnNNt3a40cAHpjkgnM/ySt9ZK/SEzhhkuCpu5xobolk0WfJUOkb3cFNoDESjhir
Ep8n4FsLd75Q+12RsPY0ZSfIBuuCsw6Dz1oVKltbyO5qniq1SdSNtpyYU4dfrCCDrtJCKlo7PTcO
OQjjC9XRRi5zdXYphpEcLZkelqlgmbCGU8O5s3mYlJwFImt2zE82clZ3ChU+oj3jSivbR0vrYGZ0
YjsDPsFT77VW6lmcqgV5VkarPPa6IFWjW8sZu4OQGDsc06snN13LsD6Ykf7cFBizE3/dd8ahislp
M+SmSJItOq2VxVbUnmdipODW+MONhiKS7dlVwVYgBao7DPYREhffmbsW+GQ4bwMvCNH1lw6V+jA7
XGoGNkMLx0pmv7ejC4LF2BbaK1Iu7N4NV0GglRY1KohqUbB6NKb03RySRyKkOlLkzJooVuLnVuiI
C7Gha+WM7Ox+ojHBj9EiiX4dAze5DkI1NJ4KyginB2IP+sOAK9qIIrpC4U/XjmkRYIfnoUO+OSDs
8szaRjrrq9SD25/SYtjHBKvoPsY+gJGQIPnyatH4FgkaEnM5vFG1HssEeX3lJ4THdN+t3PDEZG6z
xDrMFTvwBAnipGlnQpyOWq1fa8l4m1jdKQn916RULNk1kmiLo7IQ2KouInOCgOti3Eqr/W5V7qVY
tmVUho8Ovqu1UdO9EGXNasLtXwKum15Ln3sdlxQpuJQwiKTwww3vfdyejYzCdCLBDGDXOopNr+36
76Eus62eAKyQQeR6VsLC1UbeZGWwbXQ7p5dKb4sgu+MhtjHRyU7+gA6mPzrTd2Fm+4T8MGhEFPXI
hwKLwr8zh1NfyWkPjuCryPU32NxPOJ6ICh6Mq2Xvk4DvSoCL4M24KSc0B6Q+fHNr5zRq1nGy2agi
nvX16dKGFHdue1zQOzVxqpWdbcflYTLTJ2Scu2YxfclJAEPvA8so2BtVetSUeU36zGkq9X2MWK3j
QPOH4qbWCbedyz16vX0qCwwdbMsQku+DyHmZh+A2gHpbtczxfGbiedWUK1E7d5UEE8SFFxXxfiSr
YZIIFSAeoGtf8817XFYk7TZXyoW7owP00YNbhFl7a5ZHWvpz7drbATtIZ5RX6Ny/5K14zqL+RmjO
q2lOlJAIuCvKID1tzlPWneSsk+NqbKSjzn45vBSJvEuVQ0CeVm0F5kbEZoRjyBJQVb0vzPBq1BHs
2egRq5Kc0xQOvGXtHaJN59K5YyizF3a0J7X+UET1xQ4z1MlN7AXSCM4ZQRQ71tLkx4iQxNxBf+W5
OCOAKtx1bvA3F8Wwq5k+8gnzKupCucVxSuRFOJevaCo5f0efR3ej2fPrPIpHfR6z7+CzOWm1ItrU
VSrX2Wiav3tE/u1kVvyqjbGoLiyUYI7NsEmxmnQ+TYbZpMIyi2mIINetpx37nOKeR/g9CmN5aDdN
v7rfTAnz2rU6/M1gdZHd/DQU/vzSnwHOQaABZEx46fzSD1u4VityVD0dv+Ra35N787+/3F8MSx3U
RLh8bfwZf3JwD8pqCpNWmpTci7EwjjRo6+rvhsV/4YL+5VXkr4P2yq1xDFjwXPot8K83DS/Xpr/J
NrEXnevN4IVLXPaWkevf/I4/ptCfv8yfP96n7QKiERadNi8sd86u71e5R2hctiH7EKwB0ZaP5cZZ
qbV4LF4yj2TFv8Ntfh6T//g1f34DrF9+Zg3EtujcaaEAEe+4S/bljXNLdDepQLwuqo9nrfX8v/vQ
y9/89UPb2GLYqigdFDj//utrBmnqVkGC/6TaEM6xDfbDrtllO4JD1902X62sFYjYFUHV6yNoqat0
Z/7NRWX8mQruKIPdgGMo3oRtfvraEer6AUMz25vxdnHzo7ca5S5U/sZNCEFZrC5hc0XhteSwrRUd
0Kjx9JA0VxlhwwkAABsfnz6wySU1HGkQw2fnYNlwkvT2yejmu1EirnUhwXZf/A6teMAvGoDNSsST
U6fbUQXv2pie4ib0soGRaVEGex5LxzTC/28YR2seN//JrcRmzWGbZgDugGZOGov89KGnroglJR2Z
z0ilVk2Y3okeA8NMxfn/8UKktS4gV6UDCvn1941VQCsTJDygWJeTONzAYExbRhKdbf13wYrj/1+G
/GUl9+8XrIfs/e29q9/+YsPKP/fHhtX+jR0oTgB+CJt13k8bVtv9TdomIqbFLads7sN/7ld5tIDr
ZHSvI7CWjv4vQ77+m5DwR5B58keVYyr3P9R5/noc/NB58kBb3qAFk11Zn46gYUZUh4+992ajyTzl
NN1m7jD66u4IB0rDCi70CYYyWuy6ma9jy0aVT9iMp0ssDJWPIjuxO0nWr46GcXbNa/KvCO6ap1fD
b5qrOfbBWzbQasy8eTQGa9cr4u2L+D7zcx1dmgi8umpf9VJxG/NU3aJJv9YcrGP2OD6oif/DyvBL
8n9zbE4B2jyMo13gxTUSaAIgrvWxNI9zGEAtjkvsHkpmh0qWzB/mNvMyUNmomPTvCaneVPpBCzyy
uBaU76cECzUQRj084jKfzji3rYM1wOdUZMxVgRYf8NiQAWniTvA7phVz6pCzG7UbW43aNioZA8xK
PsRZdJdHgP3c/jj5jCsJcL1gSgMa1DgH1L/GOkLiAJ1FsFWyki29EM3RooSQiyYiRBwR+/Js1DYd
JGKwfa9b8w6b/SVHWTFN2cuA0kKhuAgX6QVKn/keBV2DvAOduYNCI1qkGtARPsalTcOr9tEtco4o
cCavUbQx5SL26Lsi26lFAFL1uty5bXZf6vYB21nhYSEgtTOMPqogZxUWHHkjt6oEBI6+JFqEJrT3
wYYiEPHJIkNp0aP46FIG9CkJ9hTPQLHiWEhX0LAAbhotokI1tJ7OInGRi9hFSlJIq1p/hYN9B+DO
Jt7WuROLRiaZybJtkM0Mi35mWJQ0LZIaB2lNumhs8JfhxFt0N7hQqlW6aHGQz2kEdtY7hUxHLnqd
BOFOsyh4IAs/VnZ0gHLxQaLj8xwJ8jXtbw7Zj1M37JJFC1QsqiBz0QcxrXl1FsUQ1Togyn46Voua
yJcjsGFBIHXyyIQ39vRIXuI53Yclf2KRI5Fovpt1pr6LUMmpol2/SJdUxVzBRM3UypqyIpy+V2N+
QNlFyitxETqOpgkJVKmHzwxIXpOMpxcaKT8WZy2St2lS3rYg40nJ9M+McjOUzepBLEIrOTRHifIK
++uWBSVPRHu+wdjDpt/AUoO97jZCt0WsQbPJFimXlcijtoi7gj7ba6i9qtG5slF/ddp0zBY5WIUu
LFv0YQseAb0YdvFTj36s9J1b3Qx2uYPoIbbVjnEuqi3XOfEwA6CqIS3AwvOQYNJZCeHQEcUvLW6L
TZfguQR5TJEM6C4Yvtg9d0qkj18c8vRAXBLBEwfJU2na11q86Hkbl8WLnwC5GQ15AmoP5NkIyy3z
VofhkttuTKJRUEHwxxCdPBFFr8AyQdpmNnqUgNJB5PYfJDbj0Sir/EJ3CpkGwSo8Br/kW2dsD+aR
ZGYD5+NOc0xCTwrRbsaiILiRF2MjPTNIB4/WPIrBfdDZLbGGQCt7kIvqAlQB8x4/hOHPhfs0OyQX
l0X83md5t2mRmXsWaT1buMfjdmAtug7mPMXXOLootIYv+TSkF/xyBhmBhQnutPYJw5wufaqfahHW
nuRLYNLcNIe0shTjPhy0RuF84zbibymjWxUh5qLCN+fH1KrVbsrsZKdooOCesipUqPNWHSnGj0gP
Yq+XEJbmNsm3rgAIjCFIXbdpRxbS6BfPgm0ivlbTvG5c5qjKHdOAWiQMvEk25maRJeNAKrpLU9Gt
Eiu+c3oOdKA/GACmDZa/p8Hon1rNuQsIQ3K0+mu56NHsFhtauKsIizMa2L15HD6ZKP8g5F+7Inpg
S+xFuXkCbx+cHEZAaNYZ4JT2xiRzbDDkIYubw9S7m7LontvExTvnnMSUbV12vIsVMV9ab0td61nz
0Vvl2deISRs1AoBGuXEqaw9jY5MF1I8SsS3BCpxhgwAka9zr/RR4ih6Xo7dili5PSWeAE5RXcUug
GPEgnjAntepxj66sHH9mqeswiAs8SiXMsI3GBnNFx4nvzWQR0Lbad3DkpFa6xcHu6vfKaZ0VVonY
K0Wlv7R5kxwhpeqrXO92w4TY3DSqwssCLAZMDMObJuoVc8PilrLxo5HNu621VwBlgKh0zr3GEAWT
IYeYk/RrFoSLrRljZG/prBmi/NoGALc1wvls1cjPg7xnxFumlefO0amZWBUaifZV8xUkraB+ICn9
OU7UEwgPbhutJceKPU6Uo5zVYmPPxjg6aJFPPzkIZxXa2YuPO0MPuMgqfIKsTDQiTPt8r0/dWzEv
GbgjgHrLunQWNrCyOLP/2msROr4hrZ2V2w3FJuL5vY1HKLN5OcXexKab9Ub/0paj4UWkrxKBHCWe
ATbPIHrAywN92Diq3c8DtGDCSu9L5RPwOn1YiuK5LelCVegyg3Gt70El81WTiIdiLp5kDJIOVUjC
BcY5G2f6C2AWZ9PTrZ8qP/7oBv3ZmlDj+HnyMUBMHGeB9iFobs1uuEyxVa7i0Em9QHX10YgCuJXW
La985ZAnPLJc9pyBY72oOyTFYh8alNdlayweYa74MN8QDOH1DRlbQWPthqJB64+mP6h5rgZKmisb
qMIWrc2T02KdyB2LHdFyqBhB+jYbxfIYCLmDq0scJWj4e7M88Gxqdm7D+D9NtBejIiasCo3k4PQk
8xaGwfRaMUDJBP+J7QearzIlEVH4+d4MuTPGDFi0DwiMBc07aitrDYNlhhrjn4tJkPhBCro20uA3
3KFXue/nG7TlYq1USUFo5ki/yWSOqu41EJV9bJTWrEeJuJStDw4yNxpepkx/hz6wMseOfAhrQPiQ
WI8qyJFblIxCBmtxD7bdeyzro+6mbMp8PJekLMkR8m7gxJu6HQ/+PNTEnLfw21ktnu0KUXCsMEW3
Y7AFOHn+Uar/lyW2cD4Q3zE3+vedy5rQiPeifpuLn3uXf/6Df7QuDpYyOgyTZsQCO2Qxl/nDokbr
wvga/BspYsrVl//pH82LJn7DurYEq7q2kj/4cP8Sh8qFT8Z/S+QojY+hIM3+B+JQw/k0DWMrbkis
a/RISi5t1KdZBjAxnuaRUHDKuXJnh90zrtHqLjDqGUtzqj33gfki4EohkET0UVvON63yL/i4iA7s
iK8sUxuLmzJbMjaZxw4tS7h+JKVltso7LSSfapRpuSnYe3ICcrQFfTscUitY7GD4OVYJOvEny4e8
HhUm3O7c9gkgQsrFRoyiF6NKJttLzmBSJ/UB1FTkbO0gArNlpDe2T4EUxPMH8Ij9XLiPRc2evbR5
7qVpIEkLXDRfkRy3WkHkcmrGW71xHjiqUTR0Vrw1fBlvYqM7S1Zhdur6e18sSlBHu2Gi5l9Jq7xR
y4rfSYR73VWs7mpHzyHyzIjbZUk9wYCTymImnJSBCW0fa4288YNdH3XnPBs/nARFkp+Cgs2XuJrC
HNe+GWM7juR7nQxfcbudGM0+ltnwzQ+qE2iyF5GNX4rR2LLH26d59bWLY2ZJOGzXwsQk0Gp6sQ4z
SA6mpb9wNtw69RIKYA/kR7PhWrF3QS0inNEDBuwl2HCpdjhuw7SoNrkfPZZz9JoOEdnVsV96uW+/
h2OZbRhjJqsuh4WkqEzX1uQL0uFnSLVY8thRoUZSYvwo5YxluY6Rp9pUn5pgcKo5PBBRA6CWSIp4
12G2K4ppG5DLh+i2PeODw9lX6+g2a9f3gBKAe4dzuAY90XFSBcOKGJty2+TW48BC9TwVhGMHlUYr
neivJQX5ysiBzUQAxgATtPkmH/I7owfAAID5NSpgVGExstbsZ3Y8CcqNL1lkmbG6KzIB+91Q/arG
bMOeCvlk2BXDdm6j6UaYJpqtjnVmquHpgrLMwGuoUdxlUrJGZu+uBTWXXlbTsOvMOemkq1XdsYyE
X/vWFKyviaKRgKIqsQUe9oAb8LoVcbHBAJmuB7LTkAcWt5E+veUF68R4ag+B2ez9CjmTmOxDZcQW
9o3+ydLoq+au/SDD56WPRvwfPajelECDPmrNZ66m+csU6qSBanO3yoX9HoX5vplsZ80ujMj0zl8R
O9HcDAg89vAxjQ2Z5y8i6BYDaolEaGJJBrMMu2MvDaAJhtzp8wBjQsMvrWsud1xiE2JX83ghH9X1
YL0Y+wnIHWhlv1i3DbkKKnDNk1EjjmTTx53hTygzAyPZsWauNqUV6mfqIcFApACsFTksolxWpDFj
ESaJ8ylDe0sHzJbL8fvUq0yrWuchh4RR0seW4RjdOBMVDCPB/LUDEbeLa5KMTZF/tUoEmFZrkVUp
h0Xlkku2Lmz8LU4brDiWxkaSSdIpjt3rMvMJV80ZSyIZjc7oEuzNKCF80l73qK60M9AlQpIV2RXp
7Pae02riqrUSTKNT8WVw66upzN51DCLUAUhxE+T0a6HxGjbNYDawtgnt+T0pGLMQgnMSqfbNstBF
OTJ4SVs8VGVkepFZ7jj83GkGTGiY1skd5qMPLY5v2Hg0K3fnVwtSyEVQHln5rmSfvrcHyrtJRq/M
2N0j4fQdI5OGjpTGoE/8N3gZixkJRlJX9ZdpZLKRtghvxdSzrM7IxQoM8hZ0n80m2sstO8Q7N3Ye
FBB0ZFP2IqG21bHXsCZmJvI5GdX3MWBw/F/JMUdquCNoMl+XbQSYyDHrVYM1qgEaspt8+5sK5ytO
49SbADKSKXtnMEliArJ09ZPxwH3wNDfE6vX1UuFDiXWdsT/7trz10wA3WW9M60QEEPyikElB0G2q
gWmPmbS3LYOcnSpS+zQP7JfBV+/d0thblPtUr6C/+fkFdzQZx1GAfMJHcuXllEt3uMmMxcl/aKeB
nKC8yx+S1DyFsTtv6PeOQocrlLQVZVggi5tiSOObTNjABDWXfb5RJTdBayh+tP67o0v9YCwQw3nB
GeYL2DBYEIcprEMJ8zBe4IdN4H/M0BArqIg9dESUg3sESMcZamLhkwGZOi/6glOkc7oV8BXNBbRo
B0yAsqB/nxYIo1hwjO0CZuxx4CJYEh4TpOdsgTfWC8YR8syrE8vhalwQjwLW45zXX1LXdFZoAR04
gNjY6snYkqBVrhNUQWsya04sQHtm+2W2i/tO3/YOlE+54CXBZrGhKYGs9At8MhxEftLibN5mGmNI
7ubCm1LOieAHuJJkibWdlPFGtSPp5AvbMgNy6S+0S9AoR2fIJsBCUAvFwsSMgWPi8iZSt1uImUEV
ZWtjoWhOC08zX8ia2Tz0TDbkiwwbKNgjz0OApLgFM7QGJuK2vVhgnRXUzsSP0pdqgkNkN9UDxzGR
6xUDjUH57SHLxJ2Tly/lgluaEnHXBMimizk1ft8K/LfeXepdgHMUoP++3t2k/+em/lzr/v4P/VHr
ur+BxaWgZTW91M+Cle4/al1Hp6B1yK5lQG7xxF2YC3/Uuuo3nZkt9SzcO0vokNf/Veuq37DuwEPC
AAMi2WRl/p/Uuksl+9PWblnmQGFwiWcwqJx5qV+3Or4sOkfrZt9Djn1jl9k9R/NWucnfJPaqT7u5
P73Osqv9iRQeBX1vN1Hje5OYjt0SHV/MOSJpqgaRUTXoSXAx8vmRZ+NrAE17XzlatK+qJNwMMK/2
eYVFMqP/TidUOiE5Xn3Znkm1WJuOPHJEfHMU3lZZMvxKXq0mejcsA8RMk83rvhoAfDVa7BxaXd/9
9Ivf/v5V/Wyn+ry0//HJsCKxc/yxifvM2pZdhFHexOfII/sKzJ7YggX3IvKlroHD7VCNIe5C1LbW
/nbn+pff6s+v/WnJYkVRFkSyx2PpD8c2qV8cvLcIbZXna7axDlpUTXo6UhaYsrofzXo/jpRiqHSe
m9x/GXVY7cyhk41IQW2IWHdQKZuDVyNj2nd22OZUUi1eNNxLa1v4tVczct3hfwFE4Q53Q4aDoOqM
99qw6ZWM/u+Wyi7325+uT650FBHsc/FWLZ3aT9dN0WhjV3W673Ua2h0qOx3hVYe9y9C6AyyMPcEz
CG/uRnFTmhMO/odgiAGwNWsNJVtXfY3DdOe7JFvl/ArtOYF9pshZRlM6gQWdi4NT3+hjtE5MRJsL
9gGCWdljxrc+hvTKyK9jP+FRUazpx1aK9YqLfTqU8s3s6ic1zQzByVvqAdaa3037UUyn2jgP8Tct
CDdOAzKRcOV6JGZQu69YJ5nEd2JYQj6SemxtV0ncrHPKpzw/Vrh2wnDrTG9u/6x8ShED6SHujOj/
EXZeO45r59Z9IgJczLwVSUlULKly3RAVuphz5tOfQfu/OG7/2AewYcDe7q6SyLW+MOeY6gNqHXID
dmYL8cGWnWaYgB/eAya4etu7fG6bMiW3riujXwVxSpvwcwJmYMTOPMizQLuy5zJCl9vjEM4nFgtd
cKok6YgLku4gxeqNM2TBVDHUdGh/0u5JI16tln7AoqWEf6zTl5ssnafolanNadHtzWTZFHP8DzRD
c3XNIr9jwNVwY0eQ8c2V6Ebjl4nvSXor9NKR0BcHhcSeQ3e17ttMCi9pBi8rSrcXDGYb2L3KsIuy
aq9nSBTZtAFriYfmZ2mVe5nHD7P9boH6XaJxT+43XjF0h3Z0zGf53NYsGYfCVSyFNvPZFB9191MN
xnaAzNcrjwVUgTKV97nx3EoW4kEdG/EbVOGNmLot9nlHRwJgKTdjJRK2jwQ3wR+80DpbNsLIh0T8
RGto6ny25LOBLQgsRCcxXZei7RCM53Ym9O5XooBUZb/U97H81su1Z9ofc/GboxqILOZ31gzXWHh2
Q3J5G3kkCG0ClJJ0+nYNuLMIz+PyCYR0NyjFtugmd9A7PivsqGng1fnFYOJu97OvRMXFYAvBIPY2
t5AdcLS3Z2x3ZOxE5W2mfbTqD70PYR1I7jyy/hke1eajoeFqrN00eJKx1cdHuT7EAxLmQ1C8N+Nl
Nr9b4F/M+ynJAmkva+LDVqOzaOg/F8wfNWJjHHdWrjtKT3rps7mQ8UsjZsa1z9oDV16onhMrPPQ0
P9r8W+A2G7HN9Nrb3DxKC8iGSfeEnJwNjVmr+a6HmZMW+yGEpcrxskgFjROq2de+Y9nLYUZXQ1Rc
tm1141AAc0ZGqkYHpeocotLPhKVAjcy284CilsPsn8/2vwRE/z7aLRllBY8NaKS/JA9dOSSVzUbD
rYwfXndKTjDH6pcd/x+34996nf/6i/6Cy+pjg3lAIgauc83N1j13frsbjsAOd8IrbqHb/x+/2H/f
+oiuSCLBxkpwB438f56qQVaZEA5mxg38RjqGqalPPUZW/8fxLf77AyQ90NSR5Ci6Iqt/i1PK1jK7
dFDXu9HcMLB4KRQHg2PriA/jzX7h3p83yfO4H/+fRf8fpHT/AvL+r8oGDRQGH/7170A2/V9A3/91
c+Bsodtvu9BrFkhNdtH4kQisjWxV7wsJmZzN4PHXwGfZtwXQbzlnHa3qLRuQPsLWZyH8r3S/rfrn
fF25qz0S+EQLKwdnSbJrLNTWqoQRsvVAsXL2ZkPvjgFJ1prGQSoEt4zR2qs21sL8qiKkt+rnxM4W
B9VBw7mHltaAYjDnSKz78mkR7R5QFT5N0zwFcQef0dw3i75P+uq3HUuVQh+VtBXShEVfZs+Yv0WP
gDU3xjsXyt+1Etxx7X7NC+ZXK+vTA19yz4Y+fDL0qMc6lRJTNUevbVOcgkF/les8c5agfpmwIGyn
OQYMMiRvfZJdIrJsezskLw4jHgpb+vPaKqdLiineXZqF2DgJgKyAyrKsu6fS0N8aTHb0msc2GFmk
j/gl0x5TcN8m3xFSzhWCgkFnyjWX6OmYbqXhlpIRW0e1sjM66dJNvOGgkSHp1K2/ZFmB6kL/blaP
mWrnvWNV0SHIi4iViG5u4JtcAnM46Ao/eDoSdLZYV3Qc7qR15Waakw+tNM/ZgJJ8ivl39THMTFcU
weIbMovwO7ViPhZ5EvfWPOF1lA2rdKPUOkYFPacxpR2IdQvUT6Zkmy5vDzMbqXZanrj3fLwRx6Jq
vjVtuuaZXnkEhuFJ76I3ZSr0TWkpLKmzDHeIQtTBDFfH0bCm7KQqnUjNW+1cZZPaF2GzyVMzMiKj
YniuDZt5yCK1l0blImtqo8EMhvzFVoiWMUER7tMoewpkhnNlAkyJ/TVHrGD3GZTv9H7Mk8Hl3uCO
rTJuIMqTOSjOmFSsg4nSRHe8Kql53+txvhZq1W2mKiU4MWaYXS+gscApFsw9sAez6+Iib42eXHg8
5dQsxj4SOrAbONhMQt+xK6V70aaWF47q4Ik5nSnUFoIh8yW5qZA4tlKVn9M+zbeZbZ6yWVWPfSkz
kwLY7LTTLWjzfD8sQjrRyr8HwnzQJIkQJt0meVXCrzf26ru+4iHLFRQZrchI5va9l68YSdW0XsSy
XKIODHcIsMQbo/XxgqyUSCUVVCJ/A+mFZAvczI1WRqWqrilrYCtRar+i5n1LwFkWYC1TuXiqwVwG
Vv2Ygr2UwmCvydhp2miUyCydP6OVkdmo9p5a9WdopCtwWz5R8KbZW60VjzwIT7OQXrqmbZ7yIADx
MieLF9chV1jIJlifE9hQK69Tie2rpKLogEdwCIMWk/hK+JRW1qe8ALRf6Z/WygHVVyKotLJBTW2l
hM7wQpuVHJrH5A61/6KJrlzRBMBow8frtHndYhfI9yETZCecKuPP0KPRscmGxkF/4QBxQO3O6+R1
a3UGnh3TMRq+WSZchVqflGqd5GJLwuVeaItXMy4PaaDK1ZEffqpCBhIzegtvZ16pj9GcItJK9zGZ
AUZf3tU4PptKcA5Tm3cvAicZGtRsNH/OmC23GcoXwF0nqkLW3Uhk+p5TQZ2qLzPTvnRjPK0Jd6U8
wc9N76RNurFB2TZq96rOMQEHroJGQWqa3Zrd1wb15CawtEFn3Uu4pAIeesXEyZbAQPWKnhIvOCR7
GVsczk3fZIqu9exjgCrgmkFylo7tZYF3FLcSZyMWktiM19C37ZRxZAdGuhPjcxk+VjxTYoq90fpI
2Dmm06VrZQJbMxPTTfMI2hbmEdqZbN4lpgzPJt7cre5JKeEsC1gHsrzBp0mO5rHMzrwyINSGuwbT
Nlw+dB4QgmQcUembttvnKrlzYilvk5S5AkOS3ZfvbVdc2OeORrcnteIwcRlN4pYnCQ7EEb07K15a
eAw3XAuYgPbxlLvMwWCVI3uy0pwNDAkWPEFkTRILyCvRaxsbhHNVcRQo8U5U9rFt5HsBNL6Kxjc8
RtvW/lxlbpwqDIFLIsdVLhF7oyoTfwSGmQEQEJlf/AC/SzN/x4RFLfm5CIlfoOVRspjrvefOFx3H
Zk48S39JJCrnpo/3Q/uDBQMp/XOYgxIzmy0IO2eQ1jiJ8SryedxEgXSyNPu0tE9sUBySM5ymTrZD
ErykbQyoTnNGCQ7Jkp27AnITU79Elo8R0YOFMaKFsTYmfqhsRm8DlY3cn+MgXwWuzLF6jIPeafke
ooYoCvsP+ZqbSZ2cHEsXk0OkHhEoRbCmS+7lpeLpBFsXcnqoypyI3Zvaqk952bqh+FPKGJCseafl
37Xe78qg+2jst4W5Yt/xBpgOJi+nQmzAJ5ViqQLPgPUldDquel29VUl4IFuIHdC0a8PoiuoR+EfG
nBIPQBE5NQUKifVOH1deH3WHLv7OE+xOS+V2KNhDEPtZJZ8xitfYYwdFIDqWPUWdN11SY7CNMczZ
jqRuWdtgcu/2lEwPI1YagVOWgHi3mgIf19zBCmzyoa0r4xaw0NhZqhmpl+6noZ9W9BoLqT1kujHY
xR+cj1d4r8do5ieLuqsun9HmbZbA/mPP/b5QeaVHvg0JDFeXPCBIclK2BsgfJ+WogY2DnYDaQTnO
BFSuPZvBoWWDs53zp7C6S20M5K7bYDF05Kp3rd48RAorAhjNOlOdoSHXbj5OUOKSrIemYjqzpRFT
zVoORFqiozuPJm/AejL01tHsfsX0J2qifUmyX1Yg58ZdBB4ckddeQ3MaFHAzpTWbnGxXJgRhIw4N
WyWCW1OGCSAz8XtnKbWDfW9igOohh4RCRszGWibZMQ3Jn5raH6efNvoITC4YbXhsefzkrn0MVbFF
Msga5lKq6NLpz5t2eI3WP640b/TArpnrbrJIdE/iOtnyNcRJJLjumfEiSu28wdbPAPc47hglzxl9
qowsJ3BVkXkwiSHEGVvgy/sAK5aBJM4mPmjAJxdI+UZS0BmyIdaC8bGx7FPQr6XXqxl+Ruxvpf4F
pCAzdmdJ6cdRjTR8mKu6sJQHP83GjcmjauFia0e+qTHYMm/zTNYnDR9LpkU8WQtmq2AL+oOPF6pa
dAeI6qit5sjEP3UKsJN6GwwzebV/JqwsQsJWaFaboO2gnuWeQp7tMpLCZHbOzF57ie8mXra6ucD8
40edwQqOhxFTLRQypzCafZfDPom/wqY9QdfDy6p6sZ75tRW9AZ0IHSUhahz3CYsb2v5RLj51K1Ag
GbxkIyJTecUesdCEdxG0aFKITY0WjMA1qPiU2FMNE25o/Uqa/KeTaLp15Qmt7UUe43tmBQAOTUc1
yFRXLEdo4lmKi3d48G6H8m6eNV+WvquEfSKyIknG0dxoE/l6KWELGmLK2B2rnkywZN7WETai0vxc
YJCCWrmxLQEUUnVb0eKUtZKGZVA7eqE23Q3S0qMYleyQ+iO1ujEZ54yml+yR+ilW+Xhw0EJ/dIPU
8EAIgXeRz3p/Nq3nyMg8Ndxp1iuM2401fHQFYcSS6UXDPpgBe1a/vfXYjNil2UhyF69fLpEaSixO
mYBUzyOhe+z6CXbaj4hIrRpVjx8mPcXIu404dqKo1uGpxFB7QCqgL8W3uDEibSMUfio0CzUIbD6R
gaEsg5DYsdn0DOJdoPyqeOSsipFaD2wP1mh+kigK0uTDHGK3ZtFclikJzPF5XG1ZyUs51F5rhFu6
WzdA/tUUe3LfeAOcMHuGBGD2nIcEgWuNV6+4eUrbaYooSGN8quPeqB9WpTNiiSE5ypS3nDC6tZMh
ERma5BnGa5Z9tsZF40tc7mPY3QPeQyLdNdLt52+Am3M/bJRQfiYb677U34W0uu4yx5BuVYacAFBm
TTDHIJadxIsCfSiniuH1rAx6T7KMGgAn+Sd6ZTXzZeScZom/L429GQNUZM2OYLrRHCf5T5z/Bnw4
qsx+mf4yYlS+oHLDJH4cR6iBYvI08aQHWNujO3VcFPwphndJ2S44XIR24ayBtZ+obtpuh/xdmOdx
ZDPfPRnNS12DQ7/r411mO9/eV2CkNCFdeAZGYGNTTSKws+lhGECC/9Zwx3s3ttiad1xmjIS5a6un
PHpJBuAQGZXHChD7XFoOAcbGp4oE6gL51eJSuVPJsEvWtlPzPJYSqVHMsIohcMxschDSgeak06o8
ZJ6bpr2yBHZkUhg0XduM9K3ZoxTeleASh5es/dLTfZg/65xbUKJds39W174cwCRdgc4ePrcRiWs7
kZpQbxCByTQ5BAEaTzk+AU2KAGD27iQ9lEGzT6mJBCjIhj+NrJcyeOfE3OfpWwj8KutBUw6vFHOI
YZKKkVd/IfJTDQhOoVWYPrT5O5j9Qb1kPH/xsx1FiNe3JK+jiL2vZtNI8pPgnCVuM55TjsFpn2Oe
50gOfVZ2i/2kRfc0Pqrj5xyCTbqr9mvJC1mdLM7fXLpn6R52mJUgTk/8JPbl9qMMUWtgw8/cEZfy
MIVuS/+KnNcYd3aS0doUjAck9NSqo3FryOGxQ/wRJ1vDuNVlgwiSGLmpd1uSgxppU5h71FkO88Ra
300AeLKBj7K9WOVFpt0jfYEaWkpeSOtGkqKTUACRp7qbBJbVbtMjnecNT+4axxaTeSeGtNlJB2k9
xeEOdI9iuAfWsZ38iGZ6XON6Bl/Y+kbp9raE/S59DXpPL3xz+dbGc60B99ddpVLcXMUIvw0SmZge
zO4oVrBoMWmOUcTMHZnlLFfkfY+cFcK/P897XXnRBe7Yxyy7aDaMg/wr7bczeeIduIWXfHyomkuI
0rbsDyo+agwbaeqmy723PiZ1t5iUKkiEa5TANGjToaz2g/1mzgvT0oqP5U5zO/c/q7dYKrcEy/gW
fTPkDyoScw/bbaPzVCtKgoaAOW7dPg8NS5fIRJBcvqqjSnL2rueRKPPlrTH0a5E3hBR1rw1ezi5V
PjKTOa+UHmeLr64DA9is+SDXxAh4i+4535sBCwrn7VRvEZFsTGCx7B0ktEOA0msVfXXMaY4CJocs
QDF4I8uGd2ACwXnLwEstpH7nvH0l1FDsMaZxU+0RQsTDlD5J1NCIk+CCxxvUU7ypWFzYxPGuRrWb
CZr7EZ7Hac36KZa3rvoamNcHyWOJoZulUzR8tpIf94itIUjApXfbHp7rm0Tj2CJoFdVZoSrrtWkP
HdqTkZTQ8A7lT0HKhL3gI8OukNWnJHgdVmFHdSkRlPaw5hrroVOeTPJy5PRlBtTMNR0te5BUUL3X
3uMlL/wJiX2Q+8n01KlvRi/dEhLmcxbsvfZRIKwOeevwVGxjClQp9Yv0QJJVof0xRsYlmtuuBSNy
GVJZiu4zDPlwSZCJh/asGMxlpHM/7cNxrzKzr+JtaD7EiP9jOgPNQsnLU8RyqSjfQoVbBTlNuLZY
SNdNGXWH3j3WWuVpPRN160pgDOX6fFTFIV4y7vXvgdE+sNhNVO30eHLagP3GR5Ps4vRRtckoVjmF
9Xsd8T7wTZC27IbpZcTIOEjHOSOjj1q2Fb1j2s8kj5KJhWyJyEmSyGoKHI1AC63OHaKO31qLDz0s
GGnK3Ki2M2s3VUpAxbUe0TQHJa0OGXZ2M/vTgD6K6gBwantIlYsk/cqAVXOeQPoUUW71CXlhyH9j
e9J8YP6wGwvGXuyr5HlwJ4VDf0Y49Vrb26Bi+mo+TB0B9N3Wmnywk9zhW9GkXqM+h/YbiV1uDl7S
5DcFJeoo0wB1yt6CbjmpBQRDpXtPgOoT90eXOYLlnDy4wx6Ukj2rXQ7XnNjMHPj1tbL640AdD4t2
tySUMBpAqqo8jpRqlJXbqWTrVz12oXoMu51KJFDSPELKQLLebsqRiJFsdoxI9fsoPk71RCELnVOG
DCyxUaxaGESEH3ddihWeJUX8KUTtxfbB1CzAjdXGlm4hkDMWreeJPU/V36r0O1ISR5XAAugG5GCn
SPlTQosHyfbSVHfIKMMnT9j9gjBcuL1F3jnVT55yynNyr4NVgdDPCJ9UwuF0/ZfaD+XeSrhc41x8
mh93TJLDXHOUK9GJEc5WFdIBNIenWcjfq9nVa8E+F8TDNAIpXi5tgE0uTahj8HM10lnUMaEyHMeQ
A4N1PzSaBGNfhYhPzH5JbZUhVb4BqaRmfY6FLzEAmEiIYt2ya/WvsZI2Wlt7UnouTT4wFSiEvInH
eCvwNZeg50b+pBHMclmXx77mWp+VH+AA15Gkq7mnaI6nWz5bNXwCtGQ1Xw/AR1Ot4DHm23C8Zjxa
Wij5FEiHmPk8xxVqVOugBaBIuH1DP8BSYAoBHpHMNmm+KaO87dCJN3xxNagIB7MBmkPD3BkBZZ39
paTTnyV5Gnr8PWUOIomo0lRd4P/MaFNTV8pah6UwyqH8mKqEbxrmR5ahrJJHTirow+bsjrXcOekK
GzRCvweDOcv6vqDclJfYE0uPr5D48UHeqrBpCktfCc/3Um2ueWJ7WclDNxmGb/O20+k91IvG6o69
QlvK9zpVj3XHFrCX3QxdVqnED1lUvtcRicLp/DjFUF3g1ko602riWAEWemo5YrSBVs22uIiw2oh6
N/V8VfSnxKB61WSfrHVVl8jEa7TWVrG7fTPPTsXMsGRzYA4Z7731IEksXhV6nT6HnWGAGzCL57Is
uX4z8ur0nHDCOjvMrXaRJe2e4akY0vBUyepPGrSf4Ivegmw+4Rtk2YmuEK8ODumMPpnAwPi+VDZj
CLvo3QryGXEWK9qyTB1hJF+I7WJXSpJ8oxZWt68SyXbxor0nhJHRtiEaqY2g3i2KakBp6y2vtQgw
Qzfl1gwZQP0itVSN99iYaeOnHuo+PnDFZtA+m9rOWoqKjyM6W3WWbArQFErTvPam9KbMBFNoTQ/+
sUa61WjlA5JXcp4a8ao3SuZ1Gi+PpJNbxGxuY1r0pbDjQ5yL8wcI9POgxIvTaVglIfcWboavD8Gf
7qVleJYt+TIM8103J99MQbUsBf1iQfXzz8vKv3Z6674LDYqOLBP9nYmu/j93esizzUqTkaBWVMQv
5HhLToyLxC8r4+uf/6Z17fnXZu0//qa/tDw9mMJMxiPpyjNxFoP0ncnZjWjDE4Lq42JoH//812l/
S2z+/asZwlrdzNjjtL9+NVz8kQbBNHAH8KhxzQYRGGl9Y1yrI8N22JO45kiHNL1lvc2F/KCA3JxW
LXuRMtqWCP19kMsY6iJxKmynKLmSm1yKm1apLcV3fbTw7joooSiry8BR8ffGyk8vcK3gduq1i8ES
TCRPSvyVcHEESPgm87BA/Rmnm95DpmtlAv+4Tmin0pd6LvawRDYJhXOOmxFdPWc5Txf9E+2p2vH/
j5FMhI18U7QWpAv/cFZVu64avvRowCoUEcXxjHCJOMTFCRXP4LYlboJp30ZuEBV9jdGfFr1vqr5q
08PYPIXSe0gblqEVAWkaPqLgpMC/2u17qp5jzjSE/hvmtwFzMhSbrsn0A0aQL636gwIzkD35U/sr
5cq+ZaNEiMjJ1OunHOG7PDfs4JJzXtDhYCrTxmafRQx0EAe/Uzj6UvGp6bkvl/pxaqNTqnLulpJ8
hATrdeYj3MhtNmd3Oc03A4TH1VE3hMKLJ+WRdEOv6rgw0vI9HcBx2cRQlOApcGqKZXI03OJKae2W
lhxGm1yaznpuevFecFp11FImAtKB+eZMXuNk3CuDmJEocZX81ayIWU5peMqPeZaov14N5YdlHs2m
b/f6ijr1ynEnlZ96+5LV7bGfimOmE9Ngj7t5DTuGVcxHjIk0hp4BGw/2YbR60+FytcM9x1w0apXL
FGsQdD7LodG3g0qS5bSJClQ+5XwkORJR6tvchxhCpl0mwCbhBOhEt40pJshf13vUbBXDJ4Np5NAc
JQk7KdsVa+x3zI0med6bsPWtq8U/ADaRhC3wJeZVRv7bmSj7m6OFQLdj7WfHfmn8GUMfY4KTda/m
/CX4cuXmOclYtI+HhDhNW5zrcRcxb0BduCny72rwcZuy+bsOkh8Ir55/7JCCSB7hYH2atfEgEeLJ
KnY761d+bkk/5hpTFwbnhFxrr3NKHut3a2zSNa+IdyxBtKzVdJ0uxvaqeFQrguWiW5dSsyfMq1cQ
cc4ou6mdkgRv02RAbW0rJFfkT84Br8fIN/5kyvkpZdLt4GsuzE1RHwwaddEWu1Y8qdqfmMQD674Y
kHoVWGRkSTEzo+mV2mMRbKLQZwUsp42rx+89YT3ABPFlNkRNltzs95hWWStejeq30n5nkjrjEYJd
YFw7bdyF2G00zZkzAs5o29B9VQQFIidv6vSLtsgVE0iRoXiLk2yzoElrgL8t0V5du/HaLW2yGOXu
acmSnYmvvIoehlp9mwlvCY6N/FSJnRQMj1nHyvN9mlfLrmMYn5hUnJx1vTJ+K+YhN3c1ZvHe6+1b
gbe9vDVG5oT1ljAQHmkYVQttRrwB3oXUXXeMpGYHNTp1hvI52OXFmwkDNlu2syYwqNyXEsSTlTla
8D5rhIGQi54y54yMyLO7wJFAbFagEdt5HYS0FGI68UnBtC3aR+nPbJKDqLoi7zZl/AWLwZkY8ZC8
yVu3Pixd/EbTHA3XEHVVfZurC2iuFIk1iR0YD/2leU3bfB8kZOHayykxj4SCoqDfrMukcW00Z7sh
Id1Po+0/3x3iLyfXv68O1Cf4i1DB2X8zYeZG4l5HGMHUlQaLUTdjXIbaQ1j3m4VJD0NTM/fscjyJ
cHo28/INOvzzP/8QpvX/vTFtxRJIbDVb/ltIJM1WUqYLEZkZ+VN9MF3HQT0Zk5tKLxUdKsKyRL0p
vQ8lmlQSxOMTZS5kjMXmDmGCk51JOHJZM6a12Jul5bcoxxbVkxgVlPGrpLzIih9g7ldmAF5+FBNv
vwSnoqGB+ZJF4i7zl53+WiysRJHvlgYyLDBstuoRIL8mtLdLrPEigbw6qLkfEtCiEr+GLije6gWU
WeQkEFn5z2HAOxpsCnRiXSFvQ/6k1ho2lfoldRcNfUqH5s5E2NFQrentVRLmVo2/AsEhwIYtBSiw
zgLMdWTfy4cMjC8SMQW7aGFATJW3Cgcg+KRdQNmekV5Ss+ooMa+Nkbbl98JZND1wIg7ZVxMQxzkV
BMkdWhKiy/5hLrkA4TVa4c2aTyp6nGKh+eGfyyhGSUj2wIwgLjsKWsUJSO0UHUwm9KO2RgkxeKSz
7oL3sd9EZBXhCyT6BxOYTxRbXR5U/a4VAsX+oxn6DeaiPHynqvbq+rE2r0idnHj8NeDAlSwdVHJr
8+qId4BlqvacaNT+bKdGQ933qoVd4cxONVIXYlvYn2qYWClJmQAXpX2Uk2RnFA7+PX3Td56RnZVx
W043aTL3Vf9iTcwO9AmVw96YfwEZeCYWxBrcRn1u2gKRjL4N0GDEwM+sxYnQHQLm07EQMf5Fg2kt
7mwjQFwVjQiilvCBGAA+vueICKWKfAc4ZIeJ464fULb2pYcB143qjxR9XQZyWDoKxMHRh8Z8zqQt
mK2PtqPxkoXf6uY9Ku7VTB4AnDv2wj5c5KpqnvlWgvwNouqK0gR/h6qy4VO3IC10BnxQdl+Cc/5k
/8nIYS5T1gyRBzV9X1G9BzK/8MCely3odNeEgz5QMCRc8FXhrNxaqUVGJ1xXtoLgOe8gTtEoX20Q
tu0keZbx3KWvIwmgKiHKL5i9DpXBPnmcalaJ4KnKiY5DSvWNLmb+W75nI4JKKrB0wZRGuGCM7NnU
2mMv+4vrx8mNe2bsQBBvpobtm0DzLbFMyt4V0wf+CJsks/adkByi21g/49QhUttOrjAVeOY2ufpI
VSeHvxZORWpSFfuO2d7t5X1hxi9+YCpsQHS7suwXLQME/UfVfvR88Q2Nb0cDYjnCHuWOZYsmwpJi
IXizW5jzKjCzBuP46Ie9fi47Jr+wYBVqF+PY0t4V2EmwQ8fmPg6o61oGqHXiwUIBL7GzGRHJAUfL
69BFmwQEc4aoGug6zk1yyxt8csFOZsMXJdO1LNmIPMBXZuKM1SwlqNEGJ4KGKK+epvoxJ4lwUt57
gAhDz1UlgmtDYGtBYpDOE6uzTdFrjg8mp+nnIj9o8C4D9dKrPRclK8ltO35S+wztVSAyoLfPZ7eB
slFSTRTtE7kKG/S7cAQ3gjWZFLltjoqFVW9wHdt7sXDQobRWycoLce/BMRx7G8aM4aa6vFOqr8ZK
d50smE+iggh4rgb1Ocrf0/SB9AkimEwKrW4f1Wy2ms4JYmbh+k7SD3J+TTr1RHWG+AHr0rtZfDOr
ljR/ql5Txv1hw7uYg2TEVRlqDKi2en8M4TVKAuGO9KlVLXrwY4jfT2vIlZJZIkbPKnWMROJ5vtPE
LuwuM2O8Eu+WIX/O4ktQbdn9OY2JbDsIstULYlYUHlxxyKRs3+T1u0ECk71oPik2b0E9b1NhPsdT
c8nE06pqYCnvyUHLFB476cwcRWOtwZhQCTPPgjur2b+twoeEwzVIoLFe9FQAUOfB1YG/gDxJcfPy
64TyRTUYPzVPUXpuB5mB4a4Yj4rB+H/Z18Y2kt7n0ITcmFKSZ17SQ8k5Ri2pyAfELZGEvewIzabv
YAxau6jYTSUHk2Y4jeznkq8RxbA8k2a8jbW7Vr4H4JraeqGnUX2y9Fx7lsmrPzVwxZl7z0Z0zhTG
1LGCzizcGeF7MmV7qjKg7aHpI1kJ58uI6Apm2aGuFE/ULwsLO0N7ruimosK3OiQ3NFXFeF6saBtm
uAv3C1+FUV36JWePBx8XYG49MBXqM0+BV2Ql3/lUOLFNshh4cpzCBFf/QHuCKUr9a3JYoapA0SxG
WrkJ+nJyDdBGEwHJB/49DN0hbt4SYsUtE41o8KStg/fs24qUvcYuJyOAkThKh3HLVmYtllJIm6bG
O3sP2/3ULE5pfAd55ejKjYbZSXD0TS1lIeLCYiZFW8CFGp0Qx+pccrMhAhAMRJl2uDIYrMyLy0PY
30HlbWS6z6r7U9fPJNFs6uiPEtp7kBRMCjFbv2rhkyT/jgSMGA9d+sYmb+z7Q1+iVqGAZR0Urjv/
iIiv5UBNS/LEJYp80elOOB645oLoB2Pc0D6a7RPwfMbv55jvS5PVG7ElO1P9TvEO54KIb3YvySE2
eEeQdmfp66D2THmNfcwTYDTN8wxTo6hfh+FZ5fNeVHuFOiAb2ffhr2Yd4+C360559hmhXFmQN/WC
yy55Dmm9uhH6Is8k0wIIlyxysHwKoncEEoQ7g62nCYxRlus7da1CJc0rJZ0L+FMwrKEw9bLgQQzB
piXVI6suLd+IYuEvCY+E31BvnKISOXzMjiWGCsRkdQBE1unJniSCjSRnBAk8kt/oBnRXk/3SY16F
b+B1k+rk+bxPaZYSTTnIJSJW+dhSBtE2a5M4RAnuQePJJubCZF+mzuyiWI95xCAglH/N5f4yw/in
i+eBGL2yOhjYLFItYgg4EbT+AuN3A/+SWu/e97Jnpade/7aTZBswGIAgLdIv5DhtO/BOHZf5yaDO
b7uLnCXbvuyOXbH4c2SxZRBOIWK/TqWvYIg5q8fPsRx+lPFUWMzotZ+GKT6KwhC1qRU+NOIccyFM
s8/cmQ4FcH7UVJvKtL7GFPq/lXrLzz+X2H8rzf9V52tQCQ0UFzJi87/QqZnWKqOim6vSPGTr6GSs
O5z+/D/sncdy5Ei2bf/lzlHmUA5g8CYMHUFGRFKTExhVQmuNr3/Ls25bZ7Kzk1bzW4Oy6k4BQjmO
n7P32grXfeHezIgCGUAcyoW3K7Z/PrT5u8bbT4c2P2VSBWOAeypGJcx2c0TaE76NxJYyc0CAOsYk
+LEC5E5/FlFPnKbkUzCmXbEIEppFMi3jZRr533LLhbhO4Vh77X1WVLfEh4X8HQRshqgTk2Q01kGw
M73pEEn4K/7s3+jJ9DoUrOh1HBuM7IIPXSJTgFsPXcJnYGSF3SGjBfbnE/7qfD9ZsqLESEf6sz4Q
pJFv8aGxaXh9cT//c8NkmAAJ0ZISYgP245MhIqzSkGYgUCcDiA8eRSIkA3Y2r772St/uH5/Qrwf7
9Oy4ST54bptAkPKyRRN8pHSNK+aH//Sy/XKUz4+J32fRpOUcRdTVCcnKdUQhW2vF/s+H+WS54EVQ
h/FwrrqW9EAJ/9oGtvH9CXfOtKVm1tumKVmtfcBxoXuwcvHFXVL2wl8bwRyLpDx8qtymH1njP5vz
RDQQJuSS0SOJLcHguuiav3E6/9XH8duz+fcRnE/vVoWY0vDdQltmmf+uI/AVElGDn+3jdPriwv3n
Y/3LyTifLpxHDrXfpCX9cywhy9ayjS3x0hTCZlN+0ZX44ro5xq/3KBr6wpkYAUGJj3F723xE2i+e
tt9eOCkAfUr0nFiZfz0EAt429zNeIETvF76jBFIZiVc+O/qvDqWrH/c/HgPJwwa8mgdP/3STXDtu
K7snH25YYKN/aa6SjQId6/fywV99ZV364dv509E+3ScrC8ypBMHD0RAk5qsWhtW63UaLEWnZwbho
r2B4frFC6J9i6+Xfr9VP5/jplokGef6PNUIfUY3rPbWVFoAKNMZdgpeROWrcZcckRhCJTv6jmeqD
6QWXfSpXkg2K31srK8B317Hncmq6Hb11TG1EF0bOXBo0FdnvREyge7HYt2HzCew9IXtL+KO0Fp/Q
FuOQXcx2d12kb1JCG/DtTVYE8AyS/k3OOsOeaEOe/UaGJH9n9XoQBT2tSOXkMUSu6SfdxgI/pXGs
cYcOYY+SiYLembH4tDtKSG/gI8LH2pPVWrpkQ1WLhmq0xydjU+jPFJr1IxJbOCEzkcW0Vwkwa0Ox
iPBANoR45Z7c5MZVz1fQSR6EqmsMAnuIDhuzRwdLjDU2iwShrwQGN9urGDSKA2+xiN+s0sZ1SUWi
xwcNX4Osp6U5niOPaZ2YSOmlkPGYK9uWt0CMzES0WyYxMGn6YE3vb1wLbKqrrTr/g+yn1YilKsOE
RPwbOilJGYwY1UdyzQsx0jUv62crHNcOgsnIH8lmP9h4SQ3GqX17MkzVMrWSK0CV5DugfBAUD7me
rDMfGZBduAsvDv11nVTbmKClxDRXgQScEWXvAo204VwKfKBiru+LGBaOhnvZdR3MUIj5kOcFOEz1
QR7rqaXb22bf8mo8GfrELUr8fE9Mjc7GoL+dMbxGL3mP34RdpGdll40I1wUcPr8eOE3nnAn3pk3b
lxR9SZUT4NjHK0QvYYdYlHtsoG5vs+4o2mM7tDtP3tk4WfowYZ/+OMdMSQhjoBe/1rlUpquCjPUl
g0+25Oz4ybyJ9GvI+xqPYGJxm/CF2EoHIpIvFqvfroc/vVyfFqt5mKo6RXq7HCBduUQxMff981fx
h6PxP1YNB8OqZZvEBzmq4PjJDRhqUydSn9vvxtoPCdI74fEXud1+97J8XzMkgry48+PoajJ9gIP9
qk2YduvM+EmaRiEoiB4siJfzjG9E5n10FXd09kV5BcWUZrbu3CeJ8z5ZOay8wls7PYZnaewNt0eG
TBYaktYS3aGvIjgU3zRFAG3Fl/DxDqT9bQYF6SRLvqy7Jxf324Utu5btGeuM68CsBfRxIGLvrpuq
DbZGnpdh77kICUf5PAfJk0COugmGkjQy3SoYMer1F59iXd2F/7iErmN7WEcNg2v46yUsbNsctYDK
ol3S+1rIhb51d2/JTq7rBX3UrxIJvjrcpxLQ9ANIwzHFRQHCZuesYTwNF28N0toValp6TosvV/mv
DvmpEIxT27BblzN0sNCv8GwTqXehLZCw1mswOUtt2Xzh/P3tk88FldK0PK7tpyffNhty5TxMTW4X
kjiVX8Vl+MV9s35bS/90DPUz/PToo9+fa7emsNFo8+JF0wAeQRobW4GUz7x209ZAT4gjtZIB4sW0
5uELG5IaczButWdc+1F5llmFmzJ9sQeDW9+jS9ZcUoxaZ0zp8xXfCI+EapuYTkUQV8L+NIrAqjVY
jJ0edXeQzRtjbC7DoGGgGrUHEQaIETtvXDm8cJctUTcXOsN2EnTCjdlz9TsycIeZoQTcKMZwuV/c
dr7+rfRiYFTTmO09JzK+2Mv9tmr66VKpGvGnS2VNdpCUJIQsyU8ZVmaLlsbPiFhx/fksMep+se79
qIw+v1K8SYD72fHz7fp0vGmw7aLrWZX6yPlGVR+u0lGPH5K637h1g367bWgnZGJc9471GOFEWfx5
XfzdswGdHU0sMjXd+PxOw6eleIt5NqZwfreDcT+bah5i4Cu1UIuC/jz9+YC/u8KGIz3OFxgOGMhf
r3Bv1FPS4rVbusC+sNXj313GtGwszHZ/PtJvC0XoOPBR+LRg4f9Usnm+GKa5+rFe4Vhkr01swz7G
hrccV8UZPwhBoMXa+eJL89sT/Omon95o7GNODTWKW5oTHxSn2YMc7NteteVj2HpfnORv799PR/v0
bptgqZJIPbDZVG31qL+vxbRr9PYQe82bI+cvpDhfndynu1dKR7qwEtm4zDeW9oE/B9zO2oME9ud7
99Vx1K//9B7OARRfY+LWVeLZZ0DWhx50dYRw9fj45yP9bgH++SH59FGzkjCuA2KXl4qiAwrxhbft
i4umLsrnl9wUIKBI9QG58HlHPttG2VhZy8Z/WEaIRSt33zAO/efn8fNBPj3slYcZklESi/ysQ/Z8
may7Px/gd7fk5wN8eq47h3YVcWt8/d0GJ+sRgPeq0kGSM83585F+d0t+PtKnZ9pv7MYrJo6U0CWb
cSghK1n+80NA1lIrvVp+f3wyf3q+ymrWK0PtWOEygEpx5ms3129/HOP/yGiQ0STiIB6A/05GO0dv
IeG14cuvIOD//XP/gqM5f7m0MQ0afJ7AsqjgTv8GAZsOvT/eGNsBm+ZS/f0vHE38ZcKYAXjkCXZi
P/JNmoK4hf/3P5r4i48KtDQ6EYK/0BGG/CdsNPezegQOsEAoiXTEMSziuNxPnY02juCs2srGQKjg
xazRPY98QO52fZ8XAk0XwyO4nQwjvS4/W/2cgBZvrcPUNMEpVb9sM5R5yhrk7XM2M+pT6Xmmm4Wb
oGxvySjAcqihbW+SpEb0jhNSjMJ5Fpl+BgCPmTOuGBPN+TxiWmm7FY0jdwGFWH8d/DTBxmsEQNSQ
CZkh/h3PQdTQI51FSEFGwGDo/aJs7HkRF366CkmT20x2hvze2Dkjvf6irZBhNF13knIGykItuuw8
SKBmrN/GHQZehoLMAL1OJ/+3qFdBjANzmBGgJ24wLiZs4q7U6k3lRvz/Ob/NL7yNETbmxk+0Hhkv
ZPIiN297XQ8x2FG+2W6xFblzPXsQOfsEiYGjwCr6qMOfLFAbmIxXdckkoUmy8RsJXtRfGePRRiCI
mcBRaV58nZtdtRZBXvGjslm1ByxafTl9s1GaZVrj7Zo6xtJr4AyUzqSEyHFL6lP4Ek3MKVITfWWh
zI8zmAy86h1wkorsTnNM8F+5wKfa3kIZ3p2sJj6x9S/o3tBVr4ya5LzAfQz9+FE2pJskApvyMOrX
Y6Fjy0xGOgrcuQs5tU+a2+1hN++r3FlpAJgvUjHqRwkPZiEnd3h2jHhcVj04HDLx9A2yvwegITO5
wTUZeiV67yJJgaeC6JLCfTFqh3mkIy490HlIYPP6VmMHCbOT0BxZfJ8xLGNN+hhJFgWmahTLUbiH
xG6+w8I42k55T7voiciqkslwt8TzomZS5KzISaAtAnAvywJbMgGqXTChUZvjZRMmd9NUrdge4Mb2
HdQ2Ck6TCfJajZ7mk8GTGarsnEal6FhZbDAuKtmemX2873w4p5KSiIeXFB7Trp6ndEA7rRJ64iy8
HpiU4XVm2NbcNSrLRzN1czeUSQNBdXiWhodgRGX/mKUgP2zIjU2tkoFc5OQX+L9QUKncoIYAoT7g
8UgTtjh1pz03VQMwTeUN0ffk7TByekXA3ks9XCeK/k6WFbBYRYQ37bTfQCWvdw2KTktx4xtjhF5b
4mMCKa+Dls+L7EXE3hmVJkbDgFwSP67cBRGYd2QU4NscmbHi4SI3XLzic7qaa35KvzfQqYxDd9Mq
vj1gYucg5fCs+2W5jPX0Jm6GU1y3OnIonrBWofKDCWi+qfD5JRz9aHSvvBKjeqYQ+50IXw0v+kYC
g0U1C4ZfD818C9jaOXgK0p/r9NwcBe4vFcI/6bN0UyusvzUCSiyF+xR2yCkdKwIvpWIAkohAAGDT
t6AVlWs3e0YP89LNij9hGKp/NwDo0MJ7SFJEPnooWVIJ4ty1MB31JBEQp7MhaBZyDncfTdRqyIMN
1gXC5mwP8mEttnQ0iFdEu4nf2lBXdCXIPmhn62yThWDNaX1IQmi5UY3zJS26WxE0Z6I+oeUk3TMT
k/dK4MCgO/pQk7YwqNiFoCOAAQrFE5ntyIPGOl+yZCEsLbP7VuU2pD8aLtZ3pxLwgXoVkqBiHjjy
e4UNvDCTaw0D5cLDvUA2xrCyLHqBtkqLKLwYOwH7X9uuLQIK2ycJt4XcyRZi+IjjWEpHrENB/VOU
8IoCCkjUR9WWN/aqs2jxklwhSLAoZ530kKB5YRCYbzUVcyFM7FjxBHEiIgYjSUzrohZM7rldxX4e
7G1jkP89ZWjnWJ1i1ALDTWM2r0lQ35Db5a3jmGWS9Of9qPI4AkFKk/Mjo6Mcr8jCideGoR99k2am
RV7VFakb8cIi6SOQRH6QbHVdqhAQSRpIbTSvYINxuzX9a9768aKd1F9pWI9zJVGz1/1uEqTSFLWJ
tKBuNzbAEwS9cXKo9Eo80bbA3KqSSXKneO16tBReVS21CgCwprJM5pJvh8cZrbCDo2yzQnmT1Eo6
H3VP1WjtCwJuUba2O6M2lpIHu0e4osvm7DTeDZ/FrVGN7zIt1gHEvon/uJBJuwqq8MULZyXbKY7E
wq+Lzt4ZQXDb2UjbRQMKww+ujGw86Hn34bnhMWUX6w3yOQsbrMaRuUsGbCMh0/SoHGfyYfUn4nqb
5ZgQr0t+sdjUlbzXbbq9vizfgg57dNJCdYApgRID2tcKhx9t0kYU5Mjw8PnaMB4KwaWFjm/smpEA
dpzgJkJlc0b2H91lgTXvzKJqFlHjoYJJNRXlEQcKjbKLKnFV9vF6DlUmTXEKswhGoLtLM/0AE+vg
EO50McFlhhTIeMMsX5qp2lsdD8XkXJuNs/VitYbH3ropo21JclUB8KPtUSzQway22WRtYkytsvN2
aSq/D7aXXfnJ8FJIkS1Jm6V1o8+QGQvo4tkB+OHV0MiVW9Ny6/3kBHP1kAzdWWBn4zEnjjkWl13t
PHuVt0V1k80nDxB7hZimNJJdpNRG0EWCsT5DKjhlMse9gJqITcNb0levjYnktdHss55gRitYbb0Z
44YR0uYJXl2Y1ChgdyMSuFwMSL/Cxz4rl2Gc3rRF9OFa/ZWovcMMIcATw32PxdKM08ehDK8rt3wn
R2LZe6HDsMWAr8NW+NAOOIgGF9hgZ2FvJ4DiMvSrx6GQT1pP6WUBjs+7Ur9oO5Y3P8AeOzjvhVO+
DSSsMaFgUlN4criIFUhy1oO7DFzfRTzAP0SZ/571xUYDlLQSVfzUW2hYUy1+DCGwLzwtZXzTzEvd
9PZB4UPCMYlnCqobVu+HUQ9fpJ3d+zN4zVp+G/QGBe5waagnfCxQxc1Z+xCV5spoQcmSeF8uyBu6
T2QSU4civm5S72Gu4DeK/L52oP84WBWDgdlEpJh+EzOojKiVyN77jn0z9kRfRhjLLuxoputPnPVc
Fsc8ay6LkdCzqM6WMHT2oXDOuos9EXjNmV+BXGSm52ywVyy2DFGC/qxJCV20KW5Z1IgvcjCgdbmJ
a8of4e549TdSzS/t0iLsQIo9teIHiTBYtY3jJFpaIyG+3dLxiULQ7/FaDpgw640Pq58bxkzCFSXO
QP2lNWvrZNv82LPOd6UyLAmIgO9/2gALdTr8rkY+PFc646vKQ2qmRXq3sV3k0VlQnN0uOPozrpNI
V+igwW03Zafd2uFYb82C/4j1RwhTzYUPimxXpczDJHRusAzJN5xUqjUanu3JgenaTwh0+qMVz2fX
LQHeIh1H1WK9S9ffxC7reENQcpUl9PfT8cmLUYHgNJxWVjbeVoT55E107UlQAY5DDESbeuuurxZp
jSDakAX2H4ima1kpTU3A1jpXQB+dcryx0fPIyXpyvOisvrR2H2JLMsW1Ow3zWhs6JD3GeKxanUFd
gc0DkczRylIy9wLo5BWoGNlaV6w6C2IGr7LYf5dW9OjhZm4j770ugytd+ncVkA/w8CA9bd5zD7Zt
Ep/z2uM0LBQm1kAgQ97dyB5HSGJB7gGixwhDE+8a4ebbmHiyi7DFZ1S2c7+eq+bJaXCFG1OA9rb2
r1t2dJtANyu0eA1Gpn7aQCfZdZ54jtuZIqJlvWEh/G633a7NS6Qf+fQdN9FdMuskjDFmRqOG3FwP
5rdI9t7Rtw2ker12A0XWWCdVZy5iXH9k6NnjfhCCar7En2Exs2VIDuzQxiCfBNatHjXhzvY4q5AA
R9AgvOWTbKdF3E4rf5yux8mQ973uPjLihTCEuaYfKndTOfOD1jV3WoPNFwAYTQpteBy6AEibiToz
aiSCzMZM114+ZMshQ8qrkemBcJZcBXaRgG2iwEHfK4CalnY3rScwxmjEiuGU8Iz+3bb5vy7E/8D2
FA6tgz+1IY4v5S949n//mX+3IDBL6gSo0pqQqLjom/2rBeH+ZdFokDBSDfvXLCLxl8BLoiQvdJCI
HeI30Z/4VxdC/wueo/QELT+duERD/qMwIn5ENXb6qYFIFDh4IQKOlLwCE4n1aSxl1NYcjG1DzCZZ
IdSbIezFGmmsYL2q2JIZgX8CRJhSA3c7EgwZMzN0Jy0dVUmPHxiOmgOfoLrVFPo4rMyG9HTvaJns
EXKWYyNqbiHKPJQ9mCc8t+tKD0f25rzNENyOQzbfpwVFYID61Ay1+6pojn6vOeuMYMaydUEgmk29
dFK212xnLswIH1hvxKhQkepRN7L19YOYeBdcCeRSQhqq9xqXno5oN5Hibg1rEc/VdmAsim0BWEnt
Y+CPQINqGdVNXZtsxOFZDp6e4yMo7+1Wcy5o430fw+TSDullzH1wzP1hXEf4kKqu2RVJ/2DMyMf6
LidICWOCYDNZNASYTVton+FV7XRo6MPJW9LEuAPhRNUZ06cwU/4a8qHKTR6jpG+np0Ai0vABvF7g
mSERPZ7w+EWAGySU00VhVdE6xAy51Gz2RZmIik1URuWx6i38MAFN8jpvTp4DVclvtA2Nxy12y71R
WQ9RE5frcs6/F1YJHJ8yGutI8OqF8Y4NPnQOwhY9/d2RCB+qwXEAsdQrkaC6Y8iW5/6dn9CXmGV6
2czmpm69o52F77rpXubQbBprfh91/d62ARTkfryNgLdxV6JlNJR7a+z3UosuHb1f+lP61BTG99kF
EEGoULgMjeqoB+4myqpTrRPUGKF1RqL4qmfBuRx7fzXF2puLt3Fhj9jyiiB9nxhjs+MWiKKL+Lnp
EjgG4/jSeBQrjYweqrjkkbMpzytr3VFgcyj3NTLjZziV10SpzlZ9qbVs4MLZ3kQezI3Wzx/Hvvno
Uw/a3oymsqr0zRT76TqPmxpHP6iawA0YEMumv/Bcfy80G4Ed27VOZAdvqNZdZqd3pWWeWlPflck0
rXJhvPD5RlirLDDpFH+zEXunM7mViMy6Eg5JYpt3RVmAQ4/J0GCm8pQ48ak3kISVQbDvg+J7VmNE
xuxySa4J7OYRZTm4aPCJ4GaTKjpCxyOltoIJGFck2yRr2AG4Istr0aAt+Pt5oAiu4YWjLT+pscei
l9k9AqH9ZOlYRqYz+46zn3enERsB1DJegRkpcAGFacbvOQ/H0arPUW0/1DEm19w72E64wBv/TWuN
3RC210FIYYJzVIOTK29svb2eZ/jlWnQvSdkKuukjc4kHbsrSApwlkqM7h9ZFWGMYUkh0qyvXtEcJ
NVV7L+CIsDGX+SBX1J7bmoCrEu8PwiKMlcNj4bmbdkz3aYMAf061MxRF/yGuM32vzU23TTzYvg71
FR9updqZByDLhVdCBFdmJT/Ol3GVPcZD+VTP6Yefme8dwCwUUMQwJcUHZcBybJyPSCan2GnPGrQi
jMbVxYhd1VcHN7w7K4Evy5bRfJYVjFIhKpDhAvCL0Fbm4N0RZRjvutzWr0bNM8FpeMcoGiEG+Arb
MgkdziNKrbCz4fUUw0jfFyCM2dkw9Dy2XGz3M0se22q+7+z625hPuy4xdtaEMJVqY8ZcST9xQBq0
KBOmqX4cSkpEHsOCNboKekyfmGsSK902Opu+aVwNDZ6VLDvron42tDrHSlQfjV53FgS9rYl5eBFz
cmWU0Z1tBeDk6eZYQbQh7hH0/thfW+l0U5N0A7l5ZxiUKjnIS6/2v9m5UoKPyVVP0s9FHkVvJdgf
0nhBgKCREh2fgDmZXwmNfNK19Awe5lttxR/zUIGjaokHGC7DST9ornFP/hdPdXrDt+MG7izcljRf
dF1xmWvtKdLm7GLQ5H2S198KftiynbaNMIhVC5vHoGk+2tCBjRl8GAXZ37K9zlvzGuurom5CjHOl
yd4tOXSSnJpauA++5e5oPN+EOur9WMg76EQfXlq+oWy6F4G8b3X7eSrE3vDNZ5z42GD9flToP74H
9UPgKs+zTGlD9N1bO9ZrLSenIHFBLxvFU+3Sa+uteVzqNH4XrY5QQTOCJcm1h9l12C+1eOVppqRE
8xbTsWCSjP1Xuxsc/8kOq3vLd3Zm0l2TVkdSrZUstB69juHGWxAn3YXWG3LddCATcf09yYLOrefE
l24aHWETwGsRx6Ecy53ugm4KCRddGImNv24sFL2mwfErvKhdeRGOLbS7ILX8fF7GvQ4IP0L0xSu1
IOvDWFnmUCwaMX9YGcYO29F3AqXdimnkW51PeNOaYmCpyO7BUCQLpuzGyQtY6twh5jkgRF4Fv/QX
zTCs/Ea0ryxbOcS2gFeqjMQSNbq/it10OCeti0AtjwnDy9z42FUZ/bIcLKamVWIFnZxPqdGJI4iZ
fBvPc3sxTeFhhKK5NgS4tczSU+rfZlq7mj4spWaBPWvxb/iddufo3Z6dafatDqv3NPVWoZats1Gn
jVGfTYf96+jCYNU8y2HnDzQ3ZNC6nGZaflaGfTpruWVdkotD6sZMP+JoZUS6SdwGbVOPt3CtRciI
wjm/TwIV3zTjFhIiPk2df1VmRrgY85A6KZ8sdcO20C1OemdLPqjaefQnNmnpAFDV7PE0TwYOyMl+
CH1iSLKImOUmvy9yr1OqK1Juk+ROeFQ6qDv3tVvgXuMybXSvP1nRsA2D5JRY8StO9giwA/s4sDmm
SnHrr8ohNVcyG7iIRrYmP4JXiiT5NJuPNVIUjRjZ/ZhgztZm8RRp+fucpTfS4+8I59hc4fG4JGqZ
qs0aX6owunV8rLpTQdQeo1CI1oB3UrdG8UOjsmc800Rgnoe8eS2y8TSPyPnNwD4KH49VWeDrwjjb
2IiAWCwPYcL83bfENkxa0qTqfRoltBiKet2L6r3ziMnM8is99sncqtddVx56SI0EFKvPoXWOkoDM
3vSpkM0VsgzWoq66s/NySwbNwgltbyHaOd5kmVyPIPSR217ODMKiAgATbVJwbqAG+1nkfGHx/Y1U
jDgubVzVi94V7Zbkx3jnB0mwCfv0rs+qIx4duC9NnGJQho5Y47TAz8xWfR20LWjvAX2N0KkH4ZFn
R883K4oi/1Zrw4fQMr/nRfJeGObWN3NrT0ZxvZ316D0xi+sqbdxtGumbQdZH04WWacMgv+ibkT35
TNebe6bDnkkPgieACvjayMVRj2Z/4c16vtZS4tmIXZpBG1QviIrPqM6fR6E/kkqOOcTmX2Vs7nuf
tMExAOaICQ21YNbrOGwUvFOqyQu4OKUl7BZaF9wqr53t9d1W00W+9RICHidLmezM5h5R4yta2Y+2
EC/IBE9pg18xL3nNfbEpy/aOH4EtwzgCcipy4sK0bm2XkOFioOy2mS3q0knXFYOJhXTmu6HxX1s/
fbAq58kdm9e4zcnghPS7goeHVz3j+TQG8zREfA/xKLioWKt2KzN1NlkUL4q0zzdBbnI2I4WH0Q8a
iJUANo9LezTWpCoGDVpRWJYigSWyUDVpY4injNwoRqXeXVLOby2Tv4s2rcdVHRM1zdz0w2K/saT7
ndE4z7uD0VnbHofE0naGD7DwXOKr2IMVEuQORuLSXLLHIT/B7JjtztX33pnekR5can4bXTDf8RhZ
zGemvj6Ay+lUoxJfpwHr4+w234oUbEJRcuOduYOID9VhivGqmfBllpQBw/PEudPozfXj7OuMZJgC
Wpm/DyCcyBhqnhoT2mpgyM6DsS0zxFgVj1HJ5C4dw8d5IlJBDRwLRNaU+CTRWkN4GnBUD2o8iXWR
zYIaWdptdur0kvadGmeWarAZ2oReVwGLVpprz0HE+DOqaGB1aiSaeLCv/SHxdmSpfOuYm1pqgBrb
8G90NVTN1HjVccJrOYp9qwavfSlqZNUMY43UsY5Grp2yCPd6Yl8ysylWhprfapRMF4Oa6Qo13YVI
dA01q9g6DH5rrQ9XRaCT8sUoKTP46FRBbaymgFgGNTkG7URjTE2TI3hjZMgogyzfIS1i5hzZUQ0F
md+WeDVJ3SP8Csedbls1rbYrjzFjx0sRibg7DUXCkDYDtk4DeTfyI3sFQfNaZ6WrirbshSVTlpuJ
2PNOzcpdNTU31PxcqEm6FfYBMzUZnwFGite6A/Nr0/ZaTWoKL5lZ0ORSs3kmnmd3xP1MximMgNGj
5AoHbZXMHrVeqRUHrWhvDTXsp4Zl7N907sJgscGOXCEKUPIAcjmCE+Ap62Aq8cA4pIR75xiESYLy
FnNf3pc1VIAJ5QFscIepHG1NnNbhKk4h74ZF+1q2QBdJG87pDLBwOg4lS9GpVE4zeRZD8mgNnQno
DzFNW8Q3UctHszbDt2buz4WN/V2Lsme3jpdO9S692yzzwju3YngUZtg0G5/hPEx8Fogu88G8ZtF9
l0l7QaKbSl8CWsEDlu47ZBzLxNHZ4McqGjxSAZtm9VIU4cjENAuB2/vgapJA0nEDwBLq+jPj4pGO
mvEszPTB0+KngvSLtUN0/DIui5yU2OwFU6XcCxOBFrSzbWvACB7RJ28n2nyUruG5N4x0UQQlgUnE
xW2d1v7uqX1XQ+gHb2pP+1WYLS1XLp/MdXgQg1dc6YIevUUbdUGE+2We2XQ+2d75of6MVFIwSmVU
L2B1bzVjaF9+dGDJVjngeUaOJsFJ8hwwXgQ6MxdmxI6s3Vmh3q+disEwPXJIu6P2vQFdhVsaK0WW
AYWVHhvGXI+HNYnJyQ1umidngAYNDeyx6wxgNdEJidjNMKa2EujykPRvgcnsHI7oWthE7kqiNzxh
/W1++r82oRIr0b2jPfffxUq3XR509UvYfVYr/f0H/9UqdP9SeUK0/RxLCoUi+7lVyP9GHiRtnSad
JenQ/SvKUfxFKjkOLP6xHWTzls0v/rtVaGM6Q8tkm/QZ4cMY/0SvZIpPIj06haZENmVZtnI6yM8M
OGgTneF3oVhabgjpPTO1tZTdRykqm61pbmxjYQMaQPa7MJwx3jPrvrR12S6qYkzXc1s4m9gbXVge
xbxMehLgynh4c0aUQMi9Xky0wquxwgtC14QpaZs/2JHa+3ghFNDYqO612fAXVY2kZTbmnRcw2eih
S5UgD2VFE8hj1w4Ms23Jsij8lew9xAQ63YweLA+0DCKopoKeYQYPbOvL0VpUOmaQaQhhDJP6CDwS
grqJSRqgudUxWfKNJSE8/pmBE6+Wesla9brZwYSLSDdf9ALqmKteSqvtekLwajhlvLCuenUd3uE6
JaWmVa+14P1u1aglMHnlRQxsn5pWP1pqQfCH6XlmhSjUUoEQAfI8oAhDLSO1Du7IrZJZZcZAM4BS
i/eD9ITG6/gSu3ih+VZ/L9TyVPR9vo5dWE5mFBNohytqUstZyITlAlIo4igSxXvfk3uN1S8nPmPF
cK5AWoPlaOzgeLNW1qyZtlo806RghJ+rVbUih2IjQIvrRPCyqLMAx6ZVbt1Re6rH+V1T3aUEszcl
2gBCQJFPinp6pDn+4gj7OS+rZK+7I70fuyULsfNf06n4mDpuMH7T5iJ3o7ekgctp0UQZZ/1EQXkT
9vkpmP2OXkQmtpY3boQ+gB+T2c60msfWhP3bgmbOwFsbTYafHRmEmasxVncs2tnfDPVkLFtzLrdd
jEAO48DCrztM5O6lo+G1R4lfLZPSqTd5YNxVI/0BnHVgUHlQwYCXsHxzX5Dqbl9XAm6Q4V3yfXpo
5hyOCnMfV+/ri75O8k2UshnwuurU2fGtaQweFDrVVHaCalH2BTbxKadGd7pdFRNrYSceIoDQXtoW
oizoRfPB1s2HoKBIa5LYOXWk5lxojaI61KV/1SdZD8FPK8EgQLbsixBZzsR2LG+s8WDw6bnwa7Zp
iWDkm7OdrwpzO6SjwxOLB5RUp2jhJkjwymi46cUsCUOBCxBl2ZOr2SSIGiNKNxMuV5omr3VVtkTT
UOVUkjn+7AoYe8bt0Nq3RUgQdtXO5er/s3cey5YbSbb9IrRBRgBm/d7gaH21nMCuhApoja/vhWR1
V2YWi7SeN2kc0FKccyEiPNz33qsv1MmW+M6ihE7G1OH/A7uDgjB35Flw8sbg5L4oe7zvE/fKrMh6
CjVeOnZ5dw0w4r3uOCURJbgLfEKuzVJ/8iPvaJsWkJSBJDvGoNeuhOyCXhffUh+sXS3Nv4Q7PE4S
452IKSkTDPKrgqJ53SZzoAqYcwLvSdqp037ZeyZpMUiQGEgaq3wGpON8L/YQEG2T0ZnbrawKnDoJ
weJU16ROso4U9AOIexeUn7tiRrFzDODU0fJh7hDSu03dnKwHo1k1M8bdLDX7MKZxRefW5MAkwb3r
dD7XNQR4XB7Oupuh8E5BYNU4kIjVMYXWa+LWQ2KeZOC8ZzNUfghRCcgZNN9GaO20BH2Cn9PpKOk4
LTvVfzozpZ6I50cNLReyJsIq4nqf5qDtw5lxD+t+qkmg+z+lcTPuP//ff8/40AX/+90bP21evA3R
z0rjf8z5+HP/3LwxgjA808mAY9Lr/io1hiyrY1838eHMe/BPmzdmQTTKHoxEIMkGhdXPmzcOFlTI
Ors7dEgdG/f//89fnO31b///M0fYntXOv4z5bBsLLzYc13ZcRpIm9cXPpgdW7WLQyMVkZYtuzAzX
bJxfQ1/viB/K76yAN9Epaa3o7qM/ErhTjvp1psqPIApfgXKc09pGpuaBbMhcxlCTrbHvFLxUVpyF
n2HWeKtY5He9WTDcGmk+hQaHRdYg2ngE2avkDbUfg3rEfYtqDMHrNOgAJ7Klj9jD6DLOSxv+rm7b
DpN/lg1JFs28BFbzYqhlLIsqEk/mvFAyuUFAV2SQXllFi3k5Hcp+rzUQcVFxuCj0FNLnkSzsiVj5
daup+wH8Qzgv0VVTZVuGUhhQS0xlFSu5mbpPeIpOSpjbvrXvR+FBU5gXfzFvA5NK21U1bw05e4SO
wQg9BtsGrUaManl/yRP/FmP0iOSTtO5aFgClZxRs21+cOD9mgYIWxkqRzXtUBAWkTawTe92ZeNbn
op0PrB5Bs2xvg9Xqu3zWjAZsfUNDhGnb3Am7eHKMEpeyILtnUB9wv1iZwSgT/+g/dCR/4ND4aLwR
GRM77kKKMTm4bLsDAJjA0Z/taIqWpa1PmK6d26FtcsTe5qdk9+7ms9XgZCk5d5y3xmDiCDKfwfI+
eQSmxLGs9zl91n6IxZnbfgOE0CLImpNcTSsj65OWqRv7fT0O1zVnv3g+BA61umubMSc2yyPciJjm
+Xce8qaKHjjTYzz1mPjZAeB5jWKqMRpavBw4sX7nSwRk4dqcT6N0wsqHepYvTLOQoZwlDbiQ1Kb6
oXOwYs1f6HM4UGXpzXaYBRGWTUpOXmGV7WKARpPNYaf2yO3X0sMwSymgZfbP4yyvkHp+Drr6oUJ3
EVp2TMVjXEbPv04pXapMPNMaE49+298mCDeYK2BxdHSGxyU32kwkIWrgwtYKyYfVM2+MKNZWgAk4
q9OkYW6kn2jYDIdkVo2oWT+SzkoS0obutR/aElUYl8Fwv6J+1rPPChQy78g0StOzhTilnVUqArlK
iWzFmPUryaxkaevxNULaoqfDtpq1Ln3QlYdWR/+S5u5tU9Eua+1pXE9N+dBZSlKBzgf3WUETFGhp
KkmOHLt6s5GJY2CiRHIT1f2dgwanBamGFQpZzqxNitHp+GG8HFM6pCUqVhMlD9joU4uypwida+S+
z0yMPhXKHxUGqygTZ3ss7dUE6IAwIfXpoBaiUd2uq1lApKEk6q2ODqvpR5DKzFsxy430iYa9FlxL
dEg/qmST1gs8pB8vzrgpOc8O43QBUoAoBprIqfRUsJwkuXGmkRnbpo/WpFUE1Ho+uQYVqCojBM86
NsZHx+ZPGCj9KZ6m8abBwp/l4l4SLkpOfpStOpUQ3Sbp/NlWS+IWr24hSVbW6c9LXGG7vmzjc5NX
6tWb/GQ9EKm8pAQ6Oii6VnRczdep702a97SCE6HpO1PHx+RmU3UQnptu/BwJGCCjZwXWc+uZFbGH
PBxEk5XBoc4adREtGcFxyGzRIrAe+9CyS5hh1Mq2NuByavjPeY9/M/mODfCTvjqiKYpWQwXBO+cq
APHJLiijv/XKf4FO+Dx5uGjrzFRMrtvkamoy8CXNQyihLeUyXlNyhFCK2nhnE8K/013/SUr36Iz1
wdQZR7WFePGygDNClB2mIdupOJXrDjUUqyChdeg8aEfQP9kmY+4ecmU/WcZYLjB3xxv2w4E620Q9
ogcfk5zPV2mVr8h8pj6vyRFNHLQUOUyILKgZhTnwDR3vfhzdvWzHo2vUwbKWEUNzBwqHVZH9YTqv
XhA+WWlOTlUtPwn+u0S6/Q0LySKcOyNMIB+WA1/kWhu87GC2jG4gLBC6rWbhm2c0oNo5f4Em5t1O
qXYNgvm7OnjvW3npEywdtglR06vFXV+xTdWcG2iHT+hE5yQIl7YroBzPW0ezwFTyKi842Uksd3Tb
iVbutuNgAQdBiGHDRqNZC3a7KJiHDb140bPhtQVu3ibDt9YJoCussjN4qd9Wgf5KKQw3dlSslWHw
WRLrz2xwZjabXgnAWpM7PZkenK4il658+r8S748Sb66bvDme5t9XeOs6/are1Odb/XON9z9/8J8l
nm0K9irDlp7tUZv9T3/G1f/DYM4yC7Icx8TuTBX3j/6M8R8EQjhwyUyBxmr+958F3izz8vCY8I+D
O9rjd1j/mxKPptNPBZ4DFdbia+ku7QLBuHWuJX8u8JSum2ApbX2l7ahZAMUt+isc33+cBn4pLH8p
JP/sU9iaaDcxYLB/qMl+8jaiWzQNM0cCnZFdEeDfaIzdT1f/+g/l2V9/An+r6c7GPeFILuqvP4eJ
OaojclFfhcWLV0Nlg5nz15/wo1H1s+QN453j4WiwOVHPl/03W65R15oVU8ivHOQBS39bXatV8ipv
yw+mAh/MitLN+M5Y4q8/1kT798vVm3N+HFsKPtiyaOXxIP36sw3OFCvgw2BTJFRVvfBJXTcDwpbj
5IRI5KmFhVeb6YM9aAeKeDYIDAZJY2/SKNihgWASx1zPd/eWU2wTLbxrQ22nzOlBpN0hTYpdTtCl
NzAX7LPXxk3ArJpnAscZ+JTo4+gRFFb3iMybRFtCScgVIUk9eYojbRMWwy4XwzEx8y2J1gfRE+JA
g9oKqxuXPd4nBhpeb7lhjrYPFO4g278ZpNxONomVjcOGH1FejLP1QOTEmNuzHQFGD3zRLnlAdIQW
o9Syi60kA+m8ZhUfEJcZqjb3eHDReCs+PjD6bNUEXn6IesQx7myH8GdjBEnaM1PM+FImsXtRVOD7
wUcREIKzHWdrhT+bLErdeuEnob2oMf8KVPUssoQjcsc91ezPpLJPkISvw2D4MsV4nPByGHg60pEW
iYHLw/bEPsL1QXzsxZ1F8iF+EIk2KQoK5uCzU4QwMjPUP4lH33WjdsdA9brHWULk7Y0xO02oofPU
y+a59KHHi6JmU0qUJPVDonEucmBJUmLg86y5uVvlVVdFTBIneAFJhjxCC0YlFg4nMmAYcI6M2fFc
N2gkdK3oiCCuD2FjrmVJpaEzrbEhtIBP23FcOVv9+BVq5cWrLQx43tqtof2N6aYv/BODzYMCMDN0
wLX0ct/Z5r7RwjcH3pE1YnULofP0cROcIl+cSlIjQpHcYTS8CD06dq7xiAqTeJ6ofBdRtQ1kQwRx
uC7Dugf+oK8GiFfFk5mqRypMXIy06dzAeA2ZjVUlTVrhY77i+tdH4QL26AgiQg6VI76ome5caA+K
C54m5nqQxp8IgUKRzXz4MljEZo9Nkm3wm5b0O53mCTWdex2oAjNBzjFxUmTQDalMtqFCppj5zvSQ
hT3h7wk95l5QTNmh9iULYHZJKayVbCk9aytTe02ASotd46T1+n1k9/6yBnl3cCtotpPvqntOUmCk
eP7sqlFre0q6pWuU1C7RBDKpZ+5bKZyzhlTvmazIfEh1+ai7KYTZAqksrKVxhSXT2+teBSVA7z1Y
z1P9ABQmhn6X1hypEFst3BS8UWwSYe24WbEK/MzZQB2hCZbZ2HhtQWyTg3JpVRVldp8nenVliO6T
XGmYmGFwzNsaKsZYwD7nVrUi6J9FG8pdo8/UAmK8F12eowXtEHfpRktif/YRKEZ3vSzrtSBPdqYy
8nfpHnbI9NFOTSyRA2FSjI1Jk02R7FR9g3gNZiCdzGOXWIeWUdi6sdRLYdAkSzEuqjS/0zVKZwA6
wToV8imo20/R84ANlfMQSHWHx5D8dgkBLUwSMnBa/+AnSbuOBq/aVW7wkMZJuRydOF1i1Ea3hy0B
1hnnvDS0LOAS2lM3e6YMg3aiL24wUJc8o8VVJDMaifKJMd93jKqqMAmvJLpLA6zY3jQpEVg9dhdC
q+pnWPKohlvvPBTala6HFHzMpUPt1onSdzE119nQ3QuN+YFTG1TYAy+H3VpkXOswJtpjJqHa5dW3
XhfLhqjmyiHwIzRvU9O6pDFt01CWRPEn12XVPKmpuqacPjFbZ5QarqpU31SMBVia7scof8AUfUeD
+ysmJb8BaZUlBJ56BGkNE9KD1CD4FZ7KcTTGI+bVFT/NI9R4HAUtS5/Qvw3lQqgGDKIxvXBd9VlI
Yx2ja4HbgDSod0FNK7Fseu8yTs6d14YrLyAQSiSHPlY3poP2JkbqvKjnHBFt7mR2g7YsUuYIYeYl
C8MOHj1lr31mwws0uSsORXeJcM6A0m+sTKz9MvtuvPaxrPEvIQ2+DSZE2solaVYVZ7+dldmN+Iz9
+CxSscPd9NgO/tkOk5s8cwDhDUl7Uxktb4DPBjG/05F0NlNMk9bqq2/NNd7TEOlHUmHBwXF3jcLk
OU9zY1U2PfaMKV/g0wFaPg7go1Egcf1WPlqsxilwxSYbHRiDL1yIAQqvN984c7+NILnT9OaWefVW
OR0B58mWLID7DG1cEhabVNJDGKrkZajSrZnE91puXQ1pc6a/wXnCvZqP9oDqgdpWaoPkbSditraB
+PQUiknZuh+RKZAelVuZI53wU/eqzFwuARG1xHRKFnQ6DlxTJjtkgOkkyCEzL7QNbWVGzXDXS0Lc
hl7HDKKdMke9Cf6KgFjHviQQAMWpwSqiEyAmxG1nA9jo3HXvMSgxN26cHVk/EWjgHxVvInmtUWlr
hCFTFS0dcHFldNDbc5FfTba5zJpbGW/04tFM8N6Cx4uvdGuf2Sevvh7MR13dm/q6hgWErH78TMq7
QUc5ukIHkwWHggA91EVL8ppt+6WAvVd/lYQe0x0Kxiu/vbbVQctuBSATaTASbFaWEy6nnm6EcTKm
r8T5yKcjjIE4fG/JtGfB3YPVoFelrw1RsOn5617UT4F96pOrnnl7aYltwysYh3MZsctSKl4UevhD
SUuwfOKgMuNoaWj1M+0+mXKkLvZH21WwZwPdJd7eutEiHATk04eWutElmXaQ1yL9kgSvic/2CV5W
pmRFWwgUmqtJwYbwyW+dwQkHXO7rHPWyPhxi01hTHi1KEv9NUzzZVcW1fjbVg8JQqYS+qu0dL14b
O9ydhLEPA5lhpslzyXrtY/LRYBbGV0hCUTdaXwzqSCyi6zH668C86cN3P7nX69uOh4W/Dl+ylm2k
5jx69F/bvjv6DWEOZDibKtiK7LkIxYbV9Gw11XmYhUgcXA2W0h4mDlKAhmzEJjwj3LhLXfYo+qgm
N67S06eRoGcUqacRtBLS84tTq1uPZ7vpazxzSIT8/spihpnUvkQrN3A85hFHBsuZtsglU5HXFKtH
mlZPMeKmzs62Nkb+yX+s4hqRyVCdgmlcDuG3msoLkCgeXGhnQ4xU8oI6GrmFdae8dgtsdqHCcF79
GI5V69GLt9TaKy0vN0X6HlfXQfpozNojsh+z9p1+HxCGzzYJzrBvayde5Q3GCnP8spPrUb8Kc9Qn
EJEpmRa2qsgNGOanYBH2PRI9sadcIDs8uAS5okc3ICyqN6lKbsKavaLMLiIO73ElyGU8YyOj8ppd
Fr6TdtGnY6p1tJjTTRblq9zhtO9rW9QV/dkuuoXCmGbXYBohDbYacrk43ldcsZmiQ/wB6YxQ77xr
w6tpTJBEbyBhM55lcYNCd6tj/XAGsXIZXwsLeDrLQ87GaFfyMmGwtDjkoU04Ni1j9OLNm022VrzU
GfhxGoU4cIUsaZlE3TVfeaGVT1H8KfVP4H5bYyJ3FthP76I+H9R1B6BC4aueAA9NXnFlFUimazTe
ZngV2kSoh5q9jYbinFbN2gy6LY4MFOKkMNjjKgIRhEoYbeeD7jc3zFyZ/0ngEiOVSLfrtbtq7Jlo
6ojNg93c5qux6IDadUW+6vOd1jQ7qbMM0piBcpSDrjCqacuMfBERhxCTtCB9g4t8SMKvybigSt8l
7ioKv9voUYIyYt9quXHmsWBqjhvGTp7T8bFWD3RkN9iMvYyl8QVY3SaPQXB7yNps/dYLerZK8iYb
veWlGZkGM+LMqlUfmPeNRIgGwCpgsIqgDfE1sjfqg7wDEE8I97xa4EKxykevvzF5tPAOL2H3rYPq
puzu0+ZxIGdBOd6aUz/dc3gKNkHuprErZ/tjUi9N5E2+sjd9a5CLAWqwq0jU1KrzmOIX9nRidc0B
bpWgkuAsUdbXAUbw2SIUG19BcCUk1vlCLfCebEYAqexGEKW+0wLOlw4G6slwbzzgck6LMbnjaf10
9ZPfvjnWRuTnPjhqZbswXAhSKRAPjDLx2jdpxxoBHW2YutCZdMLxntnBtYkhCUr3ODc2g7zuiZ5v
0+fOWhsUbsNjhvDOyG6G6LXMkf0j0yujVQq7tH3O0Hwmecep4qr0jom3C1gPFJG2zjGO64vJBCWO
rnIXEPG92YynUr/VZw0vzoHwGGQQp4j2Y/zaN8kW7S0jV0J5a7q7GEborS1QUq57QAsV62+Ockt3
+EHwT+AlWkgzXUdewzNYrUJ9N1HiiPiF8yOOaf5jGmFy9BBwv1V+FKT8jgMI4wbYLec8NG+wWiWT
sTsZ3gfqVhJVqtPb+Kpj8PRlQogKMbARbrGpX+beRWqPGgMCYVTH0LjvEftpmX5Vhp+99ZUGJnnx
kEAnVpDm3iDfNAseyu67Sk8SNEPFUFcvCbD3yBiIiJ8eFtJ6VtWjb7ZQNM6o0w52AOgElU2f9lT7
EDYnarrA2hPesbND/O3VDWDatZDhnY0MpWDmbGru2gs+svQ4eM7eJzFhUPeq/WpR5htRdJdGp4HX
Fh3+0p2xZ5wru97j+n6UARKzfiRUhmA7D0ns8BkW/SYz38hpwCxzss2Ljie7Hz8QZQR+S5RNRiT8
PODBAa+/TZh7CpaInN4oInGOvNPadh4U0kqPhLLUS7aWXy1dxGuaew2sFayxsaFXvc0yJhhitpJQ
9+f2dVofLAu/cw87zlyCzsUSB1FGfsHti4xnvXcPijUxN/eDjUyPeZHvfkfAx/P8oSmebfer99/z
Pl0SLbcw4H+r6dyMb+XgPnScTfEW9fqxR9zoT9YuiiXF770DUjtETDfDbWMxH5u2RoxsgtJ4DrYB
5Bz2n634bpyrCe+T6b8NKY8L3SPzu/CfXT1cjrIckeTdtC0PogyuTDWuZZGw1jkLrbeWXeAewugx
dt8ra8ZZm0uD4CVQuVw9e2l08Ki4oiw5G4J9Fqr0WV39UzV8B5Gz6bT7MB0XBDLDnP+081c/vk27
G0ZMtDiQP1pqB3OFoyqRcMa0yarPAfN0iAR2clYGBMHypaQjEQ8PTTNtG/jwop5AqYitbx07YjBy
uWlR4ufe7NT+QCZvR6eJkVZdjQtkqGudopwCSPGNZmLS2czMNeXSFteAdD5cDFWt56181hCTlQnD
5Tpvb9X0iD+UWB1QFcQvI8cm/XkRt141lyfGxoMVGzDY0EkvqVJxEwK4LqfxUIrrVIs3ttA2Q0Dw
Z3CvaqYKUE/LiWzHQi57C4yxqT1YWBYjqnv8N7L+qlR5wxB4MaEwj7VqP1GkpN5ekL5U2JBYglNY
3dbWKUX3rJC5mjMnq9/F8e08V5LTD8bN06BeA8eF83XntOZV5zUEKlFARSktF2+TpxZninxNA27t
cUgVMj5k6llLp3OAzNbuH1EDeZGx0TlwFPo6LD6z0noKc4Kui33L1ScheDlhamQufI6BL+MOHMI7
hpScddf9eG+BUqHIoAPiQat0UKjhj+Oq9bRd42OAqSOI7lqFIruV3snxPkhHWA32tGl9uh/FxUtv
tMnZOfm0D+PrqiaAyEd7LjfK1B+9Ib50Tb7JHeNSAt40BnNZCfnQxzYkRLGwUkarbU2ZT5B0NWyM
kftOu8TN/A2Tvm3qgoceGxKxnE1gssxHzVGN9toroP9F5eswj3hQLK46fXYD+h9G+ZS6F4f13W8+
huzQZ59ylmi5RDuZEY9kJ18N8j3y/i31mkPeT1vDZmGcxHn0mz39y2PeOxT8kb9tK3q0Xr8jJgJs
EdhnnW2TYVwZdbOVfzp0hTyUQCQ9AGRVvXES92TBLzGj/MKgaK69qbHdeyy7WyXinWsYByv3ASKP
+z4FjOyNG61GL2ecZN3xy6jHiQYgRQvhQbucKaAYp1eK3bKu3svE5+4mu8A6u5xZOv1STdyjhBcb
hIreowVkQS2y+lDW9DM7ajRjwipMEjsKd6KYAurd3KbwTbyjSm+DcT/k9OtsUkZsdrFoctk9K7Yl
ow02CC5It2Unwq0JjqZ9aYpPoXE08XJcd06DFcvHdgzbACJ8xQE0t3cEcuOggrb5UTfbmjbuFBMF
1IHFHolVzwZWoGkbI1hO2FpQLq/N1MEaI7elo2092E5VjkSYY0A1MB0W3TqS0VZjWjYabMpkvLH/
XVKHzC+IaaHHnzPFvrG7VWvBhZE9sJ/punR9RnWGcdLH4XE0vmzMWMvEzryVV7Rn6ZaXikmaFK8W
nWTMOqQ1uFddE3y2oFRVr992LkrEidsw4/XiJ6HcmQUU37dUcKyI9VtaFzjER+2LPDxMLBNh5hK/
DvmsJv6gRV2wlo7SRWbHBH76rORjzMwyw2FoxNu+IU3C/0gr/YFeIzV6h8mcLjrVRu+/Id11rtxM
cC9LOeyScSL5TNw75Io19QtaunUlYBVjvB6RjJcVENhR6ae09rYqlzcQWokrSjZkQu4B8Tjzyarw
rkMeURJNHGQpSDrq3j+OWXQfjd7Wq42FF8lkia2XE3y+IYN7OaXmi5NZ7z2owNZuVjZsvBXVzHUa
OvDFEx2LzqvlyGuNUmLAw1uLgd5HQxK7yfUPp+ukJdskAHUWeEQlk/JiFAd+0Gf4py92Q90W+ch8
GJ9Dt14RR/9k9AToBmDqvIR8lGhXt9Zn1NCLifCqBzgsowqW0tSfnQIOQDx9RlROTuMdCG/5jPNo
nSevAlyoB26pDBgcVbR4hvLM5PrQ99d1Zt0g49uV1mlgwauOA/2TkLcbtxygAPI0StywxPa0ZN9j
BbPNE5ZCnA5kxqApiB13p/dvTFbWGeXixMLNpnITUkpL7coG7Jo37NDxLDGe9mXQfqZ+gUF/zuWr
jrEfnSM66YoB82iS2za6J8YnWP6spjhkOQEtbtdGywrP6UL1Yq8gz1O3MND3yJCruz39pYWnnEMi
sWeP2rSppHFlBMQtYYzOTnlIb0m6JO5Mzj4hSMB0unVmM+EeRjI9AvEc4qhqGqZqMJ8jujlZ2PBg
p9m7LkzjzkrpDuWWfSiTjmFbzhKAJToYKbWqK0sm+acxNNYyCr03k7nzBZGM+mx9LnXs2s3SFZRh
huw+CQpk22WUU4tmP2KsWKq+aL9bkJ3OYAwxm7iw8GV1vHOpZZ9yi6VBt8Z2awYRsS5uEz5klnpI
OO1/DU6Ut5z3nfwUqN4isibO77LA967JeHZfsqzPt3TuHJLNS+et9E360Rh+ivTKB7DmtwavjOdT
yjI/2WsFhYylOgDaoVvXSwa6lxGqE9cgru4C0VlXNTHSxNO7Psaf8tqMEGMGMYkFRpbfheTSzu8O
U5MpulSB/5J4ZK9yxEsIg6mwa6aGfOsYwi5DK+KNtCk6mXHR62yHtd/ihjIm3T6RCoray87ux5KY
ObthC0ymY5iJbMNamt2OdWIzKxsOjkWSCihA5gTwsStjei+8uREVJIeok4+CwcYiCYr6FDR5f+fH
vfXQB5QpZtgyDis7qM8x+25fkkVBu6QwVX2KlBq3bRzRzsiHk3DbO2uoXrN0+sRGI5ZT3OwSGZyD
OKfJLVYlRBQ8VREK0yFE+jXpePVCgowLEe9HFaarcorH566ImW8GiGuqBB5jZwgT/UbMCdAr8EEq
dqKEg8fGUDZMSQw8FssacgfocJU49jQ919ooioWuuls0qOeEbbTq/Tvs6U9EW10IzkIJY++r2Jxl
4+4mDdhYyxoCRmMRL+b5D30Cus1vFDlyHhupE0MbpxotHPUpLEG0ZYfnxM7DhzFAvm+K4EGM+BAr
y3ryig6VtvaumRy3cjKxFqZuXNujh9cL23uAWbXHxlk2yK6ySqDyiHjJjYlonNSl5VZ5DIuEfpZF
1S/QxrODOd5Xn+XaWWPTdTIOWCq9RyloLYeuelKhSTya7p61AAnH3NDqfIDqseT1H1Lvuxtoocsy
I0dIDnBHO2wQEFI2BZl6B7P4sd2HwYZidsAOpUc75OLqEPZBv5adZdzix37EVOGuZJ1cE2DEm96h
446l1l4rn4OVsO0KH6K4iYtmzkdxsEjJp4p+cYs9bvZpZ2vXir5VFbQbN8WxE+XWCusY1jXLvDQt
60NQN3dkmjLsicyDwVB1VQAGWA0WHZ+69h7aENKcH063qafvi4ry2sgfXB/4oundy9yo2Ds51SaG
uJoqjiB+7OxMyZSYpIG3qo/2nm08BeG08R3O200LpR5vr2zq9zCeD+GZ+GQ54U6OtPY8v3gi2Pmu
nPpi66mELNaQCYgRpLssdG9iiCpLy4yK1VQbjwGPdEQgVdaO9cKDF12lYcotC2f8Jjllkd4xHQ/e
M1bttq7KbVzjMuzG2sR02AOHlFmxrgzSoTQUZgs6Z3LlGPQdw0T0OBvoEhXOcJPWdDyxmUsKZk4j
QxQFa7tU7VLkKlkGdXIyYjW3bOxHu9buwpopcm1KCedFOcsiIuy1iAP2v4xCz+rgHatrD1PswpxT
03TsxDjXDVrrTMl0n1iXcjB0pvHlriisbSkEgYkN9t8meuun7BCP8QUZ2sULYaJa6XjRVHEVtqyP
w5Cv8C1f/DGQH+hADoL0FtIs3CuRc24Oh/QyCns3JMORUBzWtCJ7/2u5wm/BQNh8MCDqJL+QTmSZ
Dk7WX8UKvZlE7WBq+spCEAMmjR5XIFiS6QvbE6HsuiPKl7AjWXhqXpDK0fZJ1ZxAaPGQB9mJtxfg
UDBnHJiHvMvPTtfdZUPr/40kZZZQ/6R8+ccX9RxXmNKTvKK/S5sT0oOzAsVIvbYP5qM8Nsf2I7k3
1mqtzukfWql/K4Ax51Tmf4pH/vXTfkuPt3JTVSSbAnfFZL4SgfYVEyC86tj7IRNsHOWeRmWdq6y5
tJnc9QgYIre8KWwMzjZCUjmsIDbQsGfuC5CzutLSLuXg7z789f1z/uyLGsROSZfoKcN0f1O52JPZ
56GtDAY2zUurIb/QbUGYTVTA3aj9xVQkhOVKQuCi7Ib1ZCJspjxNIUu+14fsePIla6GuCflNjs6L
gFFKOvtjLPp7T2E/1wK8yhQ6pROdUVF/AyBADk1W5CFpxcUxS1zdPiVcSG9K39RBw2SWVEzhNduI
1Fqf+FymmE/e6O2YmG78Jq/XKfwgWLj1zcCWuAh8U56rRIV7xKKMy1P9C5uPB8q3dP5GdWSgCfuX
22qi4bdJFrWw0s2//pOwqZqYVBK4NWuCeK05Yugr4+itye1c0wdjqhT9L2EOfzxJP3/kb2qgwMPG
hUZMX+W1+VDlwRasDw3pUD1w5N7+9dNg/Gre++PDEDtZus1/puH89jZPXdi7RFrSSRf5s2nLDTEx
PMI9Kpma+Ee7vTd6mjHMPa/Y/rcG8AovKPa620CmRYA09PusJM/3r7/W/Gr+/jLheDWkEKhL4VT9
etWJGqCMmZVYkXqKkuspOPvRy19/xJ/84DaeDGYhpm45/8IEcQ3fZe/kfc3Kekv+zlZ4QY733sTO
FmZ/sxbNt+y3n8exMYBI1/qxfP52lRmEVHkr+XlM8iW1NkW58ncAg9/Uaz/u5C+fMS+HPz2pRmDo
mP06Y8XgqNqOVRysJwUese6tZJFgUioZ0jpof86oIAj7SYddFcV7DYRTO6LJzvAqPTaaJ/8GBfRn
r5BjA6Hg8QI6Y/2uDSQHM8AoFhsURrS3YvZKmhhwozKx68fQJzfK3pd++sZ7RghDpUPCNW9rpzna
OtnAf33X/2xT+PnL/FjGf7pKWS9l59NXXqVCQyWgOC9YTokaS90iDtxTr9/VngHR1Ty2LSljdhET
xNiJy998D/tPHnHHdhwAHZ5rOobz28KiInjz5EuyO9EGIqHjlOcxQQ5aD+N7WIU5aTwVzjMSz++i
zDy0LTKVdGSMf1WQXjs+Zu3WSJ6LQr+kboZmJNzHI4dfTwufG1Q7EREVWY3kwCx3iaavZT192wNn
FVxNswOjWeAbXynjjZZu7QO315mRGuRk+OmH4KxfZt4594JtZN1nAOACtmdOmvnSlulOCyFMB93G
jsu1Cw48qhS6MdBjU30rcrGm+NxSWR91oz4Gdv4R6rQKqpBKqPDfrKhBLqO6dVGZGtql/2LvTLIj
N7JtO5fXhxZgqLsOh9esa3awGEESdV0YgNn8AfxRvIm9jZCUClLK4Mp+drRSSUWA7gDMrt17zj7R
hV7CixujEaKQ6Egl7ky+EwYBGBFoiqkT1cK0SjLnSA8qXUfRe67DWIHbkgBT6IzgwkZuyFnzoOXl
XqVIlrDajOwq4ThXKPQCxtzHF8hdzDcxFO3abX14Kz3SIVOjR8TwuQFrN+TrfkBhUgwbEwFmS5p7
AJ4fsJyXl+mpyfJ1XCl+VZJNFToX1D2nQQ28aeQhJYP9WA6ZJ5gGiCalvpvtBfsH0DqH91HumtTe
xjOAYtN26DRVHvkv91LXLq0geA6b78V4p4cEOLIHT+EVPqAL+nUPgOkv+WB4HMPUs7Ocnkn/1OsA
QTDKtFYIbMNUrr94Mv9hYfzwYH7afkYb1kpTLfYPczx3hgVYXSfPzC6Y542PgOAweGUj9mt7O6A4
Xk9qWtHLbTJgNMkChejNBcpekAbY21+so/ryVvxtIV1SnHTLwvRuf6rpOsUYpOOylqT9JC+bDo+4
iZUAw+Vm7tt4HbruXsulPyT1t1iRDGMjjYKhheCoV/IYO/SOHfOuNpxd0o7vcWog32Ssq2dGvsU/
+TZF8gl4xk5MXYiqsT8TjXaqw/ybzXxvjYmTADyIZcSMu5U874avAmH/eYH66RN+qiMTR1T23AKa
WnJN1bNZXQ0rUiH2mje/Fdv58td3+6M6/Mem4RqIwm2gojYnfeTrP28azqBkkGHZmAqcN+H+4FQ7
ICeB98d1/ot6+J/fXZ9LVvS/9xLc9N/7/Nv//v+y/dlL8Nef/NNMYP5GgbmUYoaDP0Azufd/cmHt
31ysArqq4yMAUrr86F/RNJZFuQjqQTewihr8Jn+SHtTf+A8pTlV0+VRSWPz+IysBENqPu5aFaYFa
Edaeg2uV39T9VGQ4eVNojAZKImIzyKHSStZ8jBdrMvGja+2+VYqYiWB/28/tYzMrvrgem/6AF+Jp
UJSrUeVwrXdrYo/Zf6Dgd+TuNQDSHVleB4V8r+zpQreImAf4rwMblH16nZNQiZsdFCBN/DoST6pR
Xyal/VzOjaeHw6lqrU1VGmeCjWtVjC3JDxj/nPwY1/1FK6sn2GPFrujyY049OxFNm2rBedrEG2Kf
Ltu4JfJ1uo2cfK9q7sFGppOrzbWmwCLouGTqZD7CoPUswhuj4lBt6hWWwnCbAbnvUAUJO3/Mo4po
3e6Q1ZoPf/9s7sxtlQ/HOSbxFEPeKVbsa9ds9jpdL1pFyJPc29iaz6LSPtfLhhGYcpl00RuQ0FNe
l+e15dxEqWBz7ohfRe+nRUj2qkHx4zR+QtyxFXTDM33azRnKd0cUByeOjiizIdAbR00RTCPtVPMK
lEMEKG5cd36pTXEqzfw+CvKtrmkXqsjOqYjWTRJtjCb5Ntj6XVXHd1XGXLVn/N9m+8TK72jDOsQP
MNqRcsNsAVAWIfFjJdkk1GPSsuMNVvmtnEGcLeZ9CT5DLZw95J19HxKrE+Z84ap+bJvs2DP2TOcA
2z26/iF9Qxj+VjeIIqpgQ2v9pWyNR2q4tT5qly7zOSDDt0qF5YBZgOOg8wirLX5hTqq5sqGuQfzk
aOiHEmVXGwoT9fBGm7tzdyTTBHOAComu5nnDEtiZTN4Qy4xyvk86Uogqaxf2cuO0ULdN+SY0g8TN
jJFkxzmvy8rbGYIY95sHzUkMa22EyQvDqteoZ7PHA0CjBTZpWYJsqM4LMwDNN44oXZXQxzf4vFgm
Z608t+bh6ETj3glA2id59oTa/FwXwVWcmsW6x73lxWkQ7GeFp0hJhnbNICX3XSp3XHxodULDJovB
LapVotgdY5fsOradx6lPz6twvJzCUac5Kfvt2BqvvWgJcTEUzs5u89a6IQbtwSTOpwZPCsbE8IWV
XQOMvDA00Eljoe/cyXmCNPdQMVJIx3JrR3Jj/+CI4HVICO8sM22j2T/iYq5c+G4rTqgbdZ72zDbO
qeZvmxZFoaK4uyYPbEiJsOmRRLW1PK9c47qOsvMICQxEZITt7SMiQj8fkVOYmaCkrd4qHblLMOWH
0MA32zqPihvuEm3YJl1FZ1k8W067Q4e/1ed0W/eaT8PoOI/TddGntxCY1wjSCGiumOrPwx1qx705
LWqC0DkGZnknWmUXJM4Co926xGGtTJyorMUAtOwDT8NNUzqDF5G+buntfijHY23NB/BVm8wFYDmb
D2DuhjU9T0/J3HNFaocqaXe9isrT7FBl01BKI44z4dVkFkcrAGgbGguG7wAi+rJUK5DCDFUGkKmz
pj+bmXYs3Pqqj3HpdrW6K0R6ptmCsbTtR3nPd4HWNYmbb0OYn5Ra771IGVB25sXFAIeJ1s29DmrZ
tWgwEylzHSBsXtnMMlEiYCpoAQ4afX9flcoWN8VjUyExKROJHzW9dd10T+jWrsHRAGlkjwt6l8/p
vWgwdSjTptLkN3wad63AhxOPTbR2WvnsQHHxOiDdm5zG3VGhRFmFpnHMBI6XfIaFk7pPBa3DfYWJ
zo+afr51lq96skbnqojNyXfisn0ERpChcSWLL1qpSRje6E3x2CiSXgJdfCKdgqBhbVbe7RRRRpEG
1U2dyFtBI3MiDJXgBpKszIwJjqpgCUd3eBPa1lNhdGIbGW5BezQYd2qWYT41rMhjTnBZdNr7XGXV
una075o13sUqZ2L09ZKAkeDQTC09fk28m+bkXLtuUjEudTASjaAEBswOXt620dZcbBd2kV1bOAK9
Tk+Lvdu0N0PBqaGVVn3Sc03F0CEbHyKERCnjTEjeEpZRZxYgMWsOByMD5MgE2TUX4i5z6+tJGPpW
T/V3gkL6/ai1N+6k7Czc73whDPTZtoDiqu11TN7Zqrbj+BAxpNoE9XOdO4gKomWN7xqEN+a8Ds3s
jMw0mLPFkssizHbLmijOSxEikC/rS5wmmHiVIN0hbL7NkvRx1siwyAOa3U2JJwqnOIrU+SVq5/ww
6XZ4DWgOWXHmeIHoUORU4Oog/Io1juSIwKiuvciEFgDjw9bqDuTOd04mNmWUjX6m5eBobN5rOJU6
3i/B2S7Qxq1E2cugwuKpnHCdVSmEn6SPFh1zPR1LuGaD1SUnK69upUAQXmrmHp24scoU2DbVSBxY
2FrriKyO3WA3xW7AIwN9bn53eJS2Y4JKCa7AO/CLaNVI7LO5Wl5HNrDxoCHVoeg4u+olB+ImIZwq
mrVHh/HiNkeg6yVYepGip9qZNiuUFk3vXBrLp9hpbRTvutw6s5qSDllt93TADCxNFb3+ssAHr8Vh
tMnKPPeCObQvZJ9Pa60vsqPIUrqdaSl3gYmQXAsDpMC1aTM47vE89fHAm6xL7Dxt/+TWDjRgEIFs
knZ6ysasWc+BUSKvCFHXt9FjahNxkiruc1YMqu+IEnm5i4+vxzymRp291tIA+WuQhHv41+qdU7qP
hdVB1U5zX51LqNRExZ5VU/xkQW9YMxY+tA0NBMcZ4DST3oFHYmZKl/6ALqec+CViCiQLz53rVBRs
MnxwIaejLGOYb5WjvrMbKqcBt5NRomO1gjgnXEMxzkdbQ+UcuCeMJBwcB+RoGo71fsj1dTejRBnN
IFqrsWqe+M/R2PYMJ2dSXbzAVE1Pb2bElmV1p1jjlZvAkrJE8daleeqBVrlONAuloyaCdSewjCxx
WvGgElieoBYp6I2Uzmz6NjUtzY9J7Po+K4iQsmCsL3LyeQ6OvSvjE4GA1brp7W2IbDLu9WOx9FGU
Bvx5uVAze8eA+YFpaz329bthq7lXAQldYc54h7HARFmnWKQFtxf4olbEOo9Uq6jPmNshXnOYQATJ
fR9pGJjKllgO13kvlPymTeeBvo+4nirlah7ku6vWCb2fikn2zEONYQDFYIkClLScHhGgSJkZ5FH4
fQzlXndmyEFFsmO/Y3/oXUhntf5sEyzj9Shn3T5d8+4dw8UGYxXVhdUVlymPJqANWXthLJ+qsRSe
Do94JfT6IuxV5J+1pSA+j54mCuQ6HK+ZjW9SuM3EFiHEny8CIe/0GFWgqqDLtDB+okmcnmKH4toY
CCUwI3BsvKxjt4lE3MAA033YF9dqYD/Zdv4WpUj4g75kZgZGwtXR44pswCSGOKqqjZPShCjl1eiQ
2UV3mOfxTM5kumHY4xDPJLMGk7hKk+51EFgGwlA/WSE1ekkSFZuKtYm1XKziDFWtEWDXmkOmEuWc
fLNxNW2xxw5I6QoLtjApUtiNnXWf8f/ZyfBgh3ayrhKM/o6MXpI5u+2XdTZzu2urFict6K4Vs2rX
TcvEJHUY8osyRFgbm73fdu0rCSz7Cj0HIHvz6MJG9QvC2gh9zeKNNconq9VRJ8a52FoJQAVUF9Gl
q4yjH7YDf8jI4oMkC2Itpv58iGPcIhruKUsw/cumjnHNsMy3E5W5EkwQBsSF6h67OIq2uSLTy7CF
lJfYWeYlojKAg0OI04dM3aZ9TwfLKB5DWAxbcswXIo/xrinta9CowhtwVcqiPs8ECKpx7lGetTaq
J+fZGNxiL62c54tsqJNLg3kd9W4Jg635pthhBL5MIAyuYF30WXiBHGuvmOm0KqP8CazaVY1dDHJE
f2wa/RTn8dUwqTdxAsdhoCjF1gSla2JA5qJqYy+wQGb0cMmqUMEZUVXHSR3NCyUyTao6dTorjCY6
Ki7PKWt24XdQ/9CfpQ14LWQ3Tqe+5y7s4jAGboKiMSCyrs/3Q1L1PhkC1rrlfh3bQLmUffE+1LyY
9RKHaeEtYBxxgg2Kpp5qiCktw2PCKBtcw7iPJxAdZN+ZBFaqjUbGhzWpa5cwy4Jfch2xWvPQVneg
K54Mu7q34XDvegy2K7mEYwpSMicIXgxa3kmKHNfE5J3qJVATs4X0LL06on2g45yZN0o9G3xMRmHB
ggVu4APPk/ZadN37tICDpwBKCLpIa9XZ2p1VQEnWQbci1jujExciYSywWcb6zpqV5NSk9LL0BVMM
XuMNzBwouQVh3Kr1a2hSt7NK32UdmGMn06nhkBXMVg3WPOa2RQsWGQn4c1fCuu0WZLI2oJJUJBhl
JQeoTDO32GpVzpB7ZMwwLuBlB9Po5bDAmPPevIgWPHO2gJrVpgfIVoLxsKE467X91EJ15njzDWt1
vxr6XGMXjIiLVaDXS2DQWjlcxpmEn10viFqNA13JQVgbhzuiobf0yAssO9FGQ/kU2eIltcs3F/i0
Itr7caFRM/NXSRhET2VQxO9qmftQZG9dU+k900yzNcGiNGor1kd3oV33C/dahhCwE1iyXgkUWy50
7D7H5yxV7dG08H536aWUxQtTtXnJTaApkMJYVBfetmin81mY1y0SugQgd9hhnQqWOMl+oXW7scRd
5UBKHEB5j40A4azSjgTyrTTZq5tB/WbZMA4FIHA6z68hYPBgAYQDCq9St17jkczP1Ua2OykGhNlY
UXcayKON3lpoRVVTs3ZujJ1zqLp0r0+YQeouHnyFXKFpIQm50K2V8ERxYoJgsnb9jDJ14vHHtQgA
OGzkJmp04Pya/W7GqcXwHspUFYW9n4b1ouwqMBeikCNIYgZBkmByXI+a6eIUbCq4ngFhcEHxBJyz
9hqJDqMQI/xpcFERUoVcwe02WcqbqlJJILVhrcoJW090hCuYVVcJ/+pF/fhQU9ScYYBKkRyZZ4aw
Khz3gbitNVQtuam8pKMgH7Df67V1SsaqWYeWgi2h3ffYCcnBZOdJgh52C8GrqqKfhsS+dXK1WM/I
21DQmV4nw+gwo6hGJMsxXM63ahm+NU1zpkTB3m75sioCKHgPxG3p4GaYYvnQybn0JWWvFy5lSC/Z
PHnYEDubJBEjsjUUdp42jh6o4XZOkK9dG669O09PKHW3o8YxxR2/MxS/7wLk98ng65V2GcEiAqV8
6HjxmxwgVB3hYEh9S6Rvc1s/5hPTqoyswIFRHS4Hz8z7fVI3hxjqNXaw6l4J562ChGtlWyqQz9h5
FsSv0dejMHVf5krzVbsjRA9svRUcmbLeBxYmzFG9ymo0NYXNWaYaejBE20isxVidtOEpmR6gtXG8
ZAAB4cZReVHVt37kmZAzngGrCYATkFY8O8mqqux+FWWKXwhuh6GX5wOqymxGRJSz71DDM6AJcXBN
xBe5xFDGxl0yI92cSLpZ9FsTVVMbLYa2Rz000AI1+BQmD0vSReoSN5NY7sloTR8F/r0U7LFlAJS/
mwE29ZXu+BTG1Zlt0L1yB7P2sbrZ+5G3A8J3UJ+Xql5Q8WKFyvWsuWghaR2yTDHWvdXH22h25iuJ
6feAzpmluEXMJ2UVnmZbwnlzycO4jwOaIxOpE7CUZHYsM2WRg83KpnAaa6fj06fHWWUuIO4iOB8D
fE8sPuW9OePUmckl3sA0Q5MKAEq5BDqUP4jIwjthoLvwiAGJjwI7vvQGkFVe0RLDYUfuPQl0zQoF
REycBUe5CS44NaXEk5M0JatuFhDLQZZgxIAeWdx70+M5CijzQGbjEHXHIwIw7m0b5X6B93uF2AG6
qiqvawi9mR1+G6r5xBmF3g9iXmF6vaNthhSFWCEx7ZJsifhKrfxgCvZRmF2MemuvQWjuKn2+UiJx
HkrihhIY2EPZVIzSonYtquze0grVT9FneMFIOGLUX0alW+6p/97yrGwucaifyUbTOTVGi4SDToe2
AEOMiAwFCJqwJ8YD9w/5cUOLB0LLdWSmRzcy72a4DNVgnkQ438XkVCHjDI99h9i96WOugFkBV2/u
TQVfQWxNqNLN1lfgwjHd64GJB9sZC0Q34omFT4oBD9PD+ByM9LApa4jnbqqQgNAGYFQTtl6a9Req
gsw0zasrHeH6VGd3g5VB0tAhk+BNLDytTV6yvsVgAF8Vy7nC6UZ2xgn6a/6QBHazsvq+ZqRZILJp
Ij9KIQKDu2vXajVvsWHaSBONC8aswwWRScOlqSsYwQabBK2Gdltjs7E3DTL+KeCvbgPHywqc32UJ
fzjrhztlbmJw8tyQns4KGzkM0aAMdvQi65sgVuc94wcEoFFtXCdtGR2BWN3lFic/1tTHmvwRn0Dr
FOsTyjetHZ/koFwRA3v1YwDy34HQHwMhncnIvx8IXb603cv88vdp0PLH/poGoV2zLChRmrMMOv8c
BYEEp40GVMoCFGUww/vXKEjRflNVQyMjEJoHiCQGNH8Ng8RvTGOR5C0/tXU43e5/gpUCtvxhFLuM
ghAv8LcIfktmQe4njQ6IbCWsRwICkZoyylHTCNnQedZpwfiU6vNA2JgUtqoRC1/aWU1U1lgykimU
0a9GU1+DA2mOk4uTkBVneo31YUJIpr2Ert0emz6nt1da3dpy1GIbICw+BXokEEdguclVRUMTVsr7
pi/a8zQwqi1ZV83DqAfYG0k9uR+GXNlbvAKbOdT7nUF9tCGH5ZsYERRwzJu2RoFvioL4IcZhYQzF
XTlb4c5SSvU5DZX4YICS9IkZ7fZh301bIV2HDDw5XJGMo19MkjZTEMXDFq+Fta/nLFy7ca5ug96e
9mFrytukw/cY9oWyb0P0tG04RzDJ6+Y6YEW5YdFWvQk//1qB1XM7oIS+TsNSP7psoGRquSGaDBJV
sAmnL7bEh9k0SQ+pcqTHDR3jQssImQjtqEabmuBAiyaYUJlC/K5rcX4xejKeJv5mgtXcUxLb802b
dMHBIV/7LDQIzJqhlxCsmytbBHgpMDtMXzQFcL2FhbwhEQC79azKvRg5qncjvmNtUo1932QjgutY
f80U2D34Mug2lg4blh0Vx9AsAshMoj1QDKTYTqEVmk4s11oFWDDlMHFswRWuc9k3O0fXaiisiPBn
HpgjE/bhlNkjWdAKe248IW1W2miERu1gywZ7c5uljXFckv0OZcsptCMl5k5SbB9DXgiw72FRsq2o
mk3IiA53RostuA2V3PY6t0rMFnsCwz3zTMgWD2VQWmKfVJr7nPQlJe3CWY68AFyE3wWhicZfAlWx
VOy0nC2vc7KZBzQcoYaCK6VJOMg8unUH2iYoewHjuhNYl4FIiFUGpuBxTKx+b2vj/I2aDPgp1bX1
TDpNRPsYMOBJLvGCbldGUAQDAssm7B4Z8eCbcOTs1jkkhRm9E+/cISu2UHdjFClK9uIUFAlNVlKg
5C7ZUQz2PWnaU7SjTEmYyEaKOtJ/A+m7GrJBHIepBhIOPOnedFP3xlBC+ghWh4feUUtxSePF3RRm
xHFZuEPrR6UU9C8LRx6h2vLZVLIyCfbIHyAOsL87yGUmocpHvVHMQzxhj4ewmtw1ZGgcOpPU9mwY
x8sGytgxGQ1n0+mQ9fm7ZYmbE6pvtg3V3OAE28blPiesWXg1ivcDbG713kbG/d5FMVtQZqZIhnX9
rMwgKazaviT1pzQ6+6Kp80o75F05PlOzDG9OGJbTNiqgP+7p/S/HtUktmMaqeNd6N5U7aZWqR6xw
sZ8ze7pWjIqgocLst1Mn1Mcg1rvdECTKjYCjfjRDM6SKpf6LOa8hpmb8lKCErDJeDvqjqZPbWyNP
J05FHM6vXYrM51ZGKLjobEf1OqKTcq/GVf1QDKG6wbfIeY8KCd6GFsT0olqYbxMqK4Hayam0Xtvn
zYC9xDWnJsBRUtEpxQ6XsUy1BmtMTdZYHovKq1R1uC7KWHmumtYhgS0ZXp0G+JOojW7xLcAnoIK4
qhKtqSGZLMWrktu3VW4aNy5p5+e9perMrSqDWWOJtj5v5fAdw8xwhwh4OsVRJ+GMNeNw6jCmHP+7
7//OlPxdzqGz4/77fX/7kv3v/6tewn8Sgix/8o+t33FJ89WEiWRDd/iHg6bjj93fFWzxbLjke6g6
qvaFFfgvqiS7/oINJ4WDk/yyIf8pBAE4CWPQRMNMJ9UgScT4T/b+Txol4kZsexGz2guJ3FaBlX9U
DVlm3YVJjG+o9cMduQs3w47a1RObbsvs/QuJ0kfJyd8upi169p8Um1lbGQTZqoJg9asEJ/B4l4y/
F6P/Vrz/UfK2XAIvA4ILG80NHHTr0yUmwNOKBbjXb9pDPu2dpFzhc0vz/U/3+vJ3mdrPCMsfNNCf
5Gt/v9An0ac+O460M1el2xkrh76t7uaQl34W+X1lDCc1m+6KPs/8kbMopootik6QAMtIhXvxhuz+
PQgGEAsNNMRBONdlpJxyhNrII+V3Nxsu8cQkh45UI48IkkdVse2N4Ay5SmFAbAYjIkZ48XdxZvQU
28GvLRqvEMY5beqNopBKG7Nmh8l4Ocb9JobQPs6RT0zFjaJY3xyYtPU03wt+bubNxrE576rqttZS
pmRG5lzyRHdY/AcaBYgTW4uvsFTM/KHTIwji7kNhBbc0Ii/Mvn4qYu12IjiXRvJ5MkT3+swIW4Gk
t67scfCUAFFVam9UI38NJRkS6CLobTlt7rcpbaVcByQkA0lf2XnTKv02GOjSOOSHbjTGbPTyoGbT
nM1RbzaXRtV+y0N5snva0snoPlUY6K2Bg6bmNPic2vS2lCNiEHBK5A3ez3XsKzETFbcwdoMO77eG
qNKxC9PdJxaV5L2hPRhVxRGziQ+Azl6zdPGqZdSfk/PgRuNNlZkvfRVCadNDASgCfNgk53c9oqls
WfupBOVnxDssGu8iGO6KQlzRIz2vlOkwSWNvjAXdI8gRbnPP4BVcn4MNQA/sja7oA/uOjQcq0S4m
23wibNKf8vw+7VE70gU8q1z9vK4auqem4WG3exlDnWKRiJgQcZ+UQBVGX6mV7RShb43UNKCXCM3F
7jMyNI3sm94QMRln99gm35iMPailed+m4imHhq41APHM+hqVJrOfTL2IB6VGJdNuQ7z5RVExVeuC
ZxFK4Mswg0g15SzgkCnQ5uLcCDVjU2TKeaHam0m3bsIIvkqkuHusTKVvD67F/kf4nBVnF0oSXEym
cabVINeyaT87+iVAgrM5bh4lHfxORmdTRNR309YkKPM/Eqleuk6dEckdD0czbi+wgjZeV/U3XdUe
RtM9JLJaKlFwdnQdmcbHMHHL+p7IyvO5Lh7GQt2banKV5BMRqA5RpLO6VftGfqVF/9vK5nAgY8HR
bN22hGp+EtPpATzqJtGEXzer3tc38MQIMV27Xr/GMh2sGGBtdOklX4hol5j4j6vQj+suckIOcWA5
Pq1ClmDqKxHr+6wkvrvCmzWuQM+t8QoQQ3SANHgPvPO1e65gP31hONE/HhtZAtmjWHAtNi/SKIzP
ilO7m6TTZz9yVXlFGu0utRFNoxprfXuu+lUclIU3IvtGeuIc9SgZaWPC41ZAys76XU8LZ5uYw3vV
HI38goDoaYdDbiEDBj7IdQZP1RKQkK7VMn+a3fTWMAEQJjOSpSy2wQbYlHjKgfTLafXr5f1vu8jH
T6YvP/9po7ILJR6ckFzaBICDWpmeKSZclSiPZfnFTvJ5BzZtbGA4B4jWtXVwyNYnkbbRBL3jVO7s
d2vpm6faY36+B5HlOcdpV+5+/cE+Wf6QWS9XM1VjSTEBL+x83h9lONe0S2cemGGdXhsHjh/u9pt+
mnfiaZw8BnlybXrZwWGnwfT8xTNjLS/CX6pv8NgWcGQHdRWheRixzE/fbAbeAB4eLE1VDzZd1N7F
CdQGxJmU+QoIArNCIuKEwzuY1a0laBMCQ9+BobgaWebyJT+ya86zaqb7xrFgZUXiZirycjNHIDED
ugtel4EAVnW+xjS1VrjEJUL+MSHGFQd6BRSGI8y3DAM4ogs5bjj0IvLPetNXg/yhocU8BKjNmca9
JkQ0rlUFuiy9X9gCxbzT3f7UjsZtJrH6oyq6UB15CVAmXU3afE9HvAXSVn3nfLMtUKo2fSQ8xhG3
audb4RkLvblq4rcJkApOEqbzjd+QlfnF4/tpNfrjS7Y0lgTVcXTxaTVSoefiAGdVsF2k8+HKdDH8
MTr/9bP0ySe53EsbMxB9KwYQBol2nxYf0dnBlCbLW4ILI16N37VHbWP46PJWhpeth13+2GNNz7cg
Y5SD2KG5Uq9//Tv8eF4/Pk8ffgfj0/Ochxy+LScFZUZqRmqx1Ve3KGmh/XWbzLaQCeI47ua9KKeL
rEkuyzgFF+9eTu23mCkJ6ruLsW43KFtXWsUhy0rPdDtYN6pD20CjLVRuA1J6+2KTFoeACDUrP8wW
hvE2JI1K386glB2O+UicEFLPD+1gbNy43eimcnQVWtTatJXjaxJfsSdt2lhA7Jn2LtgpfIHnE1jj
vECLorUnrZXEDiRHmrSrpMBzq7+bEVlmHZIAEDak1qBq1DYJkNUSYQrZMCs9jbcg+SilCEsxt2li
nNT6ZOHfyOL8kDb9yY7tZ2s0fLXWHmKBSNDUVjPGNYzdN7++Ex+fOcDnKN0FXR5YripPhPHpYQh6
tTMyIUDIDuV26PotiqyNNYVfLGAfV+bfL2PQDFVxu7r0V5Zf46eVOVNdxAv8Lr50yPo1cZqRQ9y+
qDAMf/15tGXd/evJ+vuVPq1USUwAUiK5Ung/PkLOOJH/DVnVSz3nIjrC83y2v6oiOCb+8pKf+rDE
wAPAywzDHzYsivrNqK9oqa6aPb+ED7Zc0jdYYVG6RcF+pqy/rCaWdeHTR4b+rJJO6ZhEUYpPW9HA
e9SFsoNQ79OuslbFZjkN8px5EVlKX7pjtY8FxI+vmOsZKgc1fdkOlp//dDMLCEWWTRngSyQfkMes
iVkp6Ic5ggzUTsa1jeYSoikRhU5S03Ilw9izhBj9/+he/1jJLMaoLCUcHFkvPz28ZEJOGCA4BTdr
QoRxLXtsw8yBGftsRh95a7oJrr/8upe16a+v+8+rYo3lnE+yxNIa+Pnjj0no6Io2C86I5oR2IeWe
i2GnSGhboeqbOrYMGGn2jCLk9YtP/PFW/7i2LUzB9oBNhRfp062O51oJUdHMvrKr9umRQ5in7hFR
rYIjAVTer6/28bn+42KWYMZB54LS49N9FrNbWP2gA1Qk0NxUWWpdkoAT8EXuTs2LdQzTTGAm/fVV
l4/w6esFaeBSkRu6YQrx6arDOFflVCfCTy3Q5sV9Sybpr6+wvI+fr2ALJjSOiSyKlszHG1iCpWiK
mn5GV+8lZ88IWUxg39EE14qbX1/qnz6MjeNWGBSKWOY+rXsTIaA43ajbdOV2AjOPrfDXF7CXX/av
D/PHAo4tnIYTGQgUaR8/zDDU1D16afqWBolOKlFxSx75q2UijIQg7GyVOoF/apZnQaVDjy859eV3
Y0AiPS1h8KviDG4F/D9Z3gF2y5GONjeFjNMdUiuURtb06hojA+wx0dc93kjYU8QPyALIX2fK84b0
rhXz5PtwgB5tNe+mMx0sO2DIifrUdRSgzPO5loGAk6lykdnyhBifstxCa2c16Xmc0XDorK4ibafa
MpL6bhp16eU1zBpEXNsAOaA3jy44u+A4N8o21BiOIrKCuOkKoHp4bFX09utkkbGoktgEpj1I5lVU
VJ3T+TjsXwdnOOYxrXI9PVjSfMz1ODgQQHZNgNK0VbSOboyWD188aB9foL8vlMvb/NNCyZrYaYam
6H6yr88hAu/khlHPRf/F5vrpOPn363x6oNEo9kOSqCbw1QPDZuKPnK29IfCM9F/YEcCGV7TRGeL7
zQo6zfrLHfAfHkJgKoACeJ9My7U/7YDQHVu3xFDnS08cun22Ls/SbbZCDLEjv/Xsq4Xpk6H99w/8
8/U+PfTo+GHB5YbpF4+T5xzyQ4kAfJV6pD1tkQ5/veV9XHf/fsHlTv90J5XCqU26fKY/5+Z2hDlW
td8HAu8jWEn/x9l5LTeONen2iRABb24JgFaUoVxJNwiVVAXvPZ7+LFSfmZZQHHHmj46+6mhtAtgm
d+aX64McmTQDNdQnX/s9RK8C+cTvF/mfDOtikX9+v8vr31QafTDRO8S2b26UK39vXuW7/82Wv2jv
/etBZ8PMLw9q1krdzl9S3aTXtJ49kA1ZF95K34h2fxrfahsuj5PuquvGptnwipBm713Fx9BOVuBi
7dTJSWG+i4dLc+zrTvrnh5nEof+9zy2+gFcWRtYi03GNHMZfBPM+fvn+Lf+JkxZvmSFMavtkZFQi
iq/P3qeT0E78F7eTYyD2OFO8pD0AXS56an+jg58yaoqLHrL1lx5Eb5ZGh5SmgVzUV1YR3CrUP1W9
3DUIhTwFTzaULwVtMn38hpr/0pyYv8Rfv1bnBNPpEqUGv/hSg1qkiNg11W3T1NVVYR9M5a4Sc5RR
kT0U0k6SwoOl5jjZaKsgTf4pI/2PGftza9CkDfa/x19sbn4Q9Z3WWtRpHWNVX7ebePNu3AkbJM4O
xLZLsd7ZxwUjJIvUxjBwWnyceBotWj+5qPT7gsAae0iWAGG9A3bT/n4iLLIt/3+ufRprnoufVrs4
CFnNTJgfrdgZiNJ/aGvaBp34F/2Fcw7cgYL4S/5JLn/1v4jnz+ymX+5kiy9r0S9YmfOjduvyTXGm
bWjHO6AFLC8e12kvzKRzd7PPV8DFh8zFoaVhbCIDIEo3WpYeBRhEhX8ktb+/8GLPPNmXfWwxVGFh
A4PGlN3lrifdWd5Fa6IHwyUv7/g/xGblXZo2c4C1WCVfRlxMGx/hQlrGjKhTdhinG5W0Jq23Oqbo
Kb6w5nAj4jUY09yZtaYjersmOqr0SHsA6i88/Pxw3/2UxawyDUiAecFPGdbNleqS83DFzKb2ZEtu
taEufWG8Mzvml0efX82nWRz0pU5TmTxv5eZ+vI4c07Fe5z2ankLHcy/fF85MpC8DLq7eRKHtpKUM
qBgfOPV4+rqWftF2s/7+wb6G738fUYtgA3vkjpQj79HCbku3Mtvw78L8xxie0uQSOefSIy0CjdHS
fKGqGMv/Pdr56mipVzGXekh0KprBTeZOveuz3X3/hBfP+8VhJxlt5welpgB3effpOqUVbtWRC61w
t037dK2NR4Q0robV7IWR57/8zSS1Fok5VSlEbtU8cO2GI8WJ5GM+8blRRzf+drzON5ZbuXlq0wk5
/PLN1aVjfpFX/+vrLpMLdRurhTj/gGi8ztjos5vAaV/iapfvhg33+Uur5MKqXPIUvJRTupxXZbdW
1jJJjHA93taOsDEPha352/I/ODfxqpx5V6pC1XuZ5c3o2UcVT+za29MP8jW2so0c8YW7mwPC5vLl
4Oye+2m8xQ6YqkqVq39ic8ptVzkWfbj3OeAZIDJuAIdTkbyckpr3lr+m0adBF3sdKam6gNXIW30X
Sczov3zXuAbQ7jLklkuBHbj/2cz5NOZivzMHZezGFr34XJFR7cxBBIaCeGVsckf/qZ8urJSzW8On
4Ra7XTeNVSxTJnbz31ng+NtsDcFhJbh407jWvvg9ueUavsWlreHS51zsfhUAD7nyNM2Nn+bJ0x7D
O5q4VoNtrqpT92hc2hC+Zrv+WY8EXKQVJVOe2SNfTxEu1kJgRoSZSmxuEAQe0Bp89FOzEWv64XKd
Ft3G+6GW4z2JjocL7/jc4lSoYVNpQzsDWuXr4NTCTSRWBP3+07Qe3+at13DT2hXXsjOCFl19P965
T/p5uMUMGgwIcR4teYCjmnRFa5IN9+8DjeVN4XXr78eaT47lCvk81mL6mKVOYTEQVbeAjhvQ4q9F
xqalk7LVTqH0rIIz/37AcwG79XnE5czxEh4Qrqhb/zY31no6ZIdkJdngFO2G9XipZnhxvMXZKSmI
DpOaM7q3cUiqV/3G272TIO4oq6c32cWq+rk95/PzLQ7NqKv0CbcM1S398GhYxR2dij9UVbsQxMrG
ucCKVJ6K/konRbks/WawWNK8DxW3ygl0AmudNspVK+RXgRVc4aa90YPiIOX5oW7bh0oZtm0erb2Y
i0RftRt/MK5NS36JcWb1/QhxxlB/BGP5rsu0RDD91qmHU9bQHRNRv9dRIU50zc22sFuR9hKq7OtJ
H3d5oN32A64HWaVde1G2HkC/DIK0U1SCakv7ncjNIQy7E0poAeW3j89YSieTMXaPXhrRjKp02CcO
vu03eGMHpvnI5Th3i3F6TEVKgIKyzSX95Mv1VTRxGQ5pnTabF0NeeQNdV6gW9dvY20DtMFMZOxa/
uyWtew9xw19Bmf0YIvPYBVOxUixhJ01xRZMWsbeYH/DLtjUPiooAr4A/tq+U6hQCzSf1cCzDwm0K
hLC9XOyqVNv2hrSvVdjFOG3sQlAWq17I9r4x/TQtetvMiLbmCTMbRQjvUOQ/kU+ktQsDy8FsTxUd
Liu1hPvfWXMdxkfUaknS9ZSU7wr8kKnSHswiPyrIjmzagp/NMRIeBiG85tatnDSv8UFw0+WZ1ZRK
fRLl+DAIo11C36E7Wd52UdDvhr7X6FcKPtJ8gODcnSQ5wXKC3npluqIoKNG4YmLROtCNOWgiKhyh
Oom17OOCUjwocropzNG3zTh6HD1rG6aSXQ3Bz65V7zvVQsrU0SSIPXBmPIpNvUWAT6KlLe+1AL+A
QcQpSFPpZQung4mjWZ92V0pb13Rb0zukVAq4hgJOC0WiFQ6MVzW8Ufiw8P+9OHIj7F9pom7uVQVu
k14XOJ/H7XOVB/QTij1WYuG9rkzyFfjy45jJFdZA2PmqwrEvphc0fU7Xkh+qOrl2lKo4GWpxKkRP
X/WDSJYk2QSR8tT3+rrvvENRJJtcCDZWT6XIrGVABYGFS2NKDzJOI+THsTzRC4zqKpp8lD65robE
seL6aEwaeZcw+YGf6i81lD+KacIRjzxxgXhILKJbTcMKIgh/Shqasr5EGIWm4mhN3mObBzd1U96i
QdlajUm3TzxNbkAH6cqcplt8NTcwtVD+KuUmt4RjE/d3SHt3dSmkTmwhAlSuqrR5qATvrsgo95gx
hr94fNTbIUgjeFrRSzmKxzYAV5CYaMnpnQIj0cv0ThnIptAeoXKLG2pl9CDWgLKmvN3H2cD1gXxt
aWDpIQ9yi5ZC3wPWvxYzBfaNdUcjxkeTVsdGtXawEIDAF/sBotPYDK/wVoAdBVgDNWnzWBXdK73o
wSoFJAVFt75wevy95yGSot7ErGfLpO/l60mMPhKXKJEweYy3hgpqgeDq+/Pp/AiMwSFlQsRbHE+F
BOVcwPLGNfR6jdeCZON+PFwIny4NsjiTMmBhvaSokjtFxjqU8SFKI6bd909yJh8/v6x/H2XxspJy
zNBK0mxH5/dViWbA5b52KF87MjlAEeQ19oPPGKT8KDaXouD5LX0NKxgapCmKIYTI8Oa+ficQQOOk
TrLsyo1PsV3aM8Eo0kXwpAtbEX33+0edn+S74RYRkyHJJe7edD5GO2Xdbrpt5eL8t74Uhf59tH99
qkWwRJwUh4PMMPTY3Aw8GuYR2SZXpgtn+5nS9teBFpOwNZVOSWCa/NFZocZblY+GO/K94vuLuOBL
n2oxF4U2qcqB9Aj5mfw6sJXD8EA30CFExw0TLLTBwm4Tt7D/k5dJulizFOShBv3xX6eIKs4g+BEt
F/AUoAQam65Pv6zofD81zr7Lz+MspqKkIViTe8bJrsJt4qSkDlrHXEVbIvft92P9Hbgja/z0SItp
aGFFLgyze7kPVWxIfydlvaKbX7M+vh/nfEz7KfRbDCT2nS/VZqC4yFYhRuzFI4VD7HVJB1kbc3t5
Pf8989kPaTaQFQriMr0DXz9WjnaiGqEquOpg0H9qOVNyaIyn7x/r79f3dZDFfhVpionyE6OkSMc5
C3PpvArWA8h5Rbmw/55N77B+YGHqijzj778+T2zmWYBcaq5kFTvlKnJSOzsAcJgFDJfrkvMU+7o9
8WCfRpO/jjYWtU/XUf3Pci5HR97PxbPkeTZdPHVuu0O/emEqnp8in8ZcLC8FYFpML9l87ZnWkxOA
W1p7Tkht0ltZtEs6Fy9a8xz4+pRsWrJFOomXKhlLFbOYYjAkDuB9wE+hvw6vQ38d2KHrOZjljC7c
5QJB8+R2J9I94MMuHXd/z1HGV1B2zXMUeeriieH2aNUI6NwVNyReMCpCA75uDmg/7empOk2PzdF3
pJfv5+zfn/broIvdpVKiHsgobqdtMLhDbUIJqNffD3FmsjIGGmkoeaTr/mkm+ZRBD822KPGtPjtZ
/5Oq0zyazr2fpQGlYF6ln0ZTMkvp1AirTN0zn1tf/Dm1GBywYp5MszI3DXhJe5AxEQr0WlsnZvhR
+coT/bsHQ+2QANPhj/OLhKgR+KCtSrDc/Lb6XabWhVPy7Kv/9EMXh6ReV54ZecgN+t5wPQObTXF3
4c2fHeJTuLkYYrDYCsdA1ziHs52+h2Zuz7O5csPbxsarzTEvbExn5/CnARf7rBJJdS0PzGF6/FdS
dR97j3V0YcqeG+PzKbX4wD23n27QOBANoGIjdrKx9qvvPy68unm1LXcDhGkKITS2DXT/fJ1GQ80N
pFHZzJt1eG2sgaytoF2tZzkgdJXLe+yl8RY7Oj9tMJOi1tx2P6ddTf8mWccbulmoNE3Gdby+uN+d
mxyfn3Cxq0fWqAg1NXwKaclD1dnikbLdSkc9SyJL2A/HeH0pWDu3xX4ecrHFIfylm3tgSA23sTF7
mrTt0PwWcdUpra0ZPXz/Dc9Fhp9Hm1/Ap51AD/pW5/LKRFF/q8GvsL+h0XuFp5JdZeGFiX9GMKvR
xoBVki7qiHf0xcz3sk4Lu5oeGPPon8IDsjDXdKRX9dY4dq6+lreleWFfVeYP9NcU/TTkIt5QJkPF
bYAhh3X/RPfiOnXj+FY33fQRcI609d3sJ+Qf2zrO6cncKWx/Xb22z8MRt6hqHzvR0TTXeeEIH8LV
96/+T/fLN7/NWCyf0ZvGtiYfjaYUH4Un5b7AyOo3Ank73ydO+CjeMtMdbyUdK4I+KEvuXGPoXInW
bSe/GbeXdqaLv2ixwCyUlyG+bdxZfctc098nk9SJhfdaVnGMnjJM3EvBwSJnh4XExtNbQEGIp0Bw
mvkxBVy+g74CXMQEXlyM+S86GuMVcOsjPpGHuKqp7Rn5c+uhqoPWpW7DRryZxuBH1pkJx08MltTP
S3x3rAvV1TP7IWoOzlc6EggblgceGN4khBcBSnis3yZDOJW9+IiT24Ud8cxq+jLM4iwxRSwa/I5t
N4zqY1W9AHd0RTOzyZasw+SS0cyZ+A997qenWqwnSRe4jsQBdSF3jv+sdeJMh3hTO6PTnarNpd1w
PjQW8/XLcIu11HW+5+ctT4fVnZ2AJoA6JgnXoNIvbRR/V4K+PNiyNNySSKTnKacp5P8oQjuXP/n8
TMsasJBqTQ1HkvyJGd4WdbMzrrqAB+qUIlx5JnWfgH/9SHgqBegnXbUX0xgkVghqlnZJXM4K8940
68mJo/YGP7vpQsh75jjgBxp0K9MxQU/W4iQvitIosmmSXLXJsUznl+IP+Qzy8yfJxNim1wJDDklw
L+xNl4ZdzGRCE7HT6OhzvWMp7up6DcyufQJANzmpW26mrb6DfEyumhKkcZqDpXoX/+hbG/Vn93s+
/9NgdUl9en55/fsuFvO9EJmARU/ejmZfo3EjGdFUBA85x7pPcr5/A5dewGKyR6Mp6JM2shXSZhiW
TpSl62aGgNaCa5WlKxjWhS+96Jaa65/MepILsxxeo3Fl8XiGAKTMyDquc3vtoXKAsDvVOtnNbzy6
B/uEbpz9X1xHB2oWl5f3fNT/tbw/Db944rJrfJw0ybsKsXDr65QM+hLJ4fev9cIgy+77qI3ioZFa
dsjgrhIfxcu1xz+60W+eY+lZmBgsUD0aZbfVrDczhO06ie3RFJuXqsfX3Ze1whma5iBow9rExzI2
AuTmonmvJPpPuQYwXBuhxUmFuDGzqpNhUl/rW28vlyDhKT64tSHeQC/ZqX751tAmA3hLu8MW6L4z
4netStzask7Y2WIPTNciVJaXIpDvUp2f0hfAivVUw6wRGWUe8B60NabuBy2VNlOp0qXft3hP1j+t
IDgF8mSX3fgietmjlkfAkLD6WvdDI8w0m9+y4t+MXu3gCvJm6e22Lf1XvaKeXARC6CaR+eL3ArgZ
Jc9okUfQV9K2SAf2L0Gy3gdtPMVWtqHf1BX1xAUT/Rxl1h40+b7MoqcyDAo7S5Kefa71d2pO42Sf
GXQkYoa56qVa2xiV3+Pjrr9o7bTtI0rJBujAvqUnRaq63i5972GKBOC6XmxtjIa6VlAo737UIvuH
OSsVIzxjb4QwLYOAygbB7aqAZgJLENZRJ+FtGam4P0fiySuk6xzbDBY8gEwVNRuWg7kbRMnvUFEw
Up1wIBDr3AlB1w2Ag7sg/YBJiolgeR/2wraxMIvqKPzYfk/vvl5gdlBa2XPWW9TFrVvRMjinvQGk
MVQWWu8jalmN+qjMpMCZLmf13eMop5h/wptLcXbGWASxUhckmKiXxUtXq7pdTnEIG4m6OoTWuE1+
GfixYzbKB4ii+gaUg+iMbf5TbII/qAe3SEwfiOdEZ7aplI4vgTescu8QFNW6sLB97xv6/0WVGptB
xUZjzlqtBvtJfdSNFHPiBIZf+doWwmsVjhMYreglCUT47SHhlUlNsYlBuQKCvtLF4Sab4utx8O/8
Tn35fmGfDQ7wzOCIgjsiynME9ukiYQKR1Yepkt1JibZ5Zdmj19/IxnA0jWL3/VBnNGtslJ/GWpyJ
LXQJPPYU+f8cHpwNGz8NtDgFi7j1C7UkwSZhXVHnuUsyDs7EeOGsufTuFhs/AtBh0C2GiSgNtuS0
oA4Z+MFTeVh//+oujbTY43v86VpSWbjZl+ZxGgG5jPnPOI3cqrQuhBBnD+t/352yuN14QUI9U2ko
pKRofL27ocOG5TmSSF8n9YU00bnvRE+iCIhdZ/ot5fRF4TV1VZWym9BHJEOKBLqOGKC6cHidjRY/
jzOfbp8mee3rg6ChiiIAmdY1lRQsDmZYxQoWPNQLx8/sGq4JmY/mR3jzHxTcgNr/+5SLJQa1pg4l
s0CJ6pUrDxjkCI20kEXy6Pdlc7HlUT4TD+i0k82dlxQFlt1xyFHEGqqdwtWZpmKufsjuI3b+tbo2
t4Hblpvv5+a5HKhMbyZKRWvutJxttj6/XUwk+EenHU+7qXbta7AW/kiWy9uBVtZLUnTl7Jz5NNpi
KWRGIORlGlMzKo8TxGBkEG47+LvUg6pXTmgPoAgnD9FgrAu4XYMZ43/T35llvzGwWxqTygZ5ugs4
wuJZCqGQFaIAW8S7QZt5ArVDScDt4A5iAmQn0gvF7pU43NZYSPgeyAro17P1W6zkl65PfzbbZQj0
6U0u116t6wHhiK+7vhooNu3d7+hcdxmEulWe+POhlp9oeps4lPA00lPkCZavHUOZB6vz8gpBSYlj
OKpC3Pcqr/olDwWhvdHBv6/wObKmeBeEgryvavFn1VPGUar+oZE17MK14FWqwSCUSe6WY0m3jtzS
txEAIjcnmpYreSRwkvdaLtzCb8XLZLiP6+x9apTHnFNP6nW3UrKDGGD+YaH7tRLaXI1GUPCwV7NN
g3F9YUYHufJv01jfpdYsY1JXJk0qa6/TsU2SU6CSlb5BUPSzUpQt5oyHqYVx5E9OJhYHvQLfV3qO
RpJqVSLyy/PRpa6wne3XLdoHI8nalmHd2Di9XOuh4gM6H/WN0GH9M1Wmk/gpqqHccrJJalcqEeV1
ZGERA3GXUnHqu+EQBVdKUb8mhfE7nXww5J6n2rJEPi8suaY35pMJPMLtkQE6mGIGTuoPIthlK9zG
OtT3DI8lCMIJ/ZUAh+x6dshIMiRRVVxUq0no7iprmEjF+9Jdmlq5bUWRtpssPmXrteQoKVOuKtCy
q74fETJp/b0+hgeyuCXBm+wTryX9wTQnQkmpawDk+mCKZVg6369qSDNf9hFT1ehvgudhQexWQMAs
azZRYzAeB6frI2ej22N6jaa0QIkDR5uA051ERBgRVBe5KgAHBupVOWmVbRXxFkwhnVCC8lRNxJRG
FjVQsKNbDEWg2ZRgMXv92lP7zBZw4bInb1oPXuDmAcD8MTUf9SqKdrGgvU3Z+BGAjuRPjBp+nZgN
UX6/xy/mZhSbfSqDhMbiIzPH34XW3YFH3CvycBQ7y3KY9B66mr6wkXydCiG9M3UP1wacCny5WKlV
v40D7Mfg3O9kJcXZDkNRKu6MU9KNVc0uDsn4jFvwLzMDxh4Ft8Ew7hEG0QgiSx80pgJb6gPMIeK1
oOlr1cw30mxWZnT3PSj3vZH3OBdnOKt1gCzo+eLtCZhAgRLrpSuw7xK6JT0hcAVz3laDucUZeDOU
njirfI6hIeyaTNs1NSzpVtDGlTZEt7EQrCNxlAlyIY54xrCL/emtF6lJCHJ2iELUtsCb7Krqd5Ko
32lNuDMaY6MDNFZ12l8VJXzOJ3jOsf6jSsMUz8002vpm3eDSWb95SbE35OFXEUdvWdDRwZYdhlq8
6SpMl3vzru6Vl7wYJTsKlVPf4uQBrDoNy5M/zOuxuZHS9FTgnL4ypRBFpx8e6ibdKl5xiKg5JXNn
DdTXbAr3+WgldmNxbyoq5Q6WOOtWFG3ueO9WkdLSEE4AhsJgrwrSSyUGGL/U7BKFf9t08g7t1KtU
VCdslW5av37LRfXQ6A9hwTWKgSy1uh85G0A5Y5fWpIi5pocGcBjtzoP4I2HpZDRkr4Im2FmDcvC9
5CpJPW/Vd/Uuqas7ofeJDpICAaCODYDVQAGdPMBkVoslmhxzEpjpFYgiMqWCpK+CNseEWFZOQ4Sy
UJOj/aiZ0VrT2seyJo1IKiofxJvex7Y7zAn5g3TadmaES2GBAlLVb0rgtQIGfIizNGRhs69D1N4S
8iOizmRUXoIT1hjNFRI8d2hsuT3EzTHP2okoRgNGYhq4Nps988Q8isO67Vw1Xosz6gv9V7SKcvmD
DqNDDVba6Qv4aE3evjQ4naR+ed9PwboQpNtaGw/AWK+0Ut9nUnfb1ZWLhPGQ9tUubqybOGiOZW48
anJ/4w3dNhuiE2XIZyXTnuI6ec5yrOSrTn8WO/UQY9s6ZHLgyDEldb/+kSX1s+JRjsn1ijgooVNk
AOHbxNUzlC2K06kZ4NmkPEPP16FHSPuuYk70SiPaglz9KtoZ5xl40Gcq3FSMOPmZiMV7LmqHCFz5
KgqCtZ6oP/wc9eUQhg95URxzX7kOrdgJBdC/SvsqFmLtmB218KjWniMB80G55KpYqe3Jb/ARxmRp
lyIys0fRU/hxsE9TGQ+7Vr7RwlHdd2JabsMw9K6Cotg2Gn4bVq9dV131Vpdm5U4cmDbHy6knM1kq
Lc3lik+4VzzCbWidTGGfmlplD1orvG7V4rUKwk3JwWkbopUj5E05z81wE5uhv5U9vwIWE42rRsdi
KvQKAtXWCjGEzBNXktHPDp16lfYaHoQTXTeC5fmuV9S3Qd1kjgabdKV344mFs63S9hgoqkKWz1T3
hkQsI2sCJgwshTWNUsIKrxOnAsVaTOhgGzR2TmA2WDw39Xtvas99QqsrRk64BSjm1lcj00ml6Bmh
5HPowQnL8UnSYtzOQrV99QDerovcT+3AMx69psDtLbwx475Zq6WFYDkQ0CGXV8Zk/AzkblVlQbme
gYuJ37xG5SjcxEoCFyd2NKW/53Z8P/XGSY+9xm6G/qZJAUdJRv9zRCElg4wG65I5Oo6Pqhr90GIF
26n6RyJpvziooRa0vKlodnWSRmVbcq2PMJtoleCm7YMrYTBCdBjxW2aIJi0v2Vsr+Tdy41nQ+cNt
6zEvG53kiKaUKWmIvHd7zz8KfU4+RO+PAF5+0glBC5jJbPDk8mhlkbT3ZOKnZqA5S8zFo2WoP4KS
/7/LisdCYeHGbY2J9jC2qzqrTuWo4ZKYC5krS0VjpzMjUm3i4KooClBFbEgymECvF8k9DHrrBP5c
7dLFqy5sjFU8pBglA/Unpsr0feTLa08QfzZm9hiOAlZTJCqdSMY9JJN5Hb536kIiv5HXuOpHfASt
2d5F9gABhvGII4JRq/sGihVlrHHyjyQAH4cmk/mFZnmb6Sm6VOi6rtQU15gubKNGvLKCnDJkpP2o
hndxku+bHp/xJHCwFiROwDopORSw/gB0ZQ+J1cMgHAdHgli8beTuVdVSnN2SGM9F8yPEsmmF9J7M
jmnElKGml1rCck0Malz8Yjxjmqu2T0BBW6AoJQxtesHYhV2/b5XhKs5IaU14gWyMKTZxMfSAeWm3
+DnYeKEJ+MflpDuE3ulUEExZxoEWWN2Klp1xF0tlDqER5DienfigCeW9DnAC2CEvXhJx/hM1ZmuQ
YFmm4EWX90q7ErBpqALhSYvER9+C9qwaCZUJLPgENqKVKE9XuBs8iUX+UnojlhrJr8TUt12qO5qI
IZhOTq7UoUcWXnFTqeWtXsdXGFcCTfNYjnLwRhLqudaiTRo1kT3WhUsQe5tVzV035m+VAZI0svIO
94U+2IDgLJ+I9KnMCWbC95P+iJ0bZzYuXuMvgptcx5/B+2yyLanT12mCAxqQBv+mz/kPg4TdqjLV
136a/dBRr9vJVPanpkdtDav5I/KHXSZn93HJBB8FGn3aaDZU9exhaDQ4fvm66fxnOsuu1a74qEyc
TrVuZ/qjv6J7+Mh3cuUowX6t2jXduveOZu/WSns99MbBEMdt4JsIzrWfUifbpP/uC4vCb2b5DA9R
exWFGtZAY3rACQzSZH3MG+G96kPuFgq9q1r9NBQd7jF+d5fW9B2kCPHT4hfE+YMk+fsRDyxb76tD
WZkUCTwFVkGUPEhCtA8H482axMExBfgiXcfVIM1vS2Cpq1CBZSqVJoULL77vOnMdVjHXlGLbWf6V
ILD7VNKN2VenZoB2hOHNySdz6E3mPkayjA/LsS7olhSJ7CgarFJd2+U+QY2fhTuV1wq0pHlvK8xD
h/ZanLK7oeB9mdaU2lYeK/QHSIexNPBKK8QrLZk2Irmg1EuZBsophqEK063BfJfkKBRd09bNkauf
7l+nY2vHcb3BSiXGRCNA4a5nxET5ppGqa1E3r/Vc2AUAY1M/umtq87HsEBTEBSy9srgxqv5eijDu
sLxnC3QrFBm+Qdr2tTOJSNrh234MbfQTON9NXFfvAjjVFV4h+c7Pqo8pTl8zRXmYTL13m0C/G8P0
ZbSilnbr+s3spHuNZdkM+quk5u+yhk9pqEXX7CsDvnj1TVbHFKfDCSfLiO8/1uGTH5OytBpDhJeT
XU2B9obKaXRbLmlAaP290LVk/ID72X7hGQ45V4xUNCk5DF5vrbKiFnZFqA6bYozeao1VJ/qdhw1d
cW21xWPsp2/0dHzUBvKNWWEvhPmtJNXHZpSIStTiUWL/hZRKlwXv6S2t564N3Au0AHNji/7b9xyL
SxwXJXlV19p9JoEx8wiRtm2va+tK59mz1EpBnmI5lWgsqjGcPmqB4FA3Qk4kvaYRJqicoovXkxE+
GLp+7GIKMH2eOHyKH7rY/ZaF/K6vht8k7CbijXQ/yLFh5+ynFzJoZ+6COr11qgjTmh7/pWJobJpR
bmosGoHpb4vsSBXAjaDNfX/nVL7mHv9cOb8Ms9AxhO3YZVqvS66cmnSAJQq91LXfrsRslHdClBSb
rjejHan7JxWLSrTepD9ojUtE7AegIlZEHA7SesAb2Fut5AHLK9+IX7W8QneeF1CchKbfq7KnrYHn
RjgXNOxeWCGscrPlJirQt+BT71tV0wD5PRmlFVPyuekqwqcSL6eWjW5qqbFRiLgRZkdRv/eSCw3A
54ptyF9nyjX9lMgvvibUulqMRvI9JNSUYaVae9V//f5Fn03ZAZCYFURk7XAJ+TpCY4xjCCvqD4/O
bU+h222NR2w/Nyng4lVy4bteHG5Ob3/Kv04lRmKxn5Gze58l0QbynRhZ1GpwSWBcRvGce3+fn26R
/i/Rsnij0qDUe6IhH2vFbfVTBTU0dxZbu4sZya8l539mramT38UpRTexdvn6dClw3CKuesX1jXEP
cOpNojcnzwaAwaX/oIcYHYQFPX5CBlkUe7RiI2AgZwsECNcYzIKrxo98FMNxnZDa3/tJ9VRqWmH3
lPPw5OxMvMXktwxOA0XAiRRm3X30aLBX8pgeKy3ac5JPTpW3J0vFXLpPMeBKsDF36oDLIIvo0cPs
iD0Q3F2K4D2PZf3CF/57f4CIo9G8x3ySsa1ZzKdArUSrlQULDtxV3WGemt43inZhE1qIwuYX/XWU
xTTqI0EL/ZJRMhxkJhaGEMLIFITKSfr0pGbi3RRDAOCoEwpauq3Jmcr64BmdM+j9ppNy1wqjVYyg
x/SHVcFlQbXid3OI9+UIH1zXDwWOcDBzbBRBnB6zTda1rqVYak62MZsm15cgwV8LO//1SFDZNEXX
ZWuJbQr8acIJKPAooMbkbNBESqXT4FFcg476ftH/yR7/m12ex7JmDRWNP6bM6S8vXl/rWWnh1yPF
2jWqfW1XOQMXc7dYY0E1HskpzBzM/nZcQyhemz+LaxGTrgNlahR2/oNk9zv92V/L19//rHkz++5X
LRZr1adSHOWTQI+Lv62P4UbbyA5z2v1+mIXo6u+nX6zSweAaHVqigOgeIAeOCCXNxuofHjNU4Rtl
d2G8v7/s17e92MTbWh6NSua5mjjnuotf89ySSXLXGwlL5WJbl+UxqaYVDHk7g18xZftJivBHnzbV
VCBYvzTXFtvwX69gWV7QyqBtyKTyCvbyHjwWhaHxA/qdK2/Na2H9/QtYcML+Hm1xmItqkONky2ji
nuoJSjcU6U6w9n9xpjossWj10F2RYHfDDZ2eK9RB+/7hH1pSb/8/9s5jR3IsvfevMtCeBXoeApIW
wfAmvanMDZGWnjx0h+ad9BR6Mf1Yo749PZq5c2d5AW0aqKyOrMwIkuf7/rZfIdu5Yj77h/a3f3Qh
/HrK/MVhZERtV3X58i5wIdhv02XRZ7pk7KR77yve/CNx5l+x3v/zfbD+eDzQMRfKsf51gSf74hiv
1So72Nv/4yv5p+raruVXed81X1/d5U3+6/LSD9DYhkLz7t//+Mf2z3+Ovqr1W/f2hz9syi7pptv+
q5nuvlraBP79X/8c+rX8n/+vf/mnr1/f5WGSX//2L2+fBdWOMC9N8tH9jUY13pO/X8hyrto/3f3n
f/zNPhZe+FsVm/9DXzIgsKCTy0bWLbzob21s/g+slnydRFSxdLVwL/53H4um/8C6JGhXp5PNEbqp
67zut0oW8wdmViLVmYQ43qHuzX+qkkUXfxxw4VFsZLWEpbqGcKBn/7qUBZ2Al1Uh8GtlZXrg+ire
hqxpKuxuWyKu8xyo2TMIhINRo6uQjjA6lGKKM03aIBLrwSTBJACmrg6GAu+OpvjO7SKsw6wJq3Qu
T27cPRuu3qxMhe6nbnwRzIY4m/SqBlj+rc8yysOV8Kpm0xs0S+SooDyRNfu5z+eXkLTe9yRUnraa
/fqpHKibNWbtIvoUuCtqwJiq7igivd9BgWSrOAY6Elr6VLBVbQYz2xtZtR8bdd3qKPtSq3yuMX0j
Snxy+g7tPf0biHlmdTBJzWvzn6Z5VF5egd7Uh16lH/BgxOP2yakGZa2BQ3BxArfHoXxPNfAJGjZn
JFHGmXD200Avy8brC+7Z1FaHUjPdk2tOyWaIuynoLbO/YPJHu8S0uyKzdIkUoAhWDF72nVR+v5m7
ujjlSgfe093XuigpU8phJL2cT8M/0PQKrovUbWt78kuPiR2IlJpZsoagtXBfzhS81PbJmfVv9EIG
ZzgN6R2D/drR8pw6S5qv98NIhHxDTgLJ4dlnVbA3mu30nZeEpfo+CeVwaLh2NEo5I819EX6Gxz2M
P+BmzLMwiPo2VHaPHt6DACs/B0pF4aGj60IlT31sr6nJuyar7FgJ3OPhUDD8cCes7KR6Z1SlHCw7
O7FxMsLiXOVJGkjeHTAB5W1y1z1quf/gF1VNfVlWBZPZXIDUnVVFPDaNYLI40u6bB6Pymp1hR+mm
6ppqY7aztaJhzzs0BLKCsYTZduhaaknD0r8KIzpiHHyyq1ZP6IjtWVrNVNx7o11s5x44J1uW90Si
sabnvjfsAy29XJR6xVPYkSlV0SWEdxFfs07Deg7RPS1e+0ajMXn5nJv8UuYh8LEq76qhydfOQKD0
MFk7b0TPOxjXsTO8xTPh0nzyztZuk5OGdj0otfypdEsZJDnCrZ70YohFJshIhCkBVu60rmzzYbS7
A+czxXJG9jbC2azjNPZWVQYUndc7l9aI+8hI68DqRRNEk18e2dbsG2I9xoCr9W4wZiuoe+97oCmm
yMJPInWpPI/iZ9N0Xs2CZpfCcZ/auATVMajZ1hL9VCfhgXSARwsO0zMGi/5ABk8RTvz45gRX1Wvo
FYZqXVY5KQAy/aDEkIrkPJkCn/wxWgFtllHHeNap5T4qWgJ2jdWqbdRBdQ0u2fNj3XobC9wzNevy
KMrorXDESwF5vAKL4XFD2bCMfzplr+9R46e84zqd3ZWXbvLQ3YwdxaWjvM+Vk12DxOZ0FcloFfru
T92LXntb/3bD6mpoBx5RpRkGqaUn63IsT4lR3411+V3NKQ7zpP1KZDhs68T5oNHBAuD3o42ki8Gj
DELRCUhz7tyeBD7rq6Gao6OR2zqk1ohukIN758/dTxogKdhtCTXB4dQcQ01rV7peYgwZKNZ2IDBH
h7uEdN/aW8PlnqYUyi0TkbMvS+pZQ63lKjd5i2PhdrxTKqa7yupI3udTyTLpXAzF5z/1Q3qEdr8b
fe01naQB106hOa29hP/QrxEb7msyy+FkNUA9vWtgy5t+dhFtRH5jjqAHHkV6+fCiFdVH27fWwdTo
zU517VM1zSsywnIF/WtvpgjJBO/EZ0z+AHtJq1ZJI6iuL3Lodl/JXT6bP6suvmlapQ6FVr7XrX9d
gl8l1FBOfXSbphE670S9aGXio3JMroxE35iOdW+p5kmPaCMONQXA5Exfg5dyZ/lcxbBuZVBNrR7o
Fdh949cQ6mEtQJ7iCcpXgU4K49bWFcnpIxkodqncfcPbMuX5QWm9szLS0b1hjco2vTV/cDgjcKSP
E77EvWummYjR7FbXovsskWu40BNekXlTlu6GA7uiRKOG6w3z7ppiXbKAK+0hGct+W2okSTdVdKsX
3TZsp/vUKF3SUvv3XpcvdpxdMhJr6FC/i7xxgw7gZkA74tjzZUrMpfE+vGQ2MYq9hGYo9ctUa0Dm
uf85N7AmaG93fWLc+kY8A8B113HqH7PIeHG96ewK81VZ035qx3czwRsr09kPGCIyiELXpchXN7ae
NX00vn3vjgPYG2URRvPkzc3VPHdn3UUzO2hcymHRPlNSfiZz5z1u0Ed4TfNWRM3WDps7wx6vhbAT
Nj7qRaJoaOgQGXct5FLdV2ejM9Sa52C+qqfhLrZT4xzPzl0fVQdUmxUAoUI5OrcPbZbcwP5/EoHw
DnF3nZXaWjNw9JiuJtCJJDfCsB9R4aB+6VGcAZWOQZwsb2105Q6oprKsBBtr8rtoUreGLR9oGIRZ
qeabIbXDNSzN81RXIzzK/FCjiwh6mcCXGcO4zg07CxyzfUalfGU240Zoinoig+iWITRO49BOAckk
cuNFkdwaNZd4mNqBrnGwOApdh9MSQmNnrnawZB9tQMchESjeghj/NJBD0E1lPjW6G668OuqDrih7
zt/aRP8hk7XwzB2NpXfpqEqkTsOOdH1IR3mkgflJelQseyjAKnNdp/opJnoy6uidEuV3L6dj7U1g
hVr3iHbnMbGK2yRLb4cKYXLb20Gm5xuTJKJEE4QcsSil7reM9Su05FQ1l89kgh46J3ucRn7gGBuJ
LdZtKXa4PU52xJ0SNpQftOadF7fHqjN4fAEfTrq+zvr4XmuQHNPos8rAVEXrBLVunwfKkrgjBn01
1wYNNe7JpkNTdRykPBMfE73cFHBfsdE/R5n76M8zwVBWvSJnjgB2gaRDzu8FRdym1rz5Xh4Y3bTV
u+ay8KPjjHib0tO1ackdv8AeSPN7plhSZeYpK7prbSixvdOK5MfdxnXma7/On6Wnb7VxfBCtOBOl
hByslCS8F+s0SQ+RRe9XiB9wqKj20k9mGl3TDP9g6dp5zpybRDh7K562g9+dwkptRrN7iUJxpVfx
Puv0rZWgzBU0Y1p2/5WE4kPnLSFsKLq30ulk++WmNaafpbR3bYJLXQyXxjUvzmw9yBzpUVOpA62b
+zySxzH39klsQrMn56FOdjS2UoZuk8UTOmzdRvVgF+UlccwrqYiKl6oPBqPcgLLvtSk9lHY2oGuy
XtpUvJLzfDQqeRlVui31ilgn/0gVGA4/c7pYY35na/JVcgmC/r6SKv88a9bWSKzLJPKNP1g7Y3aR
b1jescqqZ8+I7iLJmO+KHSretZEYP1nYaFc2H8ek/LRcPhfPcjiGkP1UctvhsYs4pWIH5ZXdpJcw
Qr8RFtCz42BsG4ZkEvcPmLpOminue9QDHcEPPIevO0luq7Au+ew9CWR3hhnfqI4HqDJ3ddfSYJfv
rbTetsq45KYkrDgOvxIajhM/XEeh+kTCtJVjHpSQY3TlHlG7UTyjb+zJ4dk8nShcPcSpeW2n027k
PLM1vFU5FkhhlnvHBmBLGkUMYHqK5zxftVq1bgYjQIN0lWbhAQhs04YQ3EVxWzjGqfGQchZxtbac
atcU7XXn258qS0eiLIYH0TCrhi0c1+Tee4uWiKgj3PjHxl1Lgy7dqNzmUbVLNXVBVbu04gVqunQ9
x2qTTYgMi42lklNcydvEAGwp8nptI8qQYUYltRsQwcnUq+1VLc9Ka7Eb0Lpqucdi9NETgBBa4USX
XnrSOi6RSrvyLP9sW/F2ltqJzPd97sg3No/n2Gmv6Ip/lKVEbxrvpomLnPffI1crGaZDHWv3je0/
lDpPJLOtV2mTnyC3PmndvhFQ9URx7caeTvqpehldeUUqRR3MbbfTRLwLNZIhuPYAzdsvQ038pll5
Kw11TsqmXxnL5W+XB1aAU57Jx2IcTlUafYoc+i8kkSwt5vtIDc9aO00EhaUftTscST8rmBirnyJs
MjrBindpGUdnVHe16pPAHA1rZWIhDUQonnxRnUSHojEcNAgZagfXji3Pc27tTKkdapGeaZJ8bxB5
ZELd5Fb8MLBXrpxkwCzDmzGa9YtVDORNCPOrbKObvu7XFlVCmtB3kTbvyz4PgzBqU8jjuMcoQzlD
XTRv9kDMq6JRM4VmRpHT38WuOJUUOBFfJuhpnI38oFvum1lQbGiP7srUzLt8sL/MkUV0iklQdikp
lrr1urQjeQy6q2JCGpYO8tZpWUjCvnlErqlvQtvpeGRWBlSvbwWiiqd1Lo1Hw4p2UeyIIB4KYP25
5dk8tyR19QZYOjmmPuXIXXlv2O6VJtxqZ7oL/xR2+sqIM1KADYLthGbv89QfzmbXY1aaxnPuiDpo
Bw3AVVB8kes3SGXTbZRrxjoqUI7GMYFt+uStx1Tdz1W9boQPf24gD63oqgx0ixJC6Zjvk948hn6Y
BTAEH2np3IVTcmPVCbo007unqKddCeXdlRFKE6WSNyszP5GmPLFUX9LcvqXj9qK89s7Iq2NlhHsn
F+/5kjU5jPVRq2mzwo3trWcnStZppYltMQ/3PKpGnhv5m2oLtANjg5Q6Kj4IDHrVe2h5QAfSWzLy
9dySAqvCuOiNz2ioDggEEZixsNah9ikrTN6h2iTJfIkGwuHb9GCi+1tbXn8zjlbArfFAJWoVJN24
m6V9a8ECe9n0XIV6c26kgVGhInu/G7RqaxmNj/s5zFeILv1VTje8lsqjMaT7MULHmTQnh3r7YSwu
nYR698vu2jMkcQtpdjZLu0SYh+1HpOMRoc0xFfNNlEaIBkEOSoqbgWiuI6/dyiHbC3bYOTNOtWqR
ZNWE4kQvc13dsqWswzy5DRuN4sP6XncghOLsyW3sLRPSFtvIDZTwvWa0d34WrtMoZgEvOM/q/j0m
lqgKx8uQdzctq/9UqG0/hps8tm7sot+zzt41ZrVLUG2sjL5+UA76cFs2zyJNb8fMp+Kumh6NoT9Y
DkYxDKHJSrhTvLO89ptK4G6f1Cn2dHsAAo+098ywvpnIsahjU+BMHLzt3CLHMvX6qUPBxq84NTe/
ELx/Cqu8JB9N1Vbf3R+ByV9g4++o5f+niCac5N9HNNGN/ud/qLfmbyChvO43QFP8EDDu0GlgmjQa
LG6B3wFNHj8sUpgtMOr/ynz6DdA0fiztgIR6GGRC+RRBAnb+jmcu32hphLZglYXF3/0G7d78mZMB
Ff67/Q62/T/hTGqsUYjzvXyLjMu/YpRS0U1okYAzZRHWB+m212p55DSR8s6Ok4Q7JFXdTRKFB9Mo
wNvocsVREZ38iNPV5JWr3rNvHOEpqoeKDpypwRJI5T0Q/RNdSfcTfb0Bzh25Kvz5do4JE3Uakuos
6zSH3lc7F82uDaPbkS+jVixYhCfoFKtr/W0Zl+5JteWNlTR3fUF2IqmgSFpEhgS28XrAIYcdCmSq
sOO7euyGbTsp5hta4L2iq3cxbYtEAHBazCOZRapWD/x84Kw0/RLLGb3TLUk75NjtnKnq6Q+k0G9w
veM0d8OdmVEwKK3uO4yAFnw93NWIZnsXTb8Y5lMqPf88Y3ZYV+/JVTc0TMM85ts8feFuJlk4jL8z
qzjrKZVQuTLf84FGJNfujrqm4UdJMxEs2rhNOy0iab96V35zbLX6Z+9mdaCXFesRqbDIRSMEQaaB
K96Ir0RlZluXHqBDVvTJJS8T9qIiTLaq9K4aN+4Z9YrAGNc6uUKIxoJKS521tGIUMm6K6XZS9Oa5
Rvmhyba7qErrdgL36OtEgeCKtWVc+WognGNqtRffKx506d+okX5Ix7Qa2pr9k1XrzzGVzys55PvE
sNeJOT2gL3yXkV5vRrdl5mqc8qpKwutY0x/GTFsEc+SnMZhffKcSga6omq4LRvvIwsoZacU5kY7c
2DGfh617D8VkPgx1yqTsDm+OB+3e1rLbAUC+uxyKCE+p1PY1znpOYHGDztFlreTqEXlir8zOsVaj
KbeJW937c+mvGQTjT18mnPr24mfpxz4ocSlgXSAEVffSq2gKX4aq/qzb+sUk/ihQunia6Zps594A
h2/LYErREJXJ1vCjW1yXz74jz0Y2P6oQWVBTTt2+qstpPVn5oc7077oaPntadQNWQtTAkf7qW+OO
VFTO+MEFU1bZ+K1q4OFyfKXj7sWm2ArtLbByhH0kMHN4tRImIIpGRZuFPeM5U14gCm4Clxg3LiLL
3/iyHw6eBBYq+l5fkzBMT+zo5K+zj/CmwYrdFaa2a8uiIRxS/SwcixU8bWUwLdBogR51EAnUXt0e
+MJDbujAqJmTYqFyAaRt5ZOGw38oapXwn/kTtQT8Cm500uyG15moEiLwWkH1Bk7UNZpwa9d15l2l
CvjCLr8rFrA3TcuLWNDflpkbNHjQk3t7gYerJL0emqW8ekgVcD0gcpWBFWBDPmStvJkkvaAV3j+V
6sTMLyC0wT1vLbB0O4cRADVQdRGymVNC6F/ZJk3S5QJpaxlabMeuvUNv0LCARLbaaE6bb2laMja1
EeWQDEDktqnbCAEdA0klQ4pY4PQQXD2unKOx4Ow2TyF+ToYoqVdnFzTeicdLmIFqhgtWT9Yt19OC
34NHHEvcFh3AvmlnT5GbXKsF8ZdA/5qmeyudicBbWAH0ZcY5hSjwFsZAC90Xo8rhEBY2IR4I6gXR
IV5Y5cV6AKpc1wsFoRYyAodvuc+RxQLdtyYFDUZ1anILrZk+3He4kA5jGK3NOQ4MvQlsBArHthDV
hrvgSxZ6sfVJi1nptTgAMNyOBbdMA3dSpPZrtpAp6JoBABeCJaub/NteSBfEaehMQbJXZok6LbUK
QWAHNA0JMwlFDtI6Wl7THXn2xRu1EDv6MJ0ETI9cKJ9kIX8iWCCG4nwlF/BLwhAxW58sLvINEseP
UVQH4oyrQELAeH3DlJkD9BFYA1BVTk/yV/xw/twqv1qrVD7ocFX0OO17MKlNa1LOtdBZxUJseQvF
lVnNUS2kl+h9tYld/9JkyMWsuXqKf3Fkpm3U7yhJ5xdGzWZfDwbPwCYENC3bwLb7q8oDWgsX2s0M
XQuazz3LhZIzFnIuHlEIOfB1+A9O+kLgEY9voCfTblFyQCvFJi6EaJ6CyNMfKBsaArmQgd6MzrRy
26OqEYRnC2XYwR32cIik5HMAynhbLvRitZCFk9EJPCAaemTLluvQ77VFa2xssB3oG+WP7BRWA/Vo
28hd2vJJViG+flCAtfD7F3sgMzwOcccuZ5RmcQVOjTZd2gT8AJgb/ScjwEavu+6IAcA5e/n8UQ76
/n/HxW46fP7bvxioKT3fYnL6++PiBVd8+fan+zcY9beo+htTIy//bWp0f7i+SfgD1jzTdJ2/pMHF
Dy4106WcmwhlHMnMmr9PjTaGYSZDpkOylpgqf58arR9MYAyT/IccG7o+nX9maoRf+IPiB6mTARPP
vfGLVl+G1D8KIlxLYhgUqbcW0Zzh+IvMejEzamUcNLE9MFuJrkH/Ei90oDLdu1EVPe6EoQyvp9LD
w9bQDn0eshI2LDPSLX1t8pYA7IpyjTZGzVS0Jnan2evIpB9Le+/1ZcY5OXjDdka9pgd9E4v7iPNq
V8jQ4Jgadf2z5hmon2xHUpJr6vkWHjO/Dc22waIT9++t4xSwCYtdtCy8i6dl9anSQuru83Giud5r
gTmt2Fl30kqstStBD3CRmVSfe75RElEU1zMuDNMmQf1SgrduYh1OLY074N6qcsYznS/qkXtcfURS
UW+dyOpEtHm/luE43utznFIbl5kx3lbq5kaV+IE+OvLiErxxao2GAzOre+Na5iyqppP1D34Dtor3
UgEyGg0ng6GR9MPYx6jQgpwGiz1oZ0xjvktTSZNASIpGSGOA6uyV09RJvseImT3N0AraqnPmlIjU
MIlKSNqaQqrS7xiXZ9uZgT9l/SzpoXuMG2GT4+tW1L6HifJe0SFUd1mS6N99PNt7/E0uCgCZv3ui
TR9am5CWLBSL9jlymDosFY6nIUy1e7Tg3X7uTP1n6cMNYfu2rpjr5zsHLvvYyFGcilpfnvmhg2ZN
pcS94TZdKyt0ikML6aZ2jjP5/MpdNb5q8Vibq2Skjm/j50WtOB0k63lb6ee0K9Jj7NX6wzTMqCyr
0S2uR1wd+yjrvGC0e/1n4srhechsAcBcMPwYSbIew8QFlhl7PSDMgBaH0E0+tU6PD+xuOI601M93
Ym7Ti9/MRbwDqRdXcaylX3YlIwjEceRpXsZE6Yb8s2XUzudMhuF91qT8E/M8VnA8dv+McjR+TvsB
xEcXpOf76TzsHb1IP23CP7GIOQVNSJpe7uOpqd7BasO9sLiqKjaknVZ04i6Ls/mmFpAIggYMbExq
6B4qRSgcfiILRSl0TLj0MnviSGkEUgK7b540opsoXejSI93r1aGpZ+spNQgdLZWNgSPssvBpbkKd
2azvtqqzSGiJy/rVVTI64J0oy0Oo0kRh8zTMq0ngHlqFdeReRXGR3YF5V++WO3JRIzO5cZ1GbKPY
c97gm71n1SNgWFW1n36mcxaLVT1i8g4GBc0aRFlsmoEUCXd8WYv3uczab2MW/XPj5fREIPnzDjgk
snMWVtGVEwFf++SBHawpH/hlpB10jbZccOFoPpMUIPc1Vq2PpnXEhzRBi2ppqW8kEMnTZBAeW09+
xTzTMHCTrTOuQ73z3+ljiEj4p/zxRk/14dxB+d/G1pgcos5SJ2WkUluxCKPoj1XKvlJYdY2uQtqP
tW+Hz1lhmnAmWvdVuF577ryKwoQ6qWs8Q6V3qw+5sNd+PnzIHE9O0+EED/73dP3D6Qpu8fdP13OV
vv2NI5XX/Hak+j84pem3Fui7dRK+OLD+G4gR+g+brnoiWz1Utb8gmt9OVOuHZRKqA58BFuPr1qIz
/A2HsX94NroEf9HeG+jPUPj/Fe7yf8NhxK9orN81tMjK+NkcUBgiwHUICJOD/S/19ZmbpJbRC3y0
nfEMWBu9l4aGv7bCsVI42n0SOWGAI67a51bFBJfkMHgDw3HhGbfYat1t1Rf6zhyQiuRlnlzBdE4g
rP4XqotujQvUXdejJ1eTa+01c0m6SZS2NTpf3MxOkuykA/w6p8Q5tFMUbvkNYJNdvHlGQdLRbLXj
ZnJJXEF25R1H2VXEGGTdO9q7n3kI+xuaoloPlG+YPVR2nBPSYRXjtCkqzwyo8yuPeQ2Z7o98t6LA
h6IrNe4mht+70jK1jabZbOkhx7kTxxtH1nKbYsta1/GAVCR/4cx9r2QX77oST/4s0ipoPeuFX05s
wzxv0bWZd1Pdm5flp97KsvNZIyaMq3VXr5x6eOn78FWbiD0LVeLuB5ulRxtorGHjO4S+eGvtkp80
pKKmax3jmE9JEyCSUWse1axho+nusGyHD+wSM1+zjX1Hmtym9c10ZxVxcxyHqV61wE2HUUXlpW77
zzZunXUDBgz/GFIJk3ruOklLbav39ocm6gxK0B8DOAP+spgfUolxT2sJHEjspmPj66ygL8Nq5xiN
GVQ5H+Bc0mOZGLpCe4GDb4w07VhrlTgUI24oOGGW+zm/l7Opb4gCq9e+RCas4va2B3XYdtH4MyE4
ILUQgtQuhnMnQ86QSKpyIPoqzUdXj6Qi0PLC2c5GgzULIryeiEtOi2stDG/mKuZSGXR/MzXEl8nQ
zzfuSDhYb2wlLorA1KsPA9FsELV+sdLDyF7XPQnbqfA+w7Ff2C64gWhsfka2+UwGBImONUYv7sbv
JDLXszc9d3b/ZKDCRNmhYSKNcA/X+kfY2hW5P6T9hPANgTlVkKqIj1adxRvHHfMOQFJw/BlYMTL1
0aV2RW2v/eL3nb/VXBuiuAVnTDy+Z+uZK+a3u1iq69SRhJQJ4623QZfSkIQzAIA3Odc/PQYF9GZt
tMdzABOcfIqs/cr6dG/XzkvrEoOuFGeAx+bWTz+58q/t3gi3pTc/T1HyZMpsy752kqLYETV2rWvJ
kzVky4miD6tx1O9E3t5UEMZ6gZ+494s9RN82xBIaO9qtyggj0Ikg25XteOyr+ieVOciSevkhHXZq
UWXf09Q9DSGUm1+ToJlpPuFjYlgQkluntvBMi/HM2HtT1RNZ6lWuEw3V2gGqQlSAKakZOfrmfZgt
0oBYCzd6znk4+OQQqyn5WY7+zFyXnDiMn+2Qd7Rg5Eo6VazM3Bo2ekxRwqgGzNEEPyHa6whXAeck
dvEm8uRLPxvaWdSSMqI2fnQsTQ+gN61VNgECZ753Tvus2AIfX4hpjLC2lultmAxi5ZQak9UwKhKZ
Q29jKz1D+UbMWqTE2uynm6wmzQ35ZLayOr2HUe8JoJq0r0ijw7cuhzbQ3WnaoUnpCYgbrpnxso2F
5Wyt5pZZKZVnJnduLI2AXM+JsMJHUt6mzkJBTuPtbDoPXme3T30bcpjbGs7L1OsuY1mMlznr4s1Y
Tz05PWlzMKrYPk+hC5pZqkd8bGXgSNhDG8HzVd4QbrMKJeYWq7X9HTEq4OgkrZ59obEciF/YNo8P
2h9irGvWQ2VqyTqpFHEV3E3E45300jx04/ww2ZQaFO0xy01swaEI1xhqEKHynCb9RLvAKhDGR4ji
OlLNKbdjNF3yNULNfDCnslg1kh1EjPK18t0NSap7p/IuyFNeJ4JOVwy863kur2HLgRKZMM26P9JA
dAXJ4a20ogQKlwR6+ABeEFQ30RAZbE6CLoJufks8lW4k6BzKWf+KGJNdnAzzKppLazW7VcFBJKc1
UMtAmFuqBeQofhDTO63iKSHNyeRRXZj1qTY8VLfyXrkobdCdbRk4QXyow1oXZUuAn9m9a2Z7qBM0
oXM/i7Vro57hHuf7utExTbQCGIWfnpSQfmvpcBE1WVCacp67pjzTtvFcgDbtPSfmymijB69JuHtg
A47zHBH1qY3v8P93fqR/lOyJq65m39LAk/iO4Zthx2vR5mDspMJmvfy2Cu5e29uHbXMePe88wC2u
dKPlNKwehJ4mK9cNb5A9fWvSbDbIDOag06tHeFGcwJp4sZh88W6zQNHsNQeDmXNVgOyuKYnNWHbN
KzvyAtVEaBwjit0WcZLXO9qq8kIv6Gr5Cdl0yHWRBEbumOCHdbrqFZwOy/FbX88HfEM3pH+sdSc+
sW2/5AxFq7BsDmaPVoQhCIGrN/Ok05NjpJnWytaGh0Kf+i0U9RYnP5zK0Mu1l7KTDuJ7QgK3MlM9
XeftmO3wvVFXWepHq1hSeMDeo1qeytTcGxGFtqUj0OvW9VqZ5T3hM3A3CZHgkfZR0iwXmE31qmyW
15Teky6x6yAZk2Kbtlq2S8LZWGWNitD7Di+ha49AfbO1to283hqNHlJ8Ttih7p1a34o3kaBLWx8O
Km0xhCBBOWJFvVZJ2fO2a/OqScnkmiNEJKq7bsFtz7EChWtnesZGE0t3H6sjEiuxHzt5U7TsZbBS
xIZWaArsLg6DxiuNFYkxQHce3Y5FgR956mr0VrR3oC4mWEbIiUAygTNfDhyxduI9JwlyOirI3os4
eSCuSKxsK4rPzozeRrcA/lUVbgsnemiMAjywDv+LvTPNbRzbtvRUcgIM8LDnnweURHWWLfftH8Jh
O9j3POxm84ZQY7gTq4+OiEw7IrtbfqjKVygkcBN5bVMSRfLss/da37rW9BC5XqPRWokqxfesZHK9
Dg/sCh+ADesEcakMaP+2mkVrNvad+3bqoyVitnwVl8wHrFw7V0L3c1DX5AQy8y+q9GDYQFUrcTeg
DEUfiClOWm6JQr8qz7TG3COsWAkkVW5o7ozJN9EUDQOJZF/qKZIHGYOLaODddBXumxZ2SgHtzO6R
WUH8WTtTPa4bp7WWZoyvESv2lXSGFyVNjixmf0rnpx4Dg2UaMMNDFhoedV1/PFZugXuPiCLFiE5V
Mh2XA5i49dR2RyMU122iRY+AKjD0juGxYdcHMxYMHSYkqpo+wqZqlGitGkz13GI4xQ5y5EbNWTPm
hzAPLsJmniv4TFNM81DE1oPGJM9ze8PZNIhZVZ17P5mgfBnTTRFzwXcTxt3oxVKCjYYXe9GU9kVf
Ix4pguFKK9J8TfuGNgbN3izWg21n2d16kBgGCnW01owNKoQAE09TlLoeTRqE5yj3PACot5aYCANH
jW37XCi5KI5tI7thuWOxUqKXnHp7EVF8Is2cuT66ytY3MlZ2EyM+ly+mg81AsXIUkBEhv6WMU8yN
1qkydSgVAwtJo3HpgLCFIqGRRJYTHEhk7kVmtCgLlKNohCDRQfcQwbE7pWsgpZz1lgHFGOjpopD6
c1VUJyGSpdYxvuRaia0CnB579GgjK0C6EGNuHUNHCTjUkRc05YkWclfksRPAw53Kyz4ygM9aAF77
cx0o78IMqgenmvn1ZXzdyGpr5OIy1sjQSxvGg376mULyXIkTKggOMsXwLjonmbZwGipACfolykkM
LX37aDfqoXdSOnadvmlGWPhKU1+wAUDvqZQESoMG2bAw+pvEVN1ZcUVGRpOytYhI2g6tgOAPQbOE
Itq/UsjQWGaONawDoONHjC/bvTMZiscFYS+baIJJ14JhUiO7914FwbmDCr9iJLbJUYnmvtxHfr3T
mzBeEtqirCY92jB+2kQG9cJQuuMCHeYX4Btbl95iNVQXSQAUpHNgSbb0AdCuxNf64MDBknvUtc8M
F3AP2Fy37Xg8VSikrD47terqxbfqSx+h4jKSDgaZyr1sG2aSWTccT1H9madnv0y7FLShqZJhAEyE
uE4Wnj5yvwwB37pkSdiUff6kaeOFWY2nuQ3/J9Wh/ILZcGR/mvXTVTowlLVAdiza1GJkrFTOnlbN
bQqjbIpovBSjitqluRKle5K58oDc9dovg/smsx4sLafjixjNQ4170FpnVWZ02XJH3Ex9fjsIpLly
AB5nP6LJCiCH6BeFNdyXYVMtu6Y/l3V+6vfxsKAmia9yLUg2tHPWLpjgKuYeS4fOPNFDRTljH1Nd
okVFE1C4/pJz+SLZo3ZtswMwcJrFZFxKk2lQN4VXdHshVRj6Xo/jl1EAg+JhOa7bNO+vUO+oX52q
/18a833WgfP2j7sxD49ZUT/+gvo8f8JR9fI7nRn+/ntnxvmkExNmmJrFv4Vjv5PIGLoKkl1n32C4
r8lMb1ozWJ8sBDDIY0xNNd8MO8xPtHrIDuKnLuobFzf/v9GaYahC6+V9a8Y0aAKZcHWI0/upNQP0
r7KLDFm7WfsalRnlTU1jfkkXw1+kbrgjf0+e6rOdxY/cCaJ2Oi4C9suYJGBowlVdSWTDZh9COCup
HLnvpk1SOZZnVJIgz8rAlaX2Nag9cDVN6u+6tHgx++JKg2VEhVeapygIyJOE5blThv6FVeaiEy32
wbjEkRWXpscdm7D3Iu/XafTnMBaoHXgFxQQzlmsRE0QoUzAglTPVj4Et5Zpy4o8g04YU5UthwR8d
avCGQlADFmNP6ZqY2Qb3FAw65GMMTcdm3bAsn3ZsYZZR3+zsiRVGp1Pr5RWCiabW+KhN2i67GACH
2SBxc2TFrRfarVzauJJYRgLKs9iIFjyFH1wNwiOrEcgkEV/pdvilVFu8iuaFJcDF6V3OyLVhezBW
xnmgF0/BpFMsujOXvZj3pDiFYhfKsRPY/Va12RBpBVp6WRWHzs3wxxTmY6RP5bLVQowGigaIrA0f
q5pRiCUdeHAzvEXVwk0EG2VDzrNgV9PAWGS/AD++GJdWQHs5j4yAIIIAF14S1BBwImcl9Bjrd+Um
HJx8FhGgR5UuesqSs7moyLHYma5tb5nUzdqBpFsEhnpXScm8uk0erbgDGQaoMkn0z3QFr9lzgMqs
72sTQUHtVzRTfDa8OFJvktgt10qLJqQ2s3DthoHtlakfE1mOdjhMGuDV0YxQpQvyEMT4FALH0VB+
ZvYRG2NzpaGpfKSCRd5ppzCjKpNKkr3jGbCxq2yYDn1gy2Vs1gUDMShNDb2spW9z9emgVz1lzG5g
0V+pRRXg9LQvuU8dLwona2sMJeIFn291MN0zsESn4dhfpm12CBRRbK3A7V4H2pgDJ+yj5cBlM5PY
iknfOq7V04ZRH9DeH5dKfKHn2mXnm1+oCw9jzpafBht6pAT7a5NcD8icjjVn6DcBKFy2z0DD9ILA
tDiMvdqOlTVY0LOpGdtdXLNdMxSn3oZpQbKQgaJqCtMXq0kjzwLqz5ENSqy+oAPjRudFXwbrHIr6
0qrtbaLS8Wl7zlaspTdWnN5SYemb0XeK01QjAqJniLaw2/ZEG9ODxeBcxMizXBT9C9sgvoRSJgOr
lAFc66/MlmZTXCfHcZ8UUB9x5Lbk0a5bmd37kjNQNsVRFgW7umlOhbSTK9vwdQZUsljLMj/WZHQj
ZA7VFBMLFjLJw0UeurlodYJuEyfRHWp+SppBZktdMc86h51dl3WnamWfKhGPhDhUFm7EHl01/L1s
tZMmMfqFklLaDjZQSEa9r63ORWlZkafYE3RlVdM8NXeOAwEL31DBepclpUHmOtfcWnQ56sRfCiO7
KIO5LjeBN+cGbRcIxdWiUOw7UybEtPduTzB5cjz07VNdSXxGeROR7kBC89iIiYBo+UXWSJOcEjE2
YcDFFjU/TnSYmmsjhQyCddr1KviKS2EBX5BpfNNHOI47isJF75QMAie7XlQ0IWYdTrgOR9iNzLBb
bsdY2SjTeDcpmpdb8b5W8C2NUYBU2UBOZjVMyFQLsKRW+yjTC7mbjOayV8n84CF1FyvuJVIQuKVN
DfMgGW+EL2+CCESj4cf3g608aqqFkCoZr4oG+rCPIH+dMrzFfVT17DWZX6v2cN5PKdeXo5CQyvnc
5RL9/ySD64TiF+9EAzG5CuuLulPMS8OH1QzokkWkQqtoOPktTiuU6ViO+Lwd+xQuvdseteImTsd1
qRvuQrVLd61qerx3zQxiJ2rzRTSpt0kpr4ugOrekvfF5GrLTdnZVDGIsyG3pNYiJcVRY1SLQSHZw
cGJ4imNHQHlpZOEZJVEuMZ/LuXvbdLbu8QhB9zdm/lJT0ichakzptH1t2r9paqSrccRxNc69YR0u
5CJWnLOYtrHVlpeIS9pVkNFVFvYQLgtpcbcoZuFlbfZk0IQefRzSso8kS6h129CobueONU335nwI
603V2y9VmYP0HhigIXi7bOduNxUrlIm5A95GmnJkzV3xcO6P4zliajz3zNOQ5wVkrnBrGaLAJjkA
KBlzuuxzv12l0VHNHXg60aRZOnRiYAQ9hXOfPgEX5gW1xU55AHIWVY0HF4hcIq2bjptWOLt+7vrH
o1EdqW4H/GMiMzFJBoFkgTlBXyJhSHMXg7Seb0g1MLx6nilAZ2TBnOcMkqV/bcQDIHCGEH2b79BG
MAtuuOO62p12dafT0WZ4Iez23gU+iUSOO72YJxz+POvwm37YB60RLzRsajz1GYk4tbgf5yFJaOFC
y+fBiWCC4jNJsTDfRvNoJfQHxxuz2gCjx4U2NbQXYhT4qzEzTVh0xYBrhcy/cghSBLI4xoVI7aMw
Qp8Wp/W4apmYLmVnhmcDgx98TAWYT8CuuJmwA8aMZ5isyS2fqz9Sm4hIMy0bVmHG4Wi8gdg1q9Ns
FJwIFWWdGHKejD1XzTgPpLLGjs9qvWo3/jyuGphblfMAqxw7pvUaXuCURRIvgh0e6L/CX0yVaTM5
iUXnXZyPqA/QyTHSCJ3E5q8qFZ2sTpDLkL6ETqNcVn110rvISKtE9EstSrWTMpxuXVh/QDqhPi+A
v6CkGNXhyyC6dldLv1gNkpEDNKFtNOLVNWVmbPqpLrb4IvAf6+NFHbMAYES8kJN5K2c9VzhVKYR6
kjtJ+TnBmnId99OB6ITEs5roqG9qAKKJZS59Jd6Z5IEuysl5crTYOg4j3d41ffpYjjnrvqW0+8Jp
klVU8SgWEa1XgTvhIhzNo3QG1OWxsUu1cKvbyenYRVSqQ3whaGwvxeRetaFueULSFg3z/kwyv14q
dbaN8+YpNCsgyvUhLdVlE3QXYJTYWdU+TxHINrjEKFtxK+LlZAauCly0mb/zTStaJhb3kQgJ1lFp
Ki9qnkZnVjTmy2giyyfsjbt/f9T9385RYAmysxBz/dm+aRaHPf6ySl/y98Ps3/72256JkTXKK4gn
6Offb5kcwd5HaKptOqppWYbKC37fMolPlsXCj2QLHh3J9dqbabb2yeRvyJJn/8VfsbH6d7ZMdJZ/
3DIZmnBcgSgOkwOBk7Pr4A2gJ6Bbj4akdz1MBdWxH6Kz7stpo9TaGvEWT88quxsxEmU6ZYDC5IIH
GYueZsVY1WOdfOqm1k9KPil3EpDCoiJzQ8EvurHCGLBrHH2J3elIGth2nXoi71inE8g6INd1rGQb
2djFdYb0aDFlsbbIDRTPSYcuDZTwVTDGLzhjNfYxFcwm575reFT0DZexlbh4hzLaDxFjTG437g3K
tdimC65kpbIUTphvhiw+6CIvmLO61+y09nY326w0mmTsIhZJG9QeuVRPlBEXrMH9gtTf6z4Ctmub
vENdsFdqh+jKjc01WPB9j9jScHBJ07Bj3u1sjHy4UAzxuQrcZymjUy0v3VP0R/WKvBC5RXxGbeBM
5Zo4D6Q1c+JWZPGMsUpfrmqNZMchzFdtZ2F5sMtsJSyGpvT0d1ZugV5ztC9RUj/r8/N2VKB1dE0U
HrN2qmtDrXC5xXa4UlpH8zpApksaNXMgDulZjbEyA1a7kPViUQ7qSVJka6doryQEExpsHE6rwLkJ
hEUZT2kjLo6JaprxHq25Vpsq3chEPahCuzeckNkgqE3VKNpDbfhPRCxUPKHjgwIOjmYN311ltcvQ
iQMAGtVmDMIDfhM0c3qyNjpUXFZzU9QG2xZX6RZ6KPUlAqyLMNUvSkO/BVxVsGUXV1YiLlBynDdl
0WApMXFHlNoGSuYXJYgvcsJ6l7wz9hNKEa3QM9bkbRIvrw7iuqUUfhgZe27LcUL3Y4VT+dCS2rOO
ZaitO9uEW2H6a59N4VJGDXFPYwFmwA3VreBJyV4Kyib8wEWuS7w0mhGcVH3DZM0qHyK13ql2tI1s
zF9Cn/WG8tIpQPqoKRtiKCJ9kW1bYZ8AClrnEogAe/+J1rN+XYnkIjaNVROLGZJe3RIFwrIhrYc8
YpjNMobV+U4v9ePGtddWCBGiKJnXRnV9ZMx7eyXYU5Ntx4ANdAEnBB3iOEF5qZ1zFjCifADfjxXb
e6PQPqt9cFaM5r2I9dOMnCsE8sTRgDq7AOO+sYTYRjleGEc/kD2yt0Y4IVZ3SO3urjEt1XNCeeRq
xbPs6xWqq2U7+0Y1cx7eANzvwu6lrmD05hnK9qGVR0OTHMpxTJDxFfoNeJaBHDO743w36P0KNVgn
9XDHLrmuVw0NYx4hZj1ug7Z1tjHq/iNlpH3Za1S7w2ju9XFcR9NcNrYM5aJCXEJeVpblkD8VY0Gb
HeJybtnUE5rrrp1AQqsVdG+JST24nRUfqozhHyUhre2YfTGhYFxxR41LjlNVbwcj+eLE0CBcRVsr
7FDToshwzbtMWWJ27NKPfC81LR/ngn3mkDG8skMtPcU+PXh6OW5qUBV8L56r21wrIHhoNZWqc5a7
6Sz0Hj67NhkViZ/dY3s+Y+Wnqdy6486unENL6VuPLzF/HtK69/q6PO47+zCZ6iFKg53lUr62MSNm
HU0aO/J9mPgHJh8gGUb7slJiRmDhGqvMgxPlxLqI2CRgxkcFqRIloVjkqC6aFj06/p6LJg5p6tOT
hiUO1sKvy2VdNnQxUkruSHXHh9FuWpPO4Hhsx6G8zdHjhbIvdikik5Wf+eY8LyGj0k1OlQ6yTZGl
p4qTDWvNMjzVKWFfY8f1XN+I79WoMZJVNUR439+sq99scL/kMjsrorxtUGjTb3zf0jM0Fiib9qIw
cFD+CE/1W8fJOpNtJTpTT11iKllic10aV7hLPWW3zJe29xcvOQu43nURCWBB2SU0YSMyM1Qalm+X
xKGtQza9vGS/xAKyjLZ4TZfarl/D8t7/VV6s+MHWhwbcVlXbQRBuo1tDE/7+1fzM9lUfgIGnHqVn
PCY22QaN72Y4qnZMVU+iy2+f799qef83rMoMR6Oz/OarnPl437h3h8cM7t1p/UKg7k8l2fc//N7G
NinJOBQtYt0Q8OF+Exja9ieLDB4b1aHuzPUaF+P3mkz9pOrEz+DmtNEZQqdjbvabxlB8ohjjoABn
+RrRLf5bqn0dkf/7S5CBlw4eD2adwAGAae79RYFeB75anzWejiHMudcCUxjuimYCeJAMeES/I9ai
YockCuU5LICj0cgqpOApFQVPrpDlg6qorLVRo2OGL0vLfGnlVD2SFWLEy3ow/UNRD0DNaJnjconM
8k6h03E96iJ+SBNfv3Cgg10OU9PfwN/CLR2PYDpA1rMqIIkZtlMaDgB2Ijc7U+u0P05oqh4mwOHR
okFfctmWsMLTcGy3aGTGHflX2RqZBRkYWR+sbSL27sJI5VlOCeVuIYYBIAql0HGRDsOhUaaGfAXf
0C/zqE9pfCpThQoIINgibl1kMTR89KfORjexrDWBjZV9n3VMygQArlb3l3rZMWYLpG51qykzh+zI
r/zUQY/p98PCapsy8CxfMU6HiUwRTkkKv7dLVYU5oxzpuEeIVZYoRCzYVU2pu8grW87zZPvjA2Js
ijGF+Ifz0ieNsmh9Yy9RqO17s7P2QeUPwcoyI+0hj3M4IT407R61QbmULIxbcNoJGi7T9LRmIH3J
LI1DrDm9s6pygaCvYuROkKhmt3zOwNcQGwIcHhXpnlQyrR6S0KVkYecRPPgdY+GlFijVtSQWBSGf
NcpNOOg6x9KJNtF61G4glfy1gF5YryG78TUbAw1OhHKKTj0aJCeIQwqFr6bzbxWjUW+wqaHPEaGy
CwqDM6K6pDiESXkyqQbzChOzkyDg6EXQ+l1X4czuBq2KT76OOrgCA1jVvpoR7ma5c1UYFU5BKdYH
OAIC2fcPWiH9Oy0fioOb+sVT16qd2JqZ66tebUr7xKJxCT4Hn8C5P0VMHVzwR15LDtGpUP16a9Zk
BdD10tTrkrf6WGugUhATzi6sNsdEsIgrc06cy2rns0GDaq0rIsBTwJMWyZDTrGBxGKc1lpKA8bFT
4ZQswGMRcHQwzDS5d/xhunNkQbyCnolghdVx2k42vAFNKYt1pyvpBcYOJvmtIjLPIW9n3ZZBiyuF
N2YrqS0WY9kONM/C6j41w+gyV/PYiy2izk22MV6X+O6DrxrOHtOJWKkEhtyTcZ1uLWwwq1GZ5JOf
tcVFrjfalWH49mWS8vxrVRo73DitN+BWX2Up3rAkM5D6JVYBGSYqqK0ct3GOstG1H+oA3puSTNkd
4xZ/IwcZkWeC8pezF4T+bWXX3XNDr2Alel07SjI1YaCdsImxNLmH9tDeICADxxD5fsmdj84JLgWl
bMqwq1v1Y2NeMK6atu7YyxvMD+baVSpsy0SIhMvJzXLM0CTVXLZa0xwyH5UtU5zaPJFs1yzEoFG3
SVIGBSDUrAeycxkzmDGtFE1v0dQELlY7BsOauadzTpBWK6xNZzioKQU9peMMRZBHTu5DE4Tg5PN4
Kk9ByshjYnOSoxTXlteodrVKe1lvnZShUjyU2p6mI3WSE/VeYY7BivZbcil1vzlSjNxfSTvM92nh
9NzyKoImpZBXRTDqz22dDmem7xg7U1SImaVP/FDd9LsoTFS2PVr/iCEcLRai63VAZonHPads1EFJ
Voqe1+dJ64cntJr9I+KG1csxNNxjbrLuKjEkQtCAnm6c8stV4YQHNcZc09d1daymZrbOk9E8ZSaf
4XCGIGj1wcy50hKiSnrURQldukEfJGQoJ9yPhaXCMOHIg4Q3VIyduqSBVl+2jqgvXPDIO1uMSFhF
7+6ZVklmm1CxAicdrlxpjzvijFTauFXgmU1r7dyQ78mJ9GoTh110OiV9B1EodvHoznWxAvgDkxyZ
WQNeAZ714z1ubQepWXbOYwx1U3IbRji9g8KNlszTRoJVzHEZ29MND8tp1UGI2g4liqS6HYHfsI7c
pHzPpDoYpFW5NcGECo0AAqP7G8zo2koMdCkBTAabrBitY4v03o0Zs2TSMMggs6TtnuTIxyoSo6dP
YenFce8e9zQeCEIP0n1BhoRnkQaxMqJhUhavlcf/60XWa+uLYuOPJQNz66v4BRAee4zil+eXX1KA
wVfNv/4TAUH62LxTEHxrh3G877WXgxfDomlFO+gHc4ftfoLUS9+NgoeshFei8Lfai9ILycFcXNFH
o1nGjznkd3uHigXztVnm2vypoDwT/05HDI/lD7UXQgS0CrMoAVmlzq7jfe1FAyMif7DFDqa4z4xf
2P0rz/DMQ/hVqr6LneqJof49yI1sYzoMPYcJ/R6myTstM26JytGoU5T+CINyjGhocjcE6cyuC3X2
hdHYggikAbl01DTfaLE77ATQzxAk2sbJJ/PErqBCyAY/f9eKcGUXkXNcpkODQAxKGSLhy0GCDOhT
Iz7pwmnYqm143jBJzhc53Ssgn2zzkuCGuarlqVmeo2J4je+0riT6GZ530znd7xEtIUOXCo1lqM/P
wDql2Szi0CNKnAbFWN+ksWKsuE/wRbDGsUL16fFYsIEFGXoAznHZGdq41unDeG0VTexew1MjZ0za
tHpAuVGUm6Rmho10dYmwa60l7bgd0AQsKrM8H1oVBqG6TjSGnAQeeHjakaOa/jWp6qDS1PqkgcK4
NA2m9ayn1UKVnY0QI7+s9eQkMHRBVklyrCTxWUtkyiyvP7emnikBYSYoUCdlG6VUBWLQ7wxAl/Q5
622N6o/wWTdZa3kNKU0GByZpZ5YzESkRC7kZSc1b1KLn4YJW4CGyZc+AAxWZjvSq1gxry05VnUc3
5sJw+/EsHgRsV9yXbpSma0X452VfbywaDlASxF0bBRuezQ2ItZHxjaYdYqslz3W60SBPGrV25BJ/
spZqd+y49bnFpIfEMh2/W4vfzkwC7KpNcVXMACe+kMNYw5vMyNvozfgsyBzIrKZ9ZmrA66gKzpgk
kPVYEA+ZNcdqSSAUEU9kqTH4wt63GLt5lm6bl5paHQhooIlrdxe23W652FZEzQOVhhbdmeCWo84/
S8HmzXF7T03a31hFSAHbMT+vMm2FJPQ2r5BZi7gh4SjrMQnXRwJ5oDZF52Nc3jDSfdBC/Zayj9ls
D6PB7+cw9yMzayavHOL7KEdgWo7hnWwo7C27egpqZ1hx0W5gQj0n/aQtfHbjBIT5V5kNOIravicj
1wShAUqbEXbuuSolzSTKW/CtN6bfDPAruM+Clm5VWNfrwkBtW7d3PDuOM8OmgYznibUSSV6QZy0b
Do00lj5VVmIsvdopn/tcOTfi9K7W8Zao/Y0OBkfQBCce50QW0QsC1csuMT1f658Fo0NR9VtpNNva
zXM0L0O7KPVg1zLgT5JZ29vn96USPQWRoKtiFyt7sE7RNJ8BUwPD86i43WVfzdeTz8et3G1X2w8B
qkLKfo0A03hJ+XI2Ku6+hr/h1mxUhsaiSEhPXEK5GNWdpgJH0myNKC0185Skf+Qaz06YF3+JCGpT
HNjYxjRtgamuTNy7LqhSZmZLWzHGZTnzFLtmQ4DbzExb+zHCQTw320Cxz5hrXbVjRVJK/ugW7clI
3xTCVR+RnZbuJwF9YhTbbuygCmenY+gcp3W0jiv1RPbtA/tDT4S0LAducGrd+EkM1gZtw3mYBlvf
0TapGU1rKdQbERonsegosrWLUsOkLPNNbg371O2If1RAdye3uA3I6cweuBKdRdq2N8kEBmLIXSQk
xspPxIl0kjvR5w9lmOOqVXeyq9hXdEeJNl1rMtjx2c6tdth0PsN19aawLjTnXK8fuWZPfApkdTLX
IMgOtEq58Zx2b9sus7/0pK3NVeSOtzO5rBAxvTaNrzYFAYkgIP+c1C3ZhH23D/RwOzTKvjOGL0nh
nDKQ6Jaujp93DOyn1rUPQs293mYIMIr8xK77gw/+dQFr7pAb4WEgmkKLlPsAwiW3q9YvQJdsG7JR
60GoR03EvojLQC6gGyHOVtV4Kbk3q6xv5ltcO8GtvtVmhZGiEPuZGdCTNTe6iB2E6IYaXSHQYjIe
tMdkbR8CR18HY0PirnVGbiO/MZGwC7s7ZB44YvKNjubQZm/oqnUseoXHsn+txk0BVzN/Movq1gkH
udWywl21gXoe9lib7K7Yl3GxTlXzqLQwiowReMWqLZ+DTJ5a2XCwYntLeq65aHqES36bgVWKmq0D
skim+qHFkLeouFI8/Lc7p7d2nVqgQRcPkZKeaFq1dUR1oaTSXbhjezV1CDt61lYmxuG+kca1mkwP
eJYurASunynFTZYqDAbwLleRUnqNYQQ7dcjHXZtCuGOJywbmPKClcdfH96XbPqdpe6TTmVnGSgiZ
ye+vVOlvuSpYgUb9PE8hv5Z0RGmZejm/Ms+ekSxoZ0peor1LN9gXX+jCwgSsw4spz5HVNPu2Ha56
QsV56hpnVKGARIZzggpQkYAeZtkBvTSN4zayuNqazA42mCkmKCDFcamWB7tlpDY55cwyXGdGfNXT
fUkIMzrkM9e5k1NBlWCtiqqfVpESkVBcemwjLkszO6+AQ4c+cN2ZFs2GIt/74fDklBXbDQFEU7HZ
rJZ14jWTc1lN2Q7w35E+86eDVxJ1VcOkBk6tloD8iplXbdepAx4sw8CjOvjRTEGIq4MAo4HvyJUU
4OYEf63NPFXgodPCTssbLLqX5FuvUpDZSW6pDL+UG8V1ctr4wXkFF6oAsz1K+zR9xW533a7oCCcF
yB3NZG5nZnQDPSAmp+kR6s0Eb8BUL+zhnEXo+N3XDvQ/opL/9iZ+N+njV1Py/NPX9vhVsfoxK+Rv
/dJ3Se3vH+jvRYe4KDKJ5fhhZ/D6tl6jS/7sKPQkolY+06FV6N+mRR58/885gYmtxpvT8Ecf9M8/
w8/BKT8f5907fCoknRwCV4KoyN/uWWaq3rvNzx98xB8O8OYjik908aHzoYRmgMBkgv3D28/MRof0
Kbgw81iDvu//lc//+EcRMXzPJtanv3cSfjjKm5Ogf1JN1hgS73Ds02tXOeIPJ0HTsePbGggcymXr
a2P///yF8MNHeHm9wd6ggr5+Qb8F8vzB5fDDYd6cCfQaNrQfA3Ckw9SAWdO78wAlyFHZZ/4TrwQL
mQkTkL9zO/zx5xef4CPhGEQEg5qFWdfPZ8D4beDyTzwNtoHk+uOnwdUs/iF0GmaEyv/+dCHY/NDR
hMr9wqPh64n/B90QvGkdWvRHTwR8K6CoMDrornxt1ry/IUiP0sF3qPSOLNsE8/H6gv+g8/CVIaZ9
9BGpftKRcaHvUh1HqCpBKz+uE9htIIA5DBQhc/wTnxDfzgTz0489ItRPiOCguqB3Y6FA5jCL794+
JVHRcT1wa1i6pmsI1r6+5D/ooqBfyaSWb/CjZ0JlrkxCGh4mLo15Es1HfXsqbK4KjdGzjWrwKwbn
798ff+N8/VpPIvxIn1/Lzeilea3wvtZYf/kL3wu1nw/wrQCbF1eqrHe/N+fWfT3y1wV4/u//eLem
vNaIb374vWZ8fZlvf/7t8/38yu9e6/uH+v5/bqOX+rF+CsfXH4zf3uVXRcGVzANZP4by8W2NyJf9
dWX87f38FLr363XwZ4c/i57C2Xn349G/XkofPfpGPo7vG/K/FvEfPTRbT05a+vzz4V2bm+DDh09/
Oa3fkRd/XXw+emgujuwznsfpx8N/XeQ/evj/MXHSv5+A+UrnjX+tpz965OV8jUZvD/3t8cuz8qPH
3mWfHz9znX8/0m/177zMffTol/JJZp9/P1JSo8z56PFPkPxw+O8HevPmeXZ+9OCHx/LdlfL1pM9h
rh89MpqQonwcfucrnavNjx797LFpH6ff+UZ1KriPHvyvMkL/OIv0bz0W/wLY/8GjLx//9T8f6+8n
4berRWer99ET8/fYsR/8AH+C0Pvgkf+mHfyDr7J5TP/1nyVo3eb7CX/zJfwX3LJ/JQP84Nt/4/34
5YzIKxbwl3cf5NvU+7/gufy/OWv/0w/4e0XSrx24n0un75213/uz92Xh/BtP6ctj/R//CwAA//8=
</cx:binary>
              </cx:geoCache>
            </cx:geography>
          </cx:layoutPr>
        </cx:series>
      </cx:plotAreaRegion>
    </cx:plotArea>
    <cx:legend pos="r" align="min" overlay="0">
      <cx:txPr>
        <a:bodyPr vertOverflow="overflow" horzOverflow="overflow" wrap="square" lIns="0" tIns="0" rIns="0" bIns="0"/>
        <a:lstStyle/>
        <a:p>
          <a:pPr algn="ctr" rtl="0">
            <a:defRPr sz="900" b="0" i="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s-AR">
            <a:solidFill>
              <a:schemeClr val="bg1"/>
            </a:solidFill>
          </a:endParaRPr>
        </a:p>
      </cx:txPr>
    </cx:legend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microsoft.com/office/2014/relationships/chartEx" Target="../charts/chartEx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microsoft.com/office/2014/relationships/chartEx" Target="../charts/chartEx2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0</xdr:row>
      <xdr:rowOff>0</xdr:rowOff>
    </xdr:from>
    <xdr:to>
      <xdr:col>8</xdr:col>
      <xdr:colOff>266700</xdr:colOff>
      <xdr:row>14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4CC800-268D-4DC5-AEFB-5EC9E5C345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257175</xdr:colOff>
      <xdr:row>15</xdr:row>
      <xdr:rowOff>9525</xdr:rowOff>
    </xdr:from>
    <xdr:to>
      <xdr:col>8</xdr:col>
      <xdr:colOff>257175</xdr:colOff>
      <xdr:row>29</xdr:row>
      <xdr:rowOff>85725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DC955C4-4A97-472B-ABFF-512EEC98C8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257175</xdr:colOff>
      <xdr:row>31</xdr:row>
      <xdr:rowOff>47625</xdr:rowOff>
    </xdr:from>
    <xdr:to>
      <xdr:col>8</xdr:col>
      <xdr:colOff>257175</xdr:colOff>
      <xdr:row>45</xdr:row>
      <xdr:rowOff>123825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57E9003-9C61-479E-94CB-3816BDF483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276225</xdr:colOff>
      <xdr:row>47</xdr:row>
      <xdr:rowOff>0</xdr:rowOff>
    </xdr:from>
    <xdr:to>
      <xdr:col>7</xdr:col>
      <xdr:colOff>476250</xdr:colOff>
      <xdr:row>59</xdr:row>
      <xdr:rowOff>142876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6B0E7E8-A5F5-410C-8000-18A24A3BF9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371475</xdr:colOff>
      <xdr:row>63</xdr:row>
      <xdr:rowOff>161925</xdr:rowOff>
    </xdr:from>
    <xdr:to>
      <xdr:col>11</xdr:col>
      <xdr:colOff>371475</xdr:colOff>
      <xdr:row>78</xdr:row>
      <xdr:rowOff>47625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8" name="Gráfico 7">
              <a:extLst>
                <a:ext uri="{FF2B5EF4-FFF2-40B4-BE49-F238E27FC236}">
                  <a16:creationId xmlns:a16="http://schemas.microsoft.com/office/drawing/2014/main" id="{9BD4E792-274C-4D00-9D4B-666D31FF091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81575" y="1216342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9525</xdr:rowOff>
    </xdr:from>
    <xdr:to>
      <xdr:col>9</xdr:col>
      <xdr:colOff>742950</xdr:colOff>
      <xdr:row>15</xdr:row>
      <xdr:rowOff>9526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45956C4-540A-4BF3-A069-F6118D4673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600075</xdr:colOff>
      <xdr:row>15</xdr:row>
      <xdr:rowOff>76200</xdr:rowOff>
    </xdr:from>
    <xdr:to>
      <xdr:col>9</xdr:col>
      <xdr:colOff>733425</xdr:colOff>
      <xdr:row>25</xdr:row>
      <xdr:rowOff>190499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36E7A6F-F0BC-4F83-8F15-C9972D0C4E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</xdr:colOff>
      <xdr:row>15</xdr:row>
      <xdr:rowOff>76201</xdr:rowOff>
    </xdr:from>
    <xdr:to>
      <xdr:col>4</xdr:col>
      <xdr:colOff>632460</xdr:colOff>
      <xdr:row>25</xdr:row>
      <xdr:rowOff>190498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A2D37D3-4249-4422-ADE4-E48B6D132F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27</xdr:row>
      <xdr:rowOff>66676</xdr:rowOff>
    </xdr:from>
    <xdr:to>
      <xdr:col>4</xdr:col>
      <xdr:colOff>552449</xdr:colOff>
      <xdr:row>38</xdr:row>
      <xdr:rowOff>161926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7AF094B-A65A-4DFB-860C-BA5F4C456F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660298</xdr:colOff>
      <xdr:row>26</xdr:row>
      <xdr:rowOff>158852</xdr:rowOff>
    </xdr:from>
    <xdr:to>
      <xdr:col>9</xdr:col>
      <xdr:colOff>660298</xdr:colOff>
      <xdr:row>41</xdr:row>
      <xdr:rowOff>50697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7580751C-8AB0-4560-9ACC-FE1D0535EB8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46298" y="5111852"/>
              <a:ext cx="4572000" cy="27493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737110</xdr:colOff>
      <xdr:row>0</xdr:row>
      <xdr:rowOff>15978</xdr:rowOff>
    </xdr:from>
    <xdr:to>
      <xdr:col>15</xdr:col>
      <xdr:colOff>752782</xdr:colOff>
      <xdr:row>7</xdr:row>
      <xdr:rowOff>97094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2" name="Fecha">
              <a:extLst>
                <a:ext uri="{FF2B5EF4-FFF2-40B4-BE49-F238E27FC236}">
                  <a16:creationId xmlns:a16="http://schemas.microsoft.com/office/drawing/2014/main" id="{CF4D34F7-A47C-4DF3-BE07-0D866167C71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00903" y="15978"/>
              <a:ext cx="3847569" cy="13839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752167</xdr:colOff>
      <xdr:row>7</xdr:row>
      <xdr:rowOff>148939</xdr:rowOff>
    </xdr:from>
    <xdr:to>
      <xdr:col>13</xdr:col>
      <xdr:colOff>307257</xdr:colOff>
      <xdr:row>25</xdr:row>
      <xdr:rowOff>120432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Provincia">
              <a:extLst>
                <a:ext uri="{FF2B5EF4-FFF2-40B4-BE49-F238E27FC236}">
                  <a16:creationId xmlns:a16="http://schemas.microsoft.com/office/drawing/2014/main" id="{E43505ED-005A-4ED3-9646-8F57777A02A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inc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15960" y="1451784"/>
              <a:ext cx="1854228" cy="33216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733535</xdr:colOff>
      <xdr:row>25</xdr:row>
      <xdr:rowOff>175070</xdr:rowOff>
    </xdr:from>
    <xdr:to>
      <xdr:col>13</xdr:col>
      <xdr:colOff>298429</xdr:colOff>
      <xdr:row>39</xdr:row>
      <xdr:rowOff>98535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Vendedor">
              <a:extLst>
                <a:ext uri="{FF2B5EF4-FFF2-40B4-BE49-F238E27FC236}">
                  <a16:creationId xmlns:a16="http://schemas.microsoft.com/office/drawing/2014/main" id="{3182B9FA-CD55-4AC6-BB13-5C3147087B1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97328" y="4828087"/>
              <a:ext cx="1864032" cy="25291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353347</xdr:colOff>
      <xdr:row>7</xdr:row>
      <xdr:rowOff>148941</xdr:rowOff>
    </xdr:from>
    <xdr:to>
      <xdr:col>15</xdr:col>
      <xdr:colOff>752783</xdr:colOff>
      <xdr:row>25</xdr:row>
      <xdr:rowOff>120433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Categoría">
              <a:extLst>
                <a:ext uri="{FF2B5EF4-FFF2-40B4-BE49-F238E27FC236}">
                  <a16:creationId xmlns:a16="http://schemas.microsoft.com/office/drawing/2014/main" id="{312F73EE-734C-4ABB-B82E-54CAACE4F53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í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16278" y="1451786"/>
              <a:ext cx="1932195" cy="33216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357351</xdr:colOff>
      <xdr:row>25</xdr:row>
      <xdr:rowOff>166305</xdr:rowOff>
    </xdr:from>
    <xdr:to>
      <xdr:col>15</xdr:col>
      <xdr:colOff>733533</xdr:colOff>
      <xdr:row>39</xdr:row>
      <xdr:rowOff>84740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Fecha 1">
              <a:extLst>
                <a:ext uri="{FF2B5EF4-FFF2-40B4-BE49-F238E27FC236}">
                  <a16:creationId xmlns:a16="http://schemas.microsoft.com/office/drawing/2014/main" id="{A19EDF23-34E4-408A-B1D0-C787CB51422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20282" y="4819322"/>
              <a:ext cx="1908941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DashBoard2021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jandro Uñate" refreshedDate="44660.640415972222" createdVersion="6" refreshedVersion="6" minRefreshableVersion="3" recordCount="369" xr:uid="{CAA0E528-CB1F-49B0-A69E-FEFD7BAF3E93}">
  <cacheSource type="worksheet">
    <worksheetSource ref="A1:M369" sheet="BaseDeDatos" r:id="rId2"/>
  </cacheSource>
  <cacheFields count="15">
    <cacheField name="Documento" numFmtId="0">
      <sharedItems containsSemiMixedTypes="0" containsString="0" containsNumber="1" containsInteger="1" minValue="1" maxValue="369"/>
    </cacheField>
    <cacheField name="Fecha" numFmtId="165">
      <sharedItems containsSemiMixedTypes="0" containsNonDate="0" containsDate="1" containsString="0" minDate="2020-01-01T00:00:00" maxDate="2021-01-01T00:00:00" count="229">
        <d v="2020-04-09T00:00:00"/>
        <d v="2020-08-25T00:00:00"/>
        <d v="2020-03-18T00:00:00"/>
        <d v="2020-05-23T00:00:00"/>
        <d v="2020-04-23T00:00:00"/>
        <d v="2020-12-19T00:00:00"/>
        <d v="2020-10-29T00:00:00"/>
        <d v="2020-02-02T00:00:00"/>
        <d v="2020-11-23T00:00:00"/>
        <d v="2020-06-17T00:00:00"/>
        <d v="2020-08-02T00:00:00"/>
        <d v="2020-01-13T00:00:00"/>
        <d v="2020-01-31T00:00:00"/>
        <d v="2020-07-25T00:00:00"/>
        <d v="2020-06-27T00:00:00"/>
        <d v="2020-08-22T00:00:00"/>
        <d v="2020-04-16T00:00:00"/>
        <d v="2020-12-07T00:00:00"/>
        <d v="2020-02-14T00:00:00"/>
        <d v="2020-11-03T00:00:00"/>
        <d v="2020-03-28T00:00:00"/>
        <d v="2020-07-27T00:00:00"/>
        <d v="2020-06-11T00:00:00"/>
        <d v="2020-02-24T00:00:00"/>
        <d v="2020-08-12T00:00:00"/>
        <d v="2020-05-14T00:00:00"/>
        <d v="2020-11-11T00:00:00"/>
        <d v="2020-11-09T00:00:00"/>
        <d v="2020-01-15T00:00:00"/>
        <d v="2020-05-16T00:00:00"/>
        <d v="2020-02-01T00:00:00"/>
        <d v="2020-12-02T00:00:00"/>
        <d v="2020-02-09T00:00:00"/>
        <d v="2020-12-27T00:00:00"/>
        <d v="2020-05-31T00:00:00"/>
        <d v="2020-05-01T00:00:00"/>
        <d v="2020-09-16T00:00:00"/>
        <d v="2020-06-01T00:00:00"/>
        <d v="2020-08-27T00:00:00"/>
        <d v="2020-06-16T00:00:00"/>
        <d v="2020-10-25T00:00:00"/>
        <d v="2020-11-30T00:00:00"/>
        <d v="2020-03-30T00:00:00"/>
        <d v="2020-02-19T00:00:00"/>
        <d v="2020-04-01T00:00:00"/>
        <d v="2020-06-10T00:00:00"/>
        <d v="2020-10-03T00:00:00"/>
        <d v="2020-10-19T00:00:00"/>
        <d v="2020-09-14T00:00:00"/>
        <d v="2020-12-13T00:00:00"/>
        <d v="2020-05-13T00:00:00"/>
        <d v="2020-02-21T00:00:00"/>
        <d v="2020-11-19T00:00:00"/>
        <d v="2020-09-01T00:00:00"/>
        <d v="2020-12-06T00:00:00"/>
        <d v="2020-01-25T00:00:00"/>
        <d v="2020-07-22T00:00:00"/>
        <d v="2020-10-13T00:00:00"/>
        <d v="2020-12-09T00:00:00"/>
        <d v="2020-02-29T00:00:00"/>
        <d v="2020-04-24T00:00:00"/>
        <d v="2020-08-09T00:00:00"/>
        <d v="2020-10-11T00:00:00"/>
        <d v="2020-05-15T00:00:00"/>
        <d v="2020-05-11T00:00:00"/>
        <d v="2020-06-28T00:00:00"/>
        <d v="2020-05-25T00:00:00"/>
        <d v="2020-04-18T00:00:00"/>
        <d v="2020-06-13T00:00:00"/>
        <d v="2020-02-27T00:00:00"/>
        <d v="2020-06-09T00:00:00"/>
        <d v="2020-11-14T00:00:00"/>
        <d v="2020-07-17T00:00:00"/>
        <d v="2020-01-01T00:00:00"/>
        <d v="2020-09-25T00:00:00"/>
        <d v="2020-08-28T00:00:00"/>
        <d v="2020-09-30T00:00:00"/>
        <d v="2020-02-05T00:00:00"/>
        <d v="2020-07-05T00:00:00"/>
        <d v="2020-04-03T00:00:00"/>
        <d v="2020-06-12T00:00:00"/>
        <d v="2020-03-01T00:00:00"/>
        <d v="2020-08-26T00:00:00"/>
        <d v="2020-04-02T00:00:00"/>
        <d v="2020-09-26T00:00:00"/>
        <d v="2020-07-12T00:00:00"/>
        <d v="2020-04-13T00:00:00"/>
        <d v="2020-09-22T00:00:00"/>
        <d v="2020-10-02T00:00:00"/>
        <d v="2020-03-12T00:00:00"/>
        <d v="2020-08-31T00:00:00"/>
        <d v="2020-07-13T00:00:00"/>
        <d v="2020-11-25T00:00:00"/>
        <d v="2020-04-26T00:00:00"/>
        <d v="2020-10-18T00:00:00"/>
        <d v="2020-09-29T00:00:00"/>
        <d v="2020-08-30T00:00:00"/>
        <d v="2020-12-26T00:00:00"/>
        <d v="2020-12-18T00:00:00"/>
        <d v="2020-07-07T00:00:00"/>
        <d v="2020-02-15T00:00:00"/>
        <d v="2020-09-27T00:00:00"/>
        <d v="2020-09-20T00:00:00"/>
        <d v="2020-11-22T00:00:00"/>
        <d v="2020-03-26T00:00:00"/>
        <d v="2020-01-07T00:00:00"/>
        <d v="2020-07-30T00:00:00"/>
        <d v="2020-09-18T00:00:00"/>
        <d v="2020-02-26T00:00:00"/>
        <d v="2020-09-06T00:00:00"/>
        <d v="2020-09-19T00:00:00"/>
        <d v="2020-10-15T00:00:00"/>
        <d v="2020-09-11T00:00:00"/>
        <d v="2020-04-22T00:00:00"/>
        <d v="2020-08-14T00:00:00"/>
        <d v="2020-04-08T00:00:00"/>
        <d v="2020-06-04T00:00:00"/>
        <d v="2020-08-15T00:00:00"/>
        <d v="2020-08-04T00:00:00"/>
        <d v="2020-04-27T00:00:00"/>
        <d v="2020-08-11T00:00:00"/>
        <d v="2020-10-16T00:00:00"/>
        <d v="2020-01-16T00:00:00"/>
        <d v="2020-06-19T00:00:00"/>
        <d v="2020-04-06T00:00:00"/>
        <d v="2020-08-03T00:00:00"/>
        <d v="2020-12-04T00:00:00"/>
        <d v="2020-08-13T00:00:00"/>
        <d v="2020-04-25T00:00:00"/>
        <d v="2020-04-30T00:00:00"/>
        <d v="2020-11-06T00:00:00"/>
        <d v="2020-09-09T00:00:00"/>
        <d v="2020-05-12T00:00:00"/>
        <d v="2020-10-28T00:00:00"/>
        <d v="2020-07-06T00:00:00"/>
        <d v="2020-05-21T00:00:00"/>
        <d v="2020-08-06T00:00:00"/>
        <d v="2020-08-21T00:00:00"/>
        <d v="2020-04-21T00:00:00"/>
        <d v="2020-09-24T00:00:00"/>
        <d v="2020-01-29T00:00:00"/>
        <d v="2020-07-14T00:00:00"/>
        <d v="2020-03-03T00:00:00"/>
        <d v="2020-01-14T00:00:00"/>
        <d v="2020-06-26T00:00:00"/>
        <d v="2020-04-12T00:00:00"/>
        <d v="2020-12-23T00:00:00"/>
        <d v="2020-02-03T00:00:00"/>
        <d v="2020-05-08T00:00:00"/>
        <d v="2020-10-14T00:00:00"/>
        <d v="2020-07-26T00:00:00"/>
        <d v="2020-11-27T00:00:00"/>
        <d v="2020-05-10T00:00:00"/>
        <d v="2020-07-31T00:00:00"/>
        <d v="2020-01-23T00:00:00"/>
        <d v="2020-03-15T00:00:00"/>
        <d v="2020-06-15T00:00:00"/>
        <d v="2020-06-22T00:00:00"/>
        <d v="2020-10-05T00:00:00"/>
        <d v="2020-04-11T00:00:00"/>
        <d v="2020-10-27T00:00:00"/>
        <d v="2020-04-05T00:00:00"/>
        <d v="2020-11-04T00:00:00"/>
        <d v="2020-03-09T00:00:00"/>
        <d v="2020-09-02T00:00:00"/>
        <d v="2020-01-21T00:00:00"/>
        <d v="2020-02-17T00:00:00"/>
        <d v="2020-02-25T00:00:00"/>
        <d v="2020-07-24T00:00:00"/>
        <d v="2020-03-05T00:00:00"/>
        <d v="2020-05-26T00:00:00"/>
        <d v="2020-04-19T00:00:00"/>
        <d v="2020-12-03T00:00:00"/>
        <d v="2020-12-12T00:00:00"/>
        <d v="2020-04-04T00:00:00"/>
        <d v="2020-09-05T00:00:00"/>
        <d v="2020-11-07T00:00:00"/>
        <d v="2020-11-17T00:00:00"/>
        <d v="2020-01-19T00:00:00"/>
        <d v="2020-01-28T00:00:00"/>
        <d v="2020-06-02T00:00:00"/>
        <d v="2020-06-06T00:00:00"/>
        <d v="2020-09-21T00:00:00"/>
        <d v="2020-10-09T00:00:00"/>
        <d v="2020-02-16T00:00:00"/>
        <d v="2020-06-18T00:00:00"/>
        <d v="2020-03-16T00:00:00"/>
        <d v="2020-11-08T00:00:00"/>
        <d v="2020-10-26T00:00:00"/>
        <d v="2020-09-03T00:00:00"/>
        <d v="2020-03-17T00:00:00"/>
        <d v="2020-07-11T00:00:00"/>
        <d v="2020-04-10T00:00:00"/>
        <d v="2020-09-23T00:00:00"/>
        <d v="2020-12-08T00:00:00"/>
        <d v="2020-07-16T00:00:00"/>
        <d v="2020-03-25T00:00:00"/>
        <d v="2020-02-22T00:00:00"/>
        <d v="2020-08-01T00:00:00"/>
        <d v="2020-05-03T00:00:00"/>
        <d v="2020-08-19T00:00:00"/>
        <d v="2020-06-08T00:00:00"/>
        <d v="2020-09-13T00:00:00"/>
        <d v="2020-10-20T00:00:00"/>
        <d v="2020-09-04T00:00:00"/>
        <d v="2020-08-20T00:00:00"/>
        <d v="2020-05-28T00:00:00"/>
        <d v="2020-01-10T00:00:00"/>
        <d v="2020-05-02T00:00:00"/>
        <d v="2020-11-26T00:00:00"/>
        <d v="2020-03-07T00:00:00"/>
        <d v="2020-01-27T00:00:00"/>
        <d v="2020-11-20T00:00:00"/>
        <d v="2020-02-06T00:00:00"/>
        <d v="2020-08-16T00:00:00"/>
        <d v="2020-05-24T00:00:00"/>
        <d v="2020-02-13T00:00:00"/>
        <d v="2020-01-02T00:00:00"/>
        <d v="2020-02-18T00:00:00"/>
        <d v="2020-12-31T00:00:00"/>
        <d v="2020-05-07T00:00:00"/>
        <d v="2020-02-23T00:00:00"/>
        <d v="2020-12-20T00:00:00"/>
        <d v="2020-02-11T00:00:00"/>
        <d v="2020-11-13T00:00:00"/>
        <d v="2020-11-01T00:00:00"/>
        <d v="2020-04-17T00:00:00"/>
        <d v="2020-12-14T00:00:00"/>
        <d v="2020-06-05T00:00:00"/>
      </sharedItems>
      <fieldGroup par="14" base="1">
        <rangePr groupBy="days" startDate="2020-01-01T00:00:00" endDate="2021-01-01T00:00:00"/>
        <groupItems count="368">
          <s v="&lt;1/1/2020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/1/2021"/>
        </groupItems>
      </fieldGroup>
    </cacheField>
    <cacheField name="Id Cliente" numFmtId="0">
      <sharedItems containsSemiMixedTypes="0" containsString="0" containsNumber="1" containsInteger="1" minValue="142416687" maxValue="9993785470"/>
    </cacheField>
    <cacheField name="Cliente" numFmtId="0">
      <sharedItems/>
    </cacheField>
    <cacheField name="Ciudad" numFmtId="0">
      <sharedItems/>
    </cacheField>
    <cacheField name="Provincia" numFmtId="0">
      <sharedItems count="11">
        <s v="Azuay"/>
        <s v="Canar"/>
        <s v="Chimborazo"/>
        <s v="Guayas"/>
        <s v="El Oro"/>
        <s v="Imbabura"/>
        <s v="Manabi"/>
        <s v="Esmeraldas"/>
        <s v="Guaranda"/>
        <s v="Pichincha"/>
        <s v="Tungurahua"/>
      </sharedItems>
    </cacheField>
    <cacheField name="Vendedor" numFmtId="0">
      <sharedItems count="8">
        <s v="Mayra Aguilar Sepúlveda"/>
        <s v="Andrés González Rico"/>
        <s v="Nancy Gil de la Peña"/>
        <s v="José de Jesús Morales"/>
        <s v="Luis Miguel Valdés Garza"/>
        <s v="Ana del Valle Hinojosa"/>
        <s v="Laura Gutiérrez Saenz"/>
        <s v="Robert Zárate Carrillo"/>
      </sharedItems>
    </cacheField>
    <cacheField name="Empresa" numFmtId="0">
      <sharedItems containsBlank="1"/>
    </cacheField>
    <cacheField name="Forma de pago" numFmtId="0">
      <sharedItems containsBlank="1"/>
    </cacheField>
    <cacheField name="Producto" numFmtId="0">
      <sharedItems containsBlank="1"/>
    </cacheField>
    <cacheField name="Categoría" numFmtId="0">
      <sharedItems count="15">
        <s v="Bebidas"/>
        <s v="Frutas secas"/>
        <s v="Productos horneados"/>
        <s v="Dulces"/>
        <s v="Sopas"/>
        <s v="Salsas"/>
        <s v="Mermeladas y jaleas"/>
        <s v="Condimentos"/>
        <s v="Carne enlatada"/>
        <s v="Pasta"/>
        <s v="Productos lácteos"/>
        <s v="Tarifa de envío"/>
        <s v="Frutas y vegetales"/>
        <s v="Aceite"/>
        <s v="Granos"/>
      </sharedItems>
    </cacheField>
    <cacheField name="Precio" numFmtId="43">
      <sharedItems containsString="0" containsBlank="1" containsNumber="1" minValue="11" maxValue="1134"/>
    </cacheField>
    <cacheField name="Cantidad" numFmtId="43">
      <sharedItems containsString="0" containsBlank="1" containsNumber="1" containsInteger="1" minValue="1" maxValue="100"/>
    </cacheField>
    <cacheField name="Ventas" numFmtId="43">
      <sharedItems containsString="0" containsBlank="1" containsNumber="1" minValue="34" maxValue="111132" count="326">
        <n v="140"/>
        <n v="34"/>
        <n v="798"/>
        <n v="1152"/>
        <n v="816"/>
        <n v="638"/>
        <n v="1722"/>
        <n v="198"/>
        <n v="2117"/>
        <n v="948"/>
        <n v="1036"/>
        <n v="2112"/>
        <n v="2016"/>
        <n v="3956"/>
        <n v="3936"/>
        <n v="4365"/>
        <n v="1690"/>
        <n v="3520"/>
        <n v="720"/>
        <n v="3360"/>
        <n v="1000"/>
        <n v="3750"/>
        <n v="84"/>
        <n v="774"/>
        <n v="1274"/>
        <n v="819"/>
        <n v="264"/>
        <n v="3772"/>
        <n v="2400"/>
        <n v="102"/>
        <n v="792"/>
        <n v="1071"/>
        <m/>
        <n v="6580"/>
        <n v="2401"/>
        <n v="40320"/>
        <n v="3348.7999999999997"/>
        <n v="20608"/>
        <n v="3647.7"/>
        <n v="12673.5"/>
        <n v="2320.5"/>
        <n v="30184"/>
        <n v="7350"/>
        <n v="14196"/>
        <n v="11872"/>
        <n v="51072"/>
        <n v="3139.5"/>
        <n v="15015"/>
        <n v="5359.1999999999989"/>
        <n v="10388"/>
        <n v="47600"/>
        <n v="12493.599999999999"/>
        <n v="6440"/>
        <n v="28993.300000000003"/>
        <n v="13104.699999999999"/>
        <n v="16743.999999999996"/>
        <n v="14112"/>
        <n v="2856"/>
        <n v="87318"/>
        <n v="3626"/>
        <n v="30693.599999999995"/>
        <n v="6720"/>
        <n v="39760"/>
        <n v="7700"/>
        <n v="1029"/>
        <n v="37520"/>
        <n v="19319.999999999996"/>
        <n v="10948"/>
        <n v="2352"/>
        <n v="18648"/>
        <n v="61824"/>
        <n v="1545.6"/>
        <n v="7985.5999999999985"/>
        <n v="6247.5"/>
        <n v="12834.5"/>
        <n v="9520"/>
        <n v="14815.5"/>
        <n v="3683.68"/>
        <n v="37996"/>
        <n v="9450"/>
        <n v="11396"/>
        <n v="9659.9999999999982"/>
        <n v="3479"/>
        <n v="13860"/>
        <n v="2499"/>
        <n v="5809.3"/>
        <n v="35280"/>
        <n v="23184"/>
        <n v="7318.5"/>
        <n v="1465.1"/>
        <n v="19964"/>
        <n v="18200"/>
        <n v="9240"/>
        <n v="5280.7999999999993"/>
        <n v="2156"/>
        <n v="3223.22"/>
        <n v="7308"/>
        <n v="49588"/>
        <n v="3055.7799999999997"/>
        <n v="9997.4"/>
        <n v="6439.9999999999991"/>
        <n v="22386"/>
        <n v="18026.399999999998"/>
        <n v="16464"/>
        <n v="40880"/>
        <n v="6568.7999999999993"/>
        <n v="10760.400000000001"/>
        <n v="11753.699999999999"/>
        <n v="16486.399999999998"/>
        <n v="4116"/>
        <n v="3391.5"/>
        <n v="26082"/>
        <n v="7056"/>
        <n v="10718.399999999998"/>
        <n v="11480"/>
        <n v="54880"/>
        <n v="45724"/>
        <n v="14000"/>
        <n v="24640"/>
        <n v="4894.3999999999996"/>
        <n v="1372"/>
        <n v="2511.6"/>
        <n v="8316"/>
        <n v="14168"/>
        <n v="2134.86"/>
        <n v="8106"/>
        <n v="25244.799999999996"/>
        <n v="7371"/>
        <n v="42873.599999999991"/>
        <n v="12740"/>
        <n v="21280"/>
        <n v="10303.999999999998"/>
        <n v="6860"/>
        <n v="26901.000000000004"/>
        <n v="10046.399999999998"/>
        <n v="15484"/>
        <n v="7854"/>
        <n v="111132"/>
        <n v="5978"/>
        <n v="14615.999999999998"/>
        <n v="15680"/>
        <n v="10360"/>
        <n v="4410"/>
        <n v="15120"/>
        <n v="18289.599999999999"/>
        <n v="47656"/>
        <n v="10267.6"/>
        <n v="17136"/>
        <n v="16422"/>
        <n v="28644"/>
        <n v="6300"/>
        <n v="53508"/>
        <n v="19320"/>
        <n v="45220"/>
        <n v="3390.66"/>
        <n v="4458.3"/>
        <n v="12107.199999999999"/>
        <n v="16653"/>
        <n v="13154.399999999998"/>
        <n v="50960"/>
        <n v="4636.7999999999993"/>
        <n v="4760"/>
        <n v="24210.9"/>
        <n v="3377.5"/>
        <n v="3091.2"/>
        <n v="4508"/>
        <n v="13566"/>
        <n v="62370"/>
        <n v="1862"/>
        <n v="5600"/>
        <n v="11200"/>
        <n v="1323"/>
        <n v="54320"/>
        <n v="10819.199999999999"/>
        <n v="15456"/>
        <n v="12159"/>
        <n v="4998"/>
        <n v="18032"/>
        <n v="10174.5"/>
        <n v="962.78"/>
        <n v="55384"/>
        <n v="16450"/>
        <n v="29876"/>
        <n v="12364.8"/>
        <n v="1519"/>
        <n v="2176.7199999999998"/>
        <n v="22932"/>
        <n v="9016"/>
        <n v="1841.84"/>
        <n v="20607.999999999996"/>
        <n v="18018"/>
        <n v="15590.399999999998"/>
        <n v="10192"/>
        <n v="43680"/>
        <n v="6955.1999999999989"/>
        <n v="17934.000000000004"/>
        <n v="2566.9"/>
        <n v="17001.599999999999"/>
        <n v="8232"/>
        <n v="12852"/>
        <n v="36288"/>
        <n v="7448"/>
        <n v="10690.399999999998"/>
        <n v="4459"/>
        <n v="2679.04"/>
        <n v="14616"/>
        <n v="62468"/>
        <n v="586.04"/>
        <n v="9186.7999999999993"/>
        <n v="8243.1999999999989"/>
        <n v="13104"/>
        <n v="27770.399999999998"/>
        <n v="13132"/>
        <n v="26880"/>
        <n v="9917.5999999999985"/>
        <n v="13160"/>
        <n v="16140.600000000002"/>
        <n v="9800"/>
        <n v="61236"/>
        <n v="3822"/>
        <n v="9940"/>
        <n v="49280"/>
        <n v="8260"/>
        <n v="52640"/>
        <n v="10888.5"/>
        <n v="1339.52"/>
        <n v="39928"/>
        <n v="21000"/>
        <n v="15708"/>
        <n v="6311.1999999999989"/>
        <n v="980"/>
        <n v="2051.14"/>
        <n v="5544"/>
        <n v="47012"/>
        <n v="3558.1"/>
        <n v="5944.4"/>
        <n v="6182.4"/>
        <n v="17472"/>
        <n v="34103.999999999993"/>
        <n v="19208"/>
        <n v="12879.999999999998"/>
        <n v="12600"/>
        <n v="14646.100000000002"/>
        <n v="9592.1"/>
        <n v="2575.9999999999995"/>
        <n v="15288"/>
        <n v="92988"/>
        <n v="2842"/>
        <n v="45309.599999999991"/>
        <n v="1540"/>
        <n v="1680"/>
        <n v="33600"/>
        <n v="5924.7999999999993"/>
        <n v="21896"/>
        <n v="12023.9"/>
        <n v="14637"/>
        <n v="7675.5"/>
        <n v="29568"/>
        <n v="4379.2"/>
        <n v="2058"/>
        <n v="4186"/>
        <n v="10584"/>
        <n v="10304"/>
        <n v="920.92"/>
        <n v="6214.5999999999995"/>
        <n v="25759.999999999996"/>
        <n v="23751"/>
        <n v="28257.599999999995"/>
        <n v="16660"/>
        <n v="2447.1999999999998"/>
        <n v="20624.100000000002"/>
        <n v="4998.7"/>
        <n v="2677.5"/>
        <n v="58968"/>
        <n v="11692.8"/>
        <n v="5040"/>
        <n v="13440"/>
        <n v="2800"/>
        <n v="539"/>
        <n v="19577.599999999999"/>
        <n v="36708"/>
        <n v="1891.3999999999999"/>
        <n v="2744"/>
        <n v="3430"/>
        <n v="42000"/>
        <n v="20034"/>
        <n v="14364"/>
        <n v="53452"/>
        <n v="9788.7999999999993"/>
        <n v="8389.5"/>
        <n v="12969.599999999999"/>
        <n v="17920"/>
        <n v="1716.26"/>
        <n v="26404"/>
        <n v="32900"/>
        <n v="6160"/>
        <n v="1674.3999999999999"/>
        <n v="2218.58"/>
        <n v="24948"/>
        <n v="57316"/>
        <n v="13239.8"/>
        <n v="22153.599999999999"/>
        <n v="5460"/>
        <n v="33616.799999999996"/>
        <n v="13328"/>
        <n v="29120"/>
        <n v="5151.9999999999991"/>
        <n v="26303.200000000004"/>
        <n v="23956.799999999996"/>
        <n v="18816"/>
        <n v="2142"/>
        <n v="43092"/>
        <n v="48719.999999999993"/>
        <n v="12460"/>
        <n v="13580"/>
        <n v="2597"/>
        <n v="34160"/>
        <n v="11591.999999999998"/>
        <n v="27692"/>
        <n v="2431.7999999999997"/>
        <n v="20020"/>
        <n v="4550"/>
        <n v="29484"/>
        <n v="25228"/>
        <n v="31388"/>
        <n v="1004.64"/>
      </sharedItems>
      <fieldGroup base="13">
        <rangePr autoStart="0" autoEnd="0" startNum="0" endNum="120000" groupInterval="20000"/>
        <groupItems count="8">
          <s v="&lt;0 o (en blanco)"/>
          <s v="0-20000"/>
          <s v="20000-40000"/>
          <s v="40000-60000"/>
          <s v="60000-80000"/>
          <s v="80000-100000"/>
          <s v="100000-120000"/>
          <s v="&gt;120000"/>
        </groupItems>
      </fieldGroup>
    </cacheField>
    <cacheField name="Meses" numFmtId="0" databaseField="0">
      <fieldGroup base="1">
        <rangePr groupBy="months" startDate="2020-01-01T00:00:00" endDate="2021-01-01T00:00:00"/>
        <groupItems count="14">
          <s v="&lt;1/1/2020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1/2021"/>
        </groupItems>
      </fieldGroup>
    </cacheField>
  </cacheFields>
  <extLst>
    <ext xmlns:x14="http://schemas.microsoft.com/office/spreadsheetml/2009/9/main" uri="{725AE2AE-9491-48be-B2B4-4EB974FC3084}">
      <x14:pivotCacheDefinition pivotCacheId="15393718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jandro romero" refreshedDate="45393.875295717589" createdVersion="6" refreshedVersion="6" minRefreshableVersion="3" recordCount="370" xr:uid="{D38D74C3-3153-462E-821C-0D038A147F2F}">
  <cacheSource type="worksheet">
    <worksheetSource name="Tabla1"/>
  </cacheSource>
  <cacheFields count="16">
    <cacheField name="Documento" numFmtId="0">
      <sharedItems containsSemiMixedTypes="0" containsString="0" containsNumber="1" containsInteger="1" minValue="1" maxValue="370"/>
    </cacheField>
    <cacheField name="Fecha" numFmtId="165">
      <sharedItems containsSemiMixedTypes="0" containsNonDate="0" containsDate="1" containsString="0" minDate="2020-01-01T00:00:00" maxDate="2021-01-01T00:00:00" count="229">
        <d v="2020-04-09T00:00:00"/>
        <d v="2020-08-25T00:00:00"/>
        <d v="2020-03-18T00:00:00"/>
        <d v="2020-05-23T00:00:00"/>
        <d v="2020-04-23T00:00:00"/>
        <d v="2020-12-19T00:00:00"/>
        <d v="2020-10-29T00:00:00"/>
        <d v="2020-02-02T00:00:00"/>
        <d v="2020-11-23T00:00:00"/>
        <d v="2020-06-17T00:00:00"/>
        <d v="2020-08-02T00:00:00"/>
        <d v="2020-01-13T00:00:00"/>
        <d v="2020-01-31T00:00:00"/>
        <d v="2020-07-25T00:00:00"/>
        <d v="2020-06-27T00:00:00"/>
        <d v="2020-08-22T00:00:00"/>
        <d v="2020-04-16T00:00:00"/>
        <d v="2020-12-07T00:00:00"/>
        <d v="2020-02-14T00:00:00"/>
        <d v="2020-11-03T00:00:00"/>
        <d v="2020-03-28T00:00:00"/>
        <d v="2020-07-27T00:00:00"/>
        <d v="2020-06-11T00:00:00"/>
        <d v="2020-02-24T00:00:00"/>
        <d v="2020-08-12T00:00:00"/>
        <d v="2020-05-14T00:00:00"/>
        <d v="2020-11-11T00:00:00"/>
        <d v="2020-11-09T00:00:00"/>
        <d v="2020-01-15T00:00:00"/>
        <d v="2020-05-16T00:00:00"/>
        <d v="2020-02-01T00:00:00"/>
        <d v="2020-12-02T00:00:00"/>
        <d v="2020-02-09T00:00:00"/>
        <d v="2020-12-27T00:00:00"/>
        <d v="2020-05-31T00:00:00"/>
        <d v="2020-05-01T00:00:00"/>
        <d v="2020-09-16T00:00:00"/>
        <d v="2020-06-01T00:00:00"/>
        <d v="2020-08-27T00:00:00"/>
        <d v="2020-06-16T00:00:00"/>
        <d v="2020-10-25T00:00:00"/>
        <d v="2020-11-30T00:00:00"/>
        <d v="2020-03-30T00:00:00"/>
        <d v="2020-02-19T00:00:00"/>
        <d v="2020-04-01T00:00:00"/>
        <d v="2020-06-10T00:00:00"/>
        <d v="2020-10-03T00:00:00"/>
        <d v="2020-10-19T00:00:00"/>
        <d v="2020-09-14T00:00:00"/>
        <d v="2020-12-13T00:00:00"/>
        <d v="2020-05-13T00:00:00"/>
        <d v="2020-02-21T00:00:00"/>
        <d v="2020-11-19T00:00:00"/>
        <d v="2020-09-01T00:00:00"/>
        <d v="2020-12-06T00:00:00"/>
        <d v="2020-01-25T00:00:00"/>
        <d v="2020-07-22T00:00:00"/>
        <d v="2020-10-13T00:00:00"/>
        <d v="2020-12-09T00:00:00"/>
        <d v="2020-02-29T00:00:00"/>
        <d v="2020-04-24T00:00:00"/>
        <d v="2020-08-09T00:00:00"/>
        <d v="2020-10-11T00:00:00"/>
        <d v="2020-05-15T00:00:00"/>
        <d v="2020-05-11T00:00:00"/>
        <d v="2020-06-28T00:00:00"/>
        <d v="2020-05-25T00:00:00"/>
        <d v="2020-04-18T00:00:00"/>
        <d v="2020-06-13T00:00:00"/>
        <d v="2020-02-27T00:00:00"/>
        <d v="2020-06-09T00:00:00"/>
        <d v="2020-11-14T00:00:00"/>
        <d v="2020-07-17T00:00:00"/>
        <d v="2020-01-01T00:00:00"/>
        <d v="2020-09-25T00:00:00"/>
        <d v="2020-08-28T00:00:00"/>
        <d v="2020-09-30T00:00:00"/>
        <d v="2020-02-05T00:00:00"/>
        <d v="2020-07-05T00:00:00"/>
        <d v="2020-04-03T00:00:00"/>
        <d v="2020-06-12T00:00:00"/>
        <d v="2020-03-01T00:00:00"/>
        <d v="2020-08-26T00:00:00"/>
        <d v="2020-04-02T00:00:00"/>
        <d v="2020-09-26T00:00:00"/>
        <d v="2020-07-12T00:00:00"/>
        <d v="2020-04-13T00:00:00"/>
        <d v="2020-09-22T00:00:00"/>
        <d v="2020-10-02T00:00:00"/>
        <d v="2020-03-12T00:00:00"/>
        <d v="2020-08-31T00:00:00"/>
        <d v="2020-07-13T00:00:00"/>
        <d v="2020-11-25T00:00:00"/>
        <d v="2020-04-26T00:00:00"/>
        <d v="2020-10-18T00:00:00"/>
        <d v="2020-09-29T00:00:00"/>
        <d v="2020-08-30T00:00:00"/>
        <d v="2020-12-26T00:00:00"/>
        <d v="2020-12-18T00:00:00"/>
        <d v="2020-07-07T00:00:00"/>
        <d v="2020-02-15T00:00:00"/>
        <d v="2020-09-27T00:00:00"/>
        <d v="2020-09-20T00:00:00"/>
        <d v="2020-11-22T00:00:00"/>
        <d v="2020-03-26T00:00:00"/>
        <d v="2020-01-07T00:00:00"/>
        <d v="2020-07-30T00:00:00"/>
        <d v="2020-09-18T00:00:00"/>
        <d v="2020-02-26T00:00:00"/>
        <d v="2020-09-06T00:00:00"/>
        <d v="2020-09-19T00:00:00"/>
        <d v="2020-10-15T00:00:00"/>
        <d v="2020-09-11T00:00:00"/>
        <d v="2020-04-22T00:00:00"/>
        <d v="2020-08-14T00:00:00"/>
        <d v="2020-04-08T00:00:00"/>
        <d v="2020-06-04T00:00:00"/>
        <d v="2020-08-15T00:00:00"/>
        <d v="2020-08-04T00:00:00"/>
        <d v="2020-04-27T00:00:00"/>
        <d v="2020-08-11T00:00:00"/>
        <d v="2020-10-16T00:00:00"/>
        <d v="2020-01-16T00:00:00"/>
        <d v="2020-06-19T00:00:00"/>
        <d v="2020-04-06T00:00:00"/>
        <d v="2020-08-03T00:00:00"/>
        <d v="2020-12-04T00:00:00"/>
        <d v="2020-08-13T00:00:00"/>
        <d v="2020-04-25T00:00:00"/>
        <d v="2020-04-30T00:00:00"/>
        <d v="2020-11-06T00:00:00"/>
        <d v="2020-09-09T00:00:00"/>
        <d v="2020-05-12T00:00:00"/>
        <d v="2020-10-28T00:00:00"/>
        <d v="2020-07-06T00:00:00"/>
        <d v="2020-05-21T00:00:00"/>
        <d v="2020-08-06T00:00:00"/>
        <d v="2020-08-21T00:00:00"/>
        <d v="2020-04-21T00:00:00"/>
        <d v="2020-09-24T00:00:00"/>
        <d v="2020-01-29T00:00:00"/>
        <d v="2020-07-14T00:00:00"/>
        <d v="2020-03-03T00:00:00"/>
        <d v="2020-01-14T00:00:00"/>
        <d v="2020-06-26T00:00:00"/>
        <d v="2020-04-12T00:00:00"/>
        <d v="2020-12-23T00:00:00"/>
        <d v="2020-02-03T00:00:00"/>
        <d v="2020-05-08T00:00:00"/>
        <d v="2020-10-14T00:00:00"/>
        <d v="2020-07-26T00:00:00"/>
        <d v="2020-11-27T00:00:00"/>
        <d v="2020-05-10T00:00:00"/>
        <d v="2020-07-31T00:00:00"/>
        <d v="2020-01-23T00:00:00"/>
        <d v="2020-03-15T00:00:00"/>
        <d v="2020-06-15T00:00:00"/>
        <d v="2020-06-22T00:00:00"/>
        <d v="2020-10-05T00:00:00"/>
        <d v="2020-04-11T00:00:00"/>
        <d v="2020-10-27T00:00:00"/>
        <d v="2020-04-05T00:00:00"/>
        <d v="2020-11-04T00:00:00"/>
        <d v="2020-03-09T00:00:00"/>
        <d v="2020-09-02T00:00:00"/>
        <d v="2020-01-21T00:00:00"/>
        <d v="2020-02-17T00:00:00"/>
        <d v="2020-02-25T00:00:00"/>
        <d v="2020-07-24T00:00:00"/>
        <d v="2020-03-05T00:00:00"/>
        <d v="2020-05-26T00:00:00"/>
        <d v="2020-04-19T00:00:00"/>
        <d v="2020-12-03T00:00:00"/>
        <d v="2020-12-12T00:00:00"/>
        <d v="2020-04-04T00:00:00"/>
        <d v="2020-09-05T00:00:00"/>
        <d v="2020-11-07T00:00:00"/>
        <d v="2020-11-17T00:00:00"/>
        <d v="2020-01-19T00:00:00"/>
        <d v="2020-01-28T00:00:00"/>
        <d v="2020-06-02T00:00:00"/>
        <d v="2020-06-06T00:00:00"/>
        <d v="2020-09-21T00:00:00"/>
        <d v="2020-10-09T00:00:00"/>
        <d v="2020-02-16T00:00:00"/>
        <d v="2020-06-18T00:00:00"/>
        <d v="2020-03-16T00:00:00"/>
        <d v="2020-11-08T00:00:00"/>
        <d v="2020-10-26T00:00:00"/>
        <d v="2020-09-03T00:00:00"/>
        <d v="2020-03-17T00:00:00"/>
        <d v="2020-07-11T00:00:00"/>
        <d v="2020-04-10T00:00:00"/>
        <d v="2020-09-23T00:00:00"/>
        <d v="2020-12-08T00:00:00"/>
        <d v="2020-07-16T00:00:00"/>
        <d v="2020-03-25T00:00:00"/>
        <d v="2020-02-22T00:00:00"/>
        <d v="2020-08-01T00:00:00"/>
        <d v="2020-05-03T00:00:00"/>
        <d v="2020-08-19T00:00:00"/>
        <d v="2020-06-08T00:00:00"/>
        <d v="2020-09-13T00:00:00"/>
        <d v="2020-10-20T00:00:00"/>
        <d v="2020-09-04T00:00:00"/>
        <d v="2020-08-20T00:00:00"/>
        <d v="2020-05-28T00:00:00"/>
        <d v="2020-01-10T00:00:00"/>
        <d v="2020-05-02T00:00:00"/>
        <d v="2020-11-26T00:00:00"/>
        <d v="2020-03-07T00:00:00"/>
        <d v="2020-01-27T00:00:00"/>
        <d v="2020-11-20T00:00:00"/>
        <d v="2020-02-06T00:00:00"/>
        <d v="2020-08-16T00:00:00"/>
        <d v="2020-05-24T00:00:00"/>
        <d v="2020-02-13T00:00:00"/>
        <d v="2020-01-02T00:00:00"/>
        <d v="2020-02-18T00:00:00"/>
        <d v="2020-12-31T00:00:00"/>
        <d v="2020-05-07T00:00:00"/>
        <d v="2020-02-23T00:00:00"/>
        <d v="2020-12-20T00:00:00"/>
        <d v="2020-02-11T00:00:00"/>
        <d v="2020-11-13T00:00:00"/>
        <d v="2020-11-01T00:00:00"/>
        <d v="2020-04-17T00:00:00"/>
        <d v="2020-12-14T00:00:00"/>
        <d v="2020-06-05T00:00:00"/>
      </sharedItems>
      <fieldGroup par="15" base="1">
        <rangePr groupBy="days" startDate="2020-01-01T00:00:00" endDate="2021-01-01T00:00:00"/>
        <groupItems count="368">
          <s v="&lt;1/1/2020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/1/2021"/>
        </groupItems>
      </fieldGroup>
    </cacheField>
    <cacheField name="Id Cliente" numFmtId="0">
      <sharedItems containsSemiMixedTypes="0" containsString="0" containsNumber="1" containsInteger="1" minValue="142416687" maxValue="9993785470"/>
    </cacheField>
    <cacheField name="Cliente" numFmtId="0">
      <sharedItems/>
    </cacheField>
    <cacheField name="Ciudad" numFmtId="0">
      <sharedItems/>
    </cacheField>
    <cacheField name="Provincia" numFmtId="0">
      <sharedItems/>
    </cacheField>
    <cacheField name="Vendedor" numFmtId="0">
      <sharedItems/>
    </cacheField>
    <cacheField name="Empresa" numFmtId="0">
      <sharedItems containsBlank="1" count="5">
        <s v="Empresa de embarque B"/>
        <s v="Empresa de embarque A"/>
        <s v="Empresa de embarque C"/>
        <s v="Empresa de embarque D"/>
        <m u="1"/>
      </sharedItems>
    </cacheField>
    <cacheField name="Forma de pago" numFmtId="0">
      <sharedItems/>
    </cacheField>
    <cacheField name="Producto" numFmtId="0">
      <sharedItems/>
    </cacheField>
    <cacheField name="Categoría" numFmtId="0">
      <sharedItems/>
    </cacheField>
    <cacheField name="Precio" numFmtId="43">
      <sharedItems containsMixedTypes="1" containsNumber="1" minValue="11" maxValue="1134" count="46">
        <n v="14"/>
        <n v="34"/>
        <n v="16"/>
        <n v="12"/>
        <n v="22"/>
        <n v="42"/>
        <n v="11"/>
        <n v="29"/>
        <n v="28"/>
        <n v="33"/>
        <n v="21"/>
        <n v="46"/>
        <n v="41"/>
        <n v="45"/>
        <n v="26"/>
        <n v="40"/>
        <n v="35"/>
        <n v="20"/>
        <n v="50"/>
        <n v="43"/>
        <n v="39"/>
        <n v="32"/>
        <n v="24"/>
        <s v="Empresa de embarque D"/>
        <n v="140"/>
        <n v="49"/>
        <n v="560"/>
        <n v="257.59999999999997"/>
        <n v="644"/>
        <n v="135.1"/>
        <n v="178.5"/>
        <n v="308"/>
        <n v="350"/>
        <n v="546"/>
        <n v="420"/>
        <n v="742"/>
        <n v="532"/>
        <n v="41.86"/>
        <n v="273"/>
        <n v="487.19999999999993"/>
        <n v="196"/>
        <n v="128.79999999999998"/>
        <n v="298.90000000000003"/>
        <n v="1134"/>
        <n v="98"/>
        <n v="252"/>
      </sharedItems>
    </cacheField>
    <cacheField name="Cantidad" numFmtId="43">
      <sharedItems containsMixedTypes="1" containsNumber="1" containsInteger="1" minValue="1" maxValue="100"/>
    </cacheField>
    <cacheField name="Ventas" numFmtId="43">
      <sharedItems containsMixedTypes="1" containsNumber="1" minValue="34" maxValue="111132"/>
    </cacheField>
    <cacheField name="Meses" numFmtId="0" databaseField="0">
      <fieldGroup base="1">
        <rangePr groupBy="months" startDate="2020-01-01T00:00:00" endDate="2021-01-01T00:00:00"/>
        <groupItems count="14">
          <s v="&lt;1/1/2020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1/2021"/>
        </groupItems>
      </fieldGroup>
    </cacheField>
    <cacheField name="Trimestres" numFmtId="0" databaseField="0">
      <fieldGroup base="1">
        <rangePr groupBy="quarters" startDate="2020-01-01T00:00:00" endDate="2021-01-01T00:00:00"/>
        <groupItems count="6">
          <s v="&lt;1/1/2020"/>
          <s v="Trim.1"/>
          <s v="Trim.2"/>
          <s v="Trim.3"/>
          <s v="Trim.4"/>
          <s v="&gt;1/1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9">
  <r>
    <n v="1"/>
    <x v="0"/>
    <n v="9259377217"/>
    <s v="Empresa AA"/>
    <s v="Cuenca"/>
    <x v="0"/>
    <x v="0"/>
    <s v="Empresa de embarque B"/>
    <s v="Cheque"/>
    <s v="Cerveza"/>
    <x v="0"/>
    <n v="14"/>
    <n v="10"/>
    <x v="0"/>
  </r>
  <r>
    <n v="2"/>
    <x v="1"/>
    <n v="6185253419"/>
    <s v="Empresa AA"/>
    <s v="Cuenca"/>
    <x v="0"/>
    <x v="0"/>
    <s v="Empresa de embarque B"/>
    <s v="Cheque"/>
    <s v="Ciruelas secas"/>
    <x v="1"/>
    <n v="34"/>
    <n v="1"/>
    <x v="1"/>
  </r>
  <r>
    <n v="3"/>
    <x v="2"/>
    <n v="2308885942"/>
    <s v="Empresa D"/>
    <s v="Azogues"/>
    <x v="1"/>
    <x v="1"/>
    <s v="Empresa de embarque A"/>
    <s v="Tarjeta de crédito"/>
    <s v="Peras secas"/>
    <x v="1"/>
    <n v="14"/>
    <n v="57"/>
    <x v="2"/>
  </r>
  <r>
    <n v="4"/>
    <x v="3"/>
    <n v="6199717898"/>
    <s v="Empresa D"/>
    <s v="Azogues"/>
    <x v="1"/>
    <x v="1"/>
    <s v="Empresa de embarque A"/>
    <s v="Tarjeta de crédito"/>
    <s v="Manzanas secas"/>
    <x v="1"/>
    <n v="16"/>
    <n v="72"/>
    <x v="3"/>
  </r>
  <r>
    <n v="5"/>
    <x v="4"/>
    <n v="5540683029"/>
    <s v="Empresa D"/>
    <s v="Azogues"/>
    <x v="1"/>
    <x v="1"/>
    <s v="Empresa de embarque A"/>
    <s v="Tarjeta de crédito"/>
    <s v="Ciruelas secas"/>
    <x v="1"/>
    <n v="12"/>
    <n v="68"/>
    <x v="4"/>
  </r>
  <r>
    <n v="6"/>
    <x v="5"/>
    <n v="6343955045"/>
    <s v="Empresa L"/>
    <s v="Cuenca"/>
    <x v="0"/>
    <x v="0"/>
    <s v="Empresa de embarque B"/>
    <s v="Tarjeta de crédito"/>
    <s v="Té chai"/>
    <x v="0"/>
    <n v="22"/>
    <n v="29"/>
    <x v="5"/>
  </r>
  <r>
    <n v="7"/>
    <x v="6"/>
    <n v="1572125717"/>
    <s v="Empresa L"/>
    <s v="Cuenca"/>
    <x v="0"/>
    <x v="0"/>
    <s v="Empresa de embarque B"/>
    <s v="Tarjeta de crédito"/>
    <s v="Café"/>
    <x v="0"/>
    <n v="42"/>
    <n v="41"/>
    <x v="6"/>
  </r>
  <r>
    <n v="8"/>
    <x v="7"/>
    <n v="3776895536"/>
    <s v="Empresa H"/>
    <s v="Riobamba"/>
    <x v="2"/>
    <x v="2"/>
    <s v="Empresa de embarque C"/>
    <s v="Tarjeta de crédito"/>
    <s v="Galletas de chocolate"/>
    <x v="2"/>
    <n v="11"/>
    <n v="18"/>
    <x v="7"/>
  </r>
  <r>
    <n v="9"/>
    <x v="8"/>
    <n v="390733860"/>
    <s v="Empresa D"/>
    <s v="Azogues"/>
    <x v="1"/>
    <x v="1"/>
    <s v="Empresa de embarque C"/>
    <s v="Cheque"/>
    <s v="Galletas de chocolate"/>
    <x v="2"/>
    <n v="29"/>
    <n v="73"/>
    <x v="8"/>
  </r>
  <r>
    <n v="10"/>
    <x v="7"/>
    <n v="2456709195"/>
    <s v="Empresa CC"/>
    <s v="Guayaquil"/>
    <x v="3"/>
    <x v="3"/>
    <s v="Empresa de embarque B"/>
    <s v="Cheque"/>
    <s v="Chocolate"/>
    <x v="3"/>
    <n v="12"/>
    <n v="79"/>
    <x v="9"/>
  </r>
  <r>
    <n v="11"/>
    <x v="9"/>
    <n v="5766090086"/>
    <s v="Empresa C"/>
    <s v="Machala"/>
    <x v="4"/>
    <x v="0"/>
    <s v="Empresa de embarque B"/>
    <s v="Efectivo"/>
    <s v="Almejas"/>
    <x v="4"/>
    <n v="28"/>
    <n v="37"/>
    <x v="10"/>
  </r>
  <r>
    <n v="12"/>
    <x v="10"/>
    <n v="4872781256"/>
    <s v="Empresa F"/>
    <s v="Ibarra"/>
    <x v="5"/>
    <x v="4"/>
    <s v="Empresa de embarque B"/>
    <s v="Tarjeta de crédito"/>
    <s v="Salsa curry"/>
    <x v="5"/>
    <n v="33"/>
    <n v="64"/>
    <x v="11"/>
  </r>
  <r>
    <n v="13"/>
    <x v="11"/>
    <n v="4213140599"/>
    <s v="Empresa BB"/>
    <s v="Manta"/>
    <x v="6"/>
    <x v="5"/>
    <s v="Empresa de embarque C"/>
    <s v="Cheque"/>
    <s v="Café"/>
    <x v="0"/>
    <n v="21"/>
    <n v="96"/>
    <x v="12"/>
  </r>
  <r>
    <n v="14"/>
    <x v="12"/>
    <n v="9433063552"/>
    <s v="Empresa H"/>
    <s v="Riobamba"/>
    <x v="2"/>
    <x v="2"/>
    <s v="Empresa de embarque C"/>
    <s v="Cheque"/>
    <s v="Chocolate"/>
    <x v="3"/>
    <n v="46"/>
    <n v="86"/>
    <x v="13"/>
  </r>
  <r>
    <n v="15"/>
    <x v="13"/>
    <n v="8539365209"/>
    <s v="Empresa J"/>
    <s v="Esmeraldas"/>
    <x v="7"/>
    <x v="6"/>
    <s v="Empresa de embarque B"/>
    <s v="Tarjeta de crédito"/>
    <s v="Té verde"/>
    <x v="0"/>
    <n v="41"/>
    <n v="96"/>
    <x v="14"/>
  </r>
  <r>
    <n v="16"/>
    <x v="14"/>
    <n v="6983099686"/>
    <s v="Empresa G"/>
    <s v="Guaranda"/>
    <x v="8"/>
    <x v="2"/>
    <m/>
    <m/>
    <s v="Café"/>
    <x v="0"/>
    <n v="45"/>
    <n v="97"/>
    <x v="15"/>
  </r>
  <r>
    <n v="17"/>
    <x v="15"/>
    <n v="3008945605"/>
    <s v="Empresa J"/>
    <s v="Esmeraldas"/>
    <x v="7"/>
    <x v="6"/>
    <s v="Empresa de embarque A"/>
    <m/>
    <s v="Jalea de fresa"/>
    <x v="6"/>
    <n v="26"/>
    <n v="65"/>
    <x v="16"/>
  </r>
  <r>
    <n v="18"/>
    <x v="16"/>
    <n v="5388305959"/>
    <s v="Empresa J"/>
    <s v="Esmeraldas"/>
    <x v="7"/>
    <x v="6"/>
    <s v="Empresa de embarque A"/>
    <m/>
    <s v="Condimento cajún"/>
    <x v="7"/>
    <n v="40"/>
    <n v="88"/>
    <x v="17"/>
  </r>
  <r>
    <n v="19"/>
    <x v="17"/>
    <n v="438272084"/>
    <s v="Empresa J"/>
    <s v="Esmeraldas"/>
    <x v="7"/>
    <x v="6"/>
    <s v="Empresa de embarque A"/>
    <m/>
    <s v="Galletas de chocolate"/>
    <x v="2"/>
    <n v="12"/>
    <n v="60"/>
    <x v="18"/>
  </r>
  <r>
    <n v="20"/>
    <x v="18"/>
    <n v="2536792311"/>
    <s v="Empresa K"/>
    <s v="Quito"/>
    <x v="9"/>
    <x v="5"/>
    <s v="Empresa de embarque C"/>
    <m/>
    <s v="Ciruelas secas"/>
    <x v="1"/>
    <n v="35"/>
    <n v="96"/>
    <x v="19"/>
  </r>
  <r>
    <n v="21"/>
    <x v="19"/>
    <n v="7813757711"/>
    <s v="Empresa K"/>
    <s v="Quito"/>
    <x v="9"/>
    <x v="5"/>
    <s v="Empresa de embarque C"/>
    <m/>
    <s v="Té verde"/>
    <x v="0"/>
    <n v="20"/>
    <n v="50"/>
    <x v="20"/>
  </r>
  <r>
    <n v="22"/>
    <x v="20"/>
    <n v="4786931679"/>
    <s v="Empresa A"/>
    <s v="Ambato"/>
    <x v="10"/>
    <x v="2"/>
    <m/>
    <m/>
    <s v="Té chai"/>
    <x v="0"/>
    <n v="50"/>
    <n v="75"/>
    <x v="21"/>
  </r>
  <r>
    <n v="23"/>
    <x v="21"/>
    <n v="3021659728"/>
    <s v="Empresa A"/>
    <s v="Ambato"/>
    <x v="10"/>
    <x v="2"/>
    <m/>
    <m/>
    <s v="Café"/>
    <x v="0"/>
    <n v="21"/>
    <n v="4"/>
    <x v="22"/>
  </r>
  <r>
    <n v="24"/>
    <x v="22"/>
    <n v="2591950684"/>
    <s v="Empresa A"/>
    <s v="Ambato"/>
    <x v="10"/>
    <x v="2"/>
    <m/>
    <m/>
    <s v="Té verde"/>
    <x v="0"/>
    <n v="43"/>
    <n v="18"/>
    <x v="23"/>
  </r>
  <r>
    <n v="25"/>
    <x v="23"/>
    <n v="9326361454"/>
    <s v="Empresa BB"/>
    <s v="Manta"/>
    <x v="6"/>
    <x v="5"/>
    <s v="Empresa de embarque C"/>
    <s v="Tarjeta de crédito"/>
    <s v="Almejas"/>
    <x v="4"/>
    <n v="26"/>
    <n v="49"/>
    <x v="24"/>
  </r>
  <r>
    <n v="26"/>
    <x v="24"/>
    <n v="3769138349"/>
    <s v="Empresa BB"/>
    <s v="Manta"/>
    <x v="6"/>
    <x v="5"/>
    <s v="Empresa de embarque C"/>
    <s v="Tarjeta de crédito"/>
    <s v="Carne de cangrejo"/>
    <x v="8"/>
    <n v="39"/>
    <n v="21"/>
    <x v="25"/>
  </r>
  <r>
    <n v="27"/>
    <x v="2"/>
    <n v="5871657714"/>
    <s v="Empresa I"/>
    <s v="Guayaquil"/>
    <x v="3"/>
    <x v="7"/>
    <s v="Empresa de embarque A"/>
    <s v="Cheque"/>
    <s v="Ravioli"/>
    <x v="9"/>
    <n v="33"/>
    <n v="8"/>
    <x v="26"/>
  </r>
  <r>
    <n v="28"/>
    <x v="25"/>
    <n v="1534553307"/>
    <s v="Empresa I"/>
    <s v="Guayaquil"/>
    <x v="3"/>
    <x v="7"/>
    <s v="Empresa de embarque A"/>
    <s v="Cheque"/>
    <s v="Mozzarella"/>
    <x v="10"/>
    <n v="46"/>
    <n v="82"/>
    <x v="27"/>
  </r>
  <r>
    <n v="29"/>
    <x v="26"/>
    <n v="8474620707"/>
    <s v="Empresa F"/>
    <s v="Ibarra"/>
    <x v="5"/>
    <x v="4"/>
    <s v="Empresa de embarque B"/>
    <s v="Tarjeta de crédito"/>
    <s v="Cerveza"/>
    <x v="0"/>
    <n v="32"/>
    <n v="75"/>
    <x v="28"/>
  </r>
  <r>
    <n v="30"/>
    <x v="27"/>
    <n v="3530767380"/>
    <s v="Empresa H"/>
    <s v="Riobamba"/>
    <x v="2"/>
    <x v="2"/>
    <s v="Empresa de embarque B"/>
    <s v="Cheque"/>
    <s v="Salsa curry"/>
    <x v="5"/>
    <n v="34"/>
    <n v="3"/>
    <x v="29"/>
  </r>
  <r>
    <n v="31"/>
    <x v="28"/>
    <n v="6673950624"/>
    <s v="Empresa C"/>
    <s v="Machala"/>
    <x v="4"/>
    <x v="0"/>
    <s v="Empresa de embarque B"/>
    <s v="Efectivo"/>
    <s v="Jarabe"/>
    <x v="7"/>
    <n v="24"/>
    <n v="33"/>
    <x v="30"/>
  </r>
  <r>
    <n v="32"/>
    <x v="29"/>
    <n v="7137547321"/>
    <s v="Empresa C"/>
    <s v="Machala"/>
    <x v="4"/>
    <x v="0"/>
    <s v="Empresa de embarque B"/>
    <s v="Efectivo"/>
    <s v="Salsa curry"/>
    <x v="5"/>
    <n v="21"/>
    <n v="51"/>
    <x v="31"/>
  </r>
  <r>
    <n v="33"/>
    <x v="30"/>
    <n v="9655985375"/>
    <s v="Empresa F"/>
    <s v="Ibarra"/>
    <x v="5"/>
    <x v="4"/>
    <s v="Empresa de embarque B"/>
    <s v="Tarjeta de crédito"/>
    <m/>
    <x v="11"/>
    <m/>
    <m/>
    <x v="32"/>
  </r>
  <r>
    <n v="34"/>
    <x v="31"/>
    <n v="299812367"/>
    <s v="Empresa BB"/>
    <s v="Manta"/>
    <x v="6"/>
    <x v="5"/>
    <s v="Empresa de embarque C"/>
    <s v="Cheque"/>
    <m/>
    <x v="11"/>
    <m/>
    <m/>
    <x v="32"/>
  </r>
  <r>
    <n v="35"/>
    <x v="32"/>
    <n v="7779151222"/>
    <s v="Empresa H"/>
    <s v="Riobamba"/>
    <x v="2"/>
    <x v="2"/>
    <s v="Empresa de embarque C"/>
    <s v="Cheque"/>
    <m/>
    <x v="11"/>
    <m/>
    <m/>
    <x v="32"/>
  </r>
  <r>
    <n v="36"/>
    <x v="33"/>
    <n v="9282360094"/>
    <s v="Empresa J"/>
    <s v="Esmeraldas"/>
    <x v="7"/>
    <x v="6"/>
    <s v="Empresa de embarque B"/>
    <s v="Tarjeta de crédito"/>
    <s v="Almendras"/>
    <x v="1"/>
    <n v="140"/>
    <n v="47"/>
    <x v="33"/>
  </r>
  <r>
    <n v="37"/>
    <x v="34"/>
    <n v="6935804403"/>
    <s v="Empresa J"/>
    <s v="Esmeraldas"/>
    <x v="7"/>
    <x v="6"/>
    <s v="Empresa de embarque A"/>
    <m/>
    <s v="Ciruelas secas"/>
    <x v="1"/>
    <n v="49"/>
    <n v="49"/>
    <x v="34"/>
  </r>
  <r>
    <n v="38"/>
    <x v="35"/>
    <n v="3650322132"/>
    <s v="Empresa K"/>
    <s v="Quito"/>
    <x v="9"/>
    <x v="5"/>
    <s v="Empresa de embarque C"/>
    <m/>
    <s v="Salsa curry"/>
    <x v="5"/>
    <n v="560"/>
    <n v="72"/>
    <x v="35"/>
  </r>
  <r>
    <n v="39"/>
    <x v="25"/>
    <n v="1985754250"/>
    <s v="Empresa A"/>
    <s v="Ambato"/>
    <x v="10"/>
    <x v="2"/>
    <s v="Empresa de embarque C"/>
    <m/>
    <s v="Carne de cangrejo"/>
    <x v="8"/>
    <n v="257.59999999999997"/>
    <n v="13"/>
    <x v="36"/>
  </r>
  <r>
    <n v="40"/>
    <x v="36"/>
    <n v="7293507918"/>
    <s v="Empresa BB"/>
    <s v="Manta"/>
    <x v="6"/>
    <x v="5"/>
    <s v="Empresa de embarque C"/>
    <s v="Tarjeta de crédito"/>
    <s v="Café"/>
    <x v="0"/>
    <n v="644"/>
    <n v="32"/>
    <x v="37"/>
  </r>
  <r>
    <n v="41"/>
    <x v="37"/>
    <n v="3459323228"/>
    <s v="Empresa I"/>
    <s v="Guayaquil"/>
    <x v="3"/>
    <x v="7"/>
    <s v="Empresa de embarque A"/>
    <s v="Cheque"/>
    <s v="Almejas"/>
    <x v="4"/>
    <n v="135.1"/>
    <n v="27"/>
    <x v="38"/>
  </r>
  <r>
    <n v="42"/>
    <x v="9"/>
    <n v="1144627655"/>
    <s v="Empresa F"/>
    <s v="Ibarra"/>
    <x v="5"/>
    <x v="4"/>
    <s v="Empresa de embarque B"/>
    <s v="Tarjeta de crédito"/>
    <s v="Chocolate"/>
    <x v="3"/>
    <n v="178.5"/>
    <n v="71"/>
    <x v="39"/>
  </r>
  <r>
    <n v="43"/>
    <x v="38"/>
    <n v="3986713828"/>
    <s v="Empresa H"/>
    <s v="Riobamba"/>
    <x v="2"/>
    <x v="2"/>
    <s v="Empresa de embarque B"/>
    <s v="Cheque"/>
    <s v="Chocolate"/>
    <x v="3"/>
    <n v="178.5"/>
    <n v="13"/>
    <x v="40"/>
  </r>
  <r>
    <n v="44"/>
    <x v="39"/>
    <n v="9350633665"/>
    <s v="Empresa Y"/>
    <s v="Esmeraldas"/>
    <x v="7"/>
    <x v="6"/>
    <s v="Empresa de embarque A"/>
    <s v="Efectivo"/>
    <s v="Condimento cajún"/>
    <x v="7"/>
    <n v="308"/>
    <n v="98"/>
    <x v="41"/>
  </r>
  <r>
    <n v="45"/>
    <x v="40"/>
    <n v="4918639925"/>
    <s v="Empresa Z"/>
    <s v="Quito"/>
    <x v="9"/>
    <x v="5"/>
    <s v="Empresa de embarque C"/>
    <s v="Tarjeta de crédito"/>
    <s v="Jalea de fresa"/>
    <x v="6"/>
    <n v="350"/>
    <n v="21"/>
    <x v="42"/>
  </r>
  <r>
    <n v="46"/>
    <x v="41"/>
    <n v="9630006862"/>
    <s v="Empresa CC"/>
    <s v="Guayaquil"/>
    <x v="3"/>
    <x v="3"/>
    <s v="Empresa de embarque B"/>
    <s v="Cheque"/>
    <s v="Cóctel de frutas"/>
    <x v="12"/>
    <n v="546"/>
    <n v="26"/>
    <x v="43"/>
  </r>
  <r>
    <n v="47"/>
    <x v="42"/>
    <n v="9029002933"/>
    <s v="Empresa F"/>
    <s v="Ibarra"/>
    <x v="5"/>
    <x v="4"/>
    <s v="Empresa de embarque C"/>
    <s v="Cheque"/>
    <s v="Peras secas"/>
    <x v="1"/>
    <n v="420"/>
    <n v="96"/>
    <x v="35"/>
  </r>
  <r>
    <n v="48"/>
    <x v="43"/>
    <n v="5702300844"/>
    <s v="Empresa F"/>
    <s v="Ibarra"/>
    <x v="5"/>
    <x v="4"/>
    <s v="Empresa de embarque C"/>
    <s v="Cheque"/>
    <s v="Manzanas secas"/>
    <x v="1"/>
    <n v="742"/>
    <n v="16"/>
    <x v="44"/>
  </r>
  <r>
    <n v="49"/>
    <x v="44"/>
    <n v="6885713027"/>
    <s v="Empresa D"/>
    <s v="Azogues"/>
    <x v="1"/>
    <x v="1"/>
    <m/>
    <m/>
    <s v="Pasta penne"/>
    <x v="9"/>
    <n v="532"/>
    <n v="96"/>
    <x v="45"/>
  </r>
  <r>
    <n v="50"/>
    <x v="12"/>
    <n v="5156178317"/>
    <s v="Empresa C"/>
    <s v="Machala"/>
    <x v="4"/>
    <x v="0"/>
    <m/>
    <m/>
    <s v="Té verde"/>
    <x v="0"/>
    <n v="41.86"/>
    <n v="75"/>
    <x v="46"/>
  </r>
  <r>
    <n v="51"/>
    <x v="45"/>
    <n v="9993785470"/>
    <s v="Empresa I"/>
    <s v="Guayaquil"/>
    <x v="3"/>
    <x v="7"/>
    <s v="Empresa de embarque A"/>
    <s v="Cheque"/>
    <s v="Ravioli"/>
    <x v="9"/>
    <n v="273"/>
    <n v="55"/>
    <x v="47"/>
  </r>
  <r>
    <n v="52"/>
    <x v="46"/>
    <n v="2344903076"/>
    <s v="Empresa I"/>
    <s v="Guayaquil"/>
    <x v="3"/>
    <x v="7"/>
    <s v="Empresa de embarque A"/>
    <s v="Cheque"/>
    <s v="Mozzarella"/>
    <x v="10"/>
    <n v="487.19999999999993"/>
    <n v="11"/>
    <x v="48"/>
  </r>
  <r>
    <n v="53"/>
    <x v="47"/>
    <n v="5773601950"/>
    <s v="Empresa F"/>
    <s v="Ibarra"/>
    <x v="5"/>
    <x v="4"/>
    <s v="Empresa de embarque B"/>
    <s v="Tarjeta de crédito"/>
    <s v="Cerveza"/>
    <x v="0"/>
    <n v="196"/>
    <n v="53"/>
    <x v="49"/>
  </r>
  <r>
    <n v="54"/>
    <x v="48"/>
    <n v="4818078168"/>
    <s v="Empresa H"/>
    <s v="Riobamba"/>
    <x v="2"/>
    <x v="2"/>
    <s v="Empresa de embarque B"/>
    <s v="Cheque"/>
    <s v="Salsa curry"/>
    <x v="5"/>
    <n v="560"/>
    <n v="85"/>
    <x v="50"/>
  </r>
  <r>
    <n v="55"/>
    <x v="49"/>
    <n v="9107195581"/>
    <s v="Empresa H"/>
    <s v="Riobamba"/>
    <x v="2"/>
    <x v="2"/>
    <s v="Empresa de embarque B"/>
    <s v="Cheque"/>
    <s v="Galletas de chocolate"/>
    <x v="2"/>
    <n v="128.79999999999998"/>
    <n v="97"/>
    <x v="51"/>
  </r>
  <r>
    <n v="56"/>
    <x v="50"/>
    <n v="5806733138"/>
    <s v="Empresa Y"/>
    <s v="Esmeraldas"/>
    <x v="7"/>
    <x v="6"/>
    <s v="Empresa de embarque A"/>
    <s v="Efectivo"/>
    <s v="Bolillos"/>
    <x v="2"/>
    <n v="140"/>
    <n v="46"/>
    <x v="52"/>
  </r>
  <r>
    <n v="57"/>
    <x v="51"/>
    <n v="3059258597"/>
    <s v="Empresa Z"/>
    <s v="Quito"/>
    <x v="9"/>
    <x v="5"/>
    <s v="Empresa de embarque C"/>
    <s v="Tarjeta de crédito"/>
    <s v="Aceite de oliva"/>
    <x v="13"/>
    <n v="298.90000000000003"/>
    <n v="97"/>
    <x v="53"/>
  </r>
  <r>
    <n v="58"/>
    <x v="52"/>
    <n v="586395005"/>
    <s v="Empresa Z"/>
    <s v="Quito"/>
    <x v="9"/>
    <x v="5"/>
    <s v="Empresa de embarque C"/>
    <s v="Tarjeta de crédito"/>
    <s v="Almejas"/>
    <x v="4"/>
    <n v="135.1"/>
    <n v="97"/>
    <x v="54"/>
  </r>
  <r>
    <n v="59"/>
    <x v="53"/>
    <n v="9281389647"/>
    <s v="Empresa Z"/>
    <s v="Quito"/>
    <x v="9"/>
    <x v="5"/>
    <s v="Empresa de embarque C"/>
    <s v="Tarjeta de crédito"/>
    <s v="Carne de cangrejo"/>
    <x v="8"/>
    <n v="257.59999999999997"/>
    <n v="65"/>
    <x v="55"/>
  </r>
  <r>
    <n v="60"/>
    <x v="54"/>
    <n v="2230409971"/>
    <s v="Empresa CC"/>
    <s v="Guayaquil"/>
    <x v="3"/>
    <x v="3"/>
    <s v="Empresa de embarque B"/>
    <s v="Cheque"/>
    <s v="Cerveza"/>
    <x v="0"/>
    <n v="196"/>
    <n v="72"/>
    <x v="56"/>
  </r>
  <r>
    <n v="61"/>
    <x v="34"/>
    <n v="498762200"/>
    <s v="Empresa F"/>
    <s v="Ibarra"/>
    <x v="5"/>
    <x v="4"/>
    <s v="Empresa de embarque C"/>
    <s v="Cheque"/>
    <s v="Chocolate"/>
    <x v="3"/>
    <n v="178.5"/>
    <n v="16"/>
    <x v="57"/>
  </r>
  <r>
    <n v="62"/>
    <x v="55"/>
    <n v="5059332572"/>
    <s v="Empresa D"/>
    <s v="Azogues"/>
    <x v="1"/>
    <x v="1"/>
    <s v="Empresa de embarque A"/>
    <s v="Tarjeta de crédito"/>
    <s v="Mermelada de zarzamora"/>
    <x v="6"/>
    <n v="1134"/>
    <n v="77"/>
    <x v="58"/>
  </r>
  <r>
    <n v="63"/>
    <x v="56"/>
    <n v="807667000"/>
    <s v="Empresa D"/>
    <s v="Azogues"/>
    <x v="1"/>
    <x v="1"/>
    <s v="Empresa de embarque A"/>
    <s v="Tarjeta de crédito"/>
    <s v="Arroz de grano largo"/>
    <x v="14"/>
    <n v="98"/>
    <n v="37"/>
    <x v="59"/>
  </r>
  <r>
    <n v="64"/>
    <x v="57"/>
    <n v="4320869422"/>
    <s v="Empresa H"/>
    <s v="Riobamba"/>
    <x v="2"/>
    <x v="2"/>
    <s v="Empresa de embarque C"/>
    <s v="Tarjeta de crédito"/>
    <s v="Mozzarella"/>
    <x v="10"/>
    <n v="487.19999999999993"/>
    <n v="63"/>
    <x v="60"/>
  </r>
  <r>
    <n v="65"/>
    <x v="58"/>
    <n v="7227542762"/>
    <s v="Empresa C"/>
    <s v="Machala"/>
    <x v="4"/>
    <x v="0"/>
    <s v="Empresa de embarque B"/>
    <s v="Efectivo"/>
    <s v="Jarabe"/>
    <x v="7"/>
    <n v="140"/>
    <n v="48"/>
    <x v="61"/>
  </r>
  <r>
    <n v="66"/>
    <x v="59"/>
    <n v="4844854212"/>
    <s v="Empresa C"/>
    <s v="Machala"/>
    <x v="4"/>
    <x v="0"/>
    <s v="Empresa de embarque B"/>
    <s v="Efectivo"/>
    <s v="Salsa curry"/>
    <x v="5"/>
    <n v="560"/>
    <n v="71"/>
    <x v="62"/>
  </r>
  <r>
    <n v="67"/>
    <x v="60"/>
    <n v="6476704094"/>
    <s v="Empresa J"/>
    <s v="Esmeraldas"/>
    <x v="7"/>
    <x v="6"/>
    <s v="Empresa de embarque B"/>
    <s v="Tarjeta de crédito"/>
    <s v="Almendras"/>
    <x v="1"/>
    <n v="140"/>
    <n v="55"/>
    <x v="63"/>
  </r>
  <r>
    <n v="68"/>
    <x v="61"/>
    <n v="289513623"/>
    <s v="Empresa J"/>
    <s v="Esmeraldas"/>
    <x v="7"/>
    <x v="6"/>
    <s v="Empresa de embarque A"/>
    <m/>
    <s v="Ciruelas secas"/>
    <x v="1"/>
    <n v="49"/>
    <n v="21"/>
    <x v="64"/>
  </r>
  <r>
    <n v="69"/>
    <x v="62"/>
    <n v="4360909288"/>
    <s v="Empresa K"/>
    <s v="Quito"/>
    <x v="9"/>
    <x v="5"/>
    <s v="Empresa de embarque C"/>
    <m/>
    <s v="Salsa curry"/>
    <x v="5"/>
    <n v="560"/>
    <n v="67"/>
    <x v="65"/>
  </r>
  <r>
    <n v="70"/>
    <x v="63"/>
    <n v="1569352924"/>
    <s v="Empresa A"/>
    <s v="Ambato"/>
    <x v="10"/>
    <x v="2"/>
    <s v="Empresa de embarque C"/>
    <m/>
    <s v="Carne de cangrejo"/>
    <x v="8"/>
    <n v="257.59999999999997"/>
    <n v="75"/>
    <x v="66"/>
  </r>
  <r>
    <n v="71"/>
    <x v="64"/>
    <n v="4417023777"/>
    <s v="Empresa BB"/>
    <s v="Manta"/>
    <x v="6"/>
    <x v="5"/>
    <s v="Empresa de embarque C"/>
    <s v="Tarjeta de crédito"/>
    <s v="Café"/>
    <x v="0"/>
    <n v="644"/>
    <n v="17"/>
    <x v="67"/>
  </r>
  <r>
    <n v="72"/>
    <x v="28"/>
    <n v="5213348963"/>
    <s v="Empresa D"/>
    <s v="Azogues"/>
    <x v="1"/>
    <x v="1"/>
    <s v="Empresa de embarque A"/>
    <s v="Tarjeta de crédito"/>
    <s v="Ciruelas secas"/>
    <x v="1"/>
    <n v="49"/>
    <n v="48"/>
    <x v="68"/>
  </r>
  <r>
    <n v="73"/>
    <x v="65"/>
    <n v="6039525395"/>
    <s v="Empresa L"/>
    <s v="Cuenca"/>
    <x v="0"/>
    <x v="0"/>
    <s v="Empresa de embarque B"/>
    <s v="Tarjeta de crédito"/>
    <s v="Té chai"/>
    <x v="0"/>
    <n v="252"/>
    <n v="74"/>
    <x v="69"/>
  </r>
  <r>
    <n v="74"/>
    <x v="47"/>
    <n v="7564866770"/>
    <s v="Empresa L"/>
    <s v="Cuenca"/>
    <x v="0"/>
    <x v="0"/>
    <s v="Empresa de embarque B"/>
    <s v="Tarjeta de crédito"/>
    <s v="Café"/>
    <x v="0"/>
    <n v="644"/>
    <n v="96"/>
    <x v="70"/>
  </r>
  <r>
    <n v="75"/>
    <x v="66"/>
    <n v="9161740728"/>
    <s v="Empresa H"/>
    <s v="Riobamba"/>
    <x v="2"/>
    <x v="2"/>
    <s v="Empresa de embarque C"/>
    <s v="Tarjeta de crédito"/>
    <s v="Galletas de chocolate"/>
    <x v="2"/>
    <n v="128.79999999999998"/>
    <n v="12"/>
    <x v="71"/>
  </r>
  <r>
    <n v="76"/>
    <x v="67"/>
    <n v="5854661633"/>
    <s v="Empresa D"/>
    <s v="Azogues"/>
    <x v="1"/>
    <x v="1"/>
    <s v="Empresa de embarque C"/>
    <s v="Cheque"/>
    <s v="Galletas de chocolate"/>
    <x v="2"/>
    <n v="128.79999999999998"/>
    <n v="62"/>
    <x v="72"/>
  </r>
  <r>
    <n v="77"/>
    <x v="68"/>
    <n v="9782824487"/>
    <s v="Empresa CC"/>
    <s v="Guayaquil"/>
    <x v="3"/>
    <x v="3"/>
    <s v="Empresa de embarque B"/>
    <s v="Cheque"/>
    <s v="Chocolate"/>
    <x v="3"/>
    <n v="178.5"/>
    <n v="35"/>
    <x v="73"/>
  </r>
  <r>
    <n v="78"/>
    <x v="69"/>
    <n v="5368581132"/>
    <s v="Empresa C"/>
    <s v="Machala"/>
    <x v="4"/>
    <x v="0"/>
    <s v="Empresa de embarque B"/>
    <s v="Efectivo"/>
    <s v="Almejas"/>
    <x v="4"/>
    <n v="135.1"/>
    <n v="95"/>
    <x v="74"/>
  </r>
  <r>
    <n v="79"/>
    <x v="70"/>
    <n v="1972466220"/>
    <s v="Empresa F"/>
    <s v="Ibarra"/>
    <x v="5"/>
    <x v="4"/>
    <s v="Empresa de embarque B"/>
    <s v="Tarjeta de crédito"/>
    <s v="Salsa curry"/>
    <x v="5"/>
    <n v="560"/>
    <n v="17"/>
    <x v="75"/>
  </r>
  <r>
    <n v="80"/>
    <x v="71"/>
    <n v="6835780904"/>
    <s v="Empresa BB"/>
    <s v="Manta"/>
    <x v="6"/>
    <x v="5"/>
    <s v="Empresa de embarque C"/>
    <s v="Cheque"/>
    <s v="Café"/>
    <x v="0"/>
    <n v="644"/>
    <n v="96"/>
    <x v="70"/>
  </r>
  <r>
    <n v="81"/>
    <x v="72"/>
    <n v="9361876990"/>
    <s v="Empresa H"/>
    <s v="Riobamba"/>
    <x v="2"/>
    <x v="2"/>
    <s v="Empresa de embarque C"/>
    <s v="Cheque"/>
    <s v="Chocolate"/>
    <x v="3"/>
    <n v="178.5"/>
    <n v="83"/>
    <x v="76"/>
  </r>
  <r>
    <n v="82"/>
    <x v="73"/>
    <n v="7655628230"/>
    <s v="Empresa J"/>
    <s v="Esmeraldas"/>
    <x v="7"/>
    <x v="6"/>
    <s v="Empresa de embarque B"/>
    <s v="Tarjeta de crédito"/>
    <s v="Té verde"/>
    <x v="0"/>
    <n v="41.86"/>
    <n v="88"/>
    <x v="77"/>
  </r>
  <r>
    <n v="83"/>
    <x v="35"/>
    <n v="6770397729"/>
    <s v="Empresa G"/>
    <s v="Guaranda"/>
    <x v="8"/>
    <x v="2"/>
    <m/>
    <m/>
    <s v="Café"/>
    <x v="0"/>
    <n v="644"/>
    <n v="59"/>
    <x v="78"/>
  </r>
  <r>
    <n v="84"/>
    <x v="74"/>
    <n v="6622149015"/>
    <s v="Empresa J"/>
    <s v="Esmeraldas"/>
    <x v="7"/>
    <x v="6"/>
    <s v="Empresa de embarque A"/>
    <m/>
    <s v="Jalea de fresa"/>
    <x v="6"/>
    <n v="350"/>
    <n v="27"/>
    <x v="79"/>
  </r>
  <r>
    <n v="85"/>
    <x v="75"/>
    <n v="8859429908"/>
    <s v="Empresa J"/>
    <s v="Esmeraldas"/>
    <x v="7"/>
    <x v="6"/>
    <s v="Empresa de embarque A"/>
    <m/>
    <s v="Condimento cajún"/>
    <x v="7"/>
    <n v="308"/>
    <n v="37"/>
    <x v="80"/>
  </r>
  <r>
    <n v="86"/>
    <x v="76"/>
    <n v="146252536"/>
    <s v="Empresa J"/>
    <s v="Esmeraldas"/>
    <x v="7"/>
    <x v="6"/>
    <s v="Empresa de embarque A"/>
    <m/>
    <s v="Galletas de chocolate"/>
    <x v="2"/>
    <n v="128.79999999999998"/>
    <n v="75"/>
    <x v="81"/>
  </r>
  <r>
    <n v="87"/>
    <x v="77"/>
    <n v="9010865731"/>
    <s v="Empresa K"/>
    <s v="Quito"/>
    <x v="9"/>
    <x v="5"/>
    <s v="Empresa de embarque C"/>
    <m/>
    <s v="Ciruelas secas"/>
    <x v="1"/>
    <n v="49"/>
    <n v="71"/>
    <x v="82"/>
  </r>
  <r>
    <n v="88"/>
    <x v="78"/>
    <n v="9076170123"/>
    <s v="Empresa K"/>
    <s v="Quito"/>
    <x v="9"/>
    <x v="5"/>
    <s v="Empresa de embarque C"/>
    <m/>
    <s v="Té verde"/>
    <x v="0"/>
    <n v="41.86"/>
    <n v="88"/>
    <x v="77"/>
  </r>
  <r>
    <n v="89"/>
    <x v="79"/>
    <n v="4412491838"/>
    <s v="Empresa A"/>
    <s v="Ambato"/>
    <x v="10"/>
    <x v="2"/>
    <m/>
    <m/>
    <s v="Té chai"/>
    <x v="0"/>
    <n v="252"/>
    <n v="55"/>
    <x v="83"/>
  </r>
  <r>
    <n v="90"/>
    <x v="50"/>
    <n v="7223227521"/>
    <s v="Empresa CC"/>
    <s v="Guayaquil"/>
    <x v="3"/>
    <x v="3"/>
    <s v="Empresa de embarque B"/>
    <s v="Cheque"/>
    <s v="Chocolate"/>
    <x v="3"/>
    <n v="178.5"/>
    <n v="14"/>
    <x v="84"/>
  </r>
  <r>
    <n v="91"/>
    <x v="80"/>
    <n v="9595973394"/>
    <s v="Empresa C"/>
    <s v="Machala"/>
    <x v="4"/>
    <x v="0"/>
    <s v="Empresa de embarque B"/>
    <s v="Efectivo"/>
    <s v="Almejas"/>
    <x v="4"/>
    <n v="135.1"/>
    <n v="43"/>
    <x v="85"/>
  </r>
  <r>
    <n v="92"/>
    <x v="81"/>
    <n v="2755531090"/>
    <s v="Empresa F"/>
    <s v="Ibarra"/>
    <x v="5"/>
    <x v="4"/>
    <s v="Empresa de embarque B"/>
    <s v="Tarjeta de crédito"/>
    <s v="Salsa curry"/>
    <x v="5"/>
    <n v="560"/>
    <n v="63"/>
    <x v="86"/>
  </r>
  <r>
    <n v="93"/>
    <x v="82"/>
    <n v="5306800000"/>
    <s v="Empresa BB"/>
    <s v="Manta"/>
    <x v="6"/>
    <x v="5"/>
    <s v="Empresa de embarque C"/>
    <s v="Cheque"/>
    <s v="Café"/>
    <x v="0"/>
    <n v="644"/>
    <n v="36"/>
    <x v="87"/>
  </r>
  <r>
    <n v="94"/>
    <x v="54"/>
    <n v="6768826719"/>
    <s v="Empresa H"/>
    <s v="Riobamba"/>
    <x v="2"/>
    <x v="2"/>
    <s v="Empresa de embarque C"/>
    <s v="Cheque"/>
    <s v="Chocolate"/>
    <x v="3"/>
    <n v="178.5"/>
    <n v="41"/>
    <x v="88"/>
  </r>
  <r>
    <n v="95"/>
    <x v="83"/>
    <n v="7945500000"/>
    <s v="Empresa J"/>
    <s v="Esmeraldas"/>
    <x v="7"/>
    <x v="6"/>
    <s v="Empresa de embarque B"/>
    <s v="Tarjeta de crédito"/>
    <s v="Té verde"/>
    <x v="0"/>
    <n v="41.86"/>
    <n v="35"/>
    <x v="89"/>
  </r>
  <r>
    <n v="96"/>
    <x v="83"/>
    <n v="4671327569"/>
    <s v="Empresa G"/>
    <s v="Guaranda"/>
    <x v="8"/>
    <x v="2"/>
    <m/>
    <m/>
    <s v="Café"/>
    <x v="0"/>
    <n v="644"/>
    <n v="31"/>
    <x v="90"/>
  </r>
  <r>
    <n v="97"/>
    <x v="84"/>
    <n v="5750783013"/>
    <s v="Empresa J"/>
    <s v="Esmeraldas"/>
    <x v="7"/>
    <x v="6"/>
    <s v="Empresa de embarque A"/>
    <m/>
    <s v="Jalea de fresa"/>
    <x v="6"/>
    <n v="350"/>
    <n v="52"/>
    <x v="91"/>
  </r>
  <r>
    <n v="98"/>
    <x v="85"/>
    <n v="1216202808"/>
    <s v="Empresa J"/>
    <s v="Esmeraldas"/>
    <x v="7"/>
    <x v="6"/>
    <s v="Empresa de embarque A"/>
    <m/>
    <s v="Condimento cajún"/>
    <x v="7"/>
    <n v="308"/>
    <n v="30"/>
    <x v="92"/>
  </r>
  <r>
    <n v="99"/>
    <x v="86"/>
    <n v="7167041532"/>
    <s v="Empresa J"/>
    <s v="Esmeraldas"/>
    <x v="7"/>
    <x v="6"/>
    <s v="Empresa de embarque A"/>
    <m/>
    <s v="Galletas de chocolate"/>
    <x v="2"/>
    <n v="128.79999999999998"/>
    <n v="41"/>
    <x v="93"/>
  </r>
  <r>
    <n v="100"/>
    <x v="87"/>
    <n v="2241191338"/>
    <s v="Empresa K"/>
    <s v="Quito"/>
    <x v="9"/>
    <x v="5"/>
    <s v="Empresa de embarque C"/>
    <m/>
    <s v="Ciruelas secas"/>
    <x v="1"/>
    <n v="49"/>
    <n v="44"/>
    <x v="94"/>
  </r>
  <r>
    <n v="101"/>
    <x v="88"/>
    <n v="806264266"/>
    <s v="Empresa K"/>
    <s v="Quito"/>
    <x v="9"/>
    <x v="5"/>
    <s v="Empresa de embarque C"/>
    <m/>
    <s v="Té verde"/>
    <x v="0"/>
    <n v="41.86"/>
    <n v="77"/>
    <x v="95"/>
  </r>
  <r>
    <n v="102"/>
    <x v="89"/>
    <n v="3820174684"/>
    <s v="Empresa A"/>
    <s v="Ambato"/>
    <x v="10"/>
    <x v="2"/>
    <m/>
    <m/>
    <s v="Té chai"/>
    <x v="0"/>
    <n v="252"/>
    <n v="29"/>
    <x v="96"/>
  </r>
  <r>
    <n v="103"/>
    <x v="90"/>
    <n v="5541796483"/>
    <s v="Empresa A"/>
    <s v="Ambato"/>
    <x v="10"/>
    <x v="2"/>
    <m/>
    <m/>
    <s v="Café"/>
    <x v="0"/>
    <n v="644"/>
    <n v="77"/>
    <x v="97"/>
  </r>
  <r>
    <n v="104"/>
    <x v="91"/>
    <n v="7096714976"/>
    <s v="Empresa A"/>
    <s v="Ambato"/>
    <x v="10"/>
    <x v="2"/>
    <m/>
    <m/>
    <s v="Té verde"/>
    <x v="0"/>
    <n v="41.86"/>
    <n v="73"/>
    <x v="98"/>
  </r>
  <r>
    <n v="105"/>
    <x v="92"/>
    <n v="2543114862"/>
    <s v="Empresa BB"/>
    <s v="Manta"/>
    <x v="6"/>
    <x v="5"/>
    <s v="Empresa de embarque C"/>
    <s v="Tarjeta de crédito"/>
    <s v="Almejas"/>
    <x v="4"/>
    <n v="135.1"/>
    <n v="74"/>
    <x v="99"/>
  </r>
  <r>
    <n v="106"/>
    <x v="38"/>
    <n v="6501127347"/>
    <s v="Empresa BB"/>
    <s v="Manta"/>
    <x v="6"/>
    <x v="5"/>
    <s v="Empresa de embarque C"/>
    <s v="Tarjeta de crédito"/>
    <s v="Carne de cangrejo"/>
    <x v="8"/>
    <n v="257.59999999999997"/>
    <n v="25"/>
    <x v="100"/>
  </r>
  <r>
    <n v="107"/>
    <x v="93"/>
    <n v="1322296163"/>
    <s v="Empresa I"/>
    <s v="Guayaquil"/>
    <x v="3"/>
    <x v="7"/>
    <s v="Empresa de embarque A"/>
    <s v="Cheque"/>
    <s v="Ravioli"/>
    <x v="9"/>
    <n v="273"/>
    <n v="82"/>
    <x v="101"/>
  </r>
  <r>
    <n v="108"/>
    <x v="94"/>
    <n v="5162222472"/>
    <s v="Empresa I"/>
    <s v="Guayaquil"/>
    <x v="3"/>
    <x v="7"/>
    <s v="Empresa de embarque A"/>
    <s v="Cheque"/>
    <s v="Mozzarella"/>
    <x v="10"/>
    <n v="487.19999999999993"/>
    <n v="37"/>
    <x v="102"/>
  </r>
  <r>
    <n v="109"/>
    <x v="95"/>
    <n v="5752777715"/>
    <s v="Empresa F"/>
    <s v="Ibarra"/>
    <x v="5"/>
    <x v="4"/>
    <s v="Empresa de embarque B"/>
    <s v="Tarjeta de crédito"/>
    <s v="Cerveza"/>
    <x v="0"/>
    <n v="196"/>
    <n v="84"/>
    <x v="103"/>
  </r>
  <r>
    <n v="110"/>
    <x v="85"/>
    <n v="2261700341"/>
    <s v="Empresa H"/>
    <s v="Riobamba"/>
    <x v="2"/>
    <x v="2"/>
    <s v="Empresa de embarque B"/>
    <s v="Cheque"/>
    <s v="Salsa curry"/>
    <x v="5"/>
    <n v="560"/>
    <n v="73"/>
    <x v="104"/>
  </r>
  <r>
    <n v="111"/>
    <x v="96"/>
    <n v="9950546196"/>
    <s v="Empresa H"/>
    <s v="Riobamba"/>
    <x v="2"/>
    <x v="2"/>
    <s v="Empresa de embarque B"/>
    <s v="Cheque"/>
    <s v="Galletas de chocolate"/>
    <x v="2"/>
    <n v="128.79999999999998"/>
    <n v="51"/>
    <x v="105"/>
  </r>
  <r>
    <n v="112"/>
    <x v="97"/>
    <n v="9911266011"/>
    <s v="Empresa Y"/>
    <s v="Esmeraldas"/>
    <x v="7"/>
    <x v="6"/>
    <s v="Empresa de embarque A"/>
    <s v="Efectivo"/>
    <s v="Bolillos"/>
    <x v="2"/>
    <n v="140"/>
    <n v="66"/>
    <x v="92"/>
  </r>
  <r>
    <n v="113"/>
    <x v="98"/>
    <n v="8455987495"/>
    <s v="Empresa Z"/>
    <s v="Quito"/>
    <x v="9"/>
    <x v="5"/>
    <s v="Empresa de embarque C"/>
    <s v="Tarjeta de crédito"/>
    <s v="Aceite de oliva"/>
    <x v="13"/>
    <n v="298.90000000000003"/>
    <n v="36"/>
    <x v="106"/>
  </r>
  <r>
    <n v="114"/>
    <x v="63"/>
    <n v="6668567210"/>
    <s v="Empresa Z"/>
    <s v="Quito"/>
    <x v="9"/>
    <x v="5"/>
    <s v="Empresa de embarque C"/>
    <s v="Tarjeta de crédito"/>
    <s v="Almejas"/>
    <x v="4"/>
    <n v="135.1"/>
    <n v="87"/>
    <x v="107"/>
  </r>
  <r>
    <n v="115"/>
    <x v="99"/>
    <n v="9528620750"/>
    <s v="Empresa Z"/>
    <s v="Quito"/>
    <x v="9"/>
    <x v="5"/>
    <s v="Empresa de embarque C"/>
    <s v="Tarjeta de crédito"/>
    <s v="Carne de cangrejo"/>
    <x v="8"/>
    <n v="257.59999999999997"/>
    <n v="64"/>
    <x v="108"/>
  </r>
  <r>
    <n v="116"/>
    <x v="100"/>
    <n v="1951835035"/>
    <s v="Empresa CC"/>
    <s v="Guayaquil"/>
    <x v="3"/>
    <x v="3"/>
    <s v="Empresa de embarque B"/>
    <s v="Cheque"/>
    <s v="Cerveza"/>
    <x v="0"/>
    <n v="196"/>
    <n v="21"/>
    <x v="109"/>
  </r>
  <r>
    <n v="117"/>
    <x v="101"/>
    <n v="8464805926"/>
    <s v="Empresa F"/>
    <s v="Ibarra"/>
    <x v="5"/>
    <x v="4"/>
    <s v="Empresa de embarque C"/>
    <s v="Cheque"/>
    <s v="Chocolate"/>
    <x v="3"/>
    <n v="178.5"/>
    <n v="19"/>
    <x v="110"/>
  </r>
  <r>
    <n v="118"/>
    <x v="102"/>
    <n v="1040241832"/>
    <s v="Empresa D"/>
    <s v="Azogues"/>
    <x v="1"/>
    <x v="1"/>
    <s v="Empresa de embarque A"/>
    <s v="Tarjeta de crédito"/>
    <s v="Mermelada de zarzamora"/>
    <x v="6"/>
    <n v="1134"/>
    <n v="23"/>
    <x v="111"/>
  </r>
  <r>
    <n v="119"/>
    <x v="103"/>
    <n v="5032769390"/>
    <s v="Empresa D"/>
    <s v="Azogues"/>
    <x v="1"/>
    <x v="1"/>
    <s v="Empresa de embarque A"/>
    <s v="Tarjeta de crédito"/>
    <s v="Arroz de grano largo"/>
    <x v="14"/>
    <n v="98"/>
    <n v="72"/>
    <x v="112"/>
  </r>
  <r>
    <n v="120"/>
    <x v="104"/>
    <n v="5375997402"/>
    <s v="Empresa H"/>
    <s v="Riobamba"/>
    <x v="2"/>
    <x v="2"/>
    <s v="Empresa de embarque C"/>
    <s v="Tarjeta de crédito"/>
    <s v="Mozzarella"/>
    <x v="10"/>
    <n v="487.19999999999993"/>
    <n v="22"/>
    <x v="113"/>
  </r>
  <r>
    <n v="121"/>
    <x v="105"/>
    <n v="967566383"/>
    <s v="Empresa C"/>
    <s v="Machala"/>
    <x v="4"/>
    <x v="0"/>
    <s v="Empresa de embarque B"/>
    <s v="Efectivo"/>
    <s v="Jarabe"/>
    <x v="7"/>
    <n v="140"/>
    <n v="82"/>
    <x v="114"/>
  </r>
  <r>
    <n v="122"/>
    <x v="106"/>
    <n v="7607007457"/>
    <s v="Empresa C"/>
    <s v="Machala"/>
    <x v="4"/>
    <x v="0"/>
    <s v="Empresa de embarque B"/>
    <s v="Efectivo"/>
    <s v="Salsa curry"/>
    <x v="5"/>
    <n v="560"/>
    <n v="98"/>
    <x v="115"/>
  </r>
  <r>
    <n v="123"/>
    <x v="107"/>
    <n v="6139722497"/>
    <s v="Empresa G"/>
    <s v="Guaranda"/>
    <x v="8"/>
    <x v="2"/>
    <m/>
    <m/>
    <s v="Café"/>
    <x v="0"/>
    <n v="644"/>
    <n v="71"/>
    <x v="116"/>
  </r>
  <r>
    <n v="124"/>
    <x v="79"/>
    <n v="6071133871"/>
    <s v="Empresa J"/>
    <s v="Esmeraldas"/>
    <x v="7"/>
    <x v="6"/>
    <s v="Empresa de embarque A"/>
    <m/>
    <s v="Jalea de fresa"/>
    <x v="6"/>
    <n v="350"/>
    <n v="40"/>
    <x v="117"/>
  </r>
  <r>
    <n v="125"/>
    <x v="108"/>
    <n v="8634772142"/>
    <s v="Empresa J"/>
    <s v="Esmeraldas"/>
    <x v="7"/>
    <x v="6"/>
    <s v="Empresa de embarque A"/>
    <m/>
    <s v="Condimento cajún"/>
    <x v="7"/>
    <n v="308"/>
    <n v="80"/>
    <x v="118"/>
  </r>
  <r>
    <n v="126"/>
    <x v="109"/>
    <n v="5431718510"/>
    <s v="Empresa J"/>
    <s v="Esmeraldas"/>
    <x v="7"/>
    <x v="6"/>
    <s v="Empresa de embarque A"/>
    <m/>
    <s v="Galletas de chocolate"/>
    <x v="2"/>
    <n v="128.79999999999998"/>
    <n v="38"/>
    <x v="119"/>
  </r>
  <r>
    <n v="127"/>
    <x v="110"/>
    <n v="7109276915"/>
    <s v="Empresa K"/>
    <s v="Quito"/>
    <x v="9"/>
    <x v="5"/>
    <s v="Empresa de embarque C"/>
    <m/>
    <s v="Ciruelas secas"/>
    <x v="1"/>
    <n v="49"/>
    <n v="28"/>
    <x v="120"/>
  </r>
  <r>
    <n v="128"/>
    <x v="111"/>
    <n v="8479136081"/>
    <s v="Empresa K"/>
    <s v="Quito"/>
    <x v="9"/>
    <x v="5"/>
    <s v="Empresa de embarque C"/>
    <m/>
    <s v="Té verde"/>
    <x v="0"/>
    <n v="41.86"/>
    <n v="60"/>
    <x v="121"/>
  </r>
  <r>
    <n v="129"/>
    <x v="26"/>
    <n v="7132355278"/>
    <s v="Empresa A"/>
    <s v="Ambato"/>
    <x v="10"/>
    <x v="2"/>
    <m/>
    <m/>
    <s v="Té chai"/>
    <x v="0"/>
    <n v="252"/>
    <n v="33"/>
    <x v="122"/>
  </r>
  <r>
    <n v="130"/>
    <x v="78"/>
    <n v="2885792785"/>
    <s v="Empresa A"/>
    <s v="Ambato"/>
    <x v="10"/>
    <x v="2"/>
    <m/>
    <m/>
    <s v="Café"/>
    <x v="0"/>
    <n v="644"/>
    <n v="22"/>
    <x v="123"/>
  </r>
  <r>
    <n v="131"/>
    <x v="112"/>
    <n v="3723941023"/>
    <s v="Empresa A"/>
    <s v="Ambato"/>
    <x v="10"/>
    <x v="2"/>
    <m/>
    <m/>
    <s v="Té verde"/>
    <x v="0"/>
    <n v="41.86"/>
    <n v="51"/>
    <x v="124"/>
  </r>
  <r>
    <n v="132"/>
    <x v="113"/>
    <n v="4827836337"/>
    <s v="Empresa BB"/>
    <s v="Manta"/>
    <x v="6"/>
    <x v="5"/>
    <s v="Empresa de embarque C"/>
    <s v="Tarjeta de crédito"/>
    <s v="Almejas"/>
    <x v="4"/>
    <n v="135.1"/>
    <n v="60"/>
    <x v="125"/>
  </r>
  <r>
    <n v="133"/>
    <x v="114"/>
    <n v="2633840866"/>
    <s v="Empresa BB"/>
    <s v="Manta"/>
    <x v="6"/>
    <x v="5"/>
    <s v="Empresa de embarque C"/>
    <s v="Tarjeta de crédito"/>
    <s v="Carne de cangrejo"/>
    <x v="8"/>
    <n v="257.59999999999997"/>
    <n v="98"/>
    <x v="126"/>
  </r>
  <r>
    <n v="134"/>
    <x v="115"/>
    <n v="2489359003"/>
    <s v="Empresa I"/>
    <s v="Guayaquil"/>
    <x v="3"/>
    <x v="7"/>
    <s v="Empresa de embarque A"/>
    <s v="Cheque"/>
    <s v="Ravioli"/>
    <x v="9"/>
    <n v="273"/>
    <n v="27"/>
    <x v="127"/>
  </r>
  <r>
    <n v="135"/>
    <x v="116"/>
    <n v="2347277376"/>
    <s v="Empresa I"/>
    <s v="Guayaquil"/>
    <x v="3"/>
    <x v="7"/>
    <s v="Empresa de embarque A"/>
    <s v="Cheque"/>
    <s v="Mozzarella"/>
    <x v="10"/>
    <n v="487.19999999999993"/>
    <n v="88"/>
    <x v="128"/>
  </r>
  <r>
    <n v="136"/>
    <x v="117"/>
    <n v="2071690973"/>
    <s v="Empresa F"/>
    <s v="Ibarra"/>
    <x v="5"/>
    <x v="4"/>
    <s v="Empresa de embarque B"/>
    <s v="Tarjeta de crédito"/>
    <s v="Cerveza"/>
    <x v="0"/>
    <n v="196"/>
    <n v="65"/>
    <x v="129"/>
  </r>
  <r>
    <n v="137"/>
    <x v="118"/>
    <n v="1196729221"/>
    <s v="Empresa H"/>
    <s v="Riobamba"/>
    <x v="2"/>
    <x v="2"/>
    <s v="Empresa de embarque B"/>
    <s v="Cheque"/>
    <s v="Salsa curry"/>
    <x v="5"/>
    <n v="560"/>
    <n v="38"/>
    <x v="130"/>
  </r>
  <r>
    <n v="138"/>
    <x v="119"/>
    <n v="9020365601"/>
    <s v="Empresa H"/>
    <s v="Riobamba"/>
    <x v="2"/>
    <x v="2"/>
    <s v="Empresa de embarque B"/>
    <s v="Cheque"/>
    <s v="Galletas de chocolate"/>
    <x v="2"/>
    <n v="128.79999999999998"/>
    <n v="80"/>
    <x v="131"/>
  </r>
  <r>
    <n v="139"/>
    <x v="120"/>
    <n v="4818692078"/>
    <s v="Empresa Y"/>
    <s v="Esmeraldas"/>
    <x v="7"/>
    <x v="6"/>
    <s v="Empresa de embarque A"/>
    <s v="Efectivo"/>
    <s v="Bolillos"/>
    <x v="2"/>
    <n v="140"/>
    <n v="49"/>
    <x v="132"/>
  </r>
  <r>
    <n v="140"/>
    <x v="121"/>
    <n v="6502762369"/>
    <s v="Empresa Z"/>
    <s v="Quito"/>
    <x v="9"/>
    <x v="5"/>
    <s v="Empresa de embarque C"/>
    <s v="Tarjeta de crédito"/>
    <s v="Aceite de oliva"/>
    <x v="13"/>
    <n v="298.90000000000003"/>
    <n v="90"/>
    <x v="133"/>
  </r>
  <r>
    <n v="141"/>
    <x v="122"/>
    <n v="924402492"/>
    <s v="Empresa Z"/>
    <s v="Quito"/>
    <x v="9"/>
    <x v="5"/>
    <s v="Empresa de embarque C"/>
    <s v="Tarjeta de crédito"/>
    <s v="Almejas"/>
    <x v="4"/>
    <n v="135.1"/>
    <n v="60"/>
    <x v="125"/>
  </r>
  <r>
    <n v="142"/>
    <x v="123"/>
    <n v="5633857209"/>
    <s v="Empresa Z"/>
    <s v="Quito"/>
    <x v="9"/>
    <x v="5"/>
    <s v="Empresa de embarque C"/>
    <s v="Tarjeta de crédito"/>
    <s v="Carne de cangrejo"/>
    <x v="8"/>
    <n v="257.59999999999997"/>
    <n v="39"/>
    <x v="134"/>
  </r>
  <r>
    <n v="143"/>
    <x v="124"/>
    <n v="9715216432"/>
    <s v="Empresa CC"/>
    <s v="Guayaquil"/>
    <x v="3"/>
    <x v="3"/>
    <s v="Empresa de embarque B"/>
    <s v="Cheque"/>
    <s v="Cerveza"/>
    <x v="0"/>
    <n v="196"/>
    <n v="79"/>
    <x v="135"/>
  </r>
  <r>
    <n v="144"/>
    <x v="84"/>
    <n v="2808433382"/>
    <s v="Empresa F"/>
    <s v="Ibarra"/>
    <x v="5"/>
    <x v="4"/>
    <s v="Empresa de embarque C"/>
    <s v="Cheque"/>
    <s v="Chocolate"/>
    <x v="3"/>
    <n v="178.5"/>
    <n v="44"/>
    <x v="136"/>
  </r>
  <r>
    <n v="145"/>
    <x v="125"/>
    <n v="5585231955"/>
    <s v="Empresa D"/>
    <s v="Azogues"/>
    <x v="1"/>
    <x v="1"/>
    <s v="Empresa de embarque A"/>
    <s v="Tarjeta de crédito"/>
    <s v="Mermelada de zarzamora"/>
    <x v="6"/>
    <n v="1134"/>
    <n v="98"/>
    <x v="137"/>
  </r>
  <r>
    <n v="146"/>
    <x v="126"/>
    <n v="4338999814"/>
    <s v="Empresa D"/>
    <s v="Azogues"/>
    <x v="1"/>
    <x v="1"/>
    <s v="Empresa de embarque A"/>
    <s v="Tarjeta de crédito"/>
    <s v="Arroz de grano largo"/>
    <x v="14"/>
    <n v="98"/>
    <n v="61"/>
    <x v="138"/>
  </r>
  <r>
    <n v="147"/>
    <x v="127"/>
    <n v="3475726472"/>
    <s v="Empresa H"/>
    <s v="Riobamba"/>
    <x v="2"/>
    <x v="2"/>
    <s v="Empresa de embarque C"/>
    <s v="Tarjeta de crédito"/>
    <s v="Mozzarella"/>
    <x v="10"/>
    <n v="487.19999999999993"/>
    <n v="30"/>
    <x v="139"/>
  </r>
  <r>
    <n v="148"/>
    <x v="128"/>
    <n v="9727843310"/>
    <s v="Empresa C"/>
    <s v="Machala"/>
    <x v="4"/>
    <x v="0"/>
    <s v="Empresa de embarque B"/>
    <s v="Efectivo"/>
    <s v="Jarabe"/>
    <x v="7"/>
    <n v="140"/>
    <n v="24"/>
    <x v="19"/>
  </r>
  <r>
    <n v="149"/>
    <x v="129"/>
    <n v="536031236"/>
    <s v="Empresa C"/>
    <s v="Machala"/>
    <x v="4"/>
    <x v="0"/>
    <s v="Empresa de embarque B"/>
    <s v="Efectivo"/>
    <s v="Salsa curry"/>
    <x v="5"/>
    <n v="560"/>
    <n v="28"/>
    <x v="140"/>
  </r>
  <r>
    <n v="150"/>
    <x v="21"/>
    <n v="1875435757"/>
    <s v="Empresa J"/>
    <s v="Esmeraldas"/>
    <x v="7"/>
    <x v="6"/>
    <s v="Empresa de embarque B"/>
    <s v="Tarjeta de crédito"/>
    <s v="Almendras"/>
    <x v="1"/>
    <n v="140"/>
    <n v="74"/>
    <x v="141"/>
  </r>
  <r>
    <n v="151"/>
    <x v="130"/>
    <n v="8711973073"/>
    <s v="Empresa J"/>
    <s v="Esmeraldas"/>
    <x v="7"/>
    <x v="6"/>
    <s v="Empresa de embarque A"/>
    <m/>
    <s v="Ciruelas secas"/>
    <x v="1"/>
    <n v="49"/>
    <n v="90"/>
    <x v="142"/>
  </r>
  <r>
    <n v="152"/>
    <x v="126"/>
    <n v="1214228285"/>
    <s v="Empresa K"/>
    <s v="Quito"/>
    <x v="9"/>
    <x v="5"/>
    <s v="Empresa de embarque C"/>
    <m/>
    <s v="Salsa curry"/>
    <x v="5"/>
    <n v="560"/>
    <n v="27"/>
    <x v="143"/>
  </r>
  <r>
    <n v="153"/>
    <x v="131"/>
    <n v="3447948983"/>
    <s v="Empresa A"/>
    <s v="Ambato"/>
    <x v="10"/>
    <x v="2"/>
    <s v="Empresa de embarque C"/>
    <m/>
    <s v="Carne de cangrejo"/>
    <x v="8"/>
    <n v="257.59999999999997"/>
    <n v="71"/>
    <x v="144"/>
  </r>
  <r>
    <n v="154"/>
    <x v="132"/>
    <n v="8753770178"/>
    <s v="Empresa BB"/>
    <s v="Manta"/>
    <x v="6"/>
    <x v="5"/>
    <s v="Empresa de embarque C"/>
    <s v="Tarjeta de crédito"/>
    <s v="Café"/>
    <x v="0"/>
    <n v="644"/>
    <n v="74"/>
    <x v="145"/>
  </r>
  <r>
    <n v="155"/>
    <x v="55"/>
    <n v="493013693"/>
    <s v="Empresa I"/>
    <s v="Guayaquil"/>
    <x v="3"/>
    <x v="7"/>
    <s v="Empresa de embarque A"/>
    <s v="Cheque"/>
    <s v="Almejas"/>
    <x v="4"/>
    <n v="135.1"/>
    <n v="76"/>
    <x v="146"/>
  </r>
  <r>
    <n v="156"/>
    <x v="133"/>
    <n v="4097578178"/>
    <s v="Empresa F"/>
    <s v="Ibarra"/>
    <x v="5"/>
    <x v="4"/>
    <s v="Empresa de embarque B"/>
    <s v="Tarjeta de crédito"/>
    <s v="Chocolate"/>
    <x v="3"/>
    <n v="178.5"/>
    <n v="96"/>
    <x v="147"/>
  </r>
  <r>
    <n v="157"/>
    <x v="134"/>
    <n v="9949307477"/>
    <s v="Empresa H"/>
    <s v="Riobamba"/>
    <x v="2"/>
    <x v="2"/>
    <s v="Empresa de embarque B"/>
    <s v="Cheque"/>
    <s v="Chocolate"/>
    <x v="3"/>
    <n v="178.5"/>
    <n v="92"/>
    <x v="148"/>
  </r>
  <r>
    <n v="158"/>
    <x v="135"/>
    <n v="2521830520"/>
    <s v="Empresa Y"/>
    <s v="Esmeraldas"/>
    <x v="7"/>
    <x v="6"/>
    <s v="Empresa de embarque A"/>
    <s v="Efectivo"/>
    <s v="Condimento cajún"/>
    <x v="7"/>
    <n v="308"/>
    <n v="93"/>
    <x v="149"/>
  </r>
  <r>
    <n v="159"/>
    <x v="34"/>
    <n v="4224616034"/>
    <s v="Empresa Z"/>
    <s v="Quito"/>
    <x v="9"/>
    <x v="5"/>
    <s v="Empresa de embarque C"/>
    <s v="Tarjeta de crédito"/>
    <s v="Jalea de fresa"/>
    <x v="6"/>
    <n v="350"/>
    <n v="18"/>
    <x v="150"/>
  </r>
  <r>
    <n v="160"/>
    <x v="136"/>
    <n v="7169314881"/>
    <s v="Empresa CC"/>
    <s v="Guayaquil"/>
    <x v="3"/>
    <x v="3"/>
    <s v="Empresa de embarque B"/>
    <s v="Cheque"/>
    <s v="Cóctel de frutas"/>
    <x v="12"/>
    <n v="546"/>
    <n v="98"/>
    <x v="151"/>
  </r>
  <r>
    <n v="161"/>
    <x v="134"/>
    <n v="8313545064"/>
    <s v="Empresa F"/>
    <s v="Ibarra"/>
    <x v="5"/>
    <x v="4"/>
    <s v="Empresa de embarque C"/>
    <s v="Cheque"/>
    <s v="Peras secas"/>
    <x v="1"/>
    <n v="420"/>
    <n v="46"/>
    <x v="152"/>
  </r>
  <r>
    <n v="162"/>
    <x v="137"/>
    <n v="5739621013"/>
    <s v="Empresa F"/>
    <s v="Ibarra"/>
    <x v="5"/>
    <x v="4"/>
    <s v="Empresa de embarque C"/>
    <s v="Cheque"/>
    <s v="Manzanas secas"/>
    <x v="1"/>
    <n v="742"/>
    <n v="14"/>
    <x v="49"/>
  </r>
  <r>
    <n v="163"/>
    <x v="138"/>
    <n v="1789830506"/>
    <s v="Empresa D"/>
    <s v="Azogues"/>
    <x v="1"/>
    <x v="1"/>
    <m/>
    <m/>
    <s v="Pasta penne"/>
    <x v="9"/>
    <n v="532"/>
    <n v="85"/>
    <x v="153"/>
  </r>
  <r>
    <n v="164"/>
    <x v="139"/>
    <n v="6281652174"/>
    <s v="Empresa C"/>
    <s v="Machala"/>
    <x v="4"/>
    <x v="0"/>
    <m/>
    <m/>
    <s v="Té verde"/>
    <x v="0"/>
    <n v="41.86"/>
    <n v="88"/>
    <x v="77"/>
  </r>
  <r>
    <n v="165"/>
    <x v="140"/>
    <n v="8126696083"/>
    <s v="Empresa A"/>
    <s v="Ambato"/>
    <x v="10"/>
    <x v="2"/>
    <m/>
    <m/>
    <s v="Té verde"/>
    <x v="0"/>
    <n v="41.86"/>
    <n v="81"/>
    <x v="154"/>
  </r>
  <r>
    <n v="166"/>
    <x v="92"/>
    <n v="2706456269"/>
    <s v="Empresa BB"/>
    <s v="Manta"/>
    <x v="6"/>
    <x v="5"/>
    <s v="Empresa de embarque C"/>
    <s v="Tarjeta de crédito"/>
    <s v="Almejas"/>
    <x v="4"/>
    <n v="135.1"/>
    <n v="33"/>
    <x v="155"/>
  </r>
  <r>
    <n v="167"/>
    <x v="31"/>
    <n v="6159315697"/>
    <s v="Empresa BB"/>
    <s v="Manta"/>
    <x v="6"/>
    <x v="5"/>
    <s v="Empresa de embarque C"/>
    <s v="Tarjeta de crédito"/>
    <s v="Carne de cangrejo"/>
    <x v="8"/>
    <n v="257.59999999999997"/>
    <n v="47"/>
    <x v="156"/>
  </r>
  <r>
    <n v="168"/>
    <x v="141"/>
    <n v="2749029538"/>
    <s v="Empresa I"/>
    <s v="Guayaquil"/>
    <x v="3"/>
    <x v="7"/>
    <s v="Empresa de embarque A"/>
    <s v="Cheque"/>
    <s v="Ravioli"/>
    <x v="9"/>
    <n v="273"/>
    <n v="61"/>
    <x v="157"/>
  </r>
  <r>
    <n v="169"/>
    <x v="39"/>
    <n v="9017454158"/>
    <s v="Empresa I"/>
    <s v="Guayaquil"/>
    <x v="3"/>
    <x v="7"/>
    <s v="Empresa de embarque A"/>
    <s v="Cheque"/>
    <s v="Mozzarella"/>
    <x v="10"/>
    <n v="487.19999999999993"/>
    <n v="27"/>
    <x v="158"/>
  </r>
  <r>
    <n v="170"/>
    <x v="142"/>
    <n v="445300235"/>
    <s v="Empresa F"/>
    <s v="Ibarra"/>
    <x v="5"/>
    <x v="4"/>
    <s v="Empresa de embarque B"/>
    <s v="Tarjeta de crédito"/>
    <s v="Cerveza"/>
    <x v="0"/>
    <n v="196"/>
    <n v="84"/>
    <x v="103"/>
  </r>
  <r>
    <n v="171"/>
    <x v="143"/>
    <n v="3498781571"/>
    <s v="Empresa H"/>
    <s v="Riobamba"/>
    <x v="2"/>
    <x v="2"/>
    <s v="Empresa de embarque B"/>
    <s v="Cheque"/>
    <s v="Salsa curry"/>
    <x v="5"/>
    <n v="560"/>
    <n v="91"/>
    <x v="159"/>
  </r>
  <r>
    <n v="172"/>
    <x v="144"/>
    <n v="376477229"/>
    <s v="Empresa H"/>
    <s v="Riobamba"/>
    <x v="2"/>
    <x v="2"/>
    <s v="Empresa de embarque B"/>
    <s v="Cheque"/>
    <s v="Galletas de chocolate"/>
    <x v="2"/>
    <n v="128.79999999999998"/>
    <n v="36"/>
    <x v="160"/>
  </r>
  <r>
    <n v="173"/>
    <x v="111"/>
    <n v="1790721708"/>
    <s v="Empresa Y"/>
    <s v="Esmeraldas"/>
    <x v="7"/>
    <x v="6"/>
    <s v="Empresa de embarque A"/>
    <s v="Efectivo"/>
    <s v="Bolillos"/>
    <x v="2"/>
    <n v="140"/>
    <n v="34"/>
    <x v="161"/>
  </r>
  <r>
    <n v="174"/>
    <x v="73"/>
    <n v="434033868"/>
    <s v="Empresa Z"/>
    <s v="Quito"/>
    <x v="9"/>
    <x v="5"/>
    <s v="Empresa de embarque C"/>
    <s v="Tarjeta de crédito"/>
    <s v="Aceite de oliva"/>
    <x v="13"/>
    <n v="298.90000000000003"/>
    <n v="81"/>
    <x v="162"/>
  </r>
  <r>
    <n v="175"/>
    <x v="120"/>
    <n v="3247684317"/>
    <s v="Empresa Z"/>
    <s v="Quito"/>
    <x v="9"/>
    <x v="5"/>
    <s v="Empresa de embarque C"/>
    <s v="Tarjeta de crédito"/>
    <s v="Almejas"/>
    <x v="4"/>
    <n v="135.1"/>
    <n v="25"/>
    <x v="163"/>
  </r>
  <r>
    <n v="176"/>
    <x v="145"/>
    <n v="6492121203"/>
    <s v="Empresa Z"/>
    <s v="Quito"/>
    <x v="9"/>
    <x v="5"/>
    <s v="Empresa de embarque C"/>
    <s v="Tarjeta de crédito"/>
    <s v="Carne de cangrejo"/>
    <x v="8"/>
    <n v="257.59999999999997"/>
    <n v="12"/>
    <x v="164"/>
  </r>
  <r>
    <n v="177"/>
    <x v="140"/>
    <n v="1661667624"/>
    <s v="Empresa CC"/>
    <s v="Guayaquil"/>
    <x v="3"/>
    <x v="3"/>
    <s v="Empresa de embarque B"/>
    <s v="Cheque"/>
    <s v="Cerveza"/>
    <x v="0"/>
    <n v="196"/>
    <n v="23"/>
    <x v="165"/>
  </r>
  <r>
    <n v="178"/>
    <x v="146"/>
    <n v="1127190015"/>
    <s v="Empresa F"/>
    <s v="Ibarra"/>
    <x v="5"/>
    <x v="4"/>
    <s v="Empresa de embarque C"/>
    <s v="Cheque"/>
    <s v="Chocolate"/>
    <x v="3"/>
    <n v="178.5"/>
    <n v="76"/>
    <x v="166"/>
  </r>
  <r>
    <n v="179"/>
    <x v="16"/>
    <n v="7862399002"/>
    <s v="Empresa D"/>
    <s v="Azogues"/>
    <x v="1"/>
    <x v="1"/>
    <s v="Empresa de embarque A"/>
    <s v="Tarjeta de crédito"/>
    <s v="Mermelada de zarzamora"/>
    <x v="6"/>
    <n v="1134"/>
    <n v="55"/>
    <x v="167"/>
  </r>
  <r>
    <n v="180"/>
    <x v="131"/>
    <n v="9568142105"/>
    <s v="Empresa D"/>
    <s v="Azogues"/>
    <x v="1"/>
    <x v="1"/>
    <s v="Empresa de embarque A"/>
    <s v="Tarjeta de crédito"/>
    <s v="Arroz de grano largo"/>
    <x v="14"/>
    <n v="98"/>
    <n v="19"/>
    <x v="168"/>
  </r>
  <r>
    <n v="181"/>
    <x v="147"/>
    <n v="1181634254"/>
    <s v="Empresa H"/>
    <s v="Riobamba"/>
    <x v="2"/>
    <x v="2"/>
    <s v="Empresa de embarque C"/>
    <s v="Tarjeta de crédito"/>
    <s v="Mozzarella"/>
    <x v="10"/>
    <n v="487.19999999999993"/>
    <n v="27"/>
    <x v="158"/>
  </r>
  <r>
    <n v="182"/>
    <x v="61"/>
    <n v="5404968765"/>
    <s v="Empresa C"/>
    <s v="Machala"/>
    <x v="4"/>
    <x v="0"/>
    <s v="Empresa de embarque B"/>
    <s v="Efectivo"/>
    <s v="Jarabe"/>
    <x v="7"/>
    <n v="140"/>
    <n v="99"/>
    <x v="83"/>
  </r>
  <r>
    <n v="183"/>
    <x v="148"/>
    <n v="2431996009"/>
    <s v="Empresa C"/>
    <s v="Machala"/>
    <x v="4"/>
    <x v="0"/>
    <s v="Empresa de embarque B"/>
    <s v="Efectivo"/>
    <s v="Salsa curry"/>
    <x v="5"/>
    <n v="560"/>
    <n v="10"/>
    <x v="169"/>
  </r>
  <r>
    <n v="184"/>
    <x v="101"/>
    <n v="6373385557"/>
    <s v="Empresa J"/>
    <s v="Esmeraldas"/>
    <x v="7"/>
    <x v="6"/>
    <s v="Empresa de embarque B"/>
    <s v="Tarjeta de crédito"/>
    <s v="Almendras"/>
    <x v="1"/>
    <n v="140"/>
    <n v="80"/>
    <x v="170"/>
  </r>
  <r>
    <n v="185"/>
    <x v="82"/>
    <n v="5411926783"/>
    <s v="Empresa J"/>
    <s v="Esmeraldas"/>
    <x v="7"/>
    <x v="6"/>
    <s v="Empresa de embarque A"/>
    <m/>
    <s v="Ciruelas secas"/>
    <x v="1"/>
    <n v="49"/>
    <n v="27"/>
    <x v="171"/>
  </r>
  <r>
    <n v="186"/>
    <x v="149"/>
    <n v="8397590471"/>
    <s v="Empresa K"/>
    <s v="Quito"/>
    <x v="9"/>
    <x v="5"/>
    <s v="Empresa de embarque C"/>
    <m/>
    <s v="Salsa curry"/>
    <x v="5"/>
    <n v="560"/>
    <n v="97"/>
    <x v="172"/>
  </r>
  <r>
    <n v="187"/>
    <x v="150"/>
    <n v="5905399576"/>
    <s v="Empresa A"/>
    <s v="Ambato"/>
    <x v="10"/>
    <x v="2"/>
    <s v="Empresa de embarque C"/>
    <m/>
    <s v="Carne de cangrejo"/>
    <x v="8"/>
    <n v="257.59999999999997"/>
    <n v="42"/>
    <x v="173"/>
  </r>
  <r>
    <n v="188"/>
    <x v="93"/>
    <n v="168682758"/>
    <s v="Empresa BB"/>
    <s v="Manta"/>
    <x v="6"/>
    <x v="5"/>
    <s v="Empresa de embarque C"/>
    <s v="Tarjeta de crédito"/>
    <s v="Café"/>
    <x v="0"/>
    <n v="644"/>
    <n v="24"/>
    <x v="174"/>
  </r>
  <r>
    <n v="189"/>
    <x v="151"/>
    <n v="4992553897"/>
    <s v="Empresa I"/>
    <s v="Guayaquil"/>
    <x v="3"/>
    <x v="7"/>
    <s v="Empresa de embarque A"/>
    <s v="Cheque"/>
    <s v="Almejas"/>
    <x v="4"/>
    <n v="135.1"/>
    <n v="90"/>
    <x v="175"/>
  </r>
  <r>
    <n v="190"/>
    <x v="92"/>
    <n v="9609810399"/>
    <s v="Empresa F"/>
    <s v="Ibarra"/>
    <x v="5"/>
    <x v="4"/>
    <s v="Empresa de embarque B"/>
    <s v="Tarjeta de crédito"/>
    <s v="Chocolate"/>
    <x v="3"/>
    <n v="178.5"/>
    <n v="28"/>
    <x v="176"/>
  </r>
  <r>
    <n v="191"/>
    <x v="10"/>
    <n v="1537469039"/>
    <s v="Empresa BB"/>
    <s v="Manta"/>
    <x v="6"/>
    <x v="5"/>
    <s v="Empresa de embarque C"/>
    <s v="Cheque"/>
    <s v="Café"/>
    <x v="0"/>
    <n v="644"/>
    <n v="28"/>
    <x v="177"/>
  </r>
  <r>
    <n v="192"/>
    <x v="136"/>
    <n v="2018401595"/>
    <s v="Empresa H"/>
    <s v="Riobamba"/>
    <x v="2"/>
    <x v="2"/>
    <s v="Empresa de embarque C"/>
    <s v="Cheque"/>
    <s v="Chocolate"/>
    <x v="3"/>
    <n v="178.5"/>
    <n v="57"/>
    <x v="178"/>
  </r>
  <r>
    <n v="193"/>
    <x v="152"/>
    <n v="1129934476"/>
    <s v="Empresa J"/>
    <s v="Esmeraldas"/>
    <x v="7"/>
    <x v="6"/>
    <s v="Empresa de embarque B"/>
    <s v="Tarjeta de crédito"/>
    <s v="Té verde"/>
    <x v="0"/>
    <n v="41.86"/>
    <n v="23"/>
    <x v="179"/>
  </r>
  <r>
    <n v="194"/>
    <x v="115"/>
    <n v="878400496"/>
    <s v="Empresa G"/>
    <s v="Guaranda"/>
    <x v="8"/>
    <x v="2"/>
    <m/>
    <m/>
    <s v="Café"/>
    <x v="0"/>
    <n v="644"/>
    <n v="86"/>
    <x v="180"/>
  </r>
  <r>
    <n v="195"/>
    <x v="153"/>
    <n v="6271764467"/>
    <s v="Empresa J"/>
    <s v="Esmeraldas"/>
    <x v="7"/>
    <x v="6"/>
    <s v="Empresa de embarque A"/>
    <m/>
    <s v="Jalea de fresa"/>
    <x v="6"/>
    <n v="350"/>
    <n v="47"/>
    <x v="181"/>
  </r>
  <r>
    <n v="196"/>
    <x v="154"/>
    <n v="5954546839"/>
    <s v="Empresa J"/>
    <s v="Esmeraldas"/>
    <x v="7"/>
    <x v="6"/>
    <s v="Empresa de embarque A"/>
    <m/>
    <s v="Condimento cajún"/>
    <x v="7"/>
    <n v="308"/>
    <n v="97"/>
    <x v="182"/>
  </r>
  <r>
    <n v="197"/>
    <x v="155"/>
    <n v="1007419194"/>
    <s v="Empresa J"/>
    <s v="Esmeraldas"/>
    <x v="7"/>
    <x v="6"/>
    <s v="Empresa de embarque A"/>
    <m/>
    <s v="Galletas de chocolate"/>
    <x v="2"/>
    <n v="128.79999999999998"/>
    <n v="96"/>
    <x v="183"/>
  </r>
  <r>
    <n v="198"/>
    <x v="81"/>
    <n v="2749506386"/>
    <s v="Empresa K"/>
    <s v="Quito"/>
    <x v="9"/>
    <x v="5"/>
    <s v="Empresa de embarque C"/>
    <m/>
    <s v="Ciruelas secas"/>
    <x v="1"/>
    <n v="49"/>
    <n v="31"/>
    <x v="184"/>
  </r>
  <r>
    <n v="199"/>
    <x v="156"/>
    <n v="3279160134"/>
    <s v="Empresa K"/>
    <s v="Quito"/>
    <x v="9"/>
    <x v="5"/>
    <s v="Empresa de embarque C"/>
    <m/>
    <s v="Té verde"/>
    <x v="0"/>
    <n v="41.86"/>
    <n v="52"/>
    <x v="185"/>
  </r>
  <r>
    <n v="200"/>
    <x v="80"/>
    <n v="6789089883"/>
    <s v="Empresa A"/>
    <s v="Ambato"/>
    <x v="10"/>
    <x v="2"/>
    <m/>
    <m/>
    <s v="Té chai"/>
    <x v="0"/>
    <n v="252"/>
    <n v="91"/>
    <x v="186"/>
  </r>
  <r>
    <n v="201"/>
    <x v="157"/>
    <n v="7775981065"/>
    <s v="Empresa A"/>
    <s v="Ambato"/>
    <x v="10"/>
    <x v="2"/>
    <m/>
    <m/>
    <s v="Café"/>
    <x v="0"/>
    <n v="644"/>
    <n v="14"/>
    <x v="187"/>
  </r>
  <r>
    <n v="202"/>
    <x v="83"/>
    <n v="5357417804"/>
    <s v="Empresa A"/>
    <s v="Ambato"/>
    <x v="10"/>
    <x v="2"/>
    <m/>
    <m/>
    <s v="Té verde"/>
    <x v="0"/>
    <n v="41.86"/>
    <n v="44"/>
    <x v="188"/>
  </r>
  <r>
    <n v="203"/>
    <x v="158"/>
    <n v="4986720222"/>
    <s v="Empresa BB"/>
    <s v="Manta"/>
    <x v="6"/>
    <x v="5"/>
    <s v="Empresa de embarque C"/>
    <s v="Tarjeta de crédito"/>
    <s v="Almejas"/>
    <x v="4"/>
    <n v="135.1"/>
    <n v="97"/>
    <x v="54"/>
  </r>
  <r>
    <n v="204"/>
    <x v="159"/>
    <n v="9264353300"/>
    <s v="Empresa BB"/>
    <s v="Manta"/>
    <x v="6"/>
    <x v="5"/>
    <s v="Empresa de embarque C"/>
    <s v="Tarjeta de crédito"/>
    <s v="Carne de cangrejo"/>
    <x v="8"/>
    <n v="257.59999999999997"/>
    <n v="80"/>
    <x v="189"/>
  </r>
  <r>
    <n v="205"/>
    <x v="160"/>
    <n v="4507840734"/>
    <s v="Empresa I"/>
    <s v="Guayaquil"/>
    <x v="3"/>
    <x v="7"/>
    <s v="Empresa de embarque A"/>
    <s v="Cheque"/>
    <s v="Ravioli"/>
    <x v="9"/>
    <n v="273"/>
    <n v="66"/>
    <x v="190"/>
  </r>
  <r>
    <n v="206"/>
    <x v="161"/>
    <n v="1926814553"/>
    <s v="Empresa I"/>
    <s v="Guayaquil"/>
    <x v="3"/>
    <x v="7"/>
    <s v="Empresa de embarque A"/>
    <s v="Cheque"/>
    <s v="Mozzarella"/>
    <x v="10"/>
    <n v="487.19999999999993"/>
    <n v="32"/>
    <x v="191"/>
  </r>
  <r>
    <n v="207"/>
    <x v="162"/>
    <n v="1115906573"/>
    <s v="Empresa F"/>
    <s v="Ibarra"/>
    <x v="5"/>
    <x v="4"/>
    <s v="Empresa de embarque B"/>
    <s v="Tarjeta de crédito"/>
    <s v="Cerveza"/>
    <x v="0"/>
    <n v="196"/>
    <n v="52"/>
    <x v="192"/>
  </r>
  <r>
    <n v="208"/>
    <x v="155"/>
    <n v="4298972271"/>
    <s v="Empresa H"/>
    <s v="Riobamba"/>
    <x v="2"/>
    <x v="2"/>
    <s v="Empresa de embarque B"/>
    <s v="Cheque"/>
    <s v="Salsa curry"/>
    <x v="5"/>
    <n v="560"/>
    <n v="78"/>
    <x v="193"/>
  </r>
  <r>
    <n v="209"/>
    <x v="163"/>
    <n v="1419202858"/>
    <s v="Empresa H"/>
    <s v="Riobamba"/>
    <x v="2"/>
    <x v="2"/>
    <s v="Empresa de embarque B"/>
    <s v="Cheque"/>
    <s v="Galletas de chocolate"/>
    <x v="2"/>
    <n v="128.79999999999998"/>
    <n v="54"/>
    <x v="194"/>
  </r>
  <r>
    <n v="210"/>
    <x v="52"/>
    <n v="3516608759"/>
    <s v="Empresa Y"/>
    <s v="Esmeraldas"/>
    <x v="7"/>
    <x v="6"/>
    <s v="Empresa de embarque A"/>
    <s v="Efectivo"/>
    <s v="Bolillos"/>
    <x v="2"/>
    <n v="140"/>
    <n v="55"/>
    <x v="63"/>
  </r>
  <r>
    <n v="211"/>
    <x v="164"/>
    <n v="8191358442"/>
    <s v="Empresa Z"/>
    <s v="Quito"/>
    <x v="9"/>
    <x v="5"/>
    <s v="Empresa de embarque C"/>
    <s v="Tarjeta de crédito"/>
    <s v="Aceite de oliva"/>
    <x v="13"/>
    <n v="298.90000000000003"/>
    <n v="60"/>
    <x v="195"/>
  </r>
  <r>
    <n v="212"/>
    <x v="165"/>
    <n v="8451227157"/>
    <s v="Empresa Z"/>
    <s v="Quito"/>
    <x v="9"/>
    <x v="5"/>
    <s v="Empresa de embarque C"/>
    <s v="Tarjeta de crédito"/>
    <s v="Almejas"/>
    <x v="4"/>
    <n v="135.1"/>
    <n v="19"/>
    <x v="196"/>
  </r>
  <r>
    <n v="213"/>
    <x v="166"/>
    <n v="9847155245"/>
    <s v="Empresa Z"/>
    <s v="Quito"/>
    <x v="9"/>
    <x v="5"/>
    <s v="Empresa de embarque C"/>
    <s v="Tarjeta de crédito"/>
    <s v="Carne de cangrejo"/>
    <x v="8"/>
    <n v="257.59999999999997"/>
    <n v="66"/>
    <x v="197"/>
  </r>
  <r>
    <n v="214"/>
    <x v="167"/>
    <n v="5189485028"/>
    <s v="Empresa CC"/>
    <s v="Guayaquil"/>
    <x v="3"/>
    <x v="3"/>
    <s v="Empresa de embarque B"/>
    <s v="Cheque"/>
    <s v="Cerveza"/>
    <x v="0"/>
    <n v="196"/>
    <n v="42"/>
    <x v="198"/>
  </r>
  <r>
    <n v="215"/>
    <x v="13"/>
    <n v="2367569858"/>
    <s v="Empresa F"/>
    <s v="Ibarra"/>
    <x v="5"/>
    <x v="4"/>
    <s v="Empresa de embarque C"/>
    <s v="Cheque"/>
    <s v="Chocolate"/>
    <x v="3"/>
    <n v="178.5"/>
    <n v="72"/>
    <x v="199"/>
  </r>
  <r>
    <n v="216"/>
    <x v="168"/>
    <n v="1241520334"/>
    <s v="Empresa D"/>
    <s v="Azogues"/>
    <x v="1"/>
    <x v="1"/>
    <s v="Empresa de embarque A"/>
    <s v="Tarjeta de crédito"/>
    <s v="Mermelada de zarzamora"/>
    <x v="6"/>
    <n v="1134"/>
    <n v="32"/>
    <x v="200"/>
  </r>
  <r>
    <n v="217"/>
    <x v="169"/>
    <n v="6999895697"/>
    <s v="Empresa D"/>
    <s v="Azogues"/>
    <x v="1"/>
    <x v="1"/>
    <s v="Empresa de embarque A"/>
    <s v="Tarjeta de crédito"/>
    <s v="Arroz de grano largo"/>
    <x v="14"/>
    <n v="98"/>
    <n v="76"/>
    <x v="201"/>
  </r>
  <r>
    <n v="218"/>
    <x v="141"/>
    <n v="2931440223"/>
    <s v="Empresa J"/>
    <s v="Esmeraldas"/>
    <x v="7"/>
    <x v="6"/>
    <s v="Empresa de embarque A"/>
    <m/>
    <s v="Galletas de chocolate"/>
    <x v="2"/>
    <n v="128.79999999999998"/>
    <n v="83"/>
    <x v="202"/>
  </r>
  <r>
    <n v="219"/>
    <x v="25"/>
    <n v="6045555436"/>
    <s v="Empresa K"/>
    <s v="Quito"/>
    <x v="9"/>
    <x v="5"/>
    <s v="Empresa de embarque C"/>
    <m/>
    <s v="Ciruelas secas"/>
    <x v="1"/>
    <n v="49"/>
    <n v="91"/>
    <x v="203"/>
  </r>
  <r>
    <n v="220"/>
    <x v="57"/>
    <n v="4985084204"/>
    <s v="Empresa K"/>
    <s v="Quito"/>
    <x v="9"/>
    <x v="5"/>
    <s v="Empresa de embarque C"/>
    <m/>
    <s v="Té verde"/>
    <x v="0"/>
    <n v="41.86"/>
    <n v="64"/>
    <x v="204"/>
  </r>
  <r>
    <n v="221"/>
    <x v="99"/>
    <n v="8950774476"/>
    <s v="Empresa A"/>
    <s v="Ambato"/>
    <x v="10"/>
    <x v="2"/>
    <m/>
    <m/>
    <s v="Té chai"/>
    <x v="0"/>
    <n v="252"/>
    <n v="58"/>
    <x v="205"/>
  </r>
  <r>
    <n v="222"/>
    <x v="170"/>
    <n v="4091794218"/>
    <s v="Empresa A"/>
    <s v="Ambato"/>
    <x v="10"/>
    <x v="2"/>
    <m/>
    <m/>
    <s v="Café"/>
    <x v="0"/>
    <n v="644"/>
    <n v="97"/>
    <x v="206"/>
  </r>
  <r>
    <n v="223"/>
    <x v="153"/>
    <n v="2789876793"/>
    <s v="Empresa A"/>
    <s v="Ambato"/>
    <x v="10"/>
    <x v="2"/>
    <m/>
    <m/>
    <s v="Té verde"/>
    <x v="0"/>
    <n v="41.86"/>
    <n v="14"/>
    <x v="207"/>
  </r>
  <r>
    <n v="224"/>
    <x v="171"/>
    <n v="4338385582"/>
    <s v="Empresa BB"/>
    <s v="Manta"/>
    <x v="6"/>
    <x v="5"/>
    <s v="Empresa de embarque C"/>
    <s v="Tarjeta de crédito"/>
    <s v="Almejas"/>
    <x v="4"/>
    <n v="135.1"/>
    <n v="68"/>
    <x v="208"/>
  </r>
  <r>
    <n v="225"/>
    <x v="144"/>
    <n v="9159410824"/>
    <s v="Empresa BB"/>
    <s v="Manta"/>
    <x v="6"/>
    <x v="5"/>
    <s v="Empresa de embarque C"/>
    <s v="Tarjeta de crédito"/>
    <s v="Carne de cangrejo"/>
    <x v="8"/>
    <n v="257.59999999999997"/>
    <n v="32"/>
    <x v="209"/>
  </r>
  <r>
    <n v="226"/>
    <x v="172"/>
    <n v="6562657766"/>
    <s v="Empresa I"/>
    <s v="Guayaquil"/>
    <x v="3"/>
    <x v="7"/>
    <s v="Empresa de embarque A"/>
    <s v="Cheque"/>
    <s v="Ravioli"/>
    <x v="9"/>
    <n v="273"/>
    <n v="48"/>
    <x v="210"/>
  </r>
  <r>
    <n v="227"/>
    <x v="173"/>
    <n v="4160634865"/>
    <s v="Empresa I"/>
    <s v="Guayaquil"/>
    <x v="3"/>
    <x v="7"/>
    <s v="Empresa de embarque A"/>
    <s v="Cheque"/>
    <s v="Mozzarella"/>
    <x v="10"/>
    <n v="487.19999999999993"/>
    <n v="57"/>
    <x v="211"/>
  </r>
  <r>
    <n v="228"/>
    <x v="147"/>
    <n v="142416687"/>
    <s v="Empresa F"/>
    <s v="Ibarra"/>
    <x v="5"/>
    <x v="4"/>
    <s v="Empresa de embarque B"/>
    <s v="Tarjeta de crédito"/>
    <s v="Cerveza"/>
    <x v="0"/>
    <n v="196"/>
    <n v="67"/>
    <x v="212"/>
  </r>
  <r>
    <n v="229"/>
    <x v="108"/>
    <n v="6114991349"/>
    <s v="Empresa H"/>
    <s v="Riobamba"/>
    <x v="2"/>
    <x v="2"/>
    <s v="Empresa de embarque B"/>
    <s v="Cheque"/>
    <s v="Salsa curry"/>
    <x v="5"/>
    <n v="560"/>
    <n v="48"/>
    <x v="213"/>
  </r>
  <r>
    <n v="230"/>
    <x v="174"/>
    <n v="6472352060"/>
    <s v="Empresa H"/>
    <s v="Riobamba"/>
    <x v="2"/>
    <x v="2"/>
    <s v="Empresa de embarque B"/>
    <s v="Cheque"/>
    <s v="Galletas de chocolate"/>
    <x v="2"/>
    <n v="128.79999999999998"/>
    <n v="77"/>
    <x v="214"/>
  </r>
  <r>
    <n v="231"/>
    <x v="138"/>
    <n v="5399077795"/>
    <s v="Empresa Y"/>
    <s v="Esmeraldas"/>
    <x v="7"/>
    <x v="6"/>
    <s v="Empresa de embarque A"/>
    <s v="Efectivo"/>
    <s v="Bolillos"/>
    <x v="2"/>
    <n v="140"/>
    <n v="94"/>
    <x v="215"/>
  </r>
  <r>
    <n v="232"/>
    <x v="175"/>
    <n v="6275645168"/>
    <s v="Empresa Z"/>
    <s v="Quito"/>
    <x v="9"/>
    <x v="5"/>
    <s v="Empresa de embarque C"/>
    <s v="Tarjeta de crédito"/>
    <s v="Aceite de oliva"/>
    <x v="13"/>
    <n v="298.90000000000003"/>
    <n v="54"/>
    <x v="216"/>
  </r>
  <r>
    <n v="233"/>
    <x v="51"/>
    <n v="597069969"/>
    <s v="Empresa Z"/>
    <s v="Quito"/>
    <x v="9"/>
    <x v="5"/>
    <s v="Empresa de embarque C"/>
    <s v="Tarjeta de crédito"/>
    <s v="Almejas"/>
    <x v="4"/>
    <n v="135.1"/>
    <n v="43"/>
    <x v="85"/>
  </r>
  <r>
    <n v="234"/>
    <x v="58"/>
    <n v="1323169656"/>
    <s v="Empresa Z"/>
    <s v="Quito"/>
    <x v="9"/>
    <x v="5"/>
    <s v="Empresa de embarque C"/>
    <s v="Tarjeta de crédito"/>
    <s v="Carne de cangrejo"/>
    <x v="8"/>
    <n v="257.59999999999997"/>
    <n v="71"/>
    <x v="144"/>
  </r>
  <r>
    <n v="235"/>
    <x v="176"/>
    <n v="2932971142"/>
    <s v="Empresa CC"/>
    <s v="Guayaquil"/>
    <x v="3"/>
    <x v="3"/>
    <s v="Empresa de embarque B"/>
    <s v="Cheque"/>
    <s v="Cerveza"/>
    <x v="0"/>
    <n v="196"/>
    <n v="50"/>
    <x v="217"/>
  </r>
  <r>
    <n v="236"/>
    <x v="177"/>
    <n v="3634141900"/>
    <s v="Empresa F"/>
    <s v="Ibarra"/>
    <x v="5"/>
    <x v="4"/>
    <s v="Empresa de embarque C"/>
    <s v="Cheque"/>
    <s v="Chocolate"/>
    <x v="3"/>
    <n v="178.5"/>
    <n v="96"/>
    <x v="147"/>
  </r>
  <r>
    <n v="237"/>
    <x v="161"/>
    <n v="8872627168"/>
    <s v="Empresa D"/>
    <s v="Azogues"/>
    <x v="1"/>
    <x v="1"/>
    <s v="Empresa de embarque A"/>
    <s v="Tarjeta de crédito"/>
    <s v="Mermelada de zarzamora"/>
    <x v="6"/>
    <n v="1134"/>
    <n v="54"/>
    <x v="218"/>
  </r>
  <r>
    <n v="238"/>
    <x v="178"/>
    <n v="5571010485"/>
    <s v="Empresa D"/>
    <s v="Azogues"/>
    <x v="1"/>
    <x v="1"/>
    <s v="Empresa de embarque A"/>
    <s v="Tarjeta de crédito"/>
    <s v="Arroz de grano largo"/>
    <x v="14"/>
    <n v="98"/>
    <n v="39"/>
    <x v="219"/>
  </r>
  <r>
    <n v="239"/>
    <x v="66"/>
    <n v="7703467924"/>
    <s v="Empresa H"/>
    <s v="Riobamba"/>
    <x v="2"/>
    <x v="2"/>
    <s v="Empresa de embarque C"/>
    <s v="Tarjeta de crédito"/>
    <s v="Mozzarella"/>
    <x v="10"/>
    <n v="487.19999999999993"/>
    <n v="63"/>
    <x v="60"/>
  </r>
  <r>
    <n v="240"/>
    <x v="143"/>
    <n v="7747820326"/>
    <s v="Empresa C"/>
    <s v="Machala"/>
    <x v="4"/>
    <x v="0"/>
    <s v="Empresa de embarque B"/>
    <s v="Efectivo"/>
    <s v="Jarabe"/>
    <x v="7"/>
    <n v="140"/>
    <n v="71"/>
    <x v="220"/>
  </r>
  <r>
    <n v="241"/>
    <x v="179"/>
    <n v="5769101754"/>
    <s v="Empresa C"/>
    <s v="Machala"/>
    <x v="4"/>
    <x v="0"/>
    <s v="Empresa de embarque B"/>
    <s v="Efectivo"/>
    <s v="Salsa curry"/>
    <x v="5"/>
    <n v="560"/>
    <n v="88"/>
    <x v="221"/>
  </r>
  <r>
    <n v="242"/>
    <x v="81"/>
    <n v="7427615835"/>
    <s v="Empresa J"/>
    <s v="Esmeraldas"/>
    <x v="7"/>
    <x v="6"/>
    <s v="Empresa de embarque B"/>
    <s v="Tarjeta de crédito"/>
    <s v="Almendras"/>
    <x v="1"/>
    <n v="140"/>
    <n v="59"/>
    <x v="222"/>
  </r>
  <r>
    <n v="243"/>
    <x v="180"/>
    <n v="242336558"/>
    <s v="Empresa F"/>
    <s v="Ibarra"/>
    <x v="5"/>
    <x v="4"/>
    <s v="Empresa de embarque B"/>
    <s v="Tarjeta de crédito"/>
    <s v="Salsa curry"/>
    <x v="5"/>
    <n v="560"/>
    <n v="94"/>
    <x v="223"/>
  </r>
  <r>
    <n v="244"/>
    <x v="139"/>
    <n v="2520819737"/>
    <s v="Empresa BB"/>
    <s v="Manta"/>
    <x v="6"/>
    <x v="5"/>
    <s v="Empresa de embarque C"/>
    <s v="Cheque"/>
    <s v="Café"/>
    <x v="0"/>
    <n v="644"/>
    <n v="86"/>
    <x v="180"/>
  </r>
  <r>
    <n v="245"/>
    <x v="181"/>
    <n v="8828389188"/>
    <s v="Empresa H"/>
    <s v="Riobamba"/>
    <x v="2"/>
    <x v="2"/>
    <s v="Empresa de embarque C"/>
    <s v="Cheque"/>
    <s v="Chocolate"/>
    <x v="3"/>
    <n v="178.5"/>
    <n v="61"/>
    <x v="224"/>
  </r>
  <r>
    <n v="246"/>
    <x v="182"/>
    <n v="164422904"/>
    <s v="Empresa J"/>
    <s v="Esmeraldas"/>
    <x v="7"/>
    <x v="6"/>
    <s v="Empresa de embarque B"/>
    <s v="Tarjeta de crédito"/>
    <s v="Té verde"/>
    <x v="0"/>
    <n v="41.86"/>
    <n v="32"/>
    <x v="225"/>
  </r>
  <r>
    <n v="247"/>
    <x v="32"/>
    <n v="7991995786"/>
    <s v="Empresa G"/>
    <s v="Guaranda"/>
    <x v="8"/>
    <x v="2"/>
    <m/>
    <m/>
    <s v="Café"/>
    <x v="0"/>
    <n v="644"/>
    <n v="62"/>
    <x v="226"/>
  </r>
  <r>
    <n v="248"/>
    <x v="183"/>
    <n v="4149364306"/>
    <s v="Empresa J"/>
    <s v="Esmeraldas"/>
    <x v="7"/>
    <x v="6"/>
    <s v="Empresa de embarque A"/>
    <m/>
    <s v="Jalea de fresa"/>
    <x v="6"/>
    <n v="350"/>
    <n v="60"/>
    <x v="227"/>
  </r>
  <r>
    <n v="249"/>
    <x v="97"/>
    <n v="6397472642"/>
    <s v="Empresa J"/>
    <s v="Esmeraldas"/>
    <x v="7"/>
    <x v="6"/>
    <s v="Empresa de embarque A"/>
    <m/>
    <s v="Condimento cajún"/>
    <x v="7"/>
    <n v="308"/>
    <n v="51"/>
    <x v="228"/>
  </r>
  <r>
    <n v="250"/>
    <x v="73"/>
    <n v="1168651383"/>
    <s v="Empresa J"/>
    <s v="Esmeraldas"/>
    <x v="7"/>
    <x v="6"/>
    <s v="Empresa de embarque A"/>
    <m/>
    <s v="Galletas de chocolate"/>
    <x v="2"/>
    <n v="128.79999999999998"/>
    <n v="49"/>
    <x v="229"/>
  </r>
  <r>
    <n v="251"/>
    <x v="184"/>
    <n v="1309311215"/>
    <s v="Empresa K"/>
    <s v="Quito"/>
    <x v="9"/>
    <x v="5"/>
    <s v="Empresa de embarque C"/>
    <m/>
    <s v="Ciruelas secas"/>
    <x v="1"/>
    <n v="49"/>
    <n v="20"/>
    <x v="230"/>
  </r>
  <r>
    <n v="252"/>
    <x v="185"/>
    <n v="4552083877"/>
    <s v="Empresa K"/>
    <s v="Quito"/>
    <x v="9"/>
    <x v="5"/>
    <s v="Empresa de embarque C"/>
    <m/>
    <s v="Té verde"/>
    <x v="0"/>
    <n v="41.86"/>
    <n v="49"/>
    <x v="231"/>
  </r>
  <r>
    <n v="253"/>
    <x v="186"/>
    <n v="6119453494"/>
    <s v="Empresa A"/>
    <s v="Ambato"/>
    <x v="10"/>
    <x v="2"/>
    <m/>
    <m/>
    <s v="Té chai"/>
    <x v="0"/>
    <n v="252"/>
    <n v="22"/>
    <x v="232"/>
  </r>
  <r>
    <n v="254"/>
    <x v="55"/>
    <n v="8815781249"/>
    <s v="Empresa A"/>
    <s v="Ambato"/>
    <x v="10"/>
    <x v="2"/>
    <m/>
    <m/>
    <s v="Café"/>
    <x v="0"/>
    <n v="644"/>
    <n v="73"/>
    <x v="233"/>
  </r>
  <r>
    <n v="255"/>
    <x v="180"/>
    <n v="5308869510"/>
    <s v="Empresa A"/>
    <s v="Ambato"/>
    <x v="10"/>
    <x v="2"/>
    <m/>
    <m/>
    <s v="Té verde"/>
    <x v="0"/>
    <n v="41.86"/>
    <n v="85"/>
    <x v="234"/>
  </r>
  <r>
    <n v="256"/>
    <x v="187"/>
    <n v="9623390930"/>
    <s v="Empresa BB"/>
    <s v="Manta"/>
    <x v="6"/>
    <x v="5"/>
    <s v="Empresa de embarque C"/>
    <s v="Tarjeta de crédito"/>
    <s v="Almejas"/>
    <x v="4"/>
    <n v="135.1"/>
    <n v="44"/>
    <x v="235"/>
  </r>
  <r>
    <n v="257"/>
    <x v="179"/>
    <n v="9925453816"/>
    <s v="Empresa BB"/>
    <s v="Manta"/>
    <x v="6"/>
    <x v="5"/>
    <s v="Empresa de embarque C"/>
    <s v="Tarjeta de crédito"/>
    <s v="Carne de cangrejo"/>
    <x v="8"/>
    <n v="257.59999999999997"/>
    <n v="24"/>
    <x v="236"/>
  </r>
  <r>
    <n v="258"/>
    <x v="172"/>
    <n v="6948053333"/>
    <s v="Empresa I"/>
    <s v="Guayaquil"/>
    <x v="3"/>
    <x v="7"/>
    <s v="Empresa de embarque A"/>
    <s v="Cheque"/>
    <s v="Ravioli"/>
    <x v="9"/>
    <n v="273"/>
    <n v="64"/>
    <x v="237"/>
  </r>
  <r>
    <n v="259"/>
    <x v="150"/>
    <n v="2060963898"/>
    <s v="Empresa I"/>
    <s v="Guayaquil"/>
    <x v="3"/>
    <x v="7"/>
    <s v="Empresa de embarque A"/>
    <s v="Cheque"/>
    <s v="Mozzarella"/>
    <x v="10"/>
    <n v="487.19999999999993"/>
    <n v="70"/>
    <x v="238"/>
  </r>
  <r>
    <n v="260"/>
    <x v="176"/>
    <n v="2582781913"/>
    <s v="Empresa F"/>
    <s v="Ibarra"/>
    <x v="5"/>
    <x v="4"/>
    <s v="Empresa de embarque B"/>
    <s v="Tarjeta de crédito"/>
    <s v="Cerveza"/>
    <x v="0"/>
    <n v="196"/>
    <n v="98"/>
    <x v="239"/>
  </r>
  <r>
    <n v="261"/>
    <x v="26"/>
    <n v="2732649952"/>
    <s v="Empresa H"/>
    <s v="Riobamba"/>
    <x v="2"/>
    <x v="2"/>
    <s v="Empresa de embarque B"/>
    <s v="Cheque"/>
    <s v="Salsa curry"/>
    <x v="5"/>
    <n v="560"/>
    <n v="48"/>
    <x v="213"/>
  </r>
  <r>
    <n v="262"/>
    <x v="142"/>
    <n v="4179453952"/>
    <s v="Empresa H"/>
    <s v="Riobamba"/>
    <x v="2"/>
    <x v="2"/>
    <s v="Empresa de embarque B"/>
    <s v="Cheque"/>
    <s v="Galletas de chocolate"/>
    <x v="2"/>
    <n v="128.79999999999998"/>
    <n v="100"/>
    <x v="240"/>
  </r>
  <r>
    <n v="263"/>
    <x v="188"/>
    <n v="4339665341"/>
    <s v="Empresa Y"/>
    <s v="Esmeraldas"/>
    <x v="7"/>
    <x v="6"/>
    <s v="Empresa de embarque A"/>
    <s v="Efectivo"/>
    <s v="Bolillos"/>
    <x v="2"/>
    <n v="140"/>
    <n v="90"/>
    <x v="241"/>
  </r>
  <r>
    <n v="264"/>
    <x v="189"/>
    <n v="9193900326"/>
    <s v="Empresa Z"/>
    <s v="Quito"/>
    <x v="9"/>
    <x v="5"/>
    <s v="Empresa de embarque C"/>
    <s v="Tarjeta de crédito"/>
    <s v="Aceite de oliva"/>
    <x v="13"/>
    <n v="298.90000000000003"/>
    <n v="49"/>
    <x v="242"/>
  </r>
  <r>
    <n v="265"/>
    <x v="96"/>
    <n v="7474169055"/>
    <s v="Empresa Z"/>
    <s v="Quito"/>
    <x v="9"/>
    <x v="5"/>
    <s v="Empresa de embarque C"/>
    <s v="Tarjeta de crédito"/>
    <s v="Almejas"/>
    <x v="4"/>
    <n v="135.1"/>
    <n v="71"/>
    <x v="243"/>
  </r>
  <r>
    <n v="266"/>
    <x v="59"/>
    <n v="9750138179"/>
    <s v="Empresa Z"/>
    <s v="Quito"/>
    <x v="9"/>
    <x v="5"/>
    <s v="Empresa de embarque C"/>
    <s v="Tarjeta de crédito"/>
    <s v="Carne de cangrejo"/>
    <x v="8"/>
    <n v="257.59999999999997"/>
    <n v="10"/>
    <x v="244"/>
  </r>
  <r>
    <n v="267"/>
    <x v="190"/>
    <n v="2294414293"/>
    <s v="Empresa CC"/>
    <s v="Guayaquil"/>
    <x v="3"/>
    <x v="3"/>
    <s v="Empresa de embarque B"/>
    <s v="Cheque"/>
    <s v="Cerveza"/>
    <x v="0"/>
    <n v="196"/>
    <n v="78"/>
    <x v="245"/>
  </r>
  <r>
    <n v="268"/>
    <x v="191"/>
    <n v="776426288"/>
    <s v="Empresa F"/>
    <s v="Ibarra"/>
    <x v="5"/>
    <x v="4"/>
    <s v="Empresa de embarque C"/>
    <s v="Cheque"/>
    <s v="Chocolate"/>
    <x v="3"/>
    <n v="178.5"/>
    <n v="44"/>
    <x v="136"/>
  </r>
  <r>
    <n v="269"/>
    <x v="158"/>
    <n v="1245231958"/>
    <s v="Empresa D"/>
    <s v="Azogues"/>
    <x v="1"/>
    <x v="1"/>
    <s v="Empresa de embarque A"/>
    <s v="Tarjeta de crédito"/>
    <s v="Mermelada de zarzamora"/>
    <x v="6"/>
    <n v="1134"/>
    <n v="82"/>
    <x v="246"/>
  </r>
  <r>
    <n v="270"/>
    <x v="192"/>
    <n v="2050724971"/>
    <s v="Empresa D"/>
    <s v="Azogues"/>
    <x v="1"/>
    <x v="1"/>
    <s v="Empresa de embarque A"/>
    <s v="Tarjeta de crédito"/>
    <s v="Arroz de grano largo"/>
    <x v="14"/>
    <n v="98"/>
    <n v="29"/>
    <x v="247"/>
  </r>
  <r>
    <n v="271"/>
    <x v="193"/>
    <n v="9478104719"/>
    <s v="Empresa H"/>
    <s v="Riobamba"/>
    <x v="2"/>
    <x v="2"/>
    <s v="Empresa de embarque C"/>
    <s v="Tarjeta de crédito"/>
    <s v="Mozzarella"/>
    <x v="10"/>
    <n v="487.19999999999993"/>
    <n v="93"/>
    <x v="248"/>
  </r>
  <r>
    <n v="272"/>
    <x v="160"/>
    <n v="7620759943"/>
    <s v="Empresa C"/>
    <s v="Machala"/>
    <x v="4"/>
    <x v="0"/>
    <s v="Empresa de embarque B"/>
    <s v="Efectivo"/>
    <s v="Jarabe"/>
    <x v="7"/>
    <n v="140"/>
    <n v="11"/>
    <x v="249"/>
  </r>
  <r>
    <n v="273"/>
    <x v="194"/>
    <n v="9345003575"/>
    <s v="Empresa C"/>
    <s v="Machala"/>
    <x v="4"/>
    <x v="0"/>
    <s v="Empresa de embarque B"/>
    <s v="Efectivo"/>
    <s v="Salsa curry"/>
    <x v="5"/>
    <n v="560"/>
    <n v="91"/>
    <x v="159"/>
  </r>
  <r>
    <n v="274"/>
    <x v="47"/>
    <n v="5988072690"/>
    <s v="Empresa J"/>
    <s v="Esmeraldas"/>
    <x v="7"/>
    <x v="6"/>
    <s v="Empresa de embarque B"/>
    <s v="Tarjeta de crédito"/>
    <s v="Almendras"/>
    <x v="1"/>
    <n v="140"/>
    <n v="12"/>
    <x v="250"/>
  </r>
  <r>
    <n v="275"/>
    <x v="195"/>
    <n v="5113488625"/>
    <s v="Empresa J"/>
    <s v="Esmeraldas"/>
    <x v="7"/>
    <x v="6"/>
    <s v="Empresa de embarque A"/>
    <m/>
    <s v="Ciruelas secas"/>
    <x v="1"/>
    <n v="49"/>
    <n v="78"/>
    <x v="219"/>
  </r>
  <r>
    <n v="276"/>
    <x v="196"/>
    <n v="8021429259"/>
    <s v="Empresa K"/>
    <s v="Quito"/>
    <x v="9"/>
    <x v="5"/>
    <s v="Empresa de embarque C"/>
    <m/>
    <s v="Salsa curry"/>
    <x v="5"/>
    <n v="560"/>
    <n v="60"/>
    <x v="251"/>
  </r>
  <r>
    <n v="277"/>
    <x v="186"/>
    <n v="680211800"/>
    <s v="Empresa A"/>
    <s v="Ambato"/>
    <x v="10"/>
    <x v="2"/>
    <s v="Empresa de embarque C"/>
    <m/>
    <s v="Carne de cangrejo"/>
    <x v="8"/>
    <n v="257.59999999999997"/>
    <n v="23"/>
    <x v="252"/>
  </r>
  <r>
    <n v="278"/>
    <x v="107"/>
    <n v="2635806056"/>
    <s v="Empresa BB"/>
    <s v="Manta"/>
    <x v="6"/>
    <x v="5"/>
    <s v="Empresa de embarque C"/>
    <s v="Tarjeta de crédito"/>
    <s v="Café"/>
    <x v="0"/>
    <n v="644"/>
    <n v="34"/>
    <x v="253"/>
  </r>
  <r>
    <n v="279"/>
    <x v="96"/>
    <n v="3338515953"/>
    <s v="Empresa I"/>
    <s v="Guayaquil"/>
    <x v="3"/>
    <x v="7"/>
    <s v="Empresa de embarque A"/>
    <s v="Cheque"/>
    <s v="Almejas"/>
    <x v="4"/>
    <n v="135.1"/>
    <n v="89"/>
    <x v="254"/>
  </r>
  <r>
    <n v="280"/>
    <x v="88"/>
    <n v="3075758565"/>
    <s v="Empresa F"/>
    <s v="Ibarra"/>
    <x v="5"/>
    <x v="4"/>
    <s v="Empresa de embarque B"/>
    <s v="Tarjeta de crédito"/>
    <s v="Chocolate"/>
    <x v="3"/>
    <n v="178.5"/>
    <n v="82"/>
    <x v="255"/>
  </r>
  <r>
    <n v="281"/>
    <x v="92"/>
    <n v="5383209032"/>
    <s v="Empresa H"/>
    <s v="Riobamba"/>
    <x v="2"/>
    <x v="2"/>
    <s v="Empresa de embarque B"/>
    <s v="Cheque"/>
    <s v="Chocolate"/>
    <x v="3"/>
    <n v="178.5"/>
    <n v="43"/>
    <x v="256"/>
  </r>
  <r>
    <n v="282"/>
    <x v="1"/>
    <n v="9635546425"/>
    <s v="Empresa J"/>
    <s v="Esmeraldas"/>
    <x v="7"/>
    <x v="6"/>
    <s v="Empresa de embarque A"/>
    <m/>
    <s v="Condimento cajún"/>
    <x v="7"/>
    <n v="308"/>
    <n v="96"/>
    <x v="257"/>
  </r>
  <r>
    <n v="283"/>
    <x v="96"/>
    <n v="3501364052"/>
    <s v="Empresa J"/>
    <s v="Esmeraldas"/>
    <x v="7"/>
    <x v="6"/>
    <s v="Empresa de embarque A"/>
    <m/>
    <s v="Galletas de chocolate"/>
    <x v="2"/>
    <n v="128.79999999999998"/>
    <n v="34"/>
    <x v="258"/>
  </r>
  <r>
    <n v="284"/>
    <x v="45"/>
    <n v="2226825043"/>
    <s v="Empresa K"/>
    <s v="Quito"/>
    <x v="9"/>
    <x v="5"/>
    <s v="Empresa de embarque C"/>
    <m/>
    <s v="Ciruelas secas"/>
    <x v="1"/>
    <n v="49"/>
    <n v="42"/>
    <x v="259"/>
  </r>
  <r>
    <n v="285"/>
    <x v="197"/>
    <n v="6321323029"/>
    <s v="Empresa K"/>
    <s v="Quito"/>
    <x v="9"/>
    <x v="5"/>
    <s v="Empresa de embarque C"/>
    <m/>
    <s v="Té verde"/>
    <x v="0"/>
    <n v="41.86"/>
    <n v="100"/>
    <x v="260"/>
  </r>
  <r>
    <n v="286"/>
    <x v="172"/>
    <n v="3775524143"/>
    <s v="Empresa A"/>
    <s v="Ambato"/>
    <x v="10"/>
    <x v="2"/>
    <m/>
    <m/>
    <s v="Té chai"/>
    <x v="0"/>
    <n v="252"/>
    <n v="42"/>
    <x v="261"/>
  </r>
  <r>
    <n v="287"/>
    <x v="198"/>
    <n v="9543041808"/>
    <s v="Empresa A"/>
    <s v="Ambato"/>
    <x v="10"/>
    <x v="2"/>
    <m/>
    <m/>
    <s v="Café"/>
    <x v="0"/>
    <n v="644"/>
    <n v="16"/>
    <x v="262"/>
  </r>
  <r>
    <n v="288"/>
    <x v="199"/>
    <n v="547647770"/>
    <s v="Empresa A"/>
    <s v="Ambato"/>
    <x v="10"/>
    <x v="2"/>
    <m/>
    <m/>
    <s v="Té verde"/>
    <x v="0"/>
    <n v="41.86"/>
    <n v="22"/>
    <x v="263"/>
  </r>
  <r>
    <n v="289"/>
    <x v="88"/>
    <n v="7120228607"/>
    <s v="Empresa BB"/>
    <s v="Manta"/>
    <x v="6"/>
    <x v="5"/>
    <s v="Empresa de embarque C"/>
    <s v="Tarjeta de crédito"/>
    <s v="Almejas"/>
    <x v="4"/>
    <n v="135.1"/>
    <n v="46"/>
    <x v="264"/>
  </r>
  <r>
    <n v="290"/>
    <x v="105"/>
    <n v="5554565190"/>
    <s v="Empresa BB"/>
    <s v="Manta"/>
    <x v="6"/>
    <x v="5"/>
    <s v="Empresa de embarque C"/>
    <s v="Tarjeta de crédito"/>
    <s v="Carne de cangrejo"/>
    <x v="8"/>
    <n v="257.59999999999997"/>
    <n v="100"/>
    <x v="265"/>
  </r>
  <r>
    <n v="291"/>
    <x v="77"/>
    <n v="1644848787"/>
    <s v="Empresa I"/>
    <s v="Guayaquil"/>
    <x v="3"/>
    <x v="7"/>
    <s v="Empresa de embarque A"/>
    <s v="Cheque"/>
    <s v="Ravioli"/>
    <x v="9"/>
    <n v="273"/>
    <n v="87"/>
    <x v="266"/>
  </r>
  <r>
    <n v="292"/>
    <x v="83"/>
    <n v="8273786477"/>
    <s v="Empresa I"/>
    <s v="Guayaquil"/>
    <x v="3"/>
    <x v="7"/>
    <s v="Empresa de embarque A"/>
    <s v="Cheque"/>
    <s v="Mozzarella"/>
    <x v="10"/>
    <n v="487.19999999999993"/>
    <n v="58"/>
    <x v="267"/>
  </r>
  <r>
    <n v="293"/>
    <x v="200"/>
    <n v="1397118248"/>
    <s v="Empresa F"/>
    <s v="Ibarra"/>
    <x v="5"/>
    <x v="4"/>
    <s v="Empresa de embarque B"/>
    <s v="Tarjeta de crédito"/>
    <s v="Cerveza"/>
    <x v="0"/>
    <n v="196"/>
    <n v="85"/>
    <x v="268"/>
  </r>
  <r>
    <n v="294"/>
    <x v="148"/>
    <n v="4468604310"/>
    <s v="Empresa H"/>
    <s v="Riobamba"/>
    <x v="2"/>
    <x v="2"/>
    <s v="Empresa de embarque B"/>
    <s v="Cheque"/>
    <s v="Salsa curry"/>
    <x v="5"/>
    <n v="560"/>
    <n v="28"/>
    <x v="140"/>
  </r>
  <r>
    <n v="295"/>
    <x v="49"/>
    <n v="457458721"/>
    <s v="Empresa H"/>
    <s v="Riobamba"/>
    <x v="2"/>
    <x v="2"/>
    <s v="Empresa de embarque B"/>
    <s v="Cheque"/>
    <s v="Galletas de chocolate"/>
    <x v="2"/>
    <n v="128.79999999999998"/>
    <n v="19"/>
    <x v="269"/>
  </r>
  <r>
    <n v="296"/>
    <x v="201"/>
    <n v="7184663808"/>
    <s v="Empresa Y"/>
    <s v="Esmeraldas"/>
    <x v="7"/>
    <x v="6"/>
    <s v="Empresa de embarque A"/>
    <s v="Efectivo"/>
    <s v="Bolillos"/>
    <x v="2"/>
    <n v="140"/>
    <n v="99"/>
    <x v="83"/>
  </r>
  <r>
    <n v="297"/>
    <x v="202"/>
    <n v="3449599231"/>
    <s v="Empresa Z"/>
    <s v="Quito"/>
    <x v="9"/>
    <x v="5"/>
    <s v="Empresa de embarque C"/>
    <s v="Tarjeta de crédito"/>
    <s v="Aceite de oliva"/>
    <x v="13"/>
    <n v="298.90000000000003"/>
    <n v="69"/>
    <x v="270"/>
  </r>
  <r>
    <n v="298"/>
    <x v="172"/>
    <n v="3901461858"/>
    <s v="Empresa Z"/>
    <s v="Quito"/>
    <x v="9"/>
    <x v="5"/>
    <s v="Empresa de embarque C"/>
    <s v="Tarjeta de crédito"/>
    <s v="Almejas"/>
    <x v="4"/>
    <n v="135.1"/>
    <n v="37"/>
    <x v="271"/>
  </r>
  <r>
    <n v="299"/>
    <x v="44"/>
    <n v="6798892819"/>
    <s v="Empresa Z"/>
    <s v="Quito"/>
    <x v="9"/>
    <x v="5"/>
    <s v="Empresa de embarque C"/>
    <s v="Tarjeta de crédito"/>
    <s v="Carne de cangrejo"/>
    <x v="8"/>
    <n v="257.59999999999997"/>
    <n v="64"/>
    <x v="108"/>
  </r>
  <r>
    <n v="300"/>
    <x v="188"/>
    <n v="6897506437"/>
    <s v="Empresa CC"/>
    <s v="Guayaquil"/>
    <x v="3"/>
    <x v="3"/>
    <s v="Empresa de embarque B"/>
    <s v="Cheque"/>
    <s v="Cerveza"/>
    <x v="0"/>
    <n v="196"/>
    <n v="38"/>
    <x v="201"/>
  </r>
  <r>
    <n v="301"/>
    <x v="203"/>
    <n v="6298594113"/>
    <s v="Empresa F"/>
    <s v="Ibarra"/>
    <x v="5"/>
    <x v="4"/>
    <s v="Empresa de embarque C"/>
    <s v="Cheque"/>
    <s v="Chocolate"/>
    <x v="3"/>
    <n v="178.5"/>
    <n v="15"/>
    <x v="272"/>
  </r>
  <r>
    <n v="302"/>
    <x v="180"/>
    <n v="6972691420"/>
    <s v="Empresa D"/>
    <s v="Azogues"/>
    <x v="1"/>
    <x v="1"/>
    <s v="Empresa de embarque A"/>
    <s v="Tarjeta de crédito"/>
    <s v="Mermelada de zarzamora"/>
    <x v="6"/>
    <n v="1134"/>
    <n v="52"/>
    <x v="273"/>
  </r>
  <r>
    <n v="303"/>
    <x v="204"/>
    <n v="677992170"/>
    <s v="Empresa D"/>
    <s v="Azogues"/>
    <x v="1"/>
    <x v="1"/>
    <s v="Empresa de embarque A"/>
    <s v="Tarjeta de crédito"/>
    <s v="Arroz de grano largo"/>
    <x v="14"/>
    <n v="98"/>
    <n v="37"/>
    <x v="59"/>
  </r>
  <r>
    <n v="304"/>
    <x v="205"/>
    <n v="3501827064"/>
    <s v="Empresa H"/>
    <s v="Riobamba"/>
    <x v="2"/>
    <x v="2"/>
    <s v="Empresa de embarque C"/>
    <s v="Tarjeta de crédito"/>
    <s v="Mozzarella"/>
    <x v="10"/>
    <n v="487.19999999999993"/>
    <n v="24"/>
    <x v="274"/>
  </r>
  <r>
    <n v="305"/>
    <x v="206"/>
    <n v="9140892367"/>
    <s v="Empresa C"/>
    <s v="Machala"/>
    <x v="4"/>
    <x v="0"/>
    <s v="Empresa de embarque B"/>
    <s v="Efectivo"/>
    <s v="Jarabe"/>
    <x v="7"/>
    <n v="140"/>
    <n v="36"/>
    <x v="275"/>
  </r>
  <r>
    <n v="306"/>
    <x v="13"/>
    <n v="7570396760"/>
    <s v="Empresa C"/>
    <s v="Machala"/>
    <x v="4"/>
    <x v="0"/>
    <s v="Empresa de embarque B"/>
    <s v="Efectivo"/>
    <s v="Salsa curry"/>
    <x v="5"/>
    <n v="560"/>
    <n v="24"/>
    <x v="276"/>
  </r>
  <r>
    <n v="307"/>
    <x v="112"/>
    <n v="5368769086"/>
    <s v="Empresa J"/>
    <s v="Esmeraldas"/>
    <x v="7"/>
    <x v="6"/>
    <s v="Empresa de embarque B"/>
    <s v="Tarjeta de crédito"/>
    <s v="Almendras"/>
    <x v="1"/>
    <n v="140"/>
    <n v="20"/>
    <x v="277"/>
  </r>
  <r>
    <n v="308"/>
    <x v="151"/>
    <n v="443042127"/>
    <s v="Empresa J"/>
    <s v="Esmeraldas"/>
    <x v="7"/>
    <x v="6"/>
    <s v="Empresa de embarque A"/>
    <m/>
    <s v="Ciruelas secas"/>
    <x v="1"/>
    <n v="49"/>
    <n v="11"/>
    <x v="278"/>
  </r>
  <r>
    <n v="309"/>
    <x v="207"/>
    <n v="3198859022"/>
    <s v="Empresa K"/>
    <s v="Quito"/>
    <x v="9"/>
    <x v="5"/>
    <s v="Empresa de embarque C"/>
    <m/>
    <s v="Salsa curry"/>
    <x v="5"/>
    <n v="560"/>
    <n v="78"/>
    <x v="193"/>
  </r>
  <r>
    <n v="310"/>
    <x v="153"/>
    <n v="2982674072"/>
    <s v="Empresa A"/>
    <s v="Ambato"/>
    <x v="10"/>
    <x v="2"/>
    <s v="Empresa de embarque C"/>
    <m/>
    <s v="Carne de cangrejo"/>
    <x v="8"/>
    <n v="257.59999999999997"/>
    <n v="76"/>
    <x v="279"/>
  </r>
  <r>
    <n v="311"/>
    <x v="149"/>
    <n v="1636086310"/>
    <s v="Empresa BB"/>
    <s v="Manta"/>
    <x v="6"/>
    <x v="5"/>
    <s v="Empresa de embarque C"/>
    <s v="Tarjeta de crédito"/>
    <s v="Café"/>
    <x v="0"/>
    <n v="644"/>
    <n v="57"/>
    <x v="280"/>
  </r>
  <r>
    <n v="312"/>
    <x v="82"/>
    <n v="9879315200"/>
    <s v="Empresa I"/>
    <s v="Guayaquil"/>
    <x v="3"/>
    <x v="7"/>
    <s v="Empresa de embarque A"/>
    <s v="Cheque"/>
    <s v="Almejas"/>
    <x v="4"/>
    <n v="135.1"/>
    <n v="14"/>
    <x v="281"/>
  </r>
  <r>
    <n v="313"/>
    <x v="208"/>
    <n v="3833780472"/>
    <s v="Empresa AA"/>
    <s v="Cuenca"/>
    <x v="0"/>
    <x v="0"/>
    <s v="Empresa de embarque B"/>
    <s v="Cheque"/>
    <s v="Cerveza"/>
    <x v="0"/>
    <n v="196"/>
    <n v="14"/>
    <x v="282"/>
  </r>
  <r>
    <n v="314"/>
    <x v="209"/>
    <n v="1343389818"/>
    <s v="Empresa AA"/>
    <s v="Cuenca"/>
    <x v="0"/>
    <x v="0"/>
    <s v="Empresa de embarque B"/>
    <s v="Cheque"/>
    <s v="Ciruelas secas"/>
    <x v="1"/>
    <n v="49"/>
    <n v="70"/>
    <x v="283"/>
  </r>
  <r>
    <n v="315"/>
    <x v="210"/>
    <n v="3066920858"/>
    <s v="Empresa D"/>
    <s v="Azogues"/>
    <x v="1"/>
    <x v="1"/>
    <s v="Empresa de embarque A"/>
    <s v="Tarjeta de crédito"/>
    <s v="Peras secas"/>
    <x v="1"/>
    <n v="420"/>
    <n v="100"/>
    <x v="284"/>
  </r>
  <r>
    <n v="316"/>
    <x v="53"/>
    <n v="3596038071"/>
    <s v="Empresa D"/>
    <s v="Azogues"/>
    <x v="1"/>
    <x v="1"/>
    <s v="Empresa de embarque A"/>
    <s v="Tarjeta de crédito"/>
    <s v="Manzanas secas"/>
    <x v="1"/>
    <n v="742"/>
    <n v="27"/>
    <x v="285"/>
  </r>
  <r>
    <n v="317"/>
    <x v="24"/>
    <n v="8280434895"/>
    <s v="Empresa D"/>
    <s v="Azogues"/>
    <x v="1"/>
    <x v="1"/>
    <s v="Empresa de embarque A"/>
    <s v="Tarjeta de crédito"/>
    <s v="Ciruelas secas"/>
    <x v="1"/>
    <n v="49"/>
    <n v="70"/>
    <x v="283"/>
  </r>
  <r>
    <n v="318"/>
    <x v="26"/>
    <n v="7983505639"/>
    <s v="Empresa L"/>
    <s v="Cuenca"/>
    <x v="0"/>
    <x v="0"/>
    <s v="Empresa de embarque B"/>
    <s v="Tarjeta de crédito"/>
    <s v="Té chai"/>
    <x v="0"/>
    <n v="252"/>
    <n v="57"/>
    <x v="286"/>
  </r>
  <r>
    <n v="319"/>
    <x v="156"/>
    <n v="4943792001"/>
    <s v="Empresa L"/>
    <s v="Cuenca"/>
    <x v="0"/>
    <x v="0"/>
    <s v="Empresa de embarque B"/>
    <s v="Tarjeta de crédito"/>
    <s v="Café"/>
    <x v="0"/>
    <n v="644"/>
    <n v="83"/>
    <x v="287"/>
  </r>
  <r>
    <n v="320"/>
    <x v="211"/>
    <n v="2679766092"/>
    <s v="Empresa H"/>
    <s v="Riobamba"/>
    <x v="2"/>
    <x v="2"/>
    <s v="Empresa de embarque C"/>
    <s v="Tarjeta de crédito"/>
    <s v="Galletas de chocolate"/>
    <x v="2"/>
    <n v="128.79999999999998"/>
    <n v="76"/>
    <x v="288"/>
  </r>
  <r>
    <n v="321"/>
    <x v="212"/>
    <n v="6256032641"/>
    <s v="Empresa D"/>
    <s v="Azogues"/>
    <x v="1"/>
    <x v="1"/>
    <s v="Empresa de embarque C"/>
    <s v="Cheque"/>
    <s v="Galletas de chocolate"/>
    <x v="2"/>
    <n v="128.79999999999998"/>
    <n v="80"/>
    <x v="131"/>
  </r>
  <r>
    <n v="322"/>
    <x v="213"/>
    <n v="8317306577"/>
    <s v="Empresa CC"/>
    <s v="Guayaquil"/>
    <x v="3"/>
    <x v="3"/>
    <s v="Empresa de embarque B"/>
    <s v="Cheque"/>
    <s v="Chocolate"/>
    <x v="3"/>
    <n v="178.5"/>
    <n v="47"/>
    <x v="289"/>
  </r>
  <r>
    <n v="323"/>
    <x v="121"/>
    <n v="4952054948"/>
    <s v="Empresa C"/>
    <s v="Machala"/>
    <x v="4"/>
    <x v="0"/>
    <s v="Empresa de embarque B"/>
    <s v="Efectivo"/>
    <s v="Almejas"/>
    <x v="4"/>
    <n v="135.1"/>
    <n v="96"/>
    <x v="290"/>
  </r>
  <r>
    <n v="324"/>
    <x v="214"/>
    <n v="7792270317"/>
    <s v="Empresa F"/>
    <s v="Ibarra"/>
    <x v="5"/>
    <x v="4"/>
    <s v="Empresa de embarque B"/>
    <s v="Tarjeta de crédito"/>
    <s v="Salsa curry"/>
    <x v="5"/>
    <n v="560"/>
    <n v="32"/>
    <x v="291"/>
  </r>
  <r>
    <n v="325"/>
    <x v="10"/>
    <n v="8753687299"/>
    <s v="Empresa BB"/>
    <s v="Manta"/>
    <x v="6"/>
    <x v="5"/>
    <s v="Empresa de embarque C"/>
    <s v="Cheque"/>
    <s v="Café"/>
    <x v="0"/>
    <n v="644"/>
    <n v="16"/>
    <x v="262"/>
  </r>
  <r>
    <n v="326"/>
    <x v="213"/>
    <n v="3276376437"/>
    <s v="Empresa H"/>
    <s v="Riobamba"/>
    <x v="2"/>
    <x v="2"/>
    <s v="Empresa de embarque C"/>
    <s v="Cheque"/>
    <s v="Chocolate"/>
    <x v="3"/>
    <n v="178.5"/>
    <n v="41"/>
    <x v="88"/>
  </r>
  <r>
    <n v="327"/>
    <x v="202"/>
    <n v="6189400875"/>
    <s v="Empresa J"/>
    <s v="Esmeraldas"/>
    <x v="7"/>
    <x v="6"/>
    <s v="Empresa de embarque B"/>
    <s v="Tarjeta de crédito"/>
    <s v="Té verde"/>
    <x v="0"/>
    <n v="41.86"/>
    <n v="41"/>
    <x v="292"/>
  </r>
  <r>
    <n v="328"/>
    <x v="124"/>
    <n v="3440571177"/>
    <s v="Empresa G"/>
    <s v="Guaranda"/>
    <x v="8"/>
    <x v="2"/>
    <m/>
    <m/>
    <s v="Café"/>
    <x v="0"/>
    <n v="644"/>
    <n v="41"/>
    <x v="293"/>
  </r>
  <r>
    <n v="329"/>
    <x v="215"/>
    <n v="8874798513"/>
    <s v="Empresa J"/>
    <s v="Esmeraldas"/>
    <x v="7"/>
    <x v="6"/>
    <s v="Empresa de embarque A"/>
    <m/>
    <s v="Jalea de fresa"/>
    <x v="6"/>
    <n v="350"/>
    <n v="94"/>
    <x v="294"/>
  </r>
  <r>
    <n v="330"/>
    <x v="45"/>
    <n v="9730368433"/>
    <s v="Empresa J"/>
    <s v="Esmeraldas"/>
    <x v="7"/>
    <x v="6"/>
    <s v="Empresa de embarque A"/>
    <m/>
    <s v="Condimento cajún"/>
    <x v="7"/>
    <n v="308"/>
    <n v="20"/>
    <x v="295"/>
  </r>
  <r>
    <n v="331"/>
    <x v="32"/>
    <n v="6592275352"/>
    <s v="Empresa J"/>
    <s v="Esmeraldas"/>
    <x v="7"/>
    <x v="6"/>
    <s v="Empresa de embarque A"/>
    <m/>
    <s v="Galletas de chocolate"/>
    <x v="2"/>
    <n v="128.79999999999998"/>
    <n v="13"/>
    <x v="296"/>
  </r>
  <r>
    <n v="332"/>
    <x v="51"/>
    <n v="9303282439"/>
    <s v="Empresa K"/>
    <s v="Quito"/>
    <x v="9"/>
    <x v="5"/>
    <s v="Empresa de embarque C"/>
    <m/>
    <s v="Ciruelas secas"/>
    <x v="1"/>
    <n v="49"/>
    <n v="74"/>
    <x v="59"/>
  </r>
  <r>
    <n v="333"/>
    <x v="171"/>
    <n v="8998167680"/>
    <s v="Empresa K"/>
    <s v="Quito"/>
    <x v="9"/>
    <x v="5"/>
    <s v="Empresa de embarque C"/>
    <m/>
    <s v="Té verde"/>
    <x v="0"/>
    <n v="41.86"/>
    <n v="53"/>
    <x v="297"/>
  </r>
  <r>
    <n v="334"/>
    <x v="216"/>
    <n v="2058395697"/>
    <s v="Empresa A"/>
    <s v="Ambato"/>
    <x v="10"/>
    <x v="2"/>
    <m/>
    <m/>
    <s v="Té chai"/>
    <x v="0"/>
    <n v="252"/>
    <n v="99"/>
    <x v="298"/>
  </r>
  <r>
    <n v="335"/>
    <x v="217"/>
    <n v="5534305664"/>
    <s v="Empresa A"/>
    <s v="Ambato"/>
    <x v="10"/>
    <x v="2"/>
    <m/>
    <m/>
    <s v="Café"/>
    <x v="0"/>
    <n v="644"/>
    <n v="89"/>
    <x v="299"/>
  </r>
  <r>
    <n v="336"/>
    <x v="181"/>
    <n v="5417309832"/>
    <s v="Empresa A"/>
    <s v="Ambato"/>
    <x v="10"/>
    <x v="2"/>
    <m/>
    <m/>
    <s v="Té verde"/>
    <x v="0"/>
    <n v="41.86"/>
    <n v="64"/>
    <x v="204"/>
  </r>
  <r>
    <n v="337"/>
    <x v="101"/>
    <n v="7626114952"/>
    <s v="Empresa BB"/>
    <s v="Manta"/>
    <x v="6"/>
    <x v="5"/>
    <s v="Empresa de embarque C"/>
    <s v="Tarjeta de crédito"/>
    <s v="Almejas"/>
    <x v="4"/>
    <n v="135.1"/>
    <n v="98"/>
    <x v="300"/>
  </r>
  <r>
    <n v="338"/>
    <x v="218"/>
    <n v="7075151442"/>
    <s v="Empresa BB"/>
    <s v="Manta"/>
    <x v="6"/>
    <x v="5"/>
    <s v="Empresa de embarque C"/>
    <s v="Tarjeta de crédito"/>
    <s v="Carne de cangrejo"/>
    <x v="8"/>
    <n v="257.59999999999997"/>
    <n v="86"/>
    <x v="301"/>
  </r>
  <r>
    <n v="339"/>
    <x v="31"/>
    <n v="4170346813"/>
    <s v="Empresa I"/>
    <s v="Guayaquil"/>
    <x v="3"/>
    <x v="7"/>
    <s v="Empresa de embarque A"/>
    <s v="Cheque"/>
    <s v="Ravioli"/>
    <x v="9"/>
    <n v="273"/>
    <n v="20"/>
    <x v="302"/>
  </r>
  <r>
    <n v="340"/>
    <x v="34"/>
    <n v="7181884746"/>
    <s v="Empresa I"/>
    <s v="Guayaquil"/>
    <x v="3"/>
    <x v="7"/>
    <s v="Empresa de embarque A"/>
    <s v="Cheque"/>
    <s v="Mozzarella"/>
    <x v="10"/>
    <n v="487.19999999999993"/>
    <n v="69"/>
    <x v="303"/>
  </r>
  <r>
    <n v="341"/>
    <x v="219"/>
    <n v="654398232"/>
    <s v="Empresa F"/>
    <s v="Ibarra"/>
    <x v="5"/>
    <x v="4"/>
    <s v="Empresa de embarque B"/>
    <s v="Tarjeta de crédito"/>
    <s v="Cerveza"/>
    <x v="0"/>
    <n v="196"/>
    <n v="68"/>
    <x v="304"/>
  </r>
  <r>
    <n v="342"/>
    <x v="81"/>
    <n v="6559752885"/>
    <s v="Empresa H"/>
    <s v="Riobamba"/>
    <x v="2"/>
    <x v="2"/>
    <s v="Empresa de embarque B"/>
    <s v="Cheque"/>
    <s v="Salsa curry"/>
    <x v="5"/>
    <n v="560"/>
    <n v="52"/>
    <x v="305"/>
  </r>
  <r>
    <n v="343"/>
    <x v="191"/>
    <n v="9428165637"/>
    <s v="Empresa H"/>
    <s v="Riobamba"/>
    <x v="2"/>
    <x v="2"/>
    <s v="Empresa de embarque B"/>
    <s v="Cheque"/>
    <s v="Galletas de chocolate"/>
    <x v="2"/>
    <n v="128.79999999999998"/>
    <n v="40"/>
    <x v="306"/>
  </r>
  <r>
    <n v="344"/>
    <x v="11"/>
    <n v="9902612158"/>
    <s v="Empresa Y"/>
    <s v="Esmeraldas"/>
    <x v="7"/>
    <x v="6"/>
    <s v="Empresa de embarque A"/>
    <s v="Efectivo"/>
    <s v="Bolillos"/>
    <x v="2"/>
    <n v="140"/>
    <n v="100"/>
    <x v="117"/>
  </r>
  <r>
    <n v="345"/>
    <x v="56"/>
    <n v="9601886174"/>
    <s v="Empresa Z"/>
    <s v="Quito"/>
    <x v="9"/>
    <x v="5"/>
    <s v="Empresa de embarque C"/>
    <s v="Tarjeta de crédito"/>
    <s v="Aceite de oliva"/>
    <x v="13"/>
    <n v="298.90000000000003"/>
    <n v="88"/>
    <x v="307"/>
  </r>
  <r>
    <n v="346"/>
    <x v="220"/>
    <n v="9194823962"/>
    <s v="Empresa Z"/>
    <s v="Quito"/>
    <x v="9"/>
    <x v="5"/>
    <s v="Empresa de embarque C"/>
    <s v="Tarjeta de crédito"/>
    <s v="Almejas"/>
    <x v="4"/>
    <n v="135.1"/>
    <n v="46"/>
    <x v="264"/>
  </r>
  <r>
    <n v="347"/>
    <x v="217"/>
    <n v="3580433044"/>
    <s v="Empresa Z"/>
    <s v="Quito"/>
    <x v="9"/>
    <x v="5"/>
    <s v="Empresa de embarque C"/>
    <s v="Tarjeta de crédito"/>
    <s v="Carne de cangrejo"/>
    <x v="8"/>
    <n v="257.59999999999997"/>
    <n v="93"/>
    <x v="308"/>
  </r>
  <r>
    <n v="348"/>
    <x v="148"/>
    <n v="7020598503"/>
    <s v="Empresa CC"/>
    <s v="Guayaquil"/>
    <x v="3"/>
    <x v="3"/>
    <s v="Empresa de embarque B"/>
    <s v="Cheque"/>
    <s v="Cerveza"/>
    <x v="0"/>
    <n v="196"/>
    <n v="96"/>
    <x v="309"/>
  </r>
  <r>
    <n v="349"/>
    <x v="101"/>
    <n v="8040421717"/>
    <s v="Empresa F"/>
    <s v="Ibarra"/>
    <x v="5"/>
    <x v="4"/>
    <s v="Empresa de embarque C"/>
    <s v="Cheque"/>
    <s v="Chocolate"/>
    <x v="3"/>
    <n v="178.5"/>
    <n v="12"/>
    <x v="310"/>
  </r>
  <r>
    <n v="350"/>
    <x v="220"/>
    <n v="3654530055"/>
    <s v="Empresa D"/>
    <s v="Azogues"/>
    <x v="1"/>
    <x v="1"/>
    <s v="Empresa de embarque A"/>
    <s v="Tarjeta de crédito"/>
    <s v="Mermelada de zarzamora"/>
    <x v="6"/>
    <n v="1134"/>
    <n v="38"/>
    <x v="311"/>
  </r>
  <r>
    <n v="351"/>
    <x v="221"/>
    <n v="2061527783"/>
    <s v="Empresa D"/>
    <s v="Azogues"/>
    <x v="1"/>
    <x v="1"/>
    <s v="Empresa de embarque A"/>
    <s v="Tarjeta de crédito"/>
    <s v="Arroz de grano largo"/>
    <x v="14"/>
    <n v="98"/>
    <n v="42"/>
    <x v="109"/>
  </r>
  <r>
    <n v="352"/>
    <x v="220"/>
    <n v="7896754000"/>
    <s v="Empresa H"/>
    <s v="Riobamba"/>
    <x v="2"/>
    <x v="2"/>
    <s v="Empresa de embarque C"/>
    <s v="Tarjeta de crédito"/>
    <s v="Mozzarella"/>
    <x v="10"/>
    <n v="487.19999999999993"/>
    <n v="100"/>
    <x v="312"/>
  </r>
  <r>
    <n v="353"/>
    <x v="222"/>
    <n v="7608023281"/>
    <s v="Empresa C"/>
    <s v="Machala"/>
    <x v="4"/>
    <x v="0"/>
    <s v="Empresa de embarque B"/>
    <s v="Efectivo"/>
    <s v="Jarabe"/>
    <x v="7"/>
    <n v="140"/>
    <n v="89"/>
    <x v="313"/>
  </r>
  <r>
    <n v="354"/>
    <x v="8"/>
    <n v="1088259448"/>
    <s v="Empresa C"/>
    <s v="Machala"/>
    <x v="4"/>
    <x v="0"/>
    <s v="Empresa de embarque B"/>
    <s v="Efectivo"/>
    <s v="Salsa curry"/>
    <x v="5"/>
    <n v="560"/>
    <n v="12"/>
    <x v="61"/>
  </r>
  <r>
    <n v="355"/>
    <x v="223"/>
    <n v="8019968936"/>
    <s v="Empresa J"/>
    <s v="Esmeraldas"/>
    <x v="7"/>
    <x v="6"/>
    <s v="Empresa de embarque B"/>
    <s v="Tarjeta de crédito"/>
    <s v="Almendras"/>
    <x v="1"/>
    <n v="140"/>
    <n v="97"/>
    <x v="314"/>
  </r>
  <r>
    <n v="356"/>
    <x v="178"/>
    <n v="767630917"/>
    <s v="Empresa J"/>
    <s v="Esmeraldas"/>
    <x v="7"/>
    <x v="6"/>
    <s v="Empresa de embarque A"/>
    <m/>
    <s v="Ciruelas secas"/>
    <x v="1"/>
    <n v="49"/>
    <n v="53"/>
    <x v="315"/>
  </r>
  <r>
    <n v="357"/>
    <x v="224"/>
    <n v="8764802979"/>
    <s v="Empresa K"/>
    <s v="Quito"/>
    <x v="9"/>
    <x v="5"/>
    <s v="Empresa de embarque C"/>
    <m/>
    <s v="Salsa curry"/>
    <x v="5"/>
    <n v="560"/>
    <n v="61"/>
    <x v="316"/>
  </r>
  <r>
    <n v="358"/>
    <x v="225"/>
    <n v="1212476279"/>
    <s v="Empresa A"/>
    <s v="Ambato"/>
    <x v="10"/>
    <x v="2"/>
    <s v="Empresa de embarque C"/>
    <m/>
    <s v="Carne de cangrejo"/>
    <x v="8"/>
    <n v="257.59999999999997"/>
    <n v="45"/>
    <x v="317"/>
  </r>
  <r>
    <n v="359"/>
    <x v="201"/>
    <n v="8659179079"/>
    <s v="Empresa BB"/>
    <s v="Manta"/>
    <x v="6"/>
    <x v="5"/>
    <s v="Empresa de embarque C"/>
    <s v="Tarjeta de crédito"/>
    <s v="Café"/>
    <x v="0"/>
    <n v="644"/>
    <n v="43"/>
    <x v="318"/>
  </r>
  <r>
    <n v="360"/>
    <x v="226"/>
    <n v="4311827425"/>
    <s v="Empresa I"/>
    <s v="Guayaquil"/>
    <x v="3"/>
    <x v="7"/>
    <s v="Empresa de embarque A"/>
    <s v="Cheque"/>
    <s v="Almejas"/>
    <x v="4"/>
    <n v="135.1"/>
    <n v="18"/>
    <x v="319"/>
  </r>
  <r>
    <n v="361"/>
    <x v="65"/>
    <n v="7400116244"/>
    <s v="Empresa F"/>
    <s v="Ibarra"/>
    <x v="5"/>
    <x v="4"/>
    <s v="Empresa de embarque B"/>
    <s v="Tarjeta de crédito"/>
    <s v="Chocolate"/>
    <x v="3"/>
    <n v="178.5"/>
    <n v="41"/>
    <x v="88"/>
  </r>
  <r>
    <n v="362"/>
    <x v="128"/>
    <n v="8550780121"/>
    <s v="Empresa H"/>
    <s v="Riobamba"/>
    <x v="2"/>
    <x v="2"/>
    <s v="Empresa de embarque B"/>
    <s v="Cheque"/>
    <s v="Chocolate"/>
    <x v="3"/>
    <n v="178.5"/>
    <n v="19"/>
    <x v="110"/>
  </r>
  <r>
    <n v="363"/>
    <x v="106"/>
    <n v="9461451917"/>
    <s v="Empresa Y"/>
    <s v="Esmeraldas"/>
    <x v="7"/>
    <x v="6"/>
    <s v="Empresa de embarque A"/>
    <s v="Efectivo"/>
    <s v="Condimento cajún"/>
    <x v="7"/>
    <n v="308"/>
    <n v="65"/>
    <x v="320"/>
  </r>
  <r>
    <n v="364"/>
    <x v="141"/>
    <n v="3160888933"/>
    <s v="Empresa Z"/>
    <s v="Quito"/>
    <x v="9"/>
    <x v="5"/>
    <s v="Empresa de embarque C"/>
    <s v="Tarjeta de crédito"/>
    <s v="Jalea de fresa"/>
    <x v="6"/>
    <n v="350"/>
    <n v="13"/>
    <x v="321"/>
  </r>
  <r>
    <n v="365"/>
    <x v="125"/>
    <n v="6433254443"/>
    <s v="Empresa CC"/>
    <s v="Guayaquil"/>
    <x v="3"/>
    <x v="3"/>
    <s v="Empresa de embarque B"/>
    <s v="Cheque"/>
    <s v="Cóctel de frutas"/>
    <x v="12"/>
    <n v="546"/>
    <n v="54"/>
    <x v="322"/>
  </r>
  <r>
    <n v="366"/>
    <x v="116"/>
    <n v="8977261174"/>
    <s v="Empresa F"/>
    <s v="Ibarra"/>
    <x v="5"/>
    <x v="4"/>
    <s v="Empresa de embarque C"/>
    <s v="Cheque"/>
    <s v="Peras secas"/>
    <x v="1"/>
    <n v="420"/>
    <n v="33"/>
    <x v="83"/>
  </r>
  <r>
    <n v="367"/>
    <x v="67"/>
    <n v="7770716054"/>
    <s v="Empresa F"/>
    <s v="Ibarra"/>
    <x v="5"/>
    <x v="4"/>
    <s v="Empresa de embarque C"/>
    <s v="Cheque"/>
    <s v="Manzanas secas"/>
    <x v="1"/>
    <n v="742"/>
    <n v="34"/>
    <x v="323"/>
  </r>
  <r>
    <n v="368"/>
    <x v="227"/>
    <n v="2754807386"/>
    <s v="Empresa D"/>
    <s v="Azogues"/>
    <x v="1"/>
    <x v="1"/>
    <m/>
    <m/>
    <s v="Pasta penne"/>
    <x v="9"/>
    <n v="532"/>
    <n v="59"/>
    <x v="324"/>
  </r>
  <r>
    <n v="369"/>
    <x v="228"/>
    <n v="3873424489"/>
    <s v="Empresa C"/>
    <s v="Machala"/>
    <x v="4"/>
    <x v="0"/>
    <m/>
    <m/>
    <s v="Té verde"/>
    <x v="0"/>
    <n v="41.86"/>
    <n v="24"/>
    <x v="32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0">
  <r>
    <n v="1"/>
    <x v="0"/>
    <n v="9259377217"/>
    <s v="Empresa AA"/>
    <s v="Cuenca"/>
    <s v="Azuay"/>
    <s v="Mayra Aguilar Sepúlveda"/>
    <x v="0"/>
    <s v="Cheque"/>
    <s v="Cerveza"/>
    <s v="Bebidas"/>
    <x v="0"/>
    <n v="10"/>
    <n v="140"/>
  </r>
  <r>
    <n v="2"/>
    <x v="1"/>
    <n v="6185253419"/>
    <s v="Empresa AA"/>
    <s v="Cuenca"/>
    <s v="Azuay"/>
    <s v="Mayra Aguilar Sepúlveda"/>
    <x v="0"/>
    <s v="Cheque"/>
    <s v="Ciruelas secas"/>
    <s v="Frutas secas"/>
    <x v="1"/>
    <n v="1"/>
    <n v="34"/>
  </r>
  <r>
    <n v="3"/>
    <x v="2"/>
    <n v="2308885942"/>
    <s v="Empresa D"/>
    <s v="Azogues"/>
    <s v="Canar"/>
    <s v="Andrés González Rico"/>
    <x v="1"/>
    <s v="Tarjeta de crédito"/>
    <s v="Peras secas"/>
    <s v="Frutas secas"/>
    <x v="0"/>
    <n v="57"/>
    <n v="798"/>
  </r>
  <r>
    <n v="4"/>
    <x v="3"/>
    <n v="6199717898"/>
    <s v="Empresa D"/>
    <s v="Azogues"/>
    <s v="Canar"/>
    <s v="Andrés González Rico"/>
    <x v="1"/>
    <s v="Tarjeta de crédito"/>
    <s v="Manzanas secas"/>
    <s v="Frutas secas"/>
    <x v="2"/>
    <n v="72"/>
    <n v="1152"/>
  </r>
  <r>
    <n v="5"/>
    <x v="4"/>
    <n v="5540683029"/>
    <s v="Empresa D"/>
    <s v="Azogues"/>
    <s v="Canar"/>
    <s v="Andrés González Rico"/>
    <x v="1"/>
    <s v="Tarjeta de crédito"/>
    <s v="Ciruelas secas"/>
    <s v="Frutas secas"/>
    <x v="3"/>
    <n v="68"/>
    <n v="816"/>
  </r>
  <r>
    <n v="6"/>
    <x v="5"/>
    <n v="6343955045"/>
    <s v="Empresa L"/>
    <s v="Cuenca"/>
    <s v="Azuay"/>
    <s v="Mayra Aguilar Sepúlveda"/>
    <x v="0"/>
    <s v="Tarjeta de crédito"/>
    <s v="Té chai"/>
    <s v="Bebidas"/>
    <x v="4"/>
    <n v="29"/>
    <n v="638"/>
  </r>
  <r>
    <n v="7"/>
    <x v="6"/>
    <n v="1572125717"/>
    <s v="Empresa L"/>
    <s v="Cuenca"/>
    <s v="Azuay"/>
    <s v="Mayra Aguilar Sepúlveda"/>
    <x v="0"/>
    <s v="Tarjeta de crédito"/>
    <s v="Café"/>
    <s v="Bebidas"/>
    <x v="5"/>
    <n v="41"/>
    <n v="1722"/>
  </r>
  <r>
    <n v="8"/>
    <x v="7"/>
    <n v="3776895536"/>
    <s v="Empresa H"/>
    <s v="Riobamba"/>
    <s v="Chimborazo"/>
    <s v="Nancy Gil de la Peña"/>
    <x v="2"/>
    <s v="Tarjeta de crédito"/>
    <s v="Galletas de chocolate"/>
    <s v="Productos horneados"/>
    <x v="6"/>
    <n v="18"/>
    <n v="198"/>
  </r>
  <r>
    <n v="9"/>
    <x v="8"/>
    <n v="390733860"/>
    <s v="Empresa D"/>
    <s v="Azogues"/>
    <s v="Canar"/>
    <s v="Andrés González Rico"/>
    <x v="2"/>
    <s v="Cheque"/>
    <s v="Galletas de chocolate"/>
    <s v="Productos horneados"/>
    <x v="7"/>
    <n v="73"/>
    <n v="2117"/>
  </r>
  <r>
    <n v="10"/>
    <x v="7"/>
    <n v="2456709195"/>
    <s v="Empresa CC"/>
    <s v="Guayaquil"/>
    <s v="Guayas"/>
    <s v="José de Jesús Morales"/>
    <x v="0"/>
    <s v="Cheque"/>
    <s v="Chocolate"/>
    <s v="Dulces"/>
    <x v="3"/>
    <n v="79"/>
    <n v="948"/>
  </r>
  <r>
    <n v="11"/>
    <x v="9"/>
    <n v="5766090086"/>
    <s v="Empresa C"/>
    <s v="Machala"/>
    <s v="El Oro"/>
    <s v="Mayra Aguilar Sepúlveda"/>
    <x v="0"/>
    <s v="Efectivo"/>
    <s v="Almejas"/>
    <s v="Sopas"/>
    <x v="8"/>
    <n v="37"/>
    <n v="1036"/>
  </r>
  <r>
    <n v="12"/>
    <x v="10"/>
    <n v="4872781256"/>
    <s v="Empresa F"/>
    <s v="Ibarra"/>
    <s v="Imbabura"/>
    <s v="Luis Miguel Valdés Garza"/>
    <x v="0"/>
    <s v="Tarjeta de crédito"/>
    <s v="Salsa curry"/>
    <s v="Salsas"/>
    <x v="9"/>
    <n v="64"/>
    <n v="2112"/>
  </r>
  <r>
    <n v="13"/>
    <x v="11"/>
    <n v="4213140599"/>
    <s v="Empresa BB"/>
    <s v="Manta"/>
    <s v="Manabi"/>
    <s v="Ana del Valle Hinojosa"/>
    <x v="2"/>
    <s v="Cheque"/>
    <s v="Café"/>
    <s v="Bebidas"/>
    <x v="10"/>
    <n v="96"/>
    <n v="2016"/>
  </r>
  <r>
    <n v="14"/>
    <x v="12"/>
    <n v="9433063552"/>
    <s v="Empresa H"/>
    <s v="Riobamba"/>
    <s v="Chimborazo"/>
    <s v="Nancy Gil de la Peña"/>
    <x v="2"/>
    <s v="Cheque"/>
    <s v="Chocolate"/>
    <s v="Dulces"/>
    <x v="11"/>
    <n v="86"/>
    <n v="3956"/>
  </r>
  <r>
    <n v="15"/>
    <x v="13"/>
    <n v="8539365209"/>
    <s v="Empresa J"/>
    <s v="Esmeraldas"/>
    <s v="Esmeraldas"/>
    <s v="Laura Gutiérrez Saenz"/>
    <x v="0"/>
    <s v="Tarjeta de crédito"/>
    <s v="Té verde"/>
    <s v="Bebidas"/>
    <x v="12"/>
    <n v="96"/>
    <n v="3936"/>
  </r>
  <r>
    <n v="16"/>
    <x v="14"/>
    <n v="6983099686"/>
    <s v="Empresa G"/>
    <s v="Guaranda"/>
    <s v="Guaranda"/>
    <s v="Nancy Gil de la Peña"/>
    <x v="3"/>
    <s v="Empresa de embarque D"/>
    <s v="Café"/>
    <s v="Bebidas"/>
    <x v="13"/>
    <n v="97"/>
    <n v="4365"/>
  </r>
  <r>
    <n v="17"/>
    <x v="15"/>
    <n v="3008945605"/>
    <s v="Empresa J"/>
    <s v="Esmeraldas"/>
    <s v="Esmeraldas"/>
    <s v="Laura Gutiérrez Saenz"/>
    <x v="1"/>
    <s v="Empresa de embarque D"/>
    <s v="Jalea de fresa"/>
    <s v="Mermeladas y jaleas"/>
    <x v="14"/>
    <n v="65"/>
    <n v="1690"/>
  </r>
  <r>
    <n v="18"/>
    <x v="16"/>
    <n v="5388305959"/>
    <s v="Empresa J"/>
    <s v="Esmeraldas"/>
    <s v="Esmeraldas"/>
    <s v="Laura Gutiérrez Saenz"/>
    <x v="1"/>
    <s v="Empresa de embarque D"/>
    <s v="Condimento cajún"/>
    <s v="Condimentos"/>
    <x v="15"/>
    <n v="88"/>
    <n v="3520"/>
  </r>
  <r>
    <n v="19"/>
    <x v="17"/>
    <n v="438272084"/>
    <s v="Empresa J"/>
    <s v="Esmeraldas"/>
    <s v="Esmeraldas"/>
    <s v="Laura Gutiérrez Saenz"/>
    <x v="1"/>
    <s v="Empresa de embarque D"/>
    <s v="Galletas de chocolate"/>
    <s v="Productos horneados"/>
    <x v="3"/>
    <n v="60"/>
    <n v="720"/>
  </r>
  <r>
    <n v="20"/>
    <x v="18"/>
    <n v="2536792311"/>
    <s v="Empresa K"/>
    <s v="Quito"/>
    <s v="Pichincha"/>
    <s v="Ana del Valle Hinojosa"/>
    <x v="2"/>
    <s v="Empresa de embarque D"/>
    <s v="Ciruelas secas"/>
    <s v="Frutas secas"/>
    <x v="16"/>
    <n v="96"/>
    <n v="3360"/>
  </r>
  <r>
    <n v="21"/>
    <x v="19"/>
    <n v="7813757711"/>
    <s v="Empresa K"/>
    <s v="Quito"/>
    <s v="Pichincha"/>
    <s v="Ana del Valle Hinojosa"/>
    <x v="2"/>
    <s v="Empresa de embarque D"/>
    <s v="Té verde"/>
    <s v="Bebidas"/>
    <x v="17"/>
    <n v="50"/>
    <n v="1000"/>
  </r>
  <r>
    <n v="22"/>
    <x v="20"/>
    <n v="4786931679"/>
    <s v="Empresa A"/>
    <s v="Ambato"/>
    <s v="Tungurahua"/>
    <s v="Nancy Gil de la Peña"/>
    <x v="3"/>
    <s v="Empresa de embarque D"/>
    <s v="Té chai"/>
    <s v="Bebidas"/>
    <x v="18"/>
    <n v="75"/>
    <n v="3750"/>
  </r>
  <r>
    <n v="23"/>
    <x v="21"/>
    <n v="3021659728"/>
    <s v="Empresa A"/>
    <s v="Ambato"/>
    <s v="Tungurahua"/>
    <s v="Nancy Gil de la Peña"/>
    <x v="3"/>
    <s v="Empresa de embarque D"/>
    <s v="Café"/>
    <s v="Bebidas"/>
    <x v="10"/>
    <n v="4"/>
    <n v="84"/>
  </r>
  <r>
    <n v="24"/>
    <x v="22"/>
    <n v="2591950684"/>
    <s v="Empresa A"/>
    <s v="Ambato"/>
    <s v="Tungurahua"/>
    <s v="Nancy Gil de la Peña"/>
    <x v="3"/>
    <s v="Empresa de embarque D"/>
    <s v="Té verde"/>
    <s v="Bebidas"/>
    <x v="19"/>
    <n v="18"/>
    <n v="774"/>
  </r>
  <r>
    <n v="25"/>
    <x v="23"/>
    <n v="9326361454"/>
    <s v="Empresa BB"/>
    <s v="Manta"/>
    <s v="Manabi"/>
    <s v="Ana del Valle Hinojosa"/>
    <x v="2"/>
    <s v="Tarjeta de crédito"/>
    <s v="Almejas"/>
    <s v="Sopas"/>
    <x v="14"/>
    <n v="49"/>
    <n v="1274"/>
  </r>
  <r>
    <n v="26"/>
    <x v="24"/>
    <n v="3769138349"/>
    <s v="Empresa BB"/>
    <s v="Manta"/>
    <s v="Manabi"/>
    <s v="Ana del Valle Hinojosa"/>
    <x v="2"/>
    <s v="Tarjeta de crédito"/>
    <s v="Carne de cangrejo"/>
    <s v="Carne enlatada"/>
    <x v="20"/>
    <n v="21"/>
    <n v="819"/>
  </r>
  <r>
    <n v="27"/>
    <x v="2"/>
    <n v="5871657714"/>
    <s v="Empresa I"/>
    <s v="Guayaquil"/>
    <s v="Guayas"/>
    <s v="Robert Zárate Carrillo"/>
    <x v="1"/>
    <s v="Cheque"/>
    <s v="Ravioli"/>
    <s v="Pasta"/>
    <x v="9"/>
    <n v="8"/>
    <n v="264"/>
  </r>
  <r>
    <n v="28"/>
    <x v="25"/>
    <n v="1534553307"/>
    <s v="Empresa I"/>
    <s v="Guayaquil"/>
    <s v="Guayas"/>
    <s v="Robert Zárate Carrillo"/>
    <x v="1"/>
    <s v="Cheque"/>
    <s v="Mozzarella"/>
    <s v="Productos lácteos"/>
    <x v="11"/>
    <n v="82"/>
    <n v="3772"/>
  </r>
  <r>
    <n v="29"/>
    <x v="26"/>
    <n v="8474620707"/>
    <s v="Empresa F"/>
    <s v="Ibarra"/>
    <s v="Imbabura"/>
    <s v="Luis Miguel Valdés Garza"/>
    <x v="0"/>
    <s v="Tarjeta de crédito"/>
    <s v="Cerveza"/>
    <s v="Bebidas"/>
    <x v="21"/>
    <n v="75"/>
    <n v="2400"/>
  </r>
  <r>
    <n v="30"/>
    <x v="27"/>
    <n v="3530767380"/>
    <s v="Empresa H"/>
    <s v="Riobamba"/>
    <s v="Chimborazo"/>
    <s v="Nancy Gil de la Peña"/>
    <x v="0"/>
    <s v="Cheque"/>
    <s v="Salsa curry"/>
    <s v="Salsas"/>
    <x v="1"/>
    <n v="3"/>
    <n v="102"/>
  </r>
  <r>
    <n v="31"/>
    <x v="28"/>
    <n v="6673950624"/>
    <s v="Empresa C"/>
    <s v="Machala"/>
    <s v="El Oro"/>
    <s v="Mayra Aguilar Sepúlveda"/>
    <x v="0"/>
    <s v="Efectivo"/>
    <s v="Jarabe"/>
    <s v="Condimentos"/>
    <x v="22"/>
    <n v="33"/>
    <n v="792"/>
  </r>
  <r>
    <n v="32"/>
    <x v="29"/>
    <n v="7137547321"/>
    <s v="Empresa C"/>
    <s v="Machala"/>
    <s v="El Oro"/>
    <s v="Mayra Aguilar Sepúlveda"/>
    <x v="0"/>
    <s v="Efectivo"/>
    <s v="Salsa curry"/>
    <s v="Salsas"/>
    <x v="10"/>
    <n v="51"/>
    <n v="1071"/>
  </r>
  <r>
    <n v="33"/>
    <x v="30"/>
    <n v="9655985375"/>
    <s v="Empresa F"/>
    <s v="Ibarra"/>
    <s v="Imbabura"/>
    <s v="Luis Miguel Valdés Garza"/>
    <x v="0"/>
    <s v="Tarjeta de crédito"/>
    <s v="Empresa de embarque D"/>
    <s v="Tarifa de envío"/>
    <x v="23"/>
    <s v="Empresa de embarque D"/>
    <s v="Empresa de embarque D"/>
  </r>
  <r>
    <n v="34"/>
    <x v="31"/>
    <n v="299812367"/>
    <s v="Empresa BB"/>
    <s v="Manta"/>
    <s v="Manabi"/>
    <s v="Ana del Valle Hinojosa"/>
    <x v="2"/>
    <s v="Cheque"/>
    <s v="Empresa de embarque D"/>
    <s v="Tarifa de envío"/>
    <x v="23"/>
    <s v="Empresa de embarque D"/>
    <s v="Empresa de embarque D"/>
  </r>
  <r>
    <n v="35"/>
    <x v="32"/>
    <n v="7779151222"/>
    <s v="Empresa H"/>
    <s v="Riobamba"/>
    <s v="Chimborazo"/>
    <s v="Nancy Gil de la Peña"/>
    <x v="2"/>
    <s v="Cheque"/>
    <s v="Empresa de embarque D"/>
    <s v="Tarifa de envío"/>
    <x v="23"/>
    <s v="Empresa de embarque D"/>
    <s v="Empresa de embarque D"/>
  </r>
  <r>
    <n v="36"/>
    <x v="33"/>
    <n v="9282360094"/>
    <s v="Empresa J"/>
    <s v="Esmeraldas"/>
    <s v="Esmeraldas"/>
    <s v="Laura Gutiérrez Saenz"/>
    <x v="0"/>
    <s v="Tarjeta de crédito"/>
    <s v="Almendras"/>
    <s v="Frutas secas"/>
    <x v="24"/>
    <n v="47"/>
    <n v="6580"/>
  </r>
  <r>
    <n v="37"/>
    <x v="34"/>
    <n v="6935804403"/>
    <s v="Empresa J"/>
    <s v="Esmeraldas"/>
    <s v="Esmeraldas"/>
    <s v="Laura Gutiérrez Saenz"/>
    <x v="1"/>
    <s v="Empresa de embarque D"/>
    <s v="Ciruelas secas"/>
    <s v="Frutas secas"/>
    <x v="25"/>
    <n v="49"/>
    <n v="2401"/>
  </r>
  <r>
    <n v="38"/>
    <x v="35"/>
    <n v="3650322132"/>
    <s v="Empresa K"/>
    <s v="Quito"/>
    <s v="Pichincha"/>
    <s v="Ana del Valle Hinojosa"/>
    <x v="2"/>
    <s v="Empresa de embarque D"/>
    <s v="Salsa curry"/>
    <s v="Salsas"/>
    <x v="26"/>
    <n v="72"/>
    <n v="40320"/>
  </r>
  <r>
    <n v="39"/>
    <x v="25"/>
    <n v="1985754250"/>
    <s v="Empresa A"/>
    <s v="Ambato"/>
    <s v="Tungurahua"/>
    <s v="Nancy Gil de la Peña"/>
    <x v="2"/>
    <s v="Empresa de embarque D"/>
    <s v="Carne de cangrejo"/>
    <s v="Carne enlatada"/>
    <x v="27"/>
    <n v="13"/>
    <n v="3348.7999999999997"/>
  </r>
  <r>
    <n v="40"/>
    <x v="36"/>
    <n v="7293507918"/>
    <s v="Empresa BB"/>
    <s v="Manta"/>
    <s v="Manabi"/>
    <s v="Ana del Valle Hinojosa"/>
    <x v="2"/>
    <s v="Tarjeta de crédito"/>
    <s v="Café"/>
    <s v="Bebidas"/>
    <x v="28"/>
    <n v="32"/>
    <n v="20608"/>
  </r>
  <r>
    <n v="41"/>
    <x v="37"/>
    <n v="3459323228"/>
    <s v="Empresa I"/>
    <s v="Guayaquil"/>
    <s v="Guayas"/>
    <s v="Robert Zárate Carrillo"/>
    <x v="1"/>
    <s v="Cheque"/>
    <s v="Almejas"/>
    <s v="Sopas"/>
    <x v="29"/>
    <n v="27"/>
    <n v="3647.7"/>
  </r>
  <r>
    <n v="42"/>
    <x v="9"/>
    <n v="1144627655"/>
    <s v="Empresa F"/>
    <s v="Ibarra"/>
    <s v="Imbabura"/>
    <s v="Luis Miguel Valdés Garza"/>
    <x v="0"/>
    <s v="Tarjeta de crédito"/>
    <s v="Chocolate"/>
    <s v="Dulces"/>
    <x v="30"/>
    <n v="71"/>
    <n v="12673.5"/>
  </r>
  <r>
    <n v="43"/>
    <x v="38"/>
    <n v="3986713828"/>
    <s v="Empresa H"/>
    <s v="Riobamba"/>
    <s v="Chimborazo"/>
    <s v="Nancy Gil de la Peña"/>
    <x v="0"/>
    <s v="Cheque"/>
    <s v="Chocolate"/>
    <s v="Dulces"/>
    <x v="30"/>
    <n v="13"/>
    <n v="2320.5"/>
  </r>
  <r>
    <n v="44"/>
    <x v="39"/>
    <n v="9350633665"/>
    <s v="Empresa Y"/>
    <s v="Esmeraldas"/>
    <s v="Esmeraldas"/>
    <s v="Laura Gutiérrez Saenz"/>
    <x v="1"/>
    <s v="Efectivo"/>
    <s v="Condimento cajún"/>
    <s v="Condimentos"/>
    <x v="31"/>
    <n v="98"/>
    <n v="30184"/>
  </r>
  <r>
    <n v="45"/>
    <x v="40"/>
    <n v="4918639925"/>
    <s v="Empresa Z"/>
    <s v="Quito"/>
    <s v="Pichincha"/>
    <s v="Ana del Valle Hinojosa"/>
    <x v="2"/>
    <s v="Tarjeta de crédito"/>
    <s v="Jalea de fresa"/>
    <s v="Mermeladas y jaleas"/>
    <x v="32"/>
    <n v="21"/>
    <n v="7350"/>
  </r>
  <r>
    <n v="46"/>
    <x v="41"/>
    <n v="9630006862"/>
    <s v="Empresa CC"/>
    <s v="Guayaquil"/>
    <s v="Guayas"/>
    <s v="José de Jesús Morales"/>
    <x v="0"/>
    <s v="Cheque"/>
    <s v="Cóctel de frutas"/>
    <s v="Frutas y vegetales"/>
    <x v="33"/>
    <n v="26"/>
    <n v="14196"/>
  </r>
  <r>
    <n v="47"/>
    <x v="42"/>
    <n v="9029002933"/>
    <s v="Empresa F"/>
    <s v="Ibarra"/>
    <s v="Imbabura"/>
    <s v="Luis Miguel Valdés Garza"/>
    <x v="2"/>
    <s v="Cheque"/>
    <s v="Peras secas"/>
    <s v="Frutas secas"/>
    <x v="34"/>
    <n v="96"/>
    <n v="40320"/>
  </r>
  <r>
    <n v="48"/>
    <x v="43"/>
    <n v="5702300844"/>
    <s v="Empresa F"/>
    <s v="Ibarra"/>
    <s v="Imbabura"/>
    <s v="Luis Miguel Valdés Garza"/>
    <x v="2"/>
    <s v="Cheque"/>
    <s v="Manzanas secas"/>
    <s v="Frutas secas"/>
    <x v="35"/>
    <n v="16"/>
    <n v="11872"/>
  </r>
  <r>
    <n v="49"/>
    <x v="44"/>
    <n v="6885713027"/>
    <s v="Empresa D"/>
    <s v="Azogues"/>
    <s v="Canar"/>
    <s v="Andrés González Rico"/>
    <x v="3"/>
    <s v="Empresa de embarque D"/>
    <s v="Pasta penne"/>
    <s v="Pasta"/>
    <x v="36"/>
    <n v="96"/>
    <n v="51072"/>
  </r>
  <r>
    <n v="50"/>
    <x v="12"/>
    <n v="5156178317"/>
    <s v="Empresa C"/>
    <s v="Machala"/>
    <s v="El Oro"/>
    <s v="Mayra Aguilar Sepúlveda"/>
    <x v="3"/>
    <s v="Empresa de embarque D"/>
    <s v="Té verde"/>
    <s v="Bebidas"/>
    <x v="37"/>
    <n v="75"/>
    <n v="3139.5"/>
  </r>
  <r>
    <n v="51"/>
    <x v="45"/>
    <n v="9993785470"/>
    <s v="Empresa I"/>
    <s v="Guayaquil"/>
    <s v="Guayas"/>
    <s v="Robert Zárate Carrillo"/>
    <x v="1"/>
    <s v="Cheque"/>
    <s v="Ravioli"/>
    <s v="Pasta"/>
    <x v="38"/>
    <n v="55"/>
    <n v="15015"/>
  </r>
  <r>
    <n v="52"/>
    <x v="46"/>
    <n v="2344903076"/>
    <s v="Empresa I"/>
    <s v="Guayaquil"/>
    <s v="Guayas"/>
    <s v="Robert Zárate Carrillo"/>
    <x v="1"/>
    <s v="Cheque"/>
    <s v="Mozzarella"/>
    <s v="Productos lácteos"/>
    <x v="39"/>
    <n v="11"/>
    <n v="5359.1999999999989"/>
  </r>
  <r>
    <n v="53"/>
    <x v="47"/>
    <n v="5773601950"/>
    <s v="Empresa F"/>
    <s v="Ibarra"/>
    <s v="Imbabura"/>
    <s v="Luis Miguel Valdés Garza"/>
    <x v="0"/>
    <s v="Tarjeta de crédito"/>
    <s v="Cerveza"/>
    <s v="Bebidas"/>
    <x v="40"/>
    <n v="53"/>
    <n v="10388"/>
  </r>
  <r>
    <n v="54"/>
    <x v="48"/>
    <n v="4818078168"/>
    <s v="Empresa H"/>
    <s v="Riobamba"/>
    <s v="Chimborazo"/>
    <s v="Nancy Gil de la Peña"/>
    <x v="0"/>
    <s v="Cheque"/>
    <s v="Salsa curry"/>
    <s v="Salsas"/>
    <x v="26"/>
    <n v="85"/>
    <n v="47600"/>
  </r>
  <r>
    <n v="55"/>
    <x v="49"/>
    <n v="9107195581"/>
    <s v="Empresa H"/>
    <s v="Riobamba"/>
    <s v="Chimborazo"/>
    <s v="Nancy Gil de la Peña"/>
    <x v="0"/>
    <s v="Cheque"/>
    <s v="Galletas de chocolate"/>
    <s v="Productos horneados"/>
    <x v="41"/>
    <n v="97"/>
    <n v="12493.599999999999"/>
  </r>
  <r>
    <n v="56"/>
    <x v="50"/>
    <n v="5806733138"/>
    <s v="Empresa Y"/>
    <s v="Esmeraldas"/>
    <s v="Esmeraldas"/>
    <s v="Laura Gutiérrez Saenz"/>
    <x v="1"/>
    <s v="Efectivo"/>
    <s v="Bolillos"/>
    <s v="Productos horneados"/>
    <x v="24"/>
    <n v="46"/>
    <n v="6440"/>
  </r>
  <r>
    <n v="57"/>
    <x v="51"/>
    <n v="3059258597"/>
    <s v="Empresa Z"/>
    <s v="Quito"/>
    <s v="Pichincha"/>
    <s v="Ana del Valle Hinojosa"/>
    <x v="2"/>
    <s v="Tarjeta de crédito"/>
    <s v="Aceite de oliva"/>
    <s v="Aceite"/>
    <x v="42"/>
    <n v="97"/>
    <n v="28993.300000000003"/>
  </r>
  <r>
    <n v="58"/>
    <x v="52"/>
    <n v="586395005"/>
    <s v="Empresa Z"/>
    <s v="Quito"/>
    <s v="Pichincha"/>
    <s v="Ana del Valle Hinojosa"/>
    <x v="2"/>
    <s v="Tarjeta de crédito"/>
    <s v="Almejas"/>
    <s v="Sopas"/>
    <x v="29"/>
    <n v="97"/>
    <n v="13104.699999999999"/>
  </r>
  <r>
    <n v="59"/>
    <x v="53"/>
    <n v="9281389647"/>
    <s v="Empresa Z"/>
    <s v="Quito"/>
    <s v="Pichincha"/>
    <s v="Ana del Valle Hinojosa"/>
    <x v="2"/>
    <s v="Tarjeta de crédito"/>
    <s v="Carne de cangrejo"/>
    <s v="Carne enlatada"/>
    <x v="27"/>
    <n v="65"/>
    <n v="16743.999999999996"/>
  </r>
  <r>
    <n v="60"/>
    <x v="54"/>
    <n v="2230409971"/>
    <s v="Empresa CC"/>
    <s v="Guayaquil"/>
    <s v="Guayas"/>
    <s v="José de Jesús Morales"/>
    <x v="0"/>
    <s v="Cheque"/>
    <s v="Cerveza"/>
    <s v="Bebidas"/>
    <x v="40"/>
    <n v="72"/>
    <n v="14112"/>
  </r>
  <r>
    <n v="61"/>
    <x v="34"/>
    <n v="498762200"/>
    <s v="Empresa F"/>
    <s v="Ibarra"/>
    <s v="Imbabura"/>
    <s v="Luis Miguel Valdés Garza"/>
    <x v="2"/>
    <s v="Cheque"/>
    <s v="Chocolate"/>
    <s v="Dulces"/>
    <x v="30"/>
    <n v="16"/>
    <n v="2856"/>
  </r>
  <r>
    <n v="62"/>
    <x v="55"/>
    <n v="5059332572"/>
    <s v="Empresa D"/>
    <s v="Azogues"/>
    <s v="Canar"/>
    <s v="Andrés González Rico"/>
    <x v="1"/>
    <s v="Tarjeta de crédito"/>
    <s v="Mermelada de zarzamora"/>
    <s v="Mermeladas y jaleas"/>
    <x v="43"/>
    <n v="77"/>
    <n v="87318"/>
  </r>
  <r>
    <n v="63"/>
    <x v="56"/>
    <n v="807667000"/>
    <s v="Empresa D"/>
    <s v="Azogues"/>
    <s v="Canar"/>
    <s v="Andrés González Rico"/>
    <x v="1"/>
    <s v="Tarjeta de crédito"/>
    <s v="Arroz de grano largo"/>
    <s v="Granos"/>
    <x v="44"/>
    <n v="37"/>
    <n v="3626"/>
  </r>
  <r>
    <n v="64"/>
    <x v="57"/>
    <n v="4320869422"/>
    <s v="Empresa H"/>
    <s v="Riobamba"/>
    <s v="Chimborazo"/>
    <s v="Nancy Gil de la Peña"/>
    <x v="2"/>
    <s v="Tarjeta de crédito"/>
    <s v="Mozzarella"/>
    <s v="Productos lácteos"/>
    <x v="39"/>
    <n v="63"/>
    <n v="30693.599999999995"/>
  </r>
  <r>
    <n v="65"/>
    <x v="58"/>
    <n v="7227542762"/>
    <s v="Empresa C"/>
    <s v="Machala"/>
    <s v="El Oro"/>
    <s v="Mayra Aguilar Sepúlveda"/>
    <x v="0"/>
    <s v="Efectivo"/>
    <s v="Jarabe"/>
    <s v="Condimentos"/>
    <x v="24"/>
    <n v="48"/>
    <n v="6720"/>
  </r>
  <r>
    <n v="66"/>
    <x v="59"/>
    <n v="4844854212"/>
    <s v="Empresa C"/>
    <s v="Machala"/>
    <s v="El Oro"/>
    <s v="Mayra Aguilar Sepúlveda"/>
    <x v="0"/>
    <s v="Efectivo"/>
    <s v="Salsa curry"/>
    <s v="Salsas"/>
    <x v="26"/>
    <n v="71"/>
    <n v="39760"/>
  </r>
  <r>
    <n v="67"/>
    <x v="60"/>
    <n v="6476704094"/>
    <s v="Empresa J"/>
    <s v="Esmeraldas"/>
    <s v="Esmeraldas"/>
    <s v="Laura Gutiérrez Saenz"/>
    <x v="0"/>
    <s v="Tarjeta de crédito"/>
    <s v="Almendras"/>
    <s v="Frutas secas"/>
    <x v="24"/>
    <n v="55"/>
    <n v="7700"/>
  </r>
  <r>
    <n v="68"/>
    <x v="61"/>
    <n v="289513623"/>
    <s v="Empresa J"/>
    <s v="Esmeraldas"/>
    <s v="Esmeraldas"/>
    <s v="Laura Gutiérrez Saenz"/>
    <x v="1"/>
    <s v="Empresa de embarque D"/>
    <s v="Ciruelas secas"/>
    <s v="Frutas secas"/>
    <x v="25"/>
    <n v="21"/>
    <n v="1029"/>
  </r>
  <r>
    <n v="69"/>
    <x v="62"/>
    <n v="4360909288"/>
    <s v="Empresa K"/>
    <s v="Quito"/>
    <s v="Pichincha"/>
    <s v="Ana del Valle Hinojosa"/>
    <x v="2"/>
    <s v="Empresa de embarque D"/>
    <s v="Salsa curry"/>
    <s v="Salsas"/>
    <x v="26"/>
    <n v="67"/>
    <n v="37520"/>
  </r>
  <r>
    <n v="70"/>
    <x v="63"/>
    <n v="1569352924"/>
    <s v="Empresa A"/>
    <s v="Ambato"/>
    <s v="Tungurahua"/>
    <s v="Nancy Gil de la Peña"/>
    <x v="2"/>
    <s v="Empresa de embarque D"/>
    <s v="Carne de cangrejo"/>
    <s v="Carne enlatada"/>
    <x v="27"/>
    <n v="75"/>
    <n v="19319.999999999996"/>
  </r>
  <r>
    <n v="71"/>
    <x v="64"/>
    <n v="4417023777"/>
    <s v="Empresa BB"/>
    <s v="Manta"/>
    <s v="Manabi"/>
    <s v="Ana del Valle Hinojosa"/>
    <x v="2"/>
    <s v="Tarjeta de crédito"/>
    <s v="Café"/>
    <s v="Bebidas"/>
    <x v="28"/>
    <n v="17"/>
    <n v="10948"/>
  </r>
  <r>
    <n v="72"/>
    <x v="28"/>
    <n v="5213348963"/>
    <s v="Empresa D"/>
    <s v="Azogues"/>
    <s v="Canar"/>
    <s v="Andrés González Rico"/>
    <x v="1"/>
    <s v="Tarjeta de crédito"/>
    <s v="Ciruelas secas"/>
    <s v="Frutas secas"/>
    <x v="25"/>
    <n v="48"/>
    <n v="2352"/>
  </r>
  <r>
    <n v="73"/>
    <x v="65"/>
    <n v="6039525395"/>
    <s v="Empresa L"/>
    <s v="Cuenca"/>
    <s v="Azuay"/>
    <s v="Mayra Aguilar Sepúlveda"/>
    <x v="0"/>
    <s v="Tarjeta de crédito"/>
    <s v="Té chai"/>
    <s v="Bebidas"/>
    <x v="45"/>
    <n v="74"/>
    <n v="18648"/>
  </r>
  <r>
    <n v="74"/>
    <x v="47"/>
    <n v="7564866770"/>
    <s v="Empresa L"/>
    <s v="Cuenca"/>
    <s v="Azuay"/>
    <s v="Mayra Aguilar Sepúlveda"/>
    <x v="0"/>
    <s v="Tarjeta de crédito"/>
    <s v="Café"/>
    <s v="Bebidas"/>
    <x v="28"/>
    <n v="96"/>
    <n v="61824"/>
  </r>
  <r>
    <n v="75"/>
    <x v="66"/>
    <n v="9161740728"/>
    <s v="Empresa H"/>
    <s v="Riobamba"/>
    <s v="Chimborazo"/>
    <s v="Nancy Gil de la Peña"/>
    <x v="2"/>
    <s v="Tarjeta de crédito"/>
    <s v="Galletas de chocolate"/>
    <s v="Productos horneados"/>
    <x v="41"/>
    <n v="12"/>
    <n v="1545.6"/>
  </r>
  <r>
    <n v="76"/>
    <x v="67"/>
    <n v="5854661633"/>
    <s v="Empresa D"/>
    <s v="Azogues"/>
    <s v="Canar"/>
    <s v="Andrés González Rico"/>
    <x v="2"/>
    <s v="Cheque"/>
    <s v="Galletas de chocolate"/>
    <s v="Productos horneados"/>
    <x v="41"/>
    <n v="62"/>
    <n v="7985.5999999999985"/>
  </r>
  <r>
    <n v="77"/>
    <x v="68"/>
    <n v="9782824487"/>
    <s v="Empresa CC"/>
    <s v="Guayaquil"/>
    <s v="Guayas"/>
    <s v="José de Jesús Morales"/>
    <x v="0"/>
    <s v="Cheque"/>
    <s v="Chocolate"/>
    <s v="Dulces"/>
    <x v="30"/>
    <n v="35"/>
    <n v="6247.5"/>
  </r>
  <r>
    <n v="78"/>
    <x v="69"/>
    <n v="5368581132"/>
    <s v="Empresa C"/>
    <s v="Machala"/>
    <s v="El Oro"/>
    <s v="Mayra Aguilar Sepúlveda"/>
    <x v="0"/>
    <s v="Efectivo"/>
    <s v="Almejas"/>
    <s v="Sopas"/>
    <x v="29"/>
    <n v="95"/>
    <n v="12834.5"/>
  </r>
  <r>
    <n v="79"/>
    <x v="70"/>
    <n v="1972466220"/>
    <s v="Empresa F"/>
    <s v="Ibarra"/>
    <s v="Imbabura"/>
    <s v="Luis Miguel Valdés Garza"/>
    <x v="0"/>
    <s v="Tarjeta de crédito"/>
    <s v="Salsa curry"/>
    <s v="Salsas"/>
    <x v="26"/>
    <n v="17"/>
    <n v="9520"/>
  </r>
  <r>
    <n v="80"/>
    <x v="71"/>
    <n v="6835780904"/>
    <s v="Empresa BB"/>
    <s v="Manta"/>
    <s v="Manabi"/>
    <s v="Ana del Valle Hinojosa"/>
    <x v="2"/>
    <s v="Cheque"/>
    <s v="Café"/>
    <s v="Bebidas"/>
    <x v="28"/>
    <n v="96"/>
    <n v="61824"/>
  </r>
  <r>
    <n v="81"/>
    <x v="72"/>
    <n v="9361876990"/>
    <s v="Empresa H"/>
    <s v="Riobamba"/>
    <s v="Chimborazo"/>
    <s v="Nancy Gil de la Peña"/>
    <x v="2"/>
    <s v="Cheque"/>
    <s v="Chocolate"/>
    <s v="Dulces"/>
    <x v="30"/>
    <n v="83"/>
    <n v="14815.5"/>
  </r>
  <r>
    <n v="82"/>
    <x v="73"/>
    <n v="7655628230"/>
    <s v="Empresa J"/>
    <s v="Esmeraldas"/>
    <s v="Esmeraldas"/>
    <s v="Laura Gutiérrez Saenz"/>
    <x v="0"/>
    <s v="Tarjeta de crédito"/>
    <s v="Té verde"/>
    <s v="Bebidas"/>
    <x v="37"/>
    <n v="88"/>
    <n v="3683.68"/>
  </r>
  <r>
    <n v="83"/>
    <x v="35"/>
    <n v="6770397729"/>
    <s v="Empresa G"/>
    <s v="Guaranda"/>
    <s v="Guaranda"/>
    <s v="Nancy Gil de la Peña"/>
    <x v="3"/>
    <s v="Empresa de embarque D"/>
    <s v="Café"/>
    <s v="Bebidas"/>
    <x v="28"/>
    <n v="59"/>
    <n v="37996"/>
  </r>
  <r>
    <n v="84"/>
    <x v="74"/>
    <n v="6622149015"/>
    <s v="Empresa J"/>
    <s v="Esmeraldas"/>
    <s v="Esmeraldas"/>
    <s v="Laura Gutiérrez Saenz"/>
    <x v="1"/>
    <s v="Empresa de embarque D"/>
    <s v="Jalea de fresa"/>
    <s v="Mermeladas y jaleas"/>
    <x v="32"/>
    <n v="27"/>
    <n v="9450"/>
  </r>
  <r>
    <n v="85"/>
    <x v="75"/>
    <n v="8859429908"/>
    <s v="Empresa J"/>
    <s v="Esmeraldas"/>
    <s v="Esmeraldas"/>
    <s v="Laura Gutiérrez Saenz"/>
    <x v="1"/>
    <s v="Empresa de embarque D"/>
    <s v="Condimento cajún"/>
    <s v="Condimentos"/>
    <x v="31"/>
    <n v="37"/>
    <n v="11396"/>
  </r>
  <r>
    <n v="86"/>
    <x v="76"/>
    <n v="146252536"/>
    <s v="Empresa J"/>
    <s v="Esmeraldas"/>
    <s v="Esmeraldas"/>
    <s v="Laura Gutiérrez Saenz"/>
    <x v="1"/>
    <s v="Empresa de embarque D"/>
    <s v="Galletas de chocolate"/>
    <s v="Productos horneados"/>
    <x v="41"/>
    <n v="75"/>
    <n v="9659.9999999999982"/>
  </r>
  <r>
    <n v="87"/>
    <x v="77"/>
    <n v="9010865731"/>
    <s v="Empresa K"/>
    <s v="Quito"/>
    <s v="Pichincha"/>
    <s v="Ana del Valle Hinojosa"/>
    <x v="2"/>
    <s v="Empresa de embarque D"/>
    <s v="Ciruelas secas"/>
    <s v="Frutas secas"/>
    <x v="25"/>
    <n v="71"/>
    <n v="3479"/>
  </r>
  <r>
    <n v="88"/>
    <x v="78"/>
    <n v="9076170123"/>
    <s v="Empresa K"/>
    <s v="Quito"/>
    <s v="Pichincha"/>
    <s v="Ana del Valle Hinojosa"/>
    <x v="2"/>
    <s v="Empresa de embarque D"/>
    <s v="Té verde"/>
    <s v="Bebidas"/>
    <x v="37"/>
    <n v="88"/>
    <n v="3683.68"/>
  </r>
  <r>
    <n v="89"/>
    <x v="79"/>
    <n v="4412491838"/>
    <s v="Empresa A"/>
    <s v="Ambato"/>
    <s v="Tungurahua"/>
    <s v="Nancy Gil de la Peña"/>
    <x v="3"/>
    <s v="Empresa de embarque D"/>
    <s v="Té chai"/>
    <s v="Bebidas"/>
    <x v="45"/>
    <n v="55"/>
    <n v="13860"/>
  </r>
  <r>
    <n v="90"/>
    <x v="50"/>
    <n v="7223227521"/>
    <s v="Empresa CC"/>
    <s v="Guayaquil"/>
    <s v="Guayas"/>
    <s v="José de Jesús Morales"/>
    <x v="0"/>
    <s v="Cheque"/>
    <s v="Chocolate"/>
    <s v="Dulces"/>
    <x v="30"/>
    <n v="14"/>
    <n v="2499"/>
  </r>
  <r>
    <n v="91"/>
    <x v="80"/>
    <n v="9595973394"/>
    <s v="Empresa C"/>
    <s v="Machala"/>
    <s v="El Oro"/>
    <s v="Mayra Aguilar Sepúlveda"/>
    <x v="0"/>
    <s v="Efectivo"/>
    <s v="Almejas"/>
    <s v="Sopas"/>
    <x v="29"/>
    <n v="43"/>
    <n v="5809.3"/>
  </r>
  <r>
    <n v="92"/>
    <x v="81"/>
    <n v="2755531090"/>
    <s v="Empresa F"/>
    <s v="Ibarra"/>
    <s v="Imbabura"/>
    <s v="Luis Miguel Valdés Garza"/>
    <x v="0"/>
    <s v="Tarjeta de crédito"/>
    <s v="Salsa curry"/>
    <s v="Salsas"/>
    <x v="26"/>
    <n v="63"/>
    <n v="35280"/>
  </r>
  <r>
    <n v="93"/>
    <x v="82"/>
    <n v="5306800000"/>
    <s v="Empresa BB"/>
    <s v="Manta"/>
    <s v="Manabi"/>
    <s v="Ana del Valle Hinojosa"/>
    <x v="2"/>
    <s v="Cheque"/>
    <s v="Café"/>
    <s v="Bebidas"/>
    <x v="28"/>
    <n v="36"/>
    <n v="23184"/>
  </r>
  <r>
    <n v="94"/>
    <x v="54"/>
    <n v="6768826719"/>
    <s v="Empresa H"/>
    <s v="Riobamba"/>
    <s v="Chimborazo"/>
    <s v="Nancy Gil de la Peña"/>
    <x v="2"/>
    <s v="Cheque"/>
    <s v="Chocolate"/>
    <s v="Dulces"/>
    <x v="30"/>
    <n v="41"/>
    <n v="7318.5"/>
  </r>
  <r>
    <n v="95"/>
    <x v="83"/>
    <n v="7945500000"/>
    <s v="Empresa J"/>
    <s v="Esmeraldas"/>
    <s v="Esmeraldas"/>
    <s v="Laura Gutiérrez Saenz"/>
    <x v="0"/>
    <s v="Tarjeta de crédito"/>
    <s v="Té verde"/>
    <s v="Bebidas"/>
    <x v="37"/>
    <n v="35"/>
    <n v="1465.1"/>
  </r>
  <r>
    <n v="96"/>
    <x v="83"/>
    <n v="4671327569"/>
    <s v="Empresa G"/>
    <s v="Guaranda"/>
    <s v="Guaranda"/>
    <s v="Nancy Gil de la Peña"/>
    <x v="3"/>
    <s v="Empresa de embarque D"/>
    <s v="Café"/>
    <s v="Bebidas"/>
    <x v="28"/>
    <n v="31"/>
    <n v="19964"/>
  </r>
  <r>
    <n v="97"/>
    <x v="84"/>
    <n v="5750783013"/>
    <s v="Empresa J"/>
    <s v="Esmeraldas"/>
    <s v="Esmeraldas"/>
    <s v="Laura Gutiérrez Saenz"/>
    <x v="1"/>
    <s v="Empresa de embarque D"/>
    <s v="Jalea de fresa"/>
    <s v="Mermeladas y jaleas"/>
    <x v="32"/>
    <n v="52"/>
    <n v="18200"/>
  </r>
  <r>
    <n v="98"/>
    <x v="85"/>
    <n v="1216202808"/>
    <s v="Empresa J"/>
    <s v="Esmeraldas"/>
    <s v="Esmeraldas"/>
    <s v="Laura Gutiérrez Saenz"/>
    <x v="1"/>
    <s v="Empresa de embarque D"/>
    <s v="Condimento cajún"/>
    <s v="Condimentos"/>
    <x v="31"/>
    <n v="30"/>
    <n v="9240"/>
  </r>
  <r>
    <n v="99"/>
    <x v="86"/>
    <n v="7167041532"/>
    <s v="Empresa J"/>
    <s v="Esmeraldas"/>
    <s v="Esmeraldas"/>
    <s v="Laura Gutiérrez Saenz"/>
    <x v="1"/>
    <s v="Empresa de embarque D"/>
    <s v="Galletas de chocolate"/>
    <s v="Productos horneados"/>
    <x v="41"/>
    <n v="41"/>
    <n v="5280.7999999999993"/>
  </r>
  <r>
    <n v="100"/>
    <x v="87"/>
    <n v="2241191338"/>
    <s v="Empresa K"/>
    <s v="Quito"/>
    <s v="Pichincha"/>
    <s v="Ana del Valle Hinojosa"/>
    <x v="2"/>
    <s v="Empresa de embarque D"/>
    <s v="Ciruelas secas"/>
    <s v="Frutas secas"/>
    <x v="25"/>
    <n v="44"/>
    <n v="2156"/>
  </r>
  <r>
    <n v="101"/>
    <x v="88"/>
    <n v="806264266"/>
    <s v="Empresa K"/>
    <s v="Quito"/>
    <s v="Pichincha"/>
    <s v="Ana del Valle Hinojosa"/>
    <x v="2"/>
    <s v="Empresa de embarque D"/>
    <s v="Té verde"/>
    <s v="Bebidas"/>
    <x v="37"/>
    <n v="77"/>
    <n v="3223.22"/>
  </r>
  <r>
    <n v="102"/>
    <x v="89"/>
    <n v="3820174684"/>
    <s v="Empresa A"/>
    <s v="Ambato"/>
    <s v="Tungurahua"/>
    <s v="Nancy Gil de la Peña"/>
    <x v="3"/>
    <s v="Empresa de embarque D"/>
    <s v="Té chai"/>
    <s v="Bebidas"/>
    <x v="45"/>
    <n v="29"/>
    <n v="7308"/>
  </r>
  <r>
    <n v="103"/>
    <x v="90"/>
    <n v="5541796483"/>
    <s v="Empresa A"/>
    <s v="Ambato"/>
    <s v="Tungurahua"/>
    <s v="Nancy Gil de la Peña"/>
    <x v="3"/>
    <s v="Empresa de embarque D"/>
    <s v="Café"/>
    <s v="Bebidas"/>
    <x v="28"/>
    <n v="77"/>
    <n v="49588"/>
  </r>
  <r>
    <n v="104"/>
    <x v="91"/>
    <n v="7096714976"/>
    <s v="Empresa A"/>
    <s v="Ambato"/>
    <s v="Tungurahua"/>
    <s v="Nancy Gil de la Peña"/>
    <x v="3"/>
    <s v="Empresa de embarque D"/>
    <s v="Té verde"/>
    <s v="Bebidas"/>
    <x v="37"/>
    <n v="73"/>
    <n v="3055.7799999999997"/>
  </r>
  <r>
    <n v="105"/>
    <x v="92"/>
    <n v="2543114862"/>
    <s v="Empresa BB"/>
    <s v="Manta"/>
    <s v="Manabi"/>
    <s v="Ana del Valle Hinojosa"/>
    <x v="2"/>
    <s v="Tarjeta de crédito"/>
    <s v="Almejas"/>
    <s v="Sopas"/>
    <x v="29"/>
    <n v="74"/>
    <n v="9997.4"/>
  </r>
  <r>
    <n v="106"/>
    <x v="38"/>
    <n v="6501127347"/>
    <s v="Empresa BB"/>
    <s v="Manta"/>
    <s v="Manabi"/>
    <s v="Ana del Valle Hinojosa"/>
    <x v="2"/>
    <s v="Tarjeta de crédito"/>
    <s v="Carne de cangrejo"/>
    <s v="Carne enlatada"/>
    <x v="27"/>
    <n v="25"/>
    <n v="6439.9999999999991"/>
  </r>
  <r>
    <n v="107"/>
    <x v="93"/>
    <n v="1322296163"/>
    <s v="Empresa I"/>
    <s v="Guayaquil"/>
    <s v="Guayas"/>
    <s v="Robert Zárate Carrillo"/>
    <x v="1"/>
    <s v="Cheque"/>
    <s v="Ravioli"/>
    <s v="Pasta"/>
    <x v="38"/>
    <n v="82"/>
    <n v="22386"/>
  </r>
  <r>
    <n v="108"/>
    <x v="94"/>
    <n v="5162222472"/>
    <s v="Empresa I"/>
    <s v="Guayaquil"/>
    <s v="Guayas"/>
    <s v="Robert Zárate Carrillo"/>
    <x v="1"/>
    <s v="Cheque"/>
    <s v="Mozzarella"/>
    <s v="Productos lácteos"/>
    <x v="39"/>
    <n v="37"/>
    <n v="18026.399999999998"/>
  </r>
  <r>
    <n v="109"/>
    <x v="95"/>
    <n v="5752777715"/>
    <s v="Empresa F"/>
    <s v="Ibarra"/>
    <s v="Imbabura"/>
    <s v="Luis Miguel Valdés Garza"/>
    <x v="0"/>
    <s v="Tarjeta de crédito"/>
    <s v="Cerveza"/>
    <s v="Bebidas"/>
    <x v="40"/>
    <n v="84"/>
    <n v="16464"/>
  </r>
  <r>
    <n v="110"/>
    <x v="85"/>
    <n v="2261700341"/>
    <s v="Empresa H"/>
    <s v="Riobamba"/>
    <s v="Chimborazo"/>
    <s v="Nancy Gil de la Peña"/>
    <x v="0"/>
    <s v="Cheque"/>
    <s v="Salsa curry"/>
    <s v="Salsas"/>
    <x v="26"/>
    <n v="73"/>
    <n v="40880"/>
  </r>
  <r>
    <n v="111"/>
    <x v="96"/>
    <n v="9950546196"/>
    <s v="Empresa H"/>
    <s v="Riobamba"/>
    <s v="Chimborazo"/>
    <s v="Nancy Gil de la Peña"/>
    <x v="0"/>
    <s v="Cheque"/>
    <s v="Galletas de chocolate"/>
    <s v="Productos horneados"/>
    <x v="41"/>
    <n v="51"/>
    <n v="6568.7999999999993"/>
  </r>
  <r>
    <n v="112"/>
    <x v="97"/>
    <n v="9911266011"/>
    <s v="Empresa Y"/>
    <s v="Esmeraldas"/>
    <s v="Esmeraldas"/>
    <s v="Laura Gutiérrez Saenz"/>
    <x v="1"/>
    <s v="Efectivo"/>
    <s v="Bolillos"/>
    <s v="Productos horneados"/>
    <x v="24"/>
    <n v="66"/>
    <n v="9240"/>
  </r>
  <r>
    <n v="113"/>
    <x v="98"/>
    <n v="8455987495"/>
    <s v="Empresa Z"/>
    <s v="Quito"/>
    <s v="Pichincha"/>
    <s v="Ana del Valle Hinojosa"/>
    <x v="2"/>
    <s v="Tarjeta de crédito"/>
    <s v="Aceite de oliva"/>
    <s v="Aceite"/>
    <x v="42"/>
    <n v="36"/>
    <n v="10760.400000000001"/>
  </r>
  <r>
    <n v="114"/>
    <x v="63"/>
    <n v="6668567210"/>
    <s v="Empresa Z"/>
    <s v="Quito"/>
    <s v="Pichincha"/>
    <s v="Ana del Valle Hinojosa"/>
    <x v="2"/>
    <s v="Tarjeta de crédito"/>
    <s v="Almejas"/>
    <s v="Sopas"/>
    <x v="29"/>
    <n v="87"/>
    <n v="11753.699999999999"/>
  </r>
  <r>
    <n v="115"/>
    <x v="99"/>
    <n v="9528620750"/>
    <s v="Empresa Z"/>
    <s v="Quito"/>
    <s v="Pichincha"/>
    <s v="Ana del Valle Hinojosa"/>
    <x v="2"/>
    <s v="Tarjeta de crédito"/>
    <s v="Carne de cangrejo"/>
    <s v="Carne enlatada"/>
    <x v="27"/>
    <n v="64"/>
    <n v="16486.399999999998"/>
  </r>
  <r>
    <n v="116"/>
    <x v="100"/>
    <n v="1951835035"/>
    <s v="Empresa CC"/>
    <s v="Guayaquil"/>
    <s v="Guayas"/>
    <s v="José de Jesús Morales"/>
    <x v="0"/>
    <s v="Cheque"/>
    <s v="Cerveza"/>
    <s v="Bebidas"/>
    <x v="40"/>
    <n v="21"/>
    <n v="4116"/>
  </r>
  <r>
    <n v="117"/>
    <x v="101"/>
    <n v="8464805926"/>
    <s v="Empresa F"/>
    <s v="Ibarra"/>
    <s v="Imbabura"/>
    <s v="Luis Miguel Valdés Garza"/>
    <x v="2"/>
    <s v="Cheque"/>
    <s v="Chocolate"/>
    <s v="Dulces"/>
    <x v="30"/>
    <n v="19"/>
    <n v="3391.5"/>
  </r>
  <r>
    <n v="118"/>
    <x v="102"/>
    <n v="1040241832"/>
    <s v="Empresa D"/>
    <s v="Azogues"/>
    <s v="Canar"/>
    <s v="Andrés González Rico"/>
    <x v="1"/>
    <s v="Tarjeta de crédito"/>
    <s v="Mermelada de zarzamora"/>
    <s v="Mermeladas y jaleas"/>
    <x v="43"/>
    <n v="23"/>
    <n v="26082"/>
  </r>
  <r>
    <n v="119"/>
    <x v="103"/>
    <n v="5032769390"/>
    <s v="Empresa D"/>
    <s v="Azogues"/>
    <s v="Canar"/>
    <s v="Andrés González Rico"/>
    <x v="1"/>
    <s v="Tarjeta de crédito"/>
    <s v="Arroz de grano largo"/>
    <s v="Granos"/>
    <x v="44"/>
    <n v="72"/>
    <n v="7056"/>
  </r>
  <r>
    <n v="120"/>
    <x v="104"/>
    <n v="5375997402"/>
    <s v="Empresa H"/>
    <s v="Riobamba"/>
    <s v="Chimborazo"/>
    <s v="Nancy Gil de la Peña"/>
    <x v="2"/>
    <s v="Tarjeta de crédito"/>
    <s v="Mozzarella"/>
    <s v="Productos lácteos"/>
    <x v="39"/>
    <n v="22"/>
    <n v="10718.399999999998"/>
  </r>
  <r>
    <n v="121"/>
    <x v="105"/>
    <n v="967566383"/>
    <s v="Empresa C"/>
    <s v="Machala"/>
    <s v="El Oro"/>
    <s v="Mayra Aguilar Sepúlveda"/>
    <x v="0"/>
    <s v="Efectivo"/>
    <s v="Jarabe"/>
    <s v="Condimentos"/>
    <x v="24"/>
    <n v="82"/>
    <n v="11480"/>
  </r>
  <r>
    <n v="122"/>
    <x v="106"/>
    <n v="7607007457"/>
    <s v="Empresa C"/>
    <s v="Machala"/>
    <s v="El Oro"/>
    <s v="Mayra Aguilar Sepúlveda"/>
    <x v="0"/>
    <s v="Efectivo"/>
    <s v="Salsa curry"/>
    <s v="Salsas"/>
    <x v="26"/>
    <n v="98"/>
    <n v="54880"/>
  </r>
  <r>
    <n v="123"/>
    <x v="107"/>
    <n v="6139722497"/>
    <s v="Empresa G"/>
    <s v="Guaranda"/>
    <s v="Guaranda"/>
    <s v="Nancy Gil de la Peña"/>
    <x v="3"/>
    <s v="Empresa de embarque D"/>
    <s v="Café"/>
    <s v="Bebidas"/>
    <x v="28"/>
    <n v="71"/>
    <n v="45724"/>
  </r>
  <r>
    <n v="124"/>
    <x v="79"/>
    <n v="6071133871"/>
    <s v="Empresa J"/>
    <s v="Esmeraldas"/>
    <s v="Esmeraldas"/>
    <s v="Laura Gutiérrez Saenz"/>
    <x v="1"/>
    <s v="Empresa de embarque D"/>
    <s v="Jalea de fresa"/>
    <s v="Mermeladas y jaleas"/>
    <x v="32"/>
    <n v="40"/>
    <n v="14000"/>
  </r>
  <r>
    <n v="125"/>
    <x v="108"/>
    <n v="8634772142"/>
    <s v="Empresa J"/>
    <s v="Esmeraldas"/>
    <s v="Esmeraldas"/>
    <s v="Laura Gutiérrez Saenz"/>
    <x v="1"/>
    <s v="Empresa de embarque D"/>
    <s v="Condimento cajún"/>
    <s v="Condimentos"/>
    <x v="31"/>
    <n v="80"/>
    <n v="24640"/>
  </r>
  <r>
    <n v="126"/>
    <x v="109"/>
    <n v="5431718510"/>
    <s v="Empresa J"/>
    <s v="Esmeraldas"/>
    <s v="Esmeraldas"/>
    <s v="Laura Gutiérrez Saenz"/>
    <x v="1"/>
    <s v="Empresa de embarque D"/>
    <s v="Galletas de chocolate"/>
    <s v="Productos horneados"/>
    <x v="41"/>
    <n v="38"/>
    <n v="4894.3999999999996"/>
  </r>
  <r>
    <n v="127"/>
    <x v="110"/>
    <n v="7109276915"/>
    <s v="Empresa K"/>
    <s v="Quito"/>
    <s v="Pichincha"/>
    <s v="Ana del Valle Hinojosa"/>
    <x v="2"/>
    <s v="Empresa de embarque D"/>
    <s v="Ciruelas secas"/>
    <s v="Frutas secas"/>
    <x v="25"/>
    <n v="28"/>
    <n v="1372"/>
  </r>
  <r>
    <n v="128"/>
    <x v="111"/>
    <n v="8479136081"/>
    <s v="Empresa K"/>
    <s v="Quito"/>
    <s v="Pichincha"/>
    <s v="Ana del Valle Hinojosa"/>
    <x v="2"/>
    <s v="Empresa de embarque D"/>
    <s v="Té verde"/>
    <s v="Bebidas"/>
    <x v="37"/>
    <n v="60"/>
    <n v="2511.6"/>
  </r>
  <r>
    <n v="129"/>
    <x v="26"/>
    <n v="7132355278"/>
    <s v="Empresa A"/>
    <s v="Ambato"/>
    <s v="Tungurahua"/>
    <s v="Nancy Gil de la Peña"/>
    <x v="3"/>
    <s v="Empresa de embarque D"/>
    <s v="Té chai"/>
    <s v="Bebidas"/>
    <x v="45"/>
    <n v="33"/>
    <n v="8316"/>
  </r>
  <r>
    <n v="130"/>
    <x v="78"/>
    <n v="2885792785"/>
    <s v="Empresa A"/>
    <s v="Ambato"/>
    <s v="Tungurahua"/>
    <s v="Nancy Gil de la Peña"/>
    <x v="3"/>
    <s v="Empresa de embarque D"/>
    <s v="Café"/>
    <s v="Bebidas"/>
    <x v="28"/>
    <n v="22"/>
    <n v="14168"/>
  </r>
  <r>
    <n v="131"/>
    <x v="112"/>
    <n v="3723941023"/>
    <s v="Empresa A"/>
    <s v="Ambato"/>
    <s v="Tungurahua"/>
    <s v="Nancy Gil de la Peña"/>
    <x v="3"/>
    <s v="Empresa de embarque D"/>
    <s v="Té verde"/>
    <s v="Bebidas"/>
    <x v="37"/>
    <n v="51"/>
    <n v="2134.86"/>
  </r>
  <r>
    <n v="132"/>
    <x v="113"/>
    <n v="4827836337"/>
    <s v="Empresa BB"/>
    <s v="Manta"/>
    <s v="Manabi"/>
    <s v="Ana del Valle Hinojosa"/>
    <x v="2"/>
    <s v="Tarjeta de crédito"/>
    <s v="Almejas"/>
    <s v="Sopas"/>
    <x v="29"/>
    <n v="60"/>
    <n v="8106"/>
  </r>
  <r>
    <n v="133"/>
    <x v="114"/>
    <n v="2633840866"/>
    <s v="Empresa BB"/>
    <s v="Manta"/>
    <s v="Manabi"/>
    <s v="Ana del Valle Hinojosa"/>
    <x v="2"/>
    <s v="Tarjeta de crédito"/>
    <s v="Carne de cangrejo"/>
    <s v="Carne enlatada"/>
    <x v="27"/>
    <n v="98"/>
    <n v="25244.799999999996"/>
  </r>
  <r>
    <n v="134"/>
    <x v="115"/>
    <n v="2489359003"/>
    <s v="Empresa I"/>
    <s v="Guayaquil"/>
    <s v="Guayas"/>
    <s v="Robert Zárate Carrillo"/>
    <x v="1"/>
    <s v="Cheque"/>
    <s v="Ravioli"/>
    <s v="Pasta"/>
    <x v="38"/>
    <n v="27"/>
    <n v="7371"/>
  </r>
  <r>
    <n v="135"/>
    <x v="116"/>
    <n v="2347277376"/>
    <s v="Empresa I"/>
    <s v="Guayaquil"/>
    <s v="Guayas"/>
    <s v="Robert Zárate Carrillo"/>
    <x v="1"/>
    <s v="Cheque"/>
    <s v="Mozzarella"/>
    <s v="Productos lácteos"/>
    <x v="39"/>
    <n v="88"/>
    <n v="42873.599999999991"/>
  </r>
  <r>
    <n v="136"/>
    <x v="117"/>
    <n v="2071690973"/>
    <s v="Empresa F"/>
    <s v="Ibarra"/>
    <s v="Imbabura"/>
    <s v="Luis Miguel Valdés Garza"/>
    <x v="0"/>
    <s v="Tarjeta de crédito"/>
    <s v="Cerveza"/>
    <s v="Bebidas"/>
    <x v="40"/>
    <n v="65"/>
    <n v="12740"/>
  </r>
  <r>
    <n v="137"/>
    <x v="118"/>
    <n v="1196729221"/>
    <s v="Empresa H"/>
    <s v="Riobamba"/>
    <s v="Chimborazo"/>
    <s v="Nancy Gil de la Peña"/>
    <x v="0"/>
    <s v="Cheque"/>
    <s v="Salsa curry"/>
    <s v="Salsas"/>
    <x v="26"/>
    <n v="38"/>
    <n v="21280"/>
  </r>
  <r>
    <n v="138"/>
    <x v="119"/>
    <n v="9020365601"/>
    <s v="Empresa H"/>
    <s v="Riobamba"/>
    <s v="Chimborazo"/>
    <s v="Nancy Gil de la Peña"/>
    <x v="0"/>
    <s v="Cheque"/>
    <s v="Galletas de chocolate"/>
    <s v="Productos horneados"/>
    <x v="41"/>
    <n v="80"/>
    <n v="10303.999999999998"/>
  </r>
  <r>
    <n v="139"/>
    <x v="120"/>
    <n v="4818692078"/>
    <s v="Empresa Y"/>
    <s v="Esmeraldas"/>
    <s v="Esmeraldas"/>
    <s v="Laura Gutiérrez Saenz"/>
    <x v="1"/>
    <s v="Efectivo"/>
    <s v="Bolillos"/>
    <s v="Productos horneados"/>
    <x v="24"/>
    <n v="49"/>
    <n v="6860"/>
  </r>
  <r>
    <n v="140"/>
    <x v="121"/>
    <n v="6502762369"/>
    <s v="Empresa Z"/>
    <s v="Quito"/>
    <s v="Pichincha"/>
    <s v="Ana del Valle Hinojosa"/>
    <x v="2"/>
    <s v="Tarjeta de crédito"/>
    <s v="Aceite de oliva"/>
    <s v="Aceite"/>
    <x v="42"/>
    <n v="90"/>
    <n v="26901.000000000004"/>
  </r>
  <r>
    <n v="141"/>
    <x v="122"/>
    <n v="924402492"/>
    <s v="Empresa Z"/>
    <s v="Quito"/>
    <s v="Pichincha"/>
    <s v="Ana del Valle Hinojosa"/>
    <x v="2"/>
    <s v="Tarjeta de crédito"/>
    <s v="Almejas"/>
    <s v="Sopas"/>
    <x v="29"/>
    <n v="60"/>
    <n v="8106"/>
  </r>
  <r>
    <n v="142"/>
    <x v="123"/>
    <n v="5633857209"/>
    <s v="Empresa Z"/>
    <s v="Quito"/>
    <s v="Pichincha"/>
    <s v="Ana del Valle Hinojosa"/>
    <x v="2"/>
    <s v="Tarjeta de crédito"/>
    <s v="Carne de cangrejo"/>
    <s v="Carne enlatada"/>
    <x v="27"/>
    <n v="39"/>
    <n v="10046.399999999998"/>
  </r>
  <r>
    <n v="143"/>
    <x v="124"/>
    <n v="9715216432"/>
    <s v="Empresa CC"/>
    <s v="Guayaquil"/>
    <s v="Guayas"/>
    <s v="José de Jesús Morales"/>
    <x v="0"/>
    <s v="Cheque"/>
    <s v="Cerveza"/>
    <s v="Bebidas"/>
    <x v="40"/>
    <n v="79"/>
    <n v="15484"/>
  </r>
  <r>
    <n v="144"/>
    <x v="84"/>
    <n v="2808433382"/>
    <s v="Empresa F"/>
    <s v="Ibarra"/>
    <s v="Imbabura"/>
    <s v="Luis Miguel Valdés Garza"/>
    <x v="2"/>
    <s v="Cheque"/>
    <s v="Chocolate"/>
    <s v="Dulces"/>
    <x v="30"/>
    <n v="44"/>
    <n v="7854"/>
  </r>
  <r>
    <n v="145"/>
    <x v="125"/>
    <n v="5585231955"/>
    <s v="Empresa D"/>
    <s v="Azogues"/>
    <s v="Canar"/>
    <s v="Andrés González Rico"/>
    <x v="1"/>
    <s v="Tarjeta de crédito"/>
    <s v="Mermelada de zarzamora"/>
    <s v="Mermeladas y jaleas"/>
    <x v="43"/>
    <n v="98"/>
    <n v="111132"/>
  </r>
  <r>
    <n v="146"/>
    <x v="126"/>
    <n v="4338999814"/>
    <s v="Empresa D"/>
    <s v="Azogues"/>
    <s v="Canar"/>
    <s v="Andrés González Rico"/>
    <x v="1"/>
    <s v="Tarjeta de crédito"/>
    <s v="Arroz de grano largo"/>
    <s v="Granos"/>
    <x v="44"/>
    <n v="61"/>
    <n v="5978"/>
  </r>
  <r>
    <n v="147"/>
    <x v="127"/>
    <n v="3475726472"/>
    <s v="Empresa H"/>
    <s v="Riobamba"/>
    <s v="Chimborazo"/>
    <s v="Nancy Gil de la Peña"/>
    <x v="2"/>
    <s v="Tarjeta de crédito"/>
    <s v="Mozzarella"/>
    <s v="Productos lácteos"/>
    <x v="39"/>
    <n v="30"/>
    <n v="14615.999999999998"/>
  </r>
  <r>
    <n v="148"/>
    <x v="128"/>
    <n v="9727843310"/>
    <s v="Empresa C"/>
    <s v="Machala"/>
    <s v="El Oro"/>
    <s v="Mayra Aguilar Sepúlveda"/>
    <x v="0"/>
    <s v="Efectivo"/>
    <s v="Jarabe"/>
    <s v="Condimentos"/>
    <x v="24"/>
    <n v="24"/>
    <n v="3360"/>
  </r>
  <r>
    <n v="149"/>
    <x v="129"/>
    <n v="536031236"/>
    <s v="Empresa C"/>
    <s v="Machala"/>
    <s v="El Oro"/>
    <s v="Mayra Aguilar Sepúlveda"/>
    <x v="0"/>
    <s v="Efectivo"/>
    <s v="Salsa curry"/>
    <s v="Salsas"/>
    <x v="26"/>
    <n v="28"/>
    <n v="15680"/>
  </r>
  <r>
    <n v="150"/>
    <x v="21"/>
    <n v="1875435757"/>
    <s v="Empresa J"/>
    <s v="Esmeraldas"/>
    <s v="Esmeraldas"/>
    <s v="Laura Gutiérrez Saenz"/>
    <x v="0"/>
    <s v="Tarjeta de crédito"/>
    <s v="Almendras"/>
    <s v="Frutas secas"/>
    <x v="24"/>
    <n v="74"/>
    <n v="10360"/>
  </r>
  <r>
    <n v="151"/>
    <x v="130"/>
    <n v="8711973073"/>
    <s v="Empresa J"/>
    <s v="Esmeraldas"/>
    <s v="Esmeraldas"/>
    <s v="Laura Gutiérrez Saenz"/>
    <x v="1"/>
    <s v="Empresa de embarque D"/>
    <s v="Ciruelas secas"/>
    <s v="Frutas secas"/>
    <x v="25"/>
    <n v="90"/>
    <n v="4410"/>
  </r>
  <r>
    <n v="152"/>
    <x v="126"/>
    <n v="1214228285"/>
    <s v="Empresa K"/>
    <s v="Quito"/>
    <s v="Pichincha"/>
    <s v="Ana del Valle Hinojosa"/>
    <x v="2"/>
    <s v="Empresa de embarque D"/>
    <s v="Salsa curry"/>
    <s v="Salsas"/>
    <x v="26"/>
    <n v="27"/>
    <n v="15120"/>
  </r>
  <r>
    <n v="153"/>
    <x v="131"/>
    <n v="3447948983"/>
    <s v="Empresa A"/>
    <s v="Ambato"/>
    <s v="Tungurahua"/>
    <s v="Nancy Gil de la Peña"/>
    <x v="2"/>
    <s v="Empresa de embarque D"/>
    <s v="Carne de cangrejo"/>
    <s v="Carne enlatada"/>
    <x v="27"/>
    <n v="71"/>
    <n v="18289.599999999999"/>
  </r>
  <r>
    <n v="154"/>
    <x v="132"/>
    <n v="8753770178"/>
    <s v="Empresa BB"/>
    <s v="Manta"/>
    <s v="Manabi"/>
    <s v="Ana del Valle Hinojosa"/>
    <x v="2"/>
    <s v="Tarjeta de crédito"/>
    <s v="Café"/>
    <s v="Bebidas"/>
    <x v="28"/>
    <n v="74"/>
    <n v="47656"/>
  </r>
  <r>
    <n v="155"/>
    <x v="55"/>
    <n v="493013693"/>
    <s v="Empresa I"/>
    <s v="Guayaquil"/>
    <s v="Guayas"/>
    <s v="Robert Zárate Carrillo"/>
    <x v="1"/>
    <s v="Cheque"/>
    <s v="Almejas"/>
    <s v="Sopas"/>
    <x v="29"/>
    <n v="76"/>
    <n v="10267.6"/>
  </r>
  <r>
    <n v="156"/>
    <x v="133"/>
    <n v="4097578178"/>
    <s v="Empresa F"/>
    <s v="Ibarra"/>
    <s v="Imbabura"/>
    <s v="Luis Miguel Valdés Garza"/>
    <x v="0"/>
    <s v="Tarjeta de crédito"/>
    <s v="Chocolate"/>
    <s v="Dulces"/>
    <x v="30"/>
    <n v="96"/>
    <n v="17136"/>
  </r>
  <r>
    <n v="157"/>
    <x v="134"/>
    <n v="9949307477"/>
    <s v="Empresa H"/>
    <s v="Riobamba"/>
    <s v="Chimborazo"/>
    <s v="Nancy Gil de la Peña"/>
    <x v="0"/>
    <s v="Cheque"/>
    <s v="Chocolate"/>
    <s v="Dulces"/>
    <x v="30"/>
    <n v="92"/>
    <n v="16422"/>
  </r>
  <r>
    <n v="158"/>
    <x v="135"/>
    <n v="2521830520"/>
    <s v="Empresa Y"/>
    <s v="Esmeraldas"/>
    <s v="Esmeraldas"/>
    <s v="Laura Gutiérrez Saenz"/>
    <x v="1"/>
    <s v="Efectivo"/>
    <s v="Condimento cajún"/>
    <s v="Condimentos"/>
    <x v="31"/>
    <n v="93"/>
    <n v="28644"/>
  </r>
  <r>
    <n v="159"/>
    <x v="34"/>
    <n v="4224616034"/>
    <s v="Empresa Z"/>
    <s v="Quito"/>
    <s v="Pichincha"/>
    <s v="Ana del Valle Hinojosa"/>
    <x v="2"/>
    <s v="Tarjeta de crédito"/>
    <s v="Jalea de fresa"/>
    <s v="Mermeladas y jaleas"/>
    <x v="32"/>
    <n v="18"/>
    <n v="6300"/>
  </r>
  <r>
    <n v="160"/>
    <x v="136"/>
    <n v="7169314881"/>
    <s v="Empresa CC"/>
    <s v="Guayaquil"/>
    <s v="Guayas"/>
    <s v="José de Jesús Morales"/>
    <x v="0"/>
    <s v="Cheque"/>
    <s v="Cóctel de frutas"/>
    <s v="Frutas y vegetales"/>
    <x v="33"/>
    <n v="98"/>
    <n v="53508"/>
  </r>
  <r>
    <n v="161"/>
    <x v="134"/>
    <n v="8313545064"/>
    <s v="Empresa F"/>
    <s v="Ibarra"/>
    <s v="Imbabura"/>
    <s v="Luis Miguel Valdés Garza"/>
    <x v="2"/>
    <s v="Cheque"/>
    <s v="Peras secas"/>
    <s v="Frutas secas"/>
    <x v="34"/>
    <n v="46"/>
    <n v="19320"/>
  </r>
  <r>
    <n v="162"/>
    <x v="137"/>
    <n v="5739621013"/>
    <s v="Empresa F"/>
    <s v="Ibarra"/>
    <s v="Imbabura"/>
    <s v="Luis Miguel Valdés Garza"/>
    <x v="2"/>
    <s v="Cheque"/>
    <s v="Manzanas secas"/>
    <s v="Frutas secas"/>
    <x v="35"/>
    <n v="14"/>
    <n v="10388"/>
  </r>
  <r>
    <n v="163"/>
    <x v="138"/>
    <n v="1789830506"/>
    <s v="Empresa D"/>
    <s v="Azogues"/>
    <s v="Canar"/>
    <s v="Andrés González Rico"/>
    <x v="3"/>
    <s v="Empresa de embarque D"/>
    <s v="Pasta penne"/>
    <s v="Pasta"/>
    <x v="36"/>
    <n v="85"/>
    <n v="45220"/>
  </r>
  <r>
    <n v="164"/>
    <x v="139"/>
    <n v="6281652174"/>
    <s v="Empresa C"/>
    <s v="Machala"/>
    <s v="El Oro"/>
    <s v="Mayra Aguilar Sepúlveda"/>
    <x v="3"/>
    <s v="Empresa de embarque D"/>
    <s v="Té verde"/>
    <s v="Bebidas"/>
    <x v="37"/>
    <n v="88"/>
    <n v="3683.68"/>
  </r>
  <r>
    <n v="165"/>
    <x v="140"/>
    <n v="8126696083"/>
    <s v="Empresa A"/>
    <s v="Ambato"/>
    <s v="Tungurahua"/>
    <s v="Nancy Gil de la Peña"/>
    <x v="3"/>
    <s v="Empresa de embarque D"/>
    <s v="Té verde"/>
    <s v="Bebidas"/>
    <x v="37"/>
    <n v="81"/>
    <n v="3390.66"/>
  </r>
  <r>
    <n v="166"/>
    <x v="92"/>
    <n v="2706456269"/>
    <s v="Empresa BB"/>
    <s v="Manta"/>
    <s v="Manabi"/>
    <s v="Ana del Valle Hinojosa"/>
    <x v="2"/>
    <s v="Tarjeta de crédito"/>
    <s v="Almejas"/>
    <s v="Sopas"/>
    <x v="29"/>
    <n v="33"/>
    <n v="4458.3"/>
  </r>
  <r>
    <n v="167"/>
    <x v="31"/>
    <n v="6159315697"/>
    <s v="Empresa BB"/>
    <s v="Manta"/>
    <s v="Manabi"/>
    <s v="Ana del Valle Hinojosa"/>
    <x v="2"/>
    <s v="Tarjeta de crédito"/>
    <s v="Carne de cangrejo"/>
    <s v="Carne enlatada"/>
    <x v="27"/>
    <n v="47"/>
    <n v="12107.199999999999"/>
  </r>
  <r>
    <n v="168"/>
    <x v="141"/>
    <n v="2749029538"/>
    <s v="Empresa I"/>
    <s v="Guayaquil"/>
    <s v="Guayas"/>
    <s v="Robert Zárate Carrillo"/>
    <x v="1"/>
    <s v="Cheque"/>
    <s v="Ravioli"/>
    <s v="Pasta"/>
    <x v="38"/>
    <n v="61"/>
    <n v="16653"/>
  </r>
  <r>
    <n v="169"/>
    <x v="39"/>
    <n v="9017454158"/>
    <s v="Empresa I"/>
    <s v="Guayaquil"/>
    <s v="Guayas"/>
    <s v="Robert Zárate Carrillo"/>
    <x v="1"/>
    <s v="Cheque"/>
    <s v="Mozzarella"/>
    <s v="Productos lácteos"/>
    <x v="39"/>
    <n v="27"/>
    <n v="13154.399999999998"/>
  </r>
  <r>
    <n v="170"/>
    <x v="142"/>
    <n v="445300235"/>
    <s v="Empresa F"/>
    <s v="Ibarra"/>
    <s v="Imbabura"/>
    <s v="Luis Miguel Valdés Garza"/>
    <x v="0"/>
    <s v="Tarjeta de crédito"/>
    <s v="Cerveza"/>
    <s v="Bebidas"/>
    <x v="40"/>
    <n v="84"/>
    <n v="16464"/>
  </r>
  <r>
    <n v="171"/>
    <x v="143"/>
    <n v="3498781571"/>
    <s v="Empresa H"/>
    <s v="Riobamba"/>
    <s v="Chimborazo"/>
    <s v="Nancy Gil de la Peña"/>
    <x v="0"/>
    <s v="Cheque"/>
    <s v="Salsa curry"/>
    <s v="Salsas"/>
    <x v="26"/>
    <n v="91"/>
    <n v="50960"/>
  </r>
  <r>
    <n v="172"/>
    <x v="144"/>
    <n v="376477229"/>
    <s v="Empresa H"/>
    <s v="Riobamba"/>
    <s v="Chimborazo"/>
    <s v="Nancy Gil de la Peña"/>
    <x v="0"/>
    <s v="Cheque"/>
    <s v="Galletas de chocolate"/>
    <s v="Productos horneados"/>
    <x v="41"/>
    <n v="36"/>
    <n v="4636.7999999999993"/>
  </r>
  <r>
    <n v="173"/>
    <x v="111"/>
    <n v="1790721708"/>
    <s v="Empresa Y"/>
    <s v="Esmeraldas"/>
    <s v="Esmeraldas"/>
    <s v="Laura Gutiérrez Saenz"/>
    <x v="1"/>
    <s v="Efectivo"/>
    <s v="Bolillos"/>
    <s v="Productos horneados"/>
    <x v="24"/>
    <n v="34"/>
    <n v="4760"/>
  </r>
  <r>
    <n v="174"/>
    <x v="73"/>
    <n v="434033868"/>
    <s v="Empresa Z"/>
    <s v="Quito"/>
    <s v="Pichincha"/>
    <s v="Ana del Valle Hinojosa"/>
    <x v="2"/>
    <s v="Tarjeta de crédito"/>
    <s v="Aceite de oliva"/>
    <s v="Aceite"/>
    <x v="42"/>
    <n v="81"/>
    <n v="24210.9"/>
  </r>
  <r>
    <n v="175"/>
    <x v="120"/>
    <n v="3247684317"/>
    <s v="Empresa Z"/>
    <s v="Quito"/>
    <s v="Pichincha"/>
    <s v="Ana del Valle Hinojosa"/>
    <x v="2"/>
    <s v="Tarjeta de crédito"/>
    <s v="Almejas"/>
    <s v="Sopas"/>
    <x v="29"/>
    <n v="25"/>
    <n v="3377.5"/>
  </r>
  <r>
    <n v="176"/>
    <x v="145"/>
    <n v="6492121203"/>
    <s v="Empresa Z"/>
    <s v="Quito"/>
    <s v="Pichincha"/>
    <s v="Ana del Valle Hinojosa"/>
    <x v="2"/>
    <s v="Tarjeta de crédito"/>
    <s v="Carne de cangrejo"/>
    <s v="Carne enlatada"/>
    <x v="27"/>
    <n v="12"/>
    <n v="3091.2"/>
  </r>
  <r>
    <n v="177"/>
    <x v="140"/>
    <n v="1661667624"/>
    <s v="Empresa CC"/>
    <s v="Guayaquil"/>
    <s v="Guayas"/>
    <s v="José de Jesús Morales"/>
    <x v="0"/>
    <s v="Cheque"/>
    <s v="Cerveza"/>
    <s v="Bebidas"/>
    <x v="40"/>
    <n v="23"/>
    <n v="4508"/>
  </r>
  <r>
    <n v="178"/>
    <x v="146"/>
    <n v="1127190015"/>
    <s v="Empresa F"/>
    <s v="Ibarra"/>
    <s v="Imbabura"/>
    <s v="Luis Miguel Valdés Garza"/>
    <x v="2"/>
    <s v="Cheque"/>
    <s v="Chocolate"/>
    <s v="Dulces"/>
    <x v="30"/>
    <n v="76"/>
    <n v="13566"/>
  </r>
  <r>
    <n v="179"/>
    <x v="16"/>
    <n v="7862399002"/>
    <s v="Empresa D"/>
    <s v="Azogues"/>
    <s v="Canar"/>
    <s v="Andrés González Rico"/>
    <x v="1"/>
    <s v="Tarjeta de crédito"/>
    <s v="Mermelada de zarzamora"/>
    <s v="Mermeladas y jaleas"/>
    <x v="43"/>
    <n v="55"/>
    <n v="62370"/>
  </r>
  <r>
    <n v="180"/>
    <x v="131"/>
    <n v="9568142105"/>
    <s v="Empresa D"/>
    <s v="Azogues"/>
    <s v="Canar"/>
    <s v="Andrés González Rico"/>
    <x v="1"/>
    <s v="Tarjeta de crédito"/>
    <s v="Arroz de grano largo"/>
    <s v="Granos"/>
    <x v="44"/>
    <n v="19"/>
    <n v="1862"/>
  </r>
  <r>
    <n v="181"/>
    <x v="147"/>
    <n v="1181634254"/>
    <s v="Empresa H"/>
    <s v="Riobamba"/>
    <s v="Chimborazo"/>
    <s v="Nancy Gil de la Peña"/>
    <x v="2"/>
    <s v="Tarjeta de crédito"/>
    <s v="Mozzarella"/>
    <s v="Productos lácteos"/>
    <x v="39"/>
    <n v="27"/>
    <n v="13154.399999999998"/>
  </r>
  <r>
    <n v="182"/>
    <x v="61"/>
    <n v="5404968765"/>
    <s v="Empresa C"/>
    <s v="Machala"/>
    <s v="El Oro"/>
    <s v="Mayra Aguilar Sepúlveda"/>
    <x v="0"/>
    <s v="Efectivo"/>
    <s v="Jarabe"/>
    <s v="Condimentos"/>
    <x v="24"/>
    <n v="99"/>
    <n v="13860"/>
  </r>
  <r>
    <n v="183"/>
    <x v="148"/>
    <n v="2431996009"/>
    <s v="Empresa C"/>
    <s v="Machala"/>
    <s v="El Oro"/>
    <s v="Mayra Aguilar Sepúlveda"/>
    <x v="0"/>
    <s v="Efectivo"/>
    <s v="Salsa curry"/>
    <s v="Salsas"/>
    <x v="26"/>
    <n v="10"/>
    <n v="5600"/>
  </r>
  <r>
    <n v="184"/>
    <x v="101"/>
    <n v="6373385557"/>
    <s v="Empresa J"/>
    <s v="Esmeraldas"/>
    <s v="Esmeraldas"/>
    <s v="Laura Gutiérrez Saenz"/>
    <x v="0"/>
    <s v="Tarjeta de crédito"/>
    <s v="Almendras"/>
    <s v="Frutas secas"/>
    <x v="24"/>
    <n v="80"/>
    <n v="11200"/>
  </r>
  <r>
    <n v="185"/>
    <x v="82"/>
    <n v="5411926783"/>
    <s v="Empresa J"/>
    <s v="Esmeraldas"/>
    <s v="Esmeraldas"/>
    <s v="Laura Gutiérrez Saenz"/>
    <x v="1"/>
    <s v="Empresa de embarque D"/>
    <s v="Ciruelas secas"/>
    <s v="Frutas secas"/>
    <x v="25"/>
    <n v="27"/>
    <n v="1323"/>
  </r>
  <r>
    <n v="186"/>
    <x v="149"/>
    <n v="8397590471"/>
    <s v="Empresa K"/>
    <s v="Quito"/>
    <s v="Pichincha"/>
    <s v="Ana del Valle Hinojosa"/>
    <x v="2"/>
    <s v="Empresa de embarque D"/>
    <s v="Salsa curry"/>
    <s v="Salsas"/>
    <x v="26"/>
    <n v="97"/>
    <n v="54320"/>
  </r>
  <r>
    <n v="187"/>
    <x v="150"/>
    <n v="5905399576"/>
    <s v="Empresa A"/>
    <s v="Ambato"/>
    <s v="Tungurahua"/>
    <s v="Nancy Gil de la Peña"/>
    <x v="2"/>
    <s v="Empresa de embarque D"/>
    <s v="Carne de cangrejo"/>
    <s v="Carne enlatada"/>
    <x v="27"/>
    <n v="42"/>
    <n v="10819.199999999999"/>
  </r>
  <r>
    <n v="188"/>
    <x v="93"/>
    <n v="168682758"/>
    <s v="Empresa BB"/>
    <s v="Manta"/>
    <s v="Manabi"/>
    <s v="Ana del Valle Hinojosa"/>
    <x v="2"/>
    <s v="Tarjeta de crédito"/>
    <s v="Café"/>
    <s v="Bebidas"/>
    <x v="28"/>
    <n v="24"/>
    <n v="15456"/>
  </r>
  <r>
    <n v="189"/>
    <x v="151"/>
    <n v="4992553897"/>
    <s v="Empresa I"/>
    <s v="Guayaquil"/>
    <s v="Guayas"/>
    <s v="Robert Zárate Carrillo"/>
    <x v="1"/>
    <s v="Cheque"/>
    <s v="Almejas"/>
    <s v="Sopas"/>
    <x v="29"/>
    <n v="90"/>
    <n v="12159"/>
  </r>
  <r>
    <n v="190"/>
    <x v="92"/>
    <n v="9609810399"/>
    <s v="Empresa F"/>
    <s v="Ibarra"/>
    <s v="Imbabura"/>
    <s v="Luis Miguel Valdés Garza"/>
    <x v="0"/>
    <s v="Tarjeta de crédito"/>
    <s v="Chocolate"/>
    <s v="Dulces"/>
    <x v="30"/>
    <n v="28"/>
    <n v="4998"/>
  </r>
  <r>
    <n v="191"/>
    <x v="10"/>
    <n v="1537469039"/>
    <s v="Empresa BB"/>
    <s v="Manta"/>
    <s v="Manabi"/>
    <s v="Ana del Valle Hinojosa"/>
    <x v="2"/>
    <s v="Cheque"/>
    <s v="Café"/>
    <s v="Bebidas"/>
    <x v="28"/>
    <n v="28"/>
    <n v="18032"/>
  </r>
  <r>
    <n v="192"/>
    <x v="136"/>
    <n v="2018401595"/>
    <s v="Empresa H"/>
    <s v="Riobamba"/>
    <s v="Chimborazo"/>
    <s v="Nancy Gil de la Peña"/>
    <x v="2"/>
    <s v="Cheque"/>
    <s v="Chocolate"/>
    <s v="Dulces"/>
    <x v="30"/>
    <n v="57"/>
    <n v="10174.5"/>
  </r>
  <r>
    <n v="193"/>
    <x v="152"/>
    <n v="1129934476"/>
    <s v="Empresa J"/>
    <s v="Esmeraldas"/>
    <s v="Esmeraldas"/>
    <s v="Laura Gutiérrez Saenz"/>
    <x v="0"/>
    <s v="Tarjeta de crédito"/>
    <s v="Té verde"/>
    <s v="Bebidas"/>
    <x v="37"/>
    <n v="23"/>
    <n v="962.78"/>
  </r>
  <r>
    <n v="194"/>
    <x v="115"/>
    <n v="878400496"/>
    <s v="Empresa G"/>
    <s v="Guaranda"/>
    <s v="Guaranda"/>
    <s v="Nancy Gil de la Peña"/>
    <x v="3"/>
    <s v="Empresa de embarque D"/>
    <s v="Café"/>
    <s v="Bebidas"/>
    <x v="28"/>
    <n v="86"/>
    <n v="55384"/>
  </r>
  <r>
    <n v="195"/>
    <x v="153"/>
    <n v="6271764467"/>
    <s v="Empresa J"/>
    <s v="Esmeraldas"/>
    <s v="Esmeraldas"/>
    <s v="Laura Gutiérrez Saenz"/>
    <x v="1"/>
    <s v="Empresa de embarque D"/>
    <s v="Jalea de fresa"/>
    <s v="Mermeladas y jaleas"/>
    <x v="32"/>
    <n v="47"/>
    <n v="16450"/>
  </r>
  <r>
    <n v="196"/>
    <x v="154"/>
    <n v="5954546839"/>
    <s v="Empresa J"/>
    <s v="Esmeraldas"/>
    <s v="Esmeraldas"/>
    <s v="Laura Gutiérrez Saenz"/>
    <x v="1"/>
    <s v="Empresa de embarque D"/>
    <s v="Condimento cajún"/>
    <s v="Condimentos"/>
    <x v="31"/>
    <n v="97"/>
    <n v="29876"/>
  </r>
  <r>
    <n v="197"/>
    <x v="155"/>
    <n v="1007419194"/>
    <s v="Empresa J"/>
    <s v="Esmeraldas"/>
    <s v="Esmeraldas"/>
    <s v="Laura Gutiérrez Saenz"/>
    <x v="1"/>
    <s v="Empresa de embarque D"/>
    <s v="Galletas de chocolate"/>
    <s v="Productos horneados"/>
    <x v="41"/>
    <n v="96"/>
    <n v="12364.8"/>
  </r>
  <r>
    <n v="198"/>
    <x v="81"/>
    <n v="2749506386"/>
    <s v="Empresa K"/>
    <s v="Quito"/>
    <s v="Pichincha"/>
    <s v="Ana del Valle Hinojosa"/>
    <x v="2"/>
    <s v="Empresa de embarque D"/>
    <s v="Ciruelas secas"/>
    <s v="Frutas secas"/>
    <x v="25"/>
    <n v="31"/>
    <n v="1519"/>
  </r>
  <r>
    <n v="199"/>
    <x v="156"/>
    <n v="3279160134"/>
    <s v="Empresa K"/>
    <s v="Quito"/>
    <s v="Pichincha"/>
    <s v="Ana del Valle Hinojosa"/>
    <x v="2"/>
    <s v="Empresa de embarque D"/>
    <s v="Té verde"/>
    <s v="Bebidas"/>
    <x v="37"/>
    <n v="52"/>
    <n v="2176.7199999999998"/>
  </r>
  <r>
    <n v="200"/>
    <x v="80"/>
    <n v="6789089883"/>
    <s v="Empresa A"/>
    <s v="Ambato"/>
    <s v="Tungurahua"/>
    <s v="Nancy Gil de la Peña"/>
    <x v="3"/>
    <s v="Empresa de embarque D"/>
    <s v="Té chai"/>
    <s v="Bebidas"/>
    <x v="45"/>
    <n v="91"/>
    <n v="22932"/>
  </r>
  <r>
    <n v="201"/>
    <x v="157"/>
    <n v="7775981065"/>
    <s v="Empresa A"/>
    <s v="Ambato"/>
    <s v="Tungurahua"/>
    <s v="Nancy Gil de la Peña"/>
    <x v="3"/>
    <s v="Empresa de embarque D"/>
    <s v="Café"/>
    <s v="Bebidas"/>
    <x v="28"/>
    <n v="14"/>
    <n v="9016"/>
  </r>
  <r>
    <n v="202"/>
    <x v="83"/>
    <n v="5357417804"/>
    <s v="Empresa A"/>
    <s v="Ambato"/>
    <s v="Tungurahua"/>
    <s v="Nancy Gil de la Peña"/>
    <x v="3"/>
    <s v="Empresa de embarque D"/>
    <s v="Té verde"/>
    <s v="Bebidas"/>
    <x v="37"/>
    <n v="44"/>
    <n v="1841.84"/>
  </r>
  <r>
    <n v="203"/>
    <x v="158"/>
    <n v="4986720222"/>
    <s v="Empresa BB"/>
    <s v="Manta"/>
    <s v="Manabi"/>
    <s v="Ana del Valle Hinojosa"/>
    <x v="2"/>
    <s v="Tarjeta de crédito"/>
    <s v="Almejas"/>
    <s v="Sopas"/>
    <x v="29"/>
    <n v="97"/>
    <n v="13104.699999999999"/>
  </r>
  <r>
    <n v="204"/>
    <x v="159"/>
    <n v="9264353300"/>
    <s v="Empresa BB"/>
    <s v="Manta"/>
    <s v="Manabi"/>
    <s v="Ana del Valle Hinojosa"/>
    <x v="2"/>
    <s v="Tarjeta de crédito"/>
    <s v="Carne de cangrejo"/>
    <s v="Carne enlatada"/>
    <x v="27"/>
    <n v="80"/>
    <n v="20607.999999999996"/>
  </r>
  <r>
    <n v="205"/>
    <x v="160"/>
    <n v="4507840734"/>
    <s v="Empresa I"/>
    <s v="Guayaquil"/>
    <s v="Guayas"/>
    <s v="Robert Zárate Carrillo"/>
    <x v="1"/>
    <s v="Cheque"/>
    <s v="Ravioli"/>
    <s v="Pasta"/>
    <x v="38"/>
    <n v="66"/>
    <n v="18018"/>
  </r>
  <r>
    <n v="206"/>
    <x v="161"/>
    <n v="1926814553"/>
    <s v="Empresa I"/>
    <s v="Guayaquil"/>
    <s v="Guayas"/>
    <s v="Robert Zárate Carrillo"/>
    <x v="1"/>
    <s v="Cheque"/>
    <s v="Mozzarella"/>
    <s v="Productos lácteos"/>
    <x v="39"/>
    <n v="32"/>
    <n v="15590.399999999998"/>
  </r>
  <r>
    <n v="207"/>
    <x v="162"/>
    <n v="1115906573"/>
    <s v="Empresa F"/>
    <s v="Ibarra"/>
    <s v="Imbabura"/>
    <s v="Luis Miguel Valdés Garza"/>
    <x v="0"/>
    <s v="Tarjeta de crédito"/>
    <s v="Cerveza"/>
    <s v="Bebidas"/>
    <x v="40"/>
    <n v="52"/>
    <n v="10192"/>
  </r>
  <r>
    <n v="208"/>
    <x v="155"/>
    <n v="4298972271"/>
    <s v="Empresa H"/>
    <s v="Riobamba"/>
    <s v="Chimborazo"/>
    <s v="Nancy Gil de la Peña"/>
    <x v="0"/>
    <s v="Cheque"/>
    <s v="Salsa curry"/>
    <s v="Salsas"/>
    <x v="26"/>
    <n v="78"/>
    <n v="43680"/>
  </r>
  <r>
    <n v="209"/>
    <x v="163"/>
    <n v="1419202858"/>
    <s v="Empresa H"/>
    <s v="Riobamba"/>
    <s v="Chimborazo"/>
    <s v="Nancy Gil de la Peña"/>
    <x v="0"/>
    <s v="Cheque"/>
    <s v="Galletas de chocolate"/>
    <s v="Productos horneados"/>
    <x v="41"/>
    <n v="54"/>
    <n v="6955.1999999999989"/>
  </r>
  <r>
    <n v="210"/>
    <x v="52"/>
    <n v="3516608759"/>
    <s v="Empresa Y"/>
    <s v="Esmeraldas"/>
    <s v="Esmeraldas"/>
    <s v="Laura Gutiérrez Saenz"/>
    <x v="1"/>
    <s v="Efectivo"/>
    <s v="Bolillos"/>
    <s v="Productos horneados"/>
    <x v="24"/>
    <n v="55"/>
    <n v="7700"/>
  </r>
  <r>
    <n v="211"/>
    <x v="164"/>
    <n v="8191358442"/>
    <s v="Empresa Z"/>
    <s v="Quito"/>
    <s v="Pichincha"/>
    <s v="Ana del Valle Hinojosa"/>
    <x v="2"/>
    <s v="Tarjeta de crédito"/>
    <s v="Aceite de oliva"/>
    <s v="Aceite"/>
    <x v="42"/>
    <n v="60"/>
    <n v="17934.000000000004"/>
  </r>
  <r>
    <n v="212"/>
    <x v="165"/>
    <n v="8451227157"/>
    <s v="Empresa Z"/>
    <s v="Quito"/>
    <s v="Pichincha"/>
    <s v="Ana del Valle Hinojosa"/>
    <x v="2"/>
    <s v="Tarjeta de crédito"/>
    <s v="Almejas"/>
    <s v="Sopas"/>
    <x v="29"/>
    <n v="19"/>
    <n v="2566.9"/>
  </r>
  <r>
    <n v="213"/>
    <x v="166"/>
    <n v="9847155245"/>
    <s v="Empresa Z"/>
    <s v="Quito"/>
    <s v="Pichincha"/>
    <s v="Ana del Valle Hinojosa"/>
    <x v="2"/>
    <s v="Tarjeta de crédito"/>
    <s v="Carne de cangrejo"/>
    <s v="Carne enlatada"/>
    <x v="27"/>
    <n v="66"/>
    <n v="17001.599999999999"/>
  </r>
  <r>
    <n v="214"/>
    <x v="167"/>
    <n v="5189485028"/>
    <s v="Empresa CC"/>
    <s v="Guayaquil"/>
    <s v="Guayas"/>
    <s v="José de Jesús Morales"/>
    <x v="0"/>
    <s v="Cheque"/>
    <s v="Cerveza"/>
    <s v="Bebidas"/>
    <x v="40"/>
    <n v="42"/>
    <n v="8232"/>
  </r>
  <r>
    <n v="215"/>
    <x v="13"/>
    <n v="2367569858"/>
    <s v="Empresa F"/>
    <s v="Ibarra"/>
    <s v="Imbabura"/>
    <s v="Luis Miguel Valdés Garza"/>
    <x v="2"/>
    <s v="Cheque"/>
    <s v="Chocolate"/>
    <s v="Dulces"/>
    <x v="30"/>
    <n v="72"/>
    <n v="12852"/>
  </r>
  <r>
    <n v="216"/>
    <x v="168"/>
    <n v="1241520334"/>
    <s v="Empresa D"/>
    <s v="Azogues"/>
    <s v="Canar"/>
    <s v="Andrés González Rico"/>
    <x v="1"/>
    <s v="Tarjeta de crédito"/>
    <s v="Mermelada de zarzamora"/>
    <s v="Mermeladas y jaleas"/>
    <x v="43"/>
    <n v="32"/>
    <n v="36288"/>
  </r>
  <r>
    <n v="217"/>
    <x v="169"/>
    <n v="6999895697"/>
    <s v="Empresa D"/>
    <s v="Azogues"/>
    <s v="Canar"/>
    <s v="Andrés González Rico"/>
    <x v="1"/>
    <s v="Tarjeta de crédito"/>
    <s v="Arroz de grano largo"/>
    <s v="Granos"/>
    <x v="44"/>
    <n v="76"/>
    <n v="7448"/>
  </r>
  <r>
    <n v="218"/>
    <x v="141"/>
    <n v="2931440223"/>
    <s v="Empresa J"/>
    <s v="Esmeraldas"/>
    <s v="Esmeraldas"/>
    <s v="Laura Gutiérrez Saenz"/>
    <x v="1"/>
    <s v="Empresa de embarque D"/>
    <s v="Galletas de chocolate"/>
    <s v="Productos horneados"/>
    <x v="41"/>
    <n v="83"/>
    <n v="10690.399999999998"/>
  </r>
  <r>
    <n v="219"/>
    <x v="25"/>
    <n v="6045555436"/>
    <s v="Empresa K"/>
    <s v="Quito"/>
    <s v="Pichincha"/>
    <s v="Ana del Valle Hinojosa"/>
    <x v="2"/>
    <s v="Empresa de embarque D"/>
    <s v="Ciruelas secas"/>
    <s v="Frutas secas"/>
    <x v="25"/>
    <n v="91"/>
    <n v="4459"/>
  </r>
  <r>
    <n v="220"/>
    <x v="57"/>
    <n v="4985084204"/>
    <s v="Empresa K"/>
    <s v="Quito"/>
    <s v="Pichincha"/>
    <s v="Ana del Valle Hinojosa"/>
    <x v="2"/>
    <s v="Empresa de embarque D"/>
    <s v="Té verde"/>
    <s v="Bebidas"/>
    <x v="37"/>
    <n v="64"/>
    <n v="2679.04"/>
  </r>
  <r>
    <n v="221"/>
    <x v="99"/>
    <n v="8950774476"/>
    <s v="Empresa A"/>
    <s v="Ambato"/>
    <s v="Tungurahua"/>
    <s v="Nancy Gil de la Peña"/>
    <x v="3"/>
    <s v="Empresa de embarque D"/>
    <s v="Té chai"/>
    <s v="Bebidas"/>
    <x v="45"/>
    <n v="58"/>
    <n v="14616"/>
  </r>
  <r>
    <n v="222"/>
    <x v="170"/>
    <n v="4091794218"/>
    <s v="Empresa A"/>
    <s v="Ambato"/>
    <s v="Tungurahua"/>
    <s v="Nancy Gil de la Peña"/>
    <x v="3"/>
    <s v="Empresa de embarque D"/>
    <s v="Café"/>
    <s v="Bebidas"/>
    <x v="28"/>
    <n v="97"/>
    <n v="62468"/>
  </r>
  <r>
    <n v="223"/>
    <x v="153"/>
    <n v="2789876793"/>
    <s v="Empresa A"/>
    <s v="Ambato"/>
    <s v="Tungurahua"/>
    <s v="Nancy Gil de la Peña"/>
    <x v="3"/>
    <s v="Empresa de embarque D"/>
    <s v="Té verde"/>
    <s v="Bebidas"/>
    <x v="37"/>
    <n v="14"/>
    <n v="586.04"/>
  </r>
  <r>
    <n v="224"/>
    <x v="171"/>
    <n v="4338385582"/>
    <s v="Empresa BB"/>
    <s v="Manta"/>
    <s v="Manabi"/>
    <s v="Ana del Valle Hinojosa"/>
    <x v="2"/>
    <s v="Tarjeta de crédito"/>
    <s v="Almejas"/>
    <s v="Sopas"/>
    <x v="29"/>
    <n v="68"/>
    <n v="9186.7999999999993"/>
  </r>
  <r>
    <n v="225"/>
    <x v="144"/>
    <n v="9159410824"/>
    <s v="Empresa BB"/>
    <s v="Manta"/>
    <s v="Manabi"/>
    <s v="Ana del Valle Hinojosa"/>
    <x v="2"/>
    <s v="Tarjeta de crédito"/>
    <s v="Carne de cangrejo"/>
    <s v="Carne enlatada"/>
    <x v="27"/>
    <n v="32"/>
    <n v="8243.1999999999989"/>
  </r>
  <r>
    <n v="226"/>
    <x v="172"/>
    <n v="6562657766"/>
    <s v="Empresa I"/>
    <s v="Guayaquil"/>
    <s v="Guayas"/>
    <s v="Robert Zárate Carrillo"/>
    <x v="1"/>
    <s v="Cheque"/>
    <s v="Ravioli"/>
    <s v="Pasta"/>
    <x v="38"/>
    <n v="48"/>
    <n v="13104"/>
  </r>
  <r>
    <n v="227"/>
    <x v="173"/>
    <n v="4160634865"/>
    <s v="Empresa I"/>
    <s v="Guayaquil"/>
    <s v="Guayas"/>
    <s v="Robert Zárate Carrillo"/>
    <x v="1"/>
    <s v="Cheque"/>
    <s v="Mozzarella"/>
    <s v="Productos lácteos"/>
    <x v="39"/>
    <n v="57"/>
    <n v="27770.399999999998"/>
  </r>
  <r>
    <n v="228"/>
    <x v="147"/>
    <n v="142416687"/>
    <s v="Empresa F"/>
    <s v="Ibarra"/>
    <s v="Imbabura"/>
    <s v="Luis Miguel Valdés Garza"/>
    <x v="0"/>
    <s v="Tarjeta de crédito"/>
    <s v="Cerveza"/>
    <s v="Bebidas"/>
    <x v="40"/>
    <n v="67"/>
    <n v="13132"/>
  </r>
  <r>
    <n v="229"/>
    <x v="108"/>
    <n v="6114991349"/>
    <s v="Empresa H"/>
    <s v="Riobamba"/>
    <s v="Chimborazo"/>
    <s v="Nancy Gil de la Peña"/>
    <x v="0"/>
    <s v="Cheque"/>
    <s v="Salsa curry"/>
    <s v="Salsas"/>
    <x v="26"/>
    <n v="48"/>
    <n v="26880"/>
  </r>
  <r>
    <n v="230"/>
    <x v="174"/>
    <n v="6472352060"/>
    <s v="Empresa H"/>
    <s v="Riobamba"/>
    <s v="Chimborazo"/>
    <s v="Nancy Gil de la Peña"/>
    <x v="0"/>
    <s v="Cheque"/>
    <s v="Galletas de chocolate"/>
    <s v="Productos horneados"/>
    <x v="41"/>
    <n v="77"/>
    <n v="9917.5999999999985"/>
  </r>
  <r>
    <n v="231"/>
    <x v="138"/>
    <n v="5399077795"/>
    <s v="Empresa Y"/>
    <s v="Esmeraldas"/>
    <s v="Esmeraldas"/>
    <s v="Laura Gutiérrez Saenz"/>
    <x v="1"/>
    <s v="Efectivo"/>
    <s v="Bolillos"/>
    <s v="Productos horneados"/>
    <x v="24"/>
    <n v="94"/>
    <n v="13160"/>
  </r>
  <r>
    <n v="232"/>
    <x v="175"/>
    <n v="6275645168"/>
    <s v="Empresa Z"/>
    <s v="Quito"/>
    <s v="Pichincha"/>
    <s v="Ana del Valle Hinojosa"/>
    <x v="2"/>
    <s v="Tarjeta de crédito"/>
    <s v="Aceite de oliva"/>
    <s v="Aceite"/>
    <x v="42"/>
    <n v="54"/>
    <n v="16140.600000000002"/>
  </r>
  <r>
    <n v="233"/>
    <x v="51"/>
    <n v="597069969"/>
    <s v="Empresa Z"/>
    <s v="Quito"/>
    <s v="Pichincha"/>
    <s v="Ana del Valle Hinojosa"/>
    <x v="2"/>
    <s v="Tarjeta de crédito"/>
    <s v="Almejas"/>
    <s v="Sopas"/>
    <x v="29"/>
    <n v="43"/>
    <n v="5809.3"/>
  </r>
  <r>
    <n v="234"/>
    <x v="58"/>
    <n v="1323169656"/>
    <s v="Empresa Z"/>
    <s v="Quito"/>
    <s v="Pichincha"/>
    <s v="Ana del Valle Hinojosa"/>
    <x v="2"/>
    <s v="Tarjeta de crédito"/>
    <s v="Carne de cangrejo"/>
    <s v="Carne enlatada"/>
    <x v="27"/>
    <n v="71"/>
    <n v="18289.599999999999"/>
  </r>
  <r>
    <n v="235"/>
    <x v="176"/>
    <n v="2932971142"/>
    <s v="Empresa CC"/>
    <s v="Guayaquil"/>
    <s v="Guayas"/>
    <s v="José de Jesús Morales"/>
    <x v="0"/>
    <s v="Cheque"/>
    <s v="Cerveza"/>
    <s v="Bebidas"/>
    <x v="40"/>
    <n v="50"/>
    <n v="9800"/>
  </r>
  <r>
    <n v="236"/>
    <x v="177"/>
    <n v="3634141900"/>
    <s v="Empresa F"/>
    <s v="Ibarra"/>
    <s v="Imbabura"/>
    <s v="Luis Miguel Valdés Garza"/>
    <x v="2"/>
    <s v="Cheque"/>
    <s v="Chocolate"/>
    <s v="Dulces"/>
    <x v="30"/>
    <n v="96"/>
    <n v="17136"/>
  </r>
  <r>
    <n v="237"/>
    <x v="161"/>
    <n v="8872627168"/>
    <s v="Empresa D"/>
    <s v="Azogues"/>
    <s v="Canar"/>
    <s v="Andrés González Rico"/>
    <x v="1"/>
    <s v="Tarjeta de crédito"/>
    <s v="Mermelada de zarzamora"/>
    <s v="Mermeladas y jaleas"/>
    <x v="43"/>
    <n v="54"/>
    <n v="61236"/>
  </r>
  <r>
    <n v="238"/>
    <x v="178"/>
    <n v="5571010485"/>
    <s v="Empresa D"/>
    <s v="Azogues"/>
    <s v="Canar"/>
    <s v="Andrés González Rico"/>
    <x v="1"/>
    <s v="Tarjeta de crédito"/>
    <s v="Arroz de grano largo"/>
    <s v="Granos"/>
    <x v="44"/>
    <n v="39"/>
    <n v="3822"/>
  </r>
  <r>
    <n v="239"/>
    <x v="66"/>
    <n v="7703467924"/>
    <s v="Empresa H"/>
    <s v="Riobamba"/>
    <s v="Chimborazo"/>
    <s v="Nancy Gil de la Peña"/>
    <x v="2"/>
    <s v="Tarjeta de crédito"/>
    <s v="Mozzarella"/>
    <s v="Productos lácteos"/>
    <x v="39"/>
    <n v="63"/>
    <n v="30693.599999999995"/>
  </r>
  <r>
    <n v="240"/>
    <x v="143"/>
    <n v="7747820326"/>
    <s v="Empresa C"/>
    <s v="Machala"/>
    <s v="El Oro"/>
    <s v="Mayra Aguilar Sepúlveda"/>
    <x v="0"/>
    <s v="Efectivo"/>
    <s v="Jarabe"/>
    <s v="Condimentos"/>
    <x v="24"/>
    <n v="71"/>
    <n v="9940"/>
  </r>
  <r>
    <n v="241"/>
    <x v="179"/>
    <n v="5769101754"/>
    <s v="Empresa C"/>
    <s v="Machala"/>
    <s v="El Oro"/>
    <s v="Mayra Aguilar Sepúlveda"/>
    <x v="0"/>
    <s v="Efectivo"/>
    <s v="Salsa curry"/>
    <s v="Salsas"/>
    <x v="26"/>
    <n v="88"/>
    <n v="49280"/>
  </r>
  <r>
    <n v="242"/>
    <x v="81"/>
    <n v="7427615835"/>
    <s v="Empresa J"/>
    <s v="Esmeraldas"/>
    <s v="Esmeraldas"/>
    <s v="Laura Gutiérrez Saenz"/>
    <x v="0"/>
    <s v="Tarjeta de crédito"/>
    <s v="Almendras"/>
    <s v="Frutas secas"/>
    <x v="24"/>
    <n v="59"/>
    <n v="8260"/>
  </r>
  <r>
    <n v="243"/>
    <x v="180"/>
    <n v="242336558"/>
    <s v="Empresa F"/>
    <s v="Ibarra"/>
    <s v="Imbabura"/>
    <s v="Luis Miguel Valdés Garza"/>
    <x v="0"/>
    <s v="Tarjeta de crédito"/>
    <s v="Salsa curry"/>
    <s v="Salsas"/>
    <x v="26"/>
    <n v="94"/>
    <n v="52640"/>
  </r>
  <r>
    <n v="244"/>
    <x v="139"/>
    <n v="2520819737"/>
    <s v="Empresa BB"/>
    <s v="Manta"/>
    <s v="Manabi"/>
    <s v="Ana del Valle Hinojosa"/>
    <x v="2"/>
    <s v="Cheque"/>
    <s v="Café"/>
    <s v="Bebidas"/>
    <x v="28"/>
    <n v="86"/>
    <n v="55384"/>
  </r>
  <r>
    <n v="245"/>
    <x v="181"/>
    <n v="8828389188"/>
    <s v="Empresa H"/>
    <s v="Riobamba"/>
    <s v="Chimborazo"/>
    <s v="Nancy Gil de la Peña"/>
    <x v="2"/>
    <s v="Cheque"/>
    <s v="Chocolate"/>
    <s v="Dulces"/>
    <x v="30"/>
    <n v="61"/>
    <n v="10888.5"/>
  </r>
  <r>
    <n v="246"/>
    <x v="182"/>
    <n v="164422904"/>
    <s v="Empresa J"/>
    <s v="Esmeraldas"/>
    <s v="Esmeraldas"/>
    <s v="Laura Gutiérrez Saenz"/>
    <x v="0"/>
    <s v="Tarjeta de crédito"/>
    <s v="Té verde"/>
    <s v="Bebidas"/>
    <x v="37"/>
    <n v="32"/>
    <n v="1339.52"/>
  </r>
  <r>
    <n v="247"/>
    <x v="32"/>
    <n v="7991995786"/>
    <s v="Empresa G"/>
    <s v="Guaranda"/>
    <s v="Guaranda"/>
    <s v="Nancy Gil de la Peña"/>
    <x v="3"/>
    <s v="Empresa de embarque D"/>
    <s v="Café"/>
    <s v="Bebidas"/>
    <x v="28"/>
    <n v="62"/>
    <n v="39928"/>
  </r>
  <r>
    <n v="248"/>
    <x v="183"/>
    <n v="4149364306"/>
    <s v="Empresa J"/>
    <s v="Esmeraldas"/>
    <s v="Esmeraldas"/>
    <s v="Laura Gutiérrez Saenz"/>
    <x v="1"/>
    <s v="Empresa de embarque D"/>
    <s v="Jalea de fresa"/>
    <s v="Mermeladas y jaleas"/>
    <x v="32"/>
    <n v="60"/>
    <n v="21000"/>
  </r>
  <r>
    <n v="249"/>
    <x v="97"/>
    <n v="6397472642"/>
    <s v="Empresa J"/>
    <s v="Esmeraldas"/>
    <s v="Esmeraldas"/>
    <s v="Laura Gutiérrez Saenz"/>
    <x v="1"/>
    <s v="Empresa de embarque D"/>
    <s v="Condimento cajún"/>
    <s v="Condimentos"/>
    <x v="31"/>
    <n v="51"/>
    <n v="15708"/>
  </r>
  <r>
    <n v="250"/>
    <x v="73"/>
    <n v="1168651383"/>
    <s v="Empresa J"/>
    <s v="Esmeraldas"/>
    <s v="Esmeraldas"/>
    <s v="Laura Gutiérrez Saenz"/>
    <x v="1"/>
    <s v="Empresa de embarque D"/>
    <s v="Galletas de chocolate"/>
    <s v="Productos horneados"/>
    <x v="41"/>
    <n v="49"/>
    <n v="6311.1999999999989"/>
  </r>
  <r>
    <n v="251"/>
    <x v="184"/>
    <n v="1309311215"/>
    <s v="Empresa K"/>
    <s v="Quito"/>
    <s v="Pichincha"/>
    <s v="Ana del Valle Hinojosa"/>
    <x v="2"/>
    <s v="Empresa de embarque D"/>
    <s v="Ciruelas secas"/>
    <s v="Frutas secas"/>
    <x v="25"/>
    <n v="20"/>
    <n v="980"/>
  </r>
  <r>
    <n v="252"/>
    <x v="185"/>
    <n v="4552083877"/>
    <s v="Empresa K"/>
    <s v="Quito"/>
    <s v="Pichincha"/>
    <s v="Ana del Valle Hinojosa"/>
    <x v="2"/>
    <s v="Empresa de embarque D"/>
    <s v="Té verde"/>
    <s v="Bebidas"/>
    <x v="37"/>
    <n v="49"/>
    <n v="2051.14"/>
  </r>
  <r>
    <n v="253"/>
    <x v="186"/>
    <n v="6119453494"/>
    <s v="Empresa A"/>
    <s v="Ambato"/>
    <s v="Tungurahua"/>
    <s v="Nancy Gil de la Peña"/>
    <x v="3"/>
    <s v="Empresa de embarque D"/>
    <s v="Té chai"/>
    <s v="Bebidas"/>
    <x v="45"/>
    <n v="22"/>
    <n v="5544"/>
  </r>
  <r>
    <n v="254"/>
    <x v="55"/>
    <n v="8815781249"/>
    <s v="Empresa A"/>
    <s v="Ambato"/>
    <s v="Tungurahua"/>
    <s v="Nancy Gil de la Peña"/>
    <x v="3"/>
    <s v="Empresa de embarque D"/>
    <s v="Café"/>
    <s v="Bebidas"/>
    <x v="28"/>
    <n v="73"/>
    <n v="47012"/>
  </r>
  <r>
    <n v="255"/>
    <x v="180"/>
    <n v="5308869510"/>
    <s v="Empresa A"/>
    <s v="Ambato"/>
    <s v="Tungurahua"/>
    <s v="Nancy Gil de la Peña"/>
    <x v="3"/>
    <s v="Empresa de embarque D"/>
    <s v="Té verde"/>
    <s v="Bebidas"/>
    <x v="37"/>
    <n v="85"/>
    <n v="3558.1"/>
  </r>
  <r>
    <n v="256"/>
    <x v="187"/>
    <n v="9623390930"/>
    <s v="Empresa BB"/>
    <s v="Manta"/>
    <s v="Manabi"/>
    <s v="Ana del Valle Hinojosa"/>
    <x v="2"/>
    <s v="Tarjeta de crédito"/>
    <s v="Almejas"/>
    <s v="Sopas"/>
    <x v="29"/>
    <n v="44"/>
    <n v="5944.4"/>
  </r>
  <r>
    <n v="257"/>
    <x v="179"/>
    <n v="9925453816"/>
    <s v="Empresa BB"/>
    <s v="Manta"/>
    <s v="Manabi"/>
    <s v="Ana del Valle Hinojosa"/>
    <x v="2"/>
    <s v="Tarjeta de crédito"/>
    <s v="Carne de cangrejo"/>
    <s v="Carne enlatada"/>
    <x v="27"/>
    <n v="24"/>
    <n v="6182.4"/>
  </r>
  <r>
    <n v="258"/>
    <x v="172"/>
    <n v="6948053333"/>
    <s v="Empresa I"/>
    <s v="Guayaquil"/>
    <s v="Guayas"/>
    <s v="Robert Zárate Carrillo"/>
    <x v="1"/>
    <s v="Cheque"/>
    <s v="Ravioli"/>
    <s v="Pasta"/>
    <x v="38"/>
    <n v="64"/>
    <n v="17472"/>
  </r>
  <r>
    <n v="259"/>
    <x v="150"/>
    <n v="2060963898"/>
    <s v="Empresa I"/>
    <s v="Guayaquil"/>
    <s v="Guayas"/>
    <s v="Robert Zárate Carrillo"/>
    <x v="1"/>
    <s v="Cheque"/>
    <s v="Mozzarella"/>
    <s v="Productos lácteos"/>
    <x v="39"/>
    <n v="70"/>
    <n v="34103.999999999993"/>
  </r>
  <r>
    <n v="260"/>
    <x v="176"/>
    <n v="2582781913"/>
    <s v="Empresa F"/>
    <s v="Ibarra"/>
    <s v="Imbabura"/>
    <s v="Luis Miguel Valdés Garza"/>
    <x v="0"/>
    <s v="Tarjeta de crédito"/>
    <s v="Cerveza"/>
    <s v="Bebidas"/>
    <x v="40"/>
    <n v="98"/>
    <n v="19208"/>
  </r>
  <r>
    <n v="261"/>
    <x v="26"/>
    <n v="2732649952"/>
    <s v="Empresa H"/>
    <s v="Riobamba"/>
    <s v="Chimborazo"/>
    <s v="Nancy Gil de la Peña"/>
    <x v="0"/>
    <s v="Cheque"/>
    <s v="Salsa curry"/>
    <s v="Salsas"/>
    <x v="26"/>
    <n v="48"/>
    <n v="26880"/>
  </r>
  <r>
    <n v="262"/>
    <x v="142"/>
    <n v="4179453952"/>
    <s v="Empresa H"/>
    <s v="Riobamba"/>
    <s v="Chimborazo"/>
    <s v="Nancy Gil de la Peña"/>
    <x v="0"/>
    <s v="Cheque"/>
    <s v="Galletas de chocolate"/>
    <s v="Productos horneados"/>
    <x v="41"/>
    <n v="100"/>
    <n v="12879.999999999998"/>
  </r>
  <r>
    <n v="263"/>
    <x v="188"/>
    <n v="4339665341"/>
    <s v="Empresa Y"/>
    <s v="Esmeraldas"/>
    <s v="Esmeraldas"/>
    <s v="Laura Gutiérrez Saenz"/>
    <x v="1"/>
    <s v="Efectivo"/>
    <s v="Bolillos"/>
    <s v="Productos horneados"/>
    <x v="24"/>
    <n v="90"/>
    <n v="12600"/>
  </r>
  <r>
    <n v="264"/>
    <x v="189"/>
    <n v="9193900326"/>
    <s v="Empresa Z"/>
    <s v="Quito"/>
    <s v="Pichincha"/>
    <s v="Ana del Valle Hinojosa"/>
    <x v="2"/>
    <s v="Tarjeta de crédito"/>
    <s v="Aceite de oliva"/>
    <s v="Aceite"/>
    <x v="42"/>
    <n v="49"/>
    <n v="14646.100000000002"/>
  </r>
  <r>
    <n v="265"/>
    <x v="96"/>
    <n v="7474169055"/>
    <s v="Empresa Z"/>
    <s v="Quito"/>
    <s v="Pichincha"/>
    <s v="Ana del Valle Hinojosa"/>
    <x v="2"/>
    <s v="Tarjeta de crédito"/>
    <s v="Almejas"/>
    <s v="Sopas"/>
    <x v="29"/>
    <n v="71"/>
    <n v="9592.1"/>
  </r>
  <r>
    <n v="266"/>
    <x v="59"/>
    <n v="9750138179"/>
    <s v="Empresa Z"/>
    <s v="Quito"/>
    <s v="Pichincha"/>
    <s v="Ana del Valle Hinojosa"/>
    <x v="2"/>
    <s v="Tarjeta de crédito"/>
    <s v="Carne de cangrejo"/>
    <s v="Carne enlatada"/>
    <x v="27"/>
    <n v="10"/>
    <n v="2575.9999999999995"/>
  </r>
  <r>
    <n v="267"/>
    <x v="190"/>
    <n v="2294414293"/>
    <s v="Empresa CC"/>
    <s v="Guayaquil"/>
    <s v="Guayas"/>
    <s v="José de Jesús Morales"/>
    <x v="0"/>
    <s v="Cheque"/>
    <s v="Cerveza"/>
    <s v="Bebidas"/>
    <x v="40"/>
    <n v="78"/>
    <n v="15288"/>
  </r>
  <r>
    <n v="268"/>
    <x v="191"/>
    <n v="776426288"/>
    <s v="Empresa F"/>
    <s v="Ibarra"/>
    <s v="Imbabura"/>
    <s v="Luis Miguel Valdés Garza"/>
    <x v="2"/>
    <s v="Cheque"/>
    <s v="Chocolate"/>
    <s v="Dulces"/>
    <x v="30"/>
    <n v="44"/>
    <n v="7854"/>
  </r>
  <r>
    <n v="269"/>
    <x v="158"/>
    <n v="1245231958"/>
    <s v="Empresa D"/>
    <s v="Azogues"/>
    <s v="Canar"/>
    <s v="Andrés González Rico"/>
    <x v="1"/>
    <s v="Tarjeta de crédito"/>
    <s v="Mermelada de zarzamora"/>
    <s v="Mermeladas y jaleas"/>
    <x v="43"/>
    <n v="82"/>
    <n v="92988"/>
  </r>
  <r>
    <n v="270"/>
    <x v="192"/>
    <n v="2050724971"/>
    <s v="Empresa D"/>
    <s v="Azogues"/>
    <s v="Canar"/>
    <s v="Andrés González Rico"/>
    <x v="1"/>
    <s v="Tarjeta de crédito"/>
    <s v="Arroz de grano largo"/>
    <s v="Granos"/>
    <x v="44"/>
    <n v="29"/>
    <n v="2842"/>
  </r>
  <r>
    <n v="271"/>
    <x v="193"/>
    <n v="9478104719"/>
    <s v="Empresa H"/>
    <s v="Riobamba"/>
    <s v="Chimborazo"/>
    <s v="Nancy Gil de la Peña"/>
    <x v="2"/>
    <s v="Tarjeta de crédito"/>
    <s v="Mozzarella"/>
    <s v="Productos lácteos"/>
    <x v="39"/>
    <n v="93"/>
    <n v="45309.599999999991"/>
  </r>
  <r>
    <n v="272"/>
    <x v="160"/>
    <n v="7620759943"/>
    <s v="Empresa C"/>
    <s v="Machala"/>
    <s v="El Oro"/>
    <s v="Mayra Aguilar Sepúlveda"/>
    <x v="0"/>
    <s v="Efectivo"/>
    <s v="Jarabe"/>
    <s v="Condimentos"/>
    <x v="24"/>
    <n v="11"/>
    <n v="1540"/>
  </r>
  <r>
    <n v="273"/>
    <x v="194"/>
    <n v="9345003575"/>
    <s v="Empresa C"/>
    <s v="Machala"/>
    <s v="El Oro"/>
    <s v="Mayra Aguilar Sepúlveda"/>
    <x v="0"/>
    <s v="Efectivo"/>
    <s v="Salsa curry"/>
    <s v="Salsas"/>
    <x v="26"/>
    <n v="91"/>
    <n v="50960"/>
  </r>
  <r>
    <n v="274"/>
    <x v="47"/>
    <n v="5988072690"/>
    <s v="Empresa J"/>
    <s v="Esmeraldas"/>
    <s v="Esmeraldas"/>
    <s v="Laura Gutiérrez Saenz"/>
    <x v="0"/>
    <s v="Tarjeta de crédito"/>
    <s v="Almendras"/>
    <s v="Frutas secas"/>
    <x v="24"/>
    <n v="12"/>
    <n v="1680"/>
  </r>
  <r>
    <n v="275"/>
    <x v="195"/>
    <n v="5113488625"/>
    <s v="Empresa J"/>
    <s v="Esmeraldas"/>
    <s v="Esmeraldas"/>
    <s v="Laura Gutiérrez Saenz"/>
    <x v="1"/>
    <s v="Empresa de embarque D"/>
    <s v="Ciruelas secas"/>
    <s v="Frutas secas"/>
    <x v="25"/>
    <n v="78"/>
    <n v="3822"/>
  </r>
  <r>
    <n v="276"/>
    <x v="196"/>
    <n v="8021429259"/>
    <s v="Empresa K"/>
    <s v="Quito"/>
    <s v="Pichincha"/>
    <s v="Ana del Valle Hinojosa"/>
    <x v="2"/>
    <s v="Empresa de embarque D"/>
    <s v="Salsa curry"/>
    <s v="Salsas"/>
    <x v="26"/>
    <n v="60"/>
    <n v="33600"/>
  </r>
  <r>
    <n v="277"/>
    <x v="186"/>
    <n v="680211800"/>
    <s v="Empresa A"/>
    <s v="Ambato"/>
    <s v="Tungurahua"/>
    <s v="Nancy Gil de la Peña"/>
    <x v="2"/>
    <s v="Empresa de embarque D"/>
    <s v="Carne de cangrejo"/>
    <s v="Carne enlatada"/>
    <x v="27"/>
    <n v="23"/>
    <n v="5924.7999999999993"/>
  </r>
  <r>
    <n v="278"/>
    <x v="107"/>
    <n v="2635806056"/>
    <s v="Empresa BB"/>
    <s v="Manta"/>
    <s v="Manabi"/>
    <s v="Ana del Valle Hinojosa"/>
    <x v="2"/>
    <s v="Tarjeta de crédito"/>
    <s v="Café"/>
    <s v="Bebidas"/>
    <x v="28"/>
    <n v="34"/>
    <n v="21896"/>
  </r>
  <r>
    <n v="279"/>
    <x v="96"/>
    <n v="3338515953"/>
    <s v="Empresa I"/>
    <s v="Guayaquil"/>
    <s v="Guayas"/>
    <s v="Robert Zárate Carrillo"/>
    <x v="1"/>
    <s v="Cheque"/>
    <s v="Almejas"/>
    <s v="Sopas"/>
    <x v="29"/>
    <n v="89"/>
    <n v="12023.9"/>
  </r>
  <r>
    <n v="280"/>
    <x v="88"/>
    <n v="3075758565"/>
    <s v="Empresa F"/>
    <s v="Ibarra"/>
    <s v="Imbabura"/>
    <s v="Luis Miguel Valdés Garza"/>
    <x v="0"/>
    <s v="Tarjeta de crédito"/>
    <s v="Chocolate"/>
    <s v="Dulces"/>
    <x v="30"/>
    <n v="82"/>
    <n v="14637"/>
  </r>
  <r>
    <n v="281"/>
    <x v="92"/>
    <n v="5383209032"/>
    <s v="Empresa H"/>
    <s v="Riobamba"/>
    <s v="Chimborazo"/>
    <s v="Nancy Gil de la Peña"/>
    <x v="0"/>
    <s v="Cheque"/>
    <s v="Chocolate"/>
    <s v="Dulces"/>
    <x v="30"/>
    <n v="43"/>
    <n v="7675.5"/>
  </r>
  <r>
    <n v="282"/>
    <x v="1"/>
    <n v="9635546425"/>
    <s v="Empresa J"/>
    <s v="Esmeraldas"/>
    <s v="Esmeraldas"/>
    <s v="Laura Gutiérrez Saenz"/>
    <x v="1"/>
    <s v="Empresa de embarque D"/>
    <s v="Condimento cajún"/>
    <s v="Condimentos"/>
    <x v="31"/>
    <n v="96"/>
    <n v="29568"/>
  </r>
  <r>
    <n v="283"/>
    <x v="96"/>
    <n v="3501364052"/>
    <s v="Empresa J"/>
    <s v="Esmeraldas"/>
    <s v="Esmeraldas"/>
    <s v="Laura Gutiérrez Saenz"/>
    <x v="1"/>
    <s v="Empresa de embarque D"/>
    <s v="Galletas de chocolate"/>
    <s v="Productos horneados"/>
    <x v="41"/>
    <n v="34"/>
    <n v="4379.2"/>
  </r>
  <r>
    <n v="284"/>
    <x v="45"/>
    <n v="2226825043"/>
    <s v="Empresa K"/>
    <s v="Quito"/>
    <s v="Pichincha"/>
    <s v="Ana del Valle Hinojosa"/>
    <x v="2"/>
    <s v="Empresa de embarque D"/>
    <s v="Ciruelas secas"/>
    <s v="Frutas secas"/>
    <x v="25"/>
    <n v="42"/>
    <n v="2058"/>
  </r>
  <r>
    <n v="285"/>
    <x v="197"/>
    <n v="6321323029"/>
    <s v="Empresa K"/>
    <s v="Quito"/>
    <s v="Pichincha"/>
    <s v="Ana del Valle Hinojosa"/>
    <x v="2"/>
    <s v="Empresa de embarque D"/>
    <s v="Té verde"/>
    <s v="Bebidas"/>
    <x v="37"/>
    <n v="100"/>
    <n v="4186"/>
  </r>
  <r>
    <n v="286"/>
    <x v="172"/>
    <n v="3775524143"/>
    <s v="Empresa A"/>
    <s v="Ambato"/>
    <s v="Tungurahua"/>
    <s v="Nancy Gil de la Peña"/>
    <x v="3"/>
    <s v="Empresa de embarque D"/>
    <s v="Té chai"/>
    <s v="Bebidas"/>
    <x v="45"/>
    <n v="42"/>
    <n v="10584"/>
  </r>
  <r>
    <n v="287"/>
    <x v="198"/>
    <n v="9543041808"/>
    <s v="Empresa A"/>
    <s v="Ambato"/>
    <s v="Tungurahua"/>
    <s v="Nancy Gil de la Peña"/>
    <x v="3"/>
    <s v="Empresa de embarque D"/>
    <s v="Café"/>
    <s v="Bebidas"/>
    <x v="28"/>
    <n v="16"/>
    <n v="10304"/>
  </r>
  <r>
    <n v="288"/>
    <x v="199"/>
    <n v="547647770"/>
    <s v="Empresa A"/>
    <s v="Ambato"/>
    <s v="Tungurahua"/>
    <s v="Nancy Gil de la Peña"/>
    <x v="3"/>
    <s v="Empresa de embarque D"/>
    <s v="Té verde"/>
    <s v="Bebidas"/>
    <x v="37"/>
    <n v="22"/>
    <n v="920.92"/>
  </r>
  <r>
    <n v="289"/>
    <x v="88"/>
    <n v="7120228607"/>
    <s v="Empresa BB"/>
    <s v="Manta"/>
    <s v="Manabi"/>
    <s v="Ana del Valle Hinojosa"/>
    <x v="2"/>
    <s v="Tarjeta de crédito"/>
    <s v="Almejas"/>
    <s v="Sopas"/>
    <x v="29"/>
    <n v="46"/>
    <n v="6214.5999999999995"/>
  </r>
  <r>
    <n v="290"/>
    <x v="105"/>
    <n v="5554565190"/>
    <s v="Empresa BB"/>
    <s v="Manta"/>
    <s v="Manabi"/>
    <s v="Ana del Valle Hinojosa"/>
    <x v="2"/>
    <s v="Tarjeta de crédito"/>
    <s v="Carne de cangrejo"/>
    <s v="Carne enlatada"/>
    <x v="27"/>
    <n v="100"/>
    <n v="25759.999999999996"/>
  </r>
  <r>
    <n v="291"/>
    <x v="77"/>
    <n v="1644848787"/>
    <s v="Empresa I"/>
    <s v="Guayaquil"/>
    <s v="Guayas"/>
    <s v="Robert Zárate Carrillo"/>
    <x v="1"/>
    <s v="Cheque"/>
    <s v="Ravioli"/>
    <s v="Pasta"/>
    <x v="38"/>
    <n v="87"/>
    <n v="23751"/>
  </r>
  <r>
    <n v="292"/>
    <x v="83"/>
    <n v="8273786477"/>
    <s v="Empresa I"/>
    <s v="Guayaquil"/>
    <s v="Guayas"/>
    <s v="Robert Zárate Carrillo"/>
    <x v="1"/>
    <s v="Cheque"/>
    <s v="Mozzarella"/>
    <s v="Productos lácteos"/>
    <x v="39"/>
    <n v="58"/>
    <n v="28257.599999999995"/>
  </r>
  <r>
    <n v="293"/>
    <x v="200"/>
    <n v="1397118248"/>
    <s v="Empresa F"/>
    <s v="Ibarra"/>
    <s v="Imbabura"/>
    <s v="Luis Miguel Valdés Garza"/>
    <x v="0"/>
    <s v="Tarjeta de crédito"/>
    <s v="Cerveza"/>
    <s v="Bebidas"/>
    <x v="40"/>
    <n v="85"/>
    <n v="16660"/>
  </r>
  <r>
    <n v="294"/>
    <x v="148"/>
    <n v="4468604310"/>
    <s v="Empresa H"/>
    <s v="Riobamba"/>
    <s v="Chimborazo"/>
    <s v="Nancy Gil de la Peña"/>
    <x v="0"/>
    <s v="Cheque"/>
    <s v="Salsa curry"/>
    <s v="Salsas"/>
    <x v="26"/>
    <n v="28"/>
    <n v="15680"/>
  </r>
  <r>
    <n v="295"/>
    <x v="49"/>
    <n v="457458721"/>
    <s v="Empresa H"/>
    <s v="Riobamba"/>
    <s v="Chimborazo"/>
    <s v="Nancy Gil de la Peña"/>
    <x v="0"/>
    <s v="Cheque"/>
    <s v="Galletas de chocolate"/>
    <s v="Productos horneados"/>
    <x v="41"/>
    <n v="19"/>
    <n v="2447.1999999999998"/>
  </r>
  <r>
    <n v="296"/>
    <x v="201"/>
    <n v="7184663808"/>
    <s v="Empresa Y"/>
    <s v="Esmeraldas"/>
    <s v="Esmeraldas"/>
    <s v="Laura Gutiérrez Saenz"/>
    <x v="1"/>
    <s v="Efectivo"/>
    <s v="Bolillos"/>
    <s v="Productos horneados"/>
    <x v="24"/>
    <n v="99"/>
    <n v="13860"/>
  </r>
  <r>
    <n v="297"/>
    <x v="202"/>
    <n v="3449599231"/>
    <s v="Empresa Z"/>
    <s v="Quito"/>
    <s v="Pichincha"/>
    <s v="Ana del Valle Hinojosa"/>
    <x v="2"/>
    <s v="Tarjeta de crédito"/>
    <s v="Aceite de oliva"/>
    <s v="Aceite"/>
    <x v="42"/>
    <n v="69"/>
    <n v="20624.100000000002"/>
  </r>
  <r>
    <n v="298"/>
    <x v="172"/>
    <n v="3901461858"/>
    <s v="Empresa Z"/>
    <s v="Quito"/>
    <s v="Pichincha"/>
    <s v="Ana del Valle Hinojosa"/>
    <x v="2"/>
    <s v="Tarjeta de crédito"/>
    <s v="Almejas"/>
    <s v="Sopas"/>
    <x v="29"/>
    <n v="37"/>
    <n v="4998.7"/>
  </r>
  <r>
    <n v="299"/>
    <x v="44"/>
    <n v="6798892819"/>
    <s v="Empresa Z"/>
    <s v="Quito"/>
    <s v="Pichincha"/>
    <s v="Ana del Valle Hinojosa"/>
    <x v="2"/>
    <s v="Tarjeta de crédito"/>
    <s v="Carne de cangrejo"/>
    <s v="Carne enlatada"/>
    <x v="27"/>
    <n v="64"/>
    <n v="16486.399999999998"/>
  </r>
  <r>
    <n v="300"/>
    <x v="188"/>
    <n v="6897506437"/>
    <s v="Empresa CC"/>
    <s v="Guayaquil"/>
    <s v="Guayas"/>
    <s v="José de Jesús Morales"/>
    <x v="0"/>
    <s v="Cheque"/>
    <s v="Cerveza"/>
    <s v="Bebidas"/>
    <x v="40"/>
    <n v="38"/>
    <n v="7448"/>
  </r>
  <r>
    <n v="301"/>
    <x v="203"/>
    <n v="6298594113"/>
    <s v="Empresa F"/>
    <s v="Ibarra"/>
    <s v="Imbabura"/>
    <s v="Luis Miguel Valdés Garza"/>
    <x v="2"/>
    <s v="Cheque"/>
    <s v="Chocolate"/>
    <s v="Dulces"/>
    <x v="30"/>
    <n v="15"/>
    <n v="2677.5"/>
  </r>
  <r>
    <n v="302"/>
    <x v="180"/>
    <n v="6972691420"/>
    <s v="Empresa D"/>
    <s v="Azogues"/>
    <s v="Canar"/>
    <s v="Andrés González Rico"/>
    <x v="1"/>
    <s v="Tarjeta de crédito"/>
    <s v="Mermelada de zarzamora"/>
    <s v="Mermeladas y jaleas"/>
    <x v="43"/>
    <n v="52"/>
    <n v="58968"/>
  </r>
  <r>
    <n v="303"/>
    <x v="204"/>
    <n v="677992170"/>
    <s v="Empresa D"/>
    <s v="Azogues"/>
    <s v="Canar"/>
    <s v="Andrés González Rico"/>
    <x v="1"/>
    <s v="Tarjeta de crédito"/>
    <s v="Arroz de grano largo"/>
    <s v="Granos"/>
    <x v="44"/>
    <n v="37"/>
    <n v="3626"/>
  </r>
  <r>
    <n v="304"/>
    <x v="205"/>
    <n v="3501827064"/>
    <s v="Empresa H"/>
    <s v="Riobamba"/>
    <s v="Chimborazo"/>
    <s v="Nancy Gil de la Peña"/>
    <x v="2"/>
    <s v="Tarjeta de crédito"/>
    <s v="Mozzarella"/>
    <s v="Productos lácteos"/>
    <x v="39"/>
    <n v="24"/>
    <n v="11692.8"/>
  </r>
  <r>
    <n v="305"/>
    <x v="206"/>
    <n v="9140892367"/>
    <s v="Empresa C"/>
    <s v="Machala"/>
    <s v="El Oro"/>
    <s v="Mayra Aguilar Sepúlveda"/>
    <x v="0"/>
    <s v="Efectivo"/>
    <s v="Jarabe"/>
    <s v="Condimentos"/>
    <x v="24"/>
    <n v="36"/>
    <n v="5040"/>
  </r>
  <r>
    <n v="306"/>
    <x v="13"/>
    <n v="7570396760"/>
    <s v="Empresa C"/>
    <s v="Machala"/>
    <s v="El Oro"/>
    <s v="Mayra Aguilar Sepúlveda"/>
    <x v="0"/>
    <s v="Efectivo"/>
    <s v="Salsa curry"/>
    <s v="Salsas"/>
    <x v="26"/>
    <n v="24"/>
    <n v="13440"/>
  </r>
  <r>
    <n v="307"/>
    <x v="112"/>
    <n v="5368769086"/>
    <s v="Empresa J"/>
    <s v="Esmeraldas"/>
    <s v="Esmeraldas"/>
    <s v="Laura Gutiérrez Saenz"/>
    <x v="0"/>
    <s v="Tarjeta de crédito"/>
    <s v="Almendras"/>
    <s v="Frutas secas"/>
    <x v="24"/>
    <n v="20"/>
    <n v="2800"/>
  </r>
  <r>
    <n v="308"/>
    <x v="151"/>
    <n v="443042127"/>
    <s v="Empresa J"/>
    <s v="Esmeraldas"/>
    <s v="Esmeraldas"/>
    <s v="Laura Gutiérrez Saenz"/>
    <x v="1"/>
    <s v="Empresa de embarque D"/>
    <s v="Ciruelas secas"/>
    <s v="Frutas secas"/>
    <x v="25"/>
    <n v="11"/>
    <n v="539"/>
  </r>
  <r>
    <n v="309"/>
    <x v="207"/>
    <n v="3198859022"/>
    <s v="Empresa K"/>
    <s v="Quito"/>
    <s v="Pichincha"/>
    <s v="Ana del Valle Hinojosa"/>
    <x v="2"/>
    <s v="Empresa de embarque D"/>
    <s v="Salsa curry"/>
    <s v="Salsas"/>
    <x v="26"/>
    <n v="78"/>
    <n v="43680"/>
  </r>
  <r>
    <n v="310"/>
    <x v="153"/>
    <n v="2982674072"/>
    <s v="Empresa A"/>
    <s v="Ambato"/>
    <s v="Tungurahua"/>
    <s v="Nancy Gil de la Peña"/>
    <x v="2"/>
    <s v="Empresa de embarque D"/>
    <s v="Carne de cangrejo"/>
    <s v="Carne enlatada"/>
    <x v="27"/>
    <n v="76"/>
    <n v="19577.599999999999"/>
  </r>
  <r>
    <n v="311"/>
    <x v="149"/>
    <n v="1636086310"/>
    <s v="Empresa BB"/>
    <s v="Manta"/>
    <s v="Manabi"/>
    <s v="Ana del Valle Hinojosa"/>
    <x v="2"/>
    <s v="Tarjeta de crédito"/>
    <s v="Café"/>
    <s v="Bebidas"/>
    <x v="28"/>
    <n v="57"/>
    <n v="36708"/>
  </r>
  <r>
    <n v="312"/>
    <x v="82"/>
    <n v="9879315200"/>
    <s v="Empresa I"/>
    <s v="Guayaquil"/>
    <s v="Guayas"/>
    <s v="Robert Zárate Carrillo"/>
    <x v="1"/>
    <s v="Cheque"/>
    <s v="Almejas"/>
    <s v="Sopas"/>
    <x v="29"/>
    <n v="14"/>
    <n v="1891.3999999999999"/>
  </r>
  <r>
    <n v="313"/>
    <x v="208"/>
    <n v="3833780472"/>
    <s v="Empresa AA"/>
    <s v="Cuenca"/>
    <s v="Azuay"/>
    <s v="Mayra Aguilar Sepúlveda"/>
    <x v="0"/>
    <s v="Cheque"/>
    <s v="Cerveza"/>
    <s v="Bebidas"/>
    <x v="40"/>
    <n v="14"/>
    <n v="2744"/>
  </r>
  <r>
    <n v="314"/>
    <x v="209"/>
    <n v="1343389818"/>
    <s v="Empresa AA"/>
    <s v="Cuenca"/>
    <s v="Azuay"/>
    <s v="Mayra Aguilar Sepúlveda"/>
    <x v="0"/>
    <s v="Cheque"/>
    <s v="Ciruelas secas"/>
    <s v="Frutas secas"/>
    <x v="25"/>
    <n v="70"/>
    <n v="3430"/>
  </r>
  <r>
    <n v="315"/>
    <x v="210"/>
    <n v="3066920858"/>
    <s v="Empresa D"/>
    <s v="Azogues"/>
    <s v="Canar"/>
    <s v="Andrés González Rico"/>
    <x v="1"/>
    <s v="Tarjeta de crédito"/>
    <s v="Peras secas"/>
    <s v="Frutas secas"/>
    <x v="34"/>
    <n v="100"/>
    <n v="42000"/>
  </r>
  <r>
    <n v="316"/>
    <x v="53"/>
    <n v="3596038071"/>
    <s v="Empresa D"/>
    <s v="Azogues"/>
    <s v="Canar"/>
    <s v="Andrés González Rico"/>
    <x v="1"/>
    <s v="Tarjeta de crédito"/>
    <s v="Manzanas secas"/>
    <s v="Frutas secas"/>
    <x v="35"/>
    <n v="27"/>
    <n v="20034"/>
  </r>
  <r>
    <n v="317"/>
    <x v="24"/>
    <n v="8280434895"/>
    <s v="Empresa D"/>
    <s v="Azogues"/>
    <s v="Canar"/>
    <s v="Andrés González Rico"/>
    <x v="1"/>
    <s v="Tarjeta de crédito"/>
    <s v="Ciruelas secas"/>
    <s v="Frutas secas"/>
    <x v="25"/>
    <n v="70"/>
    <n v="3430"/>
  </r>
  <r>
    <n v="318"/>
    <x v="26"/>
    <n v="7983505639"/>
    <s v="Empresa L"/>
    <s v="Cuenca"/>
    <s v="Azuay"/>
    <s v="Mayra Aguilar Sepúlveda"/>
    <x v="0"/>
    <s v="Tarjeta de crédito"/>
    <s v="Té chai"/>
    <s v="Bebidas"/>
    <x v="45"/>
    <n v="57"/>
    <n v="14364"/>
  </r>
  <r>
    <n v="319"/>
    <x v="156"/>
    <n v="4943792001"/>
    <s v="Empresa L"/>
    <s v="Cuenca"/>
    <s v="Azuay"/>
    <s v="Mayra Aguilar Sepúlveda"/>
    <x v="0"/>
    <s v="Tarjeta de crédito"/>
    <s v="Café"/>
    <s v="Bebidas"/>
    <x v="28"/>
    <n v="83"/>
    <n v="53452"/>
  </r>
  <r>
    <n v="320"/>
    <x v="211"/>
    <n v="2679766092"/>
    <s v="Empresa H"/>
    <s v="Riobamba"/>
    <s v="Chimborazo"/>
    <s v="Nancy Gil de la Peña"/>
    <x v="2"/>
    <s v="Tarjeta de crédito"/>
    <s v="Galletas de chocolate"/>
    <s v="Productos horneados"/>
    <x v="41"/>
    <n v="76"/>
    <n v="9788.7999999999993"/>
  </r>
  <r>
    <n v="321"/>
    <x v="212"/>
    <n v="6256032641"/>
    <s v="Empresa D"/>
    <s v="Azogues"/>
    <s v="Canar"/>
    <s v="Andrés González Rico"/>
    <x v="2"/>
    <s v="Cheque"/>
    <s v="Galletas de chocolate"/>
    <s v="Productos horneados"/>
    <x v="41"/>
    <n v="80"/>
    <n v="10303.999999999998"/>
  </r>
  <r>
    <n v="322"/>
    <x v="213"/>
    <n v="8317306577"/>
    <s v="Empresa CC"/>
    <s v="Guayaquil"/>
    <s v="Guayas"/>
    <s v="José de Jesús Morales"/>
    <x v="0"/>
    <s v="Cheque"/>
    <s v="Chocolate"/>
    <s v="Dulces"/>
    <x v="30"/>
    <n v="47"/>
    <n v="8389.5"/>
  </r>
  <r>
    <n v="323"/>
    <x v="121"/>
    <n v="4952054948"/>
    <s v="Empresa C"/>
    <s v="Machala"/>
    <s v="El Oro"/>
    <s v="Mayra Aguilar Sepúlveda"/>
    <x v="0"/>
    <s v="Efectivo"/>
    <s v="Almejas"/>
    <s v="Sopas"/>
    <x v="29"/>
    <n v="96"/>
    <n v="12969.599999999999"/>
  </r>
  <r>
    <n v="324"/>
    <x v="214"/>
    <n v="7792270317"/>
    <s v="Empresa F"/>
    <s v="Ibarra"/>
    <s v="Imbabura"/>
    <s v="Luis Miguel Valdés Garza"/>
    <x v="0"/>
    <s v="Tarjeta de crédito"/>
    <s v="Salsa curry"/>
    <s v="Salsas"/>
    <x v="26"/>
    <n v="32"/>
    <n v="17920"/>
  </r>
  <r>
    <n v="325"/>
    <x v="10"/>
    <n v="8753687299"/>
    <s v="Empresa BB"/>
    <s v="Manta"/>
    <s v="Manabi"/>
    <s v="Ana del Valle Hinojosa"/>
    <x v="2"/>
    <s v="Cheque"/>
    <s v="Café"/>
    <s v="Bebidas"/>
    <x v="28"/>
    <n v="16"/>
    <n v="10304"/>
  </r>
  <r>
    <n v="326"/>
    <x v="213"/>
    <n v="3276376437"/>
    <s v="Empresa H"/>
    <s v="Riobamba"/>
    <s v="Chimborazo"/>
    <s v="Nancy Gil de la Peña"/>
    <x v="2"/>
    <s v="Cheque"/>
    <s v="Chocolate"/>
    <s v="Dulces"/>
    <x v="30"/>
    <n v="41"/>
    <n v="7318.5"/>
  </r>
  <r>
    <n v="327"/>
    <x v="202"/>
    <n v="6189400875"/>
    <s v="Empresa J"/>
    <s v="Esmeraldas"/>
    <s v="Esmeraldas"/>
    <s v="Laura Gutiérrez Saenz"/>
    <x v="0"/>
    <s v="Tarjeta de crédito"/>
    <s v="Té verde"/>
    <s v="Bebidas"/>
    <x v="37"/>
    <n v="41"/>
    <n v="1716.26"/>
  </r>
  <r>
    <n v="328"/>
    <x v="124"/>
    <n v="3440571177"/>
    <s v="Empresa G"/>
    <s v="Guaranda"/>
    <s v="Guaranda"/>
    <s v="Nancy Gil de la Peña"/>
    <x v="3"/>
    <s v="Empresa de embarque D"/>
    <s v="Café"/>
    <s v="Bebidas"/>
    <x v="28"/>
    <n v="41"/>
    <n v="26404"/>
  </r>
  <r>
    <n v="329"/>
    <x v="215"/>
    <n v="8874798513"/>
    <s v="Empresa J"/>
    <s v="Esmeraldas"/>
    <s v="Esmeraldas"/>
    <s v="Laura Gutiérrez Saenz"/>
    <x v="1"/>
    <s v="Empresa de embarque D"/>
    <s v="Jalea de fresa"/>
    <s v="Mermeladas y jaleas"/>
    <x v="32"/>
    <n v="94"/>
    <n v="32900"/>
  </r>
  <r>
    <n v="330"/>
    <x v="45"/>
    <n v="9730368433"/>
    <s v="Empresa J"/>
    <s v="Esmeraldas"/>
    <s v="Esmeraldas"/>
    <s v="Laura Gutiérrez Saenz"/>
    <x v="1"/>
    <s v="Empresa de embarque D"/>
    <s v="Condimento cajún"/>
    <s v="Condimentos"/>
    <x v="31"/>
    <n v="20"/>
    <n v="6160"/>
  </r>
  <r>
    <n v="331"/>
    <x v="32"/>
    <n v="6592275352"/>
    <s v="Empresa J"/>
    <s v="Esmeraldas"/>
    <s v="Esmeraldas"/>
    <s v="Laura Gutiérrez Saenz"/>
    <x v="1"/>
    <s v="Empresa de embarque D"/>
    <s v="Galletas de chocolate"/>
    <s v="Productos horneados"/>
    <x v="41"/>
    <n v="13"/>
    <n v="1674.3999999999999"/>
  </r>
  <r>
    <n v="332"/>
    <x v="51"/>
    <n v="9303282439"/>
    <s v="Empresa K"/>
    <s v="Quito"/>
    <s v="Pichincha"/>
    <s v="Ana del Valle Hinojosa"/>
    <x v="2"/>
    <s v="Empresa de embarque D"/>
    <s v="Ciruelas secas"/>
    <s v="Frutas secas"/>
    <x v="25"/>
    <n v="74"/>
    <n v="3626"/>
  </r>
  <r>
    <n v="333"/>
    <x v="171"/>
    <n v="8998167680"/>
    <s v="Empresa K"/>
    <s v="Quito"/>
    <s v="Pichincha"/>
    <s v="Ana del Valle Hinojosa"/>
    <x v="2"/>
    <s v="Empresa de embarque D"/>
    <s v="Té verde"/>
    <s v="Bebidas"/>
    <x v="37"/>
    <n v="53"/>
    <n v="2218.58"/>
  </r>
  <r>
    <n v="334"/>
    <x v="216"/>
    <n v="2058395697"/>
    <s v="Empresa A"/>
    <s v="Ambato"/>
    <s v="Tungurahua"/>
    <s v="Nancy Gil de la Peña"/>
    <x v="3"/>
    <s v="Empresa de embarque D"/>
    <s v="Té chai"/>
    <s v="Bebidas"/>
    <x v="45"/>
    <n v="99"/>
    <n v="24948"/>
  </r>
  <r>
    <n v="335"/>
    <x v="217"/>
    <n v="5534305664"/>
    <s v="Empresa A"/>
    <s v="Ambato"/>
    <s v="Tungurahua"/>
    <s v="Nancy Gil de la Peña"/>
    <x v="3"/>
    <s v="Empresa de embarque D"/>
    <s v="Café"/>
    <s v="Bebidas"/>
    <x v="28"/>
    <n v="89"/>
    <n v="57316"/>
  </r>
  <r>
    <n v="336"/>
    <x v="181"/>
    <n v="5417309832"/>
    <s v="Empresa A"/>
    <s v="Ambato"/>
    <s v="Tungurahua"/>
    <s v="Nancy Gil de la Peña"/>
    <x v="3"/>
    <s v="Empresa de embarque D"/>
    <s v="Té verde"/>
    <s v="Bebidas"/>
    <x v="37"/>
    <n v="64"/>
    <n v="2679.04"/>
  </r>
  <r>
    <n v="337"/>
    <x v="101"/>
    <n v="7626114952"/>
    <s v="Empresa BB"/>
    <s v="Manta"/>
    <s v="Manabi"/>
    <s v="Ana del Valle Hinojosa"/>
    <x v="2"/>
    <s v="Tarjeta de crédito"/>
    <s v="Almejas"/>
    <s v="Sopas"/>
    <x v="29"/>
    <n v="98"/>
    <n v="13239.8"/>
  </r>
  <r>
    <n v="338"/>
    <x v="218"/>
    <n v="7075151442"/>
    <s v="Empresa BB"/>
    <s v="Manta"/>
    <s v="Manabi"/>
    <s v="Ana del Valle Hinojosa"/>
    <x v="2"/>
    <s v="Tarjeta de crédito"/>
    <s v="Carne de cangrejo"/>
    <s v="Carne enlatada"/>
    <x v="27"/>
    <n v="86"/>
    <n v="22153.599999999999"/>
  </r>
  <r>
    <n v="339"/>
    <x v="31"/>
    <n v="4170346813"/>
    <s v="Empresa I"/>
    <s v="Guayaquil"/>
    <s v="Guayas"/>
    <s v="Robert Zárate Carrillo"/>
    <x v="1"/>
    <s v="Cheque"/>
    <s v="Ravioli"/>
    <s v="Pasta"/>
    <x v="38"/>
    <n v="20"/>
    <n v="5460"/>
  </r>
  <r>
    <n v="340"/>
    <x v="34"/>
    <n v="7181884746"/>
    <s v="Empresa I"/>
    <s v="Guayaquil"/>
    <s v="Guayas"/>
    <s v="Robert Zárate Carrillo"/>
    <x v="1"/>
    <s v="Cheque"/>
    <s v="Mozzarella"/>
    <s v="Productos lácteos"/>
    <x v="39"/>
    <n v="69"/>
    <n v="33616.799999999996"/>
  </r>
  <r>
    <n v="341"/>
    <x v="219"/>
    <n v="654398232"/>
    <s v="Empresa F"/>
    <s v="Ibarra"/>
    <s v="Imbabura"/>
    <s v="Luis Miguel Valdés Garza"/>
    <x v="0"/>
    <s v="Tarjeta de crédito"/>
    <s v="Cerveza"/>
    <s v="Bebidas"/>
    <x v="40"/>
    <n v="68"/>
    <n v="13328"/>
  </r>
  <r>
    <n v="342"/>
    <x v="81"/>
    <n v="6559752885"/>
    <s v="Empresa H"/>
    <s v="Riobamba"/>
    <s v="Chimborazo"/>
    <s v="Nancy Gil de la Peña"/>
    <x v="0"/>
    <s v="Cheque"/>
    <s v="Salsa curry"/>
    <s v="Salsas"/>
    <x v="26"/>
    <n v="52"/>
    <n v="29120"/>
  </r>
  <r>
    <n v="343"/>
    <x v="191"/>
    <n v="9428165637"/>
    <s v="Empresa H"/>
    <s v="Riobamba"/>
    <s v="Chimborazo"/>
    <s v="Nancy Gil de la Peña"/>
    <x v="0"/>
    <s v="Cheque"/>
    <s v="Galletas de chocolate"/>
    <s v="Productos horneados"/>
    <x v="41"/>
    <n v="40"/>
    <n v="5151.9999999999991"/>
  </r>
  <r>
    <n v="344"/>
    <x v="11"/>
    <n v="9902612158"/>
    <s v="Empresa Y"/>
    <s v="Esmeraldas"/>
    <s v="Esmeraldas"/>
    <s v="Laura Gutiérrez Saenz"/>
    <x v="1"/>
    <s v="Efectivo"/>
    <s v="Bolillos"/>
    <s v="Productos horneados"/>
    <x v="24"/>
    <n v="100"/>
    <n v="14000"/>
  </r>
  <r>
    <n v="345"/>
    <x v="56"/>
    <n v="9601886174"/>
    <s v="Empresa Z"/>
    <s v="Quito"/>
    <s v="Pichincha"/>
    <s v="Ana del Valle Hinojosa"/>
    <x v="2"/>
    <s v="Tarjeta de crédito"/>
    <s v="Aceite de oliva"/>
    <s v="Aceite"/>
    <x v="42"/>
    <n v="88"/>
    <n v="26303.200000000004"/>
  </r>
  <r>
    <n v="346"/>
    <x v="220"/>
    <n v="9194823962"/>
    <s v="Empresa Z"/>
    <s v="Quito"/>
    <s v="Pichincha"/>
    <s v="Ana del Valle Hinojosa"/>
    <x v="2"/>
    <s v="Tarjeta de crédito"/>
    <s v="Almejas"/>
    <s v="Sopas"/>
    <x v="29"/>
    <n v="46"/>
    <n v="6214.5999999999995"/>
  </r>
  <r>
    <n v="347"/>
    <x v="217"/>
    <n v="3580433044"/>
    <s v="Empresa Z"/>
    <s v="Quito"/>
    <s v="Pichincha"/>
    <s v="Ana del Valle Hinojosa"/>
    <x v="2"/>
    <s v="Tarjeta de crédito"/>
    <s v="Carne de cangrejo"/>
    <s v="Carne enlatada"/>
    <x v="27"/>
    <n v="93"/>
    <n v="23956.799999999996"/>
  </r>
  <r>
    <n v="348"/>
    <x v="148"/>
    <n v="7020598503"/>
    <s v="Empresa CC"/>
    <s v="Guayaquil"/>
    <s v="Guayas"/>
    <s v="José de Jesús Morales"/>
    <x v="0"/>
    <s v="Cheque"/>
    <s v="Cerveza"/>
    <s v="Bebidas"/>
    <x v="40"/>
    <n v="96"/>
    <n v="18816"/>
  </r>
  <r>
    <n v="349"/>
    <x v="101"/>
    <n v="8040421717"/>
    <s v="Empresa F"/>
    <s v="Ibarra"/>
    <s v="Imbabura"/>
    <s v="Luis Miguel Valdés Garza"/>
    <x v="2"/>
    <s v="Cheque"/>
    <s v="Chocolate"/>
    <s v="Dulces"/>
    <x v="30"/>
    <n v="12"/>
    <n v="2142"/>
  </r>
  <r>
    <n v="350"/>
    <x v="220"/>
    <n v="3654530055"/>
    <s v="Empresa D"/>
    <s v="Azogues"/>
    <s v="Canar"/>
    <s v="Andrés González Rico"/>
    <x v="1"/>
    <s v="Tarjeta de crédito"/>
    <s v="Mermelada de zarzamora"/>
    <s v="Mermeladas y jaleas"/>
    <x v="43"/>
    <n v="38"/>
    <n v="43092"/>
  </r>
  <r>
    <n v="351"/>
    <x v="221"/>
    <n v="2061527783"/>
    <s v="Empresa D"/>
    <s v="Azogues"/>
    <s v="Canar"/>
    <s v="Andrés González Rico"/>
    <x v="1"/>
    <s v="Tarjeta de crédito"/>
    <s v="Arroz de grano largo"/>
    <s v="Granos"/>
    <x v="44"/>
    <n v="42"/>
    <n v="4116"/>
  </r>
  <r>
    <n v="352"/>
    <x v="220"/>
    <n v="7896754000"/>
    <s v="Empresa H"/>
    <s v="Riobamba"/>
    <s v="Chimborazo"/>
    <s v="Nancy Gil de la Peña"/>
    <x v="2"/>
    <s v="Tarjeta de crédito"/>
    <s v="Mozzarella"/>
    <s v="Productos lácteos"/>
    <x v="39"/>
    <n v="100"/>
    <n v="48719.999999999993"/>
  </r>
  <r>
    <n v="353"/>
    <x v="222"/>
    <n v="7608023281"/>
    <s v="Empresa C"/>
    <s v="Machala"/>
    <s v="El Oro"/>
    <s v="Mayra Aguilar Sepúlveda"/>
    <x v="0"/>
    <s v="Efectivo"/>
    <s v="Jarabe"/>
    <s v="Condimentos"/>
    <x v="24"/>
    <n v="89"/>
    <n v="12460"/>
  </r>
  <r>
    <n v="354"/>
    <x v="8"/>
    <n v="1088259448"/>
    <s v="Empresa C"/>
    <s v="Machala"/>
    <s v="El Oro"/>
    <s v="Mayra Aguilar Sepúlveda"/>
    <x v="0"/>
    <s v="Efectivo"/>
    <s v="Salsa curry"/>
    <s v="Salsas"/>
    <x v="26"/>
    <n v="12"/>
    <n v="6720"/>
  </r>
  <r>
    <n v="355"/>
    <x v="223"/>
    <n v="8019968936"/>
    <s v="Empresa J"/>
    <s v="Esmeraldas"/>
    <s v="Esmeraldas"/>
    <s v="Laura Gutiérrez Saenz"/>
    <x v="0"/>
    <s v="Tarjeta de crédito"/>
    <s v="Almendras"/>
    <s v="Frutas secas"/>
    <x v="24"/>
    <n v="97"/>
    <n v="13580"/>
  </r>
  <r>
    <n v="356"/>
    <x v="178"/>
    <n v="767630917"/>
    <s v="Empresa J"/>
    <s v="Esmeraldas"/>
    <s v="Esmeraldas"/>
    <s v="Laura Gutiérrez Saenz"/>
    <x v="1"/>
    <s v="Empresa de embarque D"/>
    <s v="Ciruelas secas"/>
    <s v="Frutas secas"/>
    <x v="25"/>
    <n v="53"/>
    <n v="2597"/>
  </r>
  <r>
    <n v="357"/>
    <x v="224"/>
    <n v="8764802979"/>
    <s v="Empresa K"/>
    <s v="Quito"/>
    <s v="Pichincha"/>
    <s v="Ana del Valle Hinojosa"/>
    <x v="2"/>
    <s v="Empresa de embarque D"/>
    <s v="Salsa curry"/>
    <s v="Salsas"/>
    <x v="26"/>
    <n v="61"/>
    <n v="34160"/>
  </r>
  <r>
    <n v="358"/>
    <x v="225"/>
    <n v="1212476279"/>
    <s v="Empresa A"/>
    <s v="Ambato"/>
    <s v="Tungurahua"/>
    <s v="Nancy Gil de la Peña"/>
    <x v="2"/>
    <s v="Empresa de embarque D"/>
    <s v="Carne de cangrejo"/>
    <s v="Carne enlatada"/>
    <x v="27"/>
    <n v="45"/>
    <n v="11591.999999999998"/>
  </r>
  <r>
    <n v="359"/>
    <x v="201"/>
    <n v="8659179079"/>
    <s v="Empresa BB"/>
    <s v="Manta"/>
    <s v="Manabi"/>
    <s v="Ana del Valle Hinojosa"/>
    <x v="2"/>
    <s v="Tarjeta de crédito"/>
    <s v="Café"/>
    <s v="Bebidas"/>
    <x v="28"/>
    <n v="43"/>
    <n v="27692"/>
  </r>
  <r>
    <n v="360"/>
    <x v="226"/>
    <n v="4311827425"/>
    <s v="Empresa I"/>
    <s v="Guayaquil"/>
    <s v="Guayas"/>
    <s v="Robert Zárate Carrillo"/>
    <x v="1"/>
    <s v="Cheque"/>
    <s v="Almejas"/>
    <s v="Sopas"/>
    <x v="29"/>
    <n v="18"/>
    <n v="2431.7999999999997"/>
  </r>
  <r>
    <n v="361"/>
    <x v="65"/>
    <n v="7400116244"/>
    <s v="Empresa F"/>
    <s v="Ibarra"/>
    <s v="Imbabura"/>
    <s v="Luis Miguel Valdés Garza"/>
    <x v="0"/>
    <s v="Tarjeta de crédito"/>
    <s v="Chocolate"/>
    <s v="Dulces"/>
    <x v="30"/>
    <n v="41"/>
    <n v="7318.5"/>
  </r>
  <r>
    <n v="362"/>
    <x v="128"/>
    <n v="8550780121"/>
    <s v="Empresa H"/>
    <s v="Riobamba"/>
    <s v="Chimborazo"/>
    <s v="Nancy Gil de la Peña"/>
    <x v="0"/>
    <s v="Cheque"/>
    <s v="Chocolate"/>
    <s v="Dulces"/>
    <x v="30"/>
    <n v="19"/>
    <n v="3391.5"/>
  </r>
  <r>
    <n v="363"/>
    <x v="106"/>
    <n v="9461451917"/>
    <s v="Empresa Y"/>
    <s v="Esmeraldas"/>
    <s v="Esmeraldas"/>
    <s v="Laura Gutiérrez Saenz"/>
    <x v="1"/>
    <s v="Efectivo"/>
    <s v="Condimento cajún"/>
    <s v="Condimentos"/>
    <x v="31"/>
    <n v="65"/>
    <n v="20020"/>
  </r>
  <r>
    <n v="364"/>
    <x v="141"/>
    <n v="3160888933"/>
    <s v="Empresa Z"/>
    <s v="Quito"/>
    <s v="Pichincha"/>
    <s v="Ana del Valle Hinojosa"/>
    <x v="2"/>
    <s v="Tarjeta de crédito"/>
    <s v="Jalea de fresa"/>
    <s v="Mermeladas y jaleas"/>
    <x v="32"/>
    <n v="13"/>
    <n v="4550"/>
  </r>
  <r>
    <n v="365"/>
    <x v="125"/>
    <n v="6433254443"/>
    <s v="Empresa CC"/>
    <s v="Guayaquil"/>
    <s v="Guayas"/>
    <s v="José de Jesús Morales"/>
    <x v="0"/>
    <s v="Cheque"/>
    <s v="Cóctel de frutas"/>
    <s v="Frutas y vegetales"/>
    <x v="33"/>
    <n v="54"/>
    <n v="29484"/>
  </r>
  <r>
    <n v="366"/>
    <x v="116"/>
    <n v="8977261174"/>
    <s v="Empresa F"/>
    <s v="Ibarra"/>
    <s v="Imbabura"/>
    <s v="Luis Miguel Valdés Garza"/>
    <x v="2"/>
    <s v="Cheque"/>
    <s v="Peras secas"/>
    <s v="Frutas secas"/>
    <x v="34"/>
    <n v="33"/>
    <n v="13860"/>
  </r>
  <r>
    <n v="367"/>
    <x v="67"/>
    <n v="7770716054"/>
    <s v="Empresa F"/>
    <s v="Ibarra"/>
    <s v="Imbabura"/>
    <s v="Luis Miguel Valdés Garza"/>
    <x v="2"/>
    <s v="Cheque"/>
    <s v="Manzanas secas"/>
    <s v="Frutas secas"/>
    <x v="35"/>
    <n v="34"/>
    <n v="25228"/>
  </r>
  <r>
    <n v="368"/>
    <x v="227"/>
    <n v="2754807386"/>
    <s v="Empresa D"/>
    <s v="Azogues"/>
    <s v="Canar"/>
    <s v="Andrés González Rico"/>
    <x v="3"/>
    <s v="Empresa de embarque D"/>
    <s v="Pasta penne"/>
    <s v="Pasta"/>
    <x v="36"/>
    <n v="59"/>
    <n v="31388"/>
  </r>
  <r>
    <n v="369"/>
    <x v="228"/>
    <n v="3873424489"/>
    <s v="Empresa C"/>
    <s v="Machala"/>
    <s v="El Oro"/>
    <s v="Mayra Aguilar Sepúlveda"/>
    <x v="3"/>
    <s v="Empresa de embarque D"/>
    <s v="Té verde"/>
    <s v="Bebidas"/>
    <x v="37"/>
    <n v="24"/>
    <n v="1004.64"/>
  </r>
  <r>
    <n v="370"/>
    <x v="134"/>
    <n v="3823774876"/>
    <s v="Empresa A"/>
    <s v="Cuenca"/>
    <s v="Guayas"/>
    <s v="Laura Gutiérrez Saenz"/>
    <x v="2"/>
    <s v="Tarjeta de crédito"/>
    <s v="Almejas"/>
    <s v="Sopas"/>
    <x v="3"/>
    <n v="23"/>
    <n v="27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94D607-8028-4049-BDA2-6D942AA7952D}" name="TablaDinámica3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5">
  <location ref="A31:B40" firstHeaderRow="1" firstDataRow="1" firstDataCol="1"/>
  <pivotFields count="15">
    <pivotField showAll="0"/>
    <pivotField numFmtId="165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>
      <items count="12">
        <item x="0"/>
        <item x="1"/>
        <item x="2"/>
        <item x="4"/>
        <item x="7"/>
        <item x="8"/>
        <item x="3"/>
        <item x="5"/>
        <item x="6"/>
        <item x="9"/>
        <item x="10"/>
        <item t="default"/>
      </items>
    </pivotField>
    <pivotField showAll="0">
      <items count="9">
        <item x="5"/>
        <item h="1" x="1"/>
        <item h="1" x="3"/>
        <item h="1" x="6"/>
        <item h="1" x="4"/>
        <item h="1" x="0"/>
        <item h="1" x="2"/>
        <item h="1" x="7"/>
        <item t="default"/>
      </items>
    </pivotField>
    <pivotField showAll="0"/>
    <pivotField showAll="0"/>
    <pivotField showAll="0"/>
    <pivotField axis="axisRow" showAll="0">
      <items count="16">
        <item x="13"/>
        <item x="0"/>
        <item x="8"/>
        <item x="7"/>
        <item x="3"/>
        <item x="1"/>
        <item x="12"/>
        <item x="14"/>
        <item x="6"/>
        <item x="9"/>
        <item x="2"/>
        <item x="10"/>
        <item x="5"/>
        <item x="4"/>
        <item x="11"/>
        <item t="default"/>
      </items>
    </pivotField>
    <pivotField showAll="0"/>
    <pivotField showAll="0"/>
    <pivotField dataField="1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efaultSubtotal="0"/>
  </pivotFields>
  <rowFields count="1">
    <field x="10"/>
  </rowFields>
  <rowItems count="9">
    <i>
      <x/>
    </i>
    <i>
      <x v="1"/>
    </i>
    <i>
      <x v="2"/>
    </i>
    <i>
      <x v="5"/>
    </i>
    <i>
      <x v="8"/>
    </i>
    <i>
      <x v="12"/>
    </i>
    <i>
      <x v="13"/>
    </i>
    <i>
      <x v="14"/>
    </i>
    <i t="grand">
      <x/>
    </i>
  </rowItems>
  <colItems count="1">
    <i/>
  </colItems>
  <dataFields count="1">
    <dataField name="Suma de Ventas" fld="1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9C7216-6072-4311-A472-D24DC0546361}" name="TablaDinámica2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6">
  <location ref="A18:B20" firstHeaderRow="1" firstDataRow="1" firstDataCol="1"/>
  <pivotFields count="15">
    <pivotField showAll="0"/>
    <pivotField numFmtId="165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>
      <items count="12">
        <item x="0"/>
        <item x="1"/>
        <item x="2"/>
        <item x="4"/>
        <item x="7"/>
        <item x="8"/>
        <item x="3"/>
        <item x="5"/>
        <item x="6"/>
        <item x="9"/>
        <item x="10"/>
        <item t="default"/>
      </items>
    </pivotField>
    <pivotField axis="axisRow" showAll="0">
      <items count="9">
        <item x="5"/>
        <item h="1" x="1"/>
        <item h="1" x="3"/>
        <item h="1" x="6"/>
        <item h="1" x="4"/>
        <item h="1" x="0"/>
        <item h="1" x="2"/>
        <item h="1" x="7"/>
        <item t="default"/>
      </items>
    </pivotField>
    <pivotField showAll="0"/>
    <pivotField showAll="0"/>
    <pivotField showAll="0"/>
    <pivotField showAll="0">
      <items count="16">
        <item x="13"/>
        <item x="0"/>
        <item x="8"/>
        <item x="7"/>
        <item x="3"/>
        <item x="1"/>
        <item x="12"/>
        <item x="14"/>
        <item x="6"/>
        <item x="9"/>
        <item x="2"/>
        <item x="10"/>
        <item x="5"/>
        <item x="4"/>
        <item x="11"/>
        <item t="default"/>
      </items>
    </pivotField>
    <pivotField showAll="0"/>
    <pivotField showAll="0"/>
    <pivotField dataField="1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efaultSubtotal="0"/>
  </pivotFields>
  <rowFields count="1">
    <field x="6"/>
  </rowFields>
  <rowItems count="2">
    <i>
      <x/>
    </i>
    <i t="grand">
      <x/>
    </i>
  </rowItems>
  <colItems count="1">
    <i/>
  </colItems>
  <dataFields count="1">
    <dataField name="Suma de Ventas" fld="13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0A6210-5439-4EFE-B45A-AF0820B70CD8}" name="TablaDinámica1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5">
  <location ref="A1:B14" firstHeaderRow="1" firstDataRow="1" firstDataCol="1"/>
  <pivotFields count="15">
    <pivotField showAll="0"/>
    <pivotField axis="axisRow" numFmtId="165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>
      <items count="12">
        <item x="0"/>
        <item x="1"/>
        <item x="2"/>
        <item x="4"/>
        <item x="7"/>
        <item x="8"/>
        <item x="3"/>
        <item x="5"/>
        <item x="6"/>
        <item x="9"/>
        <item x="10"/>
        <item t="default"/>
      </items>
    </pivotField>
    <pivotField showAll="0">
      <items count="9">
        <item x="5"/>
        <item h="1" x="1"/>
        <item h="1" x="3"/>
        <item h="1" x="6"/>
        <item h="1" x="4"/>
        <item h="1" x="0"/>
        <item h="1" x="2"/>
        <item h="1" x="7"/>
        <item t="default"/>
      </items>
    </pivotField>
    <pivotField showAll="0"/>
    <pivotField showAll="0"/>
    <pivotField showAll="0"/>
    <pivotField showAll="0">
      <items count="16">
        <item x="13"/>
        <item x="0"/>
        <item x="8"/>
        <item x="7"/>
        <item x="3"/>
        <item x="1"/>
        <item x="12"/>
        <item x="14"/>
        <item x="6"/>
        <item x="9"/>
        <item x="2"/>
        <item x="10"/>
        <item x="5"/>
        <item x="4"/>
        <item x="11"/>
        <item t="default"/>
      </items>
    </pivotField>
    <pivotField showAll="0"/>
    <pivotField showAll="0"/>
    <pivotField dataField="1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4"/>
    <field x="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a de Ventas" fld="1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2825D-EC47-47F1-A29D-2D00F3277952}" name="TablaDinámica5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>
  <location ref="A64:B67" firstHeaderRow="1" firstDataRow="1" firstDataCol="1"/>
  <pivotFields count="15">
    <pivotField showAll="0"/>
    <pivotField numFmtId="165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axis="axisRow" showAll="0">
      <items count="12">
        <item x="0"/>
        <item x="1"/>
        <item x="2"/>
        <item x="4"/>
        <item x="7"/>
        <item x="8"/>
        <item x="3"/>
        <item x="5"/>
        <item x="6"/>
        <item x="9"/>
        <item x="10"/>
        <item t="default"/>
      </items>
    </pivotField>
    <pivotField showAll="0">
      <items count="9">
        <item x="5"/>
        <item h="1" x="1"/>
        <item h="1" x="3"/>
        <item h="1" x="6"/>
        <item h="1" x="4"/>
        <item h="1" x="0"/>
        <item h="1" x="2"/>
        <item h="1" x="7"/>
        <item t="default"/>
      </items>
    </pivotField>
    <pivotField showAll="0"/>
    <pivotField showAll="0"/>
    <pivotField showAll="0"/>
    <pivotField showAll="0">
      <items count="16">
        <item x="13"/>
        <item x="0"/>
        <item x="8"/>
        <item x="7"/>
        <item x="3"/>
        <item x="1"/>
        <item x="12"/>
        <item x="14"/>
        <item x="6"/>
        <item x="9"/>
        <item x="2"/>
        <item x="10"/>
        <item x="5"/>
        <item x="4"/>
        <item x="11"/>
        <item t="default"/>
      </items>
    </pivotField>
    <pivotField showAll="0"/>
    <pivotField showAll="0"/>
    <pivotField dataField="1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efaultSubtotal="0"/>
  </pivotFields>
  <rowFields count="1">
    <field x="5"/>
  </rowFields>
  <rowItems count="3">
    <i>
      <x v="8"/>
    </i>
    <i>
      <x v="9"/>
    </i>
    <i t="grand">
      <x/>
    </i>
  </rowItems>
  <colItems count="1">
    <i/>
  </colItems>
  <dataFields count="1">
    <dataField name="Cuenta de Ventas" fld="1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34924F-3D43-4D06-BBD0-8175945560C8}" name="TablaDiná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6">
  <location ref="A51:B56" firstHeaderRow="1" firstDataRow="1" firstDataCol="1"/>
  <pivotFields count="15">
    <pivotField showAll="0"/>
    <pivotField numFmtId="165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>
      <items count="12">
        <item x="0"/>
        <item x="1"/>
        <item x="2"/>
        <item x="4"/>
        <item x="7"/>
        <item x="8"/>
        <item x="3"/>
        <item x="5"/>
        <item x="6"/>
        <item x="9"/>
        <item x="10"/>
        <item t="default"/>
      </items>
    </pivotField>
    <pivotField showAll="0">
      <items count="9">
        <item x="5"/>
        <item h="1" x="1"/>
        <item h="1" x="3"/>
        <item h="1" x="6"/>
        <item h="1" x="4"/>
        <item h="1" x="0"/>
        <item h="1" x="2"/>
        <item h="1" x="7"/>
        <item t="default"/>
      </items>
    </pivotField>
    <pivotField showAll="0"/>
    <pivotField showAll="0"/>
    <pivotField showAll="0"/>
    <pivotField showAll="0">
      <items count="16">
        <item x="13"/>
        <item x="0"/>
        <item x="8"/>
        <item x="7"/>
        <item x="3"/>
        <item x="1"/>
        <item x="12"/>
        <item x="14"/>
        <item x="6"/>
        <item x="9"/>
        <item x="2"/>
        <item x="10"/>
        <item x="5"/>
        <item x="4"/>
        <item x="11"/>
        <item t="default"/>
      </items>
    </pivotField>
    <pivotField showAll="0"/>
    <pivotField showAll="0"/>
    <pivotField axis="axisRow" dataField="1" showAll="0">
      <items count="9">
        <item h="1" x="0"/>
        <item x="1"/>
        <item x="2"/>
        <item x="3"/>
        <item x="4"/>
        <item x="5"/>
        <item x="6"/>
        <item x="7"/>
        <item t="default"/>
      </items>
    </pivotField>
    <pivotField showAll="0" defaultSubtotal="0"/>
  </pivotFields>
  <rowFields count="1">
    <field x="13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a de Ventas" fld="13" baseField="0" baseItem="0"/>
  </dataFields>
  <chartFormats count="1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13" count="1" selected="0">
            <x v="5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13" count="1" selected="0">
            <x v="6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F6D02D-A37A-481E-AB3A-832DE33863CE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2:F20" firstHeaderRow="1" firstDataRow="2" firstDataCol="1"/>
  <pivotFields count="16"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2"/>
        <item x="3"/>
        <item m="1" x="4"/>
        <item t="default"/>
      </items>
    </pivotField>
    <pivotField showAll="0"/>
    <pivotField showAll="0"/>
    <pivotField showAll="0"/>
    <pivotField showAll="0">
      <items count="47">
        <item x="6"/>
        <item x="3"/>
        <item x="0"/>
        <item x="2"/>
        <item x="17"/>
        <item x="10"/>
        <item x="4"/>
        <item x="22"/>
        <item x="14"/>
        <item x="8"/>
        <item x="7"/>
        <item x="21"/>
        <item x="9"/>
        <item x="1"/>
        <item x="16"/>
        <item x="20"/>
        <item x="15"/>
        <item x="12"/>
        <item x="37"/>
        <item x="5"/>
        <item x="19"/>
        <item x="13"/>
        <item x="11"/>
        <item x="25"/>
        <item x="18"/>
        <item x="44"/>
        <item x="41"/>
        <item x="29"/>
        <item x="24"/>
        <item x="30"/>
        <item x="40"/>
        <item x="45"/>
        <item x="27"/>
        <item x="38"/>
        <item x="42"/>
        <item x="31"/>
        <item x="32"/>
        <item x="34"/>
        <item x="39"/>
        <item x="36"/>
        <item x="33"/>
        <item x="26"/>
        <item x="28"/>
        <item x="35"/>
        <item x="43"/>
        <item x="23"/>
        <item t="default"/>
      </items>
    </pivotField>
    <pivotField showAll="0"/>
    <pivotField dataField="1" showAll="0"/>
    <pivotField axis="axisRow" showAll="0">
      <items count="15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3">
    <field x="15"/>
    <field x="14"/>
    <field x="1"/>
  </rowFields>
  <rowItems count="17">
    <i>
      <x v="1"/>
    </i>
    <i r="1"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>
      <x v="4"/>
    </i>
    <i r="1">
      <x v="10"/>
    </i>
    <i r="1">
      <x v="11"/>
    </i>
    <i r="1">
      <x v="12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dataFields count="1">
    <dataField name="Suma de Ventas" fld="13" baseField="15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vincia" xr10:uid="{83D1BB63-2542-4352-A571-10E61E3176A4}" sourceName="Provincia">
  <pivotTables>
    <pivotTable tabId="9" name="TablaDinámica1"/>
    <pivotTable tabId="9" name="TablaDinámica3"/>
    <pivotTable tabId="9" name="TablaDinámica2"/>
    <pivotTable tabId="9" name="TablaDinámica4"/>
    <pivotTable tabId="9" name="TablaDinámica5"/>
  </pivotTables>
  <data>
    <tabular pivotCacheId="153937183">
      <items count="11">
        <i x="6" s="1"/>
        <i x="9" s="1"/>
        <i x="0" s="1" nd="1"/>
        <i x="1" s="1" nd="1"/>
        <i x="2" s="1" nd="1"/>
        <i x="4" s="1" nd="1"/>
        <i x="7" s="1" nd="1"/>
        <i x="8" s="1" nd="1"/>
        <i x="3" s="1" nd="1"/>
        <i x="5" s="1" nd="1"/>
        <i x="1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dedor" xr10:uid="{2C69D981-A622-4972-B366-487EF6F5B174}" sourceName="Vendedor">
  <pivotTables>
    <pivotTable tabId="9" name="TablaDinámica1"/>
    <pivotTable tabId="9" name="TablaDinámica3"/>
    <pivotTable tabId="9" name="TablaDinámica2"/>
    <pivotTable tabId="9" name="TablaDinámica4"/>
    <pivotTable tabId="9" name="TablaDinámica5"/>
  </pivotTables>
  <data>
    <tabular pivotCacheId="153937183">
      <items count="8">
        <i x="5" s="1"/>
        <i x="1"/>
        <i x="3"/>
        <i x="6"/>
        <i x="4"/>
        <i x="0"/>
        <i x="2"/>
        <i x="7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ía" xr10:uid="{50D798C1-FD75-4D28-8B16-0CAC0C8995F5}" sourceName="Categoría">
  <pivotTables>
    <pivotTable tabId="9" name="TablaDinámica1"/>
    <pivotTable tabId="9" name="TablaDinámica3"/>
    <pivotTable tabId="9" name="TablaDinámica2"/>
    <pivotTable tabId="9" name="TablaDinámica4"/>
    <pivotTable tabId="9" name="TablaDinámica5"/>
  </pivotTables>
  <data>
    <tabular pivotCacheId="153937183">
      <items count="15">
        <i x="13" s="1"/>
        <i x="0" s="1"/>
        <i x="8" s="1"/>
        <i x="1" s="1"/>
        <i x="6" s="1"/>
        <i x="5" s="1"/>
        <i x="4" s="1"/>
        <i x="11" s="1"/>
        <i x="7" s="1" nd="1"/>
        <i x="3" s="1" nd="1"/>
        <i x="12" s="1" nd="1"/>
        <i x="14" s="1" nd="1"/>
        <i x="9" s="1" nd="1"/>
        <i x="2" s="1" nd="1"/>
        <i x="1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" xr10:uid="{50B4C40A-AC0B-47AB-BB4A-8EE103CC570E}" sourceName="Fecha">
  <pivotTables>
    <pivotTable tabId="9" name="TablaDinámica1"/>
    <pivotTable tabId="9" name="TablaDinámica3"/>
    <pivotTable tabId="9" name="TablaDinámica2"/>
    <pivotTable tabId="9" name="TablaDinámica4"/>
    <pivotTable tabId="9" name="TablaDinámica5"/>
  </pivotTables>
  <data>
    <tabular pivotCacheId="153937183">
      <items count="368">
        <i x="10" s="1"/>
        <i x="162" s="1"/>
        <i x="102" s="1"/>
        <i x="224" s="1"/>
        <i x="132" s="1"/>
        <i x="285" s="1"/>
        <i x="103" s="1"/>
        <i x="225" s="1"/>
        <i x="133" s="1"/>
        <i x="13" s="1"/>
        <i x="318" s="1"/>
        <i x="287" s="1"/>
        <i x="257" s="1"/>
        <i x="227" s="1"/>
        <i x="45" s="1"/>
        <i x="196" s="1"/>
        <i x="135" s="1"/>
        <i x="319" s="1"/>
        <i x="288" s="1"/>
        <i x="167" s="1"/>
        <i x="136" s="1"/>
        <i x="289" s="1"/>
        <i x="16" s="1"/>
        <i x="47" s="1"/>
        <i x="290" s="1"/>
        <i x="260" s="1"/>
        <i x="48" s="1"/>
        <i x="353" s="1"/>
        <i x="49" s="1"/>
        <i x="170" s="1"/>
        <i x="262" s="1"/>
        <i x="110" s="1"/>
        <i x="171" s="1"/>
        <i x="324" s="1"/>
        <i x="263" s="1"/>
        <i x="92" s="1"/>
        <i x="1" s="1"/>
        <i x="61" s="1"/>
        <i x="122" s="1"/>
        <i x="245" s="1"/>
        <i x="21" s="1"/>
        <i x="52" s="1"/>
        <i x="113" s="1"/>
        <i x="53" s="1"/>
        <i x="204" s="1"/>
        <i x="266" s="1"/>
        <i x="55" s="1"/>
        <i x="268" s="1"/>
        <i x="85" s="1"/>
        <i x="330" s="1"/>
        <i x="299" s="1"/>
        <i x="117" s="1"/>
        <i x="239" s="1"/>
        <i x="178" s="1"/>
        <i x="240" s="1"/>
        <i x="271" s="1"/>
        <i x="28" s="1"/>
        <i x="60" s="1"/>
        <i x="215" s="1"/>
        <i x="337" s="1"/>
        <i x="2" s="1"/>
        <i x="276" s="1"/>
        <i x="246" s="1"/>
        <i x="243" s="1"/>
        <i x="152" s="1"/>
        <i x="338" s="1"/>
        <i x="308" s="1"/>
        <i x="247" s="1"/>
        <i x="339" s="1"/>
        <i x="36" s="1"/>
        <i x="187" s="1"/>
        <i x="279" s="1"/>
        <i x="249" s="1"/>
        <i x="7" s="1"/>
        <i x="189" s="1"/>
        <i x="128" s="1"/>
        <i x="160" s="1"/>
        <i x="313" s="1"/>
        <i x="344" s="1"/>
        <i x="0" s="1" nd="1"/>
        <i x="367" s="1" nd="1"/>
        <i x="101" s="1" nd="1"/>
        <i x="223" s="1" nd="1"/>
        <i x="345" s="1" nd="1"/>
        <i x="41" s="1" nd="1"/>
        <i x="192" s="1" nd="1"/>
        <i x="70" s="1" nd="1"/>
        <i x="131" s="1" nd="1"/>
        <i x="315" s="1" nd="1"/>
        <i x="284" s="1" nd="1"/>
        <i x="254" s="1" nd="1"/>
        <i x="346" s="1" nd="1"/>
        <i x="11" s="1" nd="1"/>
        <i x="42" s="1" nd="1"/>
        <i x="193" s="1" nd="1"/>
        <i x="163" s="1" nd="1"/>
        <i x="71" s="1" nd="1"/>
        <i x="316" s="1" nd="1"/>
        <i x="255" s="1" nd="1"/>
        <i x="347" s="1" nd="1"/>
        <i x="12" s="1" nd="1"/>
        <i x="43" s="1" nd="1"/>
        <i x="194" s="1" nd="1"/>
        <i x="164" s="1" nd="1"/>
        <i x="72" s="1" nd="1"/>
        <i x="317" s="1" nd="1"/>
        <i x="286" s="1" nd="1"/>
        <i x="256" s="1" nd="1"/>
        <i x="104" s="1" nd="1"/>
        <i x="226" s="1" nd="1"/>
        <i x="348" s="1" nd="1"/>
        <i x="44" s="1" nd="1"/>
        <i x="195" s="1" nd="1"/>
        <i x="165" s="1" nd="1"/>
        <i x="73" s="1" nd="1"/>
        <i x="134" s="1" nd="1"/>
        <i x="105" s="1" nd="1"/>
        <i x="349" s="1" nd="1"/>
        <i x="14" s="1" nd="1"/>
        <i x="166" s="1" nd="1"/>
        <i x="74" s="1" nd="1"/>
        <i x="258" s="1" nd="1"/>
        <i x="106" s="1" nd="1"/>
        <i x="228" s="1" nd="1"/>
        <i x="350" s="1" nd="1"/>
        <i x="15" s="1" nd="1"/>
        <i x="46" s="1" nd="1"/>
        <i x="197" s="1" nd="1"/>
        <i x="75" s="1" nd="1"/>
        <i x="320" s="1" nd="1"/>
        <i x="259" s="1" nd="1"/>
        <i x="107" s="1" nd="1"/>
        <i x="229" s="1" nd="1"/>
        <i x="351" s="1" nd="1"/>
        <i x="198" s="1" nd="1"/>
        <i x="168" s="1" nd="1"/>
        <i x="76" s="1" nd="1"/>
        <i x="137" s="1" nd="1"/>
        <i x="321" s="1" nd="1"/>
        <i x="108" s="1" nd="1"/>
        <i x="230" s="1" nd="1"/>
        <i x="352" s="1" nd="1"/>
        <i x="17" s="1" nd="1"/>
        <i x="199" s="1" nd="1"/>
        <i x="169" s="1" nd="1"/>
        <i x="77" s="1" nd="1"/>
        <i x="138" s="1" nd="1"/>
        <i x="322" s="1" nd="1"/>
        <i x="291" s="1" nd="1"/>
        <i x="261" s="1" nd="1"/>
        <i x="109" s="1" nd="1"/>
        <i x="231" s="1" nd="1"/>
        <i x="18" s="1" nd="1"/>
        <i x="200" s="1" nd="1"/>
        <i x="78" s="1" nd="1"/>
        <i x="139" s="1" nd="1"/>
        <i x="323" s="1" nd="1"/>
        <i x="292" s="1" nd="1"/>
        <i x="232" s="1" nd="1"/>
        <i x="354" s="1" nd="1"/>
        <i x="19" s="1" nd="1"/>
        <i x="50" s="1" nd="1"/>
        <i x="201" s="1" nd="1"/>
        <i x="79" s="1" nd="1"/>
        <i x="140" s="1" nd="1"/>
        <i x="293" s="1" nd="1"/>
        <i x="214" s="1" nd="1"/>
        <i x="336" s="1" nd="1"/>
        <i x="32" s="1" nd="1"/>
        <i x="183" s="1" nd="1"/>
        <i x="153" s="1" nd="1"/>
        <i x="306" s="1" nd="1"/>
        <i x="275" s="1" nd="1"/>
        <i x="111" s="1" nd="1"/>
        <i x="233" s="1" nd="1"/>
        <i x="355" s="1" nd="1"/>
        <i x="20" s="1" nd="1"/>
        <i x="51" s="1" nd="1"/>
        <i x="202" s="1" nd="1"/>
        <i x="172" s="1" nd="1"/>
        <i x="80" s="1" nd="1"/>
        <i x="141" s="1" nd="1"/>
        <i x="325" s="1" nd="1"/>
        <i x="294" s="1" nd="1"/>
        <i x="264" s="1" nd="1"/>
        <i x="112" s="1" nd="1"/>
        <i x="234" s="1" nd="1"/>
        <i x="356" s="1" nd="1"/>
        <i x="203" s="1" nd="1"/>
        <i x="173" s="1" nd="1"/>
        <i x="81" s="1" nd="1"/>
        <i x="142" s="1" nd="1"/>
        <i x="326" s="1" nd="1"/>
        <i x="295" s="1" nd="1"/>
        <i x="265" s="1" nd="1"/>
        <i x="235" s="1" nd="1"/>
        <i x="357" s="1" nd="1"/>
        <i x="22" s="1" nd="1"/>
        <i x="174" s="1" nd="1"/>
        <i x="82" s="1" nd="1"/>
        <i x="143" s="1" nd="1"/>
        <i x="327" s="1" nd="1"/>
        <i x="296" s="1" nd="1"/>
        <i x="114" s="1" nd="1"/>
        <i x="236" s="1" nd="1"/>
        <i x="358" s="1" nd="1"/>
        <i x="23" s="1" nd="1"/>
        <i x="54" s="1" nd="1"/>
        <i x="205" s="1" nd="1"/>
        <i x="175" s="1" nd="1"/>
        <i x="83" s="1" nd="1"/>
        <i x="144" s="1" nd="1"/>
        <i x="328" s="1" nd="1"/>
        <i x="297" s="1" nd="1"/>
        <i x="267" s="1" nd="1"/>
        <i x="115" s="1" nd="1"/>
        <i x="237" s="1" nd="1"/>
        <i x="359" s="1" nd="1"/>
        <i x="24" s="1" nd="1"/>
        <i x="206" s="1" nd="1"/>
        <i x="176" s="1" nd="1"/>
        <i x="84" s="1" nd="1"/>
        <i x="145" s="1" nd="1"/>
        <i x="329" s="1" nd="1"/>
        <i x="298" s="1" nd="1"/>
        <i x="116" s="1" nd="1"/>
        <i x="238" s="1" nd="1"/>
        <i x="360" s="1" nd="1"/>
        <i x="25" s="1" nd="1"/>
        <i x="56" s="1" nd="1"/>
        <i x="207" s="1" nd="1"/>
        <i x="177" s="1" nd="1"/>
        <i x="146" s="1" nd="1"/>
        <i x="269" s="1" nd="1"/>
        <i x="361" s="1" nd="1"/>
        <i x="26" s="1" nd="1"/>
        <i x="57" s="1" nd="1"/>
        <i x="208" s="1" nd="1"/>
        <i x="86" s="1" nd="1"/>
        <i x="147" s="1" nd="1"/>
        <i x="331" s="1" nd="1"/>
        <i x="300" s="1" nd="1"/>
        <i x="270" s="1" nd="1"/>
        <i x="118" s="1" nd="1"/>
        <i x="362" s="1" nd="1"/>
        <i x="27" s="1" nd="1"/>
        <i x="58" s="1" nd="1"/>
        <i x="209" s="1" nd="1"/>
        <i x="179" s="1" nd="1"/>
        <i x="87" s="1" nd="1"/>
        <i x="148" s="1" nd="1"/>
        <i x="332" s="1" nd="1"/>
        <i x="301" s="1" nd="1"/>
        <i x="119" s="1" nd="1"/>
        <i x="241" s="1" nd="1"/>
        <i x="363" s="1" nd="1"/>
        <i x="59" s="1" nd="1"/>
        <i x="210" s="1" nd="1"/>
        <i x="180" s="1" nd="1"/>
        <i x="88" s="1" nd="1"/>
        <i x="149" s="1" nd="1"/>
        <i x="333" s="1" nd="1"/>
        <i x="302" s="1" nd="1"/>
        <i x="272" s="1" nd="1"/>
        <i x="120" s="1" nd="1"/>
        <i x="242" s="1" nd="1"/>
        <i x="364" s="1" nd="1"/>
        <i x="29" s="1" nd="1"/>
        <i x="211" s="1" nd="1"/>
        <i x="181" s="1" nd="1"/>
        <i x="89" s="1" nd="1"/>
        <i x="150" s="1" nd="1"/>
        <i x="334" s="1" nd="1"/>
        <i x="303" s="1" nd="1"/>
        <i x="273" s="1" nd="1"/>
        <i x="93" s="1" nd="1"/>
        <i x="33" s="1" nd="1"/>
        <i x="184" s="1" nd="1"/>
        <i x="154" s="1" nd="1"/>
        <i x="62" s="1" nd="1"/>
        <i x="123" s="1" nd="1"/>
        <i x="307" s="1" nd="1"/>
        <i x="121" s="1" nd="1"/>
        <i x="365" s="1" nd="1"/>
        <i x="30" s="1" nd="1"/>
        <i x="212" s="1" nd="1"/>
        <i x="182" s="1" nd="1"/>
        <i x="90" s="1" nd="1"/>
        <i x="151" s="1" nd="1"/>
        <i x="335" s="1" nd="1"/>
        <i x="304" s="1" nd="1"/>
        <i x="274" s="1" nd="1"/>
        <i x="244" s="1" nd="1"/>
        <i x="366" s="1" nd="1"/>
        <i x="31" s="1" nd="1"/>
        <i x="213" s="1" nd="1"/>
        <i x="91" s="1" nd="1"/>
        <i x="305" s="1" nd="1"/>
        <i x="94" s="1" nd="1"/>
        <i x="216" s="1" nd="1"/>
        <i x="3" s="1" nd="1"/>
        <i x="34" s="1" nd="1"/>
        <i x="185" s="1" nd="1"/>
        <i x="155" s="1" nd="1"/>
        <i x="63" s="1" nd="1"/>
        <i x="124" s="1" nd="1"/>
        <i x="277" s="1" nd="1"/>
        <i x="95" s="1" nd="1"/>
        <i x="217" s="1" nd="1"/>
        <i x="4" s="1" nd="1"/>
        <i x="35" s="1" nd="1"/>
        <i x="186" s="1" nd="1"/>
        <i x="156" s="1" nd="1"/>
        <i x="64" s="1" nd="1"/>
        <i x="125" s="1" nd="1"/>
        <i x="309" s="1" nd="1"/>
        <i x="278" s="1" nd="1"/>
        <i x="248" s="1" nd="1"/>
        <i x="96" s="1" nd="1"/>
        <i x="218" s="1" nd="1"/>
        <i x="340" s="1" nd="1"/>
        <i x="5" s="1" nd="1"/>
        <i x="157" s="1" nd="1"/>
        <i x="65" s="1" nd="1"/>
        <i x="126" s="1" nd="1"/>
        <i x="310" s="1" nd="1"/>
        <i x="97" s="1" nd="1"/>
        <i x="219" s="1" nd="1"/>
        <i x="341" s="1" nd="1"/>
        <i x="6" s="1" nd="1"/>
        <i x="37" s="1" nd="1"/>
        <i x="188" s="1" nd="1"/>
        <i x="158" s="1" nd="1"/>
        <i x="66" s="1" nd="1"/>
        <i x="127" s="1" nd="1"/>
        <i x="311" s="1" nd="1"/>
        <i x="280" s="1" nd="1"/>
        <i x="250" s="1" nd="1"/>
        <i x="98" s="1" nd="1"/>
        <i x="220" s="1" nd="1"/>
        <i x="342" s="1" nd="1"/>
        <i x="38" s="1" nd="1"/>
        <i x="159" s="1" nd="1"/>
        <i x="67" s="1" nd="1"/>
        <i x="312" s="1" nd="1"/>
        <i x="281" s="1" nd="1"/>
        <i x="251" s="1" nd="1"/>
        <i x="99" s="1" nd="1"/>
        <i x="221" s="1" nd="1"/>
        <i x="343" s="1" nd="1"/>
        <i x="8" s="1" nd="1"/>
        <i x="39" s="1" nd="1"/>
        <i x="190" s="1" nd="1"/>
        <i x="68" s="1" nd="1"/>
        <i x="129" s="1" nd="1"/>
        <i x="282" s="1" nd="1"/>
        <i x="252" s="1" nd="1"/>
        <i x="100" s="1" nd="1"/>
        <i x="222" s="1" nd="1"/>
        <i x="9" s="1" nd="1"/>
        <i x="40" s="1" nd="1"/>
        <i x="191" s="1" nd="1"/>
        <i x="161" s="1" nd="1"/>
        <i x="69" s="1" nd="1"/>
        <i x="130" s="1" nd="1"/>
        <i x="314" s="1" nd="1"/>
        <i x="283" s="1" nd="1"/>
        <i x="25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vincia" xr10:uid="{882DA3F5-BF8E-4F07-8ACA-A67844A9AA10}" cache="SegmentaciónDeDatos_Provincia" caption="Provincia" style="SlicerStyleDark1" rowHeight="241300"/>
  <slicer name="Vendedor" xr10:uid="{3834331F-6E7B-40D3-BB79-D55169B4EE27}" cache="SegmentaciónDeDatos_Vendedor" caption="Vendedor" style="SlicerStyleDark1" rowHeight="241300"/>
  <slicer name="Categoría" xr10:uid="{61644130-BA66-4234-9213-B2BD13858E5E}" cache="SegmentaciónDeDatos_Categoría" caption="Categoría" style="SlicerStyleDark1" rowHeight="241300"/>
  <slicer name="Fecha 1" xr10:uid="{96229E8E-39A6-4AF3-87B5-7CE49BC6B4F9}" cache="SegmentaciónDeDatos_Fecha" caption="Fecha" style="SlicerStyleDark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0B3582-3397-41A4-A177-D4618167160F}" name="Tabla2" displayName="Tabla2" ref="A1:P370" totalsRowShown="0">
  <autoFilter ref="A1:P370" xr:uid="{EC936EDA-6408-4437-917A-E2FB89AFC79D}"/>
  <sortState xmlns:xlrd2="http://schemas.microsoft.com/office/spreadsheetml/2017/richdata2" caseSensitive="1" ref="A2:P370">
    <sortCondition ref="A2:A370"/>
  </sortState>
  <tableColumns count="16">
    <tableColumn id="1" xr3:uid="{12B129D9-2902-4154-8913-A00DF4A06D83}" name="Documento"/>
    <tableColumn id="2" xr3:uid="{75AF0FAA-C8F8-4B05-B40A-0EDC46C50CB5}" name="Fecha"/>
    <tableColumn id="3" xr3:uid="{5885ED47-6193-4B8F-A008-2E89D41B56E2}" name="Id Cliente"/>
    <tableColumn id="4" xr3:uid="{320F90AD-EEE8-40B2-872C-7CB92B4D324C}" name="Cliente"/>
    <tableColumn id="5" xr3:uid="{8530D838-6299-4A0D-AF65-783898A7D9FF}" name="Ciudad"/>
    <tableColumn id="6" xr3:uid="{BC3AD459-0620-47C7-AF64-E62919A20421}" name="Provincia"/>
    <tableColumn id="7" xr3:uid="{4CC06A87-B64E-4F81-94B4-8B12FDFA05A2}" name="Vendedor"/>
    <tableColumn id="8" xr3:uid="{7A545C06-1389-406A-9B1C-96ED99AAC78E}" name="Empresa"/>
    <tableColumn id="9" xr3:uid="{EF4BD55F-D72C-452D-AA14-03F8B4664807}" name="Forma de pago"/>
    <tableColumn id="10" xr3:uid="{9D056D8C-E689-4384-835B-6B6BEBB89D62}" name="Producto"/>
    <tableColumn id="11" xr3:uid="{BA18B2C4-D548-4E80-8C50-587A28777F21}" name="Categoría"/>
    <tableColumn id="12" xr3:uid="{5C062326-E6C8-4506-9002-58EBE74C7519}" name="Precio"/>
    <tableColumn id="13" xr3:uid="{BFA60843-41A9-4516-B169-B0AB3AE898D8}" name="Cantidad"/>
    <tableColumn id="14" xr3:uid="{BB6C8558-EA8B-4DFD-ACE1-B19C2AF058F7}" name="Ventas"/>
    <tableColumn id="15" xr3:uid="{6DA3C854-00C9-4B5B-9668-CF6ACE184417}" name="dias">
      <calculatedColumnFormula>PROPER(TEXT(B2,"ddd."))</calculatedColumnFormula>
    </tableColumn>
    <tableColumn id="16" xr3:uid="{8F31F959-34DC-445B-BCE2-24D79CBF99AA}" name="mes">
      <calculatedColumnFormula>TEXT(B2,"mmmm")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425A72-4825-4302-A370-87701AAD6776}" name="Tabla1" displayName="Tabla1" ref="A1:N372" totalsRowShown="0" headerRowDxfId="9" dataDxfId="8" headerRowCellStyle="Millares" dataCellStyle="Millares">
  <autoFilter ref="A1:N372" xr:uid="{B824E5A0-EDC9-48A3-BA93-972324DF256C}"/>
  <tableColumns count="14">
    <tableColumn id="1" xr3:uid="{A81714CF-DC94-4E9D-B1D1-664DDCB01177}" name="Documento"/>
    <tableColumn id="2" xr3:uid="{906E13B9-8C97-4950-A582-C177D19BBB7E}" name="Fecha" dataDxfId="7"/>
    <tableColumn id="3" xr3:uid="{BCF4333D-940F-49D0-B47C-79C03868E5AB}" name="Id Cliente"/>
    <tableColumn id="4" xr3:uid="{C4691AD3-545E-4E6D-BE25-F2FC3CC2417E}" name="Cliente"/>
    <tableColumn id="5" xr3:uid="{E8A80C22-62D8-4E58-B566-2B8E2B5AC26A}" name="Ciudad"/>
    <tableColumn id="6" xr3:uid="{1369FD5B-03B2-4345-8E75-2B66A1A3A649}" name="Provincia"/>
    <tableColumn id="7" xr3:uid="{B919F6E9-5706-4CE7-8BFE-7BB54B97C2E8}" name="Vendedor"/>
    <tableColumn id="8" xr3:uid="{B0D2DCFD-CCDE-49DE-90F5-BCE81778E4DC}" name="Empresa"/>
    <tableColumn id="9" xr3:uid="{4D1C7265-7CF9-43D9-97AE-3F14A7CF47AF}" name="Forma de pago"/>
    <tableColumn id="10" xr3:uid="{94E242BF-5CDA-49E7-9C22-85293598FAA8}" name="Producto"/>
    <tableColumn id="11" xr3:uid="{8112DF7C-E6AB-45BA-9B12-A5DBBC172459}" name="Categoría"/>
    <tableColumn id="12" xr3:uid="{0C9323BD-48AE-47DB-8255-A5A11B64DC6D}" name="Precio" dataDxfId="6" dataCellStyle="Millares"/>
    <tableColumn id="13" xr3:uid="{4AD6AA6F-FE81-40FE-817D-2B96EBD8123F}" name="Cantidad" dataDxfId="5" dataCellStyle="Millares"/>
    <tableColumn id="14" xr3:uid="{9770B028-9868-4DE4-9D36-1D31F70617FD}" name="Ventas" dataDxfId="4" dataCellStyle="Millares">
      <calculatedColumnFormula>normalizar!$L2*normalizar!$M2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Azul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F2F38FDD-67CB-4BC7-89AA-DF9F55929D35}" sourceName="Fecha">
  <pivotTables>
    <pivotTable tabId="9" name="TablaDinámica1"/>
    <pivotTable tabId="9" name="TablaDinámica3"/>
    <pivotTable tabId="9" name="TablaDinámica2"/>
    <pivotTable tabId="9" name="TablaDinámica4"/>
    <pivotTable tabId="9" name="TablaDinámica5"/>
  </pivotTables>
  <state minimalRefreshVersion="6" lastRefreshVersion="6" pivotCacheId="153937183" filterType="unknown">
    <bounds startDate="2020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D8637915-F3D5-476F-9A10-648C9894443F}" cache="NativeTimeline_Fecha" caption="Fecha" level="2" selectionLevel="2" scrollPosition="2020-01-01T00:00:00" style="TimeSlicerStyleLight1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microsoft.com/office/2011/relationships/timeline" Target="../timelines/timelin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96CF9-529E-4DE2-818A-23E9635F26D7}">
  <sheetPr codeName="Hoja3">
    <tabColor rgb="FFFF0000"/>
  </sheetPr>
  <dimension ref="C1:AE371"/>
  <sheetViews>
    <sheetView topLeftCell="A2" workbookViewId="0">
      <selection activeCell="B2" sqref="B2:Q371"/>
    </sheetView>
  </sheetViews>
  <sheetFormatPr baseColWidth="10" defaultColWidth="10.85546875" defaultRowHeight="15" x14ac:dyDescent="0.25"/>
  <cols>
    <col min="1" max="1" width="4.28515625" customWidth="1"/>
    <col min="2" max="2" width="13.5703125" customWidth="1"/>
    <col min="3" max="3" width="10.7109375" style="1" bestFit="1" customWidth="1"/>
    <col min="4" max="4" width="12" customWidth="1"/>
    <col min="5" max="5" width="11.5703125" bestFit="1" customWidth="1"/>
    <col min="6" max="6" width="11" bestFit="1" customWidth="1"/>
    <col min="7" max="7" width="11.7109375" customWidth="1"/>
    <col min="8" max="8" width="23.140625" bestFit="1" customWidth="1"/>
    <col min="9" max="9" width="22.85546875" bestFit="1" customWidth="1"/>
    <col min="10" max="10" width="16.7109375" bestFit="1" customWidth="1"/>
    <col min="11" max="11" width="23.5703125" bestFit="1" customWidth="1"/>
    <col min="12" max="12" width="19.85546875" bestFit="1" customWidth="1"/>
    <col min="13" max="13" width="9.5703125" style="2" bestFit="1" customWidth="1"/>
    <col min="14" max="14" width="11.5703125" style="2" customWidth="1"/>
    <col min="15" max="15" width="11.5703125" style="2" bestFit="1" customWidth="1"/>
    <col min="16" max="17" width="11.5703125" style="2" customWidth="1"/>
    <col min="18" max="18" width="11.5703125" customWidth="1"/>
    <col min="19" max="19" width="13.28515625" style="2" bestFit="1" customWidth="1"/>
    <col min="20" max="20" width="15.85546875" bestFit="1" customWidth="1"/>
    <col min="21" max="21" width="3.85546875" customWidth="1"/>
    <col min="23" max="23" width="4.140625" customWidth="1"/>
    <col min="24" max="24" width="12.42578125" customWidth="1"/>
    <col min="25" max="25" width="4.42578125" customWidth="1"/>
    <col min="26" max="26" width="12.7109375" bestFit="1" customWidth="1"/>
    <col min="29" max="29" width="15.5703125" customWidth="1"/>
  </cols>
  <sheetData>
    <row r="1" spans="18:31" x14ac:dyDescent="0.25">
      <c r="AB1" t="s">
        <v>76</v>
      </c>
      <c r="AD1" t="s">
        <v>133</v>
      </c>
      <c r="AE1" t="s">
        <v>146</v>
      </c>
    </row>
    <row r="2" spans="18:31" s="3" customFormat="1" ht="30" customHeight="1" x14ac:dyDescent="0.25">
      <c r="R2"/>
      <c r="S2" s="5"/>
    </row>
    <row r="3" spans="18:31" x14ac:dyDescent="0.25">
      <c r="S3" s="2" t="b">
        <f>AND(Hoja4!$P2="abril",Hoja4!$O2="Jue.")</f>
        <v>1</v>
      </c>
      <c r="T3" t="str">
        <f>IF(AND(Hoja4!H2="Empresa de embarque B",Hoja4!I2="Cheque"),"dale","vaaa")</f>
        <v>dale</v>
      </c>
      <c r="V3" t="str">
        <f>IF(AND(Hoja4!H2="Empresa de embarque B",Hoja4!I2="Cheque",Hoja4!J2="Cerveza"),"dale","vaaa")</f>
        <v>dale</v>
      </c>
      <c r="X3" t="str">
        <f>IF(OR(Hoja4!H2="Empresa de embarque B",Hoja4!I2="Cheque",Hoja4!J2="cerveza"),"dale","vaaa")</f>
        <v>dale</v>
      </c>
      <c r="Z3" t="str">
        <f>IF(NOT(OR(Hoja4!I2="Cheque",Hoja4!J2="Cerveza")),"Aprobado","No Aprobado")</f>
        <v>No Aprobado</v>
      </c>
    </row>
    <row r="4" spans="18:31" x14ac:dyDescent="0.25">
      <c r="S4" s="2" t="b">
        <f>AND(Hoja4!$P3="abril",Hoja4!$O3="Jue.")</f>
        <v>0</v>
      </c>
      <c r="T4" t="str">
        <f>IF(AND(Hoja4!H3="Empresa de embarque B",Hoja4!I3="Cheque"),"dale","vaaa")</f>
        <v>dale</v>
      </c>
      <c r="V4" t="str">
        <f>IF(AND(Hoja4!H3="Empresa de embarque B",Hoja4!I3="Cheque",Hoja4!J3="Cerveza"),"dale","vaaa")</f>
        <v>vaaa</v>
      </c>
      <c r="X4" t="str">
        <f>IF(OR(Hoja4!H3="Empresa de embarque B",Hoja4!I3="Cheque",Hoja4!J3="cerveza"),"dale","vaaa")</f>
        <v>dale</v>
      </c>
      <c r="Z4" t="str">
        <f>IF(NOT(OR(Hoja4!I3="Cheque",Hoja4!J3="Cerveza")),"Aprobado","No Aprobado")</f>
        <v>No Aprobado</v>
      </c>
      <c r="AB4" s="3" t="s">
        <v>76</v>
      </c>
      <c r="AD4" s="5" t="s">
        <v>133</v>
      </c>
      <c r="AE4" s="5" t="s">
        <v>146</v>
      </c>
    </row>
    <row r="5" spans="18:31" x14ac:dyDescent="0.25">
      <c r="S5" s="2" t="b">
        <f>AND(Hoja4!$P4="abril",Hoja4!$O4="Jue.")</f>
        <v>0</v>
      </c>
      <c r="T5" t="str">
        <f>IF(AND(Hoja4!H4="Empresa de embarque B",Hoja4!I4="Cheque"),"dale","vaaa")</f>
        <v>vaaa</v>
      </c>
      <c r="V5" t="str">
        <f>IF(AND(Hoja4!H4="Empresa de embarque B",Hoja4!I4="Cheque",Hoja4!J4="Cerveza"),"dale","vaaa")</f>
        <v>vaaa</v>
      </c>
      <c r="X5" t="str">
        <f>IF(OR(Hoja4!H4="Empresa de embarque B",Hoja4!I4="Cheque",Hoja4!J4="cerveza"),"dale","vaaa")</f>
        <v>vaaa</v>
      </c>
      <c r="Z5" t="str">
        <f>IF(NOT(OR(Hoja4!I4="Cheque",Hoja4!J4="Cerveza")),"Aprobado","No Aprobado")</f>
        <v>Aprobado</v>
      </c>
      <c r="AB5" t="s">
        <v>8</v>
      </c>
      <c r="AD5" t="s">
        <v>134</v>
      </c>
      <c r="AE5" s="2" t="s">
        <v>152</v>
      </c>
    </row>
    <row r="6" spans="18:31" x14ac:dyDescent="0.25">
      <c r="S6" s="2" t="b">
        <f>AND(Hoja4!$P5="abril",Hoja4!$O5="Jue.")</f>
        <v>0</v>
      </c>
      <c r="T6" t="str">
        <f>IF(AND(Hoja4!H5="Empresa de embarque B",Hoja4!I5="Cheque"),"dale","vaaa")</f>
        <v>vaaa</v>
      </c>
      <c r="V6" t="str">
        <f>IF(AND(Hoja4!H5="Empresa de embarque B",Hoja4!I5="Cheque",Hoja4!J5="Cerveza"),"dale","vaaa")</f>
        <v>vaaa</v>
      </c>
      <c r="X6" t="str">
        <f>IF(OR(Hoja4!H5="Empresa de embarque B",Hoja4!I5="Cheque",Hoja4!J5="cerveza"),"dale","vaaa")</f>
        <v>vaaa</v>
      </c>
      <c r="Z6" t="str">
        <f>IF(NOT(OR(Hoja4!I5="Cheque",Hoja4!J5="Cerveza")),"Aprobado","No Aprobado")</f>
        <v>Aprobado</v>
      </c>
      <c r="AB6" t="s">
        <v>16</v>
      </c>
      <c r="AD6" t="s">
        <v>135</v>
      </c>
      <c r="AE6" s="2" t="s">
        <v>153</v>
      </c>
    </row>
    <row r="7" spans="18:31" x14ac:dyDescent="0.25">
      <c r="S7" s="2" t="b">
        <f>AND(Hoja4!$P6="abril",Hoja4!$O6="Jue.")</f>
        <v>1</v>
      </c>
      <c r="T7" t="str">
        <f>IF(AND(Hoja4!H6="Empresa de embarque B",Hoja4!I6="Cheque"),"dale","vaaa")</f>
        <v>vaaa</v>
      </c>
      <c r="V7" t="str">
        <f>IF(AND(Hoja4!H6="Empresa de embarque B",Hoja4!I6="Cheque",Hoja4!J6="Cerveza"),"dale","vaaa")</f>
        <v>vaaa</v>
      </c>
      <c r="X7" t="str">
        <f>IF(OR(Hoja4!H6="Empresa de embarque B",Hoja4!I6="Cheque",Hoja4!J6="cerveza"),"dale","vaaa")</f>
        <v>vaaa</v>
      </c>
      <c r="Z7" t="str">
        <f>IF(NOT(OR(Hoja4!I6="Cheque",Hoja4!J6="Cerveza")),"Aprobado","No Aprobado")</f>
        <v>Aprobado</v>
      </c>
      <c r="AB7" t="s">
        <v>25</v>
      </c>
      <c r="AD7" t="s">
        <v>136</v>
      </c>
      <c r="AE7" s="2" t="s">
        <v>149</v>
      </c>
    </row>
    <row r="8" spans="18:31" x14ac:dyDescent="0.25">
      <c r="S8" s="2" t="b">
        <f>AND(Hoja4!$P7="abril",Hoja4!$O7="Jue.")</f>
        <v>0</v>
      </c>
      <c r="T8" t="str">
        <f>IF(AND(Hoja4!H7="Empresa de embarque B",Hoja4!I7="Cheque"),"dale","vaaa")</f>
        <v>vaaa</v>
      </c>
      <c r="V8" t="str">
        <f>IF(AND(Hoja4!H7="Empresa de embarque B",Hoja4!I7="Cheque",Hoja4!J7="Cerveza"),"dale","vaaa")</f>
        <v>vaaa</v>
      </c>
      <c r="X8" t="str">
        <f>IF(OR(Hoja4!H7="Empresa de embarque B",Hoja4!I7="Cheque",Hoja4!J7="cerveza"),"dale","vaaa")</f>
        <v>dale</v>
      </c>
      <c r="Z8" t="str">
        <f>IF(NOT(OR(Hoja4!I7="Cheque",Hoja4!J7="Cerveza")),"Aprobado","No Aprobado")</f>
        <v>Aprobado</v>
      </c>
      <c r="AD8" t="s">
        <v>137</v>
      </c>
      <c r="AE8" s="2" t="s">
        <v>148</v>
      </c>
    </row>
    <row r="9" spans="18:31" x14ac:dyDescent="0.25">
      <c r="S9" s="2" t="b">
        <f>AND(Hoja4!$P8="abril",Hoja4!$O8="Jue.")</f>
        <v>0</v>
      </c>
      <c r="T9" t="str">
        <f>IF(AND(Hoja4!H8="Empresa de embarque B",Hoja4!I8="Cheque"),"dale","vaaa")</f>
        <v>vaaa</v>
      </c>
      <c r="V9" t="str">
        <f>IF(AND(Hoja4!H8="Empresa de embarque B",Hoja4!I8="Cheque",Hoja4!J8="Cerveza"),"dale","vaaa")</f>
        <v>vaaa</v>
      </c>
      <c r="X9" t="str">
        <f>IF(OR(Hoja4!H8="Empresa de embarque B",Hoja4!I8="Cheque",Hoja4!J8="cerveza"),"dale","vaaa")</f>
        <v>dale</v>
      </c>
      <c r="Z9" t="str">
        <f>IF(NOT(OR(Hoja4!I8="Cheque",Hoja4!J8="Cerveza")),"Aprobado","No Aprobado")</f>
        <v>Aprobado</v>
      </c>
      <c r="AD9" t="s">
        <v>138</v>
      </c>
      <c r="AE9" s="2" t="s">
        <v>150</v>
      </c>
    </row>
    <row r="10" spans="18:31" x14ac:dyDescent="0.25">
      <c r="S10" s="2" t="b">
        <f>AND(Hoja4!$P9="abril",Hoja4!$O9="Jue.")</f>
        <v>0</v>
      </c>
      <c r="T10" t="str">
        <f>IF(AND(Hoja4!H9="Empresa de embarque B",Hoja4!I9="Cheque"),"dale","vaaa")</f>
        <v>vaaa</v>
      </c>
      <c r="V10" t="str">
        <f>IF(AND(Hoja4!H9="Empresa de embarque B",Hoja4!I9="Cheque",Hoja4!J9="Cerveza"),"dale","vaaa")</f>
        <v>vaaa</v>
      </c>
      <c r="X10" t="str">
        <f>IF(OR(Hoja4!H9="Empresa de embarque B",Hoja4!I9="Cheque",Hoja4!J9="cerveza"),"dale","vaaa")</f>
        <v>vaaa</v>
      </c>
      <c r="Z10" t="str">
        <f>IF(NOT(OR(Hoja4!I9="Cheque",Hoja4!J9="Cerveza")),"Aprobado","No Aprobado")</f>
        <v>Aprobado</v>
      </c>
      <c r="AD10" t="s">
        <v>139</v>
      </c>
      <c r="AE10" s="2" t="s">
        <v>151</v>
      </c>
    </row>
    <row r="11" spans="18:31" x14ac:dyDescent="0.25">
      <c r="S11" s="2" t="b">
        <f>AND(Hoja4!$P10="abril",Hoja4!$O10="Jue.")</f>
        <v>0</v>
      </c>
      <c r="T11" t="str">
        <f>IF(AND(Hoja4!H10="Empresa de embarque B",Hoja4!I10="Cheque"),"dale","vaaa")</f>
        <v>vaaa</v>
      </c>
      <c r="V11" t="str">
        <f>IF(AND(Hoja4!H10="Empresa de embarque B",Hoja4!I10="Cheque",Hoja4!J10="Cerveza"),"dale","vaaa")</f>
        <v>vaaa</v>
      </c>
      <c r="X11" t="str">
        <f>IF(OR(Hoja4!H10="Empresa de embarque B",Hoja4!I10="Cheque",Hoja4!J10="cerveza"),"dale","vaaa")</f>
        <v>dale</v>
      </c>
      <c r="Z11" t="str">
        <f>IF(NOT(OR(Hoja4!I10="Cheque",Hoja4!J10="Cerveza")),"Aprobado","No Aprobado")</f>
        <v>No Aprobado</v>
      </c>
      <c r="AD11" t="s">
        <v>140</v>
      </c>
      <c r="AE11" s="2" t="s">
        <v>147</v>
      </c>
    </row>
    <row r="12" spans="18:31" x14ac:dyDescent="0.25">
      <c r="S12" s="2" t="b">
        <f>AND(Hoja4!$P11="abril",Hoja4!$O11="Jue.")</f>
        <v>0</v>
      </c>
      <c r="T12" t="str">
        <f>IF(AND(Hoja4!H11="Empresa de embarque B",Hoja4!I11="Cheque"),"dale","vaaa")</f>
        <v>dale</v>
      </c>
      <c r="V12" t="str">
        <f>IF(AND(Hoja4!H11="Empresa de embarque B",Hoja4!I11="Cheque",Hoja4!J11="Cerveza"),"dale","vaaa")</f>
        <v>vaaa</v>
      </c>
      <c r="X12" t="str">
        <f>IF(OR(Hoja4!H11="Empresa de embarque B",Hoja4!I11="Cheque",Hoja4!J11="cerveza"),"dale","vaaa")</f>
        <v>dale</v>
      </c>
      <c r="Z12" t="str">
        <f>IF(NOT(OR(Hoja4!I11="Cheque",Hoja4!J11="Cerveza")),"Aprobado","No Aprobado")</f>
        <v>No Aprobado</v>
      </c>
      <c r="AD12" t="s">
        <v>141</v>
      </c>
    </row>
    <row r="13" spans="18:31" x14ac:dyDescent="0.25">
      <c r="S13" s="2" t="b">
        <f>AND(Hoja4!$P12="abril",Hoja4!$O12="Jue.")</f>
        <v>0</v>
      </c>
      <c r="T13" t="str">
        <f>IF(AND(Hoja4!H12="Empresa de embarque B",Hoja4!I12="Cheque"),"dale","vaaa")</f>
        <v>vaaa</v>
      </c>
      <c r="V13" t="str">
        <f>IF(AND(Hoja4!H12="Empresa de embarque B",Hoja4!I12="Cheque",Hoja4!J12="Cerveza"),"dale","vaaa")</f>
        <v>vaaa</v>
      </c>
      <c r="X13" t="str">
        <f>IF(OR(Hoja4!H12="Empresa de embarque B",Hoja4!I12="Cheque",Hoja4!J12="cerveza"),"dale","vaaa")</f>
        <v>dale</v>
      </c>
      <c r="Z13" t="str">
        <f>IF(NOT(OR(Hoja4!I12="Cheque",Hoja4!J12="Cerveza")),"Aprobado","No Aprobado")</f>
        <v>Aprobado</v>
      </c>
      <c r="AD13" t="s">
        <v>142</v>
      </c>
    </row>
    <row r="14" spans="18:31" x14ac:dyDescent="0.25">
      <c r="S14" s="2" t="b">
        <f>AND(Hoja4!$P13="abril",Hoja4!$O13="Jue.")</f>
        <v>0</v>
      </c>
      <c r="T14" t="str">
        <f>IF(AND(Hoja4!H13="Empresa de embarque B",Hoja4!I13="Cheque"),"dale","vaaa")</f>
        <v>vaaa</v>
      </c>
      <c r="V14" t="str">
        <f>IF(AND(Hoja4!H13="Empresa de embarque B",Hoja4!I13="Cheque",Hoja4!J13="Cerveza"),"dale","vaaa")</f>
        <v>vaaa</v>
      </c>
      <c r="X14" t="str">
        <f>IF(OR(Hoja4!H13="Empresa de embarque B",Hoja4!I13="Cheque",Hoja4!J13="cerveza"),"dale","vaaa")</f>
        <v>dale</v>
      </c>
      <c r="Z14" t="str">
        <f>IF(NOT(OR(Hoja4!I13="Cheque",Hoja4!J13="Cerveza")),"Aprobado","No Aprobado")</f>
        <v>Aprobado</v>
      </c>
      <c r="AD14" t="s">
        <v>143</v>
      </c>
    </row>
    <row r="15" spans="18:31" x14ac:dyDescent="0.25">
      <c r="S15" s="2" t="b">
        <f>AND(Hoja4!$P14="abril",Hoja4!$O14="Jue.")</f>
        <v>0</v>
      </c>
      <c r="T15" t="str">
        <f>IF(AND(Hoja4!H14="Empresa de embarque B",Hoja4!I14="Cheque"),"dale","vaaa")</f>
        <v>vaaa</v>
      </c>
      <c r="V15" t="str">
        <f>IF(AND(Hoja4!H14="Empresa de embarque B",Hoja4!I14="Cheque",Hoja4!J14="Cerveza"),"dale","vaaa")</f>
        <v>vaaa</v>
      </c>
      <c r="X15" t="str">
        <f>IF(OR(Hoja4!H14="Empresa de embarque B",Hoja4!I14="Cheque",Hoja4!J14="cerveza"),"dale","vaaa")</f>
        <v>dale</v>
      </c>
      <c r="Z15" t="str">
        <f>IF(NOT(OR(Hoja4!I14="Cheque",Hoja4!J14="Cerveza")),"Aprobado","No Aprobado")</f>
        <v>No Aprobado</v>
      </c>
      <c r="AD15" t="s">
        <v>144</v>
      </c>
    </row>
    <row r="16" spans="18:31" x14ac:dyDescent="0.25">
      <c r="S16" s="2" t="b">
        <f>AND(Hoja4!$P15="abril",Hoja4!$O15="Jue.")</f>
        <v>0</v>
      </c>
      <c r="T16" t="str">
        <f>IF(AND(Hoja4!H15="Empresa de embarque B",Hoja4!I15="Cheque"),"dale","vaaa")</f>
        <v>vaaa</v>
      </c>
      <c r="V16" t="str">
        <f>IF(AND(Hoja4!H15="Empresa de embarque B",Hoja4!I15="Cheque",Hoja4!J15="Cerveza"),"dale","vaaa")</f>
        <v>vaaa</v>
      </c>
      <c r="X16" t="str">
        <f>IF(OR(Hoja4!H15="Empresa de embarque B",Hoja4!I15="Cheque",Hoja4!J15="cerveza"),"dale","vaaa")</f>
        <v>dale</v>
      </c>
      <c r="Z16" t="str">
        <f>IF(NOT(OR(Hoja4!I15="Cheque",Hoja4!J15="Cerveza")),"Aprobado","No Aprobado")</f>
        <v>No Aprobado</v>
      </c>
      <c r="AD16" t="s">
        <v>145</v>
      </c>
    </row>
    <row r="17" spans="19:26" x14ac:dyDescent="0.25">
      <c r="S17" s="2" t="b">
        <f>AND(Hoja4!$P16="abril",Hoja4!$O16="Jue.")</f>
        <v>0</v>
      </c>
      <c r="T17" t="str">
        <f>IF(AND(Hoja4!H16="Empresa de embarque B",Hoja4!I16="Cheque"),"dale","vaaa")</f>
        <v>vaaa</v>
      </c>
      <c r="V17" t="str">
        <f>IF(AND(Hoja4!H16="Empresa de embarque B",Hoja4!I16="Cheque",Hoja4!J16="Cerveza"),"dale","vaaa")</f>
        <v>vaaa</v>
      </c>
      <c r="X17" t="str">
        <f>IF(OR(Hoja4!H16="Empresa de embarque B",Hoja4!I16="Cheque",Hoja4!J16="cerveza"),"dale","vaaa")</f>
        <v>dale</v>
      </c>
      <c r="Z17" t="str">
        <f>IF(NOT(OR(Hoja4!I16="Cheque",Hoja4!J16="Cerveza")),"Aprobado","No Aprobado")</f>
        <v>Aprobado</v>
      </c>
    </row>
    <row r="18" spans="19:26" x14ac:dyDescent="0.25">
      <c r="S18" s="2" t="b">
        <f>AND(Hoja4!$P17="abril",Hoja4!$O17="Jue.")</f>
        <v>0</v>
      </c>
      <c r="T18" t="str">
        <f>IF(AND(Hoja4!H17="Empresa de embarque B",Hoja4!I17="Cheque"),"dale","vaaa")</f>
        <v>vaaa</v>
      </c>
      <c r="V18" t="str">
        <f>IF(AND(Hoja4!H17="Empresa de embarque B",Hoja4!I17="Cheque",Hoja4!J17="Cerveza"),"dale","vaaa")</f>
        <v>vaaa</v>
      </c>
      <c r="X18" t="str">
        <f>IF(OR(Hoja4!H17="Empresa de embarque B",Hoja4!I17="Cheque",Hoja4!J17="cerveza"),"dale","vaaa")</f>
        <v>vaaa</v>
      </c>
      <c r="Z18" t="str">
        <f>IF(NOT(OR(Hoja4!I17="Cheque",Hoja4!J17="Cerveza")),"Aprobado","No Aprobado")</f>
        <v>Aprobado</v>
      </c>
    </row>
    <row r="19" spans="19:26" x14ac:dyDescent="0.25">
      <c r="S19" s="2" t="b">
        <f>AND(Hoja4!$P18="abril",Hoja4!$O18="Jue.")</f>
        <v>0</v>
      </c>
      <c r="T19" t="str">
        <f>IF(AND(Hoja4!H18="Empresa de embarque B",Hoja4!I18="Cheque"),"dale","vaaa")</f>
        <v>vaaa</v>
      </c>
      <c r="V19" t="str">
        <f>IF(AND(Hoja4!H18="Empresa de embarque B",Hoja4!I18="Cheque",Hoja4!J18="Cerveza"),"dale","vaaa")</f>
        <v>vaaa</v>
      </c>
      <c r="X19" t="str">
        <f>IF(OR(Hoja4!H18="Empresa de embarque B",Hoja4!I18="Cheque",Hoja4!J18="cerveza"),"dale","vaaa")</f>
        <v>vaaa</v>
      </c>
      <c r="Z19" t="str">
        <f>IF(NOT(OR(Hoja4!I18="Cheque",Hoja4!J18="Cerveza")),"Aprobado","No Aprobado")</f>
        <v>Aprobado</v>
      </c>
    </row>
    <row r="20" spans="19:26" x14ac:dyDescent="0.25">
      <c r="S20" s="2" t="b">
        <f>AND(Hoja4!$P19="abril",Hoja4!$O19="Jue.")</f>
        <v>1</v>
      </c>
      <c r="T20" t="str">
        <f>IF(AND(Hoja4!H19="Empresa de embarque B",Hoja4!I19="Cheque"),"dale","vaaa")</f>
        <v>vaaa</v>
      </c>
      <c r="V20" t="str">
        <f>IF(AND(Hoja4!H19="Empresa de embarque B",Hoja4!I19="Cheque",Hoja4!J19="Cerveza"),"dale","vaaa")</f>
        <v>vaaa</v>
      </c>
      <c r="X20" t="str">
        <f>IF(OR(Hoja4!H19="Empresa de embarque B",Hoja4!I19="Cheque",Hoja4!J19="cerveza"),"dale","vaaa")</f>
        <v>vaaa</v>
      </c>
      <c r="Z20" t="str">
        <f>IF(NOT(OR(Hoja4!I19="Cheque",Hoja4!J19="Cerveza")),"Aprobado","No Aprobado")</f>
        <v>Aprobado</v>
      </c>
    </row>
    <row r="21" spans="19:26" x14ac:dyDescent="0.25">
      <c r="S21" s="2" t="b">
        <f>AND(Hoja4!$P20="abril",Hoja4!$O20="Jue.")</f>
        <v>0</v>
      </c>
      <c r="T21" t="str">
        <f>IF(AND(Hoja4!H20="Empresa de embarque B",Hoja4!I20="Cheque"),"dale","vaaa")</f>
        <v>vaaa</v>
      </c>
      <c r="V21" t="str">
        <f>IF(AND(Hoja4!H20="Empresa de embarque B",Hoja4!I20="Cheque",Hoja4!J20="Cerveza"),"dale","vaaa")</f>
        <v>vaaa</v>
      </c>
      <c r="X21" t="str">
        <f>IF(OR(Hoja4!H20="Empresa de embarque B",Hoja4!I20="Cheque",Hoja4!J20="cerveza"),"dale","vaaa")</f>
        <v>vaaa</v>
      </c>
      <c r="Z21" t="str">
        <f>IF(NOT(OR(Hoja4!I20="Cheque",Hoja4!J20="Cerveza")),"Aprobado","No Aprobado")</f>
        <v>Aprobado</v>
      </c>
    </row>
    <row r="22" spans="19:26" x14ac:dyDescent="0.25">
      <c r="S22" s="2" t="b">
        <f>AND(Hoja4!$P21="abril",Hoja4!$O21="Jue.")</f>
        <v>0</v>
      </c>
      <c r="T22" t="str">
        <f>IF(AND(Hoja4!H21="Empresa de embarque B",Hoja4!I21="Cheque"),"dale","vaaa")</f>
        <v>vaaa</v>
      </c>
      <c r="V22" t="str">
        <f>IF(AND(Hoja4!H21="Empresa de embarque B",Hoja4!I21="Cheque",Hoja4!J21="Cerveza"),"dale","vaaa")</f>
        <v>vaaa</v>
      </c>
      <c r="X22" t="str">
        <f>IF(OR(Hoja4!H21="Empresa de embarque B",Hoja4!I21="Cheque",Hoja4!J21="cerveza"),"dale","vaaa")</f>
        <v>vaaa</v>
      </c>
      <c r="Z22" t="str">
        <f>IF(NOT(OR(Hoja4!I21="Cheque",Hoja4!J21="Cerveza")),"Aprobado","No Aprobado")</f>
        <v>Aprobado</v>
      </c>
    </row>
    <row r="23" spans="19:26" x14ac:dyDescent="0.25">
      <c r="S23" s="2" t="b">
        <f>AND(Hoja4!$P22="abril",Hoja4!$O22="Jue.")</f>
        <v>0</v>
      </c>
      <c r="T23" t="str">
        <f>IF(AND(Hoja4!H22="Empresa de embarque B",Hoja4!I22="Cheque"),"dale","vaaa")</f>
        <v>vaaa</v>
      </c>
      <c r="V23" t="str">
        <f>IF(AND(Hoja4!H22="Empresa de embarque B",Hoja4!I22="Cheque",Hoja4!J22="Cerveza"),"dale","vaaa")</f>
        <v>vaaa</v>
      </c>
      <c r="X23" t="str">
        <f>IF(OR(Hoja4!H22="Empresa de embarque B",Hoja4!I22="Cheque",Hoja4!J22="cerveza"),"dale","vaaa")</f>
        <v>vaaa</v>
      </c>
      <c r="Z23" t="str">
        <f>IF(NOT(OR(Hoja4!I22="Cheque",Hoja4!J22="Cerveza")),"Aprobado","No Aprobado")</f>
        <v>Aprobado</v>
      </c>
    </row>
    <row r="24" spans="19:26" x14ac:dyDescent="0.25">
      <c r="S24" s="2" t="b">
        <f>AND(Hoja4!$P23="abril",Hoja4!$O23="Jue.")</f>
        <v>0</v>
      </c>
      <c r="T24" t="str">
        <f>IF(AND(Hoja4!H23="Empresa de embarque B",Hoja4!I23="Cheque"),"dale","vaaa")</f>
        <v>vaaa</v>
      </c>
      <c r="V24" t="str">
        <f>IF(AND(Hoja4!H23="Empresa de embarque B",Hoja4!I23="Cheque",Hoja4!J23="Cerveza"),"dale","vaaa")</f>
        <v>vaaa</v>
      </c>
      <c r="X24" t="str">
        <f>IF(OR(Hoja4!H23="Empresa de embarque B",Hoja4!I23="Cheque",Hoja4!J23="cerveza"),"dale","vaaa")</f>
        <v>vaaa</v>
      </c>
      <c r="Z24" t="str">
        <f>IF(NOT(OR(Hoja4!I23="Cheque",Hoja4!J23="Cerveza")),"Aprobado","No Aprobado")</f>
        <v>Aprobado</v>
      </c>
    </row>
    <row r="25" spans="19:26" x14ac:dyDescent="0.25">
      <c r="S25" s="2" t="b">
        <f>AND(Hoja4!$P24="abril",Hoja4!$O24="Jue.")</f>
        <v>0</v>
      </c>
      <c r="T25" t="str">
        <f>IF(AND(Hoja4!H24="Empresa de embarque B",Hoja4!I24="Cheque"),"dale","vaaa")</f>
        <v>vaaa</v>
      </c>
      <c r="V25" t="str">
        <f>IF(AND(Hoja4!H24="Empresa de embarque B",Hoja4!I24="Cheque",Hoja4!J24="Cerveza"),"dale","vaaa")</f>
        <v>vaaa</v>
      </c>
      <c r="X25" t="str">
        <f>IF(OR(Hoja4!H24="Empresa de embarque B",Hoja4!I24="Cheque",Hoja4!J24="cerveza"),"dale","vaaa")</f>
        <v>vaaa</v>
      </c>
      <c r="Z25" t="str">
        <f>IF(NOT(OR(Hoja4!I24="Cheque",Hoja4!J24="Cerveza")),"Aprobado","No Aprobado")</f>
        <v>Aprobado</v>
      </c>
    </row>
    <row r="26" spans="19:26" x14ac:dyDescent="0.25">
      <c r="S26" s="2" t="b">
        <f>AND(Hoja4!$P25="abril",Hoja4!$O25="Jue.")</f>
        <v>0</v>
      </c>
      <c r="T26" t="str">
        <f>IF(AND(Hoja4!H25="Empresa de embarque B",Hoja4!I25="Cheque"),"dale","vaaa")</f>
        <v>vaaa</v>
      </c>
      <c r="V26" t="str">
        <f>IF(AND(Hoja4!H25="Empresa de embarque B",Hoja4!I25="Cheque",Hoja4!J25="Cerveza"),"dale","vaaa")</f>
        <v>vaaa</v>
      </c>
      <c r="X26" t="str">
        <f>IF(OR(Hoja4!H25="Empresa de embarque B",Hoja4!I25="Cheque",Hoja4!J25="cerveza"),"dale","vaaa")</f>
        <v>vaaa</v>
      </c>
      <c r="Z26" t="str">
        <f>IF(NOT(OR(Hoja4!I25="Cheque",Hoja4!J25="Cerveza")),"Aprobado","No Aprobado")</f>
        <v>Aprobado</v>
      </c>
    </row>
    <row r="27" spans="19:26" x14ac:dyDescent="0.25">
      <c r="S27" s="2" t="b">
        <f>AND(Hoja4!$P26="abril",Hoja4!$O26="Jue.")</f>
        <v>0</v>
      </c>
      <c r="T27" t="str">
        <f>IF(AND(Hoja4!H26="Empresa de embarque B",Hoja4!I26="Cheque"),"dale","vaaa")</f>
        <v>vaaa</v>
      </c>
      <c r="V27" t="str">
        <f>IF(AND(Hoja4!H26="Empresa de embarque B",Hoja4!I26="Cheque",Hoja4!J26="Cerveza"),"dale","vaaa")</f>
        <v>vaaa</v>
      </c>
      <c r="X27" t="str">
        <f>IF(OR(Hoja4!H26="Empresa de embarque B",Hoja4!I26="Cheque",Hoja4!J26="cerveza"),"dale","vaaa")</f>
        <v>vaaa</v>
      </c>
      <c r="Z27" t="str">
        <f>IF(NOT(OR(Hoja4!I26="Cheque",Hoja4!J26="Cerveza")),"Aprobado","No Aprobado")</f>
        <v>Aprobado</v>
      </c>
    </row>
    <row r="28" spans="19:26" x14ac:dyDescent="0.25">
      <c r="S28" s="2" t="b">
        <f>AND(Hoja4!$P27="abril",Hoja4!$O27="Jue.")</f>
        <v>0</v>
      </c>
      <c r="T28" t="str">
        <f>IF(AND(Hoja4!H27="Empresa de embarque B",Hoja4!I27="Cheque"),"dale","vaaa")</f>
        <v>vaaa</v>
      </c>
      <c r="V28" t="str">
        <f>IF(AND(Hoja4!H27="Empresa de embarque B",Hoja4!I27="Cheque",Hoja4!J27="Cerveza"),"dale","vaaa")</f>
        <v>vaaa</v>
      </c>
      <c r="X28" t="str">
        <f>IF(OR(Hoja4!H27="Empresa de embarque B",Hoja4!I27="Cheque",Hoja4!J27="cerveza"),"dale","vaaa")</f>
        <v>vaaa</v>
      </c>
      <c r="Z28" t="str">
        <f>IF(NOT(OR(Hoja4!I27="Cheque",Hoja4!J27="Cerveza")),"Aprobado","No Aprobado")</f>
        <v>Aprobado</v>
      </c>
    </row>
    <row r="29" spans="19:26" x14ac:dyDescent="0.25">
      <c r="S29" s="2" t="b">
        <f>AND(Hoja4!$P28="abril",Hoja4!$O28="Jue.")</f>
        <v>0</v>
      </c>
      <c r="T29" t="str">
        <f>IF(AND(Hoja4!H28="Empresa de embarque B",Hoja4!I28="Cheque"),"dale","vaaa")</f>
        <v>vaaa</v>
      </c>
      <c r="V29" t="str">
        <f>IF(AND(Hoja4!H28="Empresa de embarque B",Hoja4!I28="Cheque",Hoja4!J28="Cerveza"),"dale","vaaa")</f>
        <v>vaaa</v>
      </c>
      <c r="X29" t="str">
        <f>IF(OR(Hoja4!H28="Empresa de embarque B",Hoja4!I28="Cheque",Hoja4!J28="cerveza"),"dale","vaaa")</f>
        <v>dale</v>
      </c>
      <c r="Z29" t="str">
        <f>IF(NOT(OR(Hoja4!I28="Cheque",Hoja4!J28="Cerveza")),"Aprobado","No Aprobado")</f>
        <v>No Aprobado</v>
      </c>
    </row>
    <row r="30" spans="19:26" x14ac:dyDescent="0.25">
      <c r="S30" s="2" t="b">
        <f>AND(Hoja4!$P29="abril",Hoja4!$O29="Jue.")</f>
        <v>0</v>
      </c>
      <c r="T30" t="str">
        <f>IF(AND(Hoja4!H29="Empresa de embarque B",Hoja4!I29="Cheque"),"dale","vaaa")</f>
        <v>vaaa</v>
      </c>
      <c r="V30" t="str">
        <f>IF(AND(Hoja4!H29="Empresa de embarque B",Hoja4!I29="Cheque",Hoja4!J29="Cerveza"),"dale","vaaa")</f>
        <v>vaaa</v>
      </c>
      <c r="X30" t="str">
        <f>IF(OR(Hoja4!H29="Empresa de embarque B",Hoja4!I29="Cheque",Hoja4!J29="cerveza"),"dale","vaaa")</f>
        <v>dale</v>
      </c>
      <c r="Z30" t="str">
        <f>IF(NOT(OR(Hoja4!I29="Cheque",Hoja4!J29="Cerveza")),"Aprobado","No Aprobado")</f>
        <v>No Aprobado</v>
      </c>
    </row>
    <row r="31" spans="19:26" x14ac:dyDescent="0.25">
      <c r="S31" s="2" t="b">
        <f>AND(Hoja4!$P30="abril",Hoja4!$O30="Jue.")</f>
        <v>0</v>
      </c>
      <c r="T31" t="str">
        <f>IF(AND(Hoja4!H30="Empresa de embarque B",Hoja4!I30="Cheque"),"dale","vaaa")</f>
        <v>vaaa</v>
      </c>
      <c r="V31" t="str">
        <f>IF(AND(Hoja4!H30="Empresa de embarque B",Hoja4!I30="Cheque",Hoja4!J30="Cerveza"),"dale","vaaa")</f>
        <v>vaaa</v>
      </c>
      <c r="X31" t="str">
        <f>IF(OR(Hoja4!H30="Empresa de embarque B",Hoja4!I30="Cheque",Hoja4!J30="cerveza"),"dale","vaaa")</f>
        <v>dale</v>
      </c>
      <c r="Z31" t="str">
        <f>IF(NOT(OR(Hoja4!I30="Cheque",Hoja4!J30="Cerveza")),"Aprobado","No Aprobado")</f>
        <v>No Aprobado</v>
      </c>
    </row>
    <row r="32" spans="19:26" x14ac:dyDescent="0.25">
      <c r="S32" s="2" t="b">
        <f>AND(Hoja4!$P31="abril",Hoja4!$O31="Jue.")</f>
        <v>0</v>
      </c>
      <c r="T32" t="str">
        <f>IF(AND(Hoja4!H31="Empresa de embarque B",Hoja4!I31="Cheque"),"dale","vaaa")</f>
        <v>dale</v>
      </c>
      <c r="V32" t="str">
        <f>IF(AND(Hoja4!H31="Empresa de embarque B",Hoja4!I31="Cheque",Hoja4!J31="Cerveza"),"dale","vaaa")</f>
        <v>vaaa</v>
      </c>
      <c r="X32" t="str">
        <f>IF(OR(Hoja4!H31="Empresa de embarque B",Hoja4!I31="Cheque",Hoja4!J31="cerveza"),"dale","vaaa")</f>
        <v>dale</v>
      </c>
      <c r="Z32" t="str">
        <f>IF(NOT(OR(Hoja4!I31="Cheque",Hoja4!J31="Cerveza")),"Aprobado","No Aprobado")</f>
        <v>No Aprobado</v>
      </c>
    </row>
    <row r="33" spans="19:26" x14ac:dyDescent="0.25">
      <c r="S33" s="2" t="b">
        <f>AND(Hoja4!$P32="abril",Hoja4!$O32="Jue.")</f>
        <v>0</v>
      </c>
      <c r="T33" t="str">
        <f>IF(AND(Hoja4!H32="Empresa de embarque B",Hoja4!I32="Cheque"),"dale","vaaa")</f>
        <v>vaaa</v>
      </c>
      <c r="V33" t="str">
        <f>IF(AND(Hoja4!H32="Empresa de embarque B",Hoja4!I32="Cheque",Hoja4!J32="Cerveza"),"dale","vaaa")</f>
        <v>vaaa</v>
      </c>
      <c r="X33" t="str">
        <f>IF(OR(Hoja4!H32="Empresa de embarque B",Hoja4!I32="Cheque",Hoja4!J32="cerveza"),"dale","vaaa")</f>
        <v>dale</v>
      </c>
      <c r="Z33" t="str">
        <f>IF(NOT(OR(Hoja4!I32="Cheque",Hoja4!J32="Cerveza")),"Aprobado","No Aprobado")</f>
        <v>Aprobado</v>
      </c>
    </row>
    <row r="34" spans="19:26" x14ac:dyDescent="0.25">
      <c r="S34" s="2" t="b">
        <f>AND(Hoja4!$P33="abril",Hoja4!$O33="Jue.")</f>
        <v>0</v>
      </c>
      <c r="T34" t="str">
        <f>IF(AND(Hoja4!H33="Empresa de embarque B",Hoja4!I33="Cheque"),"dale","vaaa")</f>
        <v>vaaa</v>
      </c>
      <c r="V34" t="str">
        <f>IF(AND(Hoja4!H33="Empresa de embarque B",Hoja4!I33="Cheque",Hoja4!J33="Cerveza"),"dale","vaaa")</f>
        <v>vaaa</v>
      </c>
      <c r="X34" t="str">
        <f>IF(OR(Hoja4!H33="Empresa de embarque B",Hoja4!I33="Cheque",Hoja4!J33="cerveza"),"dale","vaaa")</f>
        <v>dale</v>
      </c>
      <c r="Z34" t="str">
        <f>IF(NOT(OR(Hoja4!I33="Cheque",Hoja4!J33="Cerveza")),"Aprobado","No Aprobado")</f>
        <v>Aprobado</v>
      </c>
    </row>
    <row r="35" spans="19:26" x14ac:dyDescent="0.25">
      <c r="S35" s="2" t="b">
        <f>AND(Hoja4!$P34="abril",Hoja4!$O34="Jue.")</f>
        <v>0</v>
      </c>
      <c r="T35" t="str">
        <f>IF(AND(Hoja4!H34="Empresa de embarque B",Hoja4!I34="Cheque"),"dale","vaaa")</f>
        <v>vaaa</v>
      </c>
      <c r="V35" t="str">
        <f>IF(AND(Hoja4!H34="Empresa de embarque B",Hoja4!I34="Cheque",Hoja4!J34="Cerveza"),"dale","vaaa")</f>
        <v>vaaa</v>
      </c>
      <c r="X35" t="str">
        <f>IF(OR(Hoja4!H34="Empresa de embarque B",Hoja4!I34="Cheque",Hoja4!J34="cerveza"),"dale","vaaa")</f>
        <v>dale</v>
      </c>
      <c r="Z35" t="str">
        <f>IF(NOT(OR(Hoja4!I34="Cheque",Hoja4!J34="Cerveza")),"Aprobado","No Aprobado")</f>
        <v>Aprobado</v>
      </c>
    </row>
    <row r="36" spans="19:26" x14ac:dyDescent="0.25">
      <c r="S36" s="2" t="b">
        <f>AND(Hoja4!$P35="abril",Hoja4!$O35="Jue.")</f>
        <v>0</v>
      </c>
      <c r="T36" t="str">
        <f>IF(AND(Hoja4!H35="Empresa de embarque B",Hoja4!I35="Cheque"),"dale","vaaa")</f>
        <v>vaaa</v>
      </c>
      <c r="V36" t="str">
        <f>IF(AND(Hoja4!H35="Empresa de embarque B",Hoja4!I35="Cheque",Hoja4!J35="Cerveza"),"dale","vaaa")</f>
        <v>vaaa</v>
      </c>
      <c r="X36" t="str">
        <f>IF(OR(Hoja4!H35="Empresa de embarque B",Hoja4!I35="Cheque",Hoja4!J35="cerveza"),"dale","vaaa")</f>
        <v>dale</v>
      </c>
      <c r="Z36" t="str">
        <f>IF(NOT(OR(Hoja4!I35="Cheque",Hoja4!J35="Cerveza")),"Aprobado","No Aprobado")</f>
        <v>No Aprobado</v>
      </c>
    </row>
    <row r="37" spans="19:26" x14ac:dyDescent="0.25">
      <c r="S37" s="2" t="b">
        <f>AND(Hoja4!$P36="abril",Hoja4!$O36="Jue.")</f>
        <v>0</v>
      </c>
      <c r="T37" t="str">
        <f>IF(AND(Hoja4!H36="Empresa de embarque B",Hoja4!I36="Cheque"),"dale","vaaa")</f>
        <v>vaaa</v>
      </c>
      <c r="V37" t="str">
        <f>IF(AND(Hoja4!H36="Empresa de embarque B",Hoja4!I36="Cheque",Hoja4!J36="Cerveza"),"dale","vaaa")</f>
        <v>vaaa</v>
      </c>
      <c r="X37" t="str">
        <f>IF(OR(Hoja4!H36="Empresa de embarque B",Hoja4!I36="Cheque",Hoja4!J36="cerveza"),"dale","vaaa")</f>
        <v>dale</v>
      </c>
      <c r="Z37" t="str">
        <f>IF(NOT(OR(Hoja4!I36="Cheque",Hoja4!J36="Cerveza")),"Aprobado","No Aprobado")</f>
        <v>No Aprobado</v>
      </c>
    </row>
    <row r="38" spans="19:26" x14ac:dyDescent="0.25">
      <c r="S38" s="2" t="b">
        <f>AND(Hoja4!$P37="abril",Hoja4!$O37="Jue.")</f>
        <v>0</v>
      </c>
      <c r="T38" t="str">
        <f>IF(AND(Hoja4!H37="Empresa de embarque B",Hoja4!I37="Cheque"),"dale","vaaa")</f>
        <v>vaaa</v>
      </c>
      <c r="V38" t="str">
        <f>IF(AND(Hoja4!H37="Empresa de embarque B",Hoja4!I37="Cheque",Hoja4!J37="Cerveza"),"dale","vaaa")</f>
        <v>vaaa</v>
      </c>
      <c r="X38" t="str">
        <f>IF(OR(Hoja4!H37="Empresa de embarque B",Hoja4!I37="Cheque",Hoja4!J37="cerveza"),"dale","vaaa")</f>
        <v>dale</v>
      </c>
      <c r="Z38" t="str">
        <f>IF(NOT(OR(Hoja4!I37="Cheque",Hoja4!J37="Cerveza")),"Aprobado","No Aprobado")</f>
        <v>Aprobado</v>
      </c>
    </row>
    <row r="39" spans="19:26" x14ac:dyDescent="0.25">
      <c r="S39" s="2" t="b">
        <f>AND(Hoja4!$P38="abril",Hoja4!$O38="Jue.")</f>
        <v>0</v>
      </c>
      <c r="T39" t="str">
        <f>IF(AND(Hoja4!H38="Empresa de embarque B",Hoja4!I38="Cheque"),"dale","vaaa")</f>
        <v>vaaa</v>
      </c>
      <c r="V39" t="str">
        <f>IF(AND(Hoja4!H38="Empresa de embarque B",Hoja4!I38="Cheque",Hoja4!J38="Cerveza"),"dale","vaaa")</f>
        <v>vaaa</v>
      </c>
      <c r="X39" t="str">
        <f>IF(OR(Hoja4!H38="Empresa de embarque B",Hoja4!I38="Cheque",Hoja4!J38="cerveza"),"dale","vaaa")</f>
        <v>vaaa</v>
      </c>
      <c r="Z39" t="str">
        <f>IF(NOT(OR(Hoja4!I38="Cheque",Hoja4!J38="Cerveza")),"Aprobado","No Aprobado")</f>
        <v>Aprobado</v>
      </c>
    </row>
    <row r="40" spans="19:26" x14ac:dyDescent="0.25">
      <c r="S40" s="2" t="b">
        <f>AND(Hoja4!$P39="abril",Hoja4!$O39="Jue.")</f>
        <v>0</v>
      </c>
      <c r="T40" t="str">
        <f>IF(AND(Hoja4!H39="Empresa de embarque B",Hoja4!I39="Cheque"),"dale","vaaa")</f>
        <v>vaaa</v>
      </c>
      <c r="V40" t="str">
        <f>IF(AND(Hoja4!H39="Empresa de embarque B",Hoja4!I39="Cheque",Hoja4!J39="Cerveza"),"dale","vaaa")</f>
        <v>vaaa</v>
      </c>
      <c r="X40" t="str">
        <f>IF(OR(Hoja4!H39="Empresa de embarque B",Hoja4!I39="Cheque",Hoja4!J39="cerveza"),"dale","vaaa")</f>
        <v>vaaa</v>
      </c>
      <c r="Z40" t="str">
        <f>IF(NOT(OR(Hoja4!I39="Cheque",Hoja4!J39="Cerveza")),"Aprobado","No Aprobado")</f>
        <v>Aprobado</v>
      </c>
    </row>
    <row r="41" spans="19:26" x14ac:dyDescent="0.25">
      <c r="S41" s="2" t="b">
        <f>AND(Hoja4!$P40="abril",Hoja4!$O40="Jue.")</f>
        <v>0</v>
      </c>
      <c r="T41" t="str">
        <f>IF(AND(Hoja4!H40="Empresa de embarque B",Hoja4!I40="Cheque"),"dale","vaaa")</f>
        <v>vaaa</v>
      </c>
      <c r="V41" t="str">
        <f>IF(AND(Hoja4!H40="Empresa de embarque B",Hoja4!I40="Cheque",Hoja4!J40="Cerveza"),"dale","vaaa")</f>
        <v>vaaa</v>
      </c>
      <c r="X41" t="str">
        <f>IF(OR(Hoja4!H40="Empresa de embarque B",Hoja4!I40="Cheque",Hoja4!J40="cerveza"),"dale","vaaa")</f>
        <v>vaaa</v>
      </c>
      <c r="Z41" t="str">
        <f>IF(NOT(OR(Hoja4!I40="Cheque",Hoja4!J40="Cerveza")),"Aprobado","No Aprobado")</f>
        <v>Aprobado</v>
      </c>
    </row>
    <row r="42" spans="19:26" x14ac:dyDescent="0.25">
      <c r="S42" s="2" t="b">
        <f>AND(Hoja4!$P41="abril",Hoja4!$O41="Jue.")</f>
        <v>0</v>
      </c>
      <c r="T42" t="str">
        <f>IF(AND(Hoja4!H41="Empresa de embarque B",Hoja4!I41="Cheque"),"dale","vaaa")</f>
        <v>vaaa</v>
      </c>
      <c r="V42" t="str">
        <f>IF(AND(Hoja4!H41="Empresa de embarque B",Hoja4!I41="Cheque",Hoja4!J41="Cerveza"),"dale","vaaa")</f>
        <v>vaaa</v>
      </c>
      <c r="X42" t="str">
        <f>IF(OR(Hoja4!H41="Empresa de embarque B",Hoja4!I41="Cheque",Hoja4!J41="cerveza"),"dale","vaaa")</f>
        <v>vaaa</v>
      </c>
      <c r="Z42" t="str">
        <f>IF(NOT(OR(Hoja4!I41="Cheque",Hoja4!J41="Cerveza")),"Aprobado","No Aprobado")</f>
        <v>Aprobado</v>
      </c>
    </row>
    <row r="43" spans="19:26" x14ac:dyDescent="0.25">
      <c r="S43" s="2" t="b">
        <f>AND(Hoja4!$P42="abril",Hoja4!$O42="Jue.")</f>
        <v>0</v>
      </c>
      <c r="T43" t="str">
        <f>IF(AND(Hoja4!H42="Empresa de embarque B",Hoja4!I42="Cheque"),"dale","vaaa")</f>
        <v>vaaa</v>
      </c>
      <c r="V43" t="str">
        <f>IF(AND(Hoja4!H42="Empresa de embarque B",Hoja4!I42="Cheque",Hoja4!J42="Cerveza"),"dale","vaaa")</f>
        <v>vaaa</v>
      </c>
      <c r="X43" t="str">
        <f>IF(OR(Hoja4!H42="Empresa de embarque B",Hoja4!I42="Cheque",Hoja4!J42="cerveza"),"dale","vaaa")</f>
        <v>dale</v>
      </c>
      <c r="Z43" t="str">
        <f>IF(NOT(OR(Hoja4!I42="Cheque",Hoja4!J42="Cerveza")),"Aprobado","No Aprobado")</f>
        <v>No Aprobado</v>
      </c>
    </row>
    <row r="44" spans="19:26" x14ac:dyDescent="0.25">
      <c r="S44" s="2" t="b">
        <f>AND(Hoja4!$P43="abril",Hoja4!$O43="Jue.")</f>
        <v>0</v>
      </c>
      <c r="T44" t="str">
        <f>IF(AND(Hoja4!H43="Empresa de embarque B",Hoja4!I43="Cheque"),"dale","vaaa")</f>
        <v>vaaa</v>
      </c>
      <c r="V44" t="str">
        <f>IF(AND(Hoja4!H43="Empresa de embarque B",Hoja4!I43="Cheque",Hoja4!J43="Cerveza"),"dale","vaaa")</f>
        <v>vaaa</v>
      </c>
      <c r="X44" t="str">
        <f>IF(OR(Hoja4!H43="Empresa de embarque B",Hoja4!I43="Cheque",Hoja4!J43="cerveza"),"dale","vaaa")</f>
        <v>dale</v>
      </c>
      <c r="Z44" t="str">
        <f>IF(NOT(OR(Hoja4!I43="Cheque",Hoja4!J43="Cerveza")),"Aprobado","No Aprobado")</f>
        <v>Aprobado</v>
      </c>
    </row>
    <row r="45" spans="19:26" x14ac:dyDescent="0.25">
      <c r="S45" s="2" t="b">
        <f>AND(Hoja4!$P44="abril",Hoja4!$O44="Jue.")</f>
        <v>0</v>
      </c>
      <c r="T45" t="str">
        <f>IF(AND(Hoja4!H44="Empresa de embarque B",Hoja4!I44="Cheque"),"dale","vaaa")</f>
        <v>dale</v>
      </c>
      <c r="V45" t="str">
        <f>IF(AND(Hoja4!H44="Empresa de embarque B",Hoja4!I44="Cheque",Hoja4!J44="Cerveza"),"dale","vaaa")</f>
        <v>vaaa</v>
      </c>
      <c r="X45" t="str">
        <f>IF(OR(Hoja4!H44="Empresa de embarque B",Hoja4!I44="Cheque",Hoja4!J44="cerveza"),"dale","vaaa")</f>
        <v>dale</v>
      </c>
      <c r="Z45" t="str">
        <f>IF(NOT(OR(Hoja4!I44="Cheque",Hoja4!J44="Cerveza")),"Aprobado","No Aprobado")</f>
        <v>No Aprobado</v>
      </c>
    </row>
    <row r="46" spans="19:26" x14ac:dyDescent="0.25">
      <c r="S46" s="2" t="b">
        <f>AND(Hoja4!$P45="abril",Hoja4!$O45="Jue.")</f>
        <v>0</v>
      </c>
      <c r="T46" t="str">
        <f>IF(AND(Hoja4!H45="Empresa de embarque B",Hoja4!I45="Cheque"),"dale","vaaa")</f>
        <v>vaaa</v>
      </c>
      <c r="V46" t="str">
        <f>IF(AND(Hoja4!H45="Empresa de embarque B",Hoja4!I45="Cheque",Hoja4!J45="Cerveza"),"dale","vaaa")</f>
        <v>vaaa</v>
      </c>
      <c r="X46" t="str">
        <f>IF(OR(Hoja4!H45="Empresa de embarque B",Hoja4!I45="Cheque",Hoja4!J45="cerveza"),"dale","vaaa")</f>
        <v>vaaa</v>
      </c>
      <c r="Z46" t="str">
        <f>IF(NOT(OR(Hoja4!I45="Cheque",Hoja4!J45="Cerveza")),"Aprobado","No Aprobado")</f>
        <v>Aprobado</v>
      </c>
    </row>
    <row r="47" spans="19:26" x14ac:dyDescent="0.25">
      <c r="S47" s="2" t="b">
        <f>AND(Hoja4!$P46="abril",Hoja4!$O46="Jue.")</f>
        <v>0</v>
      </c>
      <c r="T47" t="str">
        <f>IF(AND(Hoja4!H46="Empresa de embarque B",Hoja4!I46="Cheque"),"dale","vaaa")</f>
        <v>vaaa</v>
      </c>
      <c r="V47" t="str">
        <f>IF(AND(Hoja4!H46="Empresa de embarque B",Hoja4!I46="Cheque",Hoja4!J46="Cerveza"),"dale","vaaa")</f>
        <v>vaaa</v>
      </c>
      <c r="X47" t="str">
        <f>IF(OR(Hoja4!H46="Empresa de embarque B",Hoja4!I46="Cheque",Hoja4!J46="cerveza"),"dale","vaaa")</f>
        <v>vaaa</v>
      </c>
      <c r="Z47" t="str">
        <f>IF(NOT(OR(Hoja4!I46="Cheque",Hoja4!J46="Cerveza")),"Aprobado","No Aprobado")</f>
        <v>Aprobado</v>
      </c>
    </row>
    <row r="48" spans="19:26" x14ac:dyDescent="0.25">
      <c r="S48" s="2" t="b">
        <f>AND(Hoja4!$P47="abril",Hoja4!$O47="Jue.")</f>
        <v>0</v>
      </c>
      <c r="T48" t="str">
        <f>IF(AND(Hoja4!H47="Empresa de embarque B",Hoja4!I47="Cheque"),"dale","vaaa")</f>
        <v>dale</v>
      </c>
      <c r="V48" t="str">
        <f>IF(AND(Hoja4!H47="Empresa de embarque B",Hoja4!I47="Cheque",Hoja4!J47="Cerveza"),"dale","vaaa")</f>
        <v>vaaa</v>
      </c>
      <c r="X48" t="str">
        <f>IF(OR(Hoja4!H47="Empresa de embarque B",Hoja4!I47="Cheque",Hoja4!J47="cerveza"),"dale","vaaa")</f>
        <v>dale</v>
      </c>
      <c r="Z48" t="str">
        <f>IF(NOT(OR(Hoja4!I47="Cheque",Hoja4!J47="Cerveza")),"Aprobado","No Aprobado")</f>
        <v>No Aprobado</v>
      </c>
    </row>
    <row r="49" spans="19:26" x14ac:dyDescent="0.25">
      <c r="S49" s="2" t="b">
        <f>AND(Hoja4!$P48="abril",Hoja4!$O48="Jue.")</f>
        <v>0</v>
      </c>
      <c r="T49" t="str">
        <f>IF(AND(Hoja4!H48="Empresa de embarque B",Hoja4!I48="Cheque"),"dale","vaaa")</f>
        <v>vaaa</v>
      </c>
      <c r="V49" t="str">
        <f>IF(AND(Hoja4!H48="Empresa de embarque B",Hoja4!I48="Cheque",Hoja4!J48="Cerveza"),"dale","vaaa")</f>
        <v>vaaa</v>
      </c>
      <c r="X49" t="str">
        <f>IF(OR(Hoja4!H48="Empresa de embarque B",Hoja4!I48="Cheque",Hoja4!J48="cerveza"),"dale","vaaa")</f>
        <v>dale</v>
      </c>
      <c r="Z49" t="str">
        <f>IF(NOT(OR(Hoja4!I48="Cheque",Hoja4!J48="Cerveza")),"Aprobado","No Aprobado")</f>
        <v>No Aprobado</v>
      </c>
    </row>
    <row r="50" spans="19:26" x14ac:dyDescent="0.25">
      <c r="S50" s="2" t="b">
        <f>AND(Hoja4!$P49="abril",Hoja4!$O49="Jue.")</f>
        <v>0</v>
      </c>
      <c r="T50" t="str">
        <f>IF(AND(Hoja4!H49="Empresa de embarque B",Hoja4!I49="Cheque"),"dale","vaaa")</f>
        <v>vaaa</v>
      </c>
      <c r="V50" t="str">
        <f>IF(AND(Hoja4!H49="Empresa de embarque B",Hoja4!I49="Cheque",Hoja4!J49="Cerveza"),"dale","vaaa")</f>
        <v>vaaa</v>
      </c>
      <c r="X50" t="str">
        <f>IF(OR(Hoja4!H49="Empresa de embarque B",Hoja4!I49="Cheque",Hoja4!J49="cerveza"),"dale","vaaa")</f>
        <v>dale</v>
      </c>
      <c r="Z50" t="str">
        <f>IF(NOT(OR(Hoja4!I49="Cheque",Hoja4!J49="Cerveza")),"Aprobado","No Aprobado")</f>
        <v>No Aprobado</v>
      </c>
    </row>
    <row r="51" spans="19:26" x14ac:dyDescent="0.25">
      <c r="S51" s="2" t="b">
        <f>AND(Hoja4!$P50="abril",Hoja4!$O50="Jue.")</f>
        <v>0</v>
      </c>
      <c r="T51" t="str">
        <f>IF(AND(Hoja4!H50="Empresa de embarque B",Hoja4!I50="Cheque"),"dale","vaaa")</f>
        <v>vaaa</v>
      </c>
      <c r="V51" t="str">
        <f>IF(AND(Hoja4!H50="Empresa de embarque B",Hoja4!I50="Cheque",Hoja4!J50="Cerveza"),"dale","vaaa")</f>
        <v>vaaa</v>
      </c>
      <c r="X51" t="str">
        <f>IF(OR(Hoja4!H50="Empresa de embarque B",Hoja4!I50="Cheque",Hoja4!J50="cerveza"),"dale","vaaa")</f>
        <v>vaaa</v>
      </c>
      <c r="Z51" t="str">
        <f>IF(NOT(OR(Hoja4!I50="Cheque",Hoja4!J50="Cerveza")),"Aprobado","No Aprobado")</f>
        <v>Aprobado</v>
      </c>
    </row>
    <row r="52" spans="19:26" x14ac:dyDescent="0.25">
      <c r="S52" s="2" t="b">
        <f>AND(Hoja4!$P51="abril",Hoja4!$O51="Jue.")</f>
        <v>0</v>
      </c>
      <c r="T52" t="str">
        <f>IF(AND(Hoja4!H51="Empresa de embarque B",Hoja4!I51="Cheque"),"dale","vaaa")</f>
        <v>vaaa</v>
      </c>
      <c r="V52" t="str">
        <f>IF(AND(Hoja4!H51="Empresa de embarque B",Hoja4!I51="Cheque",Hoja4!J51="Cerveza"),"dale","vaaa")</f>
        <v>vaaa</v>
      </c>
      <c r="X52" t="str">
        <f>IF(OR(Hoja4!H51="Empresa de embarque B",Hoja4!I51="Cheque",Hoja4!J51="cerveza"),"dale","vaaa")</f>
        <v>vaaa</v>
      </c>
      <c r="Z52" t="str">
        <f>IF(NOT(OR(Hoja4!I51="Cheque",Hoja4!J51="Cerveza")),"Aprobado","No Aprobado")</f>
        <v>Aprobado</v>
      </c>
    </row>
    <row r="53" spans="19:26" x14ac:dyDescent="0.25">
      <c r="S53" s="2" t="b">
        <f>AND(Hoja4!$P52="abril",Hoja4!$O52="Jue.")</f>
        <v>0</v>
      </c>
      <c r="T53" t="str">
        <f>IF(AND(Hoja4!H52="Empresa de embarque B",Hoja4!I52="Cheque"),"dale","vaaa")</f>
        <v>vaaa</v>
      </c>
      <c r="V53" t="str">
        <f>IF(AND(Hoja4!H52="Empresa de embarque B",Hoja4!I52="Cheque",Hoja4!J52="Cerveza"),"dale","vaaa")</f>
        <v>vaaa</v>
      </c>
      <c r="X53" t="str">
        <f>IF(OR(Hoja4!H52="Empresa de embarque B",Hoja4!I52="Cheque",Hoja4!J52="cerveza"),"dale","vaaa")</f>
        <v>dale</v>
      </c>
      <c r="Z53" t="str">
        <f>IF(NOT(OR(Hoja4!I52="Cheque",Hoja4!J52="Cerveza")),"Aprobado","No Aprobado")</f>
        <v>No Aprobado</v>
      </c>
    </row>
    <row r="54" spans="19:26" x14ac:dyDescent="0.25">
      <c r="S54" s="2" t="b">
        <f>AND(Hoja4!$P53="abril",Hoja4!$O53="Jue.")</f>
        <v>0</v>
      </c>
      <c r="T54" t="str">
        <f>IF(AND(Hoja4!H53="Empresa de embarque B",Hoja4!I53="Cheque"),"dale","vaaa")</f>
        <v>vaaa</v>
      </c>
      <c r="V54" t="str">
        <f>IF(AND(Hoja4!H53="Empresa de embarque B",Hoja4!I53="Cheque",Hoja4!J53="Cerveza"),"dale","vaaa")</f>
        <v>vaaa</v>
      </c>
      <c r="X54" t="str">
        <f>IF(OR(Hoja4!H53="Empresa de embarque B",Hoja4!I53="Cheque",Hoja4!J53="cerveza"),"dale","vaaa")</f>
        <v>dale</v>
      </c>
      <c r="Z54" t="str">
        <f>IF(NOT(OR(Hoja4!I53="Cheque",Hoja4!J53="Cerveza")),"Aprobado","No Aprobado")</f>
        <v>No Aprobado</v>
      </c>
    </row>
    <row r="55" spans="19:26" x14ac:dyDescent="0.25">
      <c r="S55" s="2" t="b">
        <f>AND(Hoja4!$P54="abril",Hoja4!$O54="Jue.")</f>
        <v>0</v>
      </c>
      <c r="T55" t="str">
        <f>IF(AND(Hoja4!H54="Empresa de embarque B",Hoja4!I54="Cheque"),"dale","vaaa")</f>
        <v>vaaa</v>
      </c>
      <c r="V55" t="str">
        <f>IF(AND(Hoja4!H54="Empresa de embarque B",Hoja4!I54="Cheque",Hoja4!J54="Cerveza"),"dale","vaaa")</f>
        <v>vaaa</v>
      </c>
      <c r="X55" t="str">
        <f>IF(OR(Hoja4!H54="Empresa de embarque B",Hoja4!I54="Cheque",Hoja4!J54="cerveza"),"dale","vaaa")</f>
        <v>dale</v>
      </c>
      <c r="Z55" t="str">
        <f>IF(NOT(OR(Hoja4!I54="Cheque",Hoja4!J54="Cerveza")),"Aprobado","No Aprobado")</f>
        <v>No Aprobado</v>
      </c>
    </row>
    <row r="56" spans="19:26" x14ac:dyDescent="0.25">
      <c r="S56" s="2" t="b">
        <f>AND(Hoja4!$P55="abril",Hoja4!$O55="Jue.")</f>
        <v>0</v>
      </c>
      <c r="T56" t="str">
        <f>IF(AND(Hoja4!H55="Empresa de embarque B",Hoja4!I55="Cheque"),"dale","vaaa")</f>
        <v>dale</v>
      </c>
      <c r="V56" t="str">
        <f>IF(AND(Hoja4!H55="Empresa de embarque B",Hoja4!I55="Cheque",Hoja4!J55="Cerveza"),"dale","vaaa")</f>
        <v>vaaa</v>
      </c>
      <c r="X56" t="str">
        <f>IF(OR(Hoja4!H55="Empresa de embarque B",Hoja4!I55="Cheque",Hoja4!J55="cerveza"),"dale","vaaa")</f>
        <v>dale</v>
      </c>
      <c r="Z56" t="str">
        <f>IF(NOT(OR(Hoja4!I55="Cheque",Hoja4!J55="Cerveza")),"Aprobado","No Aprobado")</f>
        <v>No Aprobado</v>
      </c>
    </row>
    <row r="57" spans="19:26" x14ac:dyDescent="0.25">
      <c r="S57" s="2" t="b">
        <f>AND(Hoja4!$P56="abril",Hoja4!$O56="Jue.")</f>
        <v>0</v>
      </c>
      <c r="T57" t="str">
        <f>IF(AND(Hoja4!H56="Empresa de embarque B",Hoja4!I56="Cheque"),"dale","vaaa")</f>
        <v>dale</v>
      </c>
      <c r="V57" t="str">
        <f>IF(AND(Hoja4!H56="Empresa de embarque B",Hoja4!I56="Cheque",Hoja4!J56="Cerveza"),"dale","vaaa")</f>
        <v>vaaa</v>
      </c>
      <c r="X57" t="str">
        <f>IF(OR(Hoja4!H56="Empresa de embarque B",Hoja4!I56="Cheque",Hoja4!J56="cerveza"),"dale","vaaa")</f>
        <v>dale</v>
      </c>
      <c r="Z57" t="str">
        <f>IF(NOT(OR(Hoja4!I56="Cheque",Hoja4!J56="Cerveza")),"Aprobado","No Aprobado")</f>
        <v>No Aprobado</v>
      </c>
    </row>
    <row r="58" spans="19:26" x14ac:dyDescent="0.25">
      <c r="S58" s="2" t="b">
        <f>AND(Hoja4!$P57="abril",Hoja4!$O57="Jue.")</f>
        <v>0</v>
      </c>
      <c r="T58" t="str">
        <f>IF(AND(Hoja4!H57="Empresa de embarque B",Hoja4!I57="Cheque"),"dale","vaaa")</f>
        <v>vaaa</v>
      </c>
      <c r="V58" t="str">
        <f>IF(AND(Hoja4!H57="Empresa de embarque B",Hoja4!I57="Cheque",Hoja4!J57="Cerveza"),"dale","vaaa")</f>
        <v>vaaa</v>
      </c>
      <c r="X58" t="str">
        <f>IF(OR(Hoja4!H57="Empresa de embarque B",Hoja4!I57="Cheque",Hoja4!J57="cerveza"),"dale","vaaa")</f>
        <v>vaaa</v>
      </c>
      <c r="Z58" t="str">
        <f>IF(NOT(OR(Hoja4!I57="Cheque",Hoja4!J57="Cerveza")),"Aprobado","No Aprobado")</f>
        <v>Aprobado</v>
      </c>
    </row>
    <row r="59" spans="19:26" x14ac:dyDescent="0.25">
      <c r="S59" s="2" t="b">
        <f>AND(Hoja4!$P58="abril",Hoja4!$O58="Jue.")</f>
        <v>0</v>
      </c>
      <c r="T59" t="str">
        <f>IF(AND(Hoja4!H58="Empresa de embarque B",Hoja4!I58="Cheque"),"dale","vaaa")</f>
        <v>vaaa</v>
      </c>
      <c r="V59" t="str">
        <f>IF(AND(Hoja4!H58="Empresa de embarque B",Hoja4!I58="Cheque",Hoja4!J58="Cerveza"),"dale","vaaa")</f>
        <v>vaaa</v>
      </c>
      <c r="X59" t="str">
        <f>IF(OR(Hoja4!H58="Empresa de embarque B",Hoja4!I58="Cheque",Hoja4!J58="cerveza"),"dale","vaaa")</f>
        <v>vaaa</v>
      </c>
      <c r="Z59" t="str">
        <f>IF(NOT(OR(Hoja4!I58="Cheque",Hoja4!J58="Cerveza")),"Aprobado","No Aprobado")</f>
        <v>Aprobado</v>
      </c>
    </row>
    <row r="60" spans="19:26" x14ac:dyDescent="0.25">
      <c r="S60" s="2" t="b">
        <f>AND(Hoja4!$P59="abril",Hoja4!$O59="Jue.")</f>
        <v>0</v>
      </c>
      <c r="T60" t="str">
        <f>IF(AND(Hoja4!H59="Empresa de embarque B",Hoja4!I59="Cheque"),"dale","vaaa")</f>
        <v>vaaa</v>
      </c>
      <c r="V60" t="str">
        <f>IF(AND(Hoja4!H59="Empresa de embarque B",Hoja4!I59="Cheque",Hoja4!J59="Cerveza"),"dale","vaaa")</f>
        <v>vaaa</v>
      </c>
      <c r="X60" t="str">
        <f>IF(OR(Hoja4!H59="Empresa de embarque B",Hoja4!I59="Cheque",Hoja4!J59="cerveza"),"dale","vaaa")</f>
        <v>vaaa</v>
      </c>
      <c r="Z60" t="str">
        <f>IF(NOT(OR(Hoja4!I59="Cheque",Hoja4!J59="Cerveza")),"Aprobado","No Aprobado")</f>
        <v>Aprobado</v>
      </c>
    </row>
    <row r="61" spans="19:26" x14ac:dyDescent="0.25">
      <c r="S61" s="2" t="b">
        <f>AND(Hoja4!$P60="abril",Hoja4!$O60="Jue.")</f>
        <v>0</v>
      </c>
      <c r="T61" t="str">
        <f>IF(AND(Hoja4!H60="Empresa de embarque B",Hoja4!I60="Cheque"),"dale","vaaa")</f>
        <v>vaaa</v>
      </c>
      <c r="V61" t="str">
        <f>IF(AND(Hoja4!H60="Empresa de embarque B",Hoja4!I60="Cheque",Hoja4!J60="Cerveza"),"dale","vaaa")</f>
        <v>vaaa</v>
      </c>
      <c r="X61" t="str">
        <f>IF(OR(Hoja4!H60="Empresa de embarque B",Hoja4!I60="Cheque",Hoja4!J60="cerveza"),"dale","vaaa")</f>
        <v>vaaa</v>
      </c>
      <c r="Z61" t="str">
        <f>IF(NOT(OR(Hoja4!I60="Cheque",Hoja4!J60="Cerveza")),"Aprobado","No Aprobado")</f>
        <v>Aprobado</v>
      </c>
    </row>
    <row r="62" spans="19:26" x14ac:dyDescent="0.25">
      <c r="S62" s="2" t="b">
        <f>AND(Hoja4!$P61="abril",Hoja4!$O61="Jue.")</f>
        <v>0</v>
      </c>
      <c r="T62" t="str">
        <f>IF(AND(Hoja4!H61="Empresa de embarque B",Hoja4!I61="Cheque"),"dale","vaaa")</f>
        <v>dale</v>
      </c>
      <c r="V62" t="str">
        <f>IF(AND(Hoja4!H61="Empresa de embarque B",Hoja4!I61="Cheque",Hoja4!J61="Cerveza"),"dale","vaaa")</f>
        <v>dale</v>
      </c>
      <c r="X62" t="str">
        <f>IF(OR(Hoja4!H61="Empresa de embarque B",Hoja4!I61="Cheque",Hoja4!J61="cerveza"),"dale","vaaa")</f>
        <v>dale</v>
      </c>
      <c r="Z62" t="str">
        <f>IF(NOT(OR(Hoja4!I61="Cheque",Hoja4!J61="Cerveza")),"Aprobado","No Aprobado")</f>
        <v>No Aprobado</v>
      </c>
    </row>
    <row r="63" spans="19:26" x14ac:dyDescent="0.25">
      <c r="S63" s="2" t="b">
        <f>AND(Hoja4!$P62="abril",Hoja4!$O62="Jue.")</f>
        <v>0</v>
      </c>
      <c r="T63" t="str">
        <f>IF(AND(Hoja4!H62="Empresa de embarque B",Hoja4!I62="Cheque"),"dale","vaaa")</f>
        <v>vaaa</v>
      </c>
      <c r="V63" t="str">
        <f>IF(AND(Hoja4!H62="Empresa de embarque B",Hoja4!I62="Cheque",Hoja4!J62="Cerveza"),"dale","vaaa")</f>
        <v>vaaa</v>
      </c>
      <c r="X63" t="str">
        <f>IF(OR(Hoja4!H62="Empresa de embarque B",Hoja4!I62="Cheque",Hoja4!J62="cerveza"),"dale","vaaa")</f>
        <v>dale</v>
      </c>
      <c r="Z63" t="str">
        <f>IF(NOT(OR(Hoja4!I62="Cheque",Hoja4!J62="Cerveza")),"Aprobado","No Aprobado")</f>
        <v>No Aprobado</v>
      </c>
    </row>
    <row r="64" spans="19:26" x14ac:dyDescent="0.25">
      <c r="S64" s="2" t="b">
        <f>AND(Hoja4!$P63="abril",Hoja4!$O63="Jue.")</f>
        <v>0</v>
      </c>
      <c r="T64" t="str">
        <f>IF(AND(Hoja4!H63="Empresa de embarque B",Hoja4!I63="Cheque"),"dale","vaaa")</f>
        <v>vaaa</v>
      </c>
      <c r="V64" t="str">
        <f>IF(AND(Hoja4!H63="Empresa de embarque B",Hoja4!I63="Cheque",Hoja4!J63="Cerveza"),"dale","vaaa")</f>
        <v>vaaa</v>
      </c>
      <c r="X64" t="str">
        <f>IF(OR(Hoja4!H63="Empresa de embarque B",Hoja4!I63="Cheque",Hoja4!J63="cerveza"),"dale","vaaa")</f>
        <v>vaaa</v>
      </c>
      <c r="Z64" t="str">
        <f>IF(NOT(OR(Hoja4!I63="Cheque",Hoja4!J63="Cerveza")),"Aprobado","No Aprobado")</f>
        <v>Aprobado</v>
      </c>
    </row>
    <row r="65" spans="19:26" x14ac:dyDescent="0.25">
      <c r="S65" s="2" t="b">
        <f>AND(Hoja4!$P64="abril",Hoja4!$O64="Jue.")</f>
        <v>0</v>
      </c>
      <c r="T65" t="str">
        <f>IF(AND(Hoja4!H64="Empresa de embarque B",Hoja4!I64="Cheque"),"dale","vaaa")</f>
        <v>vaaa</v>
      </c>
      <c r="V65" t="str">
        <f>IF(AND(Hoja4!H64="Empresa de embarque B",Hoja4!I64="Cheque",Hoja4!J64="Cerveza"),"dale","vaaa")</f>
        <v>vaaa</v>
      </c>
      <c r="X65" t="str">
        <f>IF(OR(Hoja4!H64="Empresa de embarque B",Hoja4!I64="Cheque",Hoja4!J64="cerveza"),"dale","vaaa")</f>
        <v>vaaa</v>
      </c>
      <c r="Z65" t="str">
        <f>IF(NOT(OR(Hoja4!I64="Cheque",Hoja4!J64="Cerveza")),"Aprobado","No Aprobado")</f>
        <v>Aprobado</v>
      </c>
    </row>
    <row r="66" spans="19:26" x14ac:dyDescent="0.25">
      <c r="S66" s="2" t="b">
        <f>AND(Hoja4!$P65="abril",Hoja4!$O65="Jue.")</f>
        <v>0</v>
      </c>
      <c r="T66" t="str">
        <f>IF(AND(Hoja4!H65="Empresa de embarque B",Hoja4!I65="Cheque"),"dale","vaaa")</f>
        <v>vaaa</v>
      </c>
      <c r="V66" t="str">
        <f>IF(AND(Hoja4!H65="Empresa de embarque B",Hoja4!I65="Cheque",Hoja4!J65="Cerveza"),"dale","vaaa")</f>
        <v>vaaa</v>
      </c>
      <c r="X66" t="str">
        <f>IF(OR(Hoja4!H65="Empresa de embarque B",Hoja4!I65="Cheque",Hoja4!J65="cerveza"),"dale","vaaa")</f>
        <v>vaaa</v>
      </c>
      <c r="Z66" t="str">
        <f>IF(NOT(OR(Hoja4!I65="Cheque",Hoja4!J65="Cerveza")),"Aprobado","No Aprobado")</f>
        <v>Aprobado</v>
      </c>
    </row>
    <row r="67" spans="19:26" x14ac:dyDescent="0.25">
      <c r="S67" s="2" t="b">
        <f>AND(Hoja4!$P66="abril",Hoja4!$O66="Jue.")</f>
        <v>0</v>
      </c>
      <c r="T67" t="str">
        <f>IF(AND(Hoja4!H66="Empresa de embarque B",Hoja4!I66="Cheque"),"dale","vaaa")</f>
        <v>vaaa</v>
      </c>
      <c r="V67" t="str">
        <f>IF(AND(Hoja4!H66="Empresa de embarque B",Hoja4!I66="Cheque",Hoja4!J66="Cerveza"),"dale","vaaa")</f>
        <v>vaaa</v>
      </c>
      <c r="X67" t="str">
        <f>IF(OR(Hoja4!H66="Empresa de embarque B",Hoja4!I66="Cheque",Hoja4!J66="cerveza"),"dale","vaaa")</f>
        <v>dale</v>
      </c>
      <c r="Z67" t="str">
        <f>IF(NOT(OR(Hoja4!I66="Cheque",Hoja4!J66="Cerveza")),"Aprobado","No Aprobado")</f>
        <v>Aprobado</v>
      </c>
    </row>
    <row r="68" spans="19:26" x14ac:dyDescent="0.25">
      <c r="S68" s="2" t="b">
        <f>AND(Hoja4!$P67="abril",Hoja4!$O67="Jue.")</f>
        <v>0</v>
      </c>
      <c r="T68" t="str">
        <f>IF(AND(Hoja4!H67="Empresa de embarque B",Hoja4!I67="Cheque"),"dale","vaaa")</f>
        <v>vaaa</v>
      </c>
      <c r="V68" t="str">
        <f>IF(AND(Hoja4!H67="Empresa de embarque B",Hoja4!I67="Cheque",Hoja4!J67="Cerveza"),"dale","vaaa")</f>
        <v>vaaa</v>
      </c>
      <c r="X68" t="str">
        <f>IF(OR(Hoja4!H67="Empresa de embarque B",Hoja4!I67="Cheque",Hoja4!J67="cerveza"),"dale","vaaa")</f>
        <v>dale</v>
      </c>
      <c r="Z68" t="str">
        <f>IF(NOT(OR(Hoja4!I67="Cheque",Hoja4!J67="Cerveza")),"Aprobado","No Aprobado")</f>
        <v>Aprobado</v>
      </c>
    </row>
    <row r="69" spans="19:26" x14ac:dyDescent="0.25">
      <c r="S69" s="2" t="b">
        <f>AND(Hoja4!$P68="abril",Hoja4!$O68="Jue.")</f>
        <v>0</v>
      </c>
      <c r="T69" t="str">
        <f>IF(AND(Hoja4!H68="Empresa de embarque B",Hoja4!I68="Cheque"),"dale","vaaa")</f>
        <v>vaaa</v>
      </c>
      <c r="V69" t="str">
        <f>IF(AND(Hoja4!H68="Empresa de embarque B",Hoja4!I68="Cheque",Hoja4!J68="Cerveza"),"dale","vaaa")</f>
        <v>vaaa</v>
      </c>
      <c r="X69" t="str">
        <f>IF(OR(Hoja4!H68="Empresa de embarque B",Hoja4!I68="Cheque",Hoja4!J68="cerveza"),"dale","vaaa")</f>
        <v>dale</v>
      </c>
      <c r="Z69" t="str">
        <f>IF(NOT(OR(Hoja4!I68="Cheque",Hoja4!J68="Cerveza")),"Aprobado","No Aprobado")</f>
        <v>Aprobado</v>
      </c>
    </row>
    <row r="70" spans="19:26" x14ac:dyDescent="0.25">
      <c r="S70" s="2" t="b">
        <f>AND(Hoja4!$P69="abril",Hoja4!$O69="Jue.")</f>
        <v>0</v>
      </c>
      <c r="T70" t="str">
        <f>IF(AND(Hoja4!H69="Empresa de embarque B",Hoja4!I69="Cheque"),"dale","vaaa")</f>
        <v>vaaa</v>
      </c>
      <c r="V70" t="str">
        <f>IF(AND(Hoja4!H69="Empresa de embarque B",Hoja4!I69="Cheque",Hoja4!J69="Cerveza"),"dale","vaaa")</f>
        <v>vaaa</v>
      </c>
      <c r="X70" t="str">
        <f>IF(OR(Hoja4!H69="Empresa de embarque B",Hoja4!I69="Cheque",Hoja4!J69="cerveza"),"dale","vaaa")</f>
        <v>vaaa</v>
      </c>
      <c r="Z70" t="str">
        <f>IF(NOT(OR(Hoja4!I69="Cheque",Hoja4!J69="Cerveza")),"Aprobado","No Aprobado")</f>
        <v>Aprobado</v>
      </c>
    </row>
    <row r="71" spans="19:26" x14ac:dyDescent="0.25">
      <c r="S71" s="2" t="b">
        <f>AND(Hoja4!$P70="abril",Hoja4!$O70="Jue.")</f>
        <v>0</v>
      </c>
      <c r="T71" t="str">
        <f>IF(AND(Hoja4!H70="Empresa de embarque B",Hoja4!I70="Cheque"),"dale","vaaa")</f>
        <v>vaaa</v>
      </c>
      <c r="V71" t="str">
        <f>IF(AND(Hoja4!H70="Empresa de embarque B",Hoja4!I70="Cheque",Hoja4!J70="Cerveza"),"dale","vaaa")</f>
        <v>vaaa</v>
      </c>
      <c r="X71" t="str">
        <f>IF(OR(Hoja4!H70="Empresa de embarque B",Hoja4!I70="Cheque",Hoja4!J70="cerveza"),"dale","vaaa")</f>
        <v>vaaa</v>
      </c>
      <c r="Z71" t="str">
        <f>IF(NOT(OR(Hoja4!I70="Cheque",Hoja4!J70="Cerveza")),"Aprobado","No Aprobado")</f>
        <v>Aprobado</v>
      </c>
    </row>
    <row r="72" spans="19:26" x14ac:dyDescent="0.25">
      <c r="S72" s="2" t="b">
        <f>AND(Hoja4!$P71="abril",Hoja4!$O71="Jue.")</f>
        <v>0</v>
      </c>
      <c r="T72" t="str">
        <f>IF(AND(Hoja4!H71="Empresa de embarque B",Hoja4!I71="Cheque"),"dale","vaaa")</f>
        <v>vaaa</v>
      </c>
      <c r="V72" t="str">
        <f>IF(AND(Hoja4!H71="Empresa de embarque B",Hoja4!I71="Cheque",Hoja4!J71="Cerveza"),"dale","vaaa")</f>
        <v>vaaa</v>
      </c>
      <c r="X72" t="str">
        <f>IF(OR(Hoja4!H71="Empresa de embarque B",Hoja4!I71="Cheque",Hoja4!J71="cerveza"),"dale","vaaa")</f>
        <v>vaaa</v>
      </c>
      <c r="Z72" t="str">
        <f>IF(NOT(OR(Hoja4!I71="Cheque",Hoja4!J71="Cerveza")),"Aprobado","No Aprobado")</f>
        <v>Aprobado</v>
      </c>
    </row>
    <row r="73" spans="19:26" x14ac:dyDescent="0.25">
      <c r="S73" s="2" t="b">
        <f>AND(Hoja4!$P72="abril",Hoja4!$O72="Jue.")</f>
        <v>0</v>
      </c>
      <c r="T73" t="str">
        <f>IF(AND(Hoja4!H72="Empresa de embarque B",Hoja4!I72="Cheque"),"dale","vaaa")</f>
        <v>vaaa</v>
      </c>
      <c r="V73" t="str">
        <f>IF(AND(Hoja4!H72="Empresa de embarque B",Hoja4!I72="Cheque",Hoja4!J72="Cerveza"),"dale","vaaa")</f>
        <v>vaaa</v>
      </c>
      <c r="X73" t="str">
        <f>IF(OR(Hoja4!H72="Empresa de embarque B",Hoja4!I72="Cheque",Hoja4!J72="cerveza"),"dale","vaaa")</f>
        <v>vaaa</v>
      </c>
      <c r="Z73" t="str">
        <f>IF(NOT(OR(Hoja4!I72="Cheque",Hoja4!J72="Cerveza")),"Aprobado","No Aprobado")</f>
        <v>Aprobado</v>
      </c>
    </row>
    <row r="74" spans="19:26" x14ac:dyDescent="0.25">
      <c r="S74" s="2" t="b">
        <f>AND(Hoja4!$P73="abril",Hoja4!$O73="Jue.")</f>
        <v>0</v>
      </c>
      <c r="T74" t="str">
        <f>IF(AND(Hoja4!H73="Empresa de embarque B",Hoja4!I73="Cheque"),"dale","vaaa")</f>
        <v>vaaa</v>
      </c>
      <c r="V74" t="str">
        <f>IF(AND(Hoja4!H73="Empresa de embarque B",Hoja4!I73="Cheque",Hoja4!J73="Cerveza"),"dale","vaaa")</f>
        <v>vaaa</v>
      </c>
      <c r="X74" t="str">
        <f>IF(OR(Hoja4!H73="Empresa de embarque B",Hoja4!I73="Cheque",Hoja4!J73="cerveza"),"dale","vaaa")</f>
        <v>vaaa</v>
      </c>
      <c r="Z74" t="str">
        <f>IF(NOT(OR(Hoja4!I73="Cheque",Hoja4!J73="Cerveza")),"Aprobado","No Aprobado")</f>
        <v>Aprobado</v>
      </c>
    </row>
    <row r="75" spans="19:26" x14ac:dyDescent="0.25">
      <c r="S75" s="2" t="b">
        <f>AND(Hoja4!$P74="abril",Hoja4!$O74="Jue.")</f>
        <v>0</v>
      </c>
      <c r="T75" t="str">
        <f>IF(AND(Hoja4!H74="Empresa de embarque B",Hoja4!I74="Cheque"),"dale","vaaa")</f>
        <v>vaaa</v>
      </c>
      <c r="V75" t="str">
        <f>IF(AND(Hoja4!H74="Empresa de embarque B",Hoja4!I74="Cheque",Hoja4!J74="Cerveza"),"dale","vaaa")</f>
        <v>vaaa</v>
      </c>
      <c r="X75" t="str">
        <f>IF(OR(Hoja4!H74="Empresa de embarque B",Hoja4!I74="Cheque",Hoja4!J74="cerveza"),"dale","vaaa")</f>
        <v>dale</v>
      </c>
      <c r="Z75" t="str">
        <f>IF(NOT(OR(Hoja4!I74="Cheque",Hoja4!J74="Cerveza")),"Aprobado","No Aprobado")</f>
        <v>Aprobado</v>
      </c>
    </row>
    <row r="76" spans="19:26" x14ac:dyDescent="0.25">
      <c r="S76" s="2" t="b">
        <f>AND(Hoja4!$P75="abril",Hoja4!$O75="Jue.")</f>
        <v>0</v>
      </c>
      <c r="T76" t="str">
        <f>IF(AND(Hoja4!H75="Empresa de embarque B",Hoja4!I75="Cheque"),"dale","vaaa")</f>
        <v>vaaa</v>
      </c>
      <c r="V76" t="str">
        <f>IF(AND(Hoja4!H75="Empresa de embarque B",Hoja4!I75="Cheque",Hoja4!J75="Cerveza"),"dale","vaaa")</f>
        <v>vaaa</v>
      </c>
      <c r="X76" t="str">
        <f>IF(OR(Hoja4!H75="Empresa de embarque B",Hoja4!I75="Cheque",Hoja4!J75="cerveza"),"dale","vaaa")</f>
        <v>dale</v>
      </c>
      <c r="Z76" t="str">
        <f>IF(NOT(OR(Hoja4!I75="Cheque",Hoja4!J75="Cerveza")),"Aprobado","No Aprobado")</f>
        <v>Aprobado</v>
      </c>
    </row>
    <row r="77" spans="19:26" x14ac:dyDescent="0.25">
      <c r="S77" s="2" t="b">
        <f>AND(Hoja4!$P76="abril",Hoja4!$O76="Jue.")</f>
        <v>0</v>
      </c>
      <c r="T77" t="str">
        <f>IF(AND(Hoja4!H76="Empresa de embarque B",Hoja4!I76="Cheque"),"dale","vaaa")</f>
        <v>vaaa</v>
      </c>
      <c r="V77" t="str">
        <f>IF(AND(Hoja4!H76="Empresa de embarque B",Hoja4!I76="Cheque",Hoja4!J76="Cerveza"),"dale","vaaa")</f>
        <v>vaaa</v>
      </c>
      <c r="X77" t="str">
        <f>IF(OR(Hoja4!H76="Empresa de embarque B",Hoja4!I76="Cheque",Hoja4!J76="cerveza"),"dale","vaaa")</f>
        <v>vaaa</v>
      </c>
      <c r="Z77" t="str">
        <f>IF(NOT(OR(Hoja4!I76="Cheque",Hoja4!J76="Cerveza")),"Aprobado","No Aprobado")</f>
        <v>Aprobado</v>
      </c>
    </row>
    <row r="78" spans="19:26" x14ac:dyDescent="0.25">
      <c r="S78" s="2" t="b">
        <f>AND(Hoja4!$P77="abril",Hoja4!$O77="Jue.")</f>
        <v>0</v>
      </c>
      <c r="T78" t="str">
        <f>IF(AND(Hoja4!H77="Empresa de embarque B",Hoja4!I77="Cheque"),"dale","vaaa")</f>
        <v>vaaa</v>
      </c>
      <c r="V78" t="str">
        <f>IF(AND(Hoja4!H77="Empresa de embarque B",Hoja4!I77="Cheque",Hoja4!J77="Cerveza"),"dale","vaaa")</f>
        <v>vaaa</v>
      </c>
      <c r="X78" t="str">
        <f>IF(OR(Hoja4!H77="Empresa de embarque B",Hoja4!I77="Cheque",Hoja4!J77="cerveza"),"dale","vaaa")</f>
        <v>dale</v>
      </c>
      <c r="Z78" t="str">
        <f>IF(NOT(OR(Hoja4!I77="Cheque",Hoja4!J77="Cerveza")),"Aprobado","No Aprobado")</f>
        <v>No Aprobado</v>
      </c>
    </row>
    <row r="79" spans="19:26" x14ac:dyDescent="0.25">
      <c r="S79" s="2" t="b">
        <f>AND(Hoja4!$P78="abril",Hoja4!$O78="Jue.")</f>
        <v>0</v>
      </c>
      <c r="T79" t="str">
        <f>IF(AND(Hoja4!H78="Empresa de embarque B",Hoja4!I78="Cheque"),"dale","vaaa")</f>
        <v>dale</v>
      </c>
      <c r="V79" t="str">
        <f>IF(AND(Hoja4!H78="Empresa de embarque B",Hoja4!I78="Cheque",Hoja4!J78="Cerveza"),"dale","vaaa")</f>
        <v>vaaa</v>
      </c>
      <c r="X79" t="str">
        <f>IF(OR(Hoja4!H78="Empresa de embarque B",Hoja4!I78="Cheque",Hoja4!J78="cerveza"),"dale","vaaa")</f>
        <v>dale</v>
      </c>
      <c r="Z79" t="str">
        <f>IF(NOT(OR(Hoja4!I78="Cheque",Hoja4!J78="Cerveza")),"Aprobado","No Aprobado")</f>
        <v>No Aprobado</v>
      </c>
    </row>
    <row r="80" spans="19:26" x14ac:dyDescent="0.25">
      <c r="S80" s="2" t="b">
        <f>AND(Hoja4!$P79="abril",Hoja4!$O79="Jue.")</f>
        <v>0</v>
      </c>
      <c r="T80" t="str">
        <f>IF(AND(Hoja4!H79="Empresa de embarque B",Hoja4!I79="Cheque"),"dale","vaaa")</f>
        <v>vaaa</v>
      </c>
      <c r="V80" t="str">
        <f>IF(AND(Hoja4!H79="Empresa de embarque B",Hoja4!I79="Cheque",Hoja4!J79="Cerveza"),"dale","vaaa")</f>
        <v>vaaa</v>
      </c>
      <c r="X80" t="str">
        <f>IF(OR(Hoja4!H79="Empresa de embarque B",Hoja4!I79="Cheque",Hoja4!J79="cerveza"),"dale","vaaa")</f>
        <v>dale</v>
      </c>
      <c r="Z80" t="str">
        <f>IF(NOT(OR(Hoja4!I79="Cheque",Hoja4!J79="Cerveza")),"Aprobado","No Aprobado")</f>
        <v>Aprobado</v>
      </c>
    </row>
    <row r="81" spans="19:26" x14ac:dyDescent="0.25">
      <c r="S81" s="2" t="b">
        <f>AND(Hoja4!$P80="abril",Hoja4!$O80="Jue.")</f>
        <v>0</v>
      </c>
      <c r="T81" t="str">
        <f>IF(AND(Hoja4!H80="Empresa de embarque B",Hoja4!I80="Cheque"),"dale","vaaa")</f>
        <v>vaaa</v>
      </c>
      <c r="V81" t="str">
        <f>IF(AND(Hoja4!H80="Empresa de embarque B",Hoja4!I80="Cheque",Hoja4!J80="Cerveza"),"dale","vaaa")</f>
        <v>vaaa</v>
      </c>
      <c r="X81" t="str">
        <f>IF(OR(Hoja4!H80="Empresa de embarque B",Hoja4!I80="Cheque",Hoja4!J80="cerveza"),"dale","vaaa")</f>
        <v>dale</v>
      </c>
      <c r="Z81" t="str">
        <f>IF(NOT(OR(Hoja4!I80="Cheque",Hoja4!J80="Cerveza")),"Aprobado","No Aprobado")</f>
        <v>Aprobado</v>
      </c>
    </row>
    <row r="82" spans="19:26" x14ac:dyDescent="0.25">
      <c r="S82" s="2" t="b">
        <f>AND(Hoja4!$P81="abril",Hoja4!$O81="Jue.")</f>
        <v>0</v>
      </c>
      <c r="T82" t="str">
        <f>IF(AND(Hoja4!H81="Empresa de embarque B",Hoja4!I81="Cheque"),"dale","vaaa")</f>
        <v>vaaa</v>
      </c>
      <c r="V82" t="str">
        <f>IF(AND(Hoja4!H81="Empresa de embarque B",Hoja4!I81="Cheque",Hoja4!J81="Cerveza"),"dale","vaaa")</f>
        <v>vaaa</v>
      </c>
      <c r="X82" t="str">
        <f>IF(OR(Hoja4!H81="Empresa de embarque B",Hoja4!I81="Cheque",Hoja4!J81="cerveza"),"dale","vaaa")</f>
        <v>dale</v>
      </c>
      <c r="Z82" t="str">
        <f>IF(NOT(OR(Hoja4!I81="Cheque",Hoja4!J81="Cerveza")),"Aprobado","No Aprobado")</f>
        <v>No Aprobado</v>
      </c>
    </row>
    <row r="83" spans="19:26" x14ac:dyDescent="0.25">
      <c r="S83" s="2" t="b">
        <f>AND(Hoja4!$P82="abril",Hoja4!$O82="Jue.")</f>
        <v>0</v>
      </c>
      <c r="T83" t="str">
        <f>IF(AND(Hoja4!H82="Empresa de embarque B",Hoja4!I82="Cheque"),"dale","vaaa")</f>
        <v>vaaa</v>
      </c>
      <c r="V83" t="str">
        <f>IF(AND(Hoja4!H82="Empresa de embarque B",Hoja4!I82="Cheque",Hoja4!J82="Cerveza"),"dale","vaaa")</f>
        <v>vaaa</v>
      </c>
      <c r="X83" t="str">
        <f>IF(OR(Hoja4!H82="Empresa de embarque B",Hoja4!I82="Cheque",Hoja4!J82="cerveza"),"dale","vaaa")</f>
        <v>dale</v>
      </c>
      <c r="Z83" t="str">
        <f>IF(NOT(OR(Hoja4!I82="Cheque",Hoja4!J82="Cerveza")),"Aprobado","No Aprobado")</f>
        <v>No Aprobado</v>
      </c>
    </row>
    <row r="84" spans="19:26" x14ac:dyDescent="0.25">
      <c r="S84" s="2" t="b">
        <f>AND(Hoja4!$P83="abril",Hoja4!$O83="Jue.")</f>
        <v>0</v>
      </c>
      <c r="T84" t="str">
        <f>IF(AND(Hoja4!H83="Empresa de embarque B",Hoja4!I83="Cheque"),"dale","vaaa")</f>
        <v>vaaa</v>
      </c>
      <c r="V84" t="str">
        <f>IF(AND(Hoja4!H83="Empresa de embarque B",Hoja4!I83="Cheque",Hoja4!J83="Cerveza"),"dale","vaaa")</f>
        <v>vaaa</v>
      </c>
      <c r="X84" t="str">
        <f>IF(OR(Hoja4!H83="Empresa de embarque B",Hoja4!I83="Cheque",Hoja4!J83="cerveza"),"dale","vaaa")</f>
        <v>dale</v>
      </c>
      <c r="Z84" t="str">
        <f>IF(NOT(OR(Hoja4!I83="Cheque",Hoja4!J83="Cerveza")),"Aprobado","No Aprobado")</f>
        <v>Aprobado</v>
      </c>
    </row>
    <row r="85" spans="19:26" x14ac:dyDescent="0.25">
      <c r="S85" s="2" t="b">
        <f>AND(Hoja4!$P84="abril",Hoja4!$O84="Jue.")</f>
        <v>0</v>
      </c>
      <c r="T85" t="str">
        <f>IF(AND(Hoja4!H84="Empresa de embarque B",Hoja4!I84="Cheque"),"dale","vaaa")</f>
        <v>vaaa</v>
      </c>
      <c r="V85" t="str">
        <f>IF(AND(Hoja4!H84="Empresa de embarque B",Hoja4!I84="Cheque",Hoja4!J84="Cerveza"),"dale","vaaa")</f>
        <v>vaaa</v>
      </c>
      <c r="X85" t="str">
        <f>IF(OR(Hoja4!H84="Empresa de embarque B",Hoja4!I84="Cheque",Hoja4!J84="cerveza"),"dale","vaaa")</f>
        <v>vaaa</v>
      </c>
      <c r="Z85" t="str">
        <f>IF(NOT(OR(Hoja4!I84="Cheque",Hoja4!J84="Cerveza")),"Aprobado","No Aprobado")</f>
        <v>Aprobado</v>
      </c>
    </row>
    <row r="86" spans="19:26" x14ac:dyDescent="0.25">
      <c r="S86" s="2" t="b">
        <f>AND(Hoja4!$P85="abril",Hoja4!$O85="Jue.")</f>
        <v>0</v>
      </c>
      <c r="T86" t="str">
        <f>IF(AND(Hoja4!H85="Empresa de embarque B",Hoja4!I85="Cheque"),"dale","vaaa")</f>
        <v>vaaa</v>
      </c>
      <c r="V86" t="str">
        <f>IF(AND(Hoja4!H85="Empresa de embarque B",Hoja4!I85="Cheque",Hoja4!J85="Cerveza"),"dale","vaaa")</f>
        <v>vaaa</v>
      </c>
      <c r="X86" t="str">
        <f>IF(OR(Hoja4!H85="Empresa de embarque B",Hoja4!I85="Cheque",Hoja4!J85="cerveza"),"dale","vaaa")</f>
        <v>vaaa</v>
      </c>
      <c r="Z86" t="str">
        <f>IF(NOT(OR(Hoja4!I85="Cheque",Hoja4!J85="Cerveza")),"Aprobado","No Aprobado")</f>
        <v>Aprobado</v>
      </c>
    </row>
    <row r="87" spans="19:26" x14ac:dyDescent="0.25">
      <c r="S87" s="2" t="b">
        <f>AND(Hoja4!$P86="abril",Hoja4!$O86="Jue.")</f>
        <v>0</v>
      </c>
      <c r="T87" t="str">
        <f>IF(AND(Hoja4!H86="Empresa de embarque B",Hoja4!I86="Cheque"),"dale","vaaa")</f>
        <v>vaaa</v>
      </c>
      <c r="V87" t="str">
        <f>IF(AND(Hoja4!H86="Empresa de embarque B",Hoja4!I86="Cheque",Hoja4!J86="Cerveza"),"dale","vaaa")</f>
        <v>vaaa</v>
      </c>
      <c r="X87" t="str">
        <f>IF(OR(Hoja4!H86="Empresa de embarque B",Hoja4!I86="Cheque",Hoja4!J86="cerveza"),"dale","vaaa")</f>
        <v>vaaa</v>
      </c>
      <c r="Z87" t="str">
        <f>IF(NOT(OR(Hoja4!I86="Cheque",Hoja4!J86="Cerveza")),"Aprobado","No Aprobado")</f>
        <v>Aprobado</v>
      </c>
    </row>
    <row r="88" spans="19:26" x14ac:dyDescent="0.25">
      <c r="S88" s="2" t="b">
        <f>AND(Hoja4!$P87="abril",Hoja4!$O87="Jue.")</f>
        <v>0</v>
      </c>
      <c r="T88" t="str">
        <f>IF(AND(Hoja4!H87="Empresa de embarque B",Hoja4!I87="Cheque"),"dale","vaaa")</f>
        <v>vaaa</v>
      </c>
      <c r="V88" t="str">
        <f>IF(AND(Hoja4!H87="Empresa de embarque B",Hoja4!I87="Cheque",Hoja4!J87="Cerveza"),"dale","vaaa")</f>
        <v>vaaa</v>
      </c>
      <c r="X88" t="str">
        <f>IF(OR(Hoja4!H87="Empresa de embarque B",Hoja4!I87="Cheque",Hoja4!J87="cerveza"),"dale","vaaa")</f>
        <v>vaaa</v>
      </c>
      <c r="Z88" t="str">
        <f>IF(NOT(OR(Hoja4!I87="Cheque",Hoja4!J87="Cerveza")),"Aprobado","No Aprobado")</f>
        <v>Aprobado</v>
      </c>
    </row>
    <row r="89" spans="19:26" x14ac:dyDescent="0.25">
      <c r="S89" s="2" t="b">
        <f>AND(Hoja4!$P88="abril",Hoja4!$O88="Jue.")</f>
        <v>0</v>
      </c>
      <c r="T89" t="str">
        <f>IF(AND(Hoja4!H88="Empresa de embarque B",Hoja4!I88="Cheque"),"dale","vaaa")</f>
        <v>vaaa</v>
      </c>
      <c r="V89" t="str">
        <f>IF(AND(Hoja4!H88="Empresa de embarque B",Hoja4!I88="Cheque",Hoja4!J88="Cerveza"),"dale","vaaa")</f>
        <v>vaaa</v>
      </c>
      <c r="X89" t="str">
        <f>IF(OR(Hoja4!H88="Empresa de embarque B",Hoja4!I88="Cheque",Hoja4!J88="cerveza"),"dale","vaaa")</f>
        <v>vaaa</v>
      </c>
      <c r="Z89" t="str">
        <f>IF(NOT(OR(Hoja4!I88="Cheque",Hoja4!J88="Cerveza")),"Aprobado","No Aprobado")</f>
        <v>Aprobado</v>
      </c>
    </row>
    <row r="90" spans="19:26" x14ac:dyDescent="0.25">
      <c r="S90" s="2" t="b">
        <f>AND(Hoja4!$P89="abril",Hoja4!$O89="Jue.")</f>
        <v>0</v>
      </c>
      <c r="T90" t="str">
        <f>IF(AND(Hoja4!H89="Empresa de embarque B",Hoja4!I89="Cheque"),"dale","vaaa")</f>
        <v>vaaa</v>
      </c>
      <c r="V90" t="str">
        <f>IF(AND(Hoja4!H89="Empresa de embarque B",Hoja4!I89="Cheque",Hoja4!J89="Cerveza"),"dale","vaaa")</f>
        <v>vaaa</v>
      </c>
      <c r="X90" t="str">
        <f>IF(OR(Hoja4!H89="Empresa de embarque B",Hoja4!I89="Cheque",Hoja4!J89="cerveza"),"dale","vaaa")</f>
        <v>vaaa</v>
      </c>
      <c r="Z90" t="str">
        <f>IF(NOT(OR(Hoja4!I89="Cheque",Hoja4!J89="Cerveza")),"Aprobado","No Aprobado")</f>
        <v>Aprobado</v>
      </c>
    </row>
    <row r="91" spans="19:26" x14ac:dyDescent="0.25">
      <c r="S91" s="2" t="b">
        <f>AND(Hoja4!$P90="abril",Hoja4!$O90="Jue.")</f>
        <v>0</v>
      </c>
      <c r="T91" t="str">
        <f>IF(AND(Hoja4!H90="Empresa de embarque B",Hoja4!I90="Cheque"),"dale","vaaa")</f>
        <v>vaaa</v>
      </c>
      <c r="V91" t="str">
        <f>IF(AND(Hoja4!H90="Empresa de embarque B",Hoja4!I90="Cheque",Hoja4!J90="Cerveza"),"dale","vaaa")</f>
        <v>vaaa</v>
      </c>
      <c r="X91" t="str">
        <f>IF(OR(Hoja4!H90="Empresa de embarque B",Hoja4!I90="Cheque",Hoja4!J90="cerveza"),"dale","vaaa")</f>
        <v>vaaa</v>
      </c>
      <c r="Z91" t="str">
        <f>IF(NOT(OR(Hoja4!I90="Cheque",Hoja4!J90="Cerveza")),"Aprobado","No Aprobado")</f>
        <v>Aprobado</v>
      </c>
    </row>
    <row r="92" spans="19:26" x14ac:dyDescent="0.25">
      <c r="S92" s="2" t="b">
        <f>AND(Hoja4!$P91="abril",Hoja4!$O91="Jue.")</f>
        <v>0</v>
      </c>
      <c r="T92" t="str">
        <f>IF(AND(Hoja4!H91="Empresa de embarque B",Hoja4!I91="Cheque"),"dale","vaaa")</f>
        <v>dale</v>
      </c>
      <c r="V92" t="str">
        <f>IF(AND(Hoja4!H91="Empresa de embarque B",Hoja4!I91="Cheque",Hoja4!J91="Cerveza"),"dale","vaaa")</f>
        <v>vaaa</v>
      </c>
      <c r="X92" t="str">
        <f>IF(OR(Hoja4!H91="Empresa de embarque B",Hoja4!I91="Cheque",Hoja4!J91="cerveza"),"dale","vaaa")</f>
        <v>dale</v>
      </c>
      <c r="Z92" t="str">
        <f>IF(NOT(OR(Hoja4!I91="Cheque",Hoja4!J91="Cerveza")),"Aprobado","No Aprobado")</f>
        <v>No Aprobado</v>
      </c>
    </row>
    <row r="93" spans="19:26" x14ac:dyDescent="0.25">
      <c r="S93" s="2" t="b">
        <f>AND(Hoja4!$P92="abril",Hoja4!$O92="Jue.")</f>
        <v>0</v>
      </c>
      <c r="T93" t="str">
        <f>IF(AND(Hoja4!H92="Empresa de embarque B",Hoja4!I92="Cheque"),"dale","vaaa")</f>
        <v>vaaa</v>
      </c>
      <c r="V93" t="str">
        <f>IF(AND(Hoja4!H92="Empresa de embarque B",Hoja4!I92="Cheque",Hoja4!J92="Cerveza"),"dale","vaaa")</f>
        <v>vaaa</v>
      </c>
      <c r="X93" t="str">
        <f>IF(OR(Hoja4!H92="Empresa de embarque B",Hoja4!I92="Cheque",Hoja4!J92="cerveza"),"dale","vaaa")</f>
        <v>dale</v>
      </c>
      <c r="Z93" t="str">
        <f>IF(NOT(OR(Hoja4!I92="Cheque",Hoja4!J92="Cerveza")),"Aprobado","No Aprobado")</f>
        <v>Aprobado</v>
      </c>
    </row>
    <row r="94" spans="19:26" x14ac:dyDescent="0.25">
      <c r="S94" s="2" t="b">
        <f>AND(Hoja4!$P93="abril",Hoja4!$O93="Jue.")</f>
        <v>0</v>
      </c>
      <c r="T94" t="str">
        <f>IF(AND(Hoja4!H93="Empresa de embarque B",Hoja4!I93="Cheque"),"dale","vaaa")</f>
        <v>vaaa</v>
      </c>
      <c r="V94" t="str">
        <f>IF(AND(Hoja4!H93="Empresa de embarque B",Hoja4!I93="Cheque",Hoja4!J93="Cerveza"),"dale","vaaa")</f>
        <v>vaaa</v>
      </c>
      <c r="X94" t="str">
        <f>IF(OR(Hoja4!H93="Empresa de embarque B",Hoja4!I93="Cheque",Hoja4!J93="cerveza"),"dale","vaaa")</f>
        <v>dale</v>
      </c>
      <c r="Z94" t="str">
        <f>IF(NOT(OR(Hoja4!I93="Cheque",Hoja4!J93="Cerveza")),"Aprobado","No Aprobado")</f>
        <v>Aprobado</v>
      </c>
    </row>
    <row r="95" spans="19:26" x14ac:dyDescent="0.25">
      <c r="S95" s="2" t="b">
        <f>AND(Hoja4!$P94="abril",Hoja4!$O94="Jue.")</f>
        <v>0</v>
      </c>
      <c r="T95" t="str">
        <f>IF(AND(Hoja4!H94="Empresa de embarque B",Hoja4!I94="Cheque"),"dale","vaaa")</f>
        <v>vaaa</v>
      </c>
      <c r="V95" t="str">
        <f>IF(AND(Hoja4!H94="Empresa de embarque B",Hoja4!I94="Cheque",Hoja4!J94="Cerveza"),"dale","vaaa")</f>
        <v>vaaa</v>
      </c>
      <c r="X95" t="str">
        <f>IF(OR(Hoja4!H94="Empresa de embarque B",Hoja4!I94="Cheque",Hoja4!J94="cerveza"),"dale","vaaa")</f>
        <v>dale</v>
      </c>
      <c r="Z95" t="str">
        <f>IF(NOT(OR(Hoja4!I94="Cheque",Hoja4!J94="Cerveza")),"Aprobado","No Aprobado")</f>
        <v>No Aprobado</v>
      </c>
    </row>
    <row r="96" spans="19:26" x14ac:dyDescent="0.25">
      <c r="S96" s="2" t="b">
        <f>AND(Hoja4!$P95="abril",Hoja4!$O95="Jue.")</f>
        <v>0</v>
      </c>
      <c r="T96" t="str">
        <f>IF(AND(Hoja4!H95="Empresa de embarque B",Hoja4!I95="Cheque"),"dale","vaaa")</f>
        <v>vaaa</v>
      </c>
      <c r="V96" t="str">
        <f>IF(AND(Hoja4!H95="Empresa de embarque B",Hoja4!I95="Cheque",Hoja4!J95="Cerveza"),"dale","vaaa")</f>
        <v>vaaa</v>
      </c>
      <c r="X96" t="str">
        <f>IF(OR(Hoja4!H95="Empresa de embarque B",Hoja4!I95="Cheque",Hoja4!J95="cerveza"),"dale","vaaa")</f>
        <v>dale</v>
      </c>
      <c r="Z96" t="str">
        <f>IF(NOT(OR(Hoja4!I95="Cheque",Hoja4!J95="Cerveza")),"Aprobado","No Aprobado")</f>
        <v>No Aprobado</v>
      </c>
    </row>
    <row r="97" spans="19:26" x14ac:dyDescent="0.25">
      <c r="S97" s="2" t="b">
        <f>AND(Hoja4!$P96="abril",Hoja4!$O96="Jue.")</f>
        <v>1</v>
      </c>
      <c r="T97" t="str">
        <f>IF(AND(Hoja4!H96="Empresa de embarque B",Hoja4!I96="Cheque"),"dale","vaaa")</f>
        <v>vaaa</v>
      </c>
      <c r="V97" t="str">
        <f>IF(AND(Hoja4!H96="Empresa de embarque B",Hoja4!I96="Cheque",Hoja4!J96="Cerveza"),"dale","vaaa")</f>
        <v>vaaa</v>
      </c>
      <c r="X97" t="str">
        <f>IF(OR(Hoja4!H96="Empresa de embarque B",Hoja4!I96="Cheque",Hoja4!J96="cerveza"),"dale","vaaa")</f>
        <v>dale</v>
      </c>
      <c r="Z97" t="str">
        <f>IF(NOT(OR(Hoja4!I96="Cheque",Hoja4!J96="Cerveza")),"Aprobado","No Aprobado")</f>
        <v>Aprobado</v>
      </c>
    </row>
    <row r="98" spans="19:26" x14ac:dyDescent="0.25">
      <c r="S98" s="2" t="b">
        <f>AND(Hoja4!$P97="abril",Hoja4!$O97="Jue.")</f>
        <v>1</v>
      </c>
      <c r="T98" t="str">
        <f>IF(AND(Hoja4!H97="Empresa de embarque B",Hoja4!I97="Cheque"),"dale","vaaa")</f>
        <v>vaaa</v>
      </c>
      <c r="V98" t="str">
        <f>IF(AND(Hoja4!H97="Empresa de embarque B",Hoja4!I97="Cheque",Hoja4!J97="Cerveza"),"dale","vaaa")</f>
        <v>vaaa</v>
      </c>
      <c r="X98" t="str">
        <f>IF(OR(Hoja4!H97="Empresa de embarque B",Hoja4!I97="Cheque",Hoja4!J97="cerveza"),"dale","vaaa")</f>
        <v>vaaa</v>
      </c>
      <c r="Z98" t="str">
        <f>IF(NOT(OR(Hoja4!I97="Cheque",Hoja4!J97="Cerveza")),"Aprobado","No Aprobado")</f>
        <v>Aprobado</v>
      </c>
    </row>
    <row r="99" spans="19:26" x14ac:dyDescent="0.25">
      <c r="S99" s="2" t="b">
        <f>AND(Hoja4!$P98="abril",Hoja4!$O98="Jue.")</f>
        <v>0</v>
      </c>
      <c r="T99" t="str">
        <f>IF(AND(Hoja4!H98="Empresa de embarque B",Hoja4!I98="Cheque"),"dale","vaaa")</f>
        <v>vaaa</v>
      </c>
      <c r="V99" t="str">
        <f>IF(AND(Hoja4!H98="Empresa de embarque B",Hoja4!I98="Cheque",Hoja4!J98="Cerveza"),"dale","vaaa")</f>
        <v>vaaa</v>
      </c>
      <c r="X99" t="str">
        <f>IF(OR(Hoja4!H98="Empresa de embarque B",Hoja4!I98="Cheque",Hoja4!J98="cerveza"),"dale","vaaa")</f>
        <v>vaaa</v>
      </c>
      <c r="Z99" t="str">
        <f>IF(NOT(OR(Hoja4!I98="Cheque",Hoja4!J98="Cerveza")),"Aprobado","No Aprobado")</f>
        <v>Aprobado</v>
      </c>
    </row>
    <row r="100" spans="19:26" x14ac:dyDescent="0.25">
      <c r="S100" s="2" t="b">
        <f>AND(Hoja4!$P99="abril",Hoja4!$O99="Jue.")</f>
        <v>0</v>
      </c>
      <c r="T100" t="str">
        <f>IF(AND(Hoja4!H99="Empresa de embarque B",Hoja4!I99="Cheque"),"dale","vaaa")</f>
        <v>vaaa</v>
      </c>
      <c r="V100" t="str">
        <f>IF(AND(Hoja4!H99="Empresa de embarque B",Hoja4!I99="Cheque",Hoja4!J99="Cerveza"),"dale","vaaa")</f>
        <v>vaaa</v>
      </c>
      <c r="X100" t="str">
        <f>IF(OR(Hoja4!H99="Empresa de embarque B",Hoja4!I99="Cheque",Hoja4!J99="cerveza"),"dale","vaaa")</f>
        <v>vaaa</v>
      </c>
      <c r="Z100" t="str">
        <f>IF(NOT(OR(Hoja4!I99="Cheque",Hoja4!J99="Cerveza")),"Aprobado","No Aprobado")</f>
        <v>Aprobado</v>
      </c>
    </row>
    <row r="101" spans="19:26" x14ac:dyDescent="0.25">
      <c r="S101" s="2" t="b">
        <f>AND(Hoja4!$P100="abril",Hoja4!$O100="Jue.")</f>
        <v>0</v>
      </c>
      <c r="T101" t="str">
        <f>IF(AND(Hoja4!H100="Empresa de embarque B",Hoja4!I100="Cheque"),"dale","vaaa")</f>
        <v>vaaa</v>
      </c>
      <c r="V101" t="str">
        <f>IF(AND(Hoja4!H100="Empresa de embarque B",Hoja4!I100="Cheque",Hoja4!J100="Cerveza"),"dale","vaaa")</f>
        <v>vaaa</v>
      </c>
      <c r="X101" t="str">
        <f>IF(OR(Hoja4!H100="Empresa de embarque B",Hoja4!I100="Cheque",Hoja4!J100="cerveza"),"dale","vaaa")</f>
        <v>vaaa</v>
      </c>
      <c r="Z101" t="str">
        <f>IF(NOT(OR(Hoja4!I100="Cheque",Hoja4!J100="Cerveza")),"Aprobado","No Aprobado")</f>
        <v>Aprobado</v>
      </c>
    </row>
    <row r="102" spans="19:26" x14ac:dyDescent="0.25">
      <c r="S102" s="2" t="b">
        <f>AND(Hoja4!$P101="abril",Hoja4!$O101="Jue.")</f>
        <v>0</v>
      </c>
      <c r="T102" t="str">
        <f>IF(AND(Hoja4!H101="Empresa de embarque B",Hoja4!I101="Cheque"),"dale","vaaa")</f>
        <v>vaaa</v>
      </c>
      <c r="V102" t="str">
        <f>IF(AND(Hoja4!H101="Empresa de embarque B",Hoja4!I101="Cheque",Hoja4!J101="Cerveza"),"dale","vaaa")</f>
        <v>vaaa</v>
      </c>
      <c r="X102" t="str">
        <f>IF(OR(Hoja4!H101="Empresa de embarque B",Hoja4!I101="Cheque",Hoja4!J101="cerveza"),"dale","vaaa")</f>
        <v>vaaa</v>
      </c>
      <c r="Z102" t="str">
        <f>IF(NOT(OR(Hoja4!I101="Cheque",Hoja4!J101="Cerveza")),"Aprobado","No Aprobado")</f>
        <v>Aprobado</v>
      </c>
    </row>
    <row r="103" spans="19:26" x14ac:dyDescent="0.25">
      <c r="S103" s="2" t="b">
        <f>AND(Hoja4!$P102="abril",Hoja4!$O102="Jue.")</f>
        <v>0</v>
      </c>
      <c r="T103" t="str">
        <f>IF(AND(Hoja4!H102="Empresa de embarque B",Hoja4!I102="Cheque"),"dale","vaaa")</f>
        <v>vaaa</v>
      </c>
      <c r="V103" t="str">
        <f>IF(AND(Hoja4!H102="Empresa de embarque B",Hoja4!I102="Cheque",Hoja4!J102="Cerveza"),"dale","vaaa")</f>
        <v>vaaa</v>
      </c>
      <c r="X103" t="str">
        <f>IF(OR(Hoja4!H102="Empresa de embarque B",Hoja4!I102="Cheque",Hoja4!J102="cerveza"),"dale","vaaa")</f>
        <v>vaaa</v>
      </c>
      <c r="Z103" t="str">
        <f>IF(NOT(OR(Hoja4!I102="Cheque",Hoja4!J102="Cerveza")),"Aprobado","No Aprobado")</f>
        <v>Aprobado</v>
      </c>
    </row>
    <row r="104" spans="19:26" x14ac:dyDescent="0.25">
      <c r="S104" s="2" t="b">
        <f>AND(Hoja4!$P103="abril",Hoja4!$O103="Jue.")</f>
        <v>0</v>
      </c>
      <c r="T104" t="str">
        <f>IF(AND(Hoja4!H103="Empresa de embarque B",Hoja4!I103="Cheque"),"dale","vaaa")</f>
        <v>vaaa</v>
      </c>
      <c r="V104" t="str">
        <f>IF(AND(Hoja4!H103="Empresa de embarque B",Hoja4!I103="Cheque",Hoja4!J103="Cerveza"),"dale","vaaa")</f>
        <v>vaaa</v>
      </c>
      <c r="X104" t="str">
        <f>IF(OR(Hoja4!H103="Empresa de embarque B",Hoja4!I103="Cheque",Hoja4!J103="cerveza"),"dale","vaaa")</f>
        <v>vaaa</v>
      </c>
      <c r="Z104" t="str">
        <f>IF(NOT(OR(Hoja4!I103="Cheque",Hoja4!J103="Cerveza")),"Aprobado","No Aprobado")</f>
        <v>Aprobado</v>
      </c>
    </row>
    <row r="105" spans="19:26" x14ac:dyDescent="0.25">
      <c r="S105" s="2" t="b">
        <f>AND(Hoja4!$P104="abril",Hoja4!$O104="Jue.")</f>
        <v>0</v>
      </c>
      <c r="T105" t="str">
        <f>IF(AND(Hoja4!H104="Empresa de embarque B",Hoja4!I104="Cheque"),"dale","vaaa")</f>
        <v>vaaa</v>
      </c>
      <c r="V105" t="str">
        <f>IF(AND(Hoja4!H104="Empresa de embarque B",Hoja4!I104="Cheque",Hoja4!J104="Cerveza"),"dale","vaaa")</f>
        <v>vaaa</v>
      </c>
      <c r="X105" t="str">
        <f>IF(OR(Hoja4!H104="Empresa de embarque B",Hoja4!I104="Cheque",Hoja4!J104="cerveza"),"dale","vaaa")</f>
        <v>vaaa</v>
      </c>
      <c r="Z105" t="str">
        <f>IF(NOT(OR(Hoja4!I104="Cheque",Hoja4!J104="Cerveza")),"Aprobado","No Aprobado")</f>
        <v>Aprobado</v>
      </c>
    </row>
    <row r="106" spans="19:26" x14ac:dyDescent="0.25">
      <c r="S106" s="2" t="b">
        <f>AND(Hoja4!$P105="abril",Hoja4!$O105="Jue.")</f>
        <v>0</v>
      </c>
      <c r="T106" t="str">
        <f>IF(AND(Hoja4!H105="Empresa de embarque B",Hoja4!I105="Cheque"),"dale","vaaa")</f>
        <v>vaaa</v>
      </c>
      <c r="V106" t="str">
        <f>IF(AND(Hoja4!H105="Empresa de embarque B",Hoja4!I105="Cheque",Hoja4!J105="Cerveza"),"dale","vaaa")</f>
        <v>vaaa</v>
      </c>
      <c r="X106" t="str">
        <f>IF(OR(Hoja4!H105="Empresa de embarque B",Hoja4!I105="Cheque",Hoja4!J105="cerveza"),"dale","vaaa")</f>
        <v>vaaa</v>
      </c>
      <c r="Z106" t="str">
        <f>IF(NOT(OR(Hoja4!I105="Cheque",Hoja4!J105="Cerveza")),"Aprobado","No Aprobado")</f>
        <v>Aprobado</v>
      </c>
    </row>
    <row r="107" spans="19:26" x14ac:dyDescent="0.25">
      <c r="S107" s="2" t="b">
        <f>AND(Hoja4!$P106="abril",Hoja4!$O106="Jue.")</f>
        <v>0</v>
      </c>
      <c r="T107" t="str">
        <f>IF(AND(Hoja4!H106="Empresa de embarque B",Hoja4!I106="Cheque"),"dale","vaaa")</f>
        <v>vaaa</v>
      </c>
      <c r="V107" t="str">
        <f>IF(AND(Hoja4!H106="Empresa de embarque B",Hoja4!I106="Cheque",Hoja4!J106="Cerveza"),"dale","vaaa")</f>
        <v>vaaa</v>
      </c>
      <c r="X107" t="str">
        <f>IF(OR(Hoja4!H106="Empresa de embarque B",Hoja4!I106="Cheque",Hoja4!J106="cerveza"),"dale","vaaa")</f>
        <v>vaaa</v>
      </c>
      <c r="Z107" t="str">
        <f>IF(NOT(OR(Hoja4!I106="Cheque",Hoja4!J106="Cerveza")),"Aprobado","No Aprobado")</f>
        <v>Aprobado</v>
      </c>
    </row>
    <row r="108" spans="19:26" x14ac:dyDescent="0.25">
      <c r="S108" s="2" t="b">
        <f>AND(Hoja4!$P107="abril",Hoja4!$O107="Jue.")</f>
        <v>0</v>
      </c>
      <c r="T108" t="str">
        <f>IF(AND(Hoja4!H107="Empresa de embarque B",Hoja4!I107="Cheque"),"dale","vaaa")</f>
        <v>vaaa</v>
      </c>
      <c r="V108" t="str">
        <f>IF(AND(Hoja4!H107="Empresa de embarque B",Hoja4!I107="Cheque",Hoja4!J107="Cerveza"),"dale","vaaa")</f>
        <v>vaaa</v>
      </c>
      <c r="X108" t="str">
        <f>IF(OR(Hoja4!H107="Empresa de embarque B",Hoja4!I107="Cheque",Hoja4!J107="cerveza"),"dale","vaaa")</f>
        <v>vaaa</v>
      </c>
      <c r="Z108" t="str">
        <f>IF(NOT(OR(Hoja4!I107="Cheque",Hoja4!J107="Cerveza")),"Aprobado","No Aprobado")</f>
        <v>Aprobado</v>
      </c>
    </row>
    <row r="109" spans="19:26" x14ac:dyDescent="0.25">
      <c r="S109" s="2" t="b">
        <f>AND(Hoja4!$P108="abril",Hoja4!$O108="Jue.")</f>
        <v>0</v>
      </c>
      <c r="T109" t="str">
        <f>IF(AND(Hoja4!H108="Empresa de embarque B",Hoja4!I108="Cheque"),"dale","vaaa")</f>
        <v>vaaa</v>
      </c>
      <c r="V109" t="str">
        <f>IF(AND(Hoja4!H108="Empresa de embarque B",Hoja4!I108="Cheque",Hoja4!J108="Cerveza"),"dale","vaaa")</f>
        <v>vaaa</v>
      </c>
      <c r="X109" t="str">
        <f>IF(OR(Hoja4!H108="Empresa de embarque B",Hoja4!I108="Cheque",Hoja4!J108="cerveza"),"dale","vaaa")</f>
        <v>dale</v>
      </c>
      <c r="Z109" t="str">
        <f>IF(NOT(OR(Hoja4!I108="Cheque",Hoja4!J108="Cerveza")),"Aprobado","No Aprobado")</f>
        <v>No Aprobado</v>
      </c>
    </row>
    <row r="110" spans="19:26" x14ac:dyDescent="0.25">
      <c r="S110" s="2" t="b">
        <f>AND(Hoja4!$P109="abril",Hoja4!$O109="Jue.")</f>
        <v>0</v>
      </c>
      <c r="T110" t="str">
        <f>IF(AND(Hoja4!H109="Empresa de embarque B",Hoja4!I109="Cheque"),"dale","vaaa")</f>
        <v>vaaa</v>
      </c>
      <c r="V110" t="str">
        <f>IF(AND(Hoja4!H109="Empresa de embarque B",Hoja4!I109="Cheque",Hoja4!J109="Cerveza"),"dale","vaaa")</f>
        <v>vaaa</v>
      </c>
      <c r="X110" t="str">
        <f>IF(OR(Hoja4!H109="Empresa de embarque B",Hoja4!I109="Cheque",Hoja4!J109="cerveza"),"dale","vaaa")</f>
        <v>dale</v>
      </c>
      <c r="Z110" t="str">
        <f>IF(NOT(OR(Hoja4!I109="Cheque",Hoja4!J109="Cerveza")),"Aprobado","No Aprobado")</f>
        <v>No Aprobado</v>
      </c>
    </row>
    <row r="111" spans="19:26" x14ac:dyDescent="0.25">
      <c r="S111" s="2" t="b">
        <f>AND(Hoja4!$P110="abril",Hoja4!$O110="Jue.")</f>
        <v>0</v>
      </c>
      <c r="T111" t="str">
        <f>IF(AND(Hoja4!H110="Empresa de embarque B",Hoja4!I110="Cheque"),"dale","vaaa")</f>
        <v>vaaa</v>
      </c>
      <c r="V111" t="str">
        <f>IF(AND(Hoja4!H110="Empresa de embarque B",Hoja4!I110="Cheque",Hoja4!J110="Cerveza"),"dale","vaaa")</f>
        <v>vaaa</v>
      </c>
      <c r="X111" t="str">
        <f>IF(OR(Hoja4!H110="Empresa de embarque B",Hoja4!I110="Cheque",Hoja4!J110="cerveza"),"dale","vaaa")</f>
        <v>dale</v>
      </c>
      <c r="Z111" t="str">
        <f>IF(NOT(OR(Hoja4!I110="Cheque",Hoja4!J110="Cerveza")),"Aprobado","No Aprobado")</f>
        <v>No Aprobado</v>
      </c>
    </row>
    <row r="112" spans="19:26" x14ac:dyDescent="0.25">
      <c r="S112" s="2" t="b">
        <f>AND(Hoja4!$P111="abril",Hoja4!$O111="Jue.")</f>
        <v>0</v>
      </c>
      <c r="T112" t="str">
        <f>IF(AND(Hoja4!H111="Empresa de embarque B",Hoja4!I111="Cheque"),"dale","vaaa")</f>
        <v>dale</v>
      </c>
      <c r="V112" t="str">
        <f>IF(AND(Hoja4!H111="Empresa de embarque B",Hoja4!I111="Cheque",Hoja4!J111="Cerveza"),"dale","vaaa")</f>
        <v>vaaa</v>
      </c>
      <c r="X112" t="str">
        <f>IF(OR(Hoja4!H111="Empresa de embarque B",Hoja4!I111="Cheque",Hoja4!J111="cerveza"),"dale","vaaa")</f>
        <v>dale</v>
      </c>
      <c r="Z112" t="str">
        <f>IF(NOT(OR(Hoja4!I111="Cheque",Hoja4!J111="Cerveza")),"Aprobado","No Aprobado")</f>
        <v>No Aprobado</v>
      </c>
    </row>
    <row r="113" spans="19:26" x14ac:dyDescent="0.25">
      <c r="S113" s="2" t="b">
        <f>AND(Hoja4!$P112="abril",Hoja4!$O112="Jue.")</f>
        <v>0</v>
      </c>
      <c r="T113" t="str">
        <f>IF(AND(Hoja4!H112="Empresa de embarque B",Hoja4!I112="Cheque"),"dale","vaaa")</f>
        <v>dale</v>
      </c>
      <c r="V113" t="str">
        <f>IF(AND(Hoja4!H112="Empresa de embarque B",Hoja4!I112="Cheque",Hoja4!J112="Cerveza"),"dale","vaaa")</f>
        <v>vaaa</v>
      </c>
      <c r="X113" t="str">
        <f>IF(OR(Hoja4!H112="Empresa de embarque B",Hoja4!I112="Cheque",Hoja4!J112="cerveza"),"dale","vaaa")</f>
        <v>dale</v>
      </c>
      <c r="Z113" t="str">
        <f>IF(NOT(OR(Hoja4!I112="Cheque",Hoja4!J112="Cerveza")),"Aprobado","No Aprobado")</f>
        <v>No Aprobado</v>
      </c>
    </row>
    <row r="114" spans="19:26" x14ac:dyDescent="0.25">
      <c r="S114" s="2" t="b">
        <f>AND(Hoja4!$P113="abril",Hoja4!$O113="Jue.")</f>
        <v>0</v>
      </c>
      <c r="T114" t="str">
        <f>IF(AND(Hoja4!H113="Empresa de embarque B",Hoja4!I113="Cheque"),"dale","vaaa")</f>
        <v>vaaa</v>
      </c>
      <c r="V114" t="str">
        <f>IF(AND(Hoja4!H113="Empresa de embarque B",Hoja4!I113="Cheque",Hoja4!J113="Cerveza"),"dale","vaaa")</f>
        <v>vaaa</v>
      </c>
      <c r="X114" t="str">
        <f>IF(OR(Hoja4!H113="Empresa de embarque B",Hoja4!I113="Cheque",Hoja4!J113="cerveza"),"dale","vaaa")</f>
        <v>vaaa</v>
      </c>
      <c r="Z114" t="str">
        <f>IF(NOT(OR(Hoja4!I113="Cheque",Hoja4!J113="Cerveza")),"Aprobado","No Aprobado")</f>
        <v>Aprobado</v>
      </c>
    </row>
    <row r="115" spans="19:26" x14ac:dyDescent="0.25">
      <c r="S115" s="2" t="b">
        <f>AND(Hoja4!$P114="abril",Hoja4!$O114="Jue.")</f>
        <v>0</v>
      </c>
      <c r="T115" t="str">
        <f>IF(AND(Hoja4!H114="Empresa de embarque B",Hoja4!I114="Cheque"),"dale","vaaa")</f>
        <v>vaaa</v>
      </c>
      <c r="V115" t="str">
        <f>IF(AND(Hoja4!H114="Empresa de embarque B",Hoja4!I114="Cheque",Hoja4!J114="Cerveza"),"dale","vaaa")</f>
        <v>vaaa</v>
      </c>
      <c r="X115" t="str">
        <f>IF(OR(Hoja4!H114="Empresa de embarque B",Hoja4!I114="Cheque",Hoja4!J114="cerveza"),"dale","vaaa")</f>
        <v>vaaa</v>
      </c>
      <c r="Z115" t="str">
        <f>IF(NOT(OR(Hoja4!I114="Cheque",Hoja4!J114="Cerveza")),"Aprobado","No Aprobado")</f>
        <v>Aprobado</v>
      </c>
    </row>
    <row r="116" spans="19:26" x14ac:dyDescent="0.25">
      <c r="S116" s="2" t="b">
        <f>AND(Hoja4!$P115="abril",Hoja4!$O115="Jue.")</f>
        <v>0</v>
      </c>
      <c r="T116" t="str">
        <f>IF(AND(Hoja4!H115="Empresa de embarque B",Hoja4!I115="Cheque"),"dale","vaaa")</f>
        <v>vaaa</v>
      </c>
      <c r="V116" t="str">
        <f>IF(AND(Hoja4!H115="Empresa de embarque B",Hoja4!I115="Cheque",Hoja4!J115="Cerveza"),"dale","vaaa")</f>
        <v>vaaa</v>
      </c>
      <c r="X116" t="str">
        <f>IF(OR(Hoja4!H115="Empresa de embarque B",Hoja4!I115="Cheque",Hoja4!J115="cerveza"),"dale","vaaa")</f>
        <v>vaaa</v>
      </c>
      <c r="Z116" t="str">
        <f>IF(NOT(OR(Hoja4!I115="Cheque",Hoja4!J115="Cerveza")),"Aprobado","No Aprobado")</f>
        <v>Aprobado</v>
      </c>
    </row>
    <row r="117" spans="19:26" x14ac:dyDescent="0.25">
      <c r="S117" s="2" t="b">
        <f>AND(Hoja4!$P116="abril",Hoja4!$O116="Jue.")</f>
        <v>0</v>
      </c>
      <c r="T117" t="str">
        <f>IF(AND(Hoja4!H116="Empresa de embarque B",Hoja4!I116="Cheque"),"dale","vaaa")</f>
        <v>vaaa</v>
      </c>
      <c r="V117" t="str">
        <f>IF(AND(Hoja4!H116="Empresa de embarque B",Hoja4!I116="Cheque",Hoja4!J116="Cerveza"),"dale","vaaa")</f>
        <v>vaaa</v>
      </c>
      <c r="X117" t="str">
        <f>IF(OR(Hoja4!H116="Empresa de embarque B",Hoja4!I116="Cheque",Hoja4!J116="cerveza"),"dale","vaaa")</f>
        <v>vaaa</v>
      </c>
      <c r="Z117" t="str">
        <f>IF(NOT(OR(Hoja4!I116="Cheque",Hoja4!J116="Cerveza")),"Aprobado","No Aprobado")</f>
        <v>Aprobado</v>
      </c>
    </row>
    <row r="118" spans="19:26" x14ac:dyDescent="0.25">
      <c r="S118" s="2" t="b">
        <f>AND(Hoja4!$P117="abril",Hoja4!$O117="Jue.")</f>
        <v>0</v>
      </c>
      <c r="T118" t="str">
        <f>IF(AND(Hoja4!H117="Empresa de embarque B",Hoja4!I117="Cheque"),"dale","vaaa")</f>
        <v>dale</v>
      </c>
      <c r="V118" t="str">
        <f>IF(AND(Hoja4!H117="Empresa de embarque B",Hoja4!I117="Cheque",Hoja4!J117="Cerveza"),"dale","vaaa")</f>
        <v>dale</v>
      </c>
      <c r="X118" t="str">
        <f>IF(OR(Hoja4!H117="Empresa de embarque B",Hoja4!I117="Cheque",Hoja4!J117="cerveza"),"dale","vaaa")</f>
        <v>dale</v>
      </c>
      <c r="Z118" t="str">
        <f>IF(NOT(OR(Hoja4!I117="Cheque",Hoja4!J117="Cerveza")),"Aprobado","No Aprobado")</f>
        <v>No Aprobado</v>
      </c>
    </row>
    <row r="119" spans="19:26" x14ac:dyDescent="0.25">
      <c r="S119" s="2" t="b">
        <f>AND(Hoja4!$P118="abril",Hoja4!$O118="Jue.")</f>
        <v>0</v>
      </c>
      <c r="T119" t="str">
        <f>IF(AND(Hoja4!H118="Empresa de embarque B",Hoja4!I118="Cheque"),"dale","vaaa")</f>
        <v>vaaa</v>
      </c>
      <c r="V119" t="str">
        <f>IF(AND(Hoja4!H118="Empresa de embarque B",Hoja4!I118="Cheque",Hoja4!J118="Cerveza"),"dale","vaaa")</f>
        <v>vaaa</v>
      </c>
      <c r="X119" t="str">
        <f>IF(OR(Hoja4!H118="Empresa de embarque B",Hoja4!I118="Cheque",Hoja4!J118="cerveza"),"dale","vaaa")</f>
        <v>dale</v>
      </c>
      <c r="Z119" t="str">
        <f>IF(NOT(OR(Hoja4!I118="Cheque",Hoja4!J118="Cerveza")),"Aprobado","No Aprobado")</f>
        <v>No Aprobado</v>
      </c>
    </row>
    <row r="120" spans="19:26" x14ac:dyDescent="0.25">
      <c r="S120" s="2" t="b">
        <f>AND(Hoja4!$P119="abril",Hoja4!$O119="Jue.")</f>
        <v>0</v>
      </c>
      <c r="T120" t="str">
        <f>IF(AND(Hoja4!H119="Empresa de embarque B",Hoja4!I119="Cheque"),"dale","vaaa")</f>
        <v>vaaa</v>
      </c>
      <c r="V120" t="str">
        <f>IF(AND(Hoja4!H119="Empresa de embarque B",Hoja4!I119="Cheque",Hoja4!J119="Cerveza"),"dale","vaaa")</f>
        <v>vaaa</v>
      </c>
      <c r="X120" t="str">
        <f>IF(OR(Hoja4!H119="Empresa de embarque B",Hoja4!I119="Cheque",Hoja4!J119="cerveza"),"dale","vaaa")</f>
        <v>vaaa</v>
      </c>
      <c r="Z120" t="str">
        <f>IF(NOT(OR(Hoja4!I119="Cheque",Hoja4!J119="Cerveza")),"Aprobado","No Aprobado")</f>
        <v>Aprobado</v>
      </c>
    </row>
    <row r="121" spans="19:26" x14ac:dyDescent="0.25">
      <c r="S121" s="2" t="b">
        <f>AND(Hoja4!$P120="abril",Hoja4!$O120="Jue.")</f>
        <v>0</v>
      </c>
      <c r="T121" t="str">
        <f>IF(AND(Hoja4!H120="Empresa de embarque B",Hoja4!I120="Cheque"),"dale","vaaa")</f>
        <v>vaaa</v>
      </c>
      <c r="V121" t="str">
        <f>IF(AND(Hoja4!H120="Empresa de embarque B",Hoja4!I120="Cheque",Hoja4!J120="Cerveza"),"dale","vaaa")</f>
        <v>vaaa</v>
      </c>
      <c r="X121" t="str">
        <f>IF(OR(Hoja4!H120="Empresa de embarque B",Hoja4!I120="Cheque",Hoja4!J120="cerveza"),"dale","vaaa")</f>
        <v>vaaa</v>
      </c>
      <c r="Z121" t="str">
        <f>IF(NOT(OR(Hoja4!I120="Cheque",Hoja4!J120="Cerveza")),"Aprobado","No Aprobado")</f>
        <v>Aprobado</v>
      </c>
    </row>
    <row r="122" spans="19:26" x14ac:dyDescent="0.25">
      <c r="S122" s="2" t="b">
        <f>AND(Hoja4!$P121="abril",Hoja4!$O121="Jue.")</f>
        <v>0</v>
      </c>
      <c r="T122" t="str">
        <f>IF(AND(Hoja4!H121="Empresa de embarque B",Hoja4!I121="Cheque"),"dale","vaaa")</f>
        <v>vaaa</v>
      </c>
      <c r="V122" t="str">
        <f>IF(AND(Hoja4!H121="Empresa de embarque B",Hoja4!I121="Cheque",Hoja4!J121="Cerveza"),"dale","vaaa")</f>
        <v>vaaa</v>
      </c>
      <c r="X122" t="str">
        <f>IF(OR(Hoja4!H121="Empresa de embarque B",Hoja4!I121="Cheque",Hoja4!J121="cerveza"),"dale","vaaa")</f>
        <v>vaaa</v>
      </c>
      <c r="Z122" t="str">
        <f>IF(NOT(OR(Hoja4!I121="Cheque",Hoja4!J121="Cerveza")),"Aprobado","No Aprobado")</f>
        <v>Aprobado</v>
      </c>
    </row>
    <row r="123" spans="19:26" x14ac:dyDescent="0.25">
      <c r="S123" s="2" t="b">
        <f>AND(Hoja4!$P122="abril",Hoja4!$O122="Jue.")</f>
        <v>0</v>
      </c>
      <c r="T123" t="str">
        <f>IF(AND(Hoja4!H122="Empresa de embarque B",Hoja4!I122="Cheque"),"dale","vaaa")</f>
        <v>vaaa</v>
      </c>
      <c r="V123" t="str">
        <f>IF(AND(Hoja4!H122="Empresa de embarque B",Hoja4!I122="Cheque",Hoja4!J122="Cerveza"),"dale","vaaa")</f>
        <v>vaaa</v>
      </c>
      <c r="X123" t="str">
        <f>IF(OR(Hoja4!H122="Empresa de embarque B",Hoja4!I122="Cheque",Hoja4!J122="cerveza"),"dale","vaaa")</f>
        <v>dale</v>
      </c>
      <c r="Z123" t="str">
        <f>IF(NOT(OR(Hoja4!I122="Cheque",Hoja4!J122="Cerveza")),"Aprobado","No Aprobado")</f>
        <v>Aprobado</v>
      </c>
    </row>
    <row r="124" spans="19:26" x14ac:dyDescent="0.25">
      <c r="S124" s="2" t="b">
        <f>AND(Hoja4!$P123="abril",Hoja4!$O123="Jue.")</f>
        <v>0</v>
      </c>
      <c r="T124" t="str">
        <f>IF(AND(Hoja4!H123="Empresa de embarque B",Hoja4!I123="Cheque"),"dale","vaaa")</f>
        <v>vaaa</v>
      </c>
      <c r="V124" t="str">
        <f>IF(AND(Hoja4!H123="Empresa de embarque B",Hoja4!I123="Cheque",Hoja4!J123="Cerveza"),"dale","vaaa")</f>
        <v>vaaa</v>
      </c>
      <c r="X124" t="str">
        <f>IF(OR(Hoja4!H123="Empresa de embarque B",Hoja4!I123="Cheque",Hoja4!J123="cerveza"),"dale","vaaa")</f>
        <v>dale</v>
      </c>
      <c r="Z124" t="str">
        <f>IF(NOT(OR(Hoja4!I123="Cheque",Hoja4!J123="Cerveza")),"Aprobado","No Aprobado")</f>
        <v>Aprobado</v>
      </c>
    </row>
    <row r="125" spans="19:26" x14ac:dyDescent="0.25">
      <c r="S125" s="2" t="b">
        <f>AND(Hoja4!$P124="abril",Hoja4!$O124="Jue.")</f>
        <v>0</v>
      </c>
      <c r="T125" t="str">
        <f>IF(AND(Hoja4!H124="Empresa de embarque B",Hoja4!I124="Cheque"),"dale","vaaa")</f>
        <v>vaaa</v>
      </c>
      <c r="V125" t="str">
        <f>IF(AND(Hoja4!H124="Empresa de embarque B",Hoja4!I124="Cheque",Hoja4!J124="Cerveza"),"dale","vaaa")</f>
        <v>vaaa</v>
      </c>
      <c r="X125" t="str">
        <f>IF(OR(Hoja4!H124="Empresa de embarque B",Hoja4!I124="Cheque",Hoja4!J124="cerveza"),"dale","vaaa")</f>
        <v>vaaa</v>
      </c>
      <c r="Z125" t="str">
        <f>IF(NOT(OR(Hoja4!I124="Cheque",Hoja4!J124="Cerveza")),"Aprobado","No Aprobado")</f>
        <v>Aprobado</v>
      </c>
    </row>
    <row r="126" spans="19:26" x14ac:dyDescent="0.25">
      <c r="S126" s="2" t="b">
        <f>AND(Hoja4!$P125="abril",Hoja4!$O125="Jue.")</f>
        <v>0</v>
      </c>
      <c r="T126" t="str">
        <f>IF(AND(Hoja4!H125="Empresa de embarque B",Hoja4!I125="Cheque"),"dale","vaaa")</f>
        <v>vaaa</v>
      </c>
      <c r="V126" t="str">
        <f>IF(AND(Hoja4!H125="Empresa de embarque B",Hoja4!I125="Cheque",Hoja4!J125="Cerveza"),"dale","vaaa")</f>
        <v>vaaa</v>
      </c>
      <c r="X126" t="str">
        <f>IF(OR(Hoja4!H125="Empresa de embarque B",Hoja4!I125="Cheque",Hoja4!J125="cerveza"),"dale","vaaa")</f>
        <v>vaaa</v>
      </c>
      <c r="Z126" t="str">
        <f>IF(NOT(OR(Hoja4!I125="Cheque",Hoja4!J125="Cerveza")),"Aprobado","No Aprobado")</f>
        <v>Aprobado</v>
      </c>
    </row>
    <row r="127" spans="19:26" x14ac:dyDescent="0.25">
      <c r="S127" s="2" t="b">
        <f>AND(Hoja4!$P126="abril",Hoja4!$O126="Jue.")</f>
        <v>0</v>
      </c>
      <c r="T127" t="str">
        <f>IF(AND(Hoja4!H126="Empresa de embarque B",Hoja4!I126="Cheque"),"dale","vaaa")</f>
        <v>vaaa</v>
      </c>
      <c r="V127" t="str">
        <f>IF(AND(Hoja4!H126="Empresa de embarque B",Hoja4!I126="Cheque",Hoja4!J126="Cerveza"),"dale","vaaa")</f>
        <v>vaaa</v>
      </c>
      <c r="X127" t="str">
        <f>IF(OR(Hoja4!H126="Empresa de embarque B",Hoja4!I126="Cheque",Hoja4!J126="cerveza"),"dale","vaaa")</f>
        <v>vaaa</v>
      </c>
      <c r="Z127" t="str">
        <f>IF(NOT(OR(Hoja4!I126="Cheque",Hoja4!J126="Cerveza")),"Aprobado","No Aprobado")</f>
        <v>Aprobado</v>
      </c>
    </row>
    <row r="128" spans="19:26" x14ac:dyDescent="0.25">
      <c r="S128" s="2" t="b">
        <f>AND(Hoja4!$P127="abril",Hoja4!$O127="Jue.")</f>
        <v>0</v>
      </c>
      <c r="T128" t="str">
        <f>IF(AND(Hoja4!H127="Empresa de embarque B",Hoja4!I127="Cheque"),"dale","vaaa")</f>
        <v>vaaa</v>
      </c>
      <c r="V128" t="str">
        <f>IF(AND(Hoja4!H127="Empresa de embarque B",Hoja4!I127="Cheque",Hoja4!J127="Cerveza"),"dale","vaaa")</f>
        <v>vaaa</v>
      </c>
      <c r="X128" t="str">
        <f>IF(OR(Hoja4!H127="Empresa de embarque B",Hoja4!I127="Cheque",Hoja4!J127="cerveza"),"dale","vaaa")</f>
        <v>vaaa</v>
      </c>
      <c r="Z128" t="str">
        <f>IF(NOT(OR(Hoja4!I127="Cheque",Hoja4!J127="Cerveza")),"Aprobado","No Aprobado")</f>
        <v>Aprobado</v>
      </c>
    </row>
    <row r="129" spans="19:26" x14ac:dyDescent="0.25">
      <c r="S129" s="2" t="b">
        <f>AND(Hoja4!$P128="abril",Hoja4!$O128="Jue.")</f>
        <v>0</v>
      </c>
      <c r="T129" t="str">
        <f>IF(AND(Hoja4!H128="Empresa de embarque B",Hoja4!I128="Cheque"),"dale","vaaa")</f>
        <v>vaaa</v>
      </c>
      <c r="V129" t="str">
        <f>IF(AND(Hoja4!H128="Empresa de embarque B",Hoja4!I128="Cheque",Hoja4!J128="Cerveza"),"dale","vaaa")</f>
        <v>vaaa</v>
      </c>
      <c r="X129" t="str">
        <f>IF(OR(Hoja4!H128="Empresa de embarque B",Hoja4!I128="Cheque",Hoja4!J128="cerveza"),"dale","vaaa")</f>
        <v>vaaa</v>
      </c>
      <c r="Z129" t="str">
        <f>IF(NOT(OR(Hoja4!I128="Cheque",Hoja4!J128="Cerveza")),"Aprobado","No Aprobado")</f>
        <v>Aprobado</v>
      </c>
    </row>
    <row r="130" spans="19:26" x14ac:dyDescent="0.25">
      <c r="S130" s="2" t="b">
        <f>AND(Hoja4!$P129="abril",Hoja4!$O129="Jue.")</f>
        <v>0</v>
      </c>
      <c r="T130" t="str">
        <f>IF(AND(Hoja4!H129="Empresa de embarque B",Hoja4!I129="Cheque"),"dale","vaaa")</f>
        <v>vaaa</v>
      </c>
      <c r="V130" t="str">
        <f>IF(AND(Hoja4!H129="Empresa de embarque B",Hoja4!I129="Cheque",Hoja4!J129="Cerveza"),"dale","vaaa")</f>
        <v>vaaa</v>
      </c>
      <c r="X130" t="str">
        <f>IF(OR(Hoja4!H129="Empresa de embarque B",Hoja4!I129="Cheque",Hoja4!J129="cerveza"),"dale","vaaa")</f>
        <v>vaaa</v>
      </c>
      <c r="Z130" t="str">
        <f>IF(NOT(OR(Hoja4!I129="Cheque",Hoja4!J129="Cerveza")),"Aprobado","No Aprobado")</f>
        <v>Aprobado</v>
      </c>
    </row>
    <row r="131" spans="19:26" x14ac:dyDescent="0.25">
      <c r="S131" s="2" t="b">
        <f>AND(Hoja4!$P130="abril",Hoja4!$O130="Jue.")</f>
        <v>0</v>
      </c>
      <c r="T131" t="str">
        <f>IF(AND(Hoja4!H130="Empresa de embarque B",Hoja4!I130="Cheque"),"dale","vaaa")</f>
        <v>vaaa</v>
      </c>
      <c r="V131" t="str">
        <f>IF(AND(Hoja4!H130="Empresa de embarque B",Hoja4!I130="Cheque",Hoja4!J130="Cerveza"),"dale","vaaa")</f>
        <v>vaaa</v>
      </c>
      <c r="X131" t="str">
        <f>IF(OR(Hoja4!H130="Empresa de embarque B",Hoja4!I130="Cheque",Hoja4!J130="cerveza"),"dale","vaaa")</f>
        <v>vaaa</v>
      </c>
      <c r="Z131" t="str">
        <f>IF(NOT(OR(Hoja4!I130="Cheque",Hoja4!J130="Cerveza")),"Aprobado","No Aprobado")</f>
        <v>Aprobado</v>
      </c>
    </row>
    <row r="132" spans="19:26" x14ac:dyDescent="0.25">
      <c r="S132" s="2" t="b">
        <f>AND(Hoja4!$P131="abril",Hoja4!$O131="Jue.")</f>
        <v>0</v>
      </c>
      <c r="T132" t="str">
        <f>IF(AND(Hoja4!H131="Empresa de embarque B",Hoja4!I131="Cheque"),"dale","vaaa")</f>
        <v>vaaa</v>
      </c>
      <c r="V132" t="str">
        <f>IF(AND(Hoja4!H131="Empresa de embarque B",Hoja4!I131="Cheque",Hoja4!J131="Cerveza"),"dale","vaaa")</f>
        <v>vaaa</v>
      </c>
      <c r="X132" t="str">
        <f>IF(OR(Hoja4!H131="Empresa de embarque B",Hoja4!I131="Cheque",Hoja4!J131="cerveza"),"dale","vaaa")</f>
        <v>vaaa</v>
      </c>
      <c r="Z132" t="str">
        <f>IF(NOT(OR(Hoja4!I131="Cheque",Hoja4!J131="Cerveza")),"Aprobado","No Aprobado")</f>
        <v>Aprobado</v>
      </c>
    </row>
    <row r="133" spans="19:26" x14ac:dyDescent="0.25">
      <c r="S133" s="2" t="b">
        <f>AND(Hoja4!$P132="abril",Hoja4!$O132="Jue.")</f>
        <v>0</v>
      </c>
      <c r="T133" t="str">
        <f>IF(AND(Hoja4!H132="Empresa de embarque B",Hoja4!I132="Cheque"),"dale","vaaa")</f>
        <v>vaaa</v>
      </c>
      <c r="V133" t="str">
        <f>IF(AND(Hoja4!H132="Empresa de embarque B",Hoja4!I132="Cheque",Hoja4!J132="Cerveza"),"dale","vaaa")</f>
        <v>vaaa</v>
      </c>
      <c r="X133" t="str">
        <f>IF(OR(Hoja4!H132="Empresa de embarque B",Hoja4!I132="Cheque",Hoja4!J132="cerveza"),"dale","vaaa")</f>
        <v>vaaa</v>
      </c>
      <c r="Z133" t="str">
        <f>IF(NOT(OR(Hoja4!I132="Cheque",Hoja4!J132="Cerveza")),"Aprobado","No Aprobado")</f>
        <v>Aprobado</v>
      </c>
    </row>
    <row r="134" spans="19:26" x14ac:dyDescent="0.25">
      <c r="S134" s="2" t="b">
        <f>AND(Hoja4!$P133="abril",Hoja4!$O133="Jue.")</f>
        <v>0</v>
      </c>
      <c r="T134" t="str">
        <f>IF(AND(Hoja4!H133="Empresa de embarque B",Hoja4!I133="Cheque"),"dale","vaaa")</f>
        <v>vaaa</v>
      </c>
      <c r="V134" t="str">
        <f>IF(AND(Hoja4!H133="Empresa de embarque B",Hoja4!I133="Cheque",Hoja4!J133="Cerveza"),"dale","vaaa")</f>
        <v>vaaa</v>
      </c>
      <c r="X134" t="str">
        <f>IF(OR(Hoja4!H133="Empresa de embarque B",Hoja4!I133="Cheque",Hoja4!J133="cerveza"),"dale","vaaa")</f>
        <v>vaaa</v>
      </c>
      <c r="Z134" t="str">
        <f>IF(NOT(OR(Hoja4!I133="Cheque",Hoja4!J133="Cerveza")),"Aprobado","No Aprobado")</f>
        <v>Aprobado</v>
      </c>
    </row>
    <row r="135" spans="19:26" x14ac:dyDescent="0.25">
      <c r="S135" s="2" t="b">
        <f>AND(Hoja4!$P134="abril",Hoja4!$O134="Jue.")</f>
        <v>0</v>
      </c>
      <c r="T135" t="str">
        <f>IF(AND(Hoja4!H134="Empresa de embarque B",Hoja4!I134="Cheque"),"dale","vaaa")</f>
        <v>vaaa</v>
      </c>
      <c r="V135" t="str">
        <f>IF(AND(Hoja4!H134="Empresa de embarque B",Hoja4!I134="Cheque",Hoja4!J134="Cerveza"),"dale","vaaa")</f>
        <v>vaaa</v>
      </c>
      <c r="X135" t="str">
        <f>IF(OR(Hoja4!H134="Empresa de embarque B",Hoja4!I134="Cheque",Hoja4!J134="cerveza"),"dale","vaaa")</f>
        <v>vaaa</v>
      </c>
      <c r="Z135" t="str">
        <f>IF(NOT(OR(Hoja4!I134="Cheque",Hoja4!J134="Cerveza")),"Aprobado","No Aprobado")</f>
        <v>Aprobado</v>
      </c>
    </row>
    <row r="136" spans="19:26" x14ac:dyDescent="0.25">
      <c r="S136" s="2" t="b">
        <f>AND(Hoja4!$P135="abril",Hoja4!$O135="Jue.")</f>
        <v>0</v>
      </c>
      <c r="T136" t="str">
        <f>IF(AND(Hoja4!H135="Empresa de embarque B",Hoja4!I135="Cheque"),"dale","vaaa")</f>
        <v>vaaa</v>
      </c>
      <c r="V136" t="str">
        <f>IF(AND(Hoja4!H135="Empresa de embarque B",Hoja4!I135="Cheque",Hoja4!J135="Cerveza"),"dale","vaaa")</f>
        <v>vaaa</v>
      </c>
      <c r="X136" t="str">
        <f>IF(OR(Hoja4!H135="Empresa de embarque B",Hoja4!I135="Cheque",Hoja4!J135="cerveza"),"dale","vaaa")</f>
        <v>dale</v>
      </c>
      <c r="Z136" t="str">
        <f>IF(NOT(OR(Hoja4!I135="Cheque",Hoja4!J135="Cerveza")),"Aprobado","No Aprobado")</f>
        <v>No Aprobado</v>
      </c>
    </row>
    <row r="137" spans="19:26" x14ac:dyDescent="0.25">
      <c r="S137" s="2" t="b">
        <f>AND(Hoja4!$P136="abril",Hoja4!$O136="Jue.")</f>
        <v>0</v>
      </c>
      <c r="T137" t="str">
        <f>IF(AND(Hoja4!H136="Empresa de embarque B",Hoja4!I136="Cheque"),"dale","vaaa")</f>
        <v>vaaa</v>
      </c>
      <c r="V137" t="str">
        <f>IF(AND(Hoja4!H136="Empresa de embarque B",Hoja4!I136="Cheque",Hoja4!J136="Cerveza"),"dale","vaaa")</f>
        <v>vaaa</v>
      </c>
      <c r="X137" t="str">
        <f>IF(OR(Hoja4!H136="Empresa de embarque B",Hoja4!I136="Cheque",Hoja4!J136="cerveza"),"dale","vaaa")</f>
        <v>dale</v>
      </c>
      <c r="Z137" t="str">
        <f>IF(NOT(OR(Hoja4!I136="Cheque",Hoja4!J136="Cerveza")),"Aprobado","No Aprobado")</f>
        <v>No Aprobado</v>
      </c>
    </row>
    <row r="138" spans="19:26" x14ac:dyDescent="0.25">
      <c r="S138" s="2" t="b">
        <f>AND(Hoja4!$P137="abril",Hoja4!$O137="Jue.")</f>
        <v>0</v>
      </c>
      <c r="T138" t="str">
        <f>IF(AND(Hoja4!H137="Empresa de embarque B",Hoja4!I137="Cheque"),"dale","vaaa")</f>
        <v>vaaa</v>
      </c>
      <c r="V138" t="str">
        <f>IF(AND(Hoja4!H137="Empresa de embarque B",Hoja4!I137="Cheque",Hoja4!J137="Cerveza"),"dale","vaaa")</f>
        <v>vaaa</v>
      </c>
      <c r="X138" t="str">
        <f>IF(OR(Hoja4!H137="Empresa de embarque B",Hoja4!I137="Cheque",Hoja4!J137="cerveza"),"dale","vaaa")</f>
        <v>dale</v>
      </c>
      <c r="Z138" t="str">
        <f>IF(NOT(OR(Hoja4!I137="Cheque",Hoja4!J137="Cerveza")),"Aprobado","No Aprobado")</f>
        <v>No Aprobado</v>
      </c>
    </row>
    <row r="139" spans="19:26" x14ac:dyDescent="0.25">
      <c r="S139" s="2" t="b">
        <f>AND(Hoja4!$P138="abril",Hoja4!$O138="Jue.")</f>
        <v>0</v>
      </c>
      <c r="T139" t="str">
        <f>IF(AND(Hoja4!H138="Empresa de embarque B",Hoja4!I138="Cheque"),"dale","vaaa")</f>
        <v>dale</v>
      </c>
      <c r="V139" t="str">
        <f>IF(AND(Hoja4!H138="Empresa de embarque B",Hoja4!I138="Cheque",Hoja4!J138="Cerveza"),"dale","vaaa")</f>
        <v>vaaa</v>
      </c>
      <c r="X139" t="str">
        <f>IF(OR(Hoja4!H138="Empresa de embarque B",Hoja4!I138="Cheque",Hoja4!J138="cerveza"),"dale","vaaa")</f>
        <v>dale</v>
      </c>
      <c r="Z139" t="str">
        <f>IF(NOT(OR(Hoja4!I138="Cheque",Hoja4!J138="Cerveza")),"Aprobado","No Aprobado")</f>
        <v>No Aprobado</v>
      </c>
    </row>
    <row r="140" spans="19:26" x14ac:dyDescent="0.25">
      <c r="S140" s="2" t="b">
        <f>AND(Hoja4!$P139="abril",Hoja4!$O139="Jue.")</f>
        <v>0</v>
      </c>
      <c r="T140" t="str">
        <f>IF(AND(Hoja4!H139="Empresa de embarque B",Hoja4!I139="Cheque"),"dale","vaaa")</f>
        <v>dale</v>
      </c>
      <c r="V140" t="str">
        <f>IF(AND(Hoja4!H139="Empresa de embarque B",Hoja4!I139="Cheque",Hoja4!J139="Cerveza"),"dale","vaaa")</f>
        <v>vaaa</v>
      </c>
      <c r="X140" t="str">
        <f>IF(OR(Hoja4!H139="Empresa de embarque B",Hoja4!I139="Cheque",Hoja4!J139="cerveza"),"dale","vaaa")</f>
        <v>dale</v>
      </c>
      <c r="Z140" t="str">
        <f>IF(NOT(OR(Hoja4!I139="Cheque",Hoja4!J139="Cerveza")),"Aprobado","No Aprobado")</f>
        <v>No Aprobado</v>
      </c>
    </row>
    <row r="141" spans="19:26" x14ac:dyDescent="0.25">
      <c r="S141" s="2" t="b">
        <f>AND(Hoja4!$P140="abril",Hoja4!$O140="Jue.")</f>
        <v>0</v>
      </c>
      <c r="T141" t="str">
        <f>IF(AND(Hoja4!H140="Empresa de embarque B",Hoja4!I140="Cheque"),"dale","vaaa")</f>
        <v>vaaa</v>
      </c>
      <c r="V141" t="str">
        <f>IF(AND(Hoja4!H140="Empresa de embarque B",Hoja4!I140="Cheque",Hoja4!J140="Cerveza"),"dale","vaaa")</f>
        <v>vaaa</v>
      </c>
      <c r="X141" t="str">
        <f>IF(OR(Hoja4!H140="Empresa de embarque B",Hoja4!I140="Cheque",Hoja4!J140="cerveza"),"dale","vaaa")</f>
        <v>vaaa</v>
      </c>
      <c r="Z141" t="str">
        <f>IF(NOT(OR(Hoja4!I140="Cheque",Hoja4!J140="Cerveza")),"Aprobado","No Aprobado")</f>
        <v>Aprobado</v>
      </c>
    </row>
    <row r="142" spans="19:26" x14ac:dyDescent="0.25">
      <c r="S142" s="2" t="b">
        <f>AND(Hoja4!$P141="abril",Hoja4!$O141="Jue.")</f>
        <v>0</v>
      </c>
      <c r="T142" t="str">
        <f>IF(AND(Hoja4!H141="Empresa de embarque B",Hoja4!I141="Cheque"),"dale","vaaa")</f>
        <v>vaaa</v>
      </c>
      <c r="V142" t="str">
        <f>IF(AND(Hoja4!H141="Empresa de embarque B",Hoja4!I141="Cheque",Hoja4!J141="Cerveza"),"dale","vaaa")</f>
        <v>vaaa</v>
      </c>
      <c r="X142" t="str">
        <f>IF(OR(Hoja4!H141="Empresa de embarque B",Hoja4!I141="Cheque",Hoja4!J141="cerveza"),"dale","vaaa")</f>
        <v>vaaa</v>
      </c>
      <c r="Z142" t="str">
        <f>IF(NOT(OR(Hoja4!I141="Cheque",Hoja4!J141="Cerveza")),"Aprobado","No Aprobado")</f>
        <v>Aprobado</v>
      </c>
    </row>
    <row r="143" spans="19:26" x14ac:dyDescent="0.25">
      <c r="S143" s="2" t="b">
        <f>AND(Hoja4!$P142="abril",Hoja4!$O142="Jue.")</f>
        <v>0</v>
      </c>
      <c r="T143" t="str">
        <f>IF(AND(Hoja4!H142="Empresa de embarque B",Hoja4!I142="Cheque"),"dale","vaaa")</f>
        <v>vaaa</v>
      </c>
      <c r="V143" t="str">
        <f>IF(AND(Hoja4!H142="Empresa de embarque B",Hoja4!I142="Cheque",Hoja4!J142="Cerveza"),"dale","vaaa")</f>
        <v>vaaa</v>
      </c>
      <c r="X143" t="str">
        <f>IF(OR(Hoja4!H142="Empresa de embarque B",Hoja4!I142="Cheque",Hoja4!J142="cerveza"),"dale","vaaa")</f>
        <v>vaaa</v>
      </c>
      <c r="Z143" t="str">
        <f>IF(NOT(OR(Hoja4!I142="Cheque",Hoja4!J142="Cerveza")),"Aprobado","No Aprobado")</f>
        <v>Aprobado</v>
      </c>
    </row>
    <row r="144" spans="19:26" x14ac:dyDescent="0.25">
      <c r="S144" s="2" t="b">
        <f>AND(Hoja4!$P143="abril",Hoja4!$O143="Jue.")</f>
        <v>0</v>
      </c>
      <c r="T144" t="str">
        <f>IF(AND(Hoja4!H143="Empresa de embarque B",Hoja4!I143="Cheque"),"dale","vaaa")</f>
        <v>vaaa</v>
      </c>
      <c r="V144" t="str">
        <f>IF(AND(Hoja4!H143="Empresa de embarque B",Hoja4!I143="Cheque",Hoja4!J143="Cerveza"),"dale","vaaa")</f>
        <v>vaaa</v>
      </c>
      <c r="X144" t="str">
        <f>IF(OR(Hoja4!H143="Empresa de embarque B",Hoja4!I143="Cheque",Hoja4!J143="cerveza"),"dale","vaaa")</f>
        <v>vaaa</v>
      </c>
      <c r="Z144" t="str">
        <f>IF(NOT(OR(Hoja4!I143="Cheque",Hoja4!J143="Cerveza")),"Aprobado","No Aprobado")</f>
        <v>Aprobado</v>
      </c>
    </row>
    <row r="145" spans="19:26" x14ac:dyDescent="0.25">
      <c r="S145" s="2" t="b">
        <f>AND(Hoja4!$P144="abril",Hoja4!$O144="Jue.")</f>
        <v>0</v>
      </c>
      <c r="T145" t="str">
        <f>IF(AND(Hoja4!H144="Empresa de embarque B",Hoja4!I144="Cheque"),"dale","vaaa")</f>
        <v>dale</v>
      </c>
      <c r="V145" t="str">
        <f>IF(AND(Hoja4!H144="Empresa de embarque B",Hoja4!I144="Cheque",Hoja4!J144="Cerveza"),"dale","vaaa")</f>
        <v>dale</v>
      </c>
      <c r="X145" t="str">
        <f>IF(OR(Hoja4!H144="Empresa de embarque B",Hoja4!I144="Cheque",Hoja4!J144="cerveza"),"dale","vaaa")</f>
        <v>dale</v>
      </c>
      <c r="Z145" t="str">
        <f>IF(NOT(OR(Hoja4!I144="Cheque",Hoja4!J144="Cerveza")),"Aprobado","No Aprobado")</f>
        <v>No Aprobado</v>
      </c>
    </row>
    <row r="146" spans="19:26" x14ac:dyDescent="0.25">
      <c r="S146" s="2" t="b">
        <f>AND(Hoja4!$P145="abril",Hoja4!$O145="Jue.")</f>
        <v>0</v>
      </c>
      <c r="T146" t="str">
        <f>IF(AND(Hoja4!H145="Empresa de embarque B",Hoja4!I145="Cheque"),"dale","vaaa")</f>
        <v>vaaa</v>
      </c>
      <c r="V146" t="str">
        <f>IF(AND(Hoja4!H145="Empresa de embarque B",Hoja4!I145="Cheque",Hoja4!J145="Cerveza"),"dale","vaaa")</f>
        <v>vaaa</v>
      </c>
      <c r="X146" t="str">
        <f>IF(OR(Hoja4!H145="Empresa de embarque B",Hoja4!I145="Cheque",Hoja4!J145="cerveza"),"dale","vaaa")</f>
        <v>dale</v>
      </c>
      <c r="Z146" t="str">
        <f>IF(NOT(OR(Hoja4!I145="Cheque",Hoja4!J145="Cerveza")),"Aprobado","No Aprobado")</f>
        <v>No Aprobado</v>
      </c>
    </row>
    <row r="147" spans="19:26" x14ac:dyDescent="0.25">
      <c r="S147" s="2" t="b">
        <f>AND(Hoja4!$P146="abril",Hoja4!$O146="Jue.")</f>
        <v>0</v>
      </c>
      <c r="T147" t="str">
        <f>IF(AND(Hoja4!H146="Empresa de embarque B",Hoja4!I146="Cheque"),"dale","vaaa")</f>
        <v>vaaa</v>
      </c>
      <c r="V147" t="str">
        <f>IF(AND(Hoja4!H146="Empresa de embarque B",Hoja4!I146="Cheque",Hoja4!J146="Cerveza"),"dale","vaaa")</f>
        <v>vaaa</v>
      </c>
      <c r="X147" t="str">
        <f>IF(OR(Hoja4!H146="Empresa de embarque B",Hoja4!I146="Cheque",Hoja4!J146="cerveza"),"dale","vaaa")</f>
        <v>vaaa</v>
      </c>
      <c r="Z147" t="str">
        <f>IF(NOT(OR(Hoja4!I146="Cheque",Hoja4!J146="Cerveza")),"Aprobado","No Aprobado")</f>
        <v>Aprobado</v>
      </c>
    </row>
    <row r="148" spans="19:26" x14ac:dyDescent="0.25">
      <c r="S148" s="2" t="b">
        <f>AND(Hoja4!$P147="abril",Hoja4!$O147="Jue.")</f>
        <v>0</v>
      </c>
      <c r="T148" t="str">
        <f>IF(AND(Hoja4!H147="Empresa de embarque B",Hoja4!I147="Cheque"),"dale","vaaa")</f>
        <v>vaaa</v>
      </c>
      <c r="V148" t="str">
        <f>IF(AND(Hoja4!H147="Empresa de embarque B",Hoja4!I147="Cheque",Hoja4!J147="Cerveza"),"dale","vaaa")</f>
        <v>vaaa</v>
      </c>
      <c r="X148" t="str">
        <f>IF(OR(Hoja4!H147="Empresa de embarque B",Hoja4!I147="Cheque",Hoja4!J147="cerveza"),"dale","vaaa")</f>
        <v>vaaa</v>
      </c>
      <c r="Z148" t="str">
        <f>IF(NOT(OR(Hoja4!I147="Cheque",Hoja4!J147="Cerveza")),"Aprobado","No Aprobado")</f>
        <v>Aprobado</v>
      </c>
    </row>
    <row r="149" spans="19:26" x14ac:dyDescent="0.25">
      <c r="S149" s="2" t="b">
        <f>AND(Hoja4!$P148="abril",Hoja4!$O148="Jue.")</f>
        <v>0</v>
      </c>
      <c r="T149" t="str">
        <f>IF(AND(Hoja4!H148="Empresa de embarque B",Hoja4!I148="Cheque"),"dale","vaaa")</f>
        <v>vaaa</v>
      </c>
      <c r="V149" t="str">
        <f>IF(AND(Hoja4!H148="Empresa de embarque B",Hoja4!I148="Cheque",Hoja4!J148="Cerveza"),"dale","vaaa")</f>
        <v>vaaa</v>
      </c>
      <c r="X149" t="str">
        <f>IF(OR(Hoja4!H148="Empresa de embarque B",Hoja4!I148="Cheque",Hoja4!J148="cerveza"),"dale","vaaa")</f>
        <v>vaaa</v>
      </c>
      <c r="Z149" t="str">
        <f>IF(NOT(OR(Hoja4!I148="Cheque",Hoja4!J148="Cerveza")),"Aprobado","No Aprobado")</f>
        <v>Aprobado</v>
      </c>
    </row>
    <row r="150" spans="19:26" x14ac:dyDescent="0.25">
      <c r="S150" s="2" t="b">
        <f>AND(Hoja4!$P149="abril",Hoja4!$O149="Jue.")</f>
        <v>0</v>
      </c>
      <c r="T150" t="str">
        <f>IF(AND(Hoja4!H149="Empresa de embarque B",Hoja4!I149="Cheque"),"dale","vaaa")</f>
        <v>vaaa</v>
      </c>
      <c r="V150" t="str">
        <f>IF(AND(Hoja4!H149="Empresa de embarque B",Hoja4!I149="Cheque",Hoja4!J149="Cerveza"),"dale","vaaa")</f>
        <v>vaaa</v>
      </c>
      <c r="X150" t="str">
        <f>IF(OR(Hoja4!H149="Empresa de embarque B",Hoja4!I149="Cheque",Hoja4!J149="cerveza"),"dale","vaaa")</f>
        <v>dale</v>
      </c>
      <c r="Z150" t="str">
        <f>IF(NOT(OR(Hoja4!I149="Cheque",Hoja4!J149="Cerveza")),"Aprobado","No Aprobado")</f>
        <v>Aprobado</v>
      </c>
    </row>
    <row r="151" spans="19:26" x14ac:dyDescent="0.25">
      <c r="S151" s="2" t="b">
        <f>AND(Hoja4!$P150="abril",Hoja4!$O150="Jue.")</f>
        <v>1</v>
      </c>
      <c r="T151" t="str">
        <f>IF(AND(Hoja4!H150="Empresa de embarque B",Hoja4!I150="Cheque"),"dale","vaaa")</f>
        <v>vaaa</v>
      </c>
      <c r="V151" t="str">
        <f>IF(AND(Hoja4!H150="Empresa de embarque B",Hoja4!I150="Cheque",Hoja4!J150="Cerveza"),"dale","vaaa")</f>
        <v>vaaa</v>
      </c>
      <c r="X151" t="str">
        <f>IF(OR(Hoja4!H150="Empresa de embarque B",Hoja4!I150="Cheque",Hoja4!J150="cerveza"),"dale","vaaa")</f>
        <v>dale</v>
      </c>
      <c r="Z151" t="str">
        <f>IF(NOT(OR(Hoja4!I150="Cheque",Hoja4!J150="Cerveza")),"Aprobado","No Aprobado")</f>
        <v>Aprobado</v>
      </c>
    </row>
    <row r="152" spans="19:26" x14ac:dyDescent="0.25">
      <c r="S152" s="2" t="b">
        <f>AND(Hoja4!$P151="abril",Hoja4!$O151="Jue.")</f>
        <v>0</v>
      </c>
      <c r="T152" t="str">
        <f>IF(AND(Hoja4!H151="Empresa de embarque B",Hoja4!I151="Cheque"),"dale","vaaa")</f>
        <v>vaaa</v>
      </c>
      <c r="V152" t="str">
        <f>IF(AND(Hoja4!H151="Empresa de embarque B",Hoja4!I151="Cheque",Hoja4!J151="Cerveza"),"dale","vaaa")</f>
        <v>vaaa</v>
      </c>
      <c r="X152" t="str">
        <f>IF(OR(Hoja4!H151="Empresa de embarque B",Hoja4!I151="Cheque",Hoja4!J151="cerveza"),"dale","vaaa")</f>
        <v>dale</v>
      </c>
      <c r="Z152" t="str">
        <f>IF(NOT(OR(Hoja4!I151="Cheque",Hoja4!J151="Cerveza")),"Aprobado","No Aprobado")</f>
        <v>Aprobado</v>
      </c>
    </row>
    <row r="153" spans="19:26" x14ac:dyDescent="0.25">
      <c r="S153" s="2" t="b">
        <f>AND(Hoja4!$P152="abril",Hoja4!$O152="Jue.")</f>
        <v>0</v>
      </c>
      <c r="T153" t="str">
        <f>IF(AND(Hoja4!H152="Empresa de embarque B",Hoja4!I152="Cheque"),"dale","vaaa")</f>
        <v>vaaa</v>
      </c>
      <c r="V153" t="str">
        <f>IF(AND(Hoja4!H152="Empresa de embarque B",Hoja4!I152="Cheque",Hoja4!J152="Cerveza"),"dale","vaaa")</f>
        <v>vaaa</v>
      </c>
      <c r="X153" t="str">
        <f>IF(OR(Hoja4!H152="Empresa de embarque B",Hoja4!I152="Cheque",Hoja4!J152="cerveza"),"dale","vaaa")</f>
        <v>vaaa</v>
      </c>
      <c r="Z153" t="str">
        <f>IF(NOT(OR(Hoja4!I152="Cheque",Hoja4!J152="Cerveza")),"Aprobado","No Aprobado")</f>
        <v>Aprobado</v>
      </c>
    </row>
    <row r="154" spans="19:26" x14ac:dyDescent="0.25">
      <c r="S154" s="2" t="b">
        <f>AND(Hoja4!$P153="abril",Hoja4!$O153="Jue.")</f>
        <v>0</v>
      </c>
      <c r="T154" t="str">
        <f>IF(AND(Hoja4!H153="Empresa de embarque B",Hoja4!I153="Cheque"),"dale","vaaa")</f>
        <v>vaaa</v>
      </c>
      <c r="V154" t="str">
        <f>IF(AND(Hoja4!H153="Empresa de embarque B",Hoja4!I153="Cheque",Hoja4!J153="Cerveza"),"dale","vaaa")</f>
        <v>vaaa</v>
      </c>
      <c r="X154" t="str">
        <f>IF(OR(Hoja4!H153="Empresa de embarque B",Hoja4!I153="Cheque",Hoja4!J153="cerveza"),"dale","vaaa")</f>
        <v>vaaa</v>
      </c>
      <c r="Z154" t="str">
        <f>IF(NOT(OR(Hoja4!I153="Cheque",Hoja4!J153="Cerveza")),"Aprobado","No Aprobado")</f>
        <v>Aprobado</v>
      </c>
    </row>
    <row r="155" spans="19:26" x14ac:dyDescent="0.25">
      <c r="S155" s="2" t="b">
        <f>AND(Hoja4!$P154="abril",Hoja4!$O154="Jue.")</f>
        <v>0</v>
      </c>
      <c r="T155" t="str">
        <f>IF(AND(Hoja4!H154="Empresa de embarque B",Hoja4!I154="Cheque"),"dale","vaaa")</f>
        <v>vaaa</v>
      </c>
      <c r="V155" t="str">
        <f>IF(AND(Hoja4!H154="Empresa de embarque B",Hoja4!I154="Cheque",Hoja4!J154="Cerveza"),"dale","vaaa")</f>
        <v>vaaa</v>
      </c>
      <c r="X155" t="str">
        <f>IF(OR(Hoja4!H154="Empresa de embarque B",Hoja4!I154="Cheque",Hoja4!J154="cerveza"),"dale","vaaa")</f>
        <v>vaaa</v>
      </c>
      <c r="Z155" t="str">
        <f>IF(NOT(OR(Hoja4!I154="Cheque",Hoja4!J154="Cerveza")),"Aprobado","No Aprobado")</f>
        <v>Aprobado</v>
      </c>
    </row>
    <row r="156" spans="19:26" x14ac:dyDescent="0.25">
      <c r="S156" s="2" t="b">
        <f>AND(Hoja4!$P155="abril",Hoja4!$O155="Jue.")</f>
        <v>0</v>
      </c>
      <c r="T156" t="str">
        <f>IF(AND(Hoja4!H155="Empresa de embarque B",Hoja4!I155="Cheque"),"dale","vaaa")</f>
        <v>vaaa</v>
      </c>
      <c r="V156" t="str">
        <f>IF(AND(Hoja4!H155="Empresa de embarque B",Hoja4!I155="Cheque",Hoja4!J155="Cerveza"),"dale","vaaa")</f>
        <v>vaaa</v>
      </c>
      <c r="X156" t="str">
        <f>IF(OR(Hoja4!H155="Empresa de embarque B",Hoja4!I155="Cheque",Hoja4!J155="cerveza"),"dale","vaaa")</f>
        <v>vaaa</v>
      </c>
      <c r="Z156" t="str">
        <f>IF(NOT(OR(Hoja4!I155="Cheque",Hoja4!J155="Cerveza")),"Aprobado","No Aprobado")</f>
        <v>Aprobado</v>
      </c>
    </row>
    <row r="157" spans="19:26" x14ac:dyDescent="0.25">
      <c r="S157" s="2" t="b">
        <f>AND(Hoja4!$P156="abril",Hoja4!$O156="Jue.")</f>
        <v>0</v>
      </c>
      <c r="T157" t="str">
        <f>IF(AND(Hoja4!H156="Empresa de embarque B",Hoja4!I156="Cheque"),"dale","vaaa")</f>
        <v>vaaa</v>
      </c>
      <c r="V157" t="str">
        <f>IF(AND(Hoja4!H156="Empresa de embarque B",Hoja4!I156="Cheque",Hoja4!J156="Cerveza"),"dale","vaaa")</f>
        <v>vaaa</v>
      </c>
      <c r="X157" t="str">
        <f>IF(OR(Hoja4!H156="Empresa de embarque B",Hoja4!I156="Cheque",Hoja4!J156="cerveza"),"dale","vaaa")</f>
        <v>dale</v>
      </c>
      <c r="Z157" t="str">
        <f>IF(NOT(OR(Hoja4!I156="Cheque",Hoja4!J156="Cerveza")),"Aprobado","No Aprobado")</f>
        <v>No Aprobado</v>
      </c>
    </row>
    <row r="158" spans="19:26" x14ac:dyDescent="0.25">
      <c r="S158" s="2" t="b">
        <f>AND(Hoja4!$P157="abril",Hoja4!$O157="Jue.")</f>
        <v>0</v>
      </c>
      <c r="T158" t="str">
        <f>IF(AND(Hoja4!H157="Empresa de embarque B",Hoja4!I157="Cheque"),"dale","vaaa")</f>
        <v>vaaa</v>
      </c>
      <c r="V158" t="str">
        <f>IF(AND(Hoja4!H157="Empresa de embarque B",Hoja4!I157="Cheque",Hoja4!J157="Cerveza"),"dale","vaaa")</f>
        <v>vaaa</v>
      </c>
      <c r="X158" t="str">
        <f>IF(OR(Hoja4!H157="Empresa de embarque B",Hoja4!I157="Cheque",Hoja4!J157="cerveza"),"dale","vaaa")</f>
        <v>dale</v>
      </c>
      <c r="Z158" t="str">
        <f>IF(NOT(OR(Hoja4!I157="Cheque",Hoja4!J157="Cerveza")),"Aprobado","No Aprobado")</f>
        <v>Aprobado</v>
      </c>
    </row>
    <row r="159" spans="19:26" x14ac:dyDescent="0.25">
      <c r="S159" s="2" t="b">
        <f>AND(Hoja4!$P158="abril",Hoja4!$O158="Jue.")</f>
        <v>0</v>
      </c>
      <c r="T159" t="str">
        <f>IF(AND(Hoja4!H158="Empresa de embarque B",Hoja4!I158="Cheque"),"dale","vaaa")</f>
        <v>dale</v>
      </c>
      <c r="V159" t="str">
        <f>IF(AND(Hoja4!H158="Empresa de embarque B",Hoja4!I158="Cheque",Hoja4!J158="Cerveza"),"dale","vaaa")</f>
        <v>vaaa</v>
      </c>
      <c r="X159" t="str">
        <f>IF(OR(Hoja4!H158="Empresa de embarque B",Hoja4!I158="Cheque",Hoja4!J158="cerveza"),"dale","vaaa")</f>
        <v>dale</v>
      </c>
      <c r="Z159" t="str">
        <f>IF(NOT(OR(Hoja4!I158="Cheque",Hoja4!J158="Cerveza")),"Aprobado","No Aprobado")</f>
        <v>No Aprobado</v>
      </c>
    </row>
    <row r="160" spans="19:26" x14ac:dyDescent="0.25">
      <c r="S160" s="2" t="b">
        <f>AND(Hoja4!$P159="abril",Hoja4!$O159="Jue.")</f>
        <v>0</v>
      </c>
      <c r="T160" t="str">
        <f>IF(AND(Hoja4!H159="Empresa de embarque B",Hoja4!I159="Cheque"),"dale","vaaa")</f>
        <v>vaaa</v>
      </c>
      <c r="V160" t="str">
        <f>IF(AND(Hoja4!H159="Empresa de embarque B",Hoja4!I159="Cheque",Hoja4!J159="Cerveza"),"dale","vaaa")</f>
        <v>vaaa</v>
      </c>
      <c r="X160" t="str">
        <f>IF(OR(Hoja4!H159="Empresa de embarque B",Hoja4!I159="Cheque",Hoja4!J159="cerveza"),"dale","vaaa")</f>
        <v>vaaa</v>
      </c>
      <c r="Z160" t="str">
        <f>IF(NOT(OR(Hoja4!I159="Cheque",Hoja4!J159="Cerveza")),"Aprobado","No Aprobado")</f>
        <v>Aprobado</v>
      </c>
    </row>
    <row r="161" spans="19:26" x14ac:dyDescent="0.25">
      <c r="S161" s="2" t="b">
        <f>AND(Hoja4!$P160="abril",Hoja4!$O160="Jue.")</f>
        <v>0</v>
      </c>
      <c r="T161" t="str">
        <f>IF(AND(Hoja4!H160="Empresa de embarque B",Hoja4!I160="Cheque"),"dale","vaaa")</f>
        <v>vaaa</v>
      </c>
      <c r="V161" t="str">
        <f>IF(AND(Hoja4!H160="Empresa de embarque B",Hoja4!I160="Cheque",Hoja4!J160="Cerveza"),"dale","vaaa")</f>
        <v>vaaa</v>
      </c>
      <c r="X161" t="str">
        <f>IF(OR(Hoja4!H160="Empresa de embarque B",Hoja4!I160="Cheque",Hoja4!J160="cerveza"),"dale","vaaa")</f>
        <v>vaaa</v>
      </c>
      <c r="Z161" t="str">
        <f>IF(NOT(OR(Hoja4!I160="Cheque",Hoja4!J160="Cerveza")),"Aprobado","No Aprobado")</f>
        <v>Aprobado</v>
      </c>
    </row>
    <row r="162" spans="19:26" x14ac:dyDescent="0.25">
      <c r="S162" s="2" t="b">
        <f>AND(Hoja4!$P161="abril",Hoja4!$O161="Jue.")</f>
        <v>0</v>
      </c>
      <c r="T162" t="str">
        <f>IF(AND(Hoja4!H161="Empresa de embarque B",Hoja4!I161="Cheque"),"dale","vaaa")</f>
        <v>dale</v>
      </c>
      <c r="V162" t="str">
        <f>IF(AND(Hoja4!H161="Empresa de embarque B",Hoja4!I161="Cheque",Hoja4!J161="Cerveza"),"dale","vaaa")</f>
        <v>vaaa</v>
      </c>
      <c r="X162" t="str">
        <f>IF(OR(Hoja4!H161="Empresa de embarque B",Hoja4!I161="Cheque",Hoja4!J161="cerveza"),"dale","vaaa")</f>
        <v>dale</v>
      </c>
      <c r="Z162" t="str">
        <f>IF(NOT(OR(Hoja4!I161="Cheque",Hoja4!J161="Cerveza")),"Aprobado","No Aprobado")</f>
        <v>No Aprobado</v>
      </c>
    </row>
    <row r="163" spans="19:26" x14ac:dyDescent="0.25">
      <c r="S163" s="2" t="b">
        <f>AND(Hoja4!$P162="abril",Hoja4!$O162="Jue.")</f>
        <v>0</v>
      </c>
      <c r="T163" t="str">
        <f>IF(AND(Hoja4!H162="Empresa de embarque B",Hoja4!I162="Cheque"),"dale","vaaa")</f>
        <v>vaaa</v>
      </c>
      <c r="V163" t="str">
        <f>IF(AND(Hoja4!H162="Empresa de embarque B",Hoja4!I162="Cheque",Hoja4!J162="Cerveza"),"dale","vaaa")</f>
        <v>vaaa</v>
      </c>
      <c r="X163" t="str">
        <f>IF(OR(Hoja4!H162="Empresa de embarque B",Hoja4!I162="Cheque",Hoja4!J162="cerveza"),"dale","vaaa")</f>
        <v>dale</v>
      </c>
      <c r="Z163" t="str">
        <f>IF(NOT(OR(Hoja4!I162="Cheque",Hoja4!J162="Cerveza")),"Aprobado","No Aprobado")</f>
        <v>No Aprobado</v>
      </c>
    </row>
    <row r="164" spans="19:26" x14ac:dyDescent="0.25">
      <c r="S164" s="2" t="b">
        <f>AND(Hoja4!$P163="abril",Hoja4!$O163="Jue.")</f>
        <v>0</v>
      </c>
      <c r="T164" t="str">
        <f>IF(AND(Hoja4!H163="Empresa de embarque B",Hoja4!I163="Cheque"),"dale","vaaa")</f>
        <v>vaaa</v>
      </c>
      <c r="V164" t="str">
        <f>IF(AND(Hoja4!H163="Empresa de embarque B",Hoja4!I163="Cheque",Hoja4!J163="Cerveza"),"dale","vaaa")</f>
        <v>vaaa</v>
      </c>
      <c r="X164" t="str">
        <f>IF(OR(Hoja4!H163="Empresa de embarque B",Hoja4!I163="Cheque",Hoja4!J163="cerveza"),"dale","vaaa")</f>
        <v>dale</v>
      </c>
      <c r="Z164" t="str">
        <f>IF(NOT(OR(Hoja4!I163="Cheque",Hoja4!J163="Cerveza")),"Aprobado","No Aprobado")</f>
        <v>No Aprobado</v>
      </c>
    </row>
    <row r="165" spans="19:26" x14ac:dyDescent="0.25">
      <c r="S165" s="2" t="b">
        <f>AND(Hoja4!$P164="abril",Hoja4!$O164="Jue.")</f>
        <v>0</v>
      </c>
      <c r="T165" t="str">
        <f>IF(AND(Hoja4!H164="Empresa de embarque B",Hoja4!I164="Cheque"),"dale","vaaa")</f>
        <v>vaaa</v>
      </c>
      <c r="V165" t="str">
        <f>IF(AND(Hoja4!H164="Empresa de embarque B",Hoja4!I164="Cheque",Hoja4!J164="Cerveza"),"dale","vaaa")</f>
        <v>vaaa</v>
      </c>
      <c r="X165" t="str">
        <f>IF(OR(Hoja4!H164="Empresa de embarque B",Hoja4!I164="Cheque",Hoja4!J164="cerveza"),"dale","vaaa")</f>
        <v>vaaa</v>
      </c>
      <c r="Z165" t="str">
        <f>IF(NOT(OR(Hoja4!I164="Cheque",Hoja4!J164="Cerveza")),"Aprobado","No Aprobado")</f>
        <v>Aprobado</v>
      </c>
    </row>
    <row r="166" spans="19:26" x14ac:dyDescent="0.25">
      <c r="S166" s="2" t="b">
        <f>AND(Hoja4!$P165="abril",Hoja4!$O165="Jue.")</f>
        <v>0</v>
      </c>
      <c r="T166" t="str">
        <f>IF(AND(Hoja4!H165="Empresa de embarque B",Hoja4!I165="Cheque"),"dale","vaaa")</f>
        <v>vaaa</v>
      </c>
      <c r="V166" t="str">
        <f>IF(AND(Hoja4!H165="Empresa de embarque B",Hoja4!I165="Cheque",Hoja4!J165="Cerveza"),"dale","vaaa")</f>
        <v>vaaa</v>
      </c>
      <c r="X166" t="str">
        <f>IF(OR(Hoja4!H165="Empresa de embarque B",Hoja4!I165="Cheque",Hoja4!J165="cerveza"),"dale","vaaa")</f>
        <v>vaaa</v>
      </c>
      <c r="Z166" t="str">
        <f>IF(NOT(OR(Hoja4!I165="Cheque",Hoja4!J165="Cerveza")),"Aprobado","No Aprobado")</f>
        <v>Aprobado</v>
      </c>
    </row>
    <row r="167" spans="19:26" x14ac:dyDescent="0.25">
      <c r="S167" s="2" t="b">
        <f>AND(Hoja4!$P166="abril",Hoja4!$O166="Jue.")</f>
        <v>0</v>
      </c>
      <c r="T167" t="str">
        <f>IF(AND(Hoja4!H166="Empresa de embarque B",Hoja4!I166="Cheque"),"dale","vaaa")</f>
        <v>vaaa</v>
      </c>
      <c r="V167" t="str">
        <f>IF(AND(Hoja4!H166="Empresa de embarque B",Hoja4!I166="Cheque",Hoja4!J166="Cerveza"),"dale","vaaa")</f>
        <v>vaaa</v>
      </c>
      <c r="X167" t="str">
        <f>IF(OR(Hoja4!H166="Empresa de embarque B",Hoja4!I166="Cheque",Hoja4!J166="cerveza"),"dale","vaaa")</f>
        <v>vaaa</v>
      </c>
      <c r="Z167" t="str">
        <f>IF(NOT(OR(Hoja4!I166="Cheque",Hoja4!J166="Cerveza")),"Aprobado","No Aprobado")</f>
        <v>Aprobado</v>
      </c>
    </row>
    <row r="168" spans="19:26" x14ac:dyDescent="0.25">
      <c r="S168" s="2" t="b">
        <f>AND(Hoja4!$P167="abril",Hoja4!$O167="Jue.")</f>
        <v>0</v>
      </c>
      <c r="T168" t="str">
        <f>IF(AND(Hoja4!H167="Empresa de embarque B",Hoja4!I167="Cheque"),"dale","vaaa")</f>
        <v>vaaa</v>
      </c>
      <c r="V168" t="str">
        <f>IF(AND(Hoja4!H167="Empresa de embarque B",Hoja4!I167="Cheque",Hoja4!J167="Cerveza"),"dale","vaaa")</f>
        <v>vaaa</v>
      </c>
      <c r="X168" t="str">
        <f>IF(OR(Hoja4!H167="Empresa de embarque B",Hoja4!I167="Cheque",Hoja4!J167="cerveza"),"dale","vaaa")</f>
        <v>vaaa</v>
      </c>
      <c r="Z168" t="str">
        <f>IF(NOT(OR(Hoja4!I167="Cheque",Hoja4!J167="Cerveza")),"Aprobado","No Aprobado")</f>
        <v>Aprobado</v>
      </c>
    </row>
    <row r="169" spans="19:26" x14ac:dyDescent="0.25">
      <c r="S169" s="2" t="b">
        <f>AND(Hoja4!$P168="abril",Hoja4!$O168="Jue.")</f>
        <v>0</v>
      </c>
      <c r="T169" t="str">
        <f>IF(AND(Hoja4!H168="Empresa de embarque B",Hoja4!I168="Cheque"),"dale","vaaa")</f>
        <v>vaaa</v>
      </c>
      <c r="V169" t="str">
        <f>IF(AND(Hoja4!H168="Empresa de embarque B",Hoja4!I168="Cheque",Hoja4!J168="Cerveza"),"dale","vaaa")</f>
        <v>vaaa</v>
      </c>
      <c r="X169" t="str">
        <f>IF(OR(Hoja4!H168="Empresa de embarque B",Hoja4!I168="Cheque",Hoja4!J168="cerveza"),"dale","vaaa")</f>
        <v>vaaa</v>
      </c>
      <c r="Z169" t="str">
        <f>IF(NOT(OR(Hoja4!I168="Cheque",Hoja4!J168="Cerveza")),"Aprobado","No Aprobado")</f>
        <v>Aprobado</v>
      </c>
    </row>
    <row r="170" spans="19:26" x14ac:dyDescent="0.25">
      <c r="S170" s="2" t="b">
        <f>AND(Hoja4!$P169="abril",Hoja4!$O169="Jue.")</f>
        <v>0</v>
      </c>
      <c r="T170" t="str">
        <f>IF(AND(Hoja4!H169="Empresa de embarque B",Hoja4!I169="Cheque"),"dale","vaaa")</f>
        <v>vaaa</v>
      </c>
      <c r="V170" t="str">
        <f>IF(AND(Hoja4!H169="Empresa de embarque B",Hoja4!I169="Cheque",Hoja4!J169="Cerveza"),"dale","vaaa")</f>
        <v>vaaa</v>
      </c>
      <c r="X170" t="str">
        <f>IF(OR(Hoja4!H169="Empresa de embarque B",Hoja4!I169="Cheque",Hoja4!J169="cerveza"),"dale","vaaa")</f>
        <v>dale</v>
      </c>
      <c r="Z170" t="str">
        <f>IF(NOT(OR(Hoja4!I169="Cheque",Hoja4!J169="Cerveza")),"Aprobado","No Aprobado")</f>
        <v>No Aprobado</v>
      </c>
    </row>
    <row r="171" spans="19:26" x14ac:dyDescent="0.25">
      <c r="S171" s="2" t="b">
        <f>AND(Hoja4!$P170="abril",Hoja4!$O170="Jue.")</f>
        <v>0</v>
      </c>
      <c r="T171" t="str">
        <f>IF(AND(Hoja4!H170="Empresa de embarque B",Hoja4!I170="Cheque"),"dale","vaaa")</f>
        <v>vaaa</v>
      </c>
      <c r="V171" t="str">
        <f>IF(AND(Hoja4!H170="Empresa de embarque B",Hoja4!I170="Cheque",Hoja4!J170="Cerveza"),"dale","vaaa")</f>
        <v>vaaa</v>
      </c>
      <c r="X171" t="str">
        <f>IF(OR(Hoja4!H170="Empresa de embarque B",Hoja4!I170="Cheque",Hoja4!J170="cerveza"),"dale","vaaa")</f>
        <v>dale</v>
      </c>
      <c r="Z171" t="str">
        <f>IF(NOT(OR(Hoja4!I170="Cheque",Hoja4!J170="Cerveza")),"Aprobado","No Aprobado")</f>
        <v>No Aprobado</v>
      </c>
    </row>
    <row r="172" spans="19:26" x14ac:dyDescent="0.25">
      <c r="S172" s="2" t="b">
        <f>AND(Hoja4!$P171="abril",Hoja4!$O171="Jue.")</f>
        <v>0</v>
      </c>
      <c r="T172" t="str">
        <f>IF(AND(Hoja4!H171="Empresa de embarque B",Hoja4!I171="Cheque"),"dale","vaaa")</f>
        <v>vaaa</v>
      </c>
      <c r="V172" t="str">
        <f>IF(AND(Hoja4!H171="Empresa de embarque B",Hoja4!I171="Cheque",Hoja4!J171="Cerveza"),"dale","vaaa")</f>
        <v>vaaa</v>
      </c>
      <c r="X172" t="str">
        <f>IF(OR(Hoja4!H171="Empresa de embarque B",Hoja4!I171="Cheque",Hoja4!J171="cerveza"),"dale","vaaa")</f>
        <v>dale</v>
      </c>
      <c r="Z172" t="str">
        <f>IF(NOT(OR(Hoja4!I171="Cheque",Hoja4!J171="Cerveza")),"Aprobado","No Aprobado")</f>
        <v>No Aprobado</v>
      </c>
    </row>
    <row r="173" spans="19:26" x14ac:dyDescent="0.25">
      <c r="S173" s="2" t="b">
        <f>AND(Hoja4!$P172="abril",Hoja4!$O172="Jue.")</f>
        <v>0</v>
      </c>
      <c r="T173" t="str">
        <f>IF(AND(Hoja4!H172="Empresa de embarque B",Hoja4!I172="Cheque"),"dale","vaaa")</f>
        <v>dale</v>
      </c>
      <c r="V173" t="str">
        <f>IF(AND(Hoja4!H172="Empresa de embarque B",Hoja4!I172="Cheque",Hoja4!J172="Cerveza"),"dale","vaaa")</f>
        <v>vaaa</v>
      </c>
      <c r="X173" t="str">
        <f>IF(OR(Hoja4!H172="Empresa de embarque B",Hoja4!I172="Cheque",Hoja4!J172="cerveza"),"dale","vaaa")</f>
        <v>dale</v>
      </c>
      <c r="Z173" t="str">
        <f>IF(NOT(OR(Hoja4!I172="Cheque",Hoja4!J172="Cerveza")),"Aprobado","No Aprobado")</f>
        <v>No Aprobado</v>
      </c>
    </row>
    <row r="174" spans="19:26" x14ac:dyDescent="0.25">
      <c r="S174" s="2" t="b">
        <f>AND(Hoja4!$P173="abril",Hoja4!$O173="Jue.")</f>
        <v>0</v>
      </c>
      <c r="T174" t="str">
        <f>IF(AND(Hoja4!H173="Empresa de embarque B",Hoja4!I173="Cheque"),"dale","vaaa")</f>
        <v>dale</v>
      </c>
      <c r="V174" t="str">
        <f>IF(AND(Hoja4!H173="Empresa de embarque B",Hoja4!I173="Cheque",Hoja4!J173="Cerveza"),"dale","vaaa")</f>
        <v>vaaa</v>
      </c>
      <c r="X174" t="str">
        <f>IF(OR(Hoja4!H173="Empresa de embarque B",Hoja4!I173="Cheque",Hoja4!J173="cerveza"),"dale","vaaa")</f>
        <v>dale</v>
      </c>
      <c r="Z174" t="str">
        <f>IF(NOT(OR(Hoja4!I173="Cheque",Hoja4!J173="Cerveza")),"Aprobado","No Aprobado")</f>
        <v>No Aprobado</v>
      </c>
    </row>
    <row r="175" spans="19:26" x14ac:dyDescent="0.25">
      <c r="S175" s="2" t="b">
        <f>AND(Hoja4!$P174="abril",Hoja4!$O174="Jue.")</f>
        <v>0</v>
      </c>
      <c r="T175" t="str">
        <f>IF(AND(Hoja4!H174="Empresa de embarque B",Hoja4!I174="Cheque"),"dale","vaaa")</f>
        <v>vaaa</v>
      </c>
      <c r="V175" t="str">
        <f>IF(AND(Hoja4!H174="Empresa de embarque B",Hoja4!I174="Cheque",Hoja4!J174="Cerveza"),"dale","vaaa")</f>
        <v>vaaa</v>
      </c>
      <c r="X175" t="str">
        <f>IF(OR(Hoja4!H174="Empresa de embarque B",Hoja4!I174="Cheque",Hoja4!J174="cerveza"),"dale","vaaa")</f>
        <v>vaaa</v>
      </c>
      <c r="Z175" t="str">
        <f>IF(NOT(OR(Hoja4!I174="Cheque",Hoja4!J174="Cerveza")),"Aprobado","No Aprobado")</f>
        <v>Aprobado</v>
      </c>
    </row>
    <row r="176" spans="19:26" x14ac:dyDescent="0.25">
      <c r="S176" s="2" t="b">
        <f>AND(Hoja4!$P175="abril",Hoja4!$O175="Jue.")</f>
        <v>0</v>
      </c>
      <c r="T176" t="str">
        <f>IF(AND(Hoja4!H175="Empresa de embarque B",Hoja4!I175="Cheque"),"dale","vaaa")</f>
        <v>vaaa</v>
      </c>
      <c r="V176" t="str">
        <f>IF(AND(Hoja4!H175="Empresa de embarque B",Hoja4!I175="Cheque",Hoja4!J175="Cerveza"),"dale","vaaa")</f>
        <v>vaaa</v>
      </c>
      <c r="X176" t="str">
        <f>IF(OR(Hoja4!H175="Empresa de embarque B",Hoja4!I175="Cheque",Hoja4!J175="cerveza"),"dale","vaaa")</f>
        <v>vaaa</v>
      </c>
      <c r="Z176" t="str">
        <f>IF(NOT(OR(Hoja4!I175="Cheque",Hoja4!J175="Cerveza")),"Aprobado","No Aprobado")</f>
        <v>Aprobado</v>
      </c>
    </row>
    <row r="177" spans="19:26" x14ac:dyDescent="0.25">
      <c r="S177" s="2" t="b">
        <f>AND(Hoja4!$P176="abril",Hoja4!$O176="Jue.")</f>
        <v>0</v>
      </c>
      <c r="T177" t="str">
        <f>IF(AND(Hoja4!H176="Empresa de embarque B",Hoja4!I176="Cheque"),"dale","vaaa")</f>
        <v>vaaa</v>
      </c>
      <c r="V177" t="str">
        <f>IF(AND(Hoja4!H176="Empresa de embarque B",Hoja4!I176="Cheque",Hoja4!J176="Cerveza"),"dale","vaaa")</f>
        <v>vaaa</v>
      </c>
      <c r="X177" t="str">
        <f>IF(OR(Hoja4!H176="Empresa de embarque B",Hoja4!I176="Cheque",Hoja4!J176="cerveza"),"dale","vaaa")</f>
        <v>vaaa</v>
      </c>
      <c r="Z177" t="str">
        <f>IF(NOT(OR(Hoja4!I176="Cheque",Hoja4!J176="Cerveza")),"Aprobado","No Aprobado")</f>
        <v>Aprobado</v>
      </c>
    </row>
    <row r="178" spans="19:26" x14ac:dyDescent="0.25">
      <c r="S178" s="2" t="b">
        <f>AND(Hoja4!$P177="abril",Hoja4!$O177="Jue.")</f>
        <v>0</v>
      </c>
      <c r="T178" t="str">
        <f>IF(AND(Hoja4!H177="Empresa de embarque B",Hoja4!I177="Cheque"),"dale","vaaa")</f>
        <v>vaaa</v>
      </c>
      <c r="V178" t="str">
        <f>IF(AND(Hoja4!H177="Empresa de embarque B",Hoja4!I177="Cheque",Hoja4!J177="Cerveza"),"dale","vaaa")</f>
        <v>vaaa</v>
      </c>
      <c r="X178" t="str">
        <f>IF(OR(Hoja4!H177="Empresa de embarque B",Hoja4!I177="Cheque",Hoja4!J177="cerveza"),"dale","vaaa")</f>
        <v>vaaa</v>
      </c>
      <c r="Z178" t="str">
        <f>IF(NOT(OR(Hoja4!I177="Cheque",Hoja4!J177="Cerveza")),"Aprobado","No Aprobado")</f>
        <v>Aprobado</v>
      </c>
    </row>
    <row r="179" spans="19:26" x14ac:dyDescent="0.25">
      <c r="S179" s="2" t="b">
        <f>AND(Hoja4!$P178="abril",Hoja4!$O178="Jue.")</f>
        <v>0</v>
      </c>
      <c r="T179" t="str">
        <f>IF(AND(Hoja4!H178="Empresa de embarque B",Hoja4!I178="Cheque"),"dale","vaaa")</f>
        <v>dale</v>
      </c>
      <c r="V179" t="str">
        <f>IF(AND(Hoja4!H178="Empresa de embarque B",Hoja4!I178="Cheque",Hoja4!J178="Cerveza"),"dale","vaaa")</f>
        <v>dale</v>
      </c>
      <c r="X179" t="str">
        <f>IF(OR(Hoja4!H178="Empresa de embarque B",Hoja4!I178="Cheque",Hoja4!J178="cerveza"),"dale","vaaa")</f>
        <v>dale</v>
      </c>
      <c r="Z179" t="str">
        <f>IF(NOT(OR(Hoja4!I178="Cheque",Hoja4!J178="Cerveza")),"Aprobado","No Aprobado")</f>
        <v>No Aprobado</v>
      </c>
    </row>
    <row r="180" spans="19:26" x14ac:dyDescent="0.25">
      <c r="S180" s="2" t="b">
        <f>AND(Hoja4!$P179="abril",Hoja4!$O179="Jue.")</f>
        <v>0</v>
      </c>
      <c r="T180" t="str">
        <f>IF(AND(Hoja4!H179="Empresa de embarque B",Hoja4!I179="Cheque"),"dale","vaaa")</f>
        <v>vaaa</v>
      </c>
      <c r="V180" t="str">
        <f>IF(AND(Hoja4!H179="Empresa de embarque B",Hoja4!I179="Cheque",Hoja4!J179="Cerveza"),"dale","vaaa")</f>
        <v>vaaa</v>
      </c>
      <c r="X180" t="str">
        <f>IF(OR(Hoja4!H179="Empresa de embarque B",Hoja4!I179="Cheque",Hoja4!J179="cerveza"),"dale","vaaa")</f>
        <v>dale</v>
      </c>
      <c r="Z180" t="str">
        <f>IF(NOT(OR(Hoja4!I179="Cheque",Hoja4!J179="Cerveza")),"Aprobado","No Aprobado")</f>
        <v>No Aprobado</v>
      </c>
    </row>
    <row r="181" spans="19:26" x14ac:dyDescent="0.25">
      <c r="S181" s="2" t="b">
        <f>AND(Hoja4!$P180="abril",Hoja4!$O180="Jue.")</f>
        <v>1</v>
      </c>
      <c r="T181" t="str">
        <f>IF(AND(Hoja4!H180="Empresa de embarque B",Hoja4!I180="Cheque"),"dale","vaaa")</f>
        <v>vaaa</v>
      </c>
      <c r="V181" t="str">
        <f>IF(AND(Hoja4!H180="Empresa de embarque B",Hoja4!I180="Cheque",Hoja4!J180="Cerveza"),"dale","vaaa")</f>
        <v>vaaa</v>
      </c>
      <c r="X181" t="str">
        <f>IF(OR(Hoja4!H180="Empresa de embarque B",Hoja4!I180="Cheque",Hoja4!J180="cerveza"),"dale","vaaa")</f>
        <v>vaaa</v>
      </c>
      <c r="Z181" t="str">
        <f>IF(NOT(OR(Hoja4!I180="Cheque",Hoja4!J180="Cerveza")),"Aprobado","No Aprobado")</f>
        <v>Aprobado</v>
      </c>
    </row>
    <row r="182" spans="19:26" x14ac:dyDescent="0.25">
      <c r="S182" s="2" t="b">
        <f>AND(Hoja4!$P181="abril",Hoja4!$O181="Jue.")</f>
        <v>0</v>
      </c>
      <c r="T182" t="str">
        <f>IF(AND(Hoja4!H181="Empresa de embarque B",Hoja4!I181="Cheque"),"dale","vaaa")</f>
        <v>vaaa</v>
      </c>
      <c r="V182" t="str">
        <f>IF(AND(Hoja4!H181="Empresa de embarque B",Hoja4!I181="Cheque",Hoja4!J181="Cerveza"),"dale","vaaa")</f>
        <v>vaaa</v>
      </c>
      <c r="X182" t="str">
        <f>IF(OR(Hoja4!H181="Empresa de embarque B",Hoja4!I181="Cheque",Hoja4!J181="cerveza"),"dale","vaaa")</f>
        <v>vaaa</v>
      </c>
      <c r="Z182" t="str">
        <f>IF(NOT(OR(Hoja4!I181="Cheque",Hoja4!J181="Cerveza")),"Aprobado","No Aprobado")</f>
        <v>Aprobado</v>
      </c>
    </row>
    <row r="183" spans="19:26" x14ac:dyDescent="0.25">
      <c r="S183" s="2" t="b">
        <f>AND(Hoja4!$P182="abril",Hoja4!$O182="Jue.")</f>
        <v>0</v>
      </c>
      <c r="T183" t="str">
        <f>IF(AND(Hoja4!H182="Empresa de embarque B",Hoja4!I182="Cheque"),"dale","vaaa")</f>
        <v>vaaa</v>
      </c>
      <c r="V183" t="str">
        <f>IF(AND(Hoja4!H182="Empresa de embarque B",Hoja4!I182="Cheque",Hoja4!J182="Cerveza"),"dale","vaaa")</f>
        <v>vaaa</v>
      </c>
      <c r="X183" t="str">
        <f>IF(OR(Hoja4!H182="Empresa de embarque B",Hoja4!I182="Cheque",Hoja4!J182="cerveza"),"dale","vaaa")</f>
        <v>vaaa</v>
      </c>
      <c r="Z183" t="str">
        <f>IF(NOT(OR(Hoja4!I182="Cheque",Hoja4!J182="Cerveza")),"Aprobado","No Aprobado")</f>
        <v>Aprobado</v>
      </c>
    </row>
    <row r="184" spans="19:26" x14ac:dyDescent="0.25">
      <c r="S184" s="2" t="b">
        <f>AND(Hoja4!$P183="abril",Hoja4!$O183="Jue.")</f>
        <v>0</v>
      </c>
      <c r="T184" t="str">
        <f>IF(AND(Hoja4!H183="Empresa de embarque B",Hoja4!I183="Cheque"),"dale","vaaa")</f>
        <v>vaaa</v>
      </c>
      <c r="V184" t="str">
        <f>IF(AND(Hoja4!H183="Empresa de embarque B",Hoja4!I183="Cheque",Hoja4!J183="Cerveza"),"dale","vaaa")</f>
        <v>vaaa</v>
      </c>
      <c r="X184" t="str">
        <f>IF(OR(Hoja4!H183="Empresa de embarque B",Hoja4!I183="Cheque",Hoja4!J183="cerveza"),"dale","vaaa")</f>
        <v>dale</v>
      </c>
      <c r="Z184" t="str">
        <f>IF(NOT(OR(Hoja4!I183="Cheque",Hoja4!J183="Cerveza")),"Aprobado","No Aprobado")</f>
        <v>Aprobado</v>
      </c>
    </row>
    <row r="185" spans="19:26" x14ac:dyDescent="0.25">
      <c r="S185" s="2" t="b">
        <f>AND(Hoja4!$P184="abril",Hoja4!$O184="Jue.")</f>
        <v>0</v>
      </c>
      <c r="T185" t="str">
        <f>IF(AND(Hoja4!H184="Empresa de embarque B",Hoja4!I184="Cheque"),"dale","vaaa")</f>
        <v>vaaa</v>
      </c>
      <c r="V185" t="str">
        <f>IF(AND(Hoja4!H184="Empresa de embarque B",Hoja4!I184="Cheque",Hoja4!J184="Cerveza"),"dale","vaaa")</f>
        <v>vaaa</v>
      </c>
      <c r="X185" t="str">
        <f>IF(OR(Hoja4!H184="Empresa de embarque B",Hoja4!I184="Cheque",Hoja4!J184="cerveza"),"dale","vaaa")</f>
        <v>dale</v>
      </c>
      <c r="Z185" t="str">
        <f>IF(NOT(OR(Hoja4!I184="Cheque",Hoja4!J184="Cerveza")),"Aprobado","No Aprobado")</f>
        <v>Aprobado</v>
      </c>
    </row>
    <row r="186" spans="19:26" x14ac:dyDescent="0.25">
      <c r="S186" s="2" t="b">
        <f>AND(Hoja4!$P185="abril",Hoja4!$O185="Jue.")</f>
        <v>0</v>
      </c>
      <c r="T186" t="str">
        <f>IF(AND(Hoja4!H185="Empresa de embarque B",Hoja4!I185="Cheque"),"dale","vaaa")</f>
        <v>vaaa</v>
      </c>
      <c r="V186" t="str">
        <f>IF(AND(Hoja4!H185="Empresa de embarque B",Hoja4!I185="Cheque",Hoja4!J185="Cerveza"),"dale","vaaa")</f>
        <v>vaaa</v>
      </c>
      <c r="X186" t="str">
        <f>IF(OR(Hoja4!H185="Empresa de embarque B",Hoja4!I185="Cheque",Hoja4!J185="cerveza"),"dale","vaaa")</f>
        <v>dale</v>
      </c>
      <c r="Z186" t="str">
        <f>IF(NOT(OR(Hoja4!I185="Cheque",Hoja4!J185="Cerveza")),"Aprobado","No Aprobado")</f>
        <v>Aprobado</v>
      </c>
    </row>
    <row r="187" spans="19:26" x14ac:dyDescent="0.25">
      <c r="S187" s="2" t="b">
        <f>AND(Hoja4!$P186="abril",Hoja4!$O186="Jue.")</f>
        <v>0</v>
      </c>
      <c r="T187" t="str">
        <f>IF(AND(Hoja4!H186="Empresa de embarque B",Hoja4!I186="Cheque"),"dale","vaaa")</f>
        <v>vaaa</v>
      </c>
      <c r="V187" t="str">
        <f>IF(AND(Hoja4!H186="Empresa de embarque B",Hoja4!I186="Cheque",Hoja4!J186="Cerveza"),"dale","vaaa")</f>
        <v>vaaa</v>
      </c>
      <c r="X187" t="str">
        <f>IF(OR(Hoja4!H186="Empresa de embarque B",Hoja4!I186="Cheque",Hoja4!J186="cerveza"),"dale","vaaa")</f>
        <v>vaaa</v>
      </c>
      <c r="Z187" t="str">
        <f>IF(NOT(OR(Hoja4!I186="Cheque",Hoja4!J186="Cerveza")),"Aprobado","No Aprobado")</f>
        <v>Aprobado</v>
      </c>
    </row>
    <row r="188" spans="19:26" x14ac:dyDescent="0.25">
      <c r="S188" s="2" t="b">
        <f>AND(Hoja4!$P187="abril",Hoja4!$O187="Jue.")</f>
        <v>0</v>
      </c>
      <c r="T188" t="str">
        <f>IF(AND(Hoja4!H187="Empresa de embarque B",Hoja4!I187="Cheque"),"dale","vaaa")</f>
        <v>vaaa</v>
      </c>
      <c r="V188" t="str">
        <f>IF(AND(Hoja4!H187="Empresa de embarque B",Hoja4!I187="Cheque",Hoja4!J187="Cerveza"),"dale","vaaa")</f>
        <v>vaaa</v>
      </c>
      <c r="X188" t="str">
        <f>IF(OR(Hoja4!H187="Empresa de embarque B",Hoja4!I187="Cheque",Hoja4!J187="cerveza"),"dale","vaaa")</f>
        <v>vaaa</v>
      </c>
      <c r="Z188" t="str">
        <f>IF(NOT(OR(Hoja4!I187="Cheque",Hoja4!J187="Cerveza")),"Aprobado","No Aprobado")</f>
        <v>Aprobado</v>
      </c>
    </row>
    <row r="189" spans="19:26" x14ac:dyDescent="0.25">
      <c r="S189" s="2" t="b">
        <f>AND(Hoja4!$P188="abril",Hoja4!$O188="Jue.")</f>
        <v>0</v>
      </c>
      <c r="T189" t="str">
        <f>IF(AND(Hoja4!H188="Empresa de embarque B",Hoja4!I188="Cheque"),"dale","vaaa")</f>
        <v>vaaa</v>
      </c>
      <c r="V189" t="str">
        <f>IF(AND(Hoja4!H188="Empresa de embarque B",Hoja4!I188="Cheque",Hoja4!J188="Cerveza"),"dale","vaaa")</f>
        <v>vaaa</v>
      </c>
      <c r="X189" t="str">
        <f>IF(OR(Hoja4!H188="Empresa de embarque B",Hoja4!I188="Cheque",Hoja4!J188="cerveza"),"dale","vaaa")</f>
        <v>vaaa</v>
      </c>
      <c r="Z189" t="str">
        <f>IF(NOT(OR(Hoja4!I188="Cheque",Hoja4!J188="Cerveza")),"Aprobado","No Aprobado")</f>
        <v>Aprobado</v>
      </c>
    </row>
    <row r="190" spans="19:26" x14ac:dyDescent="0.25">
      <c r="S190" s="2" t="b">
        <f>AND(Hoja4!$P189="abril",Hoja4!$O189="Jue.")</f>
        <v>0</v>
      </c>
      <c r="T190" t="str">
        <f>IF(AND(Hoja4!H189="Empresa de embarque B",Hoja4!I189="Cheque"),"dale","vaaa")</f>
        <v>vaaa</v>
      </c>
      <c r="V190" t="str">
        <f>IF(AND(Hoja4!H189="Empresa de embarque B",Hoja4!I189="Cheque",Hoja4!J189="Cerveza"),"dale","vaaa")</f>
        <v>vaaa</v>
      </c>
      <c r="X190" t="str">
        <f>IF(OR(Hoja4!H189="Empresa de embarque B",Hoja4!I189="Cheque",Hoja4!J189="cerveza"),"dale","vaaa")</f>
        <v>vaaa</v>
      </c>
      <c r="Z190" t="str">
        <f>IF(NOT(OR(Hoja4!I189="Cheque",Hoja4!J189="Cerveza")),"Aprobado","No Aprobado")</f>
        <v>Aprobado</v>
      </c>
    </row>
    <row r="191" spans="19:26" x14ac:dyDescent="0.25">
      <c r="S191" s="2" t="b">
        <f>AND(Hoja4!$P190="abril",Hoja4!$O190="Jue.")</f>
        <v>0</v>
      </c>
      <c r="T191" t="str">
        <f>IF(AND(Hoja4!H190="Empresa de embarque B",Hoja4!I190="Cheque"),"dale","vaaa")</f>
        <v>vaaa</v>
      </c>
      <c r="V191" t="str">
        <f>IF(AND(Hoja4!H190="Empresa de embarque B",Hoja4!I190="Cheque",Hoja4!J190="Cerveza"),"dale","vaaa")</f>
        <v>vaaa</v>
      </c>
      <c r="X191" t="str">
        <f>IF(OR(Hoja4!H190="Empresa de embarque B",Hoja4!I190="Cheque",Hoja4!J190="cerveza"),"dale","vaaa")</f>
        <v>dale</v>
      </c>
      <c r="Z191" t="str">
        <f>IF(NOT(OR(Hoja4!I190="Cheque",Hoja4!J190="Cerveza")),"Aprobado","No Aprobado")</f>
        <v>No Aprobado</v>
      </c>
    </row>
    <row r="192" spans="19:26" x14ac:dyDescent="0.25">
      <c r="S192" s="2" t="b">
        <f>AND(Hoja4!$P191="abril",Hoja4!$O191="Jue.")</f>
        <v>0</v>
      </c>
      <c r="T192" t="str">
        <f>IF(AND(Hoja4!H191="Empresa de embarque B",Hoja4!I191="Cheque"),"dale","vaaa")</f>
        <v>vaaa</v>
      </c>
      <c r="V192" t="str">
        <f>IF(AND(Hoja4!H191="Empresa de embarque B",Hoja4!I191="Cheque",Hoja4!J191="Cerveza"),"dale","vaaa")</f>
        <v>vaaa</v>
      </c>
      <c r="X192" t="str">
        <f>IF(OR(Hoja4!H191="Empresa de embarque B",Hoja4!I191="Cheque",Hoja4!J191="cerveza"),"dale","vaaa")</f>
        <v>dale</v>
      </c>
      <c r="Z192" t="str">
        <f>IF(NOT(OR(Hoja4!I191="Cheque",Hoja4!J191="Cerveza")),"Aprobado","No Aprobado")</f>
        <v>Aprobado</v>
      </c>
    </row>
    <row r="193" spans="19:26" x14ac:dyDescent="0.25">
      <c r="S193" s="2" t="b">
        <f>AND(Hoja4!$P192="abril",Hoja4!$O192="Jue.")</f>
        <v>0</v>
      </c>
      <c r="T193" t="str">
        <f>IF(AND(Hoja4!H192="Empresa de embarque B",Hoja4!I192="Cheque"),"dale","vaaa")</f>
        <v>vaaa</v>
      </c>
      <c r="V193" t="str">
        <f>IF(AND(Hoja4!H192="Empresa de embarque B",Hoja4!I192="Cheque",Hoja4!J192="Cerveza"),"dale","vaaa")</f>
        <v>vaaa</v>
      </c>
      <c r="X193" t="str">
        <f>IF(OR(Hoja4!H192="Empresa de embarque B",Hoja4!I192="Cheque",Hoja4!J192="cerveza"),"dale","vaaa")</f>
        <v>dale</v>
      </c>
      <c r="Z193" t="str">
        <f>IF(NOT(OR(Hoja4!I192="Cheque",Hoja4!J192="Cerveza")),"Aprobado","No Aprobado")</f>
        <v>No Aprobado</v>
      </c>
    </row>
    <row r="194" spans="19:26" x14ac:dyDescent="0.25">
      <c r="S194" s="2" t="b">
        <f>AND(Hoja4!$P193="abril",Hoja4!$O193="Jue.")</f>
        <v>0</v>
      </c>
      <c r="T194" t="str">
        <f>IF(AND(Hoja4!H193="Empresa de embarque B",Hoja4!I193="Cheque"),"dale","vaaa")</f>
        <v>vaaa</v>
      </c>
      <c r="V194" t="str">
        <f>IF(AND(Hoja4!H193="Empresa de embarque B",Hoja4!I193="Cheque",Hoja4!J193="Cerveza"),"dale","vaaa")</f>
        <v>vaaa</v>
      </c>
      <c r="X194" t="str">
        <f>IF(OR(Hoja4!H193="Empresa de embarque B",Hoja4!I193="Cheque",Hoja4!J193="cerveza"),"dale","vaaa")</f>
        <v>dale</v>
      </c>
      <c r="Z194" t="str">
        <f>IF(NOT(OR(Hoja4!I193="Cheque",Hoja4!J193="Cerveza")),"Aprobado","No Aprobado")</f>
        <v>No Aprobado</v>
      </c>
    </row>
    <row r="195" spans="19:26" x14ac:dyDescent="0.25">
      <c r="S195" s="2" t="b">
        <f>AND(Hoja4!$P194="abril",Hoja4!$O194="Jue.")</f>
        <v>0</v>
      </c>
      <c r="T195" t="str">
        <f>IF(AND(Hoja4!H194="Empresa de embarque B",Hoja4!I194="Cheque"),"dale","vaaa")</f>
        <v>vaaa</v>
      </c>
      <c r="V195" t="str">
        <f>IF(AND(Hoja4!H194="Empresa de embarque B",Hoja4!I194="Cheque",Hoja4!J194="Cerveza"),"dale","vaaa")</f>
        <v>vaaa</v>
      </c>
      <c r="X195" t="str">
        <f>IF(OR(Hoja4!H194="Empresa de embarque B",Hoja4!I194="Cheque",Hoja4!J194="cerveza"),"dale","vaaa")</f>
        <v>dale</v>
      </c>
      <c r="Z195" t="str">
        <f>IF(NOT(OR(Hoja4!I194="Cheque",Hoja4!J194="Cerveza")),"Aprobado","No Aprobado")</f>
        <v>Aprobado</v>
      </c>
    </row>
    <row r="196" spans="19:26" x14ac:dyDescent="0.25">
      <c r="S196" s="2" t="b">
        <f>AND(Hoja4!$P195="abril",Hoja4!$O195="Jue.")</f>
        <v>0</v>
      </c>
      <c r="T196" t="str">
        <f>IF(AND(Hoja4!H195="Empresa de embarque B",Hoja4!I195="Cheque"),"dale","vaaa")</f>
        <v>vaaa</v>
      </c>
      <c r="V196" t="str">
        <f>IF(AND(Hoja4!H195="Empresa de embarque B",Hoja4!I195="Cheque",Hoja4!J195="Cerveza"),"dale","vaaa")</f>
        <v>vaaa</v>
      </c>
      <c r="X196" t="str">
        <f>IF(OR(Hoja4!H195="Empresa de embarque B",Hoja4!I195="Cheque",Hoja4!J195="cerveza"),"dale","vaaa")</f>
        <v>vaaa</v>
      </c>
      <c r="Z196" t="str">
        <f>IF(NOT(OR(Hoja4!I195="Cheque",Hoja4!J195="Cerveza")),"Aprobado","No Aprobado")</f>
        <v>Aprobado</v>
      </c>
    </row>
    <row r="197" spans="19:26" x14ac:dyDescent="0.25">
      <c r="S197" s="2" t="b">
        <f>AND(Hoja4!$P196="abril",Hoja4!$O196="Jue.")</f>
        <v>0</v>
      </c>
      <c r="T197" t="str">
        <f>IF(AND(Hoja4!H196="Empresa de embarque B",Hoja4!I196="Cheque"),"dale","vaaa")</f>
        <v>vaaa</v>
      </c>
      <c r="V197" t="str">
        <f>IF(AND(Hoja4!H196="Empresa de embarque B",Hoja4!I196="Cheque",Hoja4!J196="Cerveza"),"dale","vaaa")</f>
        <v>vaaa</v>
      </c>
      <c r="X197" t="str">
        <f>IF(OR(Hoja4!H196="Empresa de embarque B",Hoja4!I196="Cheque",Hoja4!J196="cerveza"),"dale","vaaa")</f>
        <v>vaaa</v>
      </c>
      <c r="Z197" t="str">
        <f>IF(NOT(OR(Hoja4!I196="Cheque",Hoja4!J196="Cerveza")),"Aprobado","No Aprobado")</f>
        <v>Aprobado</v>
      </c>
    </row>
    <row r="198" spans="19:26" x14ac:dyDescent="0.25">
      <c r="S198" s="2" t="b">
        <f>AND(Hoja4!$P197="abril",Hoja4!$O197="Jue.")</f>
        <v>0</v>
      </c>
      <c r="T198" t="str">
        <f>IF(AND(Hoja4!H197="Empresa de embarque B",Hoja4!I197="Cheque"),"dale","vaaa")</f>
        <v>vaaa</v>
      </c>
      <c r="V198" t="str">
        <f>IF(AND(Hoja4!H197="Empresa de embarque B",Hoja4!I197="Cheque",Hoja4!J197="Cerveza"),"dale","vaaa")</f>
        <v>vaaa</v>
      </c>
      <c r="X198" t="str">
        <f>IF(OR(Hoja4!H197="Empresa de embarque B",Hoja4!I197="Cheque",Hoja4!J197="cerveza"),"dale","vaaa")</f>
        <v>vaaa</v>
      </c>
      <c r="Z198" t="str">
        <f>IF(NOT(OR(Hoja4!I197="Cheque",Hoja4!J197="Cerveza")),"Aprobado","No Aprobado")</f>
        <v>Aprobado</v>
      </c>
    </row>
    <row r="199" spans="19:26" x14ac:dyDescent="0.25">
      <c r="S199" s="2" t="b">
        <f>AND(Hoja4!$P198="abril",Hoja4!$O198="Jue.")</f>
        <v>0</v>
      </c>
      <c r="T199" t="str">
        <f>IF(AND(Hoja4!H198="Empresa de embarque B",Hoja4!I198="Cheque"),"dale","vaaa")</f>
        <v>vaaa</v>
      </c>
      <c r="V199" t="str">
        <f>IF(AND(Hoja4!H198="Empresa de embarque B",Hoja4!I198="Cheque",Hoja4!J198="Cerveza"),"dale","vaaa")</f>
        <v>vaaa</v>
      </c>
      <c r="X199" t="str">
        <f>IF(OR(Hoja4!H198="Empresa de embarque B",Hoja4!I198="Cheque",Hoja4!J198="cerveza"),"dale","vaaa")</f>
        <v>vaaa</v>
      </c>
      <c r="Z199" t="str">
        <f>IF(NOT(OR(Hoja4!I198="Cheque",Hoja4!J198="Cerveza")),"Aprobado","No Aprobado")</f>
        <v>Aprobado</v>
      </c>
    </row>
    <row r="200" spans="19:26" x14ac:dyDescent="0.25">
      <c r="S200" s="2" t="b">
        <f>AND(Hoja4!$P199="abril",Hoja4!$O199="Jue.")</f>
        <v>0</v>
      </c>
      <c r="T200" t="str">
        <f>IF(AND(Hoja4!H199="Empresa de embarque B",Hoja4!I199="Cheque"),"dale","vaaa")</f>
        <v>vaaa</v>
      </c>
      <c r="V200" t="str">
        <f>IF(AND(Hoja4!H199="Empresa de embarque B",Hoja4!I199="Cheque",Hoja4!J199="Cerveza"),"dale","vaaa")</f>
        <v>vaaa</v>
      </c>
      <c r="X200" t="str">
        <f>IF(OR(Hoja4!H199="Empresa de embarque B",Hoja4!I199="Cheque",Hoja4!J199="cerveza"),"dale","vaaa")</f>
        <v>vaaa</v>
      </c>
      <c r="Z200" t="str">
        <f>IF(NOT(OR(Hoja4!I199="Cheque",Hoja4!J199="Cerveza")),"Aprobado","No Aprobado")</f>
        <v>Aprobado</v>
      </c>
    </row>
    <row r="201" spans="19:26" x14ac:dyDescent="0.25">
      <c r="S201" s="2" t="b">
        <f>AND(Hoja4!$P200="abril",Hoja4!$O200="Jue.")</f>
        <v>0</v>
      </c>
      <c r="T201" t="str">
        <f>IF(AND(Hoja4!H200="Empresa de embarque B",Hoja4!I200="Cheque"),"dale","vaaa")</f>
        <v>vaaa</v>
      </c>
      <c r="V201" t="str">
        <f>IF(AND(Hoja4!H200="Empresa de embarque B",Hoja4!I200="Cheque",Hoja4!J200="Cerveza"),"dale","vaaa")</f>
        <v>vaaa</v>
      </c>
      <c r="X201" t="str">
        <f>IF(OR(Hoja4!H200="Empresa de embarque B",Hoja4!I200="Cheque",Hoja4!J200="cerveza"),"dale","vaaa")</f>
        <v>vaaa</v>
      </c>
      <c r="Z201" t="str">
        <f>IF(NOT(OR(Hoja4!I200="Cheque",Hoja4!J200="Cerveza")),"Aprobado","No Aprobado")</f>
        <v>Aprobado</v>
      </c>
    </row>
    <row r="202" spans="19:26" x14ac:dyDescent="0.25">
      <c r="S202" s="2" t="b">
        <f>AND(Hoja4!$P201="abril",Hoja4!$O201="Jue.")</f>
        <v>0</v>
      </c>
      <c r="T202" t="str">
        <f>IF(AND(Hoja4!H201="Empresa de embarque B",Hoja4!I201="Cheque"),"dale","vaaa")</f>
        <v>vaaa</v>
      </c>
      <c r="V202" t="str">
        <f>IF(AND(Hoja4!H201="Empresa de embarque B",Hoja4!I201="Cheque",Hoja4!J201="Cerveza"),"dale","vaaa")</f>
        <v>vaaa</v>
      </c>
      <c r="X202" t="str">
        <f>IF(OR(Hoja4!H201="Empresa de embarque B",Hoja4!I201="Cheque",Hoja4!J201="cerveza"),"dale","vaaa")</f>
        <v>vaaa</v>
      </c>
      <c r="Z202" t="str">
        <f>IF(NOT(OR(Hoja4!I201="Cheque",Hoja4!J201="Cerveza")),"Aprobado","No Aprobado")</f>
        <v>Aprobado</v>
      </c>
    </row>
    <row r="203" spans="19:26" x14ac:dyDescent="0.25">
      <c r="S203" s="2" t="b">
        <f>AND(Hoja4!$P202="abril",Hoja4!$O202="Jue.")</f>
        <v>0</v>
      </c>
      <c r="T203" t="str">
        <f>IF(AND(Hoja4!H202="Empresa de embarque B",Hoja4!I202="Cheque"),"dale","vaaa")</f>
        <v>vaaa</v>
      </c>
      <c r="V203" t="str">
        <f>IF(AND(Hoja4!H202="Empresa de embarque B",Hoja4!I202="Cheque",Hoja4!J202="Cerveza"),"dale","vaaa")</f>
        <v>vaaa</v>
      </c>
      <c r="X203" t="str">
        <f>IF(OR(Hoja4!H202="Empresa de embarque B",Hoja4!I202="Cheque",Hoja4!J202="cerveza"),"dale","vaaa")</f>
        <v>vaaa</v>
      </c>
      <c r="Z203" t="str">
        <f>IF(NOT(OR(Hoja4!I202="Cheque",Hoja4!J202="Cerveza")),"Aprobado","No Aprobado")</f>
        <v>Aprobado</v>
      </c>
    </row>
    <row r="204" spans="19:26" x14ac:dyDescent="0.25">
      <c r="S204" s="2" t="b">
        <f>AND(Hoja4!$P203="abril",Hoja4!$O203="Jue.")</f>
        <v>1</v>
      </c>
      <c r="T204" t="str">
        <f>IF(AND(Hoja4!H203="Empresa de embarque B",Hoja4!I203="Cheque"),"dale","vaaa")</f>
        <v>vaaa</v>
      </c>
      <c r="V204" t="str">
        <f>IF(AND(Hoja4!H203="Empresa de embarque B",Hoja4!I203="Cheque",Hoja4!J203="Cerveza"),"dale","vaaa")</f>
        <v>vaaa</v>
      </c>
      <c r="X204" t="str">
        <f>IF(OR(Hoja4!H203="Empresa de embarque B",Hoja4!I203="Cheque",Hoja4!J203="cerveza"),"dale","vaaa")</f>
        <v>vaaa</v>
      </c>
      <c r="Z204" t="str">
        <f>IF(NOT(OR(Hoja4!I203="Cheque",Hoja4!J203="Cerveza")),"Aprobado","No Aprobado")</f>
        <v>Aprobado</v>
      </c>
    </row>
    <row r="205" spans="19:26" x14ac:dyDescent="0.25">
      <c r="S205" s="2" t="b">
        <f>AND(Hoja4!$P204="abril",Hoja4!$O204="Jue.")</f>
        <v>0</v>
      </c>
      <c r="T205" t="str">
        <f>IF(AND(Hoja4!H204="Empresa de embarque B",Hoja4!I204="Cheque"),"dale","vaaa")</f>
        <v>vaaa</v>
      </c>
      <c r="V205" t="str">
        <f>IF(AND(Hoja4!H204="Empresa de embarque B",Hoja4!I204="Cheque",Hoja4!J204="Cerveza"),"dale","vaaa")</f>
        <v>vaaa</v>
      </c>
      <c r="X205" t="str">
        <f>IF(OR(Hoja4!H204="Empresa de embarque B",Hoja4!I204="Cheque",Hoja4!J204="cerveza"),"dale","vaaa")</f>
        <v>vaaa</v>
      </c>
      <c r="Z205" t="str">
        <f>IF(NOT(OR(Hoja4!I204="Cheque",Hoja4!J204="Cerveza")),"Aprobado","No Aprobado")</f>
        <v>Aprobado</v>
      </c>
    </row>
    <row r="206" spans="19:26" x14ac:dyDescent="0.25">
      <c r="S206" s="2" t="b">
        <f>AND(Hoja4!$P205="abril",Hoja4!$O205="Jue.")</f>
        <v>0</v>
      </c>
      <c r="T206" t="str">
        <f>IF(AND(Hoja4!H205="Empresa de embarque B",Hoja4!I205="Cheque"),"dale","vaaa")</f>
        <v>vaaa</v>
      </c>
      <c r="V206" t="str">
        <f>IF(AND(Hoja4!H205="Empresa de embarque B",Hoja4!I205="Cheque",Hoja4!J205="Cerveza"),"dale","vaaa")</f>
        <v>vaaa</v>
      </c>
      <c r="X206" t="str">
        <f>IF(OR(Hoja4!H205="Empresa de embarque B",Hoja4!I205="Cheque",Hoja4!J205="cerveza"),"dale","vaaa")</f>
        <v>vaaa</v>
      </c>
      <c r="Z206" t="str">
        <f>IF(NOT(OR(Hoja4!I205="Cheque",Hoja4!J205="Cerveza")),"Aprobado","No Aprobado")</f>
        <v>Aprobado</v>
      </c>
    </row>
    <row r="207" spans="19:26" x14ac:dyDescent="0.25">
      <c r="S207" s="2" t="b">
        <f>AND(Hoja4!$P206="abril",Hoja4!$O206="Jue.")</f>
        <v>0</v>
      </c>
      <c r="T207" t="str">
        <f>IF(AND(Hoja4!H206="Empresa de embarque B",Hoja4!I206="Cheque"),"dale","vaaa")</f>
        <v>vaaa</v>
      </c>
      <c r="V207" t="str">
        <f>IF(AND(Hoja4!H206="Empresa de embarque B",Hoja4!I206="Cheque",Hoja4!J206="Cerveza"),"dale","vaaa")</f>
        <v>vaaa</v>
      </c>
      <c r="X207" t="str">
        <f>IF(OR(Hoja4!H206="Empresa de embarque B",Hoja4!I206="Cheque",Hoja4!J206="cerveza"),"dale","vaaa")</f>
        <v>dale</v>
      </c>
      <c r="Z207" t="str">
        <f>IF(NOT(OR(Hoja4!I206="Cheque",Hoja4!J206="Cerveza")),"Aprobado","No Aprobado")</f>
        <v>No Aprobado</v>
      </c>
    </row>
    <row r="208" spans="19:26" x14ac:dyDescent="0.25">
      <c r="S208" s="2" t="b">
        <f>AND(Hoja4!$P207="abril",Hoja4!$O207="Jue.")</f>
        <v>0</v>
      </c>
      <c r="T208" t="str">
        <f>IF(AND(Hoja4!H207="Empresa de embarque B",Hoja4!I207="Cheque"),"dale","vaaa")</f>
        <v>vaaa</v>
      </c>
      <c r="V208" t="str">
        <f>IF(AND(Hoja4!H207="Empresa de embarque B",Hoja4!I207="Cheque",Hoja4!J207="Cerveza"),"dale","vaaa")</f>
        <v>vaaa</v>
      </c>
      <c r="X208" t="str">
        <f>IF(OR(Hoja4!H207="Empresa de embarque B",Hoja4!I207="Cheque",Hoja4!J207="cerveza"),"dale","vaaa")</f>
        <v>dale</v>
      </c>
      <c r="Z208" t="str">
        <f>IF(NOT(OR(Hoja4!I207="Cheque",Hoja4!J207="Cerveza")),"Aprobado","No Aprobado")</f>
        <v>No Aprobado</v>
      </c>
    </row>
    <row r="209" spans="19:26" x14ac:dyDescent="0.25">
      <c r="S209" s="2" t="b">
        <f>AND(Hoja4!$P208="abril",Hoja4!$O208="Jue.")</f>
        <v>0</v>
      </c>
      <c r="T209" t="str">
        <f>IF(AND(Hoja4!H208="Empresa de embarque B",Hoja4!I208="Cheque"),"dale","vaaa")</f>
        <v>vaaa</v>
      </c>
      <c r="V209" t="str">
        <f>IF(AND(Hoja4!H208="Empresa de embarque B",Hoja4!I208="Cheque",Hoja4!J208="Cerveza"),"dale","vaaa")</f>
        <v>vaaa</v>
      </c>
      <c r="X209" t="str">
        <f>IF(OR(Hoja4!H208="Empresa de embarque B",Hoja4!I208="Cheque",Hoja4!J208="cerveza"),"dale","vaaa")</f>
        <v>dale</v>
      </c>
      <c r="Z209" t="str">
        <f>IF(NOT(OR(Hoja4!I208="Cheque",Hoja4!J208="Cerveza")),"Aprobado","No Aprobado")</f>
        <v>No Aprobado</v>
      </c>
    </row>
    <row r="210" spans="19:26" x14ac:dyDescent="0.25">
      <c r="S210" s="2" t="b">
        <f>AND(Hoja4!$P209="abril",Hoja4!$O209="Jue.")</f>
        <v>0</v>
      </c>
      <c r="T210" t="str">
        <f>IF(AND(Hoja4!H209="Empresa de embarque B",Hoja4!I209="Cheque"),"dale","vaaa")</f>
        <v>dale</v>
      </c>
      <c r="V210" t="str">
        <f>IF(AND(Hoja4!H209="Empresa de embarque B",Hoja4!I209="Cheque",Hoja4!J209="Cerveza"),"dale","vaaa")</f>
        <v>vaaa</v>
      </c>
      <c r="X210" t="str">
        <f>IF(OR(Hoja4!H209="Empresa de embarque B",Hoja4!I209="Cheque",Hoja4!J209="cerveza"),"dale","vaaa")</f>
        <v>dale</v>
      </c>
      <c r="Z210" t="str">
        <f>IF(NOT(OR(Hoja4!I209="Cheque",Hoja4!J209="Cerveza")),"Aprobado","No Aprobado")</f>
        <v>No Aprobado</v>
      </c>
    </row>
    <row r="211" spans="19:26" x14ac:dyDescent="0.25">
      <c r="S211" s="2" t="b">
        <f>AND(Hoja4!$P210="abril",Hoja4!$O210="Jue.")</f>
        <v>0</v>
      </c>
      <c r="T211" t="str">
        <f>IF(AND(Hoja4!H210="Empresa de embarque B",Hoja4!I210="Cheque"),"dale","vaaa")</f>
        <v>dale</v>
      </c>
      <c r="V211" t="str">
        <f>IF(AND(Hoja4!H210="Empresa de embarque B",Hoja4!I210="Cheque",Hoja4!J210="Cerveza"),"dale","vaaa")</f>
        <v>vaaa</v>
      </c>
      <c r="X211" t="str">
        <f>IF(OR(Hoja4!H210="Empresa de embarque B",Hoja4!I210="Cheque",Hoja4!J210="cerveza"),"dale","vaaa")</f>
        <v>dale</v>
      </c>
      <c r="Z211" t="str">
        <f>IF(NOT(OR(Hoja4!I210="Cheque",Hoja4!J210="Cerveza")),"Aprobado","No Aprobado")</f>
        <v>No Aprobado</v>
      </c>
    </row>
    <row r="212" spans="19:26" x14ac:dyDescent="0.25">
      <c r="S212" s="2" t="b">
        <f>AND(Hoja4!$P211="abril",Hoja4!$O211="Jue.")</f>
        <v>0</v>
      </c>
      <c r="T212" t="str">
        <f>IF(AND(Hoja4!H211="Empresa de embarque B",Hoja4!I211="Cheque"),"dale","vaaa")</f>
        <v>vaaa</v>
      </c>
      <c r="V212" t="str">
        <f>IF(AND(Hoja4!H211="Empresa de embarque B",Hoja4!I211="Cheque",Hoja4!J211="Cerveza"),"dale","vaaa")</f>
        <v>vaaa</v>
      </c>
      <c r="X212" t="str">
        <f>IF(OR(Hoja4!H211="Empresa de embarque B",Hoja4!I211="Cheque",Hoja4!J211="cerveza"),"dale","vaaa")</f>
        <v>vaaa</v>
      </c>
      <c r="Z212" t="str">
        <f>IF(NOT(OR(Hoja4!I211="Cheque",Hoja4!J211="Cerveza")),"Aprobado","No Aprobado")</f>
        <v>Aprobado</v>
      </c>
    </row>
    <row r="213" spans="19:26" x14ac:dyDescent="0.25">
      <c r="S213" s="2" t="b">
        <f>AND(Hoja4!$P212="abril",Hoja4!$O212="Jue.")</f>
        <v>0</v>
      </c>
      <c r="T213" t="str">
        <f>IF(AND(Hoja4!H212="Empresa de embarque B",Hoja4!I212="Cheque"),"dale","vaaa")</f>
        <v>vaaa</v>
      </c>
      <c r="V213" t="str">
        <f>IF(AND(Hoja4!H212="Empresa de embarque B",Hoja4!I212="Cheque",Hoja4!J212="Cerveza"),"dale","vaaa")</f>
        <v>vaaa</v>
      </c>
      <c r="X213" t="str">
        <f>IF(OR(Hoja4!H212="Empresa de embarque B",Hoja4!I212="Cheque",Hoja4!J212="cerveza"),"dale","vaaa")</f>
        <v>vaaa</v>
      </c>
      <c r="Z213" t="str">
        <f>IF(NOT(OR(Hoja4!I212="Cheque",Hoja4!J212="Cerveza")),"Aprobado","No Aprobado")</f>
        <v>Aprobado</v>
      </c>
    </row>
    <row r="214" spans="19:26" x14ac:dyDescent="0.25">
      <c r="S214" s="2" t="b">
        <f>AND(Hoja4!$P213="abril",Hoja4!$O213="Jue.")</f>
        <v>0</v>
      </c>
      <c r="T214" t="str">
        <f>IF(AND(Hoja4!H213="Empresa de embarque B",Hoja4!I213="Cheque"),"dale","vaaa")</f>
        <v>vaaa</v>
      </c>
      <c r="V214" t="str">
        <f>IF(AND(Hoja4!H213="Empresa de embarque B",Hoja4!I213="Cheque",Hoja4!J213="Cerveza"),"dale","vaaa")</f>
        <v>vaaa</v>
      </c>
      <c r="X214" t="str">
        <f>IF(OR(Hoja4!H213="Empresa de embarque B",Hoja4!I213="Cheque",Hoja4!J213="cerveza"),"dale","vaaa")</f>
        <v>vaaa</v>
      </c>
      <c r="Z214" t="str">
        <f>IF(NOT(OR(Hoja4!I213="Cheque",Hoja4!J213="Cerveza")),"Aprobado","No Aprobado")</f>
        <v>Aprobado</v>
      </c>
    </row>
    <row r="215" spans="19:26" x14ac:dyDescent="0.25">
      <c r="S215" s="2" t="b">
        <f>AND(Hoja4!$P214="abril",Hoja4!$O214="Jue.")</f>
        <v>0</v>
      </c>
      <c r="T215" t="str">
        <f>IF(AND(Hoja4!H214="Empresa de embarque B",Hoja4!I214="Cheque"),"dale","vaaa")</f>
        <v>vaaa</v>
      </c>
      <c r="V215" t="str">
        <f>IF(AND(Hoja4!H214="Empresa de embarque B",Hoja4!I214="Cheque",Hoja4!J214="Cerveza"),"dale","vaaa")</f>
        <v>vaaa</v>
      </c>
      <c r="X215" t="str">
        <f>IF(OR(Hoja4!H214="Empresa de embarque B",Hoja4!I214="Cheque",Hoja4!J214="cerveza"),"dale","vaaa")</f>
        <v>vaaa</v>
      </c>
      <c r="Z215" t="str">
        <f>IF(NOT(OR(Hoja4!I214="Cheque",Hoja4!J214="Cerveza")),"Aprobado","No Aprobado")</f>
        <v>Aprobado</v>
      </c>
    </row>
    <row r="216" spans="19:26" x14ac:dyDescent="0.25">
      <c r="S216" s="2" t="b">
        <f>AND(Hoja4!$P215="abril",Hoja4!$O215="Jue.")</f>
        <v>0</v>
      </c>
      <c r="T216" t="str">
        <f>IF(AND(Hoja4!H215="Empresa de embarque B",Hoja4!I215="Cheque"),"dale","vaaa")</f>
        <v>dale</v>
      </c>
      <c r="V216" t="str">
        <f>IF(AND(Hoja4!H215="Empresa de embarque B",Hoja4!I215="Cheque",Hoja4!J215="Cerveza"),"dale","vaaa")</f>
        <v>dale</v>
      </c>
      <c r="X216" t="str">
        <f>IF(OR(Hoja4!H215="Empresa de embarque B",Hoja4!I215="Cheque",Hoja4!J215="cerveza"),"dale","vaaa")</f>
        <v>dale</v>
      </c>
      <c r="Z216" t="str">
        <f>IF(NOT(OR(Hoja4!I215="Cheque",Hoja4!J215="Cerveza")),"Aprobado","No Aprobado")</f>
        <v>No Aprobado</v>
      </c>
    </row>
    <row r="217" spans="19:26" x14ac:dyDescent="0.25">
      <c r="S217" s="2" t="b">
        <f>AND(Hoja4!$P216="abril",Hoja4!$O216="Jue.")</f>
        <v>0</v>
      </c>
      <c r="T217" t="str">
        <f>IF(AND(Hoja4!H216="Empresa de embarque B",Hoja4!I216="Cheque"),"dale","vaaa")</f>
        <v>vaaa</v>
      </c>
      <c r="V217" t="str">
        <f>IF(AND(Hoja4!H216="Empresa de embarque B",Hoja4!I216="Cheque",Hoja4!J216="Cerveza"),"dale","vaaa")</f>
        <v>vaaa</v>
      </c>
      <c r="X217" t="str">
        <f>IF(OR(Hoja4!H216="Empresa de embarque B",Hoja4!I216="Cheque",Hoja4!J216="cerveza"),"dale","vaaa")</f>
        <v>dale</v>
      </c>
      <c r="Z217" t="str">
        <f>IF(NOT(OR(Hoja4!I216="Cheque",Hoja4!J216="Cerveza")),"Aprobado","No Aprobado")</f>
        <v>No Aprobado</v>
      </c>
    </row>
    <row r="218" spans="19:26" x14ac:dyDescent="0.25">
      <c r="S218" s="2" t="b">
        <f>AND(Hoja4!$P217="abril",Hoja4!$O217="Jue.")</f>
        <v>0</v>
      </c>
      <c r="T218" t="str">
        <f>IF(AND(Hoja4!H217="Empresa de embarque B",Hoja4!I217="Cheque"),"dale","vaaa")</f>
        <v>vaaa</v>
      </c>
      <c r="V218" t="str">
        <f>IF(AND(Hoja4!H217="Empresa de embarque B",Hoja4!I217="Cheque",Hoja4!J217="Cerveza"),"dale","vaaa")</f>
        <v>vaaa</v>
      </c>
      <c r="X218" t="str">
        <f>IF(OR(Hoja4!H217="Empresa de embarque B",Hoja4!I217="Cheque",Hoja4!J217="cerveza"),"dale","vaaa")</f>
        <v>vaaa</v>
      </c>
      <c r="Z218" t="str">
        <f>IF(NOT(OR(Hoja4!I217="Cheque",Hoja4!J217="Cerveza")),"Aprobado","No Aprobado")</f>
        <v>Aprobado</v>
      </c>
    </row>
    <row r="219" spans="19:26" x14ac:dyDescent="0.25">
      <c r="S219" s="2" t="b">
        <f>AND(Hoja4!$P218="abril",Hoja4!$O218="Jue.")</f>
        <v>0</v>
      </c>
      <c r="T219" t="str">
        <f>IF(AND(Hoja4!H218="Empresa de embarque B",Hoja4!I218="Cheque"),"dale","vaaa")</f>
        <v>vaaa</v>
      </c>
      <c r="V219" t="str">
        <f>IF(AND(Hoja4!H218="Empresa de embarque B",Hoja4!I218="Cheque",Hoja4!J218="Cerveza"),"dale","vaaa")</f>
        <v>vaaa</v>
      </c>
      <c r="X219" t="str">
        <f>IF(OR(Hoja4!H218="Empresa de embarque B",Hoja4!I218="Cheque",Hoja4!J218="cerveza"),"dale","vaaa")</f>
        <v>vaaa</v>
      </c>
      <c r="Z219" t="str">
        <f>IF(NOT(OR(Hoja4!I218="Cheque",Hoja4!J218="Cerveza")),"Aprobado","No Aprobado")</f>
        <v>Aprobado</v>
      </c>
    </row>
    <row r="220" spans="19:26" x14ac:dyDescent="0.25">
      <c r="S220" s="2" t="b">
        <f>AND(Hoja4!$P219="abril",Hoja4!$O219="Jue.")</f>
        <v>0</v>
      </c>
      <c r="T220" t="str">
        <f>IF(AND(Hoja4!H219="Empresa de embarque B",Hoja4!I219="Cheque"),"dale","vaaa")</f>
        <v>vaaa</v>
      </c>
      <c r="V220" t="str">
        <f>IF(AND(Hoja4!H219="Empresa de embarque B",Hoja4!I219="Cheque",Hoja4!J219="Cerveza"),"dale","vaaa")</f>
        <v>vaaa</v>
      </c>
      <c r="X220" t="str">
        <f>IF(OR(Hoja4!H219="Empresa de embarque B",Hoja4!I219="Cheque",Hoja4!J219="cerveza"),"dale","vaaa")</f>
        <v>vaaa</v>
      </c>
      <c r="Z220" t="str">
        <f>IF(NOT(OR(Hoja4!I219="Cheque",Hoja4!J219="Cerveza")),"Aprobado","No Aprobado")</f>
        <v>Aprobado</v>
      </c>
    </row>
    <row r="221" spans="19:26" x14ac:dyDescent="0.25">
      <c r="S221" s="2" t="b">
        <f>AND(Hoja4!$P220="abril",Hoja4!$O220="Jue.")</f>
        <v>0</v>
      </c>
      <c r="T221" t="str">
        <f>IF(AND(Hoja4!H220="Empresa de embarque B",Hoja4!I220="Cheque"),"dale","vaaa")</f>
        <v>vaaa</v>
      </c>
      <c r="V221" t="str">
        <f>IF(AND(Hoja4!H220="Empresa de embarque B",Hoja4!I220="Cheque",Hoja4!J220="Cerveza"),"dale","vaaa")</f>
        <v>vaaa</v>
      </c>
      <c r="X221" t="str">
        <f>IF(OR(Hoja4!H220="Empresa de embarque B",Hoja4!I220="Cheque",Hoja4!J220="cerveza"),"dale","vaaa")</f>
        <v>vaaa</v>
      </c>
      <c r="Z221" t="str">
        <f>IF(NOT(OR(Hoja4!I220="Cheque",Hoja4!J220="Cerveza")),"Aprobado","No Aprobado")</f>
        <v>Aprobado</v>
      </c>
    </row>
    <row r="222" spans="19:26" x14ac:dyDescent="0.25">
      <c r="S222" s="2" t="b">
        <f>AND(Hoja4!$P221="abril",Hoja4!$O221="Jue.")</f>
        <v>0</v>
      </c>
      <c r="T222" t="str">
        <f>IF(AND(Hoja4!H221="Empresa de embarque B",Hoja4!I221="Cheque"),"dale","vaaa")</f>
        <v>vaaa</v>
      </c>
      <c r="V222" t="str">
        <f>IF(AND(Hoja4!H221="Empresa de embarque B",Hoja4!I221="Cheque",Hoja4!J221="Cerveza"),"dale","vaaa")</f>
        <v>vaaa</v>
      </c>
      <c r="X222" t="str">
        <f>IF(OR(Hoja4!H221="Empresa de embarque B",Hoja4!I221="Cheque",Hoja4!J221="cerveza"),"dale","vaaa")</f>
        <v>vaaa</v>
      </c>
      <c r="Z222" t="str">
        <f>IF(NOT(OR(Hoja4!I221="Cheque",Hoja4!J221="Cerveza")),"Aprobado","No Aprobado")</f>
        <v>Aprobado</v>
      </c>
    </row>
    <row r="223" spans="19:26" x14ac:dyDescent="0.25">
      <c r="S223" s="2" t="b">
        <f>AND(Hoja4!$P222="abril",Hoja4!$O222="Jue.")</f>
        <v>0</v>
      </c>
      <c r="T223" t="str">
        <f>IF(AND(Hoja4!H222="Empresa de embarque B",Hoja4!I222="Cheque"),"dale","vaaa")</f>
        <v>vaaa</v>
      </c>
      <c r="V223" t="str">
        <f>IF(AND(Hoja4!H222="Empresa de embarque B",Hoja4!I222="Cheque",Hoja4!J222="Cerveza"),"dale","vaaa")</f>
        <v>vaaa</v>
      </c>
      <c r="X223" t="str">
        <f>IF(OR(Hoja4!H222="Empresa de embarque B",Hoja4!I222="Cheque",Hoja4!J222="cerveza"),"dale","vaaa")</f>
        <v>vaaa</v>
      </c>
      <c r="Z223" t="str">
        <f>IF(NOT(OR(Hoja4!I222="Cheque",Hoja4!J222="Cerveza")),"Aprobado","No Aprobado")</f>
        <v>Aprobado</v>
      </c>
    </row>
    <row r="224" spans="19:26" x14ac:dyDescent="0.25">
      <c r="S224" s="2" t="b">
        <f>AND(Hoja4!$P223="abril",Hoja4!$O223="Jue.")</f>
        <v>0</v>
      </c>
      <c r="T224" t="str">
        <f>IF(AND(Hoja4!H223="Empresa de embarque B",Hoja4!I223="Cheque"),"dale","vaaa")</f>
        <v>vaaa</v>
      </c>
      <c r="V224" t="str">
        <f>IF(AND(Hoja4!H223="Empresa de embarque B",Hoja4!I223="Cheque",Hoja4!J223="Cerveza"),"dale","vaaa")</f>
        <v>vaaa</v>
      </c>
      <c r="X224" t="str">
        <f>IF(OR(Hoja4!H223="Empresa de embarque B",Hoja4!I223="Cheque",Hoja4!J223="cerveza"),"dale","vaaa")</f>
        <v>vaaa</v>
      </c>
      <c r="Z224" t="str">
        <f>IF(NOT(OR(Hoja4!I223="Cheque",Hoja4!J223="Cerveza")),"Aprobado","No Aprobado")</f>
        <v>Aprobado</v>
      </c>
    </row>
    <row r="225" spans="19:26" x14ac:dyDescent="0.25">
      <c r="S225" s="2" t="b">
        <f>AND(Hoja4!$P224="abril",Hoja4!$O224="Jue.")</f>
        <v>0</v>
      </c>
      <c r="T225" t="str">
        <f>IF(AND(Hoja4!H224="Empresa de embarque B",Hoja4!I224="Cheque"),"dale","vaaa")</f>
        <v>vaaa</v>
      </c>
      <c r="V225" t="str">
        <f>IF(AND(Hoja4!H224="Empresa de embarque B",Hoja4!I224="Cheque",Hoja4!J224="Cerveza"),"dale","vaaa")</f>
        <v>vaaa</v>
      </c>
      <c r="X225" t="str">
        <f>IF(OR(Hoja4!H224="Empresa de embarque B",Hoja4!I224="Cheque",Hoja4!J224="cerveza"),"dale","vaaa")</f>
        <v>vaaa</v>
      </c>
      <c r="Z225" t="str">
        <f>IF(NOT(OR(Hoja4!I224="Cheque",Hoja4!J224="Cerveza")),"Aprobado","No Aprobado")</f>
        <v>Aprobado</v>
      </c>
    </row>
    <row r="226" spans="19:26" x14ac:dyDescent="0.25">
      <c r="S226" s="2" t="b">
        <f>AND(Hoja4!$P225="abril",Hoja4!$O225="Jue.")</f>
        <v>0</v>
      </c>
      <c r="T226" t="str">
        <f>IF(AND(Hoja4!H225="Empresa de embarque B",Hoja4!I225="Cheque"),"dale","vaaa")</f>
        <v>vaaa</v>
      </c>
      <c r="V226" t="str">
        <f>IF(AND(Hoja4!H225="Empresa de embarque B",Hoja4!I225="Cheque",Hoja4!J225="Cerveza"),"dale","vaaa")</f>
        <v>vaaa</v>
      </c>
      <c r="X226" t="str">
        <f>IF(OR(Hoja4!H225="Empresa de embarque B",Hoja4!I225="Cheque",Hoja4!J225="cerveza"),"dale","vaaa")</f>
        <v>vaaa</v>
      </c>
      <c r="Z226" t="str">
        <f>IF(NOT(OR(Hoja4!I225="Cheque",Hoja4!J225="Cerveza")),"Aprobado","No Aprobado")</f>
        <v>Aprobado</v>
      </c>
    </row>
    <row r="227" spans="19:26" x14ac:dyDescent="0.25">
      <c r="S227" s="2" t="b">
        <f>AND(Hoja4!$P226="abril",Hoja4!$O226="Jue.")</f>
        <v>0</v>
      </c>
      <c r="T227" t="str">
        <f>IF(AND(Hoja4!H226="Empresa de embarque B",Hoja4!I226="Cheque"),"dale","vaaa")</f>
        <v>vaaa</v>
      </c>
      <c r="V227" t="str">
        <f>IF(AND(Hoja4!H226="Empresa de embarque B",Hoja4!I226="Cheque",Hoja4!J226="Cerveza"),"dale","vaaa")</f>
        <v>vaaa</v>
      </c>
      <c r="X227" t="str">
        <f>IF(OR(Hoja4!H226="Empresa de embarque B",Hoja4!I226="Cheque",Hoja4!J226="cerveza"),"dale","vaaa")</f>
        <v>vaaa</v>
      </c>
      <c r="Z227" t="str">
        <f>IF(NOT(OR(Hoja4!I226="Cheque",Hoja4!J226="Cerveza")),"Aprobado","No Aprobado")</f>
        <v>Aprobado</v>
      </c>
    </row>
    <row r="228" spans="19:26" x14ac:dyDescent="0.25">
      <c r="S228" s="2" t="b">
        <f>AND(Hoja4!$P227="abril",Hoja4!$O227="Jue.")</f>
        <v>0</v>
      </c>
      <c r="T228" t="str">
        <f>IF(AND(Hoja4!H227="Empresa de embarque B",Hoja4!I227="Cheque"),"dale","vaaa")</f>
        <v>vaaa</v>
      </c>
      <c r="V228" t="str">
        <f>IF(AND(Hoja4!H227="Empresa de embarque B",Hoja4!I227="Cheque",Hoja4!J227="Cerveza"),"dale","vaaa")</f>
        <v>vaaa</v>
      </c>
      <c r="X228" t="str">
        <f>IF(OR(Hoja4!H227="Empresa de embarque B",Hoja4!I227="Cheque",Hoja4!J227="cerveza"),"dale","vaaa")</f>
        <v>dale</v>
      </c>
      <c r="Z228" t="str">
        <f>IF(NOT(OR(Hoja4!I227="Cheque",Hoja4!J227="Cerveza")),"Aprobado","No Aprobado")</f>
        <v>No Aprobado</v>
      </c>
    </row>
    <row r="229" spans="19:26" x14ac:dyDescent="0.25">
      <c r="S229" s="2" t="b">
        <f>AND(Hoja4!$P228="abril",Hoja4!$O228="Jue.")</f>
        <v>0</v>
      </c>
      <c r="T229" t="str">
        <f>IF(AND(Hoja4!H228="Empresa de embarque B",Hoja4!I228="Cheque"),"dale","vaaa")</f>
        <v>vaaa</v>
      </c>
      <c r="V229" t="str">
        <f>IF(AND(Hoja4!H228="Empresa de embarque B",Hoja4!I228="Cheque",Hoja4!J228="Cerveza"),"dale","vaaa")</f>
        <v>vaaa</v>
      </c>
      <c r="X229" t="str">
        <f>IF(OR(Hoja4!H228="Empresa de embarque B",Hoja4!I228="Cheque",Hoja4!J228="cerveza"),"dale","vaaa")</f>
        <v>dale</v>
      </c>
      <c r="Z229" t="str">
        <f>IF(NOT(OR(Hoja4!I228="Cheque",Hoja4!J228="Cerveza")),"Aprobado","No Aprobado")</f>
        <v>No Aprobado</v>
      </c>
    </row>
    <row r="230" spans="19:26" x14ac:dyDescent="0.25">
      <c r="S230" s="2" t="b">
        <f>AND(Hoja4!$P229="abril",Hoja4!$O229="Jue.")</f>
        <v>0</v>
      </c>
      <c r="T230" t="str">
        <f>IF(AND(Hoja4!H229="Empresa de embarque B",Hoja4!I229="Cheque"),"dale","vaaa")</f>
        <v>vaaa</v>
      </c>
      <c r="V230" t="str">
        <f>IF(AND(Hoja4!H229="Empresa de embarque B",Hoja4!I229="Cheque",Hoja4!J229="Cerveza"),"dale","vaaa")</f>
        <v>vaaa</v>
      </c>
      <c r="X230" t="str">
        <f>IF(OR(Hoja4!H229="Empresa de embarque B",Hoja4!I229="Cheque",Hoja4!J229="cerveza"),"dale","vaaa")</f>
        <v>dale</v>
      </c>
      <c r="Z230" t="str">
        <f>IF(NOT(OR(Hoja4!I229="Cheque",Hoja4!J229="Cerveza")),"Aprobado","No Aprobado")</f>
        <v>No Aprobado</v>
      </c>
    </row>
    <row r="231" spans="19:26" x14ac:dyDescent="0.25">
      <c r="S231" s="2" t="b">
        <f>AND(Hoja4!$P230="abril",Hoja4!$O230="Jue.")</f>
        <v>0</v>
      </c>
      <c r="T231" t="str">
        <f>IF(AND(Hoja4!H230="Empresa de embarque B",Hoja4!I230="Cheque"),"dale","vaaa")</f>
        <v>dale</v>
      </c>
      <c r="V231" t="str">
        <f>IF(AND(Hoja4!H230="Empresa de embarque B",Hoja4!I230="Cheque",Hoja4!J230="Cerveza"),"dale","vaaa")</f>
        <v>vaaa</v>
      </c>
      <c r="X231" t="str">
        <f>IF(OR(Hoja4!H230="Empresa de embarque B",Hoja4!I230="Cheque",Hoja4!J230="cerveza"),"dale","vaaa")</f>
        <v>dale</v>
      </c>
      <c r="Z231" t="str">
        <f>IF(NOT(OR(Hoja4!I230="Cheque",Hoja4!J230="Cerveza")),"Aprobado","No Aprobado")</f>
        <v>No Aprobado</v>
      </c>
    </row>
    <row r="232" spans="19:26" x14ac:dyDescent="0.25">
      <c r="S232" s="2" t="b">
        <f>AND(Hoja4!$P231="abril",Hoja4!$O231="Jue.")</f>
        <v>0</v>
      </c>
      <c r="T232" t="str">
        <f>IF(AND(Hoja4!H231="Empresa de embarque B",Hoja4!I231="Cheque"),"dale","vaaa")</f>
        <v>dale</v>
      </c>
      <c r="V232" t="str">
        <f>IF(AND(Hoja4!H231="Empresa de embarque B",Hoja4!I231="Cheque",Hoja4!J231="Cerveza"),"dale","vaaa")</f>
        <v>vaaa</v>
      </c>
      <c r="X232" t="str">
        <f>IF(OR(Hoja4!H231="Empresa de embarque B",Hoja4!I231="Cheque",Hoja4!J231="cerveza"),"dale","vaaa")</f>
        <v>dale</v>
      </c>
      <c r="Z232" t="str">
        <f>IF(NOT(OR(Hoja4!I231="Cheque",Hoja4!J231="Cerveza")),"Aprobado","No Aprobado")</f>
        <v>No Aprobado</v>
      </c>
    </row>
    <row r="233" spans="19:26" x14ac:dyDescent="0.25">
      <c r="S233" s="2" t="b">
        <f>AND(Hoja4!$P232="abril",Hoja4!$O232="Jue.")</f>
        <v>0</v>
      </c>
      <c r="T233" t="str">
        <f>IF(AND(Hoja4!H232="Empresa de embarque B",Hoja4!I232="Cheque"),"dale","vaaa")</f>
        <v>vaaa</v>
      </c>
      <c r="V233" t="str">
        <f>IF(AND(Hoja4!H232="Empresa de embarque B",Hoja4!I232="Cheque",Hoja4!J232="Cerveza"),"dale","vaaa")</f>
        <v>vaaa</v>
      </c>
      <c r="X233" t="str">
        <f>IF(OR(Hoja4!H232="Empresa de embarque B",Hoja4!I232="Cheque",Hoja4!J232="cerveza"),"dale","vaaa")</f>
        <v>vaaa</v>
      </c>
      <c r="Z233" t="str">
        <f>IF(NOT(OR(Hoja4!I232="Cheque",Hoja4!J232="Cerveza")),"Aprobado","No Aprobado")</f>
        <v>Aprobado</v>
      </c>
    </row>
    <row r="234" spans="19:26" x14ac:dyDescent="0.25">
      <c r="S234" s="2" t="b">
        <f>AND(Hoja4!$P233="abril",Hoja4!$O233="Jue.")</f>
        <v>0</v>
      </c>
      <c r="T234" t="str">
        <f>IF(AND(Hoja4!H233="Empresa de embarque B",Hoja4!I233="Cheque"),"dale","vaaa")</f>
        <v>vaaa</v>
      </c>
      <c r="V234" t="str">
        <f>IF(AND(Hoja4!H233="Empresa de embarque B",Hoja4!I233="Cheque",Hoja4!J233="Cerveza"),"dale","vaaa")</f>
        <v>vaaa</v>
      </c>
      <c r="X234" t="str">
        <f>IF(OR(Hoja4!H233="Empresa de embarque B",Hoja4!I233="Cheque",Hoja4!J233="cerveza"),"dale","vaaa")</f>
        <v>vaaa</v>
      </c>
      <c r="Z234" t="str">
        <f>IF(NOT(OR(Hoja4!I233="Cheque",Hoja4!J233="Cerveza")),"Aprobado","No Aprobado")</f>
        <v>Aprobado</v>
      </c>
    </row>
    <row r="235" spans="19:26" x14ac:dyDescent="0.25">
      <c r="S235" s="2" t="b">
        <f>AND(Hoja4!$P234="abril",Hoja4!$O234="Jue.")</f>
        <v>0</v>
      </c>
      <c r="T235" t="str">
        <f>IF(AND(Hoja4!H234="Empresa de embarque B",Hoja4!I234="Cheque"),"dale","vaaa")</f>
        <v>vaaa</v>
      </c>
      <c r="V235" t="str">
        <f>IF(AND(Hoja4!H234="Empresa de embarque B",Hoja4!I234="Cheque",Hoja4!J234="Cerveza"),"dale","vaaa")</f>
        <v>vaaa</v>
      </c>
      <c r="X235" t="str">
        <f>IF(OR(Hoja4!H234="Empresa de embarque B",Hoja4!I234="Cheque",Hoja4!J234="cerveza"),"dale","vaaa")</f>
        <v>vaaa</v>
      </c>
      <c r="Z235" t="str">
        <f>IF(NOT(OR(Hoja4!I234="Cheque",Hoja4!J234="Cerveza")),"Aprobado","No Aprobado")</f>
        <v>Aprobado</v>
      </c>
    </row>
    <row r="236" spans="19:26" x14ac:dyDescent="0.25">
      <c r="S236" s="2" t="b">
        <f>AND(Hoja4!$P235="abril",Hoja4!$O235="Jue.")</f>
        <v>0</v>
      </c>
      <c r="T236" t="str">
        <f>IF(AND(Hoja4!H235="Empresa de embarque B",Hoja4!I235="Cheque"),"dale","vaaa")</f>
        <v>vaaa</v>
      </c>
      <c r="V236" t="str">
        <f>IF(AND(Hoja4!H235="Empresa de embarque B",Hoja4!I235="Cheque",Hoja4!J235="Cerveza"),"dale","vaaa")</f>
        <v>vaaa</v>
      </c>
      <c r="X236" t="str">
        <f>IF(OR(Hoja4!H235="Empresa de embarque B",Hoja4!I235="Cheque",Hoja4!J235="cerveza"),"dale","vaaa")</f>
        <v>vaaa</v>
      </c>
      <c r="Z236" t="str">
        <f>IF(NOT(OR(Hoja4!I235="Cheque",Hoja4!J235="Cerveza")),"Aprobado","No Aprobado")</f>
        <v>Aprobado</v>
      </c>
    </row>
    <row r="237" spans="19:26" x14ac:dyDescent="0.25">
      <c r="S237" s="2" t="b">
        <f>AND(Hoja4!$P236="abril",Hoja4!$O236="Jue.")</f>
        <v>0</v>
      </c>
      <c r="T237" t="str">
        <f>IF(AND(Hoja4!H236="Empresa de embarque B",Hoja4!I236="Cheque"),"dale","vaaa")</f>
        <v>dale</v>
      </c>
      <c r="V237" t="str">
        <f>IF(AND(Hoja4!H236="Empresa de embarque B",Hoja4!I236="Cheque",Hoja4!J236="Cerveza"),"dale","vaaa")</f>
        <v>dale</v>
      </c>
      <c r="X237" t="str">
        <f>IF(OR(Hoja4!H236="Empresa de embarque B",Hoja4!I236="Cheque",Hoja4!J236="cerveza"),"dale","vaaa")</f>
        <v>dale</v>
      </c>
      <c r="Z237" t="str">
        <f>IF(NOT(OR(Hoja4!I236="Cheque",Hoja4!J236="Cerveza")),"Aprobado","No Aprobado")</f>
        <v>No Aprobado</v>
      </c>
    </row>
    <row r="238" spans="19:26" x14ac:dyDescent="0.25">
      <c r="S238" s="2" t="b">
        <f>AND(Hoja4!$P237="abril",Hoja4!$O237="Jue.")</f>
        <v>0</v>
      </c>
      <c r="T238" t="str">
        <f>IF(AND(Hoja4!H237="Empresa de embarque B",Hoja4!I237="Cheque"),"dale","vaaa")</f>
        <v>vaaa</v>
      </c>
      <c r="V238" t="str">
        <f>IF(AND(Hoja4!H237="Empresa de embarque B",Hoja4!I237="Cheque",Hoja4!J237="Cerveza"),"dale","vaaa")</f>
        <v>vaaa</v>
      </c>
      <c r="X238" t="str">
        <f>IF(OR(Hoja4!H237="Empresa de embarque B",Hoja4!I237="Cheque",Hoja4!J237="cerveza"),"dale","vaaa")</f>
        <v>dale</v>
      </c>
      <c r="Z238" t="str">
        <f>IF(NOT(OR(Hoja4!I237="Cheque",Hoja4!J237="Cerveza")),"Aprobado","No Aprobado")</f>
        <v>No Aprobado</v>
      </c>
    </row>
    <row r="239" spans="19:26" x14ac:dyDescent="0.25">
      <c r="S239" s="2" t="b">
        <f>AND(Hoja4!$P238="abril",Hoja4!$O238="Jue.")</f>
        <v>0</v>
      </c>
      <c r="T239" t="str">
        <f>IF(AND(Hoja4!H238="Empresa de embarque B",Hoja4!I238="Cheque"),"dale","vaaa")</f>
        <v>vaaa</v>
      </c>
      <c r="V239" t="str">
        <f>IF(AND(Hoja4!H238="Empresa de embarque B",Hoja4!I238="Cheque",Hoja4!J238="Cerveza"),"dale","vaaa")</f>
        <v>vaaa</v>
      </c>
      <c r="X239" t="str">
        <f>IF(OR(Hoja4!H238="Empresa de embarque B",Hoja4!I238="Cheque",Hoja4!J238="cerveza"),"dale","vaaa")</f>
        <v>vaaa</v>
      </c>
      <c r="Z239" t="str">
        <f>IF(NOT(OR(Hoja4!I238="Cheque",Hoja4!J238="Cerveza")),"Aprobado","No Aprobado")</f>
        <v>Aprobado</v>
      </c>
    </row>
    <row r="240" spans="19:26" x14ac:dyDescent="0.25">
      <c r="S240" s="2" t="b">
        <f>AND(Hoja4!$P239="abril",Hoja4!$O239="Jue.")</f>
        <v>0</v>
      </c>
      <c r="T240" t="str">
        <f>IF(AND(Hoja4!H239="Empresa de embarque B",Hoja4!I239="Cheque"),"dale","vaaa")</f>
        <v>vaaa</v>
      </c>
      <c r="V240" t="str">
        <f>IF(AND(Hoja4!H239="Empresa de embarque B",Hoja4!I239="Cheque",Hoja4!J239="Cerveza"),"dale","vaaa")</f>
        <v>vaaa</v>
      </c>
      <c r="X240" t="str">
        <f>IF(OR(Hoja4!H239="Empresa de embarque B",Hoja4!I239="Cheque",Hoja4!J239="cerveza"),"dale","vaaa")</f>
        <v>vaaa</v>
      </c>
      <c r="Z240" t="str">
        <f>IF(NOT(OR(Hoja4!I239="Cheque",Hoja4!J239="Cerveza")),"Aprobado","No Aprobado")</f>
        <v>Aprobado</v>
      </c>
    </row>
    <row r="241" spans="19:26" x14ac:dyDescent="0.25">
      <c r="S241" s="2" t="b">
        <f>AND(Hoja4!$P240="abril",Hoja4!$O240="Jue.")</f>
        <v>0</v>
      </c>
      <c r="T241" t="str">
        <f>IF(AND(Hoja4!H240="Empresa de embarque B",Hoja4!I240="Cheque"),"dale","vaaa")</f>
        <v>vaaa</v>
      </c>
      <c r="V241" t="str">
        <f>IF(AND(Hoja4!H240="Empresa de embarque B",Hoja4!I240="Cheque",Hoja4!J240="Cerveza"),"dale","vaaa")</f>
        <v>vaaa</v>
      </c>
      <c r="X241" t="str">
        <f>IF(OR(Hoja4!H240="Empresa de embarque B",Hoja4!I240="Cheque",Hoja4!J240="cerveza"),"dale","vaaa")</f>
        <v>vaaa</v>
      </c>
      <c r="Z241" t="str">
        <f>IF(NOT(OR(Hoja4!I240="Cheque",Hoja4!J240="Cerveza")),"Aprobado","No Aprobado")</f>
        <v>Aprobado</v>
      </c>
    </row>
    <row r="242" spans="19:26" x14ac:dyDescent="0.25">
      <c r="S242" s="2" t="b">
        <f>AND(Hoja4!$P241="abril",Hoja4!$O241="Jue.")</f>
        <v>0</v>
      </c>
      <c r="T242" t="str">
        <f>IF(AND(Hoja4!H241="Empresa de embarque B",Hoja4!I241="Cheque"),"dale","vaaa")</f>
        <v>vaaa</v>
      </c>
      <c r="V242" t="str">
        <f>IF(AND(Hoja4!H241="Empresa de embarque B",Hoja4!I241="Cheque",Hoja4!J241="Cerveza"),"dale","vaaa")</f>
        <v>vaaa</v>
      </c>
      <c r="X242" t="str">
        <f>IF(OR(Hoja4!H241="Empresa de embarque B",Hoja4!I241="Cheque",Hoja4!J241="cerveza"),"dale","vaaa")</f>
        <v>dale</v>
      </c>
      <c r="Z242" t="str">
        <f>IF(NOT(OR(Hoja4!I241="Cheque",Hoja4!J241="Cerveza")),"Aprobado","No Aprobado")</f>
        <v>Aprobado</v>
      </c>
    </row>
    <row r="243" spans="19:26" x14ac:dyDescent="0.25">
      <c r="S243" s="2" t="b">
        <f>AND(Hoja4!$P242="abril",Hoja4!$O242="Jue.")</f>
        <v>0</v>
      </c>
      <c r="T243" t="str">
        <f>IF(AND(Hoja4!H242="Empresa de embarque B",Hoja4!I242="Cheque"),"dale","vaaa")</f>
        <v>vaaa</v>
      </c>
      <c r="V243" t="str">
        <f>IF(AND(Hoja4!H242="Empresa de embarque B",Hoja4!I242="Cheque",Hoja4!J242="Cerveza"),"dale","vaaa")</f>
        <v>vaaa</v>
      </c>
      <c r="X243" t="str">
        <f>IF(OR(Hoja4!H242="Empresa de embarque B",Hoja4!I242="Cheque",Hoja4!J242="cerveza"),"dale","vaaa")</f>
        <v>dale</v>
      </c>
      <c r="Z243" t="str">
        <f>IF(NOT(OR(Hoja4!I242="Cheque",Hoja4!J242="Cerveza")),"Aprobado","No Aprobado")</f>
        <v>Aprobado</v>
      </c>
    </row>
    <row r="244" spans="19:26" x14ac:dyDescent="0.25">
      <c r="S244" s="2" t="b">
        <f>AND(Hoja4!$P243="abril",Hoja4!$O243="Jue.")</f>
        <v>0</v>
      </c>
      <c r="T244" t="str">
        <f>IF(AND(Hoja4!H243="Empresa de embarque B",Hoja4!I243="Cheque"),"dale","vaaa")</f>
        <v>vaaa</v>
      </c>
      <c r="V244" t="str">
        <f>IF(AND(Hoja4!H243="Empresa de embarque B",Hoja4!I243="Cheque",Hoja4!J243="Cerveza"),"dale","vaaa")</f>
        <v>vaaa</v>
      </c>
      <c r="X244" t="str">
        <f>IF(OR(Hoja4!H243="Empresa de embarque B",Hoja4!I243="Cheque",Hoja4!J243="cerveza"),"dale","vaaa")</f>
        <v>dale</v>
      </c>
      <c r="Z244" t="str">
        <f>IF(NOT(OR(Hoja4!I243="Cheque",Hoja4!J243="Cerveza")),"Aprobado","No Aprobado")</f>
        <v>Aprobado</v>
      </c>
    </row>
    <row r="245" spans="19:26" x14ac:dyDescent="0.25">
      <c r="S245" s="2" t="b">
        <f>AND(Hoja4!$P244="abril",Hoja4!$O244="Jue.")</f>
        <v>0</v>
      </c>
      <c r="T245" t="str">
        <f>IF(AND(Hoja4!H244="Empresa de embarque B",Hoja4!I244="Cheque"),"dale","vaaa")</f>
        <v>vaaa</v>
      </c>
      <c r="V245" t="str">
        <f>IF(AND(Hoja4!H244="Empresa de embarque B",Hoja4!I244="Cheque",Hoja4!J244="Cerveza"),"dale","vaaa")</f>
        <v>vaaa</v>
      </c>
      <c r="X245" t="str">
        <f>IF(OR(Hoja4!H244="Empresa de embarque B",Hoja4!I244="Cheque",Hoja4!J244="cerveza"),"dale","vaaa")</f>
        <v>dale</v>
      </c>
      <c r="Z245" t="str">
        <f>IF(NOT(OR(Hoja4!I244="Cheque",Hoja4!J244="Cerveza")),"Aprobado","No Aprobado")</f>
        <v>Aprobado</v>
      </c>
    </row>
    <row r="246" spans="19:26" x14ac:dyDescent="0.25">
      <c r="S246" s="2" t="b">
        <f>AND(Hoja4!$P245="abril",Hoja4!$O245="Jue.")</f>
        <v>0</v>
      </c>
      <c r="T246" t="str">
        <f>IF(AND(Hoja4!H245="Empresa de embarque B",Hoja4!I245="Cheque"),"dale","vaaa")</f>
        <v>vaaa</v>
      </c>
      <c r="V246" t="str">
        <f>IF(AND(Hoja4!H245="Empresa de embarque B",Hoja4!I245="Cheque",Hoja4!J245="Cerveza"),"dale","vaaa")</f>
        <v>vaaa</v>
      </c>
      <c r="X246" t="str">
        <f>IF(OR(Hoja4!H245="Empresa de embarque B",Hoja4!I245="Cheque",Hoja4!J245="cerveza"),"dale","vaaa")</f>
        <v>dale</v>
      </c>
      <c r="Z246" t="str">
        <f>IF(NOT(OR(Hoja4!I245="Cheque",Hoja4!J245="Cerveza")),"Aprobado","No Aprobado")</f>
        <v>No Aprobado</v>
      </c>
    </row>
    <row r="247" spans="19:26" x14ac:dyDescent="0.25">
      <c r="S247" s="2" t="b">
        <f>AND(Hoja4!$P246="abril",Hoja4!$O246="Jue.")</f>
        <v>0</v>
      </c>
      <c r="T247" t="str">
        <f>IF(AND(Hoja4!H246="Empresa de embarque B",Hoja4!I246="Cheque"),"dale","vaaa")</f>
        <v>vaaa</v>
      </c>
      <c r="V247" t="str">
        <f>IF(AND(Hoja4!H246="Empresa de embarque B",Hoja4!I246="Cheque",Hoja4!J246="Cerveza"),"dale","vaaa")</f>
        <v>vaaa</v>
      </c>
      <c r="X247" t="str">
        <f>IF(OR(Hoja4!H246="Empresa de embarque B",Hoja4!I246="Cheque",Hoja4!J246="cerveza"),"dale","vaaa")</f>
        <v>dale</v>
      </c>
      <c r="Z247" t="str">
        <f>IF(NOT(OR(Hoja4!I246="Cheque",Hoja4!J246="Cerveza")),"Aprobado","No Aprobado")</f>
        <v>No Aprobado</v>
      </c>
    </row>
    <row r="248" spans="19:26" x14ac:dyDescent="0.25">
      <c r="S248" s="2" t="b">
        <f>AND(Hoja4!$P247="abril",Hoja4!$O247="Jue.")</f>
        <v>0</v>
      </c>
      <c r="T248" t="str">
        <f>IF(AND(Hoja4!H247="Empresa de embarque B",Hoja4!I247="Cheque"),"dale","vaaa")</f>
        <v>vaaa</v>
      </c>
      <c r="V248" t="str">
        <f>IF(AND(Hoja4!H247="Empresa de embarque B",Hoja4!I247="Cheque",Hoja4!J247="Cerveza"),"dale","vaaa")</f>
        <v>vaaa</v>
      </c>
      <c r="X248" t="str">
        <f>IF(OR(Hoja4!H247="Empresa de embarque B",Hoja4!I247="Cheque",Hoja4!J247="cerveza"),"dale","vaaa")</f>
        <v>dale</v>
      </c>
      <c r="Z248" t="str">
        <f>IF(NOT(OR(Hoja4!I247="Cheque",Hoja4!J247="Cerveza")),"Aprobado","No Aprobado")</f>
        <v>Aprobado</v>
      </c>
    </row>
    <row r="249" spans="19:26" x14ac:dyDescent="0.25">
      <c r="S249" s="2" t="b">
        <f>AND(Hoja4!$P248="abril",Hoja4!$O248="Jue.")</f>
        <v>0</v>
      </c>
      <c r="T249" t="str">
        <f>IF(AND(Hoja4!H248="Empresa de embarque B",Hoja4!I248="Cheque"),"dale","vaaa")</f>
        <v>vaaa</v>
      </c>
      <c r="V249" t="str">
        <f>IF(AND(Hoja4!H248="Empresa de embarque B",Hoja4!I248="Cheque",Hoja4!J248="Cerveza"),"dale","vaaa")</f>
        <v>vaaa</v>
      </c>
      <c r="X249" t="str">
        <f>IF(OR(Hoja4!H248="Empresa de embarque B",Hoja4!I248="Cheque",Hoja4!J248="cerveza"),"dale","vaaa")</f>
        <v>vaaa</v>
      </c>
      <c r="Z249" t="str">
        <f>IF(NOT(OR(Hoja4!I248="Cheque",Hoja4!J248="Cerveza")),"Aprobado","No Aprobado")</f>
        <v>Aprobado</v>
      </c>
    </row>
    <row r="250" spans="19:26" x14ac:dyDescent="0.25">
      <c r="S250" s="2" t="b">
        <f>AND(Hoja4!$P249="abril",Hoja4!$O249="Jue.")</f>
        <v>0</v>
      </c>
      <c r="T250" t="str">
        <f>IF(AND(Hoja4!H249="Empresa de embarque B",Hoja4!I249="Cheque"),"dale","vaaa")</f>
        <v>vaaa</v>
      </c>
      <c r="V250" t="str">
        <f>IF(AND(Hoja4!H249="Empresa de embarque B",Hoja4!I249="Cheque",Hoja4!J249="Cerveza"),"dale","vaaa")</f>
        <v>vaaa</v>
      </c>
      <c r="X250" t="str">
        <f>IF(OR(Hoja4!H249="Empresa de embarque B",Hoja4!I249="Cheque",Hoja4!J249="cerveza"),"dale","vaaa")</f>
        <v>vaaa</v>
      </c>
      <c r="Z250" t="str">
        <f>IF(NOT(OR(Hoja4!I249="Cheque",Hoja4!J249="Cerveza")),"Aprobado","No Aprobado")</f>
        <v>Aprobado</v>
      </c>
    </row>
    <row r="251" spans="19:26" x14ac:dyDescent="0.25">
      <c r="S251" s="2" t="b">
        <f>AND(Hoja4!$P250="abril",Hoja4!$O250="Jue.")</f>
        <v>0</v>
      </c>
      <c r="T251" t="str">
        <f>IF(AND(Hoja4!H250="Empresa de embarque B",Hoja4!I250="Cheque"),"dale","vaaa")</f>
        <v>vaaa</v>
      </c>
      <c r="V251" t="str">
        <f>IF(AND(Hoja4!H250="Empresa de embarque B",Hoja4!I250="Cheque",Hoja4!J250="Cerveza"),"dale","vaaa")</f>
        <v>vaaa</v>
      </c>
      <c r="X251" t="str">
        <f>IF(OR(Hoja4!H250="Empresa de embarque B",Hoja4!I250="Cheque",Hoja4!J250="cerveza"),"dale","vaaa")</f>
        <v>vaaa</v>
      </c>
      <c r="Z251" t="str">
        <f>IF(NOT(OR(Hoja4!I250="Cheque",Hoja4!J250="Cerveza")),"Aprobado","No Aprobado")</f>
        <v>Aprobado</v>
      </c>
    </row>
    <row r="252" spans="19:26" x14ac:dyDescent="0.25">
      <c r="S252" s="2" t="b">
        <f>AND(Hoja4!$P251="abril",Hoja4!$O251="Jue.")</f>
        <v>0</v>
      </c>
      <c r="T252" t="str">
        <f>IF(AND(Hoja4!H251="Empresa de embarque B",Hoja4!I251="Cheque"),"dale","vaaa")</f>
        <v>vaaa</v>
      </c>
      <c r="V252" t="str">
        <f>IF(AND(Hoja4!H251="Empresa de embarque B",Hoja4!I251="Cheque",Hoja4!J251="Cerveza"),"dale","vaaa")</f>
        <v>vaaa</v>
      </c>
      <c r="X252" t="str">
        <f>IF(OR(Hoja4!H251="Empresa de embarque B",Hoja4!I251="Cheque",Hoja4!J251="cerveza"),"dale","vaaa")</f>
        <v>vaaa</v>
      </c>
      <c r="Z252" t="str">
        <f>IF(NOT(OR(Hoja4!I251="Cheque",Hoja4!J251="Cerveza")),"Aprobado","No Aprobado")</f>
        <v>Aprobado</v>
      </c>
    </row>
    <row r="253" spans="19:26" x14ac:dyDescent="0.25">
      <c r="S253" s="2" t="b">
        <f>AND(Hoja4!$P252="abril",Hoja4!$O252="Jue.")</f>
        <v>0</v>
      </c>
      <c r="T253" t="str">
        <f>IF(AND(Hoja4!H252="Empresa de embarque B",Hoja4!I252="Cheque"),"dale","vaaa")</f>
        <v>vaaa</v>
      </c>
      <c r="V253" t="str">
        <f>IF(AND(Hoja4!H252="Empresa de embarque B",Hoja4!I252="Cheque",Hoja4!J252="Cerveza"),"dale","vaaa")</f>
        <v>vaaa</v>
      </c>
      <c r="X253" t="str">
        <f>IF(OR(Hoja4!H252="Empresa de embarque B",Hoja4!I252="Cheque",Hoja4!J252="cerveza"),"dale","vaaa")</f>
        <v>vaaa</v>
      </c>
      <c r="Z253" t="str">
        <f>IF(NOT(OR(Hoja4!I252="Cheque",Hoja4!J252="Cerveza")),"Aprobado","No Aprobado")</f>
        <v>Aprobado</v>
      </c>
    </row>
    <row r="254" spans="19:26" x14ac:dyDescent="0.25">
      <c r="S254" s="2" t="b">
        <f>AND(Hoja4!$P253="abril",Hoja4!$O253="Jue.")</f>
        <v>0</v>
      </c>
      <c r="T254" t="str">
        <f>IF(AND(Hoja4!H253="Empresa de embarque B",Hoja4!I253="Cheque"),"dale","vaaa")</f>
        <v>vaaa</v>
      </c>
      <c r="V254" t="str">
        <f>IF(AND(Hoja4!H253="Empresa de embarque B",Hoja4!I253="Cheque",Hoja4!J253="Cerveza"),"dale","vaaa")</f>
        <v>vaaa</v>
      </c>
      <c r="X254" t="str">
        <f>IF(OR(Hoja4!H253="Empresa de embarque B",Hoja4!I253="Cheque",Hoja4!J253="cerveza"),"dale","vaaa")</f>
        <v>vaaa</v>
      </c>
      <c r="Z254" t="str">
        <f>IF(NOT(OR(Hoja4!I253="Cheque",Hoja4!J253="Cerveza")),"Aprobado","No Aprobado")</f>
        <v>Aprobado</v>
      </c>
    </row>
    <row r="255" spans="19:26" x14ac:dyDescent="0.25">
      <c r="S255" s="2" t="b">
        <f>AND(Hoja4!$P254="abril",Hoja4!$O254="Jue.")</f>
        <v>0</v>
      </c>
      <c r="T255" t="str">
        <f>IF(AND(Hoja4!H254="Empresa de embarque B",Hoja4!I254="Cheque"),"dale","vaaa")</f>
        <v>vaaa</v>
      </c>
      <c r="V255" t="str">
        <f>IF(AND(Hoja4!H254="Empresa de embarque B",Hoja4!I254="Cheque",Hoja4!J254="Cerveza"),"dale","vaaa")</f>
        <v>vaaa</v>
      </c>
      <c r="X255" t="str">
        <f>IF(OR(Hoja4!H254="Empresa de embarque B",Hoja4!I254="Cheque",Hoja4!J254="cerveza"),"dale","vaaa")</f>
        <v>vaaa</v>
      </c>
      <c r="Z255" t="str">
        <f>IF(NOT(OR(Hoja4!I254="Cheque",Hoja4!J254="Cerveza")),"Aprobado","No Aprobado")</f>
        <v>Aprobado</v>
      </c>
    </row>
    <row r="256" spans="19:26" x14ac:dyDescent="0.25">
      <c r="S256" s="2" t="b">
        <f>AND(Hoja4!$P255="abril",Hoja4!$O255="Jue.")</f>
        <v>0</v>
      </c>
      <c r="T256" t="str">
        <f>IF(AND(Hoja4!H255="Empresa de embarque B",Hoja4!I255="Cheque"),"dale","vaaa")</f>
        <v>vaaa</v>
      </c>
      <c r="V256" t="str">
        <f>IF(AND(Hoja4!H255="Empresa de embarque B",Hoja4!I255="Cheque",Hoja4!J255="Cerveza"),"dale","vaaa")</f>
        <v>vaaa</v>
      </c>
      <c r="X256" t="str">
        <f>IF(OR(Hoja4!H255="Empresa de embarque B",Hoja4!I255="Cheque",Hoja4!J255="cerveza"),"dale","vaaa")</f>
        <v>vaaa</v>
      </c>
      <c r="Z256" t="str">
        <f>IF(NOT(OR(Hoja4!I255="Cheque",Hoja4!J255="Cerveza")),"Aprobado","No Aprobado")</f>
        <v>Aprobado</v>
      </c>
    </row>
    <row r="257" spans="19:26" x14ac:dyDescent="0.25">
      <c r="S257" s="2" t="b">
        <f>AND(Hoja4!$P256="abril",Hoja4!$O256="Jue.")</f>
        <v>0</v>
      </c>
      <c r="T257" t="str">
        <f>IF(AND(Hoja4!H256="Empresa de embarque B",Hoja4!I256="Cheque"),"dale","vaaa")</f>
        <v>vaaa</v>
      </c>
      <c r="V257" t="str">
        <f>IF(AND(Hoja4!H256="Empresa de embarque B",Hoja4!I256="Cheque",Hoja4!J256="Cerveza"),"dale","vaaa")</f>
        <v>vaaa</v>
      </c>
      <c r="X257" t="str">
        <f>IF(OR(Hoja4!H256="Empresa de embarque B",Hoja4!I256="Cheque",Hoja4!J256="cerveza"),"dale","vaaa")</f>
        <v>vaaa</v>
      </c>
      <c r="Z257" t="str">
        <f>IF(NOT(OR(Hoja4!I256="Cheque",Hoja4!J256="Cerveza")),"Aprobado","No Aprobado")</f>
        <v>Aprobado</v>
      </c>
    </row>
    <row r="258" spans="19:26" x14ac:dyDescent="0.25">
      <c r="S258" s="2" t="b">
        <f>AND(Hoja4!$P257="abril",Hoja4!$O257="Jue.")</f>
        <v>0</v>
      </c>
      <c r="T258" t="str">
        <f>IF(AND(Hoja4!H257="Empresa de embarque B",Hoja4!I257="Cheque"),"dale","vaaa")</f>
        <v>vaaa</v>
      </c>
      <c r="V258" t="str">
        <f>IF(AND(Hoja4!H257="Empresa de embarque B",Hoja4!I257="Cheque",Hoja4!J257="Cerveza"),"dale","vaaa")</f>
        <v>vaaa</v>
      </c>
      <c r="X258" t="str">
        <f>IF(OR(Hoja4!H257="Empresa de embarque B",Hoja4!I257="Cheque",Hoja4!J257="cerveza"),"dale","vaaa")</f>
        <v>vaaa</v>
      </c>
      <c r="Z258" t="str">
        <f>IF(NOT(OR(Hoja4!I257="Cheque",Hoja4!J257="Cerveza")),"Aprobado","No Aprobado")</f>
        <v>Aprobado</v>
      </c>
    </row>
    <row r="259" spans="19:26" x14ac:dyDescent="0.25">
      <c r="S259" s="2" t="b">
        <f>AND(Hoja4!$P258="abril",Hoja4!$O258="Jue.")</f>
        <v>0</v>
      </c>
      <c r="T259" t="str">
        <f>IF(AND(Hoja4!H258="Empresa de embarque B",Hoja4!I258="Cheque"),"dale","vaaa")</f>
        <v>vaaa</v>
      </c>
      <c r="V259" t="str">
        <f>IF(AND(Hoja4!H258="Empresa de embarque B",Hoja4!I258="Cheque",Hoja4!J258="Cerveza"),"dale","vaaa")</f>
        <v>vaaa</v>
      </c>
      <c r="X259" t="str">
        <f>IF(OR(Hoja4!H258="Empresa de embarque B",Hoja4!I258="Cheque",Hoja4!J258="cerveza"),"dale","vaaa")</f>
        <v>vaaa</v>
      </c>
      <c r="Z259" t="str">
        <f>IF(NOT(OR(Hoja4!I258="Cheque",Hoja4!J258="Cerveza")),"Aprobado","No Aprobado")</f>
        <v>Aprobado</v>
      </c>
    </row>
    <row r="260" spans="19:26" x14ac:dyDescent="0.25">
      <c r="S260" s="2" t="b">
        <f>AND(Hoja4!$P259="abril",Hoja4!$O259="Jue.")</f>
        <v>0</v>
      </c>
      <c r="T260" t="str">
        <f>IF(AND(Hoja4!H259="Empresa de embarque B",Hoja4!I259="Cheque"),"dale","vaaa")</f>
        <v>vaaa</v>
      </c>
      <c r="V260" t="str">
        <f>IF(AND(Hoja4!H259="Empresa de embarque B",Hoja4!I259="Cheque",Hoja4!J259="Cerveza"),"dale","vaaa")</f>
        <v>vaaa</v>
      </c>
      <c r="X260" t="str">
        <f>IF(OR(Hoja4!H259="Empresa de embarque B",Hoja4!I259="Cheque",Hoja4!J259="cerveza"),"dale","vaaa")</f>
        <v>dale</v>
      </c>
      <c r="Z260" t="str">
        <f>IF(NOT(OR(Hoja4!I259="Cheque",Hoja4!J259="Cerveza")),"Aprobado","No Aprobado")</f>
        <v>No Aprobado</v>
      </c>
    </row>
    <row r="261" spans="19:26" x14ac:dyDescent="0.25">
      <c r="S261" s="2" t="b">
        <f>AND(Hoja4!$P260="abril",Hoja4!$O260="Jue.")</f>
        <v>0</v>
      </c>
      <c r="T261" t="str">
        <f>IF(AND(Hoja4!H260="Empresa de embarque B",Hoja4!I260="Cheque"),"dale","vaaa")</f>
        <v>vaaa</v>
      </c>
      <c r="V261" t="str">
        <f>IF(AND(Hoja4!H260="Empresa de embarque B",Hoja4!I260="Cheque",Hoja4!J260="Cerveza"),"dale","vaaa")</f>
        <v>vaaa</v>
      </c>
      <c r="X261" t="str">
        <f>IF(OR(Hoja4!H260="Empresa de embarque B",Hoja4!I260="Cheque",Hoja4!J260="cerveza"),"dale","vaaa")</f>
        <v>dale</v>
      </c>
      <c r="Z261" t="str">
        <f>IF(NOT(OR(Hoja4!I260="Cheque",Hoja4!J260="Cerveza")),"Aprobado","No Aprobado")</f>
        <v>No Aprobado</v>
      </c>
    </row>
    <row r="262" spans="19:26" x14ac:dyDescent="0.25">
      <c r="S262" s="2" t="b">
        <f>AND(Hoja4!$P261="abril",Hoja4!$O261="Jue.")</f>
        <v>0</v>
      </c>
      <c r="T262" t="str">
        <f>IF(AND(Hoja4!H261="Empresa de embarque B",Hoja4!I261="Cheque"),"dale","vaaa")</f>
        <v>vaaa</v>
      </c>
      <c r="V262" t="str">
        <f>IF(AND(Hoja4!H261="Empresa de embarque B",Hoja4!I261="Cheque",Hoja4!J261="Cerveza"),"dale","vaaa")</f>
        <v>vaaa</v>
      </c>
      <c r="X262" t="str">
        <f>IF(OR(Hoja4!H261="Empresa de embarque B",Hoja4!I261="Cheque",Hoja4!J261="cerveza"),"dale","vaaa")</f>
        <v>dale</v>
      </c>
      <c r="Z262" t="str">
        <f>IF(NOT(OR(Hoja4!I261="Cheque",Hoja4!J261="Cerveza")),"Aprobado","No Aprobado")</f>
        <v>No Aprobado</v>
      </c>
    </row>
    <row r="263" spans="19:26" x14ac:dyDescent="0.25">
      <c r="S263" s="2" t="b">
        <f>AND(Hoja4!$P262="abril",Hoja4!$O262="Jue.")</f>
        <v>0</v>
      </c>
      <c r="T263" t="str">
        <f>IF(AND(Hoja4!H262="Empresa de embarque B",Hoja4!I262="Cheque"),"dale","vaaa")</f>
        <v>dale</v>
      </c>
      <c r="V263" t="str">
        <f>IF(AND(Hoja4!H262="Empresa de embarque B",Hoja4!I262="Cheque",Hoja4!J262="Cerveza"),"dale","vaaa")</f>
        <v>vaaa</v>
      </c>
      <c r="X263" t="str">
        <f>IF(OR(Hoja4!H262="Empresa de embarque B",Hoja4!I262="Cheque",Hoja4!J262="cerveza"),"dale","vaaa")</f>
        <v>dale</v>
      </c>
      <c r="Z263" t="str">
        <f>IF(NOT(OR(Hoja4!I262="Cheque",Hoja4!J262="Cerveza")),"Aprobado","No Aprobado")</f>
        <v>No Aprobado</v>
      </c>
    </row>
    <row r="264" spans="19:26" x14ac:dyDescent="0.25">
      <c r="S264" s="2" t="b">
        <f>AND(Hoja4!$P263="abril",Hoja4!$O263="Jue.")</f>
        <v>0</v>
      </c>
      <c r="T264" t="str">
        <f>IF(AND(Hoja4!H263="Empresa de embarque B",Hoja4!I263="Cheque"),"dale","vaaa")</f>
        <v>dale</v>
      </c>
      <c r="V264" t="str">
        <f>IF(AND(Hoja4!H263="Empresa de embarque B",Hoja4!I263="Cheque",Hoja4!J263="Cerveza"),"dale","vaaa")</f>
        <v>vaaa</v>
      </c>
      <c r="X264" t="str">
        <f>IF(OR(Hoja4!H263="Empresa de embarque B",Hoja4!I263="Cheque",Hoja4!J263="cerveza"),"dale","vaaa")</f>
        <v>dale</v>
      </c>
      <c r="Z264" t="str">
        <f>IF(NOT(OR(Hoja4!I263="Cheque",Hoja4!J263="Cerveza")),"Aprobado","No Aprobado")</f>
        <v>No Aprobado</v>
      </c>
    </row>
    <row r="265" spans="19:26" x14ac:dyDescent="0.25">
      <c r="S265" s="2" t="b">
        <f>AND(Hoja4!$P264="abril",Hoja4!$O264="Jue.")</f>
        <v>0</v>
      </c>
      <c r="T265" t="str">
        <f>IF(AND(Hoja4!H264="Empresa de embarque B",Hoja4!I264="Cheque"),"dale","vaaa")</f>
        <v>vaaa</v>
      </c>
      <c r="V265" t="str">
        <f>IF(AND(Hoja4!H264="Empresa de embarque B",Hoja4!I264="Cheque",Hoja4!J264="Cerveza"),"dale","vaaa")</f>
        <v>vaaa</v>
      </c>
      <c r="X265" t="str">
        <f>IF(OR(Hoja4!H264="Empresa de embarque B",Hoja4!I264="Cheque",Hoja4!J264="cerveza"),"dale","vaaa")</f>
        <v>vaaa</v>
      </c>
      <c r="Z265" t="str">
        <f>IF(NOT(OR(Hoja4!I264="Cheque",Hoja4!J264="Cerveza")),"Aprobado","No Aprobado")</f>
        <v>Aprobado</v>
      </c>
    </row>
    <row r="266" spans="19:26" x14ac:dyDescent="0.25">
      <c r="S266" s="2" t="b">
        <f>AND(Hoja4!$P265="abril",Hoja4!$O265="Jue.")</f>
        <v>0</v>
      </c>
      <c r="T266" t="str">
        <f>IF(AND(Hoja4!H265="Empresa de embarque B",Hoja4!I265="Cheque"),"dale","vaaa")</f>
        <v>vaaa</v>
      </c>
      <c r="V266" t="str">
        <f>IF(AND(Hoja4!H265="Empresa de embarque B",Hoja4!I265="Cheque",Hoja4!J265="Cerveza"),"dale","vaaa")</f>
        <v>vaaa</v>
      </c>
      <c r="X266" t="str">
        <f>IF(OR(Hoja4!H265="Empresa de embarque B",Hoja4!I265="Cheque",Hoja4!J265="cerveza"),"dale","vaaa")</f>
        <v>vaaa</v>
      </c>
      <c r="Z266" t="str">
        <f>IF(NOT(OR(Hoja4!I265="Cheque",Hoja4!J265="Cerveza")),"Aprobado","No Aprobado")</f>
        <v>Aprobado</v>
      </c>
    </row>
    <row r="267" spans="19:26" x14ac:dyDescent="0.25">
      <c r="S267" s="2" t="b">
        <f>AND(Hoja4!$P266="abril",Hoja4!$O266="Jue.")</f>
        <v>0</v>
      </c>
      <c r="T267" t="str">
        <f>IF(AND(Hoja4!H266="Empresa de embarque B",Hoja4!I266="Cheque"),"dale","vaaa")</f>
        <v>vaaa</v>
      </c>
      <c r="V267" t="str">
        <f>IF(AND(Hoja4!H266="Empresa de embarque B",Hoja4!I266="Cheque",Hoja4!J266="Cerveza"),"dale","vaaa")</f>
        <v>vaaa</v>
      </c>
      <c r="X267" t="str">
        <f>IF(OR(Hoja4!H266="Empresa de embarque B",Hoja4!I266="Cheque",Hoja4!J266="cerveza"),"dale","vaaa")</f>
        <v>vaaa</v>
      </c>
      <c r="Z267" t="str">
        <f>IF(NOT(OR(Hoja4!I266="Cheque",Hoja4!J266="Cerveza")),"Aprobado","No Aprobado")</f>
        <v>Aprobado</v>
      </c>
    </row>
    <row r="268" spans="19:26" x14ac:dyDescent="0.25">
      <c r="S268" s="2" t="b">
        <f>AND(Hoja4!$P267="abril",Hoja4!$O267="Jue.")</f>
        <v>0</v>
      </c>
      <c r="T268" t="str">
        <f>IF(AND(Hoja4!H267="Empresa de embarque B",Hoja4!I267="Cheque"),"dale","vaaa")</f>
        <v>vaaa</v>
      </c>
      <c r="V268" t="str">
        <f>IF(AND(Hoja4!H267="Empresa de embarque B",Hoja4!I267="Cheque",Hoja4!J267="Cerveza"),"dale","vaaa")</f>
        <v>vaaa</v>
      </c>
      <c r="X268" t="str">
        <f>IF(OR(Hoja4!H267="Empresa de embarque B",Hoja4!I267="Cheque",Hoja4!J267="cerveza"),"dale","vaaa")</f>
        <v>vaaa</v>
      </c>
      <c r="Z268" t="str">
        <f>IF(NOT(OR(Hoja4!I267="Cheque",Hoja4!J267="Cerveza")),"Aprobado","No Aprobado")</f>
        <v>Aprobado</v>
      </c>
    </row>
    <row r="269" spans="19:26" x14ac:dyDescent="0.25">
      <c r="S269" s="2" t="b">
        <f>AND(Hoja4!$P268="abril",Hoja4!$O268="Jue.")</f>
        <v>0</v>
      </c>
      <c r="T269" t="str">
        <f>IF(AND(Hoja4!H268="Empresa de embarque B",Hoja4!I268="Cheque"),"dale","vaaa")</f>
        <v>dale</v>
      </c>
      <c r="V269" t="str">
        <f>IF(AND(Hoja4!H268="Empresa de embarque B",Hoja4!I268="Cheque",Hoja4!J268="Cerveza"),"dale","vaaa")</f>
        <v>dale</v>
      </c>
      <c r="X269" t="str">
        <f>IF(OR(Hoja4!H268="Empresa de embarque B",Hoja4!I268="Cheque",Hoja4!J268="cerveza"),"dale","vaaa")</f>
        <v>dale</v>
      </c>
      <c r="Z269" t="str">
        <f>IF(NOT(OR(Hoja4!I268="Cheque",Hoja4!J268="Cerveza")),"Aprobado","No Aprobado")</f>
        <v>No Aprobado</v>
      </c>
    </row>
    <row r="270" spans="19:26" x14ac:dyDescent="0.25">
      <c r="S270" s="2" t="b">
        <f>AND(Hoja4!$P269="abril",Hoja4!$O269="Jue.")</f>
        <v>0</v>
      </c>
      <c r="T270" t="str">
        <f>IF(AND(Hoja4!H269="Empresa de embarque B",Hoja4!I269="Cheque"),"dale","vaaa")</f>
        <v>vaaa</v>
      </c>
      <c r="V270" t="str">
        <f>IF(AND(Hoja4!H269="Empresa de embarque B",Hoja4!I269="Cheque",Hoja4!J269="Cerveza"),"dale","vaaa")</f>
        <v>vaaa</v>
      </c>
      <c r="X270" t="str">
        <f>IF(OR(Hoja4!H269="Empresa de embarque B",Hoja4!I269="Cheque",Hoja4!J269="cerveza"),"dale","vaaa")</f>
        <v>dale</v>
      </c>
      <c r="Z270" t="str">
        <f>IF(NOT(OR(Hoja4!I269="Cheque",Hoja4!J269="Cerveza")),"Aprobado","No Aprobado")</f>
        <v>No Aprobado</v>
      </c>
    </row>
    <row r="271" spans="19:26" x14ac:dyDescent="0.25">
      <c r="S271" s="2" t="b">
        <f>AND(Hoja4!$P270="abril",Hoja4!$O270="Jue.")</f>
        <v>0</v>
      </c>
      <c r="T271" t="str">
        <f>IF(AND(Hoja4!H270="Empresa de embarque B",Hoja4!I270="Cheque"),"dale","vaaa")</f>
        <v>vaaa</v>
      </c>
      <c r="V271" t="str">
        <f>IF(AND(Hoja4!H270="Empresa de embarque B",Hoja4!I270="Cheque",Hoja4!J270="Cerveza"),"dale","vaaa")</f>
        <v>vaaa</v>
      </c>
      <c r="X271" t="str">
        <f>IF(OR(Hoja4!H270="Empresa de embarque B",Hoja4!I270="Cheque",Hoja4!J270="cerveza"),"dale","vaaa")</f>
        <v>vaaa</v>
      </c>
      <c r="Z271" t="str">
        <f>IF(NOT(OR(Hoja4!I270="Cheque",Hoja4!J270="Cerveza")),"Aprobado","No Aprobado")</f>
        <v>Aprobado</v>
      </c>
    </row>
    <row r="272" spans="19:26" x14ac:dyDescent="0.25">
      <c r="S272" s="2" t="b">
        <f>AND(Hoja4!$P271="abril",Hoja4!$O271="Jue.")</f>
        <v>0</v>
      </c>
      <c r="T272" t="str">
        <f>IF(AND(Hoja4!H271="Empresa de embarque B",Hoja4!I271="Cheque"),"dale","vaaa")</f>
        <v>vaaa</v>
      </c>
      <c r="V272" t="str">
        <f>IF(AND(Hoja4!H271="Empresa de embarque B",Hoja4!I271="Cheque",Hoja4!J271="Cerveza"),"dale","vaaa")</f>
        <v>vaaa</v>
      </c>
      <c r="X272" t="str">
        <f>IF(OR(Hoja4!H271="Empresa de embarque B",Hoja4!I271="Cheque",Hoja4!J271="cerveza"),"dale","vaaa")</f>
        <v>vaaa</v>
      </c>
      <c r="Z272" t="str">
        <f>IF(NOT(OR(Hoja4!I271="Cheque",Hoja4!J271="Cerveza")),"Aprobado","No Aprobado")</f>
        <v>Aprobado</v>
      </c>
    </row>
    <row r="273" spans="19:26" x14ac:dyDescent="0.25">
      <c r="S273" s="2" t="b">
        <f>AND(Hoja4!$P272="abril",Hoja4!$O272="Jue.")</f>
        <v>0</v>
      </c>
      <c r="T273" t="str">
        <f>IF(AND(Hoja4!H272="Empresa de embarque B",Hoja4!I272="Cheque"),"dale","vaaa")</f>
        <v>vaaa</v>
      </c>
      <c r="V273" t="str">
        <f>IF(AND(Hoja4!H272="Empresa de embarque B",Hoja4!I272="Cheque",Hoja4!J272="Cerveza"),"dale","vaaa")</f>
        <v>vaaa</v>
      </c>
      <c r="X273" t="str">
        <f>IF(OR(Hoja4!H272="Empresa de embarque B",Hoja4!I272="Cheque",Hoja4!J272="cerveza"),"dale","vaaa")</f>
        <v>vaaa</v>
      </c>
      <c r="Z273" t="str">
        <f>IF(NOT(OR(Hoja4!I272="Cheque",Hoja4!J272="Cerveza")),"Aprobado","No Aprobado")</f>
        <v>Aprobado</v>
      </c>
    </row>
    <row r="274" spans="19:26" x14ac:dyDescent="0.25">
      <c r="S274" s="2" t="b">
        <f>AND(Hoja4!$P273="abril",Hoja4!$O273="Jue.")</f>
        <v>0</v>
      </c>
      <c r="T274" t="str">
        <f>IF(AND(Hoja4!H273="Empresa de embarque B",Hoja4!I273="Cheque"),"dale","vaaa")</f>
        <v>vaaa</v>
      </c>
      <c r="V274" t="str">
        <f>IF(AND(Hoja4!H273="Empresa de embarque B",Hoja4!I273="Cheque",Hoja4!J273="Cerveza"),"dale","vaaa")</f>
        <v>vaaa</v>
      </c>
      <c r="X274" t="str">
        <f>IF(OR(Hoja4!H273="Empresa de embarque B",Hoja4!I273="Cheque",Hoja4!J273="cerveza"),"dale","vaaa")</f>
        <v>dale</v>
      </c>
      <c r="Z274" t="str">
        <f>IF(NOT(OR(Hoja4!I273="Cheque",Hoja4!J273="Cerveza")),"Aprobado","No Aprobado")</f>
        <v>Aprobado</v>
      </c>
    </row>
    <row r="275" spans="19:26" x14ac:dyDescent="0.25">
      <c r="S275" s="2" t="b">
        <f>AND(Hoja4!$P274="abril",Hoja4!$O274="Jue.")</f>
        <v>0</v>
      </c>
      <c r="T275" t="str">
        <f>IF(AND(Hoja4!H274="Empresa de embarque B",Hoja4!I274="Cheque"),"dale","vaaa")</f>
        <v>vaaa</v>
      </c>
      <c r="V275" t="str">
        <f>IF(AND(Hoja4!H274="Empresa de embarque B",Hoja4!I274="Cheque",Hoja4!J274="Cerveza"),"dale","vaaa")</f>
        <v>vaaa</v>
      </c>
      <c r="X275" t="str">
        <f>IF(OR(Hoja4!H274="Empresa de embarque B",Hoja4!I274="Cheque",Hoja4!J274="cerveza"),"dale","vaaa")</f>
        <v>dale</v>
      </c>
      <c r="Z275" t="str">
        <f>IF(NOT(OR(Hoja4!I274="Cheque",Hoja4!J274="Cerveza")),"Aprobado","No Aprobado")</f>
        <v>Aprobado</v>
      </c>
    </row>
    <row r="276" spans="19:26" x14ac:dyDescent="0.25">
      <c r="S276" s="2" t="b">
        <f>AND(Hoja4!$P275="abril",Hoja4!$O275="Jue.")</f>
        <v>0</v>
      </c>
      <c r="T276" t="str">
        <f>IF(AND(Hoja4!H275="Empresa de embarque B",Hoja4!I275="Cheque"),"dale","vaaa")</f>
        <v>vaaa</v>
      </c>
      <c r="V276" t="str">
        <f>IF(AND(Hoja4!H275="Empresa de embarque B",Hoja4!I275="Cheque",Hoja4!J275="Cerveza"),"dale","vaaa")</f>
        <v>vaaa</v>
      </c>
      <c r="X276" t="str">
        <f>IF(OR(Hoja4!H275="Empresa de embarque B",Hoja4!I275="Cheque",Hoja4!J275="cerveza"),"dale","vaaa")</f>
        <v>dale</v>
      </c>
      <c r="Z276" t="str">
        <f>IF(NOT(OR(Hoja4!I275="Cheque",Hoja4!J275="Cerveza")),"Aprobado","No Aprobado")</f>
        <v>Aprobado</v>
      </c>
    </row>
    <row r="277" spans="19:26" x14ac:dyDescent="0.25">
      <c r="S277" s="2" t="b">
        <f>AND(Hoja4!$P276="abril",Hoja4!$O276="Jue.")</f>
        <v>0</v>
      </c>
      <c r="T277" t="str">
        <f>IF(AND(Hoja4!H276="Empresa de embarque B",Hoja4!I276="Cheque"),"dale","vaaa")</f>
        <v>vaaa</v>
      </c>
      <c r="V277" t="str">
        <f>IF(AND(Hoja4!H276="Empresa de embarque B",Hoja4!I276="Cheque",Hoja4!J276="Cerveza"),"dale","vaaa")</f>
        <v>vaaa</v>
      </c>
      <c r="X277" t="str">
        <f>IF(OR(Hoja4!H276="Empresa de embarque B",Hoja4!I276="Cheque",Hoja4!J276="cerveza"),"dale","vaaa")</f>
        <v>vaaa</v>
      </c>
      <c r="Z277" t="str">
        <f>IF(NOT(OR(Hoja4!I276="Cheque",Hoja4!J276="Cerveza")),"Aprobado","No Aprobado")</f>
        <v>Aprobado</v>
      </c>
    </row>
    <row r="278" spans="19:26" x14ac:dyDescent="0.25">
      <c r="S278" s="2" t="b">
        <f>AND(Hoja4!$P277="abril",Hoja4!$O277="Jue.")</f>
        <v>0</v>
      </c>
      <c r="T278" t="str">
        <f>IF(AND(Hoja4!H277="Empresa de embarque B",Hoja4!I277="Cheque"),"dale","vaaa")</f>
        <v>vaaa</v>
      </c>
      <c r="V278" t="str">
        <f>IF(AND(Hoja4!H277="Empresa de embarque B",Hoja4!I277="Cheque",Hoja4!J277="Cerveza"),"dale","vaaa")</f>
        <v>vaaa</v>
      </c>
      <c r="X278" t="str">
        <f>IF(OR(Hoja4!H277="Empresa de embarque B",Hoja4!I277="Cheque",Hoja4!J277="cerveza"),"dale","vaaa")</f>
        <v>vaaa</v>
      </c>
      <c r="Z278" t="str">
        <f>IF(NOT(OR(Hoja4!I277="Cheque",Hoja4!J277="Cerveza")),"Aprobado","No Aprobado")</f>
        <v>Aprobado</v>
      </c>
    </row>
    <row r="279" spans="19:26" x14ac:dyDescent="0.25">
      <c r="S279" s="2" t="b">
        <f>AND(Hoja4!$P278="abril",Hoja4!$O278="Jue.")</f>
        <v>0</v>
      </c>
      <c r="T279" t="str">
        <f>IF(AND(Hoja4!H278="Empresa de embarque B",Hoja4!I278="Cheque"),"dale","vaaa")</f>
        <v>vaaa</v>
      </c>
      <c r="V279" t="str">
        <f>IF(AND(Hoja4!H278="Empresa de embarque B",Hoja4!I278="Cheque",Hoja4!J278="Cerveza"),"dale","vaaa")</f>
        <v>vaaa</v>
      </c>
      <c r="X279" t="str">
        <f>IF(OR(Hoja4!H278="Empresa de embarque B",Hoja4!I278="Cheque",Hoja4!J278="cerveza"),"dale","vaaa")</f>
        <v>vaaa</v>
      </c>
      <c r="Z279" t="str">
        <f>IF(NOT(OR(Hoja4!I278="Cheque",Hoja4!J278="Cerveza")),"Aprobado","No Aprobado")</f>
        <v>Aprobado</v>
      </c>
    </row>
    <row r="280" spans="19:26" x14ac:dyDescent="0.25">
      <c r="S280" s="2" t="b">
        <f>AND(Hoja4!$P279="abril",Hoja4!$O279="Jue.")</f>
        <v>0</v>
      </c>
      <c r="T280" t="str">
        <f>IF(AND(Hoja4!H279="Empresa de embarque B",Hoja4!I279="Cheque"),"dale","vaaa")</f>
        <v>vaaa</v>
      </c>
      <c r="V280" t="str">
        <f>IF(AND(Hoja4!H279="Empresa de embarque B",Hoja4!I279="Cheque",Hoja4!J279="Cerveza"),"dale","vaaa")</f>
        <v>vaaa</v>
      </c>
      <c r="X280" t="str">
        <f>IF(OR(Hoja4!H279="Empresa de embarque B",Hoja4!I279="Cheque",Hoja4!J279="cerveza"),"dale","vaaa")</f>
        <v>vaaa</v>
      </c>
      <c r="Z280" t="str">
        <f>IF(NOT(OR(Hoja4!I279="Cheque",Hoja4!J279="Cerveza")),"Aprobado","No Aprobado")</f>
        <v>Aprobado</v>
      </c>
    </row>
    <row r="281" spans="19:26" x14ac:dyDescent="0.25">
      <c r="S281" s="2" t="b">
        <f>AND(Hoja4!$P280="abril",Hoja4!$O280="Jue.")</f>
        <v>0</v>
      </c>
      <c r="T281" t="str">
        <f>IF(AND(Hoja4!H280="Empresa de embarque B",Hoja4!I280="Cheque"),"dale","vaaa")</f>
        <v>vaaa</v>
      </c>
      <c r="V281" t="str">
        <f>IF(AND(Hoja4!H280="Empresa de embarque B",Hoja4!I280="Cheque",Hoja4!J280="Cerveza"),"dale","vaaa")</f>
        <v>vaaa</v>
      </c>
      <c r="X281" t="str">
        <f>IF(OR(Hoja4!H280="Empresa de embarque B",Hoja4!I280="Cheque",Hoja4!J280="cerveza"),"dale","vaaa")</f>
        <v>dale</v>
      </c>
      <c r="Z281" t="str">
        <f>IF(NOT(OR(Hoja4!I280="Cheque",Hoja4!J280="Cerveza")),"Aprobado","No Aprobado")</f>
        <v>No Aprobado</v>
      </c>
    </row>
    <row r="282" spans="19:26" x14ac:dyDescent="0.25">
      <c r="S282" s="2" t="b">
        <f>AND(Hoja4!$P281="abril",Hoja4!$O281="Jue.")</f>
        <v>0</v>
      </c>
      <c r="T282" t="str">
        <f>IF(AND(Hoja4!H281="Empresa de embarque B",Hoja4!I281="Cheque"),"dale","vaaa")</f>
        <v>vaaa</v>
      </c>
      <c r="V282" t="str">
        <f>IF(AND(Hoja4!H281="Empresa de embarque B",Hoja4!I281="Cheque",Hoja4!J281="Cerveza"),"dale","vaaa")</f>
        <v>vaaa</v>
      </c>
      <c r="X282" t="str">
        <f>IF(OR(Hoja4!H281="Empresa de embarque B",Hoja4!I281="Cheque",Hoja4!J281="cerveza"),"dale","vaaa")</f>
        <v>dale</v>
      </c>
      <c r="Z282" t="str">
        <f>IF(NOT(OR(Hoja4!I281="Cheque",Hoja4!J281="Cerveza")),"Aprobado","No Aprobado")</f>
        <v>Aprobado</v>
      </c>
    </row>
    <row r="283" spans="19:26" x14ac:dyDescent="0.25">
      <c r="S283" s="2" t="b">
        <f>AND(Hoja4!$P282="abril",Hoja4!$O282="Jue.")</f>
        <v>0</v>
      </c>
      <c r="T283" t="str">
        <f>IF(AND(Hoja4!H282="Empresa de embarque B",Hoja4!I282="Cheque"),"dale","vaaa")</f>
        <v>dale</v>
      </c>
      <c r="V283" t="str">
        <f>IF(AND(Hoja4!H282="Empresa de embarque B",Hoja4!I282="Cheque",Hoja4!J282="Cerveza"),"dale","vaaa")</f>
        <v>vaaa</v>
      </c>
      <c r="X283" t="str">
        <f>IF(OR(Hoja4!H282="Empresa de embarque B",Hoja4!I282="Cheque",Hoja4!J282="cerveza"),"dale","vaaa")</f>
        <v>dale</v>
      </c>
      <c r="Z283" t="str">
        <f>IF(NOT(OR(Hoja4!I282="Cheque",Hoja4!J282="Cerveza")),"Aprobado","No Aprobado")</f>
        <v>No Aprobado</v>
      </c>
    </row>
    <row r="284" spans="19:26" x14ac:dyDescent="0.25">
      <c r="S284" s="2" t="b">
        <f>AND(Hoja4!$P283="abril",Hoja4!$O283="Jue.")</f>
        <v>0</v>
      </c>
      <c r="T284" t="str">
        <f>IF(AND(Hoja4!H283="Empresa de embarque B",Hoja4!I283="Cheque"),"dale","vaaa")</f>
        <v>vaaa</v>
      </c>
      <c r="V284" t="str">
        <f>IF(AND(Hoja4!H283="Empresa de embarque B",Hoja4!I283="Cheque",Hoja4!J283="Cerveza"),"dale","vaaa")</f>
        <v>vaaa</v>
      </c>
      <c r="X284" t="str">
        <f>IF(OR(Hoja4!H283="Empresa de embarque B",Hoja4!I283="Cheque",Hoja4!J283="cerveza"),"dale","vaaa")</f>
        <v>vaaa</v>
      </c>
      <c r="Z284" t="str">
        <f>IF(NOT(OR(Hoja4!I283="Cheque",Hoja4!J283="Cerveza")),"Aprobado","No Aprobado")</f>
        <v>Aprobado</v>
      </c>
    </row>
    <row r="285" spans="19:26" x14ac:dyDescent="0.25">
      <c r="S285" s="2" t="b">
        <f>AND(Hoja4!$P284="abril",Hoja4!$O284="Jue.")</f>
        <v>0</v>
      </c>
      <c r="T285" t="str">
        <f>IF(AND(Hoja4!H284="Empresa de embarque B",Hoja4!I284="Cheque"),"dale","vaaa")</f>
        <v>vaaa</v>
      </c>
      <c r="V285" t="str">
        <f>IF(AND(Hoja4!H284="Empresa de embarque B",Hoja4!I284="Cheque",Hoja4!J284="Cerveza"),"dale","vaaa")</f>
        <v>vaaa</v>
      </c>
      <c r="X285" t="str">
        <f>IF(OR(Hoja4!H284="Empresa de embarque B",Hoja4!I284="Cheque",Hoja4!J284="cerveza"),"dale","vaaa")</f>
        <v>vaaa</v>
      </c>
      <c r="Z285" t="str">
        <f>IF(NOT(OR(Hoja4!I284="Cheque",Hoja4!J284="Cerveza")),"Aprobado","No Aprobado")</f>
        <v>Aprobado</v>
      </c>
    </row>
    <row r="286" spans="19:26" x14ac:dyDescent="0.25">
      <c r="S286" s="2" t="b">
        <f>AND(Hoja4!$P285="abril",Hoja4!$O285="Jue.")</f>
        <v>0</v>
      </c>
      <c r="T286" t="str">
        <f>IF(AND(Hoja4!H285="Empresa de embarque B",Hoja4!I285="Cheque"),"dale","vaaa")</f>
        <v>vaaa</v>
      </c>
      <c r="V286" t="str">
        <f>IF(AND(Hoja4!H285="Empresa de embarque B",Hoja4!I285="Cheque",Hoja4!J285="Cerveza"),"dale","vaaa")</f>
        <v>vaaa</v>
      </c>
      <c r="X286" t="str">
        <f>IF(OR(Hoja4!H285="Empresa de embarque B",Hoja4!I285="Cheque",Hoja4!J285="cerveza"),"dale","vaaa")</f>
        <v>vaaa</v>
      </c>
      <c r="Z286" t="str">
        <f>IF(NOT(OR(Hoja4!I285="Cheque",Hoja4!J285="Cerveza")),"Aprobado","No Aprobado")</f>
        <v>Aprobado</v>
      </c>
    </row>
    <row r="287" spans="19:26" x14ac:dyDescent="0.25">
      <c r="S287" s="2" t="b">
        <f>AND(Hoja4!$P286="abril",Hoja4!$O286="Jue.")</f>
        <v>0</v>
      </c>
      <c r="T287" t="str">
        <f>IF(AND(Hoja4!H286="Empresa de embarque B",Hoja4!I286="Cheque"),"dale","vaaa")</f>
        <v>vaaa</v>
      </c>
      <c r="V287" t="str">
        <f>IF(AND(Hoja4!H286="Empresa de embarque B",Hoja4!I286="Cheque",Hoja4!J286="Cerveza"),"dale","vaaa")</f>
        <v>vaaa</v>
      </c>
      <c r="X287" t="str">
        <f>IF(OR(Hoja4!H286="Empresa de embarque B",Hoja4!I286="Cheque",Hoja4!J286="cerveza"),"dale","vaaa")</f>
        <v>vaaa</v>
      </c>
      <c r="Z287" t="str">
        <f>IF(NOT(OR(Hoja4!I286="Cheque",Hoja4!J286="Cerveza")),"Aprobado","No Aprobado")</f>
        <v>Aprobado</v>
      </c>
    </row>
    <row r="288" spans="19:26" x14ac:dyDescent="0.25">
      <c r="S288" s="2" t="b">
        <f>AND(Hoja4!$P287="abril",Hoja4!$O287="Jue.")</f>
        <v>0</v>
      </c>
      <c r="T288" t="str">
        <f>IF(AND(Hoja4!H287="Empresa de embarque B",Hoja4!I287="Cheque"),"dale","vaaa")</f>
        <v>vaaa</v>
      </c>
      <c r="V288" t="str">
        <f>IF(AND(Hoja4!H287="Empresa de embarque B",Hoja4!I287="Cheque",Hoja4!J287="Cerveza"),"dale","vaaa")</f>
        <v>vaaa</v>
      </c>
      <c r="X288" t="str">
        <f>IF(OR(Hoja4!H287="Empresa de embarque B",Hoja4!I287="Cheque",Hoja4!J287="cerveza"),"dale","vaaa")</f>
        <v>vaaa</v>
      </c>
      <c r="Z288" t="str">
        <f>IF(NOT(OR(Hoja4!I287="Cheque",Hoja4!J287="Cerveza")),"Aprobado","No Aprobado")</f>
        <v>Aprobado</v>
      </c>
    </row>
    <row r="289" spans="19:26" x14ac:dyDescent="0.25">
      <c r="S289" s="2" t="b">
        <f>AND(Hoja4!$P288="abril",Hoja4!$O288="Jue.")</f>
        <v>0</v>
      </c>
      <c r="T289" t="str">
        <f>IF(AND(Hoja4!H288="Empresa de embarque B",Hoja4!I288="Cheque"),"dale","vaaa")</f>
        <v>vaaa</v>
      </c>
      <c r="V289" t="str">
        <f>IF(AND(Hoja4!H288="Empresa de embarque B",Hoja4!I288="Cheque",Hoja4!J288="Cerveza"),"dale","vaaa")</f>
        <v>vaaa</v>
      </c>
      <c r="X289" t="str">
        <f>IF(OR(Hoja4!H288="Empresa de embarque B",Hoja4!I288="Cheque",Hoja4!J288="cerveza"),"dale","vaaa")</f>
        <v>vaaa</v>
      </c>
      <c r="Z289" t="str">
        <f>IF(NOT(OR(Hoja4!I288="Cheque",Hoja4!J288="Cerveza")),"Aprobado","No Aprobado")</f>
        <v>Aprobado</v>
      </c>
    </row>
    <row r="290" spans="19:26" x14ac:dyDescent="0.25">
      <c r="S290" s="2" t="b">
        <f>AND(Hoja4!$P289="abril",Hoja4!$O289="Jue.")</f>
        <v>0</v>
      </c>
      <c r="T290" t="str">
        <f>IF(AND(Hoja4!H289="Empresa de embarque B",Hoja4!I289="Cheque"),"dale","vaaa")</f>
        <v>vaaa</v>
      </c>
      <c r="V290" t="str">
        <f>IF(AND(Hoja4!H289="Empresa de embarque B",Hoja4!I289="Cheque",Hoja4!J289="Cerveza"),"dale","vaaa")</f>
        <v>vaaa</v>
      </c>
      <c r="X290" t="str">
        <f>IF(OR(Hoja4!H289="Empresa de embarque B",Hoja4!I289="Cheque",Hoja4!J289="cerveza"),"dale","vaaa")</f>
        <v>vaaa</v>
      </c>
      <c r="Z290" t="str">
        <f>IF(NOT(OR(Hoja4!I289="Cheque",Hoja4!J289="Cerveza")),"Aprobado","No Aprobado")</f>
        <v>Aprobado</v>
      </c>
    </row>
    <row r="291" spans="19:26" x14ac:dyDescent="0.25">
      <c r="S291" s="2" t="b">
        <f>AND(Hoja4!$P290="abril",Hoja4!$O290="Jue.")</f>
        <v>0</v>
      </c>
      <c r="T291" t="str">
        <f>IF(AND(Hoja4!H290="Empresa de embarque B",Hoja4!I290="Cheque"),"dale","vaaa")</f>
        <v>vaaa</v>
      </c>
      <c r="V291" t="str">
        <f>IF(AND(Hoja4!H290="Empresa de embarque B",Hoja4!I290="Cheque",Hoja4!J290="Cerveza"),"dale","vaaa")</f>
        <v>vaaa</v>
      </c>
      <c r="X291" t="str">
        <f>IF(OR(Hoja4!H290="Empresa de embarque B",Hoja4!I290="Cheque",Hoja4!J290="cerveza"),"dale","vaaa")</f>
        <v>vaaa</v>
      </c>
      <c r="Z291" t="str">
        <f>IF(NOT(OR(Hoja4!I290="Cheque",Hoja4!J290="Cerveza")),"Aprobado","No Aprobado")</f>
        <v>Aprobado</v>
      </c>
    </row>
    <row r="292" spans="19:26" x14ac:dyDescent="0.25">
      <c r="S292" s="2" t="b">
        <f>AND(Hoja4!$P291="abril",Hoja4!$O291="Jue.")</f>
        <v>0</v>
      </c>
      <c r="T292" t="str">
        <f>IF(AND(Hoja4!H291="Empresa de embarque B",Hoja4!I291="Cheque"),"dale","vaaa")</f>
        <v>vaaa</v>
      </c>
      <c r="V292" t="str">
        <f>IF(AND(Hoja4!H291="Empresa de embarque B",Hoja4!I291="Cheque",Hoja4!J291="Cerveza"),"dale","vaaa")</f>
        <v>vaaa</v>
      </c>
      <c r="X292" t="str">
        <f>IF(OR(Hoja4!H291="Empresa de embarque B",Hoja4!I291="Cheque",Hoja4!J291="cerveza"),"dale","vaaa")</f>
        <v>vaaa</v>
      </c>
      <c r="Z292" t="str">
        <f>IF(NOT(OR(Hoja4!I291="Cheque",Hoja4!J291="Cerveza")),"Aprobado","No Aprobado")</f>
        <v>Aprobado</v>
      </c>
    </row>
    <row r="293" spans="19:26" x14ac:dyDescent="0.25">
      <c r="S293" s="2" t="b">
        <f>AND(Hoja4!$P292="abril",Hoja4!$O292="Jue.")</f>
        <v>0</v>
      </c>
      <c r="T293" t="str">
        <f>IF(AND(Hoja4!H292="Empresa de embarque B",Hoja4!I292="Cheque"),"dale","vaaa")</f>
        <v>vaaa</v>
      </c>
      <c r="V293" t="str">
        <f>IF(AND(Hoja4!H292="Empresa de embarque B",Hoja4!I292="Cheque",Hoja4!J292="Cerveza"),"dale","vaaa")</f>
        <v>vaaa</v>
      </c>
      <c r="X293" t="str">
        <f>IF(OR(Hoja4!H292="Empresa de embarque B",Hoja4!I292="Cheque",Hoja4!J292="cerveza"),"dale","vaaa")</f>
        <v>dale</v>
      </c>
      <c r="Z293" t="str">
        <f>IF(NOT(OR(Hoja4!I292="Cheque",Hoja4!J292="Cerveza")),"Aprobado","No Aprobado")</f>
        <v>No Aprobado</v>
      </c>
    </row>
    <row r="294" spans="19:26" x14ac:dyDescent="0.25">
      <c r="S294" s="2" t="b">
        <f>AND(Hoja4!$P293="abril",Hoja4!$O293="Jue.")</f>
        <v>1</v>
      </c>
      <c r="T294" t="str">
        <f>IF(AND(Hoja4!H293="Empresa de embarque B",Hoja4!I293="Cheque"),"dale","vaaa")</f>
        <v>vaaa</v>
      </c>
      <c r="V294" t="str">
        <f>IF(AND(Hoja4!H293="Empresa de embarque B",Hoja4!I293="Cheque",Hoja4!J293="Cerveza"),"dale","vaaa")</f>
        <v>vaaa</v>
      </c>
      <c r="X294" t="str">
        <f>IF(OR(Hoja4!H293="Empresa de embarque B",Hoja4!I293="Cheque",Hoja4!J293="cerveza"),"dale","vaaa")</f>
        <v>dale</v>
      </c>
      <c r="Z294" t="str">
        <f>IF(NOT(OR(Hoja4!I293="Cheque",Hoja4!J293="Cerveza")),"Aprobado","No Aprobado")</f>
        <v>No Aprobado</v>
      </c>
    </row>
    <row r="295" spans="19:26" x14ac:dyDescent="0.25">
      <c r="S295" s="2" t="b">
        <f>AND(Hoja4!$P294="abril",Hoja4!$O294="Jue.")</f>
        <v>0</v>
      </c>
      <c r="T295" t="str">
        <f>IF(AND(Hoja4!H294="Empresa de embarque B",Hoja4!I294="Cheque"),"dale","vaaa")</f>
        <v>vaaa</v>
      </c>
      <c r="V295" t="str">
        <f>IF(AND(Hoja4!H294="Empresa de embarque B",Hoja4!I294="Cheque",Hoja4!J294="Cerveza"),"dale","vaaa")</f>
        <v>vaaa</v>
      </c>
      <c r="X295" t="str">
        <f>IF(OR(Hoja4!H294="Empresa de embarque B",Hoja4!I294="Cheque",Hoja4!J294="cerveza"),"dale","vaaa")</f>
        <v>dale</v>
      </c>
      <c r="Z295" t="str">
        <f>IF(NOT(OR(Hoja4!I294="Cheque",Hoja4!J294="Cerveza")),"Aprobado","No Aprobado")</f>
        <v>No Aprobado</v>
      </c>
    </row>
    <row r="296" spans="19:26" x14ac:dyDescent="0.25">
      <c r="S296" s="2" t="b">
        <f>AND(Hoja4!$P295="abril",Hoja4!$O295="Jue.")</f>
        <v>0</v>
      </c>
      <c r="T296" t="str">
        <f>IF(AND(Hoja4!H295="Empresa de embarque B",Hoja4!I295="Cheque"),"dale","vaaa")</f>
        <v>dale</v>
      </c>
      <c r="V296" t="str">
        <f>IF(AND(Hoja4!H295="Empresa de embarque B",Hoja4!I295="Cheque",Hoja4!J295="Cerveza"),"dale","vaaa")</f>
        <v>vaaa</v>
      </c>
      <c r="X296" t="str">
        <f>IF(OR(Hoja4!H295="Empresa de embarque B",Hoja4!I295="Cheque",Hoja4!J295="cerveza"),"dale","vaaa")</f>
        <v>dale</v>
      </c>
      <c r="Z296" t="str">
        <f>IF(NOT(OR(Hoja4!I295="Cheque",Hoja4!J295="Cerveza")),"Aprobado","No Aprobado")</f>
        <v>No Aprobado</v>
      </c>
    </row>
    <row r="297" spans="19:26" x14ac:dyDescent="0.25">
      <c r="S297" s="2" t="b">
        <f>AND(Hoja4!$P296="abril",Hoja4!$O296="Jue.")</f>
        <v>0</v>
      </c>
      <c r="T297" t="str">
        <f>IF(AND(Hoja4!H296="Empresa de embarque B",Hoja4!I296="Cheque"),"dale","vaaa")</f>
        <v>dale</v>
      </c>
      <c r="V297" t="str">
        <f>IF(AND(Hoja4!H296="Empresa de embarque B",Hoja4!I296="Cheque",Hoja4!J296="Cerveza"),"dale","vaaa")</f>
        <v>vaaa</v>
      </c>
      <c r="X297" t="str">
        <f>IF(OR(Hoja4!H296="Empresa de embarque B",Hoja4!I296="Cheque",Hoja4!J296="cerveza"),"dale","vaaa")</f>
        <v>dale</v>
      </c>
      <c r="Z297" t="str">
        <f>IF(NOT(OR(Hoja4!I296="Cheque",Hoja4!J296="Cerveza")),"Aprobado","No Aprobado")</f>
        <v>No Aprobado</v>
      </c>
    </row>
    <row r="298" spans="19:26" x14ac:dyDescent="0.25">
      <c r="S298" s="2" t="b">
        <f>AND(Hoja4!$P297="abril",Hoja4!$O297="Jue.")</f>
        <v>0</v>
      </c>
      <c r="T298" t="str">
        <f>IF(AND(Hoja4!H297="Empresa de embarque B",Hoja4!I297="Cheque"),"dale","vaaa")</f>
        <v>vaaa</v>
      </c>
      <c r="V298" t="str">
        <f>IF(AND(Hoja4!H297="Empresa de embarque B",Hoja4!I297="Cheque",Hoja4!J297="Cerveza"),"dale","vaaa")</f>
        <v>vaaa</v>
      </c>
      <c r="X298" t="str">
        <f>IF(OR(Hoja4!H297="Empresa de embarque B",Hoja4!I297="Cheque",Hoja4!J297="cerveza"),"dale","vaaa")</f>
        <v>vaaa</v>
      </c>
      <c r="Z298" t="str">
        <f>IF(NOT(OR(Hoja4!I297="Cheque",Hoja4!J297="Cerveza")),"Aprobado","No Aprobado")</f>
        <v>Aprobado</v>
      </c>
    </row>
    <row r="299" spans="19:26" x14ac:dyDescent="0.25">
      <c r="S299" s="2" t="b">
        <f>AND(Hoja4!$P298="abril",Hoja4!$O298="Jue.")</f>
        <v>0</v>
      </c>
      <c r="T299" t="str">
        <f>IF(AND(Hoja4!H298="Empresa de embarque B",Hoja4!I298="Cheque"),"dale","vaaa")</f>
        <v>vaaa</v>
      </c>
      <c r="V299" t="str">
        <f>IF(AND(Hoja4!H298="Empresa de embarque B",Hoja4!I298="Cheque",Hoja4!J298="Cerveza"),"dale","vaaa")</f>
        <v>vaaa</v>
      </c>
      <c r="X299" t="str">
        <f>IF(OR(Hoja4!H298="Empresa de embarque B",Hoja4!I298="Cheque",Hoja4!J298="cerveza"),"dale","vaaa")</f>
        <v>vaaa</v>
      </c>
      <c r="Z299" t="str">
        <f>IF(NOT(OR(Hoja4!I298="Cheque",Hoja4!J298="Cerveza")),"Aprobado","No Aprobado")</f>
        <v>Aprobado</v>
      </c>
    </row>
    <row r="300" spans="19:26" x14ac:dyDescent="0.25">
      <c r="S300" s="2" t="b">
        <f>AND(Hoja4!$P299="abril",Hoja4!$O299="Jue.")</f>
        <v>0</v>
      </c>
      <c r="T300" t="str">
        <f>IF(AND(Hoja4!H299="Empresa de embarque B",Hoja4!I299="Cheque"),"dale","vaaa")</f>
        <v>vaaa</v>
      </c>
      <c r="V300" t="str">
        <f>IF(AND(Hoja4!H299="Empresa de embarque B",Hoja4!I299="Cheque",Hoja4!J299="Cerveza"),"dale","vaaa")</f>
        <v>vaaa</v>
      </c>
      <c r="X300" t="str">
        <f>IF(OR(Hoja4!H299="Empresa de embarque B",Hoja4!I299="Cheque",Hoja4!J299="cerveza"),"dale","vaaa")</f>
        <v>vaaa</v>
      </c>
      <c r="Z300" t="str">
        <f>IF(NOT(OR(Hoja4!I299="Cheque",Hoja4!J299="Cerveza")),"Aprobado","No Aprobado")</f>
        <v>Aprobado</v>
      </c>
    </row>
    <row r="301" spans="19:26" x14ac:dyDescent="0.25">
      <c r="S301" s="2" t="b">
        <f>AND(Hoja4!$P300="abril",Hoja4!$O300="Jue.")</f>
        <v>0</v>
      </c>
      <c r="T301" t="str">
        <f>IF(AND(Hoja4!H300="Empresa de embarque B",Hoja4!I300="Cheque"),"dale","vaaa")</f>
        <v>vaaa</v>
      </c>
      <c r="V301" t="str">
        <f>IF(AND(Hoja4!H300="Empresa de embarque B",Hoja4!I300="Cheque",Hoja4!J300="Cerveza"),"dale","vaaa")</f>
        <v>vaaa</v>
      </c>
      <c r="X301" t="str">
        <f>IF(OR(Hoja4!H300="Empresa de embarque B",Hoja4!I300="Cheque",Hoja4!J300="cerveza"),"dale","vaaa")</f>
        <v>vaaa</v>
      </c>
      <c r="Z301" t="str">
        <f>IF(NOT(OR(Hoja4!I300="Cheque",Hoja4!J300="Cerveza")),"Aprobado","No Aprobado")</f>
        <v>Aprobado</v>
      </c>
    </row>
    <row r="302" spans="19:26" x14ac:dyDescent="0.25">
      <c r="S302" s="2" t="b">
        <f>AND(Hoja4!$P301="abril",Hoja4!$O301="Jue.")</f>
        <v>0</v>
      </c>
      <c r="T302" t="str">
        <f>IF(AND(Hoja4!H301="Empresa de embarque B",Hoja4!I301="Cheque"),"dale","vaaa")</f>
        <v>dale</v>
      </c>
      <c r="V302" t="str">
        <f>IF(AND(Hoja4!H301="Empresa de embarque B",Hoja4!I301="Cheque",Hoja4!J301="Cerveza"),"dale","vaaa")</f>
        <v>dale</v>
      </c>
      <c r="X302" t="str">
        <f>IF(OR(Hoja4!H301="Empresa de embarque B",Hoja4!I301="Cheque",Hoja4!J301="cerveza"),"dale","vaaa")</f>
        <v>dale</v>
      </c>
      <c r="Z302" t="str">
        <f>IF(NOT(OR(Hoja4!I301="Cheque",Hoja4!J301="Cerveza")),"Aprobado","No Aprobado")</f>
        <v>No Aprobado</v>
      </c>
    </row>
    <row r="303" spans="19:26" x14ac:dyDescent="0.25">
      <c r="S303" s="2" t="b">
        <f>AND(Hoja4!$P302="abril",Hoja4!$O302="Jue.")</f>
        <v>0</v>
      </c>
      <c r="T303" t="str">
        <f>IF(AND(Hoja4!H302="Empresa de embarque B",Hoja4!I302="Cheque"),"dale","vaaa")</f>
        <v>vaaa</v>
      </c>
      <c r="V303" t="str">
        <f>IF(AND(Hoja4!H302="Empresa de embarque B",Hoja4!I302="Cheque",Hoja4!J302="Cerveza"),"dale","vaaa")</f>
        <v>vaaa</v>
      </c>
      <c r="X303" t="str">
        <f>IF(OR(Hoja4!H302="Empresa de embarque B",Hoja4!I302="Cheque",Hoja4!J302="cerveza"),"dale","vaaa")</f>
        <v>dale</v>
      </c>
      <c r="Z303" t="str">
        <f>IF(NOT(OR(Hoja4!I302="Cheque",Hoja4!J302="Cerveza")),"Aprobado","No Aprobado")</f>
        <v>No Aprobado</v>
      </c>
    </row>
    <row r="304" spans="19:26" x14ac:dyDescent="0.25">
      <c r="S304" s="2" t="b">
        <f>AND(Hoja4!$P303="abril",Hoja4!$O303="Jue.")</f>
        <v>0</v>
      </c>
      <c r="T304" t="str">
        <f>IF(AND(Hoja4!H303="Empresa de embarque B",Hoja4!I303="Cheque"),"dale","vaaa")</f>
        <v>vaaa</v>
      </c>
      <c r="V304" t="str">
        <f>IF(AND(Hoja4!H303="Empresa de embarque B",Hoja4!I303="Cheque",Hoja4!J303="Cerveza"),"dale","vaaa")</f>
        <v>vaaa</v>
      </c>
      <c r="X304" t="str">
        <f>IF(OR(Hoja4!H303="Empresa de embarque B",Hoja4!I303="Cheque",Hoja4!J303="cerveza"),"dale","vaaa")</f>
        <v>vaaa</v>
      </c>
      <c r="Z304" t="str">
        <f>IF(NOT(OR(Hoja4!I303="Cheque",Hoja4!J303="Cerveza")),"Aprobado","No Aprobado")</f>
        <v>Aprobado</v>
      </c>
    </row>
    <row r="305" spans="19:26" x14ac:dyDescent="0.25">
      <c r="S305" s="2" t="b">
        <f>AND(Hoja4!$P304="abril",Hoja4!$O304="Jue.")</f>
        <v>0</v>
      </c>
      <c r="T305" t="str">
        <f>IF(AND(Hoja4!H304="Empresa de embarque B",Hoja4!I304="Cheque"),"dale","vaaa")</f>
        <v>vaaa</v>
      </c>
      <c r="V305" t="str">
        <f>IF(AND(Hoja4!H304="Empresa de embarque B",Hoja4!I304="Cheque",Hoja4!J304="Cerveza"),"dale","vaaa")</f>
        <v>vaaa</v>
      </c>
      <c r="X305" t="str">
        <f>IF(OR(Hoja4!H304="Empresa de embarque B",Hoja4!I304="Cheque",Hoja4!J304="cerveza"),"dale","vaaa")</f>
        <v>vaaa</v>
      </c>
      <c r="Z305" t="str">
        <f>IF(NOT(OR(Hoja4!I304="Cheque",Hoja4!J304="Cerveza")),"Aprobado","No Aprobado")</f>
        <v>Aprobado</v>
      </c>
    </row>
    <row r="306" spans="19:26" x14ac:dyDescent="0.25">
      <c r="S306" s="2" t="b">
        <f>AND(Hoja4!$P305="abril",Hoja4!$O305="Jue.")</f>
        <v>0</v>
      </c>
      <c r="T306" t="str">
        <f>IF(AND(Hoja4!H305="Empresa de embarque B",Hoja4!I305="Cheque"),"dale","vaaa")</f>
        <v>vaaa</v>
      </c>
      <c r="V306" t="str">
        <f>IF(AND(Hoja4!H305="Empresa de embarque B",Hoja4!I305="Cheque",Hoja4!J305="Cerveza"),"dale","vaaa")</f>
        <v>vaaa</v>
      </c>
      <c r="X306" t="str">
        <f>IF(OR(Hoja4!H305="Empresa de embarque B",Hoja4!I305="Cheque",Hoja4!J305="cerveza"),"dale","vaaa")</f>
        <v>vaaa</v>
      </c>
      <c r="Z306" t="str">
        <f>IF(NOT(OR(Hoja4!I305="Cheque",Hoja4!J305="Cerveza")),"Aprobado","No Aprobado")</f>
        <v>Aprobado</v>
      </c>
    </row>
    <row r="307" spans="19:26" x14ac:dyDescent="0.25">
      <c r="S307" s="2" t="b">
        <f>AND(Hoja4!$P306="abril",Hoja4!$O306="Jue.")</f>
        <v>0</v>
      </c>
      <c r="T307" t="str">
        <f>IF(AND(Hoja4!H306="Empresa de embarque B",Hoja4!I306="Cheque"),"dale","vaaa")</f>
        <v>vaaa</v>
      </c>
      <c r="V307" t="str">
        <f>IF(AND(Hoja4!H306="Empresa de embarque B",Hoja4!I306="Cheque",Hoja4!J306="Cerveza"),"dale","vaaa")</f>
        <v>vaaa</v>
      </c>
      <c r="X307" t="str">
        <f>IF(OR(Hoja4!H306="Empresa de embarque B",Hoja4!I306="Cheque",Hoja4!J306="cerveza"),"dale","vaaa")</f>
        <v>dale</v>
      </c>
      <c r="Z307" t="str">
        <f>IF(NOT(OR(Hoja4!I306="Cheque",Hoja4!J306="Cerveza")),"Aprobado","No Aprobado")</f>
        <v>Aprobado</v>
      </c>
    </row>
    <row r="308" spans="19:26" x14ac:dyDescent="0.25">
      <c r="S308" s="2" t="b">
        <f>AND(Hoja4!$P307="abril",Hoja4!$O307="Jue.")</f>
        <v>0</v>
      </c>
      <c r="T308" t="str">
        <f>IF(AND(Hoja4!H307="Empresa de embarque B",Hoja4!I307="Cheque"),"dale","vaaa")</f>
        <v>vaaa</v>
      </c>
      <c r="V308" t="str">
        <f>IF(AND(Hoja4!H307="Empresa de embarque B",Hoja4!I307="Cheque",Hoja4!J307="Cerveza"),"dale","vaaa")</f>
        <v>vaaa</v>
      </c>
      <c r="X308" t="str">
        <f>IF(OR(Hoja4!H307="Empresa de embarque B",Hoja4!I307="Cheque",Hoja4!J307="cerveza"),"dale","vaaa")</f>
        <v>dale</v>
      </c>
      <c r="Z308" t="str">
        <f>IF(NOT(OR(Hoja4!I307="Cheque",Hoja4!J307="Cerveza")),"Aprobado","No Aprobado")</f>
        <v>Aprobado</v>
      </c>
    </row>
    <row r="309" spans="19:26" x14ac:dyDescent="0.25">
      <c r="S309" s="2" t="b">
        <f>AND(Hoja4!$P308="abril",Hoja4!$O308="Jue.")</f>
        <v>0</v>
      </c>
      <c r="T309" t="str">
        <f>IF(AND(Hoja4!H308="Empresa de embarque B",Hoja4!I308="Cheque"),"dale","vaaa")</f>
        <v>vaaa</v>
      </c>
      <c r="V309" t="str">
        <f>IF(AND(Hoja4!H308="Empresa de embarque B",Hoja4!I308="Cheque",Hoja4!J308="Cerveza"),"dale","vaaa")</f>
        <v>vaaa</v>
      </c>
      <c r="X309" t="str">
        <f>IF(OR(Hoja4!H308="Empresa de embarque B",Hoja4!I308="Cheque",Hoja4!J308="cerveza"),"dale","vaaa")</f>
        <v>dale</v>
      </c>
      <c r="Z309" t="str">
        <f>IF(NOT(OR(Hoja4!I308="Cheque",Hoja4!J308="Cerveza")),"Aprobado","No Aprobado")</f>
        <v>Aprobado</v>
      </c>
    </row>
    <row r="310" spans="19:26" x14ac:dyDescent="0.25">
      <c r="S310" s="2" t="b">
        <f>AND(Hoja4!$P309="abril",Hoja4!$O309="Jue.")</f>
        <v>0</v>
      </c>
      <c r="T310" t="str">
        <f>IF(AND(Hoja4!H309="Empresa de embarque B",Hoja4!I309="Cheque"),"dale","vaaa")</f>
        <v>vaaa</v>
      </c>
      <c r="V310" t="str">
        <f>IF(AND(Hoja4!H309="Empresa de embarque B",Hoja4!I309="Cheque",Hoja4!J309="Cerveza"),"dale","vaaa")</f>
        <v>vaaa</v>
      </c>
      <c r="X310" t="str">
        <f>IF(OR(Hoja4!H309="Empresa de embarque B",Hoja4!I309="Cheque",Hoja4!J309="cerveza"),"dale","vaaa")</f>
        <v>vaaa</v>
      </c>
      <c r="Z310" t="str">
        <f>IF(NOT(OR(Hoja4!I309="Cheque",Hoja4!J309="Cerveza")),"Aprobado","No Aprobado")</f>
        <v>Aprobado</v>
      </c>
    </row>
    <row r="311" spans="19:26" x14ac:dyDescent="0.25">
      <c r="S311" s="2" t="b">
        <f>AND(Hoja4!$P310="abril",Hoja4!$O310="Jue.")</f>
        <v>0</v>
      </c>
      <c r="T311" t="str">
        <f>IF(AND(Hoja4!H310="Empresa de embarque B",Hoja4!I310="Cheque"),"dale","vaaa")</f>
        <v>vaaa</v>
      </c>
      <c r="V311" t="str">
        <f>IF(AND(Hoja4!H310="Empresa de embarque B",Hoja4!I310="Cheque",Hoja4!J310="Cerveza"),"dale","vaaa")</f>
        <v>vaaa</v>
      </c>
      <c r="X311" t="str">
        <f>IF(OR(Hoja4!H310="Empresa de embarque B",Hoja4!I310="Cheque",Hoja4!J310="cerveza"),"dale","vaaa")</f>
        <v>vaaa</v>
      </c>
      <c r="Z311" t="str">
        <f>IF(NOT(OR(Hoja4!I310="Cheque",Hoja4!J310="Cerveza")),"Aprobado","No Aprobado")</f>
        <v>Aprobado</v>
      </c>
    </row>
    <row r="312" spans="19:26" x14ac:dyDescent="0.25">
      <c r="S312" s="2" t="b">
        <f>AND(Hoja4!$P311="abril",Hoja4!$O311="Jue.")</f>
        <v>0</v>
      </c>
      <c r="T312" t="str">
        <f>IF(AND(Hoja4!H311="Empresa de embarque B",Hoja4!I311="Cheque"),"dale","vaaa")</f>
        <v>vaaa</v>
      </c>
      <c r="V312" t="str">
        <f>IF(AND(Hoja4!H311="Empresa de embarque B",Hoja4!I311="Cheque",Hoja4!J311="Cerveza"),"dale","vaaa")</f>
        <v>vaaa</v>
      </c>
      <c r="X312" t="str">
        <f>IF(OR(Hoja4!H311="Empresa de embarque B",Hoja4!I311="Cheque",Hoja4!J311="cerveza"),"dale","vaaa")</f>
        <v>vaaa</v>
      </c>
      <c r="Z312" t="str">
        <f>IF(NOT(OR(Hoja4!I311="Cheque",Hoja4!J311="Cerveza")),"Aprobado","No Aprobado")</f>
        <v>Aprobado</v>
      </c>
    </row>
    <row r="313" spans="19:26" x14ac:dyDescent="0.25">
      <c r="S313" s="2" t="b">
        <f>AND(Hoja4!$P312="abril",Hoja4!$O312="Jue.")</f>
        <v>0</v>
      </c>
      <c r="T313" t="str">
        <f>IF(AND(Hoja4!H312="Empresa de embarque B",Hoja4!I312="Cheque"),"dale","vaaa")</f>
        <v>vaaa</v>
      </c>
      <c r="V313" t="str">
        <f>IF(AND(Hoja4!H312="Empresa de embarque B",Hoja4!I312="Cheque",Hoja4!J312="Cerveza"),"dale","vaaa")</f>
        <v>vaaa</v>
      </c>
      <c r="X313" t="str">
        <f>IF(OR(Hoja4!H312="Empresa de embarque B",Hoja4!I312="Cheque",Hoja4!J312="cerveza"),"dale","vaaa")</f>
        <v>vaaa</v>
      </c>
      <c r="Z313" t="str">
        <f>IF(NOT(OR(Hoja4!I312="Cheque",Hoja4!J312="Cerveza")),"Aprobado","No Aprobado")</f>
        <v>Aprobado</v>
      </c>
    </row>
    <row r="314" spans="19:26" x14ac:dyDescent="0.25">
      <c r="S314" s="2" t="b">
        <f>AND(Hoja4!$P313="abril",Hoja4!$O313="Jue.")</f>
        <v>0</v>
      </c>
      <c r="T314" t="str">
        <f>IF(AND(Hoja4!H313="Empresa de embarque B",Hoja4!I313="Cheque"),"dale","vaaa")</f>
        <v>vaaa</v>
      </c>
      <c r="V314" t="str">
        <f>IF(AND(Hoja4!H313="Empresa de embarque B",Hoja4!I313="Cheque",Hoja4!J313="Cerveza"),"dale","vaaa")</f>
        <v>vaaa</v>
      </c>
      <c r="X314" t="str">
        <f>IF(OR(Hoja4!H313="Empresa de embarque B",Hoja4!I313="Cheque",Hoja4!J313="cerveza"),"dale","vaaa")</f>
        <v>dale</v>
      </c>
      <c r="Z314" t="str">
        <f>IF(NOT(OR(Hoja4!I313="Cheque",Hoja4!J313="Cerveza")),"Aprobado","No Aprobado")</f>
        <v>No Aprobado</v>
      </c>
    </row>
    <row r="315" spans="19:26" x14ac:dyDescent="0.25">
      <c r="S315" s="2" t="b">
        <f>AND(Hoja4!$P314="abril",Hoja4!$O314="Jue.")</f>
        <v>0</v>
      </c>
      <c r="T315" t="str">
        <f>IF(AND(Hoja4!H314="Empresa de embarque B",Hoja4!I314="Cheque"),"dale","vaaa")</f>
        <v>dale</v>
      </c>
      <c r="V315" t="str">
        <f>IF(AND(Hoja4!H314="Empresa de embarque B",Hoja4!I314="Cheque",Hoja4!J314="Cerveza"),"dale","vaaa")</f>
        <v>dale</v>
      </c>
      <c r="X315" t="str">
        <f>IF(OR(Hoja4!H314="Empresa de embarque B",Hoja4!I314="Cheque",Hoja4!J314="cerveza"),"dale","vaaa")</f>
        <v>dale</v>
      </c>
      <c r="Z315" t="str">
        <f>IF(NOT(OR(Hoja4!I314="Cheque",Hoja4!J314="Cerveza")),"Aprobado","No Aprobado")</f>
        <v>No Aprobado</v>
      </c>
    </row>
    <row r="316" spans="19:26" x14ac:dyDescent="0.25">
      <c r="S316" s="2" t="b">
        <f>AND(Hoja4!$P315="abril",Hoja4!$O315="Jue.")</f>
        <v>0</v>
      </c>
      <c r="T316" t="str">
        <f>IF(AND(Hoja4!H315="Empresa de embarque B",Hoja4!I315="Cheque"),"dale","vaaa")</f>
        <v>dale</v>
      </c>
      <c r="V316" t="str">
        <f>IF(AND(Hoja4!H315="Empresa de embarque B",Hoja4!I315="Cheque",Hoja4!J315="Cerveza"),"dale","vaaa")</f>
        <v>vaaa</v>
      </c>
      <c r="X316" t="str">
        <f>IF(OR(Hoja4!H315="Empresa de embarque B",Hoja4!I315="Cheque",Hoja4!J315="cerveza"),"dale","vaaa")</f>
        <v>dale</v>
      </c>
      <c r="Z316" t="str">
        <f>IF(NOT(OR(Hoja4!I315="Cheque",Hoja4!J315="Cerveza")),"Aprobado","No Aprobado")</f>
        <v>No Aprobado</v>
      </c>
    </row>
    <row r="317" spans="19:26" x14ac:dyDescent="0.25">
      <c r="S317" s="2" t="b">
        <f>AND(Hoja4!$P316="abril",Hoja4!$O316="Jue.")</f>
        <v>0</v>
      </c>
      <c r="T317" t="str">
        <f>IF(AND(Hoja4!H316="Empresa de embarque B",Hoja4!I316="Cheque"),"dale","vaaa")</f>
        <v>vaaa</v>
      </c>
      <c r="V317" t="str">
        <f>IF(AND(Hoja4!H316="Empresa de embarque B",Hoja4!I316="Cheque",Hoja4!J316="Cerveza"),"dale","vaaa")</f>
        <v>vaaa</v>
      </c>
      <c r="X317" t="str">
        <f>IF(OR(Hoja4!H316="Empresa de embarque B",Hoja4!I316="Cheque",Hoja4!J316="cerveza"),"dale","vaaa")</f>
        <v>vaaa</v>
      </c>
      <c r="Z317" t="str">
        <f>IF(NOT(OR(Hoja4!I316="Cheque",Hoja4!J316="Cerveza")),"Aprobado","No Aprobado")</f>
        <v>Aprobado</v>
      </c>
    </row>
    <row r="318" spans="19:26" x14ac:dyDescent="0.25">
      <c r="S318" s="2" t="b">
        <f>AND(Hoja4!$P317="abril",Hoja4!$O317="Jue.")</f>
        <v>0</v>
      </c>
      <c r="T318" t="str">
        <f>IF(AND(Hoja4!H317="Empresa de embarque B",Hoja4!I317="Cheque"),"dale","vaaa")</f>
        <v>vaaa</v>
      </c>
      <c r="V318" t="str">
        <f>IF(AND(Hoja4!H317="Empresa de embarque B",Hoja4!I317="Cheque",Hoja4!J317="Cerveza"),"dale","vaaa")</f>
        <v>vaaa</v>
      </c>
      <c r="X318" t="str">
        <f>IF(OR(Hoja4!H317="Empresa de embarque B",Hoja4!I317="Cheque",Hoja4!J317="cerveza"),"dale","vaaa")</f>
        <v>vaaa</v>
      </c>
      <c r="Z318" t="str">
        <f>IF(NOT(OR(Hoja4!I317="Cheque",Hoja4!J317="Cerveza")),"Aprobado","No Aprobado")</f>
        <v>Aprobado</v>
      </c>
    </row>
    <row r="319" spans="19:26" x14ac:dyDescent="0.25">
      <c r="S319" s="2" t="b">
        <f>AND(Hoja4!$P318="abril",Hoja4!$O318="Jue.")</f>
        <v>0</v>
      </c>
      <c r="T319" t="str">
        <f>IF(AND(Hoja4!H318="Empresa de embarque B",Hoja4!I318="Cheque"),"dale","vaaa")</f>
        <v>vaaa</v>
      </c>
      <c r="V319" t="str">
        <f>IF(AND(Hoja4!H318="Empresa de embarque B",Hoja4!I318="Cheque",Hoja4!J318="Cerveza"),"dale","vaaa")</f>
        <v>vaaa</v>
      </c>
      <c r="X319" t="str">
        <f>IF(OR(Hoja4!H318="Empresa de embarque B",Hoja4!I318="Cheque",Hoja4!J318="cerveza"),"dale","vaaa")</f>
        <v>vaaa</v>
      </c>
      <c r="Z319" t="str">
        <f>IF(NOT(OR(Hoja4!I318="Cheque",Hoja4!J318="Cerveza")),"Aprobado","No Aprobado")</f>
        <v>Aprobado</v>
      </c>
    </row>
    <row r="320" spans="19:26" x14ac:dyDescent="0.25">
      <c r="S320" s="2" t="b">
        <f>AND(Hoja4!$P319="abril",Hoja4!$O319="Jue.")</f>
        <v>0</v>
      </c>
      <c r="T320" t="str">
        <f>IF(AND(Hoja4!H319="Empresa de embarque B",Hoja4!I319="Cheque"),"dale","vaaa")</f>
        <v>vaaa</v>
      </c>
      <c r="V320" t="str">
        <f>IF(AND(Hoja4!H319="Empresa de embarque B",Hoja4!I319="Cheque",Hoja4!J319="Cerveza"),"dale","vaaa")</f>
        <v>vaaa</v>
      </c>
      <c r="X320" t="str">
        <f>IF(OR(Hoja4!H319="Empresa de embarque B",Hoja4!I319="Cheque",Hoja4!J319="cerveza"),"dale","vaaa")</f>
        <v>dale</v>
      </c>
      <c r="Z320" t="str">
        <f>IF(NOT(OR(Hoja4!I319="Cheque",Hoja4!J319="Cerveza")),"Aprobado","No Aprobado")</f>
        <v>Aprobado</v>
      </c>
    </row>
    <row r="321" spans="19:26" x14ac:dyDescent="0.25">
      <c r="S321" s="2" t="b">
        <f>AND(Hoja4!$P320="abril",Hoja4!$O320="Jue.")</f>
        <v>0</v>
      </c>
      <c r="T321" t="str">
        <f>IF(AND(Hoja4!H320="Empresa de embarque B",Hoja4!I320="Cheque"),"dale","vaaa")</f>
        <v>vaaa</v>
      </c>
      <c r="V321" t="str">
        <f>IF(AND(Hoja4!H320="Empresa de embarque B",Hoja4!I320="Cheque",Hoja4!J320="Cerveza"),"dale","vaaa")</f>
        <v>vaaa</v>
      </c>
      <c r="X321" t="str">
        <f>IF(OR(Hoja4!H320="Empresa de embarque B",Hoja4!I320="Cheque",Hoja4!J320="cerveza"),"dale","vaaa")</f>
        <v>dale</v>
      </c>
      <c r="Z321" t="str">
        <f>IF(NOT(OR(Hoja4!I320="Cheque",Hoja4!J320="Cerveza")),"Aprobado","No Aprobado")</f>
        <v>Aprobado</v>
      </c>
    </row>
    <row r="322" spans="19:26" x14ac:dyDescent="0.25">
      <c r="S322" s="2" t="b">
        <f>AND(Hoja4!$P321="abril",Hoja4!$O321="Jue.")</f>
        <v>0</v>
      </c>
      <c r="T322" t="str">
        <f>IF(AND(Hoja4!H321="Empresa de embarque B",Hoja4!I321="Cheque"),"dale","vaaa")</f>
        <v>vaaa</v>
      </c>
      <c r="V322" t="str">
        <f>IF(AND(Hoja4!H321="Empresa de embarque B",Hoja4!I321="Cheque",Hoja4!J321="Cerveza"),"dale","vaaa")</f>
        <v>vaaa</v>
      </c>
      <c r="X322" t="str">
        <f>IF(OR(Hoja4!H321="Empresa de embarque B",Hoja4!I321="Cheque",Hoja4!J321="cerveza"),"dale","vaaa")</f>
        <v>vaaa</v>
      </c>
      <c r="Z322" t="str">
        <f>IF(NOT(OR(Hoja4!I321="Cheque",Hoja4!J321="Cerveza")),"Aprobado","No Aprobado")</f>
        <v>Aprobado</v>
      </c>
    </row>
    <row r="323" spans="19:26" x14ac:dyDescent="0.25">
      <c r="S323" s="2" t="b">
        <f>AND(Hoja4!$P322="abril",Hoja4!$O322="Jue.")</f>
        <v>0</v>
      </c>
      <c r="T323" t="str">
        <f>IF(AND(Hoja4!H322="Empresa de embarque B",Hoja4!I322="Cheque"),"dale","vaaa")</f>
        <v>vaaa</v>
      </c>
      <c r="V323" t="str">
        <f>IF(AND(Hoja4!H322="Empresa de embarque B",Hoja4!I322="Cheque",Hoja4!J322="Cerveza"),"dale","vaaa")</f>
        <v>vaaa</v>
      </c>
      <c r="X323" t="str">
        <f>IF(OR(Hoja4!H322="Empresa de embarque B",Hoja4!I322="Cheque",Hoja4!J322="cerveza"),"dale","vaaa")</f>
        <v>dale</v>
      </c>
      <c r="Z323" t="str">
        <f>IF(NOT(OR(Hoja4!I322="Cheque",Hoja4!J322="Cerveza")),"Aprobado","No Aprobado")</f>
        <v>No Aprobado</v>
      </c>
    </row>
    <row r="324" spans="19:26" x14ac:dyDescent="0.25">
      <c r="S324" s="2" t="b">
        <f>AND(Hoja4!$P323="abril",Hoja4!$O323="Jue.")</f>
        <v>0</v>
      </c>
      <c r="T324" t="str">
        <f>IF(AND(Hoja4!H323="Empresa de embarque B",Hoja4!I323="Cheque"),"dale","vaaa")</f>
        <v>dale</v>
      </c>
      <c r="V324" t="str">
        <f>IF(AND(Hoja4!H323="Empresa de embarque B",Hoja4!I323="Cheque",Hoja4!J323="Cerveza"),"dale","vaaa")</f>
        <v>vaaa</v>
      </c>
      <c r="X324" t="str">
        <f>IF(OR(Hoja4!H323="Empresa de embarque B",Hoja4!I323="Cheque",Hoja4!J323="cerveza"),"dale","vaaa")</f>
        <v>dale</v>
      </c>
      <c r="Z324" t="str">
        <f>IF(NOT(OR(Hoja4!I323="Cheque",Hoja4!J323="Cerveza")),"Aprobado","No Aprobado")</f>
        <v>No Aprobado</v>
      </c>
    </row>
    <row r="325" spans="19:26" x14ac:dyDescent="0.25">
      <c r="S325" s="2" t="b">
        <f>AND(Hoja4!$P324="abril",Hoja4!$O324="Jue.")</f>
        <v>0</v>
      </c>
      <c r="T325" t="str">
        <f>IF(AND(Hoja4!H324="Empresa de embarque B",Hoja4!I324="Cheque"),"dale","vaaa")</f>
        <v>vaaa</v>
      </c>
      <c r="V325" t="str">
        <f>IF(AND(Hoja4!H324="Empresa de embarque B",Hoja4!I324="Cheque",Hoja4!J324="Cerveza"),"dale","vaaa")</f>
        <v>vaaa</v>
      </c>
      <c r="X325" t="str">
        <f>IF(OR(Hoja4!H324="Empresa de embarque B",Hoja4!I324="Cheque",Hoja4!J324="cerveza"),"dale","vaaa")</f>
        <v>dale</v>
      </c>
      <c r="Z325" t="str">
        <f>IF(NOT(OR(Hoja4!I324="Cheque",Hoja4!J324="Cerveza")),"Aprobado","No Aprobado")</f>
        <v>Aprobado</v>
      </c>
    </row>
    <row r="326" spans="19:26" x14ac:dyDescent="0.25">
      <c r="S326" s="2" t="b">
        <f>AND(Hoja4!$P325="abril",Hoja4!$O325="Jue.")</f>
        <v>0</v>
      </c>
      <c r="T326" t="str">
        <f>IF(AND(Hoja4!H325="Empresa de embarque B",Hoja4!I325="Cheque"),"dale","vaaa")</f>
        <v>vaaa</v>
      </c>
      <c r="V326" t="str">
        <f>IF(AND(Hoja4!H325="Empresa de embarque B",Hoja4!I325="Cheque",Hoja4!J325="Cerveza"),"dale","vaaa")</f>
        <v>vaaa</v>
      </c>
      <c r="X326" t="str">
        <f>IF(OR(Hoja4!H325="Empresa de embarque B",Hoja4!I325="Cheque",Hoja4!J325="cerveza"),"dale","vaaa")</f>
        <v>dale</v>
      </c>
      <c r="Z326" t="str">
        <f>IF(NOT(OR(Hoja4!I325="Cheque",Hoja4!J325="Cerveza")),"Aprobado","No Aprobado")</f>
        <v>Aprobado</v>
      </c>
    </row>
    <row r="327" spans="19:26" x14ac:dyDescent="0.25">
      <c r="S327" s="2" t="b">
        <f>AND(Hoja4!$P326="abril",Hoja4!$O326="Jue.")</f>
        <v>0</v>
      </c>
      <c r="T327" t="str">
        <f>IF(AND(Hoja4!H326="Empresa de embarque B",Hoja4!I326="Cheque"),"dale","vaaa")</f>
        <v>vaaa</v>
      </c>
      <c r="V327" t="str">
        <f>IF(AND(Hoja4!H326="Empresa de embarque B",Hoja4!I326="Cheque",Hoja4!J326="Cerveza"),"dale","vaaa")</f>
        <v>vaaa</v>
      </c>
      <c r="X327" t="str">
        <f>IF(OR(Hoja4!H326="Empresa de embarque B",Hoja4!I326="Cheque",Hoja4!J326="cerveza"),"dale","vaaa")</f>
        <v>dale</v>
      </c>
      <c r="Z327" t="str">
        <f>IF(NOT(OR(Hoja4!I326="Cheque",Hoja4!J326="Cerveza")),"Aprobado","No Aprobado")</f>
        <v>No Aprobado</v>
      </c>
    </row>
    <row r="328" spans="19:26" x14ac:dyDescent="0.25">
      <c r="S328" s="2" t="b">
        <f>AND(Hoja4!$P327="abril",Hoja4!$O327="Jue.")</f>
        <v>0</v>
      </c>
      <c r="T328" t="str">
        <f>IF(AND(Hoja4!H327="Empresa de embarque B",Hoja4!I327="Cheque"),"dale","vaaa")</f>
        <v>vaaa</v>
      </c>
      <c r="V328" t="str">
        <f>IF(AND(Hoja4!H327="Empresa de embarque B",Hoja4!I327="Cheque",Hoja4!J327="Cerveza"),"dale","vaaa")</f>
        <v>vaaa</v>
      </c>
      <c r="X328" t="str">
        <f>IF(OR(Hoja4!H327="Empresa de embarque B",Hoja4!I327="Cheque",Hoja4!J327="cerveza"),"dale","vaaa")</f>
        <v>dale</v>
      </c>
      <c r="Z328" t="str">
        <f>IF(NOT(OR(Hoja4!I327="Cheque",Hoja4!J327="Cerveza")),"Aprobado","No Aprobado")</f>
        <v>No Aprobado</v>
      </c>
    </row>
    <row r="329" spans="19:26" x14ac:dyDescent="0.25">
      <c r="S329" s="2" t="b">
        <f>AND(Hoja4!$P328="abril",Hoja4!$O328="Jue.")</f>
        <v>0</v>
      </c>
      <c r="T329" t="str">
        <f>IF(AND(Hoja4!H328="Empresa de embarque B",Hoja4!I328="Cheque"),"dale","vaaa")</f>
        <v>vaaa</v>
      </c>
      <c r="V329" t="str">
        <f>IF(AND(Hoja4!H328="Empresa de embarque B",Hoja4!I328="Cheque",Hoja4!J328="Cerveza"),"dale","vaaa")</f>
        <v>vaaa</v>
      </c>
      <c r="X329" t="str">
        <f>IF(OR(Hoja4!H328="Empresa de embarque B",Hoja4!I328="Cheque",Hoja4!J328="cerveza"),"dale","vaaa")</f>
        <v>dale</v>
      </c>
      <c r="Z329" t="str">
        <f>IF(NOT(OR(Hoja4!I328="Cheque",Hoja4!J328="Cerveza")),"Aprobado","No Aprobado")</f>
        <v>Aprobado</v>
      </c>
    </row>
    <row r="330" spans="19:26" x14ac:dyDescent="0.25">
      <c r="S330" s="2" t="b">
        <f>AND(Hoja4!$P329="abril",Hoja4!$O329="Jue.")</f>
        <v>0</v>
      </c>
      <c r="T330" t="str">
        <f>IF(AND(Hoja4!H329="Empresa de embarque B",Hoja4!I329="Cheque"),"dale","vaaa")</f>
        <v>vaaa</v>
      </c>
      <c r="V330" t="str">
        <f>IF(AND(Hoja4!H329="Empresa de embarque B",Hoja4!I329="Cheque",Hoja4!J329="Cerveza"),"dale","vaaa")</f>
        <v>vaaa</v>
      </c>
      <c r="X330" t="str">
        <f>IF(OR(Hoja4!H329="Empresa de embarque B",Hoja4!I329="Cheque",Hoja4!J329="cerveza"),"dale","vaaa")</f>
        <v>vaaa</v>
      </c>
      <c r="Z330" t="str">
        <f>IF(NOT(OR(Hoja4!I329="Cheque",Hoja4!J329="Cerveza")),"Aprobado","No Aprobado")</f>
        <v>Aprobado</v>
      </c>
    </row>
    <row r="331" spans="19:26" x14ac:dyDescent="0.25">
      <c r="S331" s="2" t="b">
        <f>AND(Hoja4!$P330="abril",Hoja4!$O330="Jue.")</f>
        <v>0</v>
      </c>
      <c r="T331" t="str">
        <f>IF(AND(Hoja4!H330="Empresa de embarque B",Hoja4!I330="Cheque"),"dale","vaaa")</f>
        <v>vaaa</v>
      </c>
      <c r="V331" t="str">
        <f>IF(AND(Hoja4!H330="Empresa de embarque B",Hoja4!I330="Cheque",Hoja4!J330="Cerveza"),"dale","vaaa")</f>
        <v>vaaa</v>
      </c>
      <c r="X331" t="str">
        <f>IF(OR(Hoja4!H330="Empresa de embarque B",Hoja4!I330="Cheque",Hoja4!J330="cerveza"),"dale","vaaa")</f>
        <v>vaaa</v>
      </c>
      <c r="Z331" t="str">
        <f>IF(NOT(OR(Hoja4!I330="Cheque",Hoja4!J330="Cerveza")),"Aprobado","No Aprobado")</f>
        <v>Aprobado</v>
      </c>
    </row>
    <row r="332" spans="19:26" x14ac:dyDescent="0.25">
      <c r="S332" s="2" t="b">
        <f>AND(Hoja4!$P331="abril",Hoja4!$O331="Jue.")</f>
        <v>0</v>
      </c>
      <c r="T332" t="str">
        <f>IF(AND(Hoja4!H331="Empresa de embarque B",Hoja4!I331="Cheque"),"dale","vaaa")</f>
        <v>vaaa</v>
      </c>
      <c r="V332" t="str">
        <f>IF(AND(Hoja4!H331="Empresa de embarque B",Hoja4!I331="Cheque",Hoja4!J331="Cerveza"),"dale","vaaa")</f>
        <v>vaaa</v>
      </c>
      <c r="X332" t="str">
        <f>IF(OR(Hoja4!H331="Empresa de embarque B",Hoja4!I331="Cheque",Hoja4!J331="cerveza"),"dale","vaaa")</f>
        <v>vaaa</v>
      </c>
      <c r="Z332" t="str">
        <f>IF(NOT(OR(Hoja4!I331="Cheque",Hoja4!J331="Cerveza")),"Aprobado","No Aprobado")</f>
        <v>Aprobado</v>
      </c>
    </row>
    <row r="333" spans="19:26" x14ac:dyDescent="0.25">
      <c r="S333" s="2" t="b">
        <f>AND(Hoja4!$P332="abril",Hoja4!$O332="Jue.")</f>
        <v>0</v>
      </c>
      <c r="T333" t="str">
        <f>IF(AND(Hoja4!H332="Empresa de embarque B",Hoja4!I332="Cheque"),"dale","vaaa")</f>
        <v>vaaa</v>
      </c>
      <c r="V333" t="str">
        <f>IF(AND(Hoja4!H332="Empresa de embarque B",Hoja4!I332="Cheque",Hoja4!J332="Cerveza"),"dale","vaaa")</f>
        <v>vaaa</v>
      </c>
      <c r="X333" t="str">
        <f>IF(OR(Hoja4!H332="Empresa de embarque B",Hoja4!I332="Cheque",Hoja4!J332="cerveza"),"dale","vaaa")</f>
        <v>vaaa</v>
      </c>
      <c r="Z333" t="str">
        <f>IF(NOT(OR(Hoja4!I332="Cheque",Hoja4!J332="Cerveza")),"Aprobado","No Aprobado")</f>
        <v>Aprobado</v>
      </c>
    </row>
    <row r="334" spans="19:26" x14ac:dyDescent="0.25">
      <c r="S334" s="2" t="b">
        <f>AND(Hoja4!$P333="abril",Hoja4!$O333="Jue.")</f>
        <v>0</v>
      </c>
      <c r="T334" t="str">
        <f>IF(AND(Hoja4!H333="Empresa de embarque B",Hoja4!I333="Cheque"),"dale","vaaa")</f>
        <v>vaaa</v>
      </c>
      <c r="V334" t="str">
        <f>IF(AND(Hoja4!H333="Empresa de embarque B",Hoja4!I333="Cheque",Hoja4!J333="Cerveza"),"dale","vaaa")</f>
        <v>vaaa</v>
      </c>
      <c r="X334" t="str">
        <f>IF(OR(Hoja4!H333="Empresa de embarque B",Hoja4!I333="Cheque",Hoja4!J333="cerveza"),"dale","vaaa")</f>
        <v>vaaa</v>
      </c>
      <c r="Z334" t="str">
        <f>IF(NOT(OR(Hoja4!I333="Cheque",Hoja4!J333="Cerveza")),"Aprobado","No Aprobado")</f>
        <v>Aprobado</v>
      </c>
    </row>
    <row r="335" spans="19:26" x14ac:dyDescent="0.25">
      <c r="S335" s="2" t="b">
        <f>AND(Hoja4!$P334="abril",Hoja4!$O334="Jue.")</f>
        <v>0</v>
      </c>
      <c r="T335" t="str">
        <f>IF(AND(Hoja4!H334="Empresa de embarque B",Hoja4!I334="Cheque"),"dale","vaaa")</f>
        <v>vaaa</v>
      </c>
      <c r="V335" t="str">
        <f>IF(AND(Hoja4!H334="Empresa de embarque B",Hoja4!I334="Cheque",Hoja4!J334="Cerveza"),"dale","vaaa")</f>
        <v>vaaa</v>
      </c>
      <c r="X335" t="str">
        <f>IF(OR(Hoja4!H334="Empresa de embarque B",Hoja4!I334="Cheque",Hoja4!J334="cerveza"),"dale","vaaa")</f>
        <v>vaaa</v>
      </c>
      <c r="Z335" t="str">
        <f>IF(NOT(OR(Hoja4!I334="Cheque",Hoja4!J334="Cerveza")),"Aprobado","No Aprobado")</f>
        <v>Aprobado</v>
      </c>
    </row>
    <row r="336" spans="19:26" x14ac:dyDescent="0.25">
      <c r="S336" s="2" t="b">
        <f>AND(Hoja4!$P335="abril",Hoja4!$O335="Jue.")</f>
        <v>0</v>
      </c>
      <c r="T336" t="str">
        <f>IF(AND(Hoja4!H335="Empresa de embarque B",Hoja4!I335="Cheque"),"dale","vaaa")</f>
        <v>vaaa</v>
      </c>
      <c r="V336" t="str">
        <f>IF(AND(Hoja4!H335="Empresa de embarque B",Hoja4!I335="Cheque",Hoja4!J335="Cerveza"),"dale","vaaa")</f>
        <v>vaaa</v>
      </c>
      <c r="X336" t="str">
        <f>IF(OR(Hoja4!H335="Empresa de embarque B",Hoja4!I335="Cheque",Hoja4!J335="cerveza"),"dale","vaaa")</f>
        <v>vaaa</v>
      </c>
      <c r="Z336" t="str">
        <f>IF(NOT(OR(Hoja4!I335="Cheque",Hoja4!J335="Cerveza")),"Aprobado","No Aprobado")</f>
        <v>Aprobado</v>
      </c>
    </row>
    <row r="337" spans="19:26" x14ac:dyDescent="0.25">
      <c r="S337" s="2" t="b">
        <f>AND(Hoja4!$P336="abril",Hoja4!$O336="Jue.")</f>
        <v>0</v>
      </c>
      <c r="T337" t="str">
        <f>IF(AND(Hoja4!H336="Empresa de embarque B",Hoja4!I336="Cheque"),"dale","vaaa")</f>
        <v>vaaa</v>
      </c>
      <c r="V337" t="str">
        <f>IF(AND(Hoja4!H336="Empresa de embarque B",Hoja4!I336="Cheque",Hoja4!J336="Cerveza"),"dale","vaaa")</f>
        <v>vaaa</v>
      </c>
      <c r="X337" t="str">
        <f>IF(OR(Hoja4!H336="Empresa de embarque B",Hoja4!I336="Cheque",Hoja4!J336="cerveza"),"dale","vaaa")</f>
        <v>vaaa</v>
      </c>
      <c r="Z337" t="str">
        <f>IF(NOT(OR(Hoja4!I336="Cheque",Hoja4!J336="Cerveza")),"Aprobado","No Aprobado")</f>
        <v>Aprobado</v>
      </c>
    </row>
    <row r="338" spans="19:26" x14ac:dyDescent="0.25">
      <c r="S338" s="2" t="b">
        <f>AND(Hoja4!$P337="abril",Hoja4!$O337="Jue.")</f>
        <v>0</v>
      </c>
      <c r="T338" t="str">
        <f>IF(AND(Hoja4!H337="Empresa de embarque B",Hoja4!I337="Cheque"),"dale","vaaa")</f>
        <v>vaaa</v>
      </c>
      <c r="V338" t="str">
        <f>IF(AND(Hoja4!H337="Empresa de embarque B",Hoja4!I337="Cheque",Hoja4!J337="Cerveza"),"dale","vaaa")</f>
        <v>vaaa</v>
      </c>
      <c r="X338" t="str">
        <f>IF(OR(Hoja4!H337="Empresa de embarque B",Hoja4!I337="Cheque",Hoja4!J337="cerveza"),"dale","vaaa")</f>
        <v>vaaa</v>
      </c>
      <c r="Z338" t="str">
        <f>IF(NOT(OR(Hoja4!I337="Cheque",Hoja4!J337="Cerveza")),"Aprobado","No Aprobado")</f>
        <v>Aprobado</v>
      </c>
    </row>
    <row r="339" spans="19:26" x14ac:dyDescent="0.25">
      <c r="S339" s="2" t="b">
        <f>AND(Hoja4!$P338="abril",Hoja4!$O338="Jue.")</f>
        <v>0</v>
      </c>
      <c r="T339" t="str">
        <f>IF(AND(Hoja4!H338="Empresa de embarque B",Hoja4!I338="Cheque"),"dale","vaaa")</f>
        <v>vaaa</v>
      </c>
      <c r="V339" t="str">
        <f>IF(AND(Hoja4!H338="Empresa de embarque B",Hoja4!I338="Cheque",Hoja4!J338="Cerveza"),"dale","vaaa")</f>
        <v>vaaa</v>
      </c>
      <c r="X339" t="str">
        <f>IF(OR(Hoja4!H338="Empresa de embarque B",Hoja4!I338="Cheque",Hoja4!J338="cerveza"),"dale","vaaa")</f>
        <v>vaaa</v>
      </c>
      <c r="Z339" t="str">
        <f>IF(NOT(OR(Hoja4!I338="Cheque",Hoja4!J338="Cerveza")),"Aprobado","No Aprobado")</f>
        <v>Aprobado</v>
      </c>
    </row>
    <row r="340" spans="19:26" x14ac:dyDescent="0.25">
      <c r="S340" s="2" t="b">
        <f>AND(Hoja4!$P339="abril",Hoja4!$O339="Jue.")</f>
        <v>0</v>
      </c>
      <c r="T340" t="str">
        <f>IF(AND(Hoja4!H339="Empresa de embarque B",Hoja4!I339="Cheque"),"dale","vaaa")</f>
        <v>vaaa</v>
      </c>
      <c r="V340" t="str">
        <f>IF(AND(Hoja4!H339="Empresa de embarque B",Hoja4!I339="Cheque",Hoja4!J339="Cerveza"),"dale","vaaa")</f>
        <v>vaaa</v>
      </c>
      <c r="X340" t="str">
        <f>IF(OR(Hoja4!H339="Empresa de embarque B",Hoja4!I339="Cheque",Hoja4!J339="cerveza"),"dale","vaaa")</f>
        <v>vaaa</v>
      </c>
      <c r="Z340" t="str">
        <f>IF(NOT(OR(Hoja4!I339="Cheque",Hoja4!J339="Cerveza")),"Aprobado","No Aprobado")</f>
        <v>Aprobado</v>
      </c>
    </row>
    <row r="341" spans="19:26" x14ac:dyDescent="0.25">
      <c r="S341" s="2" t="b">
        <f>AND(Hoja4!$P340="abril",Hoja4!$O340="Jue.")</f>
        <v>0</v>
      </c>
      <c r="T341" t="str">
        <f>IF(AND(Hoja4!H340="Empresa de embarque B",Hoja4!I340="Cheque"),"dale","vaaa")</f>
        <v>vaaa</v>
      </c>
      <c r="V341" t="str">
        <f>IF(AND(Hoja4!H340="Empresa de embarque B",Hoja4!I340="Cheque",Hoja4!J340="Cerveza"),"dale","vaaa")</f>
        <v>vaaa</v>
      </c>
      <c r="X341" t="str">
        <f>IF(OR(Hoja4!H340="Empresa de embarque B",Hoja4!I340="Cheque",Hoja4!J340="cerveza"),"dale","vaaa")</f>
        <v>dale</v>
      </c>
      <c r="Z341" t="str">
        <f>IF(NOT(OR(Hoja4!I340="Cheque",Hoja4!J340="Cerveza")),"Aprobado","No Aprobado")</f>
        <v>No Aprobado</v>
      </c>
    </row>
    <row r="342" spans="19:26" x14ac:dyDescent="0.25">
      <c r="S342" s="2" t="b">
        <f>AND(Hoja4!$P341="abril",Hoja4!$O341="Jue.")</f>
        <v>0</v>
      </c>
      <c r="T342" t="str">
        <f>IF(AND(Hoja4!H341="Empresa de embarque B",Hoja4!I341="Cheque"),"dale","vaaa")</f>
        <v>vaaa</v>
      </c>
      <c r="V342" t="str">
        <f>IF(AND(Hoja4!H341="Empresa de embarque B",Hoja4!I341="Cheque",Hoja4!J341="Cerveza"),"dale","vaaa")</f>
        <v>vaaa</v>
      </c>
      <c r="X342" t="str">
        <f>IF(OR(Hoja4!H341="Empresa de embarque B",Hoja4!I341="Cheque",Hoja4!J341="cerveza"),"dale","vaaa")</f>
        <v>dale</v>
      </c>
      <c r="Z342" t="str">
        <f>IF(NOT(OR(Hoja4!I341="Cheque",Hoja4!J341="Cerveza")),"Aprobado","No Aprobado")</f>
        <v>No Aprobado</v>
      </c>
    </row>
    <row r="343" spans="19:26" x14ac:dyDescent="0.25">
      <c r="S343" s="2" t="b">
        <f>AND(Hoja4!$P342="abril",Hoja4!$O342="Jue.")</f>
        <v>0</v>
      </c>
      <c r="T343" t="str">
        <f>IF(AND(Hoja4!H342="Empresa de embarque B",Hoja4!I342="Cheque"),"dale","vaaa")</f>
        <v>vaaa</v>
      </c>
      <c r="V343" t="str">
        <f>IF(AND(Hoja4!H342="Empresa de embarque B",Hoja4!I342="Cheque",Hoja4!J342="Cerveza"),"dale","vaaa")</f>
        <v>vaaa</v>
      </c>
      <c r="X343" t="str">
        <f>IF(OR(Hoja4!H342="Empresa de embarque B",Hoja4!I342="Cheque",Hoja4!J342="cerveza"),"dale","vaaa")</f>
        <v>dale</v>
      </c>
      <c r="Z343" t="str">
        <f>IF(NOT(OR(Hoja4!I342="Cheque",Hoja4!J342="Cerveza")),"Aprobado","No Aprobado")</f>
        <v>No Aprobado</v>
      </c>
    </row>
    <row r="344" spans="19:26" x14ac:dyDescent="0.25">
      <c r="S344" s="2" t="b">
        <f>AND(Hoja4!$P343="abril",Hoja4!$O343="Jue.")</f>
        <v>0</v>
      </c>
      <c r="T344" t="str">
        <f>IF(AND(Hoja4!H343="Empresa de embarque B",Hoja4!I343="Cheque"),"dale","vaaa")</f>
        <v>dale</v>
      </c>
      <c r="V344" t="str">
        <f>IF(AND(Hoja4!H343="Empresa de embarque B",Hoja4!I343="Cheque",Hoja4!J343="Cerveza"),"dale","vaaa")</f>
        <v>vaaa</v>
      </c>
      <c r="X344" t="str">
        <f>IF(OR(Hoja4!H343="Empresa de embarque B",Hoja4!I343="Cheque",Hoja4!J343="cerveza"),"dale","vaaa")</f>
        <v>dale</v>
      </c>
      <c r="Z344" t="str">
        <f>IF(NOT(OR(Hoja4!I343="Cheque",Hoja4!J343="Cerveza")),"Aprobado","No Aprobado")</f>
        <v>No Aprobado</v>
      </c>
    </row>
    <row r="345" spans="19:26" x14ac:dyDescent="0.25">
      <c r="S345" s="2" t="b">
        <f>AND(Hoja4!$P344="abril",Hoja4!$O344="Jue.")</f>
        <v>0</v>
      </c>
      <c r="T345" t="str">
        <f>IF(AND(Hoja4!H344="Empresa de embarque B",Hoja4!I344="Cheque"),"dale","vaaa")</f>
        <v>dale</v>
      </c>
      <c r="V345" t="str">
        <f>IF(AND(Hoja4!H344="Empresa de embarque B",Hoja4!I344="Cheque",Hoja4!J344="Cerveza"),"dale","vaaa")</f>
        <v>vaaa</v>
      </c>
      <c r="X345" t="str">
        <f>IF(OR(Hoja4!H344="Empresa de embarque B",Hoja4!I344="Cheque",Hoja4!J344="cerveza"),"dale","vaaa")</f>
        <v>dale</v>
      </c>
      <c r="Z345" t="str">
        <f>IF(NOT(OR(Hoja4!I344="Cheque",Hoja4!J344="Cerveza")),"Aprobado","No Aprobado")</f>
        <v>No Aprobado</v>
      </c>
    </row>
    <row r="346" spans="19:26" x14ac:dyDescent="0.25">
      <c r="S346" s="2" t="b">
        <f>AND(Hoja4!$P345="abril",Hoja4!$O345="Jue.")</f>
        <v>0</v>
      </c>
      <c r="T346" t="str">
        <f>IF(AND(Hoja4!H345="Empresa de embarque B",Hoja4!I345="Cheque"),"dale","vaaa")</f>
        <v>vaaa</v>
      </c>
      <c r="V346" t="str">
        <f>IF(AND(Hoja4!H345="Empresa de embarque B",Hoja4!I345="Cheque",Hoja4!J345="Cerveza"),"dale","vaaa")</f>
        <v>vaaa</v>
      </c>
      <c r="X346" t="str">
        <f>IF(OR(Hoja4!H345="Empresa de embarque B",Hoja4!I345="Cheque",Hoja4!J345="cerveza"),"dale","vaaa")</f>
        <v>vaaa</v>
      </c>
      <c r="Z346" t="str">
        <f>IF(NOT(OR(Hoja4!I345="Cheque",Hoja4!J345="Cerveza")),"Aprobado","No Aprobado")</f>
        <v>Aprobado</v>
      </c>
    </row>
    <row r="347" spans="19:26" x14ac:dyDescent="0.25">
      <c r="S347" s="2" t="b">
        <f>AND(Hoja4!$P346="abril",Hoja4!$O346="Jue.")</f>
        <v>0</v>
      </c>
      <c r="T347" t="str">
        <f>IF(AND(Hoja4!H346="Empresa de embarque B",Hoja4!I346="Cheque"),"dale","vaaa")</f>
        <v>vaaa</v>
      </c>
      <c r="V347" t="str">
        <f>IF(AND(Hoja4!H346="Empresa de embarque B",Hoja4!I346="Cheque",Hoja4!J346="Cerveza"),"dale","vaaa")</f>
        <v>vaaa</v>
      </c>
      <c r="X347" t="str">
        <f>IF(OR(Hoja4!H346="Empresa de embarque B",Hoja4!I346="Cheque",Hoja4!J346="cerveza"),"dale","vaaa")</f>
        <v>vaaa</v>
      </c>
      <c r="Z347" t="str">
        <f>IF(NOT(OR(Hoja4!I346="Cheque",Hoja4!J346="Cerveza")),"Aprobado","No Aprobado")</f>
        <v>Aprobado</v>
      </c>
    </row>
    <row r="348" spans="19:26" x14ac:dyDescent="0.25">
      <c r="S348" s="2" t="b">
        <f>AND(Hoja4!$P347="abril",Hoja4!$O347="Jue.")</f>
        <v>0</v>
      </c>
      <c r="T348" t="str">
        <f>IF(AND(Hoja4!H347="Empresa de embarque B",Hoja4!I347="Cheque"),"dale","vaaa")</f>
        <v>vaaa</v>
      </c>
      <c r="V348" t="str">
        <f>IF(AND(Hoja4!H347="Empresa de embarque B",Hoja4!I347="Cheque",Hoja4!J347="Cerveza"),"dale","vaaa")</f>
        <v>vaaa</v>
      </c>
      <c r="X348" t="str">
        <f>IF(OR(Hoja4!H347="Empresa de embarque B",Hoja4!I347="Cheque",Hoja4!J347="cerveza"),"dale","vaaa")</f>
        <v>vaaa</v>
      </c>
      <c r="Z348" t="str">
        <f>IF(NOT(OR(Hoja4!I347="Cheque",Hoja4!J347="Cerveza")),"Aprobado","No Aprobado")</f>
        <v>Aprobado</v>
      </c>
    </row>
    <row r="349" spans="19:26" x14ac:dyDescent="0.25">
      <c r="S349" s="2" t="b">
        <f>AND(Hoja4!$P348="abril",Hoja4!$O348="Jue.")</f>
        <v>0</v>
      </c>
      <c r="T349" t="str">
        <f>IF(AND(Hoja4!H348="Empresa de embarque B",Hoja4!I348="Cheque"),"dale","vaaa")</f>
        <v>vaaa</v>
      </c>
      <c r="V349" t="str">
        <f>IF(AND(Hoja4!H348="Empresa de embarque B",Hoja4!I348="Cheque",Hoja4!J348="Cerveza"),"dale","vaaa")</f>
        <v>vaaa</v>
      </c>
      <c r="X349" t="str">
        <f>IF(OR(Hoja4!H348="Empresa de embarque B",Hoja4!I348="Cheque",Hoja4!J348="cerveza"),"dale","vaaa")</f>
        <v>vaaa</v>
      </c>
      <c r="Z349" t="str">
        <f>IF(NOT(OR(Hoja4!I348="Cheque",Hoja4!J348="Cerveza")),"Aprobado","No Aprobado")</f>
        <v>Aprobado</v>
      </c>
    </row>
    <row r="350" spans="19:26" x14ac:dyDescent="0.25">
      <c r="S350" s="2" t="b">
        <f>AND(Hoja4!$P349="abril",Hoja4!$O349="Jue.")</f>
        <v>0</v>
      </c>
      <c r="T350" t="str">
        <f>IF(AND(Hoja4!H349="Empresa de embarque B",Hoja4!I349="Cheque"),"dale","vaaa")</f>
        <v>dale</v>
      </c>
      <c r="V350" t="str">
        <f>IF(AND(Hoja4!H349="Empresa de embarque B",Hoja4!I349="Cheque",Hoja4!J349="Cerveza"),"dale","vaaa")</f>
        <v>dale</v>
      </c>
      <c r="X350" t="str">
        <f>IF(OR(Hoja4!H349="Empresa de embarque B",Hoja4!I349="Cheque",Hoja4!J349="cerveza"),"dale","vaaa")</f>
        <v>dale</v>
      </c>
      <c r="Z350" t="str">
        <f>IF(NOT(OR(Hoja4!I349="Cheque",Hoja4!J349="Cerveza")),"Aprobado","No Aprobado")</f>
        <v>No Aprobado</v>
      </c>
    </row>
    <row r="351" spans="19:26" x14ac:dyDescent="0.25">
      <c r="S351" s="2" t="b">
        <f>AND(Hoja4!$P350="abril",Hoja4!$O350="Jue.")</f>
        <v>0</v>
      </c>
      <c r="T351" t="str">
        <f>IF(AND(Hoja4!H350="Empresa de embarque B",Hoja4!I350="Cheque"),"dale","vaaa")</f>
        <v>vaaa</v>
      </c>
      <c r="V351" t="str">
        <f>IF(AND(Hoja4!H350="Empresa de embarque B",Hoja4!I350="Cheque",Hoja4!J350="Cerveza"),"dale","vaaa")</f>
        <v>vaaa</v>
      </c>
      <c r="X351" t="str">
        <f>IF(OR(Hoja4!H350="Empresa de embarque B",Hoja4!I350="Cheque",Hoja4!J350="cerveza"),"dale","vaaa")</f>
        <v>dale</v>
      </c>
      <c r="Z351" t="str">
        <f>IF(NOT(OR(Hoja4!I350="Cheque",Hoja4!J350="Cerveza")),"Aprobado","No Aprobado")</f>
        <v>No Aprobado</v>
      </c>
    </row>
    <row r="352" spans="19:26" x14ac:dyDescent="0.25">
      <c r="S352" s="2" t="b">
        <f>AND(Hoja4!$P351="abril",Hoja4!$O351="Jue.")</f>
        <v>0</v>
      </c>
      <c r="T352" t="str">
        <f>IF(AND(Hoja4!H351="Empresa de embarque B",Hoja4!I351="Cheque"),"dale","vaaa")</f>
        <v>vaaa</v>
      </c>
      <c r="V352" t="str">
        <f>IF(AND(Hoja4!H351="Empresa de embarque B",Hoja4!I351="Cheque",Hoja4!J351="Cerveza"),"dale","vaaa")</f>
        <v>vaaa</v>
      </c>
      <c r="X352" t="str">
        <f>IF(OR(Hoja4!H351="Empresa de embarque B",Hoja4!I351="Cheque",Hoja4!J351="cerveza"),"dale","vaaa")</f>
        <v>vaaa</v>
      </c>
      <c r="Z352" t="str">
        <f>IF(NOT(OR(Hoja4!I351="Cheque",Hoja4!J351="Cerveza")),"Aprobado","No Aprobado")</f>
        <v>Aprobado</v>
      </c>
    </row>
    <row r="353" spans="19:26" x14ac:dyDescent="0.25">
      <c r="S353" s="2" t="b">
        <f>AND(Hoja4!$P352="abril",Hoja4!$O352="Jue.")</f>
        <v>0</v>
      </c>
      <c r="T353" t="str">
        <f>IF(AND(Hoja4!H352="Empresa de embarque B",Hoja4!I352="Cheque"),"dale","vaaa")</f>
        <v>vaaa</v>
      </c>
      <c r="V353" t="str">
        <f>IF(AND(Hoja4!H352="Empresa de embarque B",Hoja4!I352="Cheque",Hoja4!J352="Cerveza"),"dale","vaaa")</f>
        <v>vaaa</v>
      </c>
      <c r="X353" t="str">
        <f>IF(OR(Hoja4!H352="Empresa de embarque B",Hoja4!I352="Cheque",Hoja4!J352="cerveza"),"dale","vaaa")</f>
        <v>vaaa</v>
      </c>
      <c r="Z353" t="str">
        <f>IF(NOT(OR(Hoja4!I352="Cheque",Hoja4!J352="Cerveza")),"Aprobado","No Aprobado")</f>
        <v>Aprobado</v>
      </c>
    </row>
    <row r="354" spans="19:26" x14ac:dyDescent="0.25">
      <c r="S354" s="2" t="b">
        <f>AND(Hoja4!$P353="abril",Hoja4!$O353="Jue.")</f>
        <v>0</v>
      </c>
      <c r="T354" t="str">
        <f>IF(AND(Hoja4!H353="Empresa de embarque B",Hoja4!I353="Cheque"),"dale","vaaa")</f>
        <v>vaaa</v>
      </c>
      <c r="V354" t="str">
        <f>IF(AND(Hoja4!H353="Empresa de embarque B",Hoja4!I353="Cheque",Hoja4!J353="Cerveza"),"dale","vaaa")</f>
        <v>vaaa</v>
      </c>
      <c r="X354" t="str">
        <f>IF(OR(Hoja4!H353="Empresa de embarque B",Hoja4!I353="Cheque",Hoja4!J353="cerveza"),"dale","vaaa")</f>
        <v>vaaa</v>
      </c>
      <c r="Z354" t="str">
        <f>IF(NOT(OR(Hoja4!I353="Cheque",Hoja4!J353="Cerveza")),"Aprobado","No Aprobado")</f>
        <v>Aprobado</v>
      </c>
    </row>
    <row r="355" spans="19:26" x14ac:dyDescent="0.25">
      <c r="S355" s="2" t="b">
        <f>AND(Hoja4!$P354="abril",Hoja4!$O354="Jue.")</f>
        <v>0</v>
      </c>
      <c r="T355" t="str">
        <f>IF(AND(Hoja4!H354="Empresa de embarque B",Hoja4!I354="Cheque"),"dale","vaaa")</f>
        <v>vaaa</v>
      </c>
      <c r="V355" t="str">
        <f>IF(AND(Hoja4!H354="Empresa de embarque B",Hoja4!I354="Cheque",Hoja4!J354="Cerveza"),"dale","vaaa")</f>
        <v>vaaa</v>
      </c>
      <c r="X355" t="str">
        <f>IF(OR(Hoja4!H354="Empresa de embarque B",Hoja4!I354="Cheque",Hoja4!J354="cerveza"),"dale","vaaa")</f>
        <v>dale</v>
      </c>
      <c r="Z355" t="str">
        <f>IF(NOT(OR(Hoja4!I354="Cheque",Hoja4!J354="Cerveza")),"Aprobado","No Aprobado")</f>
        <v>Aprobado</v>
      </c>
    </row>
    <row r="356" spans="19:26" x14ac:dyDescent="0.25">
      <c r="S356" s="2" t="b">
        <f>AND(Hoja4!$P355="abril",Hoja4!$O355="Jue.")</f>
        <v>0</v>
      </c>
      <c r="T356" t="str">
        <f>IF(AND(Hoja4!H355="Empresa de embarque B",Hoja4!I355="Cheque"),"dale","vaaa")</f>
        <v>vaaa</v>
      </c>
      <c r="V356" t="str">
        <f>IF(AND(Hoja4!H355="Empresa de embarque B",Hoja4!I355="Cheque",Hoja4!J355="Cerveza"),"dale","vaaa")</f>
        <v>vaaa</v>
      </c>
      <c r="X356" t="str">
        <f>IF(OR(Hoja4!H355="Empresa de embarque B",Hoja4!I355="Cheque",Hoja4!J355="cerveza"),"dale","vaaa")</f>
        <v>dale</v>
      </c>
      <c r="Z356" t="str">
        <f>IF(NOT(OR(Hoja4!I355="Cheque",Hoja4!J355="Cerveza")),"Aprobado","No Aprobado")</f>
        <v>Aprobado</v>
      </c>
    </row>
    <row r="357" spans="19:26" x14ac:dyDescent="0.25">
      <c r="S357" s="2" t="b">
        <f>AND(Hoja4!$P356="abril",Hoja4!$O356="Jue.")</f>
        <v>0</v>
      </c>
      <c r="T357" t="str">
        <f>IF(AND(Hoja4!H356="Empresa de embarque B",Hoja4!I356="Cheque"),"dale","vaaa")</f>
        <v>vaaa</v>
      </c>
      <c r="V357" t="str">
        <f>IF(AND(Hoja4!H356="Empresa de embarque B",Hoja4!I356="Cheque",Hoja4!J356="Cerveza"),"dale","vaaa")</f>
        <v>vaaa</v>
      </c>
      <c r="X357" t="str">
        <f>IF(OR(Hoja4!H356="Empresa de embarque B",Hoja4!I356="Cheque",Hoja4!J356="cerveza"),"dale","vaaa")</f>
        <v>dale</v>
      </c>
      <c r="Z357" t="str">
        <f>IF(NOT(OR(Hoja4!I356="Cheque",Hoja4!J356="Cerveza")),"Aprobado","No Aprobado")</f>
        <v>Aprobado</v>
      </c>
    </row>
    <row r="358" spans="19:26" x14ac:dyDescent="0.25">
      <c r="S358" s="2" t="b">
        <f>AND(Hoja4!$P357="abril",Hoja4!$O357="Jue.")</f>
        <v>0</v>
      </c>
      <c r="T358" t="str">
        <f>IF(AND(Hoja4!H357="Empresa de embarque B",Hoja4!I357="Cheque"),"dale","vaaa")</f>
        <v>vaaa</v>
      </c>
      <c r="V358" t="str">
        <f>IF(AND(Hoja4!H357="Empresa de embarque B",Hoja4!I357="Cheque",Hoja4!J357="Cerveza"),"dale","vaaa")</f>
        <v>vaaa</v>
      </c>
      <c r="X358" t="str">
        <f>IF(OR(Hoja4!H357="Empresa de embarque B",Hoja4!I357="Cheque",Hoja4!J357="cerveza"),"dale","vaaa")</f>
        <v>vaaa</v>
      </c>
      <c r="Z358" t="str">
        <f>IF(NOT(OR(Hoja4!I357="Cheque",Hoja4!J357="Cerveza")),"Aprobado","No Aprobado")</f>
        <v>Aprobado</v>
      </c>
    </row>
    <row r="359" spans="19:26" x14ac:dyDescent="0.25">
      <c r="S359" s="2" t="b">
        <f>AND(Hoja4!$P358="abril",Hoja4!$O358="Jue.")</f>
        <v>0</v>
      </c>
      <c r="T359" t="str">
        <f>IF(AND(Hoja4!H358="Empresa de embarque B",Hoja4!I358="Cheque"),"dale","vaaa")</f>
        <v>vaaa</v>
      </c>
      <c r="V359" t="str">
        <f>IF(AND(Hoja4!H358="Empresa de embarque B",Hoja4!I358="Cheque",Hoja4!J358="Cerveza"),"dale","vaaa")</f>
        <v>vaaa</v>
      </c>
      <c r="X359" t="str">
        <f>IF(OR(Hoja4!H358="Empresa de embarque B",Hoja4!I358="Cheque",Hoja4!J358="cerveza"),"dale","vaaa")</f>
        <v>vaaa</v>
      </c>
      <c r="Z359" t="str">
        <f>IF(NOT(OR(Hoja4!I358="Cheque",Hoja4!J358="Cerveza")),"Aprobado","No Aprobado")</f>
        <v>Aprobado</v>
      </c>
    </row>
    <row r="360" spans="19:26" x14ac:dyDescent="0.25">
      <c r="S360" s="2" t="b">
        <f>AND(Hoja4!$P359="abril",Hoja4!$O359="Jue.")</f>
        <v>0</v>
      </c>
      <c r="T360" t="str">
        <f>IF(AND(Hoja4!H359="Empresa de embarque B",Hoja4!I359="Cheque"),"dale","vaaa")</f>
        <v>vaaa</v>
      </c>
      <c r="V360" t="str">
        <f>IF(AND(Hoja4!H359="Empresa de embarque B",Hoja4!I359="Cheque",Hoja4!J359="Cerveza"),"dale","vaaa")</f>
        <v>vaaa</v>
      </c>
      <c r="X360" t="str">
        <f>IF(OR(Hoja4!H359="Empresa de embarque B",Hoja4!I359="Cheque",Hoja4!J359="cerveza"),"dale","vaaa")</f>
        <v>vaaa</v>
      </c>
      <c r="Z360" t="str">
        <f>IF(NOT(OR(Hoja4!I359="Cheque",Hoja4!J359="Cerveza")),"Aprobado","No Aprobado")</f>
        <v>Aprobado</v>
      </c>
    </row>
    <row r="361" spans="19:26" x14ac:dyDescent="0.25">
      <c r="S361" s="2" t="b">
        <f>AND(Hoja4!$P360="abril",Hoja4!$O360="Jue.")</f>
        <v>0</v>
      </c>
      <c r="T361" t="str">
        <f>IF(AND(Hoja4!H360="Empresa de embarque B",Hoja4!I360="Cheque"),"dale","vaaa")</f>
        <v>vaaa</v>
      </c>
      <c r="V361" t="str">
        <f>IF(AND(Hoja4!H360="Empresa de embarque B",Hoja4!I360="Cheque",Hoja4!J360="Cerveza"),"dale","vaaa")</f>
        <v>vaaa</v>
      </c>
      <c r="X361" t="str">
        <f>IF(OR(Hoja4!H360="Empresa de embarque B",Hoja4!I360="Cheque",Hoja4!J360="cerveza"),"dale","vaaa")</f>
        <v>vaaa</v>
      </c>
      <c r="Z361" t="str">
        <f>IF(NOT(OR(Hoja4!I360="Cheque",Hoja4!J360="Cerveza")),"Aprobado","No Aprobado")</f>
        <v>Aprobado</v>
      </c>
    </row>
    <row r="362" spans="19:26" x14ac:dyDescent="0.25">
      <c r="S362" s="2" t="b">
        <f>AND(Hoja4!$P361="abril",Hoja4!$O361="Jue.")</f>
        <v>0</v>
      </c>
      <c r="T362" t="str">
        <f>IF(AND(Hoja4!H361="Empresa de embarque B",Hoja4!I361="Cheque"),"dale","vaaa")</f>
        <v>vaaa</v>
      </c>
      <c r="V362" t="str">
        <f>IF(AND(Hoja4!H361="Empresa de embarque B",Hoja4!I361="Cheque",Hoja4!J361="Cerveza"),"dale","vaaa")</f>
        <v>vaaa</v>
      </c>
      <c r="X362" t="str">
        <f>IF(OR(Hoja4!H361="Empresa de embarque B",Hoja4!I361="Cheque",Hoja4!J361="cerveza"),"dale","vaaa")</f>
        <v>dale</v>
      </c>
      <c r="Z362" t="str">
        <f>IF(NOT(OR(Hoja4!I361="Cheque",Hoja4!J361="Cerveza")),"Aprobado","No Aprobado")</f>
        <v>No Aprobado</v>
      </c>
    </row>
    <row r="363" spans="19:26" x14ac:dyDescent="0.25">
      <c r="S363" s="2" t="b">
        <f>AND(Hoja4!$P362="abril",Hoja4!$O362="Jue.")</f>
        <v>0</v>
      </c>
      <c r="T363" t="str">
        <f>IF(AND(Hoja4!H362="Empresa de embarque B",Hoja4!I362="Cheque"),"dale","vaaa")</f>
        <v>vaaa</v>
      </c>
      <c r="V363" t="str">
        <f>IF(AND(Hoja4!H362="Empresa de embarque B",Hoja4!I362="Cheque",Hoja4!J362="Cerveza"),"dale","vaaa")</f>
        <v>vaaa</v>
      </c>
      <c r="X363" t="str">
        <f>IF(OR(Hoja4!H362="Empresa de embarque B",Hoja4!I362="Cheque",Hoja4!J362="cerveza"),"dale","vaaa")</f>
        <v>dale</v>
      </c>
      <c r="Z363" t="str">
        <f>IF(NOT(OR(Hoja4!I362="Cheque",Hoja4!J362="Cerveza")),"Aprobado","No Aprobado")</f>
        <v>Aprobado</v>
      </c>
    </row>
    <row r="364" spans="19:26" x14ac:dyDescent="0.25">
      <c r="S364" s="2" t="b">
        <f>AND(Hoja4!$P363="abril",Hoja4!$O363="Jue.")</f>
        <v>0</v>
      </c>
      <c r="T364" t="str">
        <f>IF(AND(Hoja4!H363="Empresa de embarque B",Hoja4!I363="Cheque"),"dale","vaaa")</f>
        <v>dale</v>
      </c>
      <c r="V364" t="str">
        <f>IF(AND(Hoja4!H363="Empresa de embarque B",Hoja4!I363="Cheque",Hoja4!J363="Cerveza"),"dale","vaaa")</f>
        <v>vaaa</v>
      </c>
      <c r="X364" t="str">
        <f>IF(OR(Hoja4!H363="Empresa de embarque B",Hoja4!I363="Cheque",Hoja4!J363="cerveza"),"dale","vaaa")</f>
        <v>dale</v>
      </c>
      <c r="Z364" t="str">
        <f>IF(NOT(OR(Hoja4!I363="Cheque",Hoja4!J363="Cerveza")),"Aprobado","No Aprobado")</f>
        <v>No Aprobado</v>
      </c>
    </row>
    <row r="365" spans="19:26" x14ac:dyDescent="0.25">
      <c r="S365" s="2" t="b">
        <f>AND(Hoja4!$P364="abril",Hoja4!$O364="Jue.")</f>
        <v>0</v>
      </c>
      <c r="T365" t="str">
        <f>IF(AND(Hoja4!H364="Empresa de embarque B",Hoja4!I364="Cheque"),"dale","vaaa")</f>
        <v>vaaa</v>
      </c>
      <c r="V365" t="str">
        <f>IF(AND(Hoja4!H364="Empresa de embarque B",Hoja4!I364="Cheque",Hoja4!J364="Cerveza"),"dale","vaaa")</f>
        <v>vaaa</v>
      </c>
      <c r="X365" t="str">
        <f>IF(OR(Hoja4!H364="Empresa de embarque B",Hoja4!I364="Cheque",Hoja4!J364="cerveza"),"dale","vaaa")</f>
        <v>vaaa</v>
      </c>
      <c r="Z365" t="str">
        <f>IF(NOT(OR(Hoja4!I364="Cheque",Hoja4!J364="Cerveza")),"Aprobado","No Aprobado")</f>
        <v>Aprobado</v>
      </c>
    </row>
    <row r="366" spans="19:26" x14ac:dyDescent="0.25">
      <c r="S366" s="2" t="b">
        <f>AND(Hoja4!$P365="abril",Hoja4!$O365="Jue.")</f>
        <v>0</v>
      </c>
      <c r="T366" t="str">
        <f>IF(AND(Hoja4!H365="Empresa de embarque B",Hoja4!I365="Cheque"),"dale","vaaa")</f>
        <v>vaaa</v>
      </c>
      <c r="V366" t="str">
        <f>IF(AND(Hoja4!H365="Empresa de embarque B",Hoja4!I365="Cheque",Hoja4!J365="Cerveza"),"dale","vaaa")</f>
        <v>vaaa</v>
      </c>
      <c r="X366" t="str">
        <f>IF(OR(Hoja4!H365="Empresa de embarque B",Hoja4!I365="Cheque",Hoja4!J365="cerveza"),"dale","vaaa")</f>
        <v>vaaa</v>
      </c>
      <c r="Z366" t="str">
        <f>IF(NOT(OR(Hoja4!I365="Cheque",Hoja4!J365="Cerveza")),"Aprobado","No Aprobado")</f>
        <v>Aprobado</v>
      </c>
    </row>
    <row r="367" spans="19:26" x14ac:dyDescent="0.25">
      <c r="S367" s="2" t="b">
        <f>AND(Hoja4!$P366="abril",Hoja4!$O366="Jue.")</f>
        <v>0</v>
      </c>
      <c r="T367" t="str">
        <f>IF(AND(Hoja4!H366="Empresa de embarque B",Hoja4!I366="Cheque"),"dale","vaaa")</f>
        <v>dale</v>
      </c>
      <c r="V367" t="str">
        <f>IF(AND(Hoja4!H366="Empresa de embarque B",Hoja4!I366="Cheque",Hoja4!J366="Cerveza"),"dale","vaaa")</f>
        <v>vaaa</v>
      </c>
      <c r="X367" t="str">
        <f>IF(OR(Hoja4!H366="Empresa de embarque B",Hoja4!I366="Cheque",Hoja4!J366="cerveza"),"dale","vaaa")</f>
        <v>dale</v>
      </c>
      <c r="Z367" t="str">
        <f>IF(NOT(OR(Hoja4!I366="Cheque",Hoja4!J366="Cerveza")),"Aprobado","No Aprobado")</f>
        <v>No Aprobado</v>
      </c>
    </row>
    <row r="368" spans="19:26" x14ac:dyDescent="0.25">
      <c r="S368" s="2" t="b">
        <f>AND(Hoja4!$P367="abril",Hoja4!$O367="Jue.")</f>
        <v>0</v>
      </c>
      <c r="T368" t="str">
        <f>IF(AND(Hoja4!H367="Empresa de embarque B",Hoja4!I367="Cheque"),"dale","vaaa")</f>
        <v>vaaa</v>
      </c>
      <c r="V368" t="str">
        <f>IF(AND(Hoja4!H367="Empresa de embarque B",Hoja4!I367="Cheque",Hoja4!J367="Cerveza"),"dale","vaaa")</f>
        <v>vaaa</v>
      </c>
      <c r="X368" t="str">
        <f>IF(OR(Hoja4!H367="Empresa de embarque B",Hoja4!I367="Cheque",Hoja4!J367="cerveza"),"dale","vaaa")</f>
        <v>dale</v>
      </c>
      <c r="Z368" t="str">
        <f>IF(NOT(OR(Hoja4!I367="Cheque",Hoja4!J367="Cerveza")),"Aprobado","No Aprobado")</f>
        <v>No Aprobado</v>
      </c>
    </row>
    <row r="369" spans="19:26" x14ac:dyDescent="0.25">
      <c r="S369" s="2" t="b">
        <f>AND(Hoja4!$P368="abril",Hoja4!$O368="Jue.")</f>
        <v>0</v>
      </c>
      <c r="T369" t="str">
        <f>IF(AND(Hoja4!H368="Empresa de embarque B",Hoja4!I368="Cheque"),"dale","vaaa")</f>
        <v>vaaa</v>
      </c>
      <c r="V369" t="str">
        <f>IF(AND(Hoja4!H368="Empresa de embarque B",Hoja4!I368="Cheque",Hoja4!J368="Cerveza"),"dale","vaaa")</f>
        <v>vaaa</v>
      </c>
      <c r="X369" t="str">
        <f>IF(OR(Hoja4!H368="Empresa de embarque B",Hoja4!I368="Cheque",Hoja4!J368="cerveza"),"dale","vaaa")</f>
        <v>dale</v>
      </c>
      <c r="Z369" t="str">
        <f>IF(NOT(OR(Hoja4!I368="Cheque",Hoja4!J368="Cerveza")),"Aprobado","No Aprobado")</f>
        <v>No Aprobado</v>
      </c>
    </row>
    <row r="370" spans="19:26" x14ac:dyDescent="0.25">
      <c r="S370" s="2" t="b">
        <f>AND(Hoja4!$P369="abril",Hoja4!$O369="Jue.")</f>
        <v>0</v>
      </c>
      <c r="T370" t="str">
        <f>IF(AND(Hoja4!H369="Empresa de embarque B",Hoja4!I369="Cheque"),"dale","vaaa")</f>
        <v>vaaa</v>
      </c>
      <c r="V370" t="str">
        <f>IF(AND(Hoja4!H369="Empresa de embarque B",Hoja4!I369="Cheque",Hoja4!J369="Cerveza"),"dale","vaaa")</f>
        <v>vaaa</v>
      </c>
      <c r="X370" t="str">
        <f>IF(OR(Hoja4!H369="Empresa de embarque B",Hoja4!I369="Cheque",Hoja4!J369="cerveza"),"dale","vaaa")</f>
        <v>vaaa</v>
      </c>
      <c r="Z370" t="str">
        <f>IF(NOT(OR(Hoja4!I369="Cheque",Hoja4!J369="Cerveza")),"Aprobado","No Aprobado")</f>
        <v>Aprobado</v>
      </c>
    </row>
    <row r="371" spans="19:26" x14ac:dyDescent="0.25">
      <c r="S371" s="2" t="b">
        <f>AND(Hoja4!$P370="abril",Hoja4!$O370="Jue.")</f>
        <v>0</v>
      </c>
      <c r="T371" t="str">
        <f>IF(AND(Hoja4!H370="Empresa de embarque B",Hoja4!I370="Cheque"),"dale","vaaa")</f>
        <v>vaaa</v>
      </c>
      <c r="V371" t="str">
        <f>IF(AND(Hoja4!H370="Empresa de embarque B",Hoja4!I370="Cheque",Hoja4!J370="Cerveza"),"dale","vaaa")</f>
        <v>vaaa</v>
      </c>
      <c r="X371" t="str">
        <f>IF(OR(Hoja4!H370="Empresa de embarque B",Hoja4!I370="Cheque",Hoja4!J370="cerveza"),"dale","vaaa")</f>
        <v>vaaa</v>
      </c>
      <c r="Z371" t="str">
        <f>IF(NOT(OR(Hoja4!I370="Cheque",Hoja4!J370="Cerveza")),"Aprobado","No Aprobado")</f>
        <v>Aprobado</v>
      </c>
    </row>
  </sheetData>
  <sortState xmlns:xlrd2="http://schemas.microsoft.com/office/spreadsheetml/2017/richdata2" ref="B3:Q371">
    <sortCondition ref="B3:B371" customList="enero,febrero,marzo,abril,mayo,junio,julio,agosto,septiembre,octubre,noviembre,diciembre"/>
  </sortState>
  <conditionalFormatting sqref="X3:X371">
    <cfRule type="cellIs" dxfId="3" priority="8" operator="equal">
      <formula>"dale"</formula>
    </cfRule>
    <cfRule type="iconSet" priority="9">
      <iconSet iconSet="3Symbols2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AC212-799F-4CC5-AEF5-759F3DAF3283}">
  <dimension ref="A1:BC370"/>
  <sheetViews>
    <sheetView topLeftCell="K347" workbookViewId="0">
      <selection activeCell="W1" sqref="W1"/>
    </sheetView>
  </sheetViews>
  <sheetFormatPr baseColWidth="10" defaultRowHeight="15" x14ac:dyDescent="0.25"/>
  <cols>
    <col min="1" max="1" width="13.42578125" customWidth="1"/>
    <col min="3" max="3" width="11.7109375" customWidth="1"/>
    <col min="7" max="7" width="12" customWidth="1"/>
    <col min="9" max="9" width="16.140625" customWidth="1"/>
    <col min="11" max="11" width="11.5703125" customWidth="1"/>
    <col min="32" max="32" width="20.28515625" bestFit="1" customWidth="1"/>
    <col min="33" max="35" width="20.28515625" customWidth="1"/>
    <col min="36" max="36" width="20.28515625" bestFit="1" customWidth="1"/>
    <col min="54" max="54" width="11.42578125" customWidth="1"/>
    <col min="55" max="55" width="11.85546875" customWidth="1"/>
  </cols>
  <sheetData>
    <row r="1" spans="1:55" x14ac:dyDescent="0.25">
      <c r="A1" t="s">
        <v>73</v>
      </c>
      <c r="B1" t="s">
        <v>74</v>
      </c>
      <c r="C1" t="s">
        <v>79</v>
      </c>
      <c r="D1" t="s">
        <v>100</v>
      </c>
      <c r="E1" t="s">
        <v>0</v>
      </c>
      <c r="F1" t="s">
        <v>75</v>
      </c>
      <c r="G1" t="s">
        <v>1</v>
      </c>
      <c r="H1" t="s">
        <v>76</v>
      </c>
      <c r="I1" t="s">
        <v>2</v>
      </c>
      <c r="J1" t="s">
        <v>77</v>
      </c>
      <c r="K1" t="s">
        <v>3</v>
      </c>
      <c r="L1" t="s">
        <v>78</v>
      </c>
      <c r="M1" t="s">
        <v>4</v>
      </c>
      <c r="N1" t="s">
        <v>115</v>
      </c>
      <c r="O1" t="s">
        <v>146</v>
      </c>
      <c r="P1" t="s">
        <v>133</v>
      </c>
      <c r="S1" t="s">
        <v>162</v>
      </c>
      <c r="T1" t="s">
        <v>73</v>
      </c>
      <c r="U1" cm="1">
        <f t="array" ref="U1">_xlfn.IFS(T1=S9,1,T1=T9,2,T1=U9,3,T1=V9,4,T1=W9,5,T1=X9,6,T1=Y9,7,T1=Z9,8,T1=AA9,9,T1=AB9,10,T1=AC9,11,T1=AD9,12,T1=AE9,13,T1=AF9,14,T1=AL9,15,T1=AK9,16)</f>
        <v>1</v>
      </c>
      <c r="W1" t="s">
        <v>169</v>
      </c>
      <c r="X1">
        <f>IF(W1="Ascendente",1,-1)</f>
        <v>-1</v>
      </c>
      <c r="Y1" t="s">
        <v>168</v>
      </c>
      <c r="AQ1">
        <v>2</v>
      </c>
      <c r="AR1">
        <v>1</v>
      </c>
      <c r="AT1" cm="1">
        <f t="array" ref="AT1:AT5">FREQUENCY(AQ1:AQ6,AR1:AR4)</f>
        <v>1</v>
      </c>
      <c r="BB1" t="s">
        <v>156</v>
      </c>
      <c r="BC1" t="str" cm="1">
        <f t="array" ref="BC1:BC12">_xlfn._xlws.SORT(_xlfn.UNIQUE(Tabla2[mes]))</f>
        <v>abril</v>
      </c>
    </row>
    <row r="2" spans="1:55" x14ac:dyDescent="0.25">
      <c r="A2" s="8">
        <v>1</v>
      </c>
      <c r="B2">
        <v>43930</v>
      </c>
      <c r="C2">
        <v>9259377217</v>
      </c>
      <c r="D2" t="s">
        <v>6</v>
      </c>
      <c r="E2" t="s">
        <v>80</v>
      </c>
      <c r="F2" t="s">
        <v>95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>
        <v>14</v>
      </c>
      <c r="M2">
        <v>10</v>
      </c>
      <c r="N2">
        <f>Hoja4!$L2*Hoja4!$M2</f>
        <v>140</v>
      </c>
      <c r="O2" t="str">
        <f t="shared" ref="O2:O65" si="0">PROPER(TEXT(B2,"ddd."))</f>
        <v>Jue.</v>
      </c>
      <c r="P2" t="str">
        <f t="shared" ref="P2:P65" si="1">TEXT(B2,"mmmm")</f>
        <v>abril</v>
      </c>
      <c r="Y2" t="s">
        <v>169</v>
      </c>
      <c r="AQ2">
        <v>2</v>
      </c>
      <c r="AR2">
        <v>2</v>
      </c>
      <c r="AT2">
        <v>3</v>
      </c>
      <c r="BB2" t="s">
        <v>157</v>
      </c>
      <c r="BC2" t="str">
        <v>agosto</v>
      </c>
    </row>
    <row r="3" spans="1:55" x14ac:dyDescent="0.25">
      <c r="A3">
        <v>2</v>
      </c>
      <c r="B3">
        <v>44068</v>
      </c>
      <c r="C3">
        <v>6185253419</v>
      </c>
      <c r="D3" t="s">
        <v>6</v>
      </c>
      <c r="E3" t="s">
        <v>80</v>
      </c>
      <c r="F3" t="s">
        <v>95</v>
      </c>
      <c r="G3" t="s">
        <v>7</v>
      </c>
      <c r="H3" t="s">
        <v>8</v>
      </c>
      <c r="I3" t="s">
        <v>9</v>
      </c>
      <c r="J3" t="s">
        <v>12</v>
      </c>
      <c r="K3" t="s">
        <v>13</v>
      </c>
      <c r="L3">
        <v>34</v>
      </c>
      <c r="M3">
        <v>1</v>
      </c>
      <c r="N3">
        <f>Hoja4!$L3*Hoja4!$M3</f>
        <v>34</v>
      </c>
      <c r="O3" t="str">
        <f t="shared" si="0"/>
        <v>Mar.</v>
      </c>
      <c r="P3" t="str">
        <f t="shared" si="1"/>
        <v>agosto</v>
      </c>
      <c r="AQ3">
        <v>1</v>
      </c>
      <c r="AR3">
        <v>3</v>
      </c>
      <c r="AT3">
        <v>1</v>
      </c>
      <c r="BB3" t="s">
        <v>158</v>
      </c>
      <c r="BC3" t="str">
        <v>diciembre</v>
      </c>
    </row>
    <row r="4" spans="1:55" x14ac:dyDescent="0.25">
      <c r="A4">
        <v>3</v>
      </c>
      <c r="B4">
        <v>43908</v>
      </c>
      <c r="C4">
        <v>2308885942</v>
      </c>
      <c r="D4" t="s">
        <v>14</v>
      </c>
      <c r="E4" t="s">
        <v>81</v>
      </c>
      <c r="F4" t="s">
        <v>94</v>
      </c>
      <c r="G4" t="s">
        <v>15</v>
      </c>
      <c r="H4" t="s">
        <v>16</v>
      </c>
      <c r="I4" t="s">
        <v>17</v>
      </c>
      <c r="J4" t="s">
        <v>18</v>
      </c>
      <c r="K4" t="s">
        <v>13</v>
      </c>
      <c r="L4">
        <v>14</v>
      </c>
      <c r="M4">
        <v>57</v>
      </c>
      <c r="N4">
        <f>Hoja4!$L4*Hoja4!$M4</f>
        <v>798</v>
      </c>
      <c r="O4" t="str">
        <f t="shared" si="0"/>
        <v>Mié.</v>
      </c>
      <c r="P4" t="str">
        <f t="shared" si="1"/>
        <v>marzo</v>
      </c>
      <c r="AQ4">
        <v>2</v>
      </c>
      <c r="AR4">
        <v>4</v>
      </c>
      <c r="AT4">
        <v>1</v>
      </c>
      <c r="BB4" t="s">
        <v>155</v>
      </c>
      <c r="BC4" t="str">
        <v>enero</v>
      </c>
    </row>
    <row r="5" spans="1:55" x14ac:dyDescent="0.25">
      <c r="A5">
        <v>4</v>
      </c>
      <c r="B5">
        <v>43974</v>
      </c>
      <c r="C5">
        <v>6199717898</v>
      </c>
      <c r="D5" t="s">
        <v>14</v>
      </c>
      <c r="E5" t="s">
        <v>81</v>
      </c>
      <c r="F5" t="s">
        <v>94</v>
      </c>
      <c r="G5" t="s">
        <v>15</v>
      </c>
      <c r="H5" t="s">
        <v>16</v>
      </c>
      <c r="I5" t="s">
        <v>17</v>
      </c>
      <c r="J5" t="s">
        <v>19</v>
      </c>
      <c r="K5" t="s">
        <v>13</v>
      </c>
      <c r="L5">
        <v>16</v>
      </c>
      <c r="M5">
        <v>72</v>
      </c>
      <c r="N5">
        <f>Hoja4!$L5*Hoja4!$M5</f>
        <v>1152</v>
      </c>
      <c r="O5" t="str">
        <f t="shared" si="0"/>
        <v>Sáb.</v>
      </c>
      <c r="P5" t="str">
        <f t="shared" si="1"/>
        <v>mayo</v>
      </c>
      <c r="AQ5">
        <v>4</v>
      </c>
      <c r="AT5">
        <v>0</v>
      </c>
      <c r="BB5" t="s">
        <v>159</v>
      </c>
      <c r="BC5" t="str">
        <v>febrero</v>
      </c>
    </row>
    <row r="6" spans="1:55" x14ac:dyDescent="0.25">
      <c r="A6">
        <v>5</v>
      </c>
      <c r="B6">
        <v>43944</v>
      </c>
      <c r="C6">
        <v>5540683029</v>
      </c>
      <c r="D6" t="s">
        <v>14</v>
      </c>
      <c r="E6" t="s">
        <v>81</v>
      </c>
      <c r="F6" t="s">
        <v>94</v>
      </c>
      <c r="G6" t="s">
        <v>15</v>
      </c>
      <c r="H6" t="s">
        <v>16</v>
      </c>
      <c r="I6" t="s">
        <v>17</v>
      </c>
      <c r="J6" t="s">
        <v>12</v>
      </c>
      <c r="K6" t="s">
        <v>13</v>
      </c>
      <c r="L6">
        <v>12</v>
      </c>
      <c r="M6">
        <v>68</v>
      </c>
      <c r="N6">
        <f>Hoja4!$L6*Hoja4!$M6</f>
        <v>816</v>
      </c>
      <c r="O6" t="str">
        <f t="shared" si="0"/>
        <v>Jue.</v>
      </c>
      <c r="P6" t="str">
        <f t="shared" si="1"/>
        <v>abril</v>
      </c>
      <c r="AQ6">
        <v>3</v>
      </c>
      <c r="BB6" t="s">
        <v>160</v>
      </c>
      <c r="BC6" t="str">
        <v>julio</v>
      </c>
    </row>
    <row r="7" spans="1:55" x14ac:dyDescent="0.25">
      <c r="A7">
        <v>6</v>
      </c>
      <c r="B7">
        <v>44184</v>
      </c>
      <c r="C7">
        <v>6343955045</v>
      </c>
      <c r="D7" t="s">
        <v>20</v>
      </c>
      <c r="E7" t="s">
        <v>80</v>
      </c>
      <c r="F7" t="s">
        <v>95</v>
      </c>
      <c r="G7" t="s">
        <v>7</v>
      </c>
      <c r="H7" t="s">
        <v>8</v>
      </c>
      <c r="I7" t="s">
        <v>17</v>
      </c>
      <c r="J7" t="s">
        <v>21</v>
      </c>
      <c r="K7" t="s">
        <v>11</v>
      </c>
      <c r="L7">
        <v>22</v>
      </c>
      <c r="M7">
        <v>29</v>
      </c>
      <c r="N7">
        <f>Hoja4!$L7*Hoja4!$M7</f>
        <v>638</v>
      </c>
      <c r="O7" t="str">
        <f t="shared" si="0"/>
        <v>Sáb.</v>
      </c>
      <c r="P7" t="str">
        <f t="shared" si="1"/>
        <v>diciembre</v>
      </c>
      <c r="BB7" t="s">
        <v>161</v>
      </c>
      <c r="BC7" t="str">
        <v>junio</v>
      </c>
    </row>
    <row r="8" spans="1:55" x14ac:dyDescent="0.25">
      <c r="A8">
        <v>7</v>
      </c>
      <c r="B8">
        <v>44133</v>
      </c>
      <c r="C8">
        <v>1572125717</v>
      </c>
      <c r="D8" t="s">
        <v>20</v>
      </c>
      <c r="E8" t="s">
        <v>80</v>
      </c>
      <c r="F8" t="s">
        <v>95</v>
      </c>
      <c r="G8" t="s">
        <v>7</v>
      </c>
      <c r="H8" t="s">
        <v>8</v>
      </c>
      <c r="I8" t="s">
        <v>17</v>
      </c>
      <c r="J8" t="s">
        <v>22</v>
      </c>
      <c r="K8" t="s">
        <v>11</v>
      </c>
      <c r="L8">
        <v>42</v>
      </c>
      <c r="M8">
        <v>41</v>
      </c>
      <c r="N8">
        <f>Hoja4!$L8*Hoja4!$M8</f>
        <v>1722</v>
      </c>
      <c r="O8" t="str">
        <f t="shared" si="0"/>
        <v>Jue.</v>
      </c>
      <c r="P8" t="str">
        <f t="shared" si="1"/>
        <v>octubre</v>
      </c>
      <c r="AP8" t="s">
        <v>167</v>
      </c>
      <c r="AQ8">
        <f>LEN(AP8)</f>
        <v>6</v>
      </c>
      <c r="BB8" t="s">
        <v>162</v>
      </c>
      <c r="BC8" t="str">
        <v>marzo</v>
      </c>
    </row>
    <row r="9" spans="1:55" x14ac:dyDescent="0.25">
      <c r="A9">
        <v>8</v>
      </c>
      <c r="B9">
        <v>43863</v>
      </c>
      <c r="C9">
        <v>3776895536</v>
      </c>
      <c r="D9" t="s">
        <v>23</v>
      </c>
      <c r="E9" t="s">
        <v>86</v>
      </c>
      <c r="F9" t="s">
        <v>82</v>
      </c>
      <c r="G9" t="s">
        <v>24</v>
      </c>
      <c r="H9" t="s">
        <v>25</v>
      </c>
      <c r="I9" t="s">
        <v>17</v>
      </c>
      <c r="J9" t="s">
        <v>26</v>
      </c>
      <c r="K9" t="s">
        <v>27</v>
      </c>
      <c r="L9">
        <v>11</v>
      </c>
      <c r="M9">
        <v>18</v>
      </c>
      <c r="N9">
        <f>Hoja4!$L9*Hoja4!$M9</f>
        <v>198</v>
      </c>
      <c r="O9" t="str">
        <f t="shared" si="0"/>
        <v>Dom.</v>
      </c>
      <c r="P9" t="str">
        <f t="shared" si="1"/>
        <v>febrero</v>
      </c>
      <c r="S9" t="str" cm="1">
        <f t="array" ref="S9:AH9">A1:P1</f>
        <v>Documento</v>
      </c>
      <c r="T9" t="str">
        <v>Fecha</v>
      </c>
      <c r="U9" t="str">
        <v>Id Cliente</v>
      </c>
      <c r="V9" t="str">
        <v>Cliente</v>
      </c>
      <c r="W9" t="str">
        <v>Ciudad</v>
      </c>
      <c r="X9" t="str">
        <v>Provincia</v>
      </c>
      <c r="Y9" t="str">
        <v>Vendedor</v>
      </c>
      <c r="Z9" t="str">
        <v>Empresa</v>
      </c>
      <c r="AA9" t="str">
        <v>Forma de pago</v>
      </c>
      <c r="AB9" t="str">
        <v>Producto</v>
      </c>
      <c r="AC9" t="str">
        <v>Categoría</v>
      </c>
      <c r="AD9" t="str">
        <v>Precio</v>
      </c>
      <c r="AE9" t="str">
        <v>Cantidad</v>
      </c>
      <c r="AF9" t="str">
        <v>Ventas</v>
      </c>
      <c r="AG9" t="str">
        <v>dias</v>
      </c>
      <c r="AH9" t="str">
        <v>mes</v>
      </c>
      <c r="BB9" t="s">
        <v>163</v>
      </c>
      <c r="BC9" t="str">
        <v>mayo</v>
      </c>
    </row>
    <row r="10" spans="1:55" x14ac:dyDescent="0.25">
      <c r="A10">
        <v>9</v>
      </c>
      <c r="B10">
        <v>44158</v>
      </c>
      <c r="C10">
        <v>390733860</v>
      </c>
      <c r="D10" t="s">
        <v>14</v>
      </c>
      <c r="E10" t="s">
        <v>81</v>
      </c>
      <c r="F10" t="s">
        <v>94</v>
      </c>
      <c r="G10" t="s">
        <v>15</v>
      </c>
      <c r="H10" t="s">
        <v>25</v>
      </c>
      <c r="I10" t="s">
        <v>9</v>
      </c>
      <c r="J10" t="s">
        <v>26</v>
      </c>
      <c r="K10" t="s">
        <v>27</v>
      </c>
      <c r="L10">
        <v>29</v>
      </c>
      <c r="M10">
        <v>73</v>
      </c>
      <c r="N10">
        <f>Hoja4!$L10*Hoja4!$M10</f>
        <v>2117</v>
      </c>
      <c r="O10" t="str">
        <f t="shared" si="0"/>
        <v>Lun.</v>
      </c>
      <c r="P10" t="str">
        <f t="shared" si="1"/>
        <v>noviembre</v>
      </c>
      <c r="S10" cm="1">
        <f t="array" ref="S10:AH45">_xlfn._xlws.SORT(_xlfn._xlws.FILTER(datos,date=$S$1),U1,X1)</f>
        <v>365</v>
      </c>
      <c r="T10" s="15">
        <v>44046</v>
      </c>
      <c r="U10">
        <v>6433254443</v>
      </c>
      <c r="V10" t="str">
        <v>Empresa CC</v>
      </c>
      <c r="W10" t="str">
        <v>Guayaquil</v>
      </c>
      <c r="X10" t="str">
        <v>Guayas</v>
      </c>
      <c r="Y10" t="str">
        <v>José de Jesús Morales</v>
      </c>
      <c r="Z10" t="str">
        <v>Empresa de embarque B</v>
      </c>
      <c r="AA10" t="str">
        <v>Cheque</v>
      </c>
      <c r="AB10" t="str">
        <v>Cóctel de frutas</v>
      </c>
      <c r="AC10" t="str">
        <v>Frutas y vegetales</v>
      </c>
      <c r="AD10">
        <v>546</v>
      </c>
      <c r="AE10">
        <v>54</v>
      </c>
      <c r="AF10">
        <v>29484</v>
      </c>
      <c r="AG10" t="str">
        <v>Lun.</v>
      </c>
      <c r="AH10" t="str">
        <v>agosto</v>
      </c>
      <c r="AI10">
        <f>SUMIF($AG$10:$AG$45,AM10,$AF$10:$AF$45)</f>
        <v>190204</v>
      </c>
      <c r="AJ10">
        <f t="array" ref="AJ10">SUM(IF($AK$10:$AK$45=AN10,$AF$10:$AF$45))</f>
        <v>190204</v>
      </c>
      <c r="AK10" cm="1">
        <f t="array" ref="AK10">_xlfn.IFS(AG10=$AM$10,1,AG10=$AM$11,2,AG10=$AM$12,3,AG10=$AM$13,4,AG10=$AM$14,5,AG10=$AM$15,6,AG10=$AM$16,7)</f>
        <v>1</v>
      </c>
      <c r="AM10" t="s">
        <v>152</v>
      </c>
      <c r="AN10">
        <v>1</v>
      </c>
      <c r="AO10" cm="1">
        <f t="array" ref="AO10:AO17">FREQUENCY(AK10:AK45,AN10:AN16)</f>
        <v>3</v>
      </c>
      <c r="AP10">
        <f>MATCH(AP8,AC10:AC12,0)</f>
        <v>3</v>
      </c>
      <c r="BB10" t="s">
        <v>164</v>
      </c>
      <c r="BC10" t="str">
        <v>noviembre</v>
      </c>
    </row>
    <row r="11" spans="1:55" x14ac:dyDescent="0.25">
      <c r="A11">
        <v>10</v>
      </c>
      <c r="B11">
        <v>43863</v>
      </c>
      <c r="C11">
        <v>2456709195</v>
      </c>
      <c r="D11" t="s">
        <v>28</v>
      </c>
      <c r="E11" t="s">
        <v>89</v>
      </c>
      <c r="F11" t="s">
        <v>84</v>
      </c>
      <c r="G11" t="s">
        <v>29</v>
      </c>
      <c r="H11" t="s">
        <v>8</v>
      </c>
      <c r="I11" t="s">
        <v>9</v>
      </c>
      <c r="J11" t="s">
        <v>30</v>
      </c>
      <c r="K11" t="s">
        <v>31</v>
      </c>
      <c r="L11">
        <v>12</v>
      </c>
      <c r="M11">
        <v>79</v>
      </c>
      <c r="N11">
        <f>Hoja4!$L11*Hoja4!$M11</f>
        <v>948</v>
      </c>
      <c r="O11" t="str">
        <f t="shared" si="0"/>
        <v>Dom.</v>
      </c>
      <c r="P11" t="str">
        <f t="shared" si="1"/>
        <v>febrero</v>
      </c>
      <c r="S11">
        <v>325</v>
      </c>
      <c r="T11" s="15">
        <v>44045</v>
      </c>
      <c r="U11">
        <v>8753687299</v>
      </c>
      <c r="V11" t="str">
        <v>Empresa BB</v>
      </c>
      <c r="W11" t="str">
        <v>Manta</v>
      </c>
      <c r="X11" t="str">
        <v>Manabi</v>
      </c>
      <c r="Y11" t="str">
        <v>Ana del Valle Hinojosa</v>
      </c>
      <c r="Z11" t="str">
        <v>Empresa de embarque C</v>
      </c>
      <c r="AA11" t="str">
        <v>Cheque</v>
      </c>
      <c r="AB11" t="str">
        <v>Café</v>
      </c>
      <c r="AC11" t="str">
        <v>Bebidas</v>
      </c>
      <c r="AD11">
        <v>644</v>
      </c>
      <c r="AE11">
        <v>16</v>
      </c>
      <c r="AF11">
        <v>10304</v>
      </c>
      <c r="AG11" t="str">
        <v>Dom.</v>
      </c>
      <c r="AH11" t="str">
        <v>agosto</v>
      </c>
      <c r="AI11">
        <f t="shared" ref="AI11:AI16" si="2">SUMIF($AG$10:$AG$45,AM11,$AF$10:$AF$45)</f>
        <v>61119.5</v>
      </c>
      <c r="AJ11" cm="1">
        <f t="array" ref="AJ11">SUM(IF($AK$10:$AK$45=AN11,$AF$10:$AF$45))</f>
        <v>61119.5</v>
      </c>
      <c r="AK11" cm="1">
        <f t="array" ref="AK11">_xlfn.IFS(AG11=$AM$10,1,AG11=$AM$11,2,AG11=$AM$12,3,AG11=$AM$13,4,AG11=$AM$14,5,AG11=$AM$15,6,AG11=$AM$16,7)</f>
        <v>7</v>
      </c>
      <c r="AM11" t="s">
        <v>153</v>
      </c>
      <c r="AN11">
        <v>2</v>
      </c>
      <c r="AO11">
        <v>5</v>
      </c>
      <c r="BB11" t="s">
        <v>165</v>
      </c>
      <c r="BC11" t="str">
        <v>octubre</v>
      </c>
    </row>
    <row r="12" spans="1:55" x14ac:dyDescent="0.25">
      <c r="A12">
        <v>11</v>
      </c>
      <c r="B12">
        <v>43999</v>
      </c>
      <c r="C12">
        <v>5766090086</v>
      </c>
      <c r="D12" t="s">
        <v>32</v>
      </c>
      <c r="E12" t="s">
        <v>93</v>
      </c>
      <c r="F12" t="s">
        <v>96</v>
      </c>
      <c r="G12" t="s">
        <v>7</v>
      </c>
      <c r="H12" t="s">
        <v>8</v>
      </c>
      <c r="I12" t="s">
        <v>33</v>
      </c>
      <c r="J12" t="s">
        <v>34</v>
      </c>
      <c r="K12" t="s">
        <v>35</v>
      </c>
      <c r="L12">
        <v>28</v>
      </c>
      <c r="M12">
        <v>37</v>
      </c>
      <c r="N12">
        <f>Hoja4!$L12*Hoja4!$M12</f>
        <v>1036</v>
      </c>
      <c r="O12" t="str">
        <f t="shared" si="0"/>
        <v>Mié.</v>
      </c>
      <c r="P12" t="str">
        <f t="shared" si="1"/>
        <v>junio</v>
      </c>
      <c r="S12">
        <v>324</v>
      </c>
      <c r="T12" s="15">
        <v>44059</v>
      </c>
      <c r="U12">
        <v>7792270317</v>
      </c>
      <c r="V12" t="str">
        <v>Empresa F</v>
      </c>
      <c r="W12" t="str">
        <v>Ibarra</v>
      </c>
      <c r="X12" t="str">
        <v>Imbabura</v>
      </c>
      <c r="Y12" t="str">
        <v>Luis Miguel Valdés Garza</v>
      </c>
      <c r="Z12" t="str">
        <v>Empresa de embarque B</v>
      </c>
      <c r="AA12" t="str">
        <v>Tarjeta de crédito</v>
      </c>
      <c r="AB12" t="str">
        <v>Salsa curry</v>
      </c>
      <c r="AC12" t="str">
        <v>Salsas</v>
      </c>
      <c r="AD12">
        <v>560</v>
      </c>
      <c r="AE12">
        <v>32</v>
      </c>
      <c r="AF12">
        <v>17920</v>
      </c>
      <c r="AG12" t="str">
        <v>Dom.</v>
      </c>
      <c r="AH12" t="str">
        <v>agosto</v>
      </c>
      <c r="AI12">
        <f t="shared" si="2"/>
        <v>47307.4</v>
      </c>
      <c r="AJ12" cm="1">
        <f t="array" ref="AJ12">SUM(IF($AK$10:$AK$45=AN12,$AF$10:$AF$45))</f>
        <v>47307.4</v>
      </c>
      <c r="AK12" cm="1">
        <f t="array" ref="AK12">_xlfn.IFS(AG12=$AM$10,1,AG12=$AM$11,2,AG12=$AM$12,3,AG12=$AM$13,4,AG12=$AM$14,5,AG12=$AM$15,6,AG12=$AM$16,7)</f>
        <v>7</v>
      </c>
      <c r="AM12" t="s">
        <v>149</v>
      </c>
      <c r="AN12">
        <v>3</v>
      </c>
      <c r="AO12">
        <v>6</v>
      </c>
      <c r="AS12">
        <f>COUNTIF($AQ$1:$AQ$6,AR1)</f>
        <v>1</v>
      </c>
      <c r="BB12" t="s">
        <v>166</v>
      </c>
      <c r="BC12" t="str">
        <v>septiembre</v>
      </c>
    </row>
    <row r="13" spans="1:55" x14ac:dyDescent="0.25">
      <c r="A13">
        <v>12</v>
      </c>
      <c r="B13">
        <v>44045</v>
      </c>
      <c r="C13">
        <v>4872781256</v>
      </c>
      <c r="D13" t="s">
        <v>36</v>
      </c>
      <c r="E13" t="s">
        <v>92</v>
      </c>
      <c r="F13" t="s">
        <v>99</v>
      </c>
      <c r="G13" t="s">
        <v>37</v>
      </c>
      <c r="H13" t="s">
        <v>8</v>
      </c>
      <c r="I13" t="s">
        <v>17</v>
      </c>
      <c r="J13" t="s">
        <v>38</v>
      </c>
      <c r="K13" t="s">
        <v>39</v>
      </c>
      <c r="L13">
        <v>33</v>
      </c>
      <c r="M13">
        <v>64</v>
      </c>
      <c r="N13">
        <f>Hoja4!$L13*Hoja4!$M13</f>
        <v>2112</v>
      </c>
      <c r="O13" t="str">
        <f t="shared" si="0"/>
        <v>Dom.</v>
      </c>
      <c r="P13" t="str">
        <f t="shared" si="1"/>
        <v>agosto</v>
      </c>
      <c r="S13">
        <v>317</v>
      </c>
      <c r="T13" s="15">
        <v>44055</v>
      </c>
      <c r="U13">
        <v>8280434895</v>
      </c>
      <c r="V13" t="str">
        <v>Empresa D</v>
      </c>
      <c r="W13" t="str">
        <v>Azogues</v>
      </c>
      <c r="X13" t="str">
        <v>Canar</v>
      </c>
      <c r="Y13" t="str">
        <v>Andrés González Rico</v>
      </c>
      <c r="Z13" t="str">
        <v>Empresa de embarque A</v>
      </c>
      <c r="AA13" t="str">
        <v>Tarjeta de crédito</v>
      </c>
      <c r="AB13" t="str">
        <v>Ciruelas secas</v>
      </c>
      <c r="AC13" t="str">
        <v>Frutas secas</v>
      </c>
      <c r="AD13">
        <v>49</v>
      </c>
      <c r="AE13">
        <v>70</v>
      </c>
      <c r="AF13">
        <v>3430</v>
      </c>
      <c r="AG13" t="str">
        <v>Mié.</v>
      </c>
      <c r="AH13" t="str">
        <v>agosto</v>
      </c>
      <c r="AI13">
        <f t="shared" si="2"/>
        <v>98751.8</v>
      </c>
      <c r="AJ13" cm="1">
        <f t="array" ref="AJ13">SUM(IF($AK$10:$AK$45=AN13,$AF$10:$AF$45))</f>
        <v>98751.8</v>
      </c>
      <c r="AK13" cm="1">
        <f t="array" ref="AK13">_xlfn.IFS(AG13=$AM$10,1,AG13=$AM$11,2,AG13=$AM$12,3,AG13=$AM$13,4,AG13=$AM$14,5,AG13=$AM$15,6,AG13=$AM$16,7)</f>
        <v>3</v>
      </c>
      <c r="AM13" t="s">
        <v>148</v>
      </c>
      <c r="AN13">
        <v>4</v>
      </c>
      <c r="AO13">
        <v>6</v>
      </c>
      <c r="AS13">
        <f>COUNTIF($AQ$1:$AQ$6,AR2)</f>
        <v>3</v>
      </c>
    </row>
    <row r="14" spans="1:55" x14ac:dyDescent="0.25">
      <c r="A14">
        <v>13</v>
      </c>
      <c r="B14">
        <v>43843</v>
      </c>
      <c r="C14">
        <v>4213140599</v>
      </c>
      <c r="D14" t="s">
        <v>40</v>
      </c>
      <c r="E14" t="s">
        <v>97</v>
      </c>
      <c r="F14" t="s">
        <v>88</v>
      </c>
      <c r="G14" t="s">
        <v>41</v>
      </c>
      <c r="H14" t="s">
        <v>25</v>
      </c>
      <c r="I14" t="s">
        <v>9</v>
      </c>
      <c r="J14" t="s">
        <v>22</v>
      </c>
      <c r="K14" s="12" t="s">
        <v>11</v>
      </c>
      <c r="L14">
        <v>21</v>
      </c>
      <c r="M14">
        <v>96</v>
      </c>
      <c r="N14">
        <f>Hoja4!$L14*Hoja4!$M14</f>
        <v>2016</v>
      </c>
      <c r="O14" t="str">
        <f t="shared" si="0"/>
        <v>Lun.</v>
      </c>
      <c r="P14" t="str">
        <f t="shared" si="1"/>
        <v>enero</v>
      </c>
      <c r="S14">
        <v>312</v>
      </c>
      <c r="T14" s="15">
        <v>44069</v>
      </c>
      <c r="U14">
        <v>9879315200</v>
      </c>
      <c r="V14" t="str">
        <v>Empresa I</v>
      </c>
      <c r="W14" t="str">
        <v>Guayaquil</v>
      </c>
      <c r="X14" t="str">
        <v>Guayas</v>
      </c>
      <c r="Y14" t="str">
        <v>Robert Zárate Carrillo</v>
      </c>
      <c r="Z14" t="str">
        <v>Empresa de embarque A</v>
      </c>
      <c r="AA14" t="str">
        <v>Cheque</v>
      </c>
      <c r="AB14" t="str">
        <v>Almejas</v>
      </c>
      <c r="AC14" t="str">
        <v>Sopas</v>
      </c>
      <c r="AD14">
        <v>135.1</v>
      </c>
      <c r="AE14">
        <v>14</v>
      </c>
      <c r="AF14">
        <v>1891.3999999999999</v>
      </c>
      <c r="AG14" t="str">
        <v>Mié.</v>
      </c>
      <c r="AH14" t="str">
        <v>agosto</v>
      </c>
      <c r="AI14">
        <f t="shared" si="2"/>
        <v>47028.799999999996</v>
      </c>
      <c r="AJ14" cm="1">
        <f t="array" ref="AJ14">SUM(IF($AK$10:$AK$45=AN14,$AF$10:$AF$45))</f>
        <v>47028.799999999996</v>
      </c>
      <c r="AK14" cm="1">
        <f t="array" ref="AK14">_xlfn.IFS(AG14=$AM$10,1,AG14=$AM$11,2,AG14=$AM$12,3,AG14=$AM$13,4,AG14=$AM$14,5,AG14=$AM$15,6,AG14=$AM$16,7)</f>
        <v>3</v>
      </c>
      <c r="AM14" t="s">
        <v>150</v>
      </c>
      <c r="AN14">
        <v>5</v>
      </c>
      <c r="AO14">
        <v>3</v>
      </c>
      <c r="AS14">
        <f>COUNTIF($AQ$1:$AQ$6,AR3)</f>
        <v>1</v>
      </c>
    </row>
    <row r="15" spans="1:55" x14ac:dyDescent="0.25">
      <c r="A15">
        <v>14</v>
      </c>
      <c r="B15">
        <v>43861</v>
      </c>
      <c r="C15">
        <v>9433063552</v>
      </c>
      <c r="D15" t="s">
        <v>23</v>
      </c>
      <c r="E15" t="s">
        <v>86</v>
      </c>
      <c r="F15" t="s">
        <v>82</v>
      </c>
      <c r="G15" t="s">
        <v>24</v>
      </c>
      <c r="H15" t="s">
        <v>25</v>
      </c>
      <c r="I15" t="s">
        <v>9</v>
      </c>
      <c r="J15" t="s">
        <v>30</v>
      </c>
      <c r="K15" t="s">
        <v>31</v>
      </c>
      <c r="L15">
        <v>46</v>
      </c>
      <c r="M15">
        <v>86</v>
      </c>
      <c r="N15">
        <f>Hoja4!$L15*Hoja4!$M15</f>
        <v>3956</v>
      </c>
      <c r="O15" t="str">
        <f t="shared" si="0"/>
        <v>Vie.</v>
      </c>
      <c r="P15" t="str">
        <f t="shared" si="1"/>
        <v>enero</v>
      </c>
      <c r="S15">
        <v>304</v>
      </c>
      <c r="T15" s="15">
        <v>44063</v>
      </c>
      <c r="U15">
        <v>3501827064</v>
      </c>
      <c r="V15" t="str">
        <v>Empresa H</v>
      </c>
      <c r="W15" t="str">
        <v>Riobamba</v>
      </c>
      <c r="X15" t="str">
        <v>Chimborazo</v>
      </c>
      <c r="Y15" t="str">
        <v>Nancy Gil de la Peña</v>
      </c>
      <c r="Z15" t="str">
        <v>Empresa de embarque C</v>
      </c>
      <c r="AA15" t="str">
        <v>Tarjeta de crédito</v>
      </c>
      <c r="AB15" t="str">
        <v>Mozzarella</v>
      </c>
      <c r="AC15" t="str">
        <v>Productos lácteos</v>
      </c>
      <c r="AD15">
        <v>487.19999999999993</v>
      </c>
      <c r="AE15">
        <v>24</v>
      </c>
      <c r="AF15">
        <v>11692.8</v>
      </c>
      <c r="AG15" t="str">
        <v>Jue.</v>
      </c>
      <c r="AH15" t="str">
        <v>agosto</v>
      </c>
      <c r="AI15">
        <f t="shared" si="2"/>
        <v>24734</v>
      </c>
      <c r="AJ15" cm="1">
        <f t="array" ref="AJ15">SUM(IF($AK$10:$AK$45=AN15,$AF$10:$AF$45))</f>
        <v>24734</v>
      </c>
      <c r="AK15" cm="1">
        <f t="array" ref="AK15">_xlfn.IFS(AG15=$AM$10,1,AG15=$AM$11,2,AG15=$AM$12,3,AG15=$AM$13,4,AG15=$AM$14,5,AG15=$AM$15,6,AG15=$AM$16,7)</f>
        <v>4</v>
      </c>
      <c r="AM15" t="s">
        <v>151</v>
      </c>
      <c r="AN15">
        <v>6</v>
      </c>
      <c r="AO15">
        <v>3</v>
      </c>
      <c r="AS15">
        <f>COUNTIF($AQ$1:$AQ$6,AR4)</f>
        <v>1</v>
      </c>
    </row>
    <row r="16" spans="1:55" x14ac:dyDescent="0.25">
      <c r="A16">
        <v>15</v>
      </c>
      <c r="B16">
        <v>44037</v>
      </c>
      <c r="C16">
        <v>8539365209</v>
      </c>
      <c r="D16" t="s">
        <v>42</v>
      </c>
      <c r="E16" t="s">
        <v>91</v>
      </c>
      <c r="F16" t="s">
        <v>91</v>
      </c>
      <c r="G16" t="s">
        <v>43</v>
      </c>
      <c r="H16" t="s">
        <v>8</v>
      </c>
      <c r="I16" t="s">
        <v>17</v>
      </c>
      <c r="J16" t="s">
        <v>44</v>
      </c>
      <c r="K16" t="s">
        <v>11</v>
      </c>
      <c r="L16">
        <v>41</v>
      </c>
      <c r="M16">
        <v>96</v>
      </c>
      <c r="N16">
        <f>Hoja4!$L16*Hoja4!$M16</f>
        <v>3936</v>
      </c>
      <c r="O16" t="str">
        <f t="shared" si="0"/>
        <v>Sáb.</v>
      </c>
      <c r="P16" t="str">
        <f t="shared" si="1"/>
        <v>julio</v>
      </c>
      <c r="S16">
        <v>293</v>
      </c>
      <c r="T16" s="15">
        <v>44062</v>
      </c>
      <c r="U16">
        <v>1397118248</v>
      </c>
      <c r="V16" t="str">
        <v>Empresa F</v>
      </c>
      <c r="W16" t="str">
        <v>Ibarra</v>
      </c>
      <c r="X16" t="str">
        <v>Imbabura</v>
      </c>
      <c r="Y16" t="str">
        <v>Luis Miguel Valdés Garza</v>
      </c>
      <c r="Z16" t="str">
        <v>Empresa de embarque B</v>
      </c>
      <c r="AA16" t="str">
        <v>Tarjeta de crédito</v>
      </c>
      <c r="AB16" t="str">
        <v>Cerveza</v>
      </c>
      <c r="AC16" t="str">
        <v>Bebidas</v>
      </c>
      <c r="AD16">
        <v>196</v>
      </c>
      <c r="AE16">
        <v>85</v>
      </c>
      <c r="AF16">
        <v>16660</v>
      </c>
      <c r="AG16" t="str">
        <v>Mié.</v>
      </c>
      <c r="AH16" t="str">
        <v>agosto</v>
      </c>
      <c r="AI16">
        <f t="shared" si="2"/>
        <v>95821</v>
      </c>
      <c r="AJ16" cm="1">
        <f t="array" ref="AJ16">SUM(IF($AK$10:$AK$45=AN16,$AF$10:$AF$45))</f>
        <v>95821</v>
      </c>
      <c r="AK16" cm="1">
        <f t="array" ref="AK16">_xlfn.IFS(AG16=$AM$10,1,AG16=$AM$11,2,AG16=$AM$12,3,AG16=$AM$13,4,AG16=$AM$14,5,AG16=$AM$15,6,AG16=$AM$16,7)</f>
        <v>3</v>
      </c>
      <c r="AM16" t="s">
        <v>147</v>
      </c>
      <c r="AN16">
        <v>7</v>
      </c>
      <c r="AO16">
        <v>10</v>
      </c>
    </row>
    <row r="17" spans="1:41" x14ac:dyDescent="0.25">
      <c r="A17">
        <v>16</v>
      </c>
      <c r="B17">
        <v>44009</v>
      </c>
      <c r="C17">
        <v>6983099686</v>
      </c>
      <c r="D17" t="s">
        <v>45</v>
      </c>
      <c r="E17" t="s">
        <v>87</v>
      </c>
      <c r="F17" t="s">
        <v>87</v>
      </c>
      <c r="G17" t="s">
        <v>24</v>
      </c>
      <c r="J17" t="s">
        <v>22</v>
      </c>
      <c r="K17" t="s">
        <v>11</v>
      </c>
      <c r="L17">
        <v>45</v>
      </c>
      <c r="M17">
        <v>97</v>
      </c>
      <c r="N17">
        <f>Hoja4!$L17*Hoja4!$M17</f>
        <v>4365</v>
      </c>
      <c r="O17" t="str">
        <f t="shared" si="0"/>
        <v>Sáb.</v>
      </c>
      <c r="P17" t="str">
        <f t="shared" si="1"/>
        <v>junio</v>
      </c>
      <c r="S17">
        <v>287</v>
      </c>
      <c r="T17" s="15">
        <v>44044</v>
      </c>
      <c r="U17">
        <v>9543041808</v>
      </c>
      <c r="V17" t="str">
        <v>Empresa A</v>
      </c>
      <c r="W17" t="str">
        <v>Ambato</v>
      </c>
      <c r="X17" t="str">
        <v>Tungurahua</v>
      </c>
      <c r="Y17" t="str">
        <v>Nancy Gil de la Peña</v>
      </c>
      <c r="Z17">
        <v>0</v>
      </c>
      <c r="AA17">
        <v>0</v>
      </c>
      <c r="AB17" t="str">
        <v>Café</v>
      </c>
      <c r="AC17" t="str">
        <v>Bebidas</v>
      </c>
      <c r="AD17">
        <v>644</v>
      </c>
      <c r="AE17">
        <v>16</v>
      </c>
      <c r="AF17">
        <v>10304</v>
      </c>
      <c r="AG17" t="str">
        <v>Sáb.</v>
      </c>
      <c r="AH17" t="str">
        <v>agosto</v>
      </c>
      <c r="AK17" cm="1">
        <f t="array" ref="AK17">_xlfn.IFS(AG17=$AM$10,1,AG17=$AM$11,2,AG17=$AM$12,3,AG17=$AM$13,4,AG17=$AM$14,5,AG17=$AM$15,6,AG17=$AM$16,7)</f>
        <v>6</v>
      </c>
      <c r="AO17">
        <v>0</v>
      </c>
    </row>
    <row r="18" spans="1:41" x14ac:dyDescent="0.25">
      <c r="A18">
        <v>17</v>
      </c>
      <c r="B18">
        <v>44065</v>
      </c>
      <c r="C18">
        <v>3008945605</v>
      </c>
      <c r="D18" t="s">
        <v>42</v>
      </c>
      <c r="E18" t="s">
        <v>91</v>
      </c>
      <c r="F18" t="s">
        <v>91</v>
      </c>
      <c r="G18" t="s">
        <v>43</v>
      </c>
      <c r="H18" t="s">
        <v>16</v>
      </c>
      <c r="J18" t="s">
        <v>46</v>
      </c>
      <c r="K18" t="s">
        <v>47</v>
      </c>
      <c r="L18">
        <v>26</v>
      </c>
      <c r="M18">
        <v>65</v>
      </c>
      <c r="N18">
        <f>Hoja4!$L18*Hoja4!$M18</f>
        <v>1690</v>
      </c>
      <c r="O18" t="str">
        <f t="shared" si="0"/>
        <v>Sáb.</v>
      </c>
      <c r="P18" t="str">
        <f t="shared" si="1"/>
        <v>agosto</v>
      </c>
      <c r="S18">
        <v>283</v>
      </c>
      <c r="T18" s="15">
        <v>44073</v>
      </c>
      <c r="U18">
        <v>3501364052</v>
      </c>
      <c r="V18" t="str">
        <v>Empresa J</v>
      </c>
      <c r="W18" t="str">
        <v>Esmeraldas</v>
      </c>
      <c r="X18" t="str">
        <v>Esmeraldas</v>
      </c>
      <c r="Y18" t="str">
        <v>Laura Gutiérrez Saenz</v>
      </c>
      <c r="Z18" t="str">
        <v>Empresa de embarque A</v>
      </c>
      <c r="AA18">
        <v>0</v>
      </c>
      <c r="AB18" t="str">
        <v>Galletas de chocolate</v>
      </c>
      <c r="AC18" t="str">
        <v>Productos horneados</v>
      </c>
      <c r="AD18">
        <v>128.79999999999998</v>
      </c>
      <c r="AE18">
        <v>34</v>
      </c>
      <c r="AF18">
        <v>4379.2</v>
      </c>
      <c r="AG18" t="str">
        <v>Dom.</v>
      </c>
      <c r="AH18" t="str">
        <v>agosto</v>
      </c>
      <c r="AK18" cm="1">
        <f t="array" ref="AK18">_xlfn.IFS(AG18=$AM$10,1,AG18=$AM$11,2,AG18=$AM$12,3,AG18=$AM$13,4,AG18=$AM$14,5,AG18=$AM$15,6,AG18=$AM$16,7)</f>
        <v>7</v>
      </c>
    </row>
    <row r="19" spans="1:41" x14ac:dyDescent="0.25">
      <c r="A19">
        <v>18</v>
      </c>
      <c r="B19">
        <v>43937</v>
      </c>
      <c r="C19">
        <v>5388305959</v>
      </c>
      <c r="D19" t="s">
        <v>42</v>
      </c>
      <c r="E19" t="s">
        <v>91</v>
      </c>
      <c r="F19" t="s">
        <v>91</v>
      </c>
      <c r="G19" t="s">
        <v>43</v>
      </c>
      <c r="H19" t="s">
        <v>16</v>
      </c>
      <c r="J19" t="s">
        <v>48</v>
      </c>
      <c r="K19" t="s">
        <v>49</v>
      </c>
      <c r="L19">
        <v>40</v>
      </c>
      <c r="M19">
        <v>88</v>
      </c>
      <c r="N19">
        <f>Hoja4!$L19*Hoja4!$M19</f>
        <v>3520</v>
      </c>
      <c r="O19" t="str">
        <f t="shared" si="0"/>
        <v>Jue.</v>
      </c>
      <c r="P19" t="str">
        <f t="shared" si="1"/>
        <v>abril</v>
      </c>
      <c r="S19">
        <v>282</v>
      </c>
      <c r="T19" s="15">
        <v>44068</v>
      </c>
      <c r="U19">
        <v>9635546425</v>
      </c>
      <c r="V19" t="str">
        <v>Empresa J</v>
      </c>
      <c r="W19" t="str">
        <v>Esmeraldas</v>
      </c>
      <c r="X19" t="str">
        <v>Esmeraldas</v>
      </c>
      <c r="Y19" t="str">
        <v>Laura Gutiérrez Saenz</v>
      </c>
      <c r="Z19" t="str">
        <v>Empresa de embarque A</v>
      </c>
      <c r="AA19">
        <v>0</v>
      </c>
      <c r="AB19" t="str">
        <v>Condimento cajún</v>
      </c>
      <c r="AC19" t="str">
        <v>Condimentos</v>
      </c>
      <c r="AD19">
        <v>308</v>
      </c>
      <c r="AE19">
        <v>96</v>
      </c>
      <c r="AF19">
        <v>29568</v>
      </c>
      <c r="AG19" t="str">
        <v>Mar.</v>
      </c>
      <c r="AH19" t="str">
        <v>agosto</v>
      </c>
      <c r="AK19" cm="1">
        <f t="array" ref="AK19">_xlfn.IFS(AG19=$AM$10,1,AG19=$AM$11,2,AG19=$AM$12,3,AG19=$AM$13,4,AG19=$AM$14,5,AG19=$AM$15,6,AG19=$AM$16,7)</f>
        <v>2</v>
      </c>
      <c r="AM19" t="str" cm="1">
        <f t="array" ref="AM19:AM25">_xlfn.UNIQUE(AG10:AG45)</f>
        <v>Lun.</v>
      </c>
    </row>
    <row r="20" spans="1:41" x14ac:dyDescent="0.25">
      <c r="A20">
        <v>19</v>
      </c>
      <c r="B20">
        <v>44172</v>
      </c>
      <c r="C20">
        <v>438272084</v>
      </c>
      <c r="D20" t="s">
        <v>42</v>
      </c>
      <c r="E20" t="s">
        <v>91</v>
      </c>
      <c r="F20" t="s">
        <v>91</v>
      </c>
      <c r="G20" t="s">
        <v>43</v>
      </c>
      <c r="H20" t="s">
        <v>16</v>
      </c>
      <c r="J20" t="s">
        <v>26</v>
      </c>
      <c r="K20" t="s">
        <v>27</v>
      </c>
      <c r="L20">
        <v>12</v>
      </c>
      <c r="M20">
        <v>60</v>
      </c>
      <c r="N20">
        <f>Hoja4!$L20*Hoja4!$M20</f>
        <v>720</v>
      </c>
      <c r="O20" t="str">
        <f t="shared" si="0"/>
        <v>Lun.</v>
      </c>
      <c r="P20" t="str">
        <f t="shared" si="1"/>
        <v>diciembre</v>
      </c>
      <c r="S20">
        <v>279</v>
      </c>
      <c r="T20" s="15">
        <v>44073</v>
      </c>
      <c r="U20">
        <v>3338515953</v>
      </c>
      <c r="V20" t="str">
        <v>Empresa I</v>
      </c>
      <c r="W20" t="str">
        <v>Guayaquil</v>
      </c>
      <c r="X20" t="str">
        <v>Guayas</v>
      </c>
      <c r="Y20" t="str">
        <v>Robert Zárate Carrillo</v>
      </c>
      <c r="Z20" t="str">
        <v>Empresa de embarque A</v>
      </c>
      <c r="AA20" t="str">
        <v>Cheque</v>
      </c>
      <c r="AB20" t="str">
        <v>Almejas</v>
      </c>
      <c r="AC20" t="str">
        <v>Sopas</v>
      </c>
      <c r="AD20">
        <v>135.1</v>
      </c>
      <c r="AE20">
        <v>89</v>
      </c>
      <c r="AF20">
        <v>12023.9</v>
      </c>
      <c r="AG20" t="str">
        <v>Dom.</v>
      </c>
      <c r="AH20" t="str">
        <v>agosto</v>
      </c>
      <c r="AK20" cm="1">
        <f t="array" ref="AK20">_xlfn.IFS(AG20=$AM$10,1,AG20=$AM$11,2,AG20=$AM$12,3,AG20=$AM$13,4,AG20=$AM$14,5,AG20=$AM$15,6,AG20=$AM$16,7)</f>
        <v>7</v>
      </c>
      <c r="AM20" t="str">
        <v>Dom.</v>
      </c>
    </row>
    <row r="21" spans="1:41" x14ac:dyDescent="0.25">
      <c r="A21">
        <v>20</v>
      </c>
      <c r="B21">
        <v>43875</v>
      </c>
      <c r="C21">
        <v>2536792311</v>
      </c>
      <c r="D21" t="s">
        <v>50</v>
      </c>
      <c r="E21" t="s">
        <v>85</v>
      </c>
      <c r="F21" t="s">
        <v>83</v>
      </c>
      <c r="G21" t="s">
        <v>41</v>
      </c>
      <c r="H21" t="s">
        <v>25</v>
      </c>
      <c r="J21" t="s">
        <v>12</v>
      </c>
      <c r="K21" t="s">
        <v>13</v>
      </c>
      <c r="L21">
        <v>35</v>
      </c>
      <c r="M21">
        <v>96</v>
      </c>
      <c r="N21">
        <f>Hoja4!$L21*Hoja4!$M21</f>
        <v>3360</v>
      </c>
      <c r="O21" t="str">
        <f t="shared" si="0"/>
        <v>Vie.</v>
      </c>
      <c r="P21" t="str">
        <f t="shared" si="1"/>
        <v>febrero</v>
      </c>
      <c r="S21">
        <v>265</v>
      </c>
      <c r="T21" s="15">
        <v>44073</v>
      </c>
      <c r="U21">
        <v>7474169055</v>
      </c>
      <c r="V21" t="str">
        <v>Empresa Z</v>
      </c>
      <c r="W21" t="str">
        <v>Quito</v>
      </c>
      <c r="X21" t="str">
        <v>Pichincha</v>
      </c>
      <c r="Y21" t="str">
        <v>Ana del Valle Hinojosa</v>
      </c>
      <c r="Z21" t="str">
        <v>Empresa de embarque C</v>
      </c>
      <c r="AA21" t="str">
        <v>Tarjeta de crédito</v>
      </c>
      <c r="AB21" t="str">
        <v>Almejas</v>
      </c>
      <c r="AC21" t="str">
        <v>Sopas</v>
      </c>
      <c r="AD21">
        <v>135.1</v>
      </c>
      <c r="AE21">
        <v>71</v>
      </c>
      <c r="AF21">
        <v>9592.1</v>
      </c>
      <c r="AG21" t="str">
        <v>Dom.</v>
      </c>
      <c r="AH21" t="str">
        <v>agosto</v>
      </c>
      <c r="AK21" cm="1">
        <f t="array" ref="AK21">_xlfn.IFS(AG21=$AM$10,1,AG21=$AM$11,2,AG21=$AM$12,3,AG21=$AM$13,4,AG21=$AM$14,5,AG21=$AM$15,6,AG21=$AM$16,7)</f>
        <v>7</v>
      </c>
      <c r="AM21" t="str">
        <v>Mié.</v>
      </c>
    </row>
    <row r="22" spans="1:41" x14ac:dyDescent="0.25">
      <c r="A22">
        <v>21</v>
      </c>
      <c r="B22">
        <v>44138</v>
      </c>
      <c r="C22">
        <v>7813757711</v>
      </c>
      <c r="D22" t="s">
        <v>50</v>
      </c>
      <c r="E22" t="s">
        <v>85</v>
      </c>
      <c r="F22" t="s">
        <v>83</v>
      </c>
      <c r="G22" t="s">
        <v>41</v>
      </c>
      <c r="H22" t="s">
        <v>25</v>
      </c>
      <c r="J22" t="s">
        <v>44</v>
      </c>
      <c r="K22" t="s">
        <v>11</v>
      </c>
      <c r="L22">
        <v>20</v>
      </c>
      <c r="M22">
        <v>50</v>
      </c>
      <c r="N22">
        <f>Hoja4!$L22*Hoja4!$M22</f>
        <v>1000</v>
      </c>
      <c r="O22" t="str">
        <f t="shared" si="0"/>
        <v>Mar.</v>
      </c>
      <c r="P22" t="str">
        <f t="shared" si="1"/>
        <v>noviembre</v>
      </c>
      <c r="S22">
        <v>192</v>
      </c>
      <c r="T22" s="15">
        <v>44049</v>
      </c>
      <c r="U22">
        <v>2018401595</v>
      </c>
      <c r="V22" t="str">
        <v>Empresa H</v>
      </c>
      <c r="W22" t="str">
        <v>Riobamba</v>
      </c>
      <c r="X22" t="str">
        <v>Chimborazo</v>
      </c>
      <c r="Y22" t="str">
        <v>Nancy Gil de la Peña</v>
      </c>
      <c r="Z22" t="str">
        <v>Empresa de embarque C</v>
      </c>
      <c r="AA22" t="str">
        <v>Cheque</v>
      </c>
      <c r="AB22" t="str">
        <v>Chocolate</v>
      </c>
      <c r="AC22" t="str">
        <v>Dulces</v>
      </c>
      <c r="AD22">
        <v>178.5</v>
      </c>
      <c r="AE22">
        <v>57</v>
      </c>
      <c r="AF22">
        <v>10174.5</v>
      </c>
      <c r="AG22" t="str">
        <v>Jue.</v>
      </c>
      <c r="AH22" t="str">
        <v>agosto</v>
      </c>
      <c r="AK22" cm="1">
        <f t="array" ref="AK22">_xlfn.IFS(AG22=$AM$10,1,AG22=$AM$11,2,AG22=$AM$12,3,AG22=$AM$13,4,AG22=$AM$14,5,AG22=$AM$15,6,AG22=$AM$16,7)</f>
        <v>4</v>
      </c>
      <c r="AM22" t="str">
        <v>Jue.</v>
      </c>
    </row>
    <row r="23" spans="1:41" x14ac:dyDescent="0.25">
      <c r="A23">
        <v>22</v>
      </c>
      <c r="B23">
        <v>43918</v>
      </c>
      <c r="C23">
        <v>4786931679</v>
      </c>
      <c r="D23" t="s">
        <v>51</v>
      </c>
      <c r="E23" t="s">
        <v>90</v>
      </c>
      <c r="F23" t="s">
        <v>98</v>
      </c>
      <c r="G23" t="s">
        <v>24</v>
      </c>
      <c r="J23" t="s">
        <v>21</v>
      </c>
      <c r="K23" t="s">
        <v>11</v>
      </c>
      <c r="L23">
        <v>50</v>
      </c>
      <c r="M23">
        <v>75</v>
      </c>
      <c r="N23">
        <f>Hoja4!$L23*Hoja4!$M23</f>
        <v>3750</v>
      </c>
      <c r="O23" t="str">
        <f t="shared" si="0"/>
        <v>Sáb.</v>
      </c>
      <c r="P23" t="str">
        <f t="shared" si="1"/>
        <v>marzo</v>
      </c>
      <c r="S23">
        <v>191</v>
      </c>
      <c r="T23" s="15">
        <v>44045</v>
      </c>
      <c r="U23">
        <v>1537469039</v>
      </c>
      <c r="V23" t="str">
        <v>Empresa BB</v>
      </c>
      <c r="W23" t="str">
        <v>Manta</v>
      </c>
      <c r="X23" t="str">
        <v>Manabi</v>
      </c>
      <c r="Y23" t="str">
        <v>Ana del Valle Hinojosa</v>
      </c>
      <c r="Z23" t="str">
        <v>Empresa de embarque C</v>
      </c>
      <c r="AA23" t="str">
        <v>Cheque</v>
      </c>
      <c r="AB23" t="str">
        <v>Café</v>
      </c>
      <c r="AC23" t="str">
        <v>Bebidas</v>
      </c>
      <c r="AD23">
        <v>644</v>
      </c>
      <c r="AE23">
        <v>28</v>
      </c>
      <c r="AF23">
        <v>18032</v>
      </c>
      <c r="AG23" t="str">
        <v>Dom.</v>
      </c>
      <c r="AH23" t="str">
        <v>agosto</v>
      </c>
      <c r="AK23" cm="1">
        <f t="array" ref="AK23">_xlfn.IFS(AG23=$AM$10,1,AG23=$AM$11,2,AG23=$AM$12,3,AG23=$AM$13,4,AG23=$AM$14,5,AG23=$AM$15,6,AG23=$AM$16,7)</f>
        <v>7</v>
      </c>
      <c r="AM23" t="str">
        <v>Sáb.</v>
      </c>
    </row>
    <row r="24" spans="1:41" x14ac:dyDescent="0.25">
      <c r="A24">
        <v>23</v>
      </c>
      <c r="B24">
        <v>44039</v>
      </c>
      <c r="C24">
        <v>3021659728</v>
      </c>
      <c r="D24" t="s">
        <v>51</v>
      </c>
      <c r="E24" t="s">
        <v>90</v>
      </c>
      <c r="F24" t="s">
        <v>98</v>
      </c>
      <c r="G24" t="s">
        <v>24</v>
      </c>
      <c r="J24" t="s">
        <v>22</v>
      </c>
      <c r="K24" t="s">
        <v>11</v>
      </c>
      <c r="L24">
        <v>21</v>
      </c>
      <c r="M24">
        <v>4</v>
      </c>
      <c r="N24">
        <f>Hoja4!$L24*Hoja4!$M24</f>
        <v>84</v>
      </c>
      <c r="O24" t="str">
        <f t="shared" si="0"/>
        <v>Lun.</v>
      </c>
      <c r="P24" t="str">
        <f t="shared" si="1"/>
        <v>julio</v>
      </c>
      <c r="S24">
        <v>185</v>
      </c>
      <c r="T24" s="15">
        <v>44069</v>
      </c>
      <c r="U24">
        <v>5411926783</v>
      </c>
      <c r="V24" t="str">
        <v>Empresa J</v>
      </c>
      <c r="W24" t="str">
        <v>Esmeraldas</v>
      </c>
      <c r="X24" t="str">
        <v>Esmeraldas</v>
      </c>
      <c r="Y24" t="str">
        <v>Laura Gutiérrez Saenz</v>
      </c>
      <c r="Z24" t="str">
        <v>Empresa de embarque A</v>
      </c>
      <c r="AA24">
        <v>0</v>
      </c>
      <c r="AB24" t="str">
        <v>Ciruelas secas</v>
      </c>
      <c r="AC24" t="str">
        <v>Frutas secas</v>
      </c>
      <c r="AD24">
        <v>49</v>
      </c>
      <c r="AE24">
        <v>27</v>
      </c>
      <c r="AF24">
        <v>1323</v>
      </c>
      <c r="AG24" t="str">
        <v>Mié.</v>
      </c>
      <c r="AH24" t="str">
        <v>agosto</v>
      </c>
      <c r="AK24" cm="1">
        <f t="array" ref="AK24">_xlfn.IFS(AG24=$AM$10,1,AG24=$AM$11,2,AG24=$AM$12,3,AG24=$AM$13,4,AG24=$AM$14,5,AG24=$AM$15,6,AG24=$AM$16,7)</f>
        <v>3</v>
      </c>
      <c r="AM24" t="str">
        <v>Mar.</v>
      </c>
    </row>
    <row r="25" spans="1:41" x14ac:dyDescent="0.25">
      <c r="A25">
        <v>24</v>
      </c>
      <c r="B25">
        <v>43993</v>
      </c>
      <c r="C25">
        <v>2591950684</v>
      </c>
      <c r="D25" t="s">
        <v>51</v>
      </c>
      <c r="E25" t="s">
        <v>90</v>
      </c>
      <c r="F25" t="s">
        <v>98</v>
      </c>
      <c r="G25" t="s">
        <v>24</v>
      </c>
      <c r="J25" t="s">
        <v>44</v>
      </c>
      <c r="K25" t="s">
        <v>11</v>
      </c>
      <c r="L25">
        <v>43</v>
      </c>
      <c r="M25">
        <v>18</v>
      </c>
      <c r="N25">
        <f>Hoja4!$L25*Hoja4!$M25</f>
        <v>774</v>
      </c>
      <c r="O25" t="str">
        <f t="shared" si="0"/>
        <v>Jue.</v>
      </c>
      <c r="P25" t="str">
        <f t="shared" si="1"/>
        <v>junio</v>
      </c>
      <c r="S25">
        <v>182</v>
      </c>
      <c r="T25" s="15">
        <v>44052</v>
      </c>
      <c r="U25">
        <v>5404968765</v>
      </c>
      <c r="V25" t="str">
        <v>Empresa C</v>
      </c>
      <c r="W25" t="str">
        <v>Machala</v>
      </c>
      <c r="X25" t="str">
        <v>El Oro</v>
      </c>
      <c r="Y25" t="str">
        <v>Mayra Aguilar Sepúlveda</v>
      </c>
      <c r="Z25" t="str">
        <v>Empresa de embarque B</v>
      </c>
      <c r="AA25" t="str">
        <v>Efectivo</v>
      </c>
      <c r="AB25" t="str">
        <v>Jarabe</v>
      </c>
      <c r="AC25" t="str">
        <v>Condimentos</v>
      </c>
      <c r="AD25">
        <v>140</v>
      </c>
      <c r="AE25">
        <v>99</v>
      </c>
      <c r="AF25">
        <v>13860</v>
      </c>
      <c r="AG25" t="str">
        <v>Dom.</v>
      </c>
      <c r="AH25" t="str">
        <v>agosto</v>
      </c>
      <c r="AK25" cm="1">
        <f t="array" ref="AK25">_xlfn.IFS(AG25=$AM$10,1,AG25=$AM$11,2,AG25=$AM$12,3,AG25=$AM$13,4,AG25=$AM$14,5,AG25=$AM$15,6,AG25=$AM$16,7)</f>
        <v>7</v>
      </c>
      <c r="AM25" t="str">
        <v>Vie.</v>
      </c>
    </row>
    <row r="26" spans="1:41" x14ac:dyDescent="0.25">
      <c r="A26">
        <v>25</v>
      </c>
      <c r="B26">
        <v>43885</v>
      </c>
      <c r="C26">
        <v>9326361454</v>
      </c>
      <c r="D26" t="s">
        <v>40</v>
      </c>
      <c r="E26" t="s">
        <v>97</v>
      </c>
      <c r="F26" t="s">
        <v>88</v>
      </c>
      <c r="G26" t="s">
        <v>41</v>
      </c>
      <c r="H26" t="s">
        <v>25</v>
      </c>
      <c r="I26" t="s">
        <v>17</v>
      </c>
      <c r="J26" t="s">
        <v>34</v>
      </c>
      <c r="K26" t="s">
        <v>35</v>
      </c>
      <c r="L26">
        <v>26</v>
      </c>
      <c r="M26">
        <v>49</v>
      </c>
      <c r="N26">
        <f>Hoja4!$L26*Hoja4!$M26</f>
        <v>1274</v>
      </c>
      <c r="O26" t="str">
        <f t="shared" si="0"/>
        <v>Lun.</v>
      </c>
      <c r="P26" t="str">
        <f t="shared" si="1"/>
        <v>febrero</v>
      </c>
      <c r="S26">
        <v>175</v>
      </c>
      <c r="T26" s="15">
        <v>44054</v>
      </c>
      <c r="U26">
        <v>3247684317</v>
      </c>
      <c r="V26" t="str">
        <v>Empresa Z</v>
      </c>
      <c r="W26" t="str">
        <v>Quito</v>
      </c>
      <c r="X26" t="str">
        <v>Pichincha</v>
      </c>
      <c r="Y26" t="str">
        <v>Ana del Valle Hinojosa</v>
      </c>
      <c r="Z26" t="str">
        <v>Empresa de embarque C</v>
      </c>
      <c r="AA26" t="str">
        <v>Tarjeta de crédito</v>
      </c>
      <c r="AB26" t="str">
        <v>Almejas</v>
      </c>
      <c r="AC26" t="str">
        <v>Sopas</v>
      </c>
      <c r="AD26">
        <v>135.1</v>
      </c>
      <c r="AE26">
        <v>25</v>
      </c>
      <c r="AF26">
        <v>3377.5</v>
      </c>
      <c r="AG26" t="str">
        <v>Mar.</v>
      </c>
      <c r="AH26" t="str">
        <v>agosto</v>
      </c>
      <c r="AK26" cm="1">
        <f t="array" ref="AK26">_xlfn.IFS(AG26=$AM$10,1,AG26=$AM$11,2,AG26=$AM$12,3,AG26=$AM$13,4,AG26=$AM$14,5,AG26=$AM$15,6,AG26=$AM$16,7)</f>
        <v>2</v>
      </c>
    </row>
    <row r="27" spans="1:41" x14ac:dyDescent="0.25">
      <c r="A27">
        <v>26</v>
      </c>
      <c r="B27">
        <v>44055</v>
      </c>
      <c r="C27">
        <v>3769138349</v>
      </c>
      <c r="D27" t="s">
        <v>40</v>
      </c>
      <c r="E27" t="s">
        <v>97</v>
      </c>
      <c r="F27" t="s">
        <v>88</v>
      </c>
      <c r="G27" t="s">
        <v>41</v>
      </c>
      <c r="H27" t="s">
        <v>25</v>
      </c>
      <c r="I27" t="s">
        <v>17</v>
      </c>
      <c r="J27" t="s">
        <v>52</v>
      </c>
      <c r="K27" t="s">
        <v>53</v>
      </c>
      <c r="L27">
        <v>39</v>
      </c>
      <c r="M27">
        <v>21</v>
      </c>
      <c r="N27">
        <f>Hoja4!$L27*Hoja4!$M27</f>
        <v>819</v>
      </c>
      <c r="O27" t="str">
        <f t="shared" si="0"/>
        <v>Mié.</v>
      </c>
      <c r="P27" t="str">
        <f t="shared" si="1"/>
        <v>agosto</v>
      </c>
      <c r="S27">
        <v>162</v>
      </c>
      <c r="T27" s="15">
        <v>44064</v>
      </c>
      <c r="U27">
        <v>5739621013</v>
      </c>
      <c r="V27" t="str">
        <v>Empresa F</v>
      </c>
      <c r="W27" t="str">
        <v>Ibarra</v>
      </c>
      <c r="X27" t="str">
        <v>Imbabura</v>
      </c>
      <c r="Y27" t="str">
        <v>Luis Miguel Valdés Garza</v>
      </c>
      <c r="Z27" t="str">
        <v>Empresa de embarque C</v>
      </c>
      <c r="AA27" t="str">
        <v>Cheque</v>
      </c>
      <c r="AB27" t="str">
        <v>Manzanas secas</v>
      </c>
      <c r="AC27" t="str">
        <v>Frutas secas</v>
      </c>
      <c r="AD27">
        <v>742</v>
      </c>
      <c r="AE27">
        <v>14</v>
      </c>
      <c r="AF27">
        <v>10388</v>
      </c>
      <c r="AG27" t="str">
        <v>Vie.</v>
      </c>
      <c r="AH27" t="str">
        <v>agosto</v>
      </c>
      <c r="AK27" cm="1">
        <f t="array" ref="AK27">_xlfn.IFS(AG27=$AM$10,1,AG27=$AM$11,2,AG27=$AM$12,3,AG27=$AM$13,4,AG27=$AM$14,5,AG27=$AM$15,6,AG27=$AM$16,7)</f>
        <v>5</v>
      </c>
    </row>
    <row r="28" spans="1:41" x14ac:dyDescent="0.25">
      <c r="A28">
        <v>27</v>
      </c>
      <c r="B28">
        <v>43908</v>
      </c>
      <c r="C28">
        <v>5871657714</v>
      </c>
      <c r="D28" t="s">
        <v>54</v>
      </c>
      <c r="E28" t="s">
        <v>89</v>
      </c>
      <c r="F28" t="s">
        <v>84</v>
      </c>
      <c r="G28" t="s">
        <v>55</v>
      </c>
      <c r="H28" t="s">
        <v>16</v>
      </c>
      <c r="I28" t="s">
        <v>9</v>
      </c>
      <c r="J28" t="s">
        <v>56</v>
      </c>
      <c r="K28" t="s">
        <v>57</v>
      </c>
      <c r="L28">
        <v>33</v>
      </c>
      <c r="M28">
        <v>8</v>
      </c>
      <c r="N28">
        <f>Hoja4!$L28*Hoja4!$M28</f>
        <v>264</v>
      </c>
      <c r="O28" t="str">
        <f t="shared" si="0"/>
        <v>Mié.</v>
      </c>
      <c r="P28" t="str">
        <f t="shared" si="1"/>
        <v>marzo</v>
      </c>
      <c r="S28">
        <v>160</v>
      </c>
      <c r="T28" s="15">
        <v>44049</v>
      </c>
      <c r="U28">
        <v>7169314881</v>
      </c>
      <c r="V28" t="str">
        <v>Empresa CC</v>
      </c>
      <c r="W28" t="str">
        <v>Guayaquil</v>
      </c>
      <c r="X28" t="str">
        <v>Guayas</v>
      </c>
      <c r="Y28" t="str">
        <v>José de Jesús Morales</v>
      </c>
      <c r="Z28" t="str">
        <v>Empresa de embarque B</v>
      </c>
      <c r="AA28" t="str">
        <v>Cheque</v>
      </c>
      <c r="AB28" t="str">
        <v>Cóctel de frutas</v>
      </c>
      <c r="AC28" t="str">
        <v>Frutas y vegetales</v>
      </c>
      <c r="AD28">
        <v>546</v>
      </c>
      <c r="AE28">
        <v>98</v>
      </c>
      <c r="AF28">
        <v>53508</v>
      </c>
      <c r="AG28" t="str">
        <v>Jue.</v>
      </c>
      <c r="AH28" t="str">
        <v>agosto</v>
      </c>
      <c r="AK28" cm="1">
        <f t="array" ref="AK28">_xlfn.IFS(AG28=$AM$10,1,AG28=$AM$11,2,AG28=$AM$12,3,AG28=$AM$13,4,AG28=$AM$14,5,AG28=$AM$15,6,AG28=$AM$16,7)</f>
        <v>4</v>
      </c>
    </row>
    <row r="29" spans="1:41" x14ac:dyDescent="0.25">
      <c r="A29">
        <v>28</v>
      </c>
      <c r="B29">
        <v>43965</v>
      </c>
      <c r="C29">
        <v>1534553307</v>
      </c>
      <c r="D29" t="s">
        <v>54</v>
      </c>
      <c r="E29" t="s">
        <v>89</v>
      </c>
      <c r="F29" t="s">
        <v>84</v>
      </c>
      <c r="G29" t="s">
        <v>55</v>
      </c>
      <c r="H29" t="s">
        <v>16</v>
      </c>
      <c r="I29" t="s">
        <v>9</v>
      </c>
      <c r="J29" t="s">
        <v>58</v>
      </c>
      <c r="K29" t="s">
        <v>59</v>
      </c>
      <c r="L29">
        <v>46</v>
      </c>
      <c r="M29">
        <v>82</v>
      </c>
      <c r="N29">
        <f>Hoja4!$L29*Hoja4!$M29</f>
        <v>3772</v>
      </c>
      <c r="O29" t="str">
        <f t="shared" si="0"/>
        <v>Jue.</v>
      </c>
      <c r="P29" t="str">
        <f t="shared" si="1"/>
        <v>mayo</v>
      </c>
      <c r="S29">
        <v>147</v>
      </c>
      <c r="T29" s="15">
        <v>44056</v>
      </c>
      <c r="U29">
        <v>3475726472</v>
      </c>
      <c r="V29" t="str">
        <v>Empresa H</v>
      </c>
      <c r="W29" t="str">
        <v>Riobamba</v>
      </c>
      <c r="X29" t="str">
        <v>Chimborazo</v>
      </c>
      <c r="Y29" t="str">
        <v>Nancy Gil de la Peña</v>
      </c>
      <c r="Z29" t="str">
        <v>Empresa de embarque C</v>
      </c>
      <c r="AA29" t="str">
        <v>Tarjeta de crédito</v>
      </c>
      <c r="AB29" t="str">
        <v>Mozzarella</v>
      </c>
      <c r="AC29" t="str">
        <v>Productos lácteos</v>
      </c>
      <c r="AD29">
        <v>487.19999999999993</v>
      </c>
      <c r="AE29">
        <v>30</v>
      </c>
      <c r="AF29">
        <v>14615.999999999998</v>
      </c>
      <c r="AG29" t="str">
        <v>Jue.</v>
      </c>
      <c r="AH29" t="str">
        <v>agosto</v>
      </c>
      <c r="AK29" cm="1">
        <f t="array" ref="AK29">_xlfn.IFS(AG29=$AM$10,1,AG29=$AM$11,2,AG29=$AM$12,3,AG29=$AM$13,4,AG29=$AM$14,5,AG29=$AM$15,6,AG29=$AM$16,7)</f>
        <v>4</v>
      </c>
    </row>
    <row r="30" spans="1:41" x14ac:dyDescent="0.25">
      <c r="A30">
        <v>29</v>
      </c>
      <c r="B30">
        <v>44146</v>
      </c>
      <c r="C30">
        <v>8474620707</v>
      </c>
      <c r="D30" t="s">
        <v>36</v>
      </c>
      <c r="E30" t="s">
        <v>92</v>
      </c>
      <c r="F30" t="s">
        <v>99</v>
      </c>
      <c r="G30" t="s">
        <v>37</v>
      </c>
      <c r="H30" t="s">
        <v>8</v>
      </c>
      <c r="I30" t="s">
        <v>17</v>
      </c>
      <c r="J30" t="s">
        <v>10</v>
      </c>
      <c r="K30" t="s">
        <v>11</v>
      </c>
      <c r="L30">
        <v>32</v>
      </c>
      <c r="M30">
        <v>75</v>
      </c>
      <c r="N30">
        <f>Hoja4!$L30*Hoja4!$M30</f>
        <v>2400</v>
      </c>
      <c r="O30" t="str">
        <f t="shared" si="0"/>
        <v>Mié.</v>
      </c>
      <c r="P30" t="str">
        <f t="shared" si="1"/>
        <v>noviembre</v>
      </c>
      <c r="S30">
        <v>145</v>
      </c>
      <c r="T30" s="15">
        <v>44046</v>
      </c>
      <c r="U30">
        <v>5585231955</v>
      </c>
      <c r="V30" t="str">
        <v>Empresa D</v>
      </c>
      <c r="W30" t="str">
        <v>Azogues</v>
      </c>
      <c r="X30" t="str">
        <v>Canar</v>
      </c>
      <c r="Y30" t="str">
        <v>Andrés González Rico</v>
      </c>
      <c r="Z30" t="str">
        <v>Empresa de embarque A</v>
      </c>
      <c r="AA30" t="str">
        <v>Tarjeta de crédito</v>
      </c>
      <c r="AB30" t="str">
        <v>Mermelada de zarzamora</v>
      </c>
      <c r="AC30" t="str">
        <v>Mermeladas y jaleas</v>
      </c>
      <c r="AD30">
        <v>1134</v>
      </c>
      <c r="AE30">
        <v>98</v>
      </c>
      <c r="AF30">
        <v>111132</v>
      </c>
      <c r="AG30" t="str">
        <v>Lun.</v>
      </c>
      <c r="AH30" t="str">
        <v>agosto</v>
      </c>
      <c r="AK30" cm="1">
        <f t="array" ref="AK30">_xlfn.IFS(AG30=$AM$10,1,AG30=$AM$11,2,AG30=$AM$12,3,AG30=$AM$13,4,AG30=$AM$14,5,AG30=$AM$15,6,AG30=$AM$16,7)</f>
        <v>1</v>
      </c>
    </row>
    <row r="31" spans="1:41" x14ac:dyDescent="0.25">
      <c r="A31">
        <v>30</v>
      </c>
      <c r="B31">
        <v>44144</v>
      </c>
      <c r="C31">
        <v>3530767380</v>
      </c>
      <c r="D31" t="s">
        <v>23</v>
      </c>
      <c r="E31" t="s">
        <v>86</v>
      </c>
      <c r="F31" t="s">
        <v>82</v>
      </c>
      <c r="G31" t="s">
        <v>24</v>
      </c>
      <c r="H31" t="s">
        <v>8</v>
      </c>
      <c r="I31" t="s">
        <v>9</v>
      </c>
      <c r="J31" t="s">
        <v>38</v>
      </c>
      <c r="K31" t="s">
        <v>39</v>
      </c>
      <c r="L31">
        <v>34</v>
      </c>
      <c r="M31">
        <v>3</v>
      </c>
      <c r="N31">
        <f>Hoja4!$L31*Hoja4!$M31</f>
        <v>102</v>
      </c>
      <c r="O31" t="str">
        <f t="shared" si="0"/>
        <v>Lun.</v>
      </c>
      <c r="P31" t="str">
        <f t="shared" si="1"/>
        <v>noviembre</v>
      </c>
      <c r="S31">
        <v>139</v>
      </c>
      <c r="T31" s="15">
        <v>44054</v>
      </c>
      <c r="U31">
        <v>4818692078</v>
      </c>
      <c r="V31" t="str">
        <v>Empresa Y</v>
      </c>
      <c r="W31" t="str">
        <v>Esmeraldas</v>
      </c>
      <c r="X31" t="str">
        <v>Esmeraldas</v>
      </c>
      <c r="Y31" t="str">
        <v>Laura Gutiérrez Saenz</v>
      </c>
      <c r="Z31" t="str">
        <v>Empresa de embarque A</v>
      </c>
      <c r="AA31" t="str">
        <v>Efectivo</v>
      </c>
      <c r="AB31" t="str">
        <v>Bolillos</v>
      </c>
      <c r="AC31" t="str">
        <v>Productos horneados</v>
      </c>
      <c r="AD31">
        <v>140</v>
      </c>
      <c r="AE31">
        <v>49</v>
      </c>
      <c r="AF31">
        <v>6860</v>
      </c>
      <c r="AG31" t="str">
        <v>Mar.</v>
      </c>
      <c r="AH31" t="str">
        <v>agosto</v>
      </c>
      <c r="AK31" cm="1">
        <f t="array" ref="AK31">_xlfn.IFS(AG31=$AM$10,1,AG31=$AM$11,2,AG31=$AM$12,3,AG31=$AM$13,4,AG31=$AM$14,5,AG31=$AM$15,6,AG31=$AM$16,7)</f>
        <v>2</v>
      </c>
    </row>
    <row r="32" spans="1:41" x14ac:dyDescent="0.25">
      <c r="A32">
        <v>31</v>
      </c>
      <c r="B32">
        <v>43845</v>
      </c>
      <c r="C32">
        <v>6673950624</v>
      </c>
      <c r="D32" t="s">
        <v>32</v>
      </c>
      <c r="E32" t="s">
        <v>93</v>
      </c>
      <c r="F32" t="s">
        <v>96</v>
      </c>
      <c r="G32" t="s">
        <v>7</v>
      </c>
      <c r="H32" t="s">
        <v>8</v>
      </c>
      <c r="I32" t="s">
        <v>33</v>
      </c>
      <c r="J32" t="s">
        <v>60</v>
      </c>
      <c r="K32" t="s">
        <v>49</v>
      </c>
      <c r="L32">
        <v>24</v>
      </c>
      <c r="M32">
        <v>33</v>
      </c>
      <c r="N32">
        <f>Hoja4!$L32*Hoja4!$M32</f>
        <v>792</v>
      </c>
      <c r="O32" t="str">
        <f t="shared" si="0"/>
        <v>Mié.</v>
      </c>
      <c r="P32" t="str">
        <f t="shared" si="1"/>
        <v>enero</v>
      </c>
      <c r="S32">
        <v>137</v>
      </c>
      <c r="T32" s="15">
        <v>44047</v>
      </c>
      <c r="U32">
        <v>1196729221</v>
      </c>
      <c r="V32" t="str">
        <v>Empresa H</v>
      </c>
      <c r="W32" t="str">
        <v>Riobamba</v>
      </c>
      <c r="X32" t="str">
        <v>Chimborazo</v>
      </c>
      <c r="Y32" t="str">
        <v>Nancy Gil de la Peña</v>
      </c>
      <c r="Z32" t="str">
        <v>Empresa de embarque B</v>
      </c>
      <c r="AA32" t="str">
        <v>Cheque</v>
      </c>
      <c r="AB32" t="str">
        <v>Salsa curry</v>
      </c>
      <c r="AC32" t="str">
        <v>Salsas</v>
      </c>
      <c r="AD32">
        <v>560</v>
      </c>
      <c r="AE32">
        <v>38</v>
      </c>
      <c r="AF32">
        <v>21280</v>
      </c>
      <c r="AG32" t="str">
        <v>Mar.</v>
      </c>
      <c r="AH32" t="str">
        <v>agosto</v>
      </c>
      <c r="AK32" cm="1">
        <f t="array" ref="AK32">_xlfn.IFS(AG32=$AM$10,1,AG32=$AM$11,2,AG32=$AM$12,3,AG32=$AM$13,4,AG32=$AM$14,5,AG32=$AM$15,6,AG32=$AM$16,7)</f>
        <v>2</v>
      </c>
    </row>
    <row r="33" spans="1:37" x14ac:dyDescent="0.25">
      <c r="A33">
        <v>32</v>
      </c>
      <c r="B33">
        <v>43967</v>
      </c>
      <c r="C33">
        <v>7137547321</v>
      </c>
      <c r="D33" t="s">
        <v>32</v>
      </c>
      <c r="E33" t="s">
        <v>93</v>
      </c>
      <c r="F33" t="s">
        <v>96</v>
      </c>
      <c r="G33" t="s">
        <v>7</v>
      </c>
      <c r="H33" t="s">
        <v>8</v>
      </c>
      <c r="I33" t="s">
        <v>33</v>
      </c>
      <c r="J33" t="s">
        <v>38</v>
      </c>
      <c r="L33">
        <v>21</v>
      </c>
      <c r="M33">
        <v>51</v>
      </c>
      <c r="N33">
        <f>Hoja4!$L33*Hoja4!$M33</f>
        <v>1071</v>
      </c>
      <c r="O33" t="str">
        <f t="shared" si="0"/>
        <v>Sáb.</v>
      </c>
      <c r="P33" t="str">
        <f t="shared" si="1"/>
        <v>mayo</v>
      </c>
      <c r="S33">
        <v>136</v>
      </c>
      <c r="T33" s="15">
        <v>44058</v>
      </c>
      <c r="U33">
        <v>2071690973</v>
      </c>
      <c r="V33" t="str">
        <v>Empresa F</v>
      </c>
      <c r="W33" t="str">
        <v>Ibarra</v>
      </c>
      <c r="X33" t="str">
        <v>Imbabura</v>
      </c>
      <c r="Y33" t="str">
        <v>Luis Miguel Valdés Garza</v>
      </c>
      <c r="Z33" t="str">
        <v>Empresa de embarque B</v>
      </c>
      <c r="AA33" t="str">
        <v>Tarjeta de crédito</v>
      </c>
      <c r="AB33" t="str">
        <v>Cerveza</v>
      </c>
      <c r="AC33" t="str">
        <v>Bebidas</v>
      </c>
      <c r="AD33">
        <v>196</v>
      </c>
      <c r="AE33">
        <v>65</v>
      </c>
      <c r="AF33">
        <v>12740</v>
      </c>
      <c r="AG33" t="str">
        <v>Sáb.</v>
      </c>
      <c r="AH33" t="str">
        <v>agosto</v>
      </c>
      <c r="AK33" cm="1">
        <f t="array" ref="AK33">_xlfn.IFS(AG33=$AM$10,1,AG33=$AM$11,2,AG33=$AM$12,3,AG33=$AM$13,4,AG33=$AM$14,5,AG33=$AM$15,6,AG33=$AM$16,7)</f>
        <v>6</v>
      </c>
    </row>
    <row r="34" spans="1:37" x14ac:dyDescent="0.25">
      <c r="A34">
        <v>33</v>
      </c>
      <c r="B34">
        <v>43862</v>
      </c>
      <c r="C34">
        <v>9655985375</v>
      </c>
      <c r="D34" t="s">
        <v>36</v>
      </c>
      <c r="E34" t="s">
        <v>92</v>
      </c>
      <c r="F34" t="s">
        <v>99</v>
      </c>
      <c r="G34" t="s">
        <v>37</v>
      </c>
      <c r="H34" t="s">
        <v>8</v>
      </c>
      <c r="I34" t="s">
        <v>17</v>
      </c>
      <c r="K34" t="s">
        <v>5</v>
      </c>
      <c r="O34" t="str">
        <f t="shared" si="0"/>
        <v>Sáb.</v>
      </c>
      <c r="P34" t="str">
        <f t="shared" si="1"/>
        <v>febrero</v>
      </c>
      <c r="S34">
        <v>133</v>
      </c>
      <c r="T34" s="15">
        <v>44057</v>
      </c>
      <c r="U34">
        <v>2633840866</v>
      </c>
      <c r="V34" t="str">
        <v>Empresa BB</v>
      </c>
      <c r="W34" t="str">
        <v>Manta</v>
      </c>
      <c r="X34" t="str">
        <v>Manabi</v>
      </c>
      <c r="Y34" t="str">
        <v>Ana del Valle Hinojosa</v>
      </c>
      <c r="Z34" t="str">
        <v>Empresa de embarque C</v>
      </c>
      <c r="AA34" t="str">
        <v>Tarjeta de crédito</v>
      </c>
      <c r="AB34" t="str">
        <v>Carne de cangrejo</v>
      </c>
      <c r="AC34" t="str">
        <v>Carne enlatada</v>
      </c>
      <c r="AD34">
        <v>257.59999999999997</v>
      </c>
      <c r="AE34">
        <v>98</v>
      </c>
      <c r="AF34">
        <v>25244.799999999996</v>
      </c>
      <c r="AG34" t="str">
        <v>Vie.</v>
      </c>
      <c r="AH34" t="str">
        <v>agosto</v>
      </c>
      <c r="AK34" cm="1">
        <f t="array" ref="AK34">_xlfn.IFS(AG34=$AM$10,1,AG34=$AM$11,2,AG34=$AM$12,3,AG34=$AM$13,4,AG34=$AM$14,5,AG34=$AM$15,6,AG34=$AM$16,7)</f>
        <v>5</v>
      </c>
    </row>
    <row r="35" spans="1:37" x14ac:dyDescent="0.25">
      <c r="A35">
        <v>34</v>
      </c>
      <c r="B35">
        <v>44167</v>
      </c>
      <c r="C35">
        <v>299812367</v>
      </c>
      <c r="D35" t="s">
        <v>40</v>
      </c>
      <c r="E35" t="s">
        <v>97</v>
      </c>
      <c r="F35" t="s">
        <v>88</v>
      </c>
      <c r="G35" t="s">
        <v>41</v>
      </c>
      <c r="H35" t="s">
        <v>25</v>
      </c>
      <c r="I35" t="s">
        <v>9</v>
      </c>
      <c r="K35" t="s">
        <v>5</v>
      </c>
      <c r="O35" t="str">
        <f t="shared" si="0"/>
        <v>Mié.</v>
      </c>
      <c r="P35" t="str">
        <f t="shared" si="1"/>
        <v>diciembre</v>
      </c>
      <c r="S35">
        <v>111</v>
      </c>
      <c r="T35" s="15">
        <v>44073</v>
      </c>
      <c r="U35">
        <v>9950546196</v>
      </c>
      <c r="V35" t="str">
        <v>Empresa H</v>
      </c>
      <c r="W35" t="str">
        <v>Riobamba</v>
      </c>
      <c r="X35" t="str">
        <v>Chimborazo</v>
      </c>
      <c r="Y35" t="str">
        <v>Nancy Gil de la Peña</v>
      </c>
      <c r="Z35" t="str">
        <v>Empresa de embarque B</v>
      </c>
      <c r="AA35" t="str">
        <v>Cheque</v>
      </c>
      <c r="AB35" t="str">
        <v>Galletas de chocolate</v>
      </c>
      <c r="AC35" t="str">
        <v>Productos horneados</v>
      </c>
      <c r="AD35">
        <v>128.79999999999998</v>
      </c>
      <c r="AE35">
        <v>51</v>
      </c>
      <c r="AF35">
        <v>6568.7999999999993</v>
      </c>
      <c r="AG35" t="str">
        <v>Dom.</v>
      </c>
      <c r="AH35" t="str">
        <v>agosto</v>
      </c>
      <c r="AK35" cm="1">
        <f t="array" ref="AK35">_xlfn.IFS(AG35=$AM$10,1,AG35=$AM$11,2,AG35=$AM$12,3,AG35=$AM$13,4,AG35=$AM$14,5,AG35=$AM$15,6,AG35=$AM$16,7)</f>
        <v>7</v>
      </c>
    </row>
    <row r="36" spans="1:37" x14ac:dyDescent="0.25">
      <c r="A36">
        <v>35</v>
      </c>
      <c r="B36">
        <v>43870</v>
      </c>
      <c r="C36">
        <v>7779151222</v>
      </c>
      <c r="D36" t="s">
        <v>23</v>
      </c>
      <c r="E36" t="s">
        <v>86</v>
      </c>
      <c r="F36" t="s">
        <v>82</v>
      </c>
      <c r="G36" t="s">
        <v>24</v>
      </c>
      <c r="H36" t="s">
        <v>25</v>
      </c>
      <c r="I36" t="s">
        <v>9</v>
      </c>
      <c r="K36" t="s">
        <v>5</v>
      </c>
      <c r="O36" t="str">
        <f t="shared" si="0"/>
        <v>Dom.</v>
      </c>
      <c r="P36" t="str">
        <f t="shared" si="1"/>
        <v>febrero</v>
      </c>
      <c r="S36">
        <v>106</v>
      </c>
      <c r="T36" s="15">
        <v>44070</v>
      </c>
      <c r="U36">
        <v>6501127347</v>
      </c>
      <c r="V36" t="str">
        <v>Empresa BB</v>
      </c>
      <c r="W36" t="str">
        <v>Manta</v>
      </c>
      <c r="X36" t="str">
        <v>Manabi</v>
      </c>
      <c r="Y36" t="str">
        <v>Ana del Valle Hinojosa</v>
      </c>
      <c r="Z36" t="str">
        <v>Empresa de embarque C</v>
      </c>
      <c r="AA36" t="str">
        <v>Tarjeta de crédito</v>
      </c>
      <c r="AB36" t="str">
        <v>Carne de cangrejo</v>
      </c>
      <c r="AC36" t="str">
        <v>Carne enlatada</v>
      </c>
      <c r="AD36">
        <v>257.59999999999997</v>
      </c>
      <c r="AE36">
        <v>25</v>
      </c>
      <c r="AF36">
        <v>6439.9999999999991</v>
      </c>
      <c r="AG36" t="str">
        <v>Jue.</v>
      </c>
      <c r="AH36" t="str">
        <v>agosto</v>
      </c>
      <c r="AK36" cm="1">
        <f t="array" ref="AK36">_xlfn.IFS(AG36=$AM$10,1,AG36=$AM$11,2,AG36=$AM$12,3,AG36=$AM$13,4,AG36=$AM$14,5,AG36=$AM$15,6,AG36=$AM$16,7)</f>
        <v>4</v>
      </c>
    </row>
    <row r="37" spans="1:37" x14ac:dyDescent="0.25">
      <c r="A37">
        <v>36</v>
      </c>
      <c r="B37">
        <v>44192</v>
      </c>
      <c r="C37">
        <v>9282360094</v>
      </c>
      <c r="D37" t="s">
        <v>42</v>
      </c>
      <c r="E37" t="s">
        <v>91</v>
      </c>
      <c r="F37" t="s">
        <v>91</v>
      </c>
      <c r="G37" t="s">
        <v>43</v>
      </c>
      <c r="H37" t="s">
        <v>8</v>
      </c>
      <c r="I37" t="s">
        <v>17</v>
      </c>
      <c r="J37" t="s">
        <v>61</v>
      </c>
      <c r="K37" t="s">
        <v>13</v>
      </c>
      <c r="L37">
        <v>140</v>
      </c>
      <c r="M37">
        <v>47</v>
      </c>
      <c r="N37">
        <f>Hoja4!$L37*Hoja4!$M37</f>
        <v>6580</v>
      </c>
      <c r="O37" t="str">
        <f t="shared" si="0"/>
        <v>Dom.</v>
      </c>
      <c r="P37" t="str">
        <f t="shared" si="1"/>
        <v>diciembre</v>
      </c>
      <c r="S37">
        <v>103</v>
      </c>
      <c r="T37" s="15">
        <v>44074</v>
      </c>
      <c r="U37">
        <v>5541796483</v>
      </c>
      <c r="V37" t="str">
        <v>Empresa A</v>
      </c>
      <c r="W37" t="str">
        <v>Ambato</v>
      </c>
      <c r="X37" t="str">
        <v>Tungurahua</v>
      </c>
      <c r="Y37" t="str">
        <v>Nancy Gil de la Peña</v>
      </c>
      <c r="Z37">
        <v>0</v>
      </c>
      <c r="AA37">
        <v>0</v>
      </c>
      <c r="AB37" t="str">
        <v>Café</v>
      </c>
      <c r="AC37" t="str">
        <v>Bebidas</v>
      </c>
      <c r="AD37">
        <v>644</v>
      </c>
      <c r="AE37">
        <v>77</v>
      </c>
      <c r="AF37">
        <v>49588</v>
      </c>
      <c r="AG37" t="str">
        <v>Lun.</v>
      </c>
      <c r="AH37" t="str">
        <v>agosto</v>
      </c>
      <c r="AK37" cm="1">
        <f t="array" ref="AK37">_xlfn.IFS(AG37=$AM$10,1,AG37=$AM$11,2,AG37=$AM$12,3,AG37=$AM$13,4,AG37=$AM$14,5,AG37=$AM$15,6,AG37=$AM$16,7)</f>
        <v>1</v>
      </c>
    </row>
    <row r="38" spans="1:37" x14ac:dyDescent="0.25">
      <c r="A38">
        <v>37</v>
      </c>
      <c r="B38">
        <v>43982</v>
      </c>
      <c r="C38">
        <v>6935804403</v>
      </c>
      <c r="D38" t="s">
        <v>42</v>
      </c>
      <c r="E38" t="s">
        <v>91</v>
      </c>
      <c r="F38" t="s">
        <v>91</v>
      </c>
      <c r="G38" t="s">
        <v>43</v>
      </c>
      <c r="H38" t="s">
        <v>16</v>
      </c>
      <c r="J38" t="s">
        <v>12</v>
      </c>
      <c r="K38" t="s">
        <v>13</v>
      </c>
      <c r="L38">
        <v>49</v>
      </c>
      <c r="M38">
        <v>49</v>
      </c>
      <c r="N38">
        <f>Hoja4!$L38*Hoja4!$M38</f>
        <v>2401</v>
      </c>
      <c r="O38" t="str">
        <f t="shared" si="0"/>
        <v>Dom.</v>
      </c>
      <c r="P38" t="str">
        <f t="shared" si="1"/>
        <v>mayo</v>
      </c>
      <c r="S38">
        <v>93</v>
      </c>
      <c r="T38" s="15">
        <v>44069</v>
      </c>
      <c r="U38">
        <v>5306800000</v>
      </c>
      <c r="V38" t="str">
        <v>Empresa BB</v>
      </c>
      <c r="W38" t="str">
        <v>Manta</v>
      </c>
      <c r="X38" t="str">
        <v>Manabi</v>
      </c>
      <c r="Y38" t="str">
        <v>Ana del Valle Hinojosa</v>
      </c>
      <c r="Z38" t="str">
        <v>Empresa de embarque C</v>
      </c>
      <c r="AA38" t="str">
        <v>Cheque</v>
      </c>
      <c r="AB38" t="str">
        <v>Café</v>
      </c>
      <c r="AC38" t="str">
        <v>Bebidas</v>
      </c>
      <c r="AD38">
        <v>644</v>
      </c>
      <c r="AE38">
        <v>36</v>
      </c>
      <c r="AF38">
        <v>23184</v>
      </c>
      <c r="AG38" t="str">
        <v>Mié.</v>
      </c>
      <c r="AH38" t="str">
        <v>agosto</v>
      </c>
      <c r="AK38" cm="1">
        <f t="array" ref="AK38">_xlfn.IFS(AG38=$AM$10,1,AG38=$AM$11,2,AG38=$AM$12,3,AG38=$AM$13,4,AG38=$AM$14,5,AG38=$AM$15,6,AG38=$AM$16,7)</f>
        <v>3</v>
      </c>
    </row>
    <row r="39" spans="1:37" x14ac:dyDescent="0.25">
      <c r="A39">
        <v>38</v>
      </c>
      <c r="B39">
        <v>43952</v>
      </c>
      <c r="C39">
        <v>3650322132</v>
      </c>
      <c r="D39" t="s">
        <v>50</v>
      </c>
      <c r="E39" t="s">
        <v>85</v>
      </c>
      <c r="F39" t="s">
        <v>83</v>
      </c>
      <c r="G39" t="s">
        <v>41</v>
      </c>
      <c r="H39" t="s">
        <v>25</v>
      </c>
      <c r="J39" t="s">
        <v>38</v>
      </c>
      <c r="K39" t="s">
        <v>39</v>
      </c>
      <c r="L39">
        <v>560</v>
      </c>
      <c r="M39">
        <v>72</v>
      </c>
      <c r="N39">
        <f>Hoja4!$L39*Hoja4!$M39</f>
        <v>40320</v>
      </c>
      <c r="O39" t="str">
        <f t="shared" si="0"/>
        <v>Vie.</v>
      </c>
      <c r="P39" t="str">
        <f t="shared" si="1"/>
        <v>mayo</v>
      </c>
      <c r="S39">
        <v>85</v>
      </c>
      <c r="T39" s="15">
        <v>44071</v>
      </c>
      <c r="U39">
        <v>8859429908</v>
      </c>
      <c r="V39" t="str">
        <v>Empresa J</v>
      </c>
      <c r="W39" t="str">
        <v>Esmeraldas</v>
      </c>
      <c r="X39" t="str">
        <v>Esmeraldas</v>
      </c>
      <c r="Y39" t="str">
        <v>Laura Gutiérrez Saenz</v>
      </c>
      <c r="Z39" t="str">
        <v>Empresa de embarque A</v>
      </c>
      <c r="AA39">
        <v>0</v>
      </c>
      <c r="AB39" t="str">
        <v>Condimento cajún</v>
      </c>
      <c r="AC39" t="str">
        <v>Condimentos</v>
      </c>
      <c r="AD39">
        <v>308</v>
      </c>
      <c r="AE39">
        <v>37</v>
      </c>
      <c r="AF39">
        <v>11396</v>
      </c>
      <c r="AG39" t="str">
        <v>Vie.</v>
      </c>
      <c r="AH39" t="str">
        <v>agosto</v>
      </c>
      <c r="AK39" cm="1">
        <f t="array" ref="AK39">_xlfn.IFS(AG39=$AM$10,1,AG39=$AM$11,2,AG39=$AM$12,3,AG39=$AM$13,4,AG39=$AM$14,5,AG39=$AM$15,6,AG39=$AM$16,7)</f>
        <v>5</v>
      </c>
    </row>
    <row r="40" spans="1:37" x14ac:dyDescent="0.25">
      <c r="A40">
        <v>39</v>
      </c>
      <c r="B40">
        <v>43965</v>
      </c>
      <c r="C40">
        <v>1985754250</v>
      </c>
      <c r="D40" t="s">
        <v>51</v>
      </c>
      <c r="E40" t="s">
        <v>90</v>
      </c>
      <c r="F40" t="s">
        <v>98</v>
      </c>
      <c r="G40" t="s">
        <v>24</v>
      </c>
      <c r="H40" t="s">
        <v>25</v>
      </c>
      <c r="J40" t="s">
        <v>52</v>
      </c>
      <c r="K40" t="s">
        <v>53</v>
      </c>
      <c r="L40">
        <v>257.59999999999997</v>
      </c>
      <c r="M40">
        <v>13</v>
      </c>
      <c r="N40">
        <f>Hoja4!$L40*Hoja4!$M40</f>
        <v>3348.7999999999997</v>
      </c>
      <c r="O40" t="str">
        <f t="shared" si="0"/>
        <v>Jue.</v>
      </c>
      <c r="P40" t="str">
        <f t="shared" si="1"/>
        <v>mayo</v>
      </c>
      <c r="S40">
        <v>68</v>
      </c>
      <c r="T40" s="15">
        <v>44052</v>
      </c>
      <c r="U40">
        <v>289513623</v>
      </c>
      <c r="V40" t="str">
        <v>Empresa J</v>
      </c>
      <c r="W40" t="str">
        <v>Esmeraldas</v>
      </c>
      <c r="X40" t="str">
        <v>Esmeraldas</v>
      </c>
      <c r="Y40" t="str">
        <v>Laura Gutiérrez Saenz</v>
      </c>
      <c r="Z40" t="str">
        <v>Empresa de embarque A</v>
      </c>
      <c r="AA40">
        <v>0</v>
      </c>
      <c r="AB40" t="str">
        <v>Ciruelas secas</v>
      </c>
      <c r="AC40" t="str">
        <v>Frutas secas</v>
      </c>
      <c r="AD40">
        <v>49</v>
      </c>
      <c r="AE40">
        <v>21</v>
      </c>
      <c r="AF40">
        <v>1029</v>
      </c>
      <c r="AG40" t="str">
        <v>Dom.</v>
      </c>
      <c r="AH40" t="str">
        <v>agosto</v>
      </c>
      <c r="AK40" cm="1">
        <f t="array" ref="AK40">_xlfn.IFS(AG40=$AM$10,1,AG40=$AM$11,2,AG40=$AM$12,3,AG40=$AM$13,4,AG40=$AM$14,5,AG40=$AM$15,6,AG40=$AM$16,7)</f>
        <v>7</v>
      </c>
    </row>
    <row r="41" spans="1:37" x14ac:dyDescent="0.25">
      <c r="A41">
        <v>40</v>
      </c>
      <c r="B41">
        <v>44090</v>
      </c>
      <c r="C41">
        <v>7293507918</v>
      </c>
      <c r="D41" t="s">
        <v>40</v>
      </c>
      <c r="E41" t="s">
        <v>97</v>
      </c>
      <c r="F41" t="s">
        <v>88</v>
      </c>
      <c r="G41" t="s">
        <v>41</v>
      </c>
      <c r="H41" t="s">
        <v>25</v>
      </c>
      <c r="I41" t="s">
        <v>17</v>
      </c>
      <c r="J41" t="s">
        <v>22</v>
      </c>
      <c r="K41" t="s">
        <v>11</v>
      </c>
      <c r="L41">
        <v>644</v>
      </c>
      <c r="M41">
        <v>32</v>
      </c>
      <c r="N41">
        <f>Hoja4!$L41*Hoja4!$M41</f>
        <v>20608</v>
      </c>
      <c r="O41" t="str">
        <f t="shared" si="0"/>
        <v>Mié.</v>
      </c>
      <c r="P41" t="str">
        <f t="shared" si="1"/>
        <v>septiembre</v>
      </c>
      <c r="S41">
        <v>43</v>
      </c>
      <c r="T41" s="15">
        <v>44070</v>
      </c>
      <c r="U41">
        <v>3986713828</v>
      </c>
      <c r="V41" t="str">
        <v>Empresa H</v>
      </c>
      <c r="W41" t="str">
        <v>Riobamba</v>
      </c>
      <c r="X41" t="str">
        <v>Chimborazo</v>
      </c>
      <c r="Y41" t="str">
        <v>Nancy Gil de la Peña</v>
      </c>
      <c r="Z41" t="str">
        <v>Empresa de embarque B</v>
      </c>
      <c r="AA41" t="str">
        <v>Cheque</v>
      </c>
      <c r="AB41" t="str">
        <v>Chocolate</v>
      </c>
      <c r="AC41" t="str">
        <v>Dulces</v>
      </c>
      <c r="AD41">
        <v>178.5</v>
      </c>
      <c r="AE41">
        <v>13</v>
      </c>
      <c r="AF41">
        <v>2320.5</v>
      </c>
      <c r="AG41" t="str">
        <v>Jue.</v>
      </c>
      <c r="AH41" t="str">
        <v>agosto</v>
      </c>
      <c r="AK41" cm="1">
        <f t="array" ref="AK41">_xlfn.IFS(AG41=$AM$10,1,AG41=$AM$11,2,AG41=$AM$12,3,AG41=$AM$13,4,AG41=$AM$14,5,AG41=$AM$15,6,AG41=$AM$16,7)</f>
        <v>4</v>
      </c>
    </row>
    <row r="42" spans="1:37" x14ac:dyDescent="0.25">
      <c r="A42">
        <v>41</v>
      </c>
      <c r="B42">
        <v>43983</v>
      </c>
      <c r="C42">
        <v>3459323228</v>
      </c>
      <c r="D42" t="s">
        <v>54</v>
      </c>
      <c r="E42" t="s">
        <v>89</v>
      </c>
      <c r="F42" t="s">
        <v>84</v>
      </c>
      <c r="G42" t="s">
        <v>55</v>
      </c>
      <c r="H42" t="s">
        <v>16</v>
      </c>
      <c r="I42" t="s">
        <v>9</v>
      </c>
      <c r="J42" t="s">
        <v>34</v>
      </c>
      <c r="K42" t="s">
        <v>35</v>
      </c>
      <c r="L42">
        <v>135.1</v>
      </c>
      <c r="M42">
        <v>27</v>
      </c>
      <c r="N42">
        <f>Hoja4!$L42*Hoja4!$M42</f>
        <v>3647.7</v>
      </c>
      <c r="O42" t="str">
        <f t="shared" si="0"/>
        <v>Lun.</v>
      </c>
      <c r="P42" t="str">
        <f t="shared" si="1"/>
        <v>junio</v>
      </c>
      <c r="S42">
        <v>26</v>
      </c>
      <c r="T42" s="15">
        <v>44055</v>
      </c>
      <c r="U42">
        <v>3769138349</v>
      </c>
      <c r="V42" t="str">
        <v>Empresa BB</v>
      </c>
      <c r="W42" t="str">
        <v>Manta</v>
      </c>
      <c r="X42" t="str">
        <v>Manabi</v>
      </c>
      <c r="Y42" t="str">
        <v>Ana del Valle Hinojosa</v>
      </c>
      <c r="Z42" t="str">
        <v>Empresa de embarque C</v>
      </c>
      <c r="AA42" t="str">
        <v>Tarjeta de crédito</v>
      </c>
      <c r="AB42" t="str">
        <v>Carne de cangrejo</v>
      </c>
      <c r="AC42" t="str">
        <v>Carne enlatada</v>
      </c>
      <c r="AD42">
        <v>39</v>
      </c>
      <c r="AE42">
        <v>21</v>
      </c>
      <c r="AF42">
        <v>819</v>
      </c>
      <c r="AG42" t="str">
        <v>Mié.</v>
      </c>
      <c r="AH42" t="str">
        <v>agosto</v>
      </c>
      <c r="AK42" cm="1">
        <f t="array" ref="AK42">_xlfn.IFS(AG42=$AM$10,1,AG42=$AM$11,2,AG42=$AM$12,3,AG42=$AM$13,4,AG42=$AM$14,5,AG42=$AM$15,6,AG42=$AM$16,7)</f>
        <v>3</v>
      </c>
    </row>
    <row r="43" spans="1:37" x14ac:dyDescent="0.25">
      <c r="A43">
        <v>42</v>
      </c>
      <c r="B43">
        <v>43999</v>
      </c>
      <c r="C43">
        <v>1144627655</v>
      </c>
      <c r="D43" t="s">
        <v>36</v>
      </c>
      <c r="E43" t="s">
        <v>92</v>
      </c>
      <c r="F43" t="s">
        <v>99</v>
      </c>
      <c r="G43" t="s">
        <v>37</v>
      </c>
      <c r="H43" t="s">
        <v>8</v>
      </c>
      <c r="I43" t="s">
        <v>17</v>
      </c>
      <c r="J43" t="s">
        <v>30</v>
      </c>
      <c r="K43" t="s">
        <v>31</v>
      </c>
      <c r="L43">
        <v>178.5</v>
      </c>
      <c r="M43">
        <v>71</v>
      </c>
      <c r="N43">
        <f>Hoja4!$L43*Hoja4!$M43</f>
        <v>12673.5</v>
      </c>
      <c r="O43" t="str">
        <f t="shared" si="0"/>
        <v>Mié.</v>
      </c>
      <c r="P43" t="str">
        <f t="shared" si="1"/>
        <v>junio</v>
      </c>
      <c r="S43">
        <v>17</v>
      </c>
      <c r="T43">
        <v>44065</v>
      </c>
      <c r="U43">
        <v>3008945605</v>
      </c>
      <c r="V43" t="str">
        <v>Empresa J</v>
      </c>
      <c r="W43" t="str">
        <v>Esmeraldas</v>
      </c>
      <c r="X43" t="str">
        <v>Esmeraldas</v>
      </c>
      <c r="Y43" t="str">
        <v>Laura Gutiérrez Saenz</v>
      </c>
      <c r="Z43" t="str">
        <v>Empresa de embarque A</v>
      </c>
      <c r="AA43">
        <v>0</v>
      </c>
      <c r="AB43" t="str">
        <v>Jalea de fresa</v>
      </c>
      <c r="AC43" t="str">
        <v>Mermeladas y jaleas</v>
      </c>
      <c r="AD43">
        <v>26</v>
      </c>
      <c r="AE43">
        <v>65</v>
      </c>
      <c r="AF43">
        <v>1690</v>
      </c>
      <c r="AG43" t="str">
        <v>Sáb.</v>
      </c>
      <c r="AH43" t="str">
        <v>agosto</v>
      </c>
      <c r="AK43" cm="1">
        <f t="array" ref="AK43">_xlfn.IFS(AG43=$AM$10,1,AG43=$AM$11,2,AG43=$AM$12,3,AG43=$AM$13,4,AG43=$AM$14,5,AG43=$AM$15,6,AG43=$AM$16,7)</f>
        <v>6</v>
      </c>
    </row>
    <row r="44" spans="1:37" x14ac:dyDescent="0.25">
      <c r="A44">
        <v>43</v>
      </c>
      <c r="B44">
        <v>44070</v>
      </c>
      <c r="C44">
        <v>3986713828</v>
      </c>
      <c r="D44" t="s">
        <v>23</v>
      </c>
      <c r="E44" t="s">
        <v>86</v>
      </c>
      <c r="F44" t="s">
        <v>82</v>
      </c>
      <c r="G44" t="s">
        <v>24</v>
      </c>
      <c r="H44" t="s">
        <v>8</v>
      </c>
      <c r="I44" t="s">
        <v>9</v>
      </c>
      <c r="J44" t="s">
        <v>30</v>
      </c>
      <c r="K44" t="s">
        <v>31</v>
      </c>
      <c r="L44">
        <v>178.5</v>
      </c>
      <c r="M44">
        <v>13</v>
      </c>
      <c r="N44">
        <f>Hoja4!$L44*Hoja4!$M44</f>
        <v>2320.5</v>
      </c>
      <c r="O44" t="str">
        <f t="shared" si="0"/>
        <v>Jue.</v>
      </c>
      <c r="P44" t="str">
        <f t="shared" si="1"/>
        <v>agosto</v>
      </c>
      <c r="S44">
        <v>12</v>
      </c>
      <c r="T44">
        <v>44045</v>
      </c>
      <c r="U44">
        <v>4872781256</v>
      </c>
      <c r="V44" t="str">
        <v>Empresa F</v>
      </c>
      <c r="W44" t="str">
        <v>Ibarra</v>
      </c>
      <c r="X44" t="str">
        <v>Imbabura</v>
      </c>
      <c r="Y44" t="str">
        <v>Luis Miguel Valdés Garza</v>
      </c>
      <c r="Z44" t="str">
        <v>Empresa de embarque B</v>
      </c>
      <c r="AA44" t="str">
        <v>Tarjeta de crédito</v>
      </c>
      <c r="AB44" t="str">
        <v>Salsa curry</v>
      </c>
      <c r="AC44" t="str">
        <v>Salsas</v>
      </c>
      <c r="AD44">
        <v>33</v>
      </c>
      <c r="AE44">
        <v>64</v>
      </c>
      <c r="AF44">
        <v>2112</v>
      </c>
      <c r="AG44" t="str">
        <v>Dom.</v>
      </c>
      <c r="AH44" t="str">
        <v>agosto</v>
      </c>
      <c r="AK44" cm="1">
        <f t="array" ref="AK44">_xlfn.IFS(AG44=$AM$10,1,AG44=$AM$11,2,AG44=$AM$12,3,AG44=$AM$13,4,AG44=$AM$14,5,AG44=$AM$15,6,AG44=$AM$16,7)</f>
        <v>7</v>
      </c>
    </row>
    <row r="45" spans="1:37" x14ac:dyDescent="0.25">
      <c r="A45">
        <v>44</v>
      </c>
      <c r="B45">
        <v>43998</v>
      </c>
      <c r="C45">
        <v>9350633665</v>
      </c>
      <c r="D45" t="s">
        <v>62</v>
      </c>
      <c r="E45" t="s">
        <v>91</v>
      </c>
      <c r="F45" t="s">
        <v>91</v>
      </c>
      <c r="G45" t="s">
        <v>43</v>
      </c>
      <c r="H45" t="s">
        <v>16</v>
      </c>
      <c r="I45" t="s">
        <v>33</v>
      </c>
      <c r="J45" t="s">
        <v>48</v>
      </c>
      <c r="K45" t="s">
        <v>49</v>
      </c>
      <c r="L45">
        <v>308</v>
      </c>
      <c r="M45">
        <v>98</v>
      </c>
      <c r="N45">
        <f>Hoja4!$L45*Hoja4!$M45</f>
        <v>30184</v>
      </c>
      <c r="O45" t="str">
        <f t="shared" si="0"/>
        <v>Mar.</v>
      </c>
      <c r="P45" t="str">
        <f t="shared" si="1"/>
        <v>junio</v>
      </c>
      <c r="S45">
        <v>2</v>
      </c>
      <c r="T45">
        <v>44068</v>
      </c>
      <c r="U45">
        <v>6185253419</v>
      </c>
      <c r="V45" t="str">
        <v>Empresa AA</v>
      </c>
      <c r="W45" t="str">
        <v>Cuenca</v>
      </c>
      <c r="X45" t="str">
        <v>Azuay</v>
      </c>
      <c r="Y45" t="str">
        <v>Mayra Aguilar Sepúlveda</v>
      </c>
      <c r="Z45" t="str">
        <v>Empresa de embarque B</v>
      </c>
      <c r="AA45" t="str">
        <v>Cheque</v>
      </c>
      <c r="AB45" t="str">
        <v>Ciruelas secas</v>
      </c>
      <c r="AC45" t="str">
        <v>Frutas secas</v>
      </c>
      <c r="AD45">
        <v>34</v>
      </c>
      <c r="AE45">
        <v>1</v>
      </c>
      <c r="AF45">
        <v>34</v>
      </c>
      <c r="AG45" t="str">
        <v>Mar.</v>
      </c>
      <c r="AH45" t="str">
        <v>agosto</v>
      </c>
      <c r="AK45" cm="1">
        <f t="array" ref="AK45">_xlfn.IFS(AG45=$AM$10,1,AG45=$AM$11,2,AG45=$AM$12,3,AG45=$AM$13,4,AG45=$AM$14,5,AG45=$AM$15,6,AG45=$AM$16,7)</f>
        <v>2</v>
      </c>
    </row>
    <row r="46" spans="1:37" x14ac:dyDescent="0.25">
      <c r="A46">
        <v>45</v>
      </c>
      <c r="B46">
        <v>44129</v>
      </c>
      <c r="C46">
        <v>4918639925</v>
      </c>
      <c r="D46" t="s">
        <v>63</v>
      </c>
      <c r="E46" t="s">
        <v>85</v>
      </c>
      <c r="F46" t="s">
        <v>83</v>
      </c>
      <c r="G46" t="s">
        <v>41</v>
      </c>
      <c r="H46" t="s">
        <v>25</v>
      </c>
      <c r="I46" t="s">
        <v>17</v>
      </c>
      <c r="J46" t="s">
        <v>46</v>
      </c>
      <c r="K46" t="s">
        <v>47</v>
      </c>
      <c r="L46">
        <v>350</v>
      </c>
      <c r="M46">
        <v>21</v>
      </c>
      <c r="N46">
        <f>Hoja4!$L46*Hoja4!$M46</f>
        <v>7350</v>
      </c>
      <c r="O46" t="str">
        <f t="shared" si="0"/>
        <v>Dom.</v>
      </c>
      <c r="P46" t="str">
        <f t="shared" si="1"/>
        <v>octubre</v>
      </c>
    </row>
    <row r="47" spans="1:37" x14ac:dyDescent="0.25">
      <c r="A47">
        <v>46</v>
      </c>
      <c r="B47">
        <v>44165</v>
      </c>
      <c r="C47">
        <v>9630006862</v>
      </c>
      <c r="D47" t="s">
        <v>28</v>
      </c>
      <c r="E47" t="s">
        <v>89</v>
      </c>
      <c r="F47" t="s">
        <v>84</v>
      </c>
      <c r="G47" t="s">
        <v>29</v>
      </c>
      <c r="H47" t="s">
        <v>8</v>
      </c>
      <c r="I47" t="s">
        <v>9</v>
      </c>
      <c r="J47" t="s">
        <v>64</v>
      </c>
      <c r="K47" t="s">
        <v>65</v>
      </c>
      <c r="L47">
        <v>546</v>
      </c>
      <c r="M47">
        <v>26</v>
      </c>
      <c r="N47">
        <f>Hoja4!$L47*Hoja4!$M47</f>
        <v>14196</v>
      </c>
      <c r="O47" t="str">
        <f t="shared" si="0"/>
        <v>Lun.</v>
      </c>
      <c r="P47" t="str">
        <f t="shared" si="1"/>
        <v>noviembre</v>
      </c>
    </row>
    <row r="48" spans="1:37" x14ac:dyDescent="0.25">
      <c r="A48">
        <v>47</v>
      </c>
      <c r="B48">
        <v>43920</v>
      </c>
      <c r="C48">
        <v>9029002933</v>
      </c>
      <c r="D48" t="s">
        <v>36</v>
      </c>
      <c r="E48" t="s">
        <v>92</v>
      </c>
      <c r="F48" t="s">
        <v>99</v>
      </c>
      <c r="G48" t="s">
        <v>37</v>
      </c>
      <c r="H48" t="s">
        <v>25</v>
      </c>
      <c r="I48" t="s">
        <v>9</v>
      </c>
      <c r="J48" t="s">
        <v>18</v>
      </c>
      <c r="K48" t="s">
        <v>13</v>
      </c>
      <c r="L48">
        <v>420</v>
      </c>
      <c r="M48">
        <v>96</v>
      </c>
      <c r="N48">
        <f>Hoja4!$L48*Hoja4!$M48</f>
        <v>40320</v>
      </c>
      <c r="O48" t="str">
        <f t="shared" si="0"/>
        <v>Lun.</v>
      </c>
      <c r="P48" t="str">
        <f t="shared" si="1"/>
        <v>marzo</v>
      </c>
    </row>
    <row r="49" spans="1:16" x14ac:dyDescent="0.25">
      <c r="A49">
        <v>48</v>
      </c>
      <c r="B49">
        <v>43880</v>
      </c>
      <c r="C49">
        <v>5702300844</v>
      </c>
      <c r="D49" t="s">
        <v>36</v>
      </c>
      <c r="E49" t="s">
        <v>92</v>
      </c>
      <c r="F49" t="s">
        <v>99</v>
      </c>
      <c r="G49" t="s">
        <v>37</v>
      </c>
      <c r="H49" t="s">
        <v>25</v>
      </c>
      <c r="I49" t="s">
        <v>9</v>
      </c>
      <c r="J49" t="s">
        <v>19</v>
      </c>
      <c r="K49" t="s">
        <v>13</v>
      </c>
      <c r="L49">
        <v>742</v>
      </c>
      <c r="M49">
        <v>16</v>
      </c>
      <c r="N49">
        <f>Hoja4!$L49*Hoja4!$M49</f>
        <v>11872</v>
      </c>
      <c r="O49" t="str">
        <f t="shared" si="0"/>
        <v>Mié.</v>
      </c>
      <c r="P49" t="str">
        <f t="shared" si="1"/>
        <v>febrero</v>
      </c>
    </row>
    <row r="50" spans="1:16" x14ac:dyDescent="0.25">
      <c r="A50">
        <v>49</v>
      </c>
      <c r="B50">
        <v>43922</v>
      </c>
      <c r="C50">
        <v>6885713027</v>
      </c>
      <c r="D50" t="s">
        <v>14</v>
      </c>
      <c r="E50" t="s">
        <v>81</v>
      </c>
      <c r="F50" t="s">
        <v>94</v>
      </c>
      <c r="G50" t="s">
        <v>15</v>
      </c>
      <c r="J50" t="s">
        <v>66</v>
      </c>
      <c r="K50" t="s">
        <v>57</v>
      </c>
      <c r="L50">
        <v>532</v>
      </c>
      <c r="M50">
        <v>96</v>
      </c>
      <c r="N50">
        <f>Hoja4!$L50*Hoja4!$M50</f>
        <v>51072</v>
      </c>
      <c r="O50" t="str">
        <f t="shared" si="0"/>
        <v>Mié.</v>
      </c>
      <c r="P50" t="str">
        <f t="shared" si="1"/>
        <v>abril</v>
      </c>
    </row>
    <row r="51" spans="1:16" x14ac:dyDescent="0.25">
      <c r="A51">
        <v>50</v>
      </c>
      <c r="B51">
        <v>43861</v>
      </c>
      <c r="C51">
        <v>5156178317</v>
      </c>
      <c r="D51" t="s">
        <v>32</v>
      </c>
      <c r="E51" t="s">
        <v>93</v>
      </c>
      <c r="F51" t="s">
        <v>96</v>
      </c>
      <c r="G51" t="s">
        <v>7</v>
      </c>
      <c r="J51" t="s">
        <v>44</v>
      </c>
      <c r="K51" t="s">
        <v>11</v>
      </c>
      <c r="L51">
        <v>41.86</v>
      </c>
      <c r="M51">
        <v>75</v>
      </c>
      <c r="N51">
        <f>Hoja4!$L51*Hoja4!$M51</f>
        <v>3139.5</v>
      </c>
      <c r="O51" t="str">
        <f t="shared" si="0"/>
        <v>Vie.</v>
      </c>
      <c r="P51" t="str">
        <f t="shared" si="1"/>
        <v>enero</v>
      </c>
    </row>
    <row r="52" spans="1:16" x14ac:dyDescent="0.25">
      <c r="A52">
        <v>51</v>
      </c>
      <c r="B52">
        <v>43992</v>
      </c>
      <c r="C52">
        <v>9993785470</v>
      </c>
      <c r="D52" t="s">
        <v>54</v>
      </c>
      <c r="E52" t="s">
        <v>89</v>
      </c>
      <c r="F52" t="s">
        <v>84</v>
      </c>
      <c r="G52" t="s">
        <v>55</v>
      </c>
      <c r="H52" t="s">
        <v>16</v>
      </c>
      <c r="I52" t="s">
        <v>9</v>
      </c>
      <c r="J52" t="s">
        <v>56</v>
      </c>
      <c r="K52" t="s">
        <v>57</v>
      </c>
      <c r="L52">
        <v>273</v>
      </c>
      <c r="M52">
        <v>55</v>
      </c>
      <c r="N52">
        <f>Hoja4!$L52*Hoja4!$M52</f>
        <v>15015</v>
      </c>
      <c r="O52" t="str">
        <f t="shared" si="0"/>
        <v>Mié.</v>
      </c>
      <c r="P52" t="str">
        <f t="shared" si="1"/>
        <v>junio</v>
      </c>
    </row>
    <row r="53" spans="1:16" x14ac:dyDescent="0.25">
      <c r="A53">
        <v>52</v>
      </c>
      <c r="B53">
        <v>44107</v>
      </c>
      <c r="C53">
        <v>2344903076</v>
      </c>
      <c r="D53" t="s">
        <v>54</v>
      </c>
      <c r="E53" t="s">
        <v>89</v>
      </c>
      <c r="F53" t="s">
        <v>84</v>
      </c>
      <c r="G53" t="s">
        <v>55</v>
      </c>
      <c r="H53" t="s">
        <v>16</v>
      </c>
      <c r="I53" t="s">
        <v>9</v>
      </c>
      <c r="J53" t="s">
        <v>58</v>
      </c>
      <c r="K53" t="s">
        <v>59</v>
      </c>
      <c r="L53">
        <v>487.19999999999993</v>
      </c>
      <c r="M53">
        <v>11</v>
      </c>
      <c r="N53">
        <f>Hoja4!$L53*Hoja4!$M53</f>
        <v>5359.1999999999989</v>
      </c>
      <c r="O53" t="str">
        <f t="shared" si="0"/>
        <v>Sáb.</v>
      </c>
      <c r="P53" t="str">
        <f t="shared" si="1"/>
        <v>octubre</v>
      </c>
    </row>
    <row r="54" spans="1:16" x14ac:dyDescent="0.25">
      <c r="A54">
        <v>53</v>
      </c>
      <c r="B54">
        <v>44123</v>
      </c>
      <c r="C54">
        <v>5773601950</v>
      </c>
      <c r="D54" t="s">
        <v>36</v>
      </c>
      <c r="E54" t="s">
        <v>92</v>
      </c>
      <c r="F54" t="s">
        <v>99</v>
      </c>
      <c r="G54" t="s">
        <v>37</v>
      </c>
      <c r="H54" t="s">
        <v>8</v>
      </c>
      <c r="I54" t="s">
        <v>17</v>
      </c>
      <c r="J54" t="s">
        <v>10</v>
      </c>
      <c r="K54" t="s">
        <v>11</v>
      </c>
      <c r="L54">
        <v>196</v>
      </c>
      <c r="M54">
        <v>53</v>
      </c>
      <c r="N54">
        <f>Hoja4!$L54*Hoja4!$M54</f>
        <v>10388</v>
      </c>
      <c r="O54" t="str">
        <f t="shared" si="0"/>
        <v>Lun.</v>
      </c>
      <c r="P54" t="str">
        <f t="shared" si="1"/>
        <v>octubre</v>
      </c>
    </row>
    <row r="55" spans="1:16" x14ac:dyDescent="0.25">
      <c r="A55">
        <v>54</v>
      </c>
      <c r="B55">
        <v>44088</v>
      </c>
      <c r="C55">
        <v>4818078168</v>
      </c>
      <c r="D55" t="s">
        <v>23</v>
      </c>
      <c r="E55" t="s">
        <v>86</v>
      </c>
      <c r="F55" t="s">
        <v>82</v>
      </c>
      <c r="G55" t="s">
        <v>24</v>
      </c>
      <c r="H55" t="s">
        <v>8</v>
      </c>
      <c r="I55" t="s">
        <v>9</v>
      </c>
      <c r="J55" t="s">
        <v>38</v>
      </c>
      <c r="K55" t="s">
        <v>39</v>
      </c>
      <c r="L55">
        <v>560</v>
      </c>
      <c r="M55">
        <v>85</v>
      </c>
      <c r="N55">
        <f>Hoja4!$L55*Hoja4!$M55</f>
        <v>47600</v>
      </c>
      <c r="O55" t="str">
        <f t="shared" si="0"/>
        <v>Lun.</v>
      </c>
      <c r="P55" t="str">
        <f t="shared" si="1"/>
        <v>septiembre</v>
      </c>
    </row>
    <row r="56" spans="1:16" x14ac:dyDescent="0.25">
      <c r="A56">
        <v>55</v>
      </c>
      <c r="B56">
        <v>44178</v>
      </c>
      <c r="C56">
        <v>9107195581</v>
      </c>
      <c r="D56" t="s">
        <v>23</v>
      </c>
      <c r="E56" t="s">
        <v>86</v>
      </c>
      <c r="F56" t="s">
        <v>82</v>
      </c>
      <c r="G56" t="s">
        <v>24</v>
      </c>
      <c r="H56" t="s">
        <v>8</v>
      </c>
      <c r="I56" t="s">
        <v>9</v>
      </c>
      <c r="J56" t="s">
        <v>26</v>
      </c>
      <c r="K56" t="s">
        <v>27</v>
      </c>
      <c r="L56">
        <v>128.79999999999998</v>
      </c>
      <c r="M56">
        <v>97</v>
      </c>
      <c r="N56">
        <f>Hoja4!$L56*Hoja4!$M56</f>
        <v>12493.599999999999</v>
      </c>
      <c r="O56" t="str">
        <f t="shared" si="0"/>
        <v>Dom.</v>
      </c>
      <c r="P56" t="str">
        <f t="shared" si="1"/>
        <v>diciembre</v>
      </c>
    </row>
    <row r="57" spans="1:16" x14ac:dyDescent="0.25">
      <c r="A57">
        <v>56</v>
      </c>
      <c r="B57">
        <v>43964</v>
      </c>
      <c r="C57">
        <v>5806733138</v>
      </c>
      <c r="D57" t="s">
        <v>62</v>
      </c>
      <c r="E57" t="s">
        <v>91</v>
      </c>
      <c r="F57" t="s">
        <v>91</v>
      </c>
      <c r="G57" t="s">
        <v>43</v>
      </c>
      <c r="H57" t="s">
        <v>16</v>
      </c>
      <c r="I57" t="s">
        <v>33</v>
      </c>
      <c r="J57" t="s">
        <v>67</v>
      </c>
      <c r="K57" t="s">
        <v>27</v>
      </c>
      <c r="L57">
        <v>140</v>
      </c>
      <c r="M57">
        <v>46</v>
      </c>
      <c r="N57">
        <f>Hoja4!$L57*Hoja4!$M57</f>
        <v>6440</v>
      </c>
      <c r="O57" t="str">
        <f t="shared" si="0"/>
        <v>Mié.</v>
      </c>
      <c r="P57" t="str">
        <f t="shared" si="1"/>
        <v>mayo</v>
      </c>
    </row>
    <row r="58" spans="1:16" x14ac:dyDescent="0.25">
      <c r="A58">
        <v>57</v>
      </c>
      <c r="B58">
        <v>43882</v>
      </c>
      <c r="C58">
        <v>3059258597</v>
      </c>
      <c r="D58" t="s">
        <v>63</v>
      </c>
      <c r="E58" t="s">
        <v>85</v>
      </c>
      <c r="F58" t="s">
        <v>83</v>
      </c>
      <c r="G58" t="s">
        <v>41</v>
      </c>
      <c r="H58" t="s">
        <v>25</v>
      </c>
      <c r="I58" t="s">
        <v>17</v>
      </c>
      <c r="J58" t="s">
        <v>68</v>
      </c>
      <c r="K58" t="s">
        <v>69</v>
      </c>
      <c r="L58">
        <v>298.90000000000003</v>
      </c>
      <c r="M58">
        <v>97</v>
      </c>
      <c r="N58">
        <f>Hoja4!$L58*Hoja4!$M58</f>
        <v>28993.300000000003</v>
      </c>
      <c r="O58" t="str">
        <f t="shared" si="0"/>
        <v>Vie.</v>
      </c>
      <c r="P58" t="str">
        <f t="shared" si="1"/>
        <v>febrero</v>
      </c>
    </row>
    <row r="59" spans="1:16" x14ac:dyDescent="0.25">
      <c r="A59">
        <v>58</v>
      </c>
      <c r="B59">
        <v>44154</v>
      </c>
      <c r="C59">
        <v>586395005</v>
      </c>
      <c r="D59" t="s">
        <v>63</v>
      </c>
      <c r="E59" t="s">
        <v>85</v>
      </c>
      <c r="F59" t="s">
        <v>83</v>
      </c>
      <c r="G59" t="s">
        <v>41</v>
      </c>
      <c r="H59" t="s">
        <v>25</v>
      </c>
      <c r="I59" t="s">
        <v>17</v>
      </c>
      <c r="J59" t="s">
        <v>34</v>
      </c>
      <c r="K59" t="s">
        <v>35</v>
      </c>
      <c r="L59">
        <v>135.1</v>
      </c>
      <c r="M59">
        <v>97</v>
      </c>
      <c r="N59">
        <f>Hoja4!$L59*Hoja4!$M59</f>
        <v>13104.699999999999</v>
      </c>
      <c r="O59" t="str">
        <f t="shared" si="0"/>
        <v>Jue.</v>
      </c>
      <c r="P59" t="str">
        <f t="shared" si="1"/>
        <v>noviembre</v>
      </c>
    </row>
    <row r="60" spans="1:16" x14ac:dyDescent="0.25">
      <c r="A60">
        <v>59</v>
      </c>
      <c r="B60">
        <v>44075</v>
      </c>
      <c r="C60">
        <v>9281389647</v>
      </c>
      <c r="D60" t="s">
        <v>63</v>
      </c>
      <c r="E60" t="s">
        <v>85</v>
      </c>
      <c r="F60" t="s">
        <v>83</v>
      </c>
      <c r="G60" t="s">
        <v>41</v>
      </c>
      <c r="H60" t="s">
        <v>25</v>
      </c>
      <c r="I60" t="s">
        <v>17</v>
      </c>
      <c r="J60" t="s">
        <v>52</v>
      </c>
      <c r="K60" t="s">
        <v>53</v>
      </c>
      <c r="L60">
        <v>257.59999999999997</v>
      </c>
      <c r="M60">
        <v>65</v>
      </c>
      <c r="N60">
        <f>Hoja4!$L60*Hoja4!$M60</f>
        <v>16743.999999999996</v>
      </c>
      <c r="O60" t="str">
        <f t="shared" si="0"/>
        <v>Mar.</v>
      </c>
      <c r="P60" t="str">
        <f t="shared" si="1"/>
        <v>septiembre</v>
      </c>
    </row>
    <row r="61" spans="1:16" x14ac:dyDescent="0.25">
      <c r="A61">
        <v>60</v>
      </c>
      <c r="B61">
        <v>44171</v>
      </c>
      <c r="C61">
        <v>2230409971</v>
      </c>
      <c r="D61" t="s">
        <v>28</v>
      </c>
      <c r="E61" t="s">
        <v>89</v>
      </c>
      <c r="F61" t="s">
        <v>84</v>
      </c>
      <c r="G61" t="s">
        <v>29</v>
      </c>
      <c r="H61" t="s">
        <v>8</v>
      </c>
      <c r="I61" t="s">
        <v>9</v>
      </c>
      <c r="J61" t="s">
        <v>10</v>
      </c>
      <c r="K61" t="s">
        <v>11</v>
      </c>
      <c r="L61">
        <v>196</v>
      </c>
      <c r="M61">
        <v>72</v>
      </c>
      <c r="N61">
        <f>Hoja4!$L61*Hoja4!$M61</f>
        <v>14112</v>
      </c>
      <c r="O61" t="str">
        <f t="shared" si="0"/>
        <v>Dom.</v>
      </c>
      <c r="P61" t="str">
        <f t="shared" si="1"/>
        <v>diciembre</v>
      </c>
    </row>
    <row r="62" spans="1:16" x14ac:dyDescent="0.25">
      <c r="A62">
        <v>61</v>
      </c>
      <c r="B62">
        <v>43982</v>
      </c>
      <c r="C62">
        <v>498762200</v>
      </c>
      <c r="D62" t="s">
        <v>36</v>
      </c>
      <c r="E62" t="s">
        <v>92</v>
      </c>
      <c r="F62" t="s">
        <v>99</v>
      </c>
      <c r="G62" t="s">
        <v>37</v>
      </c>
      <c r="H62" t="s">
        <v>25</v>
      </c>
      <c r="I62" t="s">
        <v>9</v>
      </c>
      <c r="J62" t="s">
        <v>30</v>
      </c>
      <c r="K62" t="s">
        <v>31</v>
      </c>
      <c r="L62">
        <v>178.5</v>
      </c>
      <c r="M62">
        <v>16</v>
      </c>
      <c r="N62">
        <f>Hoja4!$L62*Hoja4!$M62</f>
        <v>2856</v>
      </c>
      <c r="O62" t="str">
        <f t="shared" si="0"/>
        <v>Dom.</v>
      </c>
      <c r="P62" t="str">
        <f t="shared" si="1"/>
        <v>mayo</v>
      </c>
    </row>
    <row r="63" spans="1:16" x14ac:dyDescent="0.25">
      <c r="A63">
        <v>62</v>
      </c>
      <c r="B63">
        <v>43855</v>
      </c>
      <c r="C63">
        <v>5059332572</v>
      </c>
      <c r="D63" t="s">
        <v>14</v>
      </c>
      <c r="E63" t="s">
        <v>81</v>
      </c>
      <c r="F63" t="s">
        <v>94</v>
      </c>
      <c r="G63" t="s">
        <v>15</v>
      </c>
      <c r="H63" t="s">
        <v>16</v>
      </c>
      <c r="I63" t="s">
        <v>17</v>
      </c>
      <c r="J63" t="s">
        <v>70</v>
      </c>
      <c r="K63" t="s">
        <v>47</v>
      </c>
      <c r="L63">
        <v>1134</v>
      </c>
      <c r="M63">
        <v>77</v>
      </c>
      <c r="N63">
        <f>Hoja4!$L63*Hoja4!$M63</f>
        <v>87318</v>
      </c>
      <c r="O63" t="str">
        <f t="shared" si="0"/>
        <v>Sáb.</v>
      </c>
      <c r="P63" t="str">
        <f t="shared" si="1"/>
        <v>enero</v>
      </c>
    </row>
    <row r="64" spans="1:16" x14ac:dyDescent="0.25">
      <c r="A64">
        <v>63</v>
      </c>
      <c r="B64">
        <v>44034</v>
      </c>
      <c r="C64">
        <v>807667000</v>
      </c>
      <c r="D64" t="s">
        <v>14</v>
      </c>
      <c r="E64" t="s">
        <v>81</v>
      </c>
      <c r="F64" t="s">
        <v>94</v>
      </c>
      <c r="G64" t="s">
        <v>15</v>
      </c>
      <c r="H64" t="s">
        <v>16</v>
      </c>
      <c r="I64" t="s">
        <v>17</v>
      </c>
      <c r="J64" t="s">
        <v>71</v>
      </c>
      <c r="K64" t="s">
        <v>72</v>
      </c>
      <c r="L64">
        <v>98</v>
      </c>
      <c r="M64">
        <v>37</v>
      </c>
      <c r="N64">
        <f>Hoja4!$L64*Hoja4!$M64</f>
        <v>3626</v>
      </c>
      <c r="O64" t="str">
        <f t="shared" si="0"/>
        <v>Mié.</v>
      </c>
      <c r="P64" t="str">
        <f t="shared" si="1"/>
        <v>julio</v>
      </c>
    </row>
    <row r="65" spans="1:16" x14ac:dyDescent="0.25">
      <c r="A65">
        <v>64</v>
      </c>
      <c r="B65">
        <v>44117</v>
      </c>
      <c r="C65">
        <v>4320869422</v>
      </c>
      <c r="D65" t="s">
        <v>23</v>
      </c>
      <c r="E65" t="s">
        <v>86</v>
      </c>
      <c r="F65" t="s">
        <v>82</v>
      </c>
      <c r="G65" t="s">
        <v>24</v>
      </c>
      <c r="H65" t="s">
        <v>25</v>
      </c>
      <c r="I65" t="s">
        <v>17</v>
      </c>
      <c r="J65" t="s">
        <v>58</v>
      </c>
      <c r="K65" t="s">
        <v>59</v>
      </c>
      <c r="L65">
        <v>487.19999999999993</v>
      </c>
      <c r="M65">
        <v>63</v>
      </c>
      <c r="N65">
        <f>Hoja4!$L65*Hoja4!$M65</f>
        <v>30693.599999999995</v>
      </c>
      <c r="O65" t="str">
        <f t="shared" si="0"/>
        <v>Mar.</v>
      </c>
      <c r="P65" t="str">
        <f t="shared" si="1"/>
        <v>octubre</v>
      </c>
    </row>
    <row r="66" spans="1:16" x14ac:dyDescent="0.25">
      <c r="A66">
        <v>65</v>
      </c>
      <c r="B66">
        <v>44174</v>
      </c>
      <c r="C66">
        <v>7227542762</v>
      </c>
      <c r="D66" t="s">
        <v>32</v>
      </c>
      <c r="E66" t="s">
        <v>93</v>
      </c>
      <c r="F66" t="s">
        <v>96</v>
      </c>
      <c r="G66" t="s">
        <v>7</v>
      </c>
      <c r="H66" t="s">
        <v>8</v>
      </c>
      <c r="I66" t="s">
        <v>33</v>
      </c>
      <c r="J66" t="s">
        <v>60</v>
      </c>
      <c r="K66" t="s">
        <v>49</v>
      </c>
      <c r="L66">
        <v>140</v>
      </c>
      <c r="M66">
        <v>48</v>
      </c>
      <c r="N66">
        <f>Hoja4!$L66*Hoja4!$M66</f>
        <v>6720</v>
      </c>
      <c r="O66" t="str">
        <f t="shared" ref="O66:O129" si="3">PROPER(TEXT(B66,"ddd."))</f>
        <v>Mié.</v>
      </c>
      <c r="P66" t="str">
        <f t="shared" ref="P66:P129" si="4">TEXT(B66,"mmmm")</f>
        <v>diciembre</v>
      </c>
    </row>
    <row r="67" spans="1:16" x14ac:dyDescent="0.25">
      <c r="A67">
        <v>66</v>
      </c>
      <c r="B67">
        <v>43890</v>
      </c>
      <c r="C67">
        <v>4844854212</v>
      </c>
      <c r="D67" t="s">
        <v>32</v>
      </c>
      <c r="E67" t="s">
        <v>93</v>
      </c>
      <c r="F67" t="s">
        <v>96</v>
      </c>
      <c r="G67" t="s">
        <v>7</v>
      </c>
      <c r="H67" t="s">
        <v>8</v>
      </c>
      <c r="I67" t="s">
        <v>33</v>
      </c>
      <c r="J67" t="s">
        <v>38</v>
      </c>
      <c r="K67" t="s">
        <v>39</v>
      </c>
      <c r="L67">
        <v>560</v>
      </c>
      <c r="M67">
        <v>71</v>
      </c>
      <c r="N67">
        <f>Hoja4!$L67*Hoja4!$M67</f>
        <v>39760</v>
      </c>
      <c r="O67" t="str">
        <f t="shared" si="3"/>
        <v>Sáb.</v>
      </c>
      <c r="P67" t="str">
        <f t="shared" si="4"/>
        <v>febrero</v>
      </c>
    </row>
    <row r="68" spans="1:16" x14ac:dyDescent="0.25">
      <c r="A68">
        <v>67</v>
      </c>
      <c r="B68">
        <v>43945</v>
      </c>
      <c r="C68">
        <v>6476704094</v>
      </c>
      <c r="D68" t="s">
        <v>42</v>
      </c>
      <c r="E68" t="s">
        <v>91</v>
      </c>
      <c r="F68" t="s">
        <v>91</v>
      </c>
      <c r="G68" t="s">
        <v>43</v>
      </c>
      <c r="H68" t="s">
        <v>8</v>
      </c>
      <c r="I68" t="s">
        <v>17</v>
      </c>
      <c r="J68" t="s">
        <v>61</v>
      </c>
      <c r="K68" t="s">
        <v>13</v>
      </c>
      <c r="L68">
        <v>140</v>
      </c>
      <c r="M68">
        <v>55</v>
      </c>
      <c r="N68">
        <f>Hoja4!$L68*Hoja4!$M68</f>
        <v>7700</v>
      </c>
      <c r="O68" t="str">
        <f t="shared" si="3"/>
        <v>Vie.</v>
      </c>
      <c r="P68" t="str">
        <f t="shared" si="4"/>
        <v>abril</v>
      </c>
    </row>
    <row r="69" spans="1:16" x14ac:dyDescent="0.25">
      <c r="A69">
        <v>68</v>
      </c>
      <c r="B69">
        <v>44052</v>
      </c>
      <c r="C69">
        <v>289513623</v>
      </c>
      <c r="D69" t="s">
        <v>42</v>
      </c>
      <c r="E69" t="s">
        <v>91</v>
      </c>
      <c r="F69" t="s">
        <v>91</v>
      </c>
      <c r="G69" t="s">
        <v>43</v>
      </c>
      <c r="H69" t="s">
        <v>16</v>
      </c>
      <c r="J69" t="s">
        <v>12</v>
      </c>
      <c r="K69" t="s">
        <v>13</v>
      </c>
      <c r="L69">
        <v>49</v>
      </c>
      <c r="M69">
        <v>21</v>
      </c>
      <c r="N69">
        <f>Hoja4!$L69*Hoja4!$M69</f>
        <v>1029</v>
      </c>
      <c r="O69" t="str">
        <f t="shared" si="3"/>
        <v>Dom.</v>
      </c>
      <c r="P69" t="str">
        <f t="shared" si="4"/>
        <v>agosto</v>
      </c>
    </row>
    <row r="70" spans="1:16" x14ac:dyDescent="0.25">
      <c r="A70">
        <v>69</v>
      </c>
      <c r="B70">
        <v>44115</v>
      </c>
      <c r="C70">
        <v>4360909288</v>
      </c>
      <c r="D70" t="s">
        <v>50</v>
      </c>
      <c r="E70" t="s">
        <v>85</v>
      </c>
      <c r="F70" t="s">
        <v>83</v>
      </c>
      <c r="G70" t="s">
        <v>41</v>
      </c>
      <c r="H70" t="s">
        <v>25</v>
      </c>
      <c r="J70" t="s">
        <v>38</v>
      </c>
      <c r="K70" t="s">
        <v>39</v>
      </c>
      <c r="L70">
        <v>560</v>
      </c>
      <c r="M70">
        <v>67</v>
      </c>
      <c r="N70">
        <f>Hoja4!$L70*Hoja4!$M70</f>
        <v>37520</v>
      </c>
      <c r="O70" t="str">
        <f t="shared" si="3"/>
        <v>Dom.</v>
      </c>
      <c r="P70" t="str">
        <f t="shared" si="4"/>
        <v>octubre</v>
      </c>
    </row>
    <row r="71" spans="1:16" x14ac:dyDescent="0.25">
      <c r="A71">
        <v>70</v>
      </c>
      <c r="B71">
        <v>43966</v>
      </c>
      <c r="C71">
        <v>1569352924</v>
      </c>
      <c r="D71" t="s">
        <v>51</v>
      </c>
      <c r="E71" t="s">
        <v>90</v>
      </c>
      <c r="F71" t="s">
        <v>98</v>
      </c>
      <c r="G71" t="s">
        <v>24</v>
      </c>
      <c r="H71" t="s">
        <v>25</v>
      </c>
      <c r="J71" t="s">
        <v>52</v>
      </c>
      <c r="K71" t="s">
        <v>53</v>
      </c>
      <c r="L71">
        <v>257.59999999999997</v>
      </c>
      <c r="M71">
        <v>75</v>
      </c>
      <c r="N71">
        <f>Hoja4!$L71*Hoja4!$M71</f>
        <v>19319.999999999996</v>
      </c>
      <c r="O71" t="str">
        <f t="shared" si="3"/>
        <v>Vie.</v>
      </c>
      <c r="P71" t="str">
        <f t="shared" si="4"/>
        <v>mayo</v>
      </c>
    </row>
    <row r="72" spans="1:16" x14ac:dyDescent="0.25">
      <c r="A72">
        <v>71</v>
      </c>
      <c r="B72">
        <v>43962</v>
      </c>
      <c r="C72">
        <v>4417023777</v>
      </c>
      <c r="D72" t="s">
        <v>40</v>
      </c>
      <c r="E72" t="s">
        <v>97</v>
      </c>
      <c r="F72" t="s">
        <v>88</v>
      </c>
      <c r="G72" t="s">
        <v>41</v>
      </c>
      <c r="H72" t="s">
        <v>25</v>
      </c>
      <c r="I72" t="s">
        <v>17</v>
      </c>
      <c r="J72" t="s">
        <v>22</v>
      </c>
      <c r="K72" t="s">
        <v>11</v>
      </c>
      <c r="L72">
        <v>644</v>
      </c>
      <c r="M72">
        <v>17</v>
      </c>
      <c r="N72">
        <f>Hoja4!$L72*Hoja4!$M72</f>
        <v>10948</v>
      </c>
      <c r="O72" t="str">
        <f t="shared" si="3"/>
        <v>Lun.</v>
      </c>
      <c r="P72" t="str">
        <f t="shared" si="4"/>
        <v>mayo</v>
      </c>
    </row>
    <row r="73" spans="1:16" x14ac:dyDescent="0.25">
      <c r="A73">
        <v>72</v>
      </c>
      <c r="B73">
        <v>43845</v>
      </c>
      <c r="C73">
        <v>5213348963</v>
      </c>
      <c r="D73" t="s">
        <v>14</v>
      </c>
      <c r="E73" t="s">
        <v>81</v>
      </c>
      <c r="F73" t="s">
        <v>94</v>
      </c>
      <c r="G73" t="s">
        <v>15</v>
      </c>
      <c r="H73" t="s">
        <v>16</v>
      </c>
      <c r="I73" t="s">
        <v>17</v>
      </c>
      <c r="J73" t="s">
        <v>12</v>
      </c>
      <c r="K73" t="s">
        <v>13</v>
      </c>
      <c r="L73">
        <v>49</v>
      </c>
      <c r="M73">
        <v>48</v>
      </c>
      <c r="N73">
        <f>Hoja4!$L73*Hoja4!$M73</f>
        <v>2352</v>
      </c>
      <c r="O73" t="str">
        <f t="shared" si="3"/>
        <v>Mié.</v>
      </c>
      <c r="P73" t="str">
        <f t="shared" si="4"/>
        <v>enero</v>
      </c>
    </row>
    <row r="74" spans="1:16" x14ac:dyDescent="0.25">
      <c r="A74">
        <v>73</v>
      </c>
      <c r="B74">
        <v>44010</v>
      </c>
      <c r="C74">
        <v>6039525395</v>
      </c>
      <c r="D74" t="s">
        <v>20</v>
      </c>
      <c r="E74" t="s">
        <v>80</v>
      </c>
      <c r="F74" t="s">
        <v>95</v>
      </c>
      <c r="G74" t="s">
        <v>7</v>
      </c>
      <c r="H74" t="s">
        <v>8</v>
      </c>
      <c r="I74" t="s">
        <v>17</v>
      </c>
      <c r="J74" t="s">
        <v>21</v>
      </c>
      <c r="K74" t="s">
        <v>11</v>
      </c>
      <c r="L74">
        <v>252</v>
      </c>
      <c r="M74">
        <v>74</v>
      </c>
      <c r="N74">
        <f>Hoja4!$L74*Hoja4!$M74</f>
        <v>18648</v>
      </c>
      <c r="O74" t="str">
        <f t="shared" si="3"/>
        <v>Dom.</v>
      </c>
      <c r="P74" t="str">
        <f t="shared" si="4"/>
        <v>junio</v>
      </c>
    </row>
    <row r="75" spans="1:16" x14ac:dyDescent="0.25">
      <c r="A75">
        <v>74</v>
      </c>
      <c r="B75">
        <v>44123</v>
      </c>
      <c r="C75">
        <v>7564866770</v>
      </c>
      <c r="D75" t="s">
        <v>20</v>
      </c>
      <c r="E75" t="s">
        <v>80</v>
      </c>
      <c r="F75" t="s">
        <v>95</v>
      </c>
      <c r="G75" t="s">
        <v>7</v>
      </c>
      <c r="H75" t="s">
        <v>8</v>
      </c>
      <c r="I75" t="s">
        <v>17</v>
      </c>
      <c r="J75" t="s">
        <v>22</v>
      </c>
      <c r="K75" t="s">
        <v>11</v>
      </c>
      <c r="L75">
        <v>644</v>
      </c>
      <c r="M75">
        <v>96</v>
      </c>
      <c r="N75">
        <f>Hoja4!$L75*Hoja4!$M75</f>
        <v>61824</v>
      </c>
      <c r="O75" t="str">
        <f t="shared" si="3"/>
        <v>Lun.</v>
      </c>
      <c r="P75" t="str">
        <f t="shared" si="4"/>
        <v>octubre</v>
      </c>
    </row>
    <row r="76" spans="1:16" x14ac:dyDescent="0.25">
      <c r="A76">
        <v>75</v>
      </c>
      <c r="B76">
        <v>43976</v>
      </c>
      <c r="C76">
        <v>9161740728</v>
      </c>
      <c r="D76" t="s">
        <v>23</v>
      </c>
      <c r="E76" t="s">
        <v>86</v>
      </c>
      <c r="F76" t="s">
        <v>82</v>
      </c>
      <c r="G76" t="s">
        <v>24</v>
      </c>
      <c r="H76" t="s">
        <v>25</v>
      </c>
      <c r="I76" t="s">
        <v>17</v>
      </c>
      <c r="J76" t="s">
        <v>26</v>
      </c>
      <c r="K76" t="s">
        <v>27</v>
      </c>
      <c r="L76">
        <v>128.79999999999998</v>
      </c>
      <c r="M76">
        <v>12</v>
      </c>
      <c r="N76">
        <f>Hoja4!$L76*Hoja4!$M76</f>
        <v>1545.6</v>
      </c>
      <c r="O76" t="str">
        <f t="shared" si="3"/>
        <v>Lun.</v>
      </c>
      <c r="P76" t="str">
        <f t="shared" si="4"/>
        <v>mayo</v>
      </c>
    </row>
    <row r="77" spans="1:16" x14ac:dyDescent="0.25">
      <c r="A77">
        <v>76</v>
      </c>
      <c r="B77">
        <v>43939</v>
      </c>
      <c r="C77">
        <v>5854661633</v>
      </c>
      <c r="D77" t="s">
        <v>14</v>
      </c>
      <c r="E77" t="s">
        <v>81</v>
      </c>
      <c r="F77" t="s">
        <v>94</v>
      </c>
      <c r="G77" t="s">
        <v>15</v>
      </c>
      <c r="H77" t="s">
        <v>25</v>
      </c>
      <c r="I77" t="s">
        <v>9</v>
      </c>
      <c r="J77" t="s">
        <v>26</v>
      </c>
      <c r="K77" t="s">
        <v>27</v>
      </c>
      <c r="L77">
        <v>128.79999999999998</v>
      </c>
      <c r="M77">
        <v>62</v>
      </c>
      <c r="N77">
        <f>Hoja4!$L77*Hoja4!$M77</f>
        <v>7985.5999999999985</v>
      </c>
      <c r="O77" t="str">
        <f t="shared" si="3"/>
        <v>Sáb.</v>
      </c>
      <c r="P77" t="str">
        <f t="shared" si="4"/>
        <v>abril</v>
      </c>
    </row>
    <row r="78" spans="1:16" x14ac:dyDescent="0.25">
      <c r="A78">
        <v>77</v>
      </c>
      <c r="B78">
        <v>43995</v>
      </c>
      <c r="C78">
        <v>9782824487</v>
      </c>
      <c r="D78" t="s">
        <v>28</v>
      </c>
      <c r="E78" t="s">
        <v>89</v>
      </c>
      <c r="F78" t="s">
        <v>84</v>
      </c>
      <c r="G78" t="s">
        <v>29</v>
      </c>
      <c r="H78" t="s">
        <v>8</v>
      </c>
      <c r="I78" t="s">
        <v>9</v>
      </c>
      <c r="J78" t="s">
        <v>30</v>
      </c>
      <c r="K78" t="s">
        <v>31</v>
      </c>
      <c r="L78">
        <v>178.5</v>
      </c>
      <c r="M78">
        <v>35</v>
      </c>
      <c r="N78">
        <f>Hoja4!$L78*Hoja4!$M78</f>
        <v>6247.5</v>
      </c>
      <c r="O78" t="str">
        <f t="shared" si="3"/>
        <v>Sáb.</v>
      </c>
      <c r="P78" t="str">
        <f t="shared" si="4"/>
        <v>junio</v>
      </c>
    </row>
    <row r="79" spans="1:16" x14ac:dyDescent="0.25">
      <c r="A79">
        <v>78</v>
      </c>
      <c r="B79">
        <v>43888</v>
      </c>
      <c r="C79">
        <v>5368581132</v>
      </c>
      <c r="D79" t="s">
        <v>32</v>
      </c>
      <c r="E79" t="s">
        <v>93</v>
      </c>
      <c r="F79" t="s">
        <v>96</v>
      </c>
      <c r="G79" t="s">
        <v>7</v>
      </c>
      <c r="H79" t="s">
        <v>8</v>
      </c>
      <c r="I79" t="s">
        <v>33</v>
      </c>
      <c r="J79" t="s">
        <v>34</v>
      </c>
      <c r="K79" t="s">
        <v>35</v>
      </c>
      <c r="L79">
        <v>135.1</v>
      </c>
      <c r="M79">
        <v>95</v>
      </c>
      <c r="N79">
        <f>Hoja4!$L79*Hoja4!$M79</f>
        <v>12834.5</v>
      </c>
      <c r="O79" t="str">
        <f t="shared" si="3"/>
        <v>Jue.</v>
      </c>
      <c r="P79" t="str">
        <f t="shared" si="4"/>
        <v>febrero</v>
      </c>
    </row>
    <row r="80" spans="1:16" x14ac:dyDescent="0.25">
      <c r="A80">
        <v>79</v>
      </c>
      <c r="B80">
        <v>43991</v>
      </c>
      <c r="C80">
        <v>1972466220</v>
      </c>
      <c r="D80" t="s">
        <v>36</v>
      </c>
      <c r="E80" t="s">
        <v>92</v>
      </c>
      <c r="F80" t="s">
        <v>99</v>
      </c>
      <c r="G80" t="s">
        <v>37</v>
      </c>
      <c r="H80" t="s">
        <v>8</v>
      </c>
      <c r="I80" t="s">
        <v>17</v>
      </c>
      <c r="J80" t="s">
        <v>38</v>
      </c>
      <c r="K80" t="s">
        <v>39</v>
      </c>
      <c r="L80">
        <v>560</v>
      </c>
      <c r="M80">
        <v>17</v>
      </c>
      <c r="N80">
        <f>Hoja4!$L80*Hoja4!$M80</f>
        <v>9520</v>
      </c>
      <c r="O80" t="str">
        <f t="shared" si="3"/>
        <v>Mar.</v>
      </c>
      <c r="P80" t="str">
        <f t="shared" si="4"/>
        <v>junio</v>
      </c>
    </row>
    <row r="81" spans="1:16" x14ac:dyDescent="0.25">
      <c r="A81">
        <v>80</v>
      </c>
      <c r="B81">
        <v>44149</v>
      </c>
      <c r="C81">
        <v>6835780904</v>
      </c>
      <c r="D81" t="s">
        <v>40</v>
      </c>
      <c r="E81" t="s">
        <v>97</v>
      </c>
      <c r="F81" t="s">
        <v>88</v>
      </c>
      <c r="G81" t="s">
        <v>41</v>
      </c>
      <c r="H81" t="s">
        <v>25</v>
      </c>
      <c r="I81" t="s">
        <v>9</v>
      </c>
      <c r="J81" t="s">
        <v>22</v>
      </c>
      <c r="K81" t="s">
        <v>11</v>
      </c>
      <c r="L81">
        <v>644</v>
      </c>
      <c r="M81">
        <v>96</v>
      </c>
      <c r="N81">
        <f>Hoja4!$L81*Hoja4!$M81</f>
        <v>61824</v>
      </c>
      <c r="O81" t="str">
        <f t="shared" si="3"/>
        <v>Sáb.</v>
      </c>
      <c r="P81" t="str">
        <f t="shared" si="4"/>
        <v>noviembre</v>
      </c>
    </row>
    <row r="82" spans="1:16" x14ac:dyDescent="0.25">
      <c r="A82">
        <v>81</v>
      </c>
      <c r="B82">
        <v>44029</v>
      </c>
      <c r="C82">
        <v>9361876990</v>
      </c>
      <c r="D82" t="s">
        <v>23</v>
      </c>
      <c r="E82" t="s">
        <v>86</v>
      </c>
      <c r="F82" t="s">
        <v>82</v>
      </c>
      <c r="G82" t="s">
        <v>24</v>
      </c>
      <c r="H82" t="s">
        <v>25</v>
      </c>
      <c r="I82" t="s">
        <v>9</v>
      </c>
      <c r="J82" t="s">
        <v>30</v>
      </c>
      <c r="K82" t="s">
        <v>31</v>
      </c>
      <c r="L82">
        <v>178.5</v>
      </c>
      <c r="M82">
        <v>83</v>
      </c>
      <c r="N82">
        <f>Hoja4!$L82*Hoja4!$M82</f>
        <v>14815.5</v>
      </c>
      <c r="O82" t="str">
        <f t="shared" si="3"/>
        <v>Vie.</v>
      </c>
      <c r="P82" t="str">
        <f t="shared" si="4"/>
        <v>julio</v>
      </c>
    </row>
    <row r="83" spans="1:16" x14ac:dyDescent="0.25">
      <c r="A83">
        <v>82</v>
      </c>
      <c r="B83">
        <v>43831</v>
      </c>
      <c r="C83">
        <v>7655628230</v>
      </c>
      <c r="D83" t="s">
        <v>42</v>
      </c>
      <c r="E83" t="s">
        <v>91</v>
      </c>
      <c r="F83" t="s">
        <v>91</v>
      </c>
      <c r="G83" t="s">
        <v>43</v>
      </c>
      <c r="H83" t="s">
        <v>8</v>
      </c>
      <c r="I83" t="s">
        <v>17</v>
      </c>
      <c r="J83" t="s">
        <v>44</v>
      </c>
      <c r="K83" t="s">
        <v>11</v>
      </c>
      <c r="L83">
        <v>41.86</v>
      </c>
      <c r="M83">
        <v>88</v>
      </c>
      <c r="N83">
        <f>Hoja4!$L83*Hoja4!$M83</f>
        <v>3683.68</v>
      </c>
      <c r="O83" t="str">
        <f t="shared" si="3"/>
        <v>Mié.</v>
      </c>
      <c r="P83" t="str">
        <f t="shared" si="4"/>
        <v>enero</v>
      </c>
    </row>
    <row r="84" spans="1:16" x14ac:dyDescent="0.25">
      <c r="A84">
        <v>83</v>
      </c>
      <c r="B84">
        <v>43952</v>
      </c>
      <c r="C84">
        <v>6770397729</v>
      </c>
      <c r="D84" t="s">
        <v>45</v>
      </c>
      <c r="E84" t="s">
        <v>87</v>
      </c>
      <c r="F84" t="s">
        <v>87</v>
      </c>
      <c r="G84" t="s">
        <v>24</v>
      </c>
      <c r="J84" t="s">
        <v>22</v>
      </c>
      <c r="K84" t="s">
        <v>11</v>
      </c>
      <c r="L84">
        <v>644</v>
      </c>
      <c r="M84">
        <v>59</v>
      </c>
      <c r="N84">
        <f>Hoja4!$L84*Hoja4!$M84</f>
        <v>37996</v>
      </c>
      <c r="O84" t="str">
        <f t="shared" si="3"/>
        <v>Vie.</v>
      </c>
      <c r="P84" t="str">
        <f t="shared" si="4"/>
        <v>mayo</v>
      </c>
    </row>
    <row r="85" spans="1:16" x14ac:dyDescent="0.25">
      <c r="A85">
        <v>84</v>
      </c>
      <c r="B85">
        <v>44099</v>
      </c>
      <c r="C85">
        <v>6622149015</v>
      </c>
      <c r="D85" t="s">
        <v>42</v>
      </c>
      <c r="E85" t="s">
        <v>91</v>
      </c>
      <c r="F85" t="s">
        <v>91</v>
      </c>
      <c r="G85" t="s">
        <v>43</v>
      </c>
      <c r="H85" t="s">
        <v>16</v>
      </c>
      <c r="J85" t="s">
        <v>46</v>
      </c>
      <c r="K85" t="s">
        <v>47</v>
      </c>
      <c r="L85">
        <v>350</v>
      </c>
      <c r="M85">
        <v>27</v>
      </c>
      <c r="N85">
        <f>Hoja4!$L85*Hoja4!$M85</f>
        <v>9450</v>
      </c>
      <c r="O85" t="str">
        <f t="shared" si="3"/>
        <v>Vie.</v>
      </c>
      <c r="P85" t="str">
        <f t="shared" si="4"/>
        <v>septiembre</v>
      </c>
    </row>
    <row r="86" spans="1:16" x14ac:dyDescent="0.25">
      <c r="A86">
        <v>85</v>
      </c>
      <c r="B86">
        <v>44071</v>
      </c>
      <c r="C86">
        <v>8859429908</v>
      </c>
      <c r="D86" t="s">
        <v>42</v>
      </c>
      <c r="E86" t="s">
        <v>91</v>
      </c>
      <c r="F86" t="s">
        <v>91</v>
      </c>
      <c r="G86" t="s">
        <v>43</v>
      </c>
      <c r="H86" t="s">
        <v>16</v>
      </c>
      <c r="J86" t="s">
        <v>48</v>
      </c>
      <c r="K86" t="s">
        <v>49</v>
      </c>
      <c r="L86">
        <v>308</v>
      </c>
      <c r="M86">
        <v>37</v>
      </c>
      <c r="N86">
        <f>Hoja4!$L86*Hoja4!$M86</f>
        <v>11396</v>
      </c>
      <c r="O86" t="str">
        <f t="shared" si="3"/>
        <v>Vie.</v>
      </c>
      <c r="P86" t="str">
        <f t="shared" si="4"/>
        <v>agosto</v>
      </c>
    </row>
    <row r="87" spans="1:16" x14ac:dyDescent="0.25">
      <c r="A87">
        <v>86</v>
      </c>
      <c r="B87">
        <v>44104</v>
      </c>
      <c r="C87">
        <v>146252536</v>
      </c>
      <c r="D87" t="s">
        <v>42</v>
      </c>
      <c r="E87" t="s">
        <v>91</v>
      </c>
      <c r="F87" t="s">
        <v>91</v>
      </c>
      <c r="G87" t="s">
        <v>43</v>
      </c>
      <c r="H87" t="s">
        <v>16</v>
      </c>
      <c r="J87" t="s">
        <v>26</v>
      </c>
      <c r="K87" t="s">
        <v>27</v>
      </c>
      <c r="L87">
        <v>128.79999999999998</v>
      </c>
      <c r="M87">
        <v>75</v>
      </c>
      <c r="N87">
        <f>Hoja4!$L87*Hoja4!$M87</f>
        <v>9659.9999999999982</v>
      </c>
      <c r="O87" t="str">
        <f t="shared" si="3"/>
        <v>Mié.</v>
      </c>
      <c r="P87" t="str">
        <f t="shared" si="4"/>
        <v>septiembre</v>
      </c>
    </row>
    <row r="88" spans="1:16" x14ac:dyDescent="0.25">
      <c r="A88">
        <v>87</v>
      </c>
      <c r="B88">
        <v>43866</v>
      </c>
      <c r="C88">
        <v>9010865731</v>
      </c>
      <c r="D88" t="s">
        <v>50</v>
      </c>
      <c r="E88" t="s">
        <v>85</v>
      </c>
      <c r="F88" t="s">
        <v>83</v>
      </c>
      <c r="G88" t="s">
        <v>41</v>
      </c>
      <c r="H88" t="s">
        <v>25</v>
      </c>
      <c r="J88" t="s">
        <v>12</v>
      </c>
      <c r="K88" t="s">
        <v>13</v>
      </c>
      <c r="L88">
        <v>49</v>
      </c>
      <c r="M88">
        <v>71</v>
      </c>
      <c r="N88">
        <f>Hoja4!$L88*Hoja4!$M88</f>
        <v>3479</v>
      </c>
      <c r="O88" t="str">
        <f t="shared" si="3"/>
        <v>Mié.</v>
      </c>
      <c r="P88" t="str">
        <f t="shared" si="4"/>
        <v>febrero</v>
      </c>
    </row>
    <row r="89" spans="1:16" x14ac:dyDescent="0.25">
      <c r="A89">
        <v>88</v>
      </c>
      <c r="B89">
        <v>44017</v>
      </c>
      <c r="C89">
        <v>9076170123</v>
      </c>
      <c r="D89" t="s">
        <v>50</v>
      </c>
      <c r="E89" t="s">
        <v>85</v>
      </c>
      <c r="F89" t="s">
        <v>83</v>
      </c>
      <c r="G89" t="s">
        <v>41</v>
      </c>
      <c r="H89" t="s">
        <v>25</v>
      </c>
      <c r="J89" t="s">
        <v>44</v>
      </c>
      <c r="K89" t="s">
        <v>11</v>
      </c>
      <c r="L89">
        <v>41.86</v>
      </c>
      <c r="M89">
        <v>88</v>
      </c>
      <c r="N89">
        <f>Hoja4!$L89*Hoja4!$M89</f>
        <v>3683.68</v>
      </c>
      <c r="O89" t="str">
        <f t="shared" si="3"/>
        <v>Dom.</v>
      </c>
      <c r="P89" t="str">
        <f t="shared" si="4"/>
        <v>julio</v>
      </c>
    </row>
    <row r="90" spans="1:16" x14ac:dyDescent="0.25">
      <c r="A90">
        <v>89</v>
      </c>
      <c r="B90">
        <v>43924</v>
      </c>
      <c r="C90">
        <v>4412491838</v>
      </c>
      <c r="D90" t="s">
        <v>51</v>
      </c>
      <c r="E90" t="s">
        <v>90</v>
      </c>
      <c r="F90" t="s">
        <v>98</v>
      </c>
      <c r="G90" t="s">
        <v>24</v>
      </c>
      <c r="J90" t="s">
        <v>21</v>
      </c>
      <c r="K90" t="s">
        <v>11</v>
      </c>
      <c r="L90">
        <v>252</v>
      </c>
      <c r="M90">
        <v>55</v>
      </c>
      <c r="N90">
        <f>Hoja4!$L90*Hoja4!$M90</f>
        <v>13860</v>
      </c>
      <c r="O90" t="str">
        <f t="shared" si="3"/>
        <v>Vie.</v>
      </c>
      <c r="P90" t="str">
        <f t="shared" si="4"/>
        <v>abril</v>
      </c>
    </row>
    <row r="91" spans="1:16" x14ac:dyDescent="0.25">
      <c r="A91">
        <v>90</v>
      </c>
      <c r="B91">
        <v>43964</v>
      </c>
      <c r="C91">
        <v>7223227521</v>
      </c>
      <c r="D91" t="s">
        <v>28</v>
      </c>
      <c r="E91" t="s">
        <v>89</v>
      </c>
      <c r="F91" t="s">
        <v>84</v>
      </c>
      <c r="G91" t="s">
        <v>29</v>
      </c>
      <c r="H91" t="s">
        <v>8</v>
      </c>
      <c r="I91" t="s">
        <v>9</v>
      </c>
      <c r="J91" t="s">
        <v>30</v>
      </c>
      <c r="K91" t="s">
        <v>31</v>
      </c>
      <c r="L91">
        <v>178.5</v>
      </c>
      <c r="M91">
        <v>14</v>
      </c>
      <c r="N91">
        <f>Hoja4!$L91*Hoja4!$M91</f>
        <v>2499</v>
      </c>
      <c r="O91" t="str">
        <f t="shared" si="3"/>
        <v>Mié.</v>
      </c>
      <c r="P91" t="str">
        <f t="shared" si="4"/>
        <v>mayo</v>
      </c>
    </row>
    <row r="92" spans="1:16" x14ac:dyDescent="0.25">
      <c r="A92">
        <v>91</v>
      </c>
      <c r="B92">
        <v>43994</v>
      </c>
      <c r="C92">
        <v>9595973394</v>
      </c>
      <c r="D92" t="s">
        <v>32</v>
      </c>
      <c r="E92" t="s">
        <v>93</v>
      </c>
      <c r="F92" t="s">
        <v>96</v>
      </c>
      <c r="G92" t="s">
        <v>7</v>
      </c>
      <c r="H92" t="s">
        <v>8</v>
      </c>
      <c r="I92" t="s">
        <v>33</v>
      </c>
      <c r="J92" t="s">
        <v>34</v>
      </c>
      <c r="K92" t="s">
        <v>35</v>
      </c>
      <c r="L92">
        <v>135.1</v>
      </c>
      <c r="M92">
        <v>43</v>
      </c>
      <c r="N92">
        <f>Hoja4!$L92*Hoja4!$M92</f>
        <v>5809.3</v>
      </c>
      <c r="O92" t="str">
        <f t="shared" si="3"/>
        <v>Vie.</v>
      </c>
      <c r="P92" t="str">
        <f t="shared" si="4"/>
        <v>junio</v>
      </c>
    </row>
    <row r="93" spans="1:16" x14ac:dyDescent="0.25">
      <c r="A93">
        <v>92</v>
      </c>
      <c r="B93">
        <v>43891</v>
      </c>
      <c r="C93">
        <v>2755531090</v>
      </c>
      <c r="D93" t="s">
        <v>36</v>
      </c>
      <c r="E93" t="s">
        <v>92</v>
      </c>
      <c r="F93" t="s">
        <v>99</v>
      </c>
      <c r="G93" t="s">
        <v>37</v>
      </c>
      <c r="H93" t="s">
        <v>8</v>
      </c>
      <c r="I93" t="s">
        <v>17</v>
      </c>
      <c r="J93" t="s">
        <v>38</v>
      </c>
      <c r="K93" t="s">
        <v>39</v>
      </c>
      <c r="L93">
        <v>560</v>
      </c>
      <c r="M93">
        <v>63</v>
      </c>
      <c r="N93">
        <f>Hoja4!$L93*Hoja4!$M93</f>
        <v>35280</v>
      </c>
      <c r="O93" t="str">
        <f t="shared" si="3"/>
        <v>Dom.</v>
      </c>
      <c r="P93" t="str">
        <f t="shared" si="4"/>
        <v>marzo</v>
      </c>
    </row>
    <row r="94" spans="1:16" x14ac:dyDescent="0.25">
      <c r="A94">
        <v>93</v>
      </c>
      <c r="B94">
        <v>44069</v>
      </c>
      <c r="C94">
        <v>5306800000</v>
      </c>
      <c r="D94" t="s">
        <v>40</v>
      </c>
      <c r="E94" t="s">
        <v>97</v>
      </c>
      <c r="F94" t="s">
        <v>88</v>
      </c>
      <c r="G94" t="s">
        <v>41</v>
      </c>
      <c r="H94" t="s">
        <v>25</v>
      </c>
      <c r="I94" t="s">
        <v>9</v>
      </c>
      <c r="J94" t="s">
        <v>22</v>
      </c>
      <c r="K94" t="s">
        <v>11</v>
      </c>
      <c r="L94">
        <v>644</v>
      </c>
      <c r="M94">
        <v>36</v>
      </c>
      <c r="N94">
        <f>Hoja4!$L94*Hoja4!$M94</f>
        <v>23184</v>
      </c>
      <c r="O94" t="str">
        <f t="shared" si="3"/>
        <v>Mié.</v>
      </c>
      <c r="P94" t="str">
        <f t="shared" si="4"/>
        <v>agosto</v>
      </c>
    </row>
    <row r="95" spans="1:16" x14ac:dyDescent="0.25">
      <c r="A95">
        <v>94</v>
      </c>
      <c r="B95">
        <v>44171</v>
      </c>
      <c r="C95">
        <v>6768826719</v>
      </c>
      <c r="D95" t="s">
        <v>23</v>
      </c>
      <c r="E95" t="s">
        <v>86</v>
      </c>
      <c r="F95" t="s">
        <v>82</v>
      </c>
      <c r="G95" t="s">
        <v>24</v>
      </c>
      <c r="H95" t="s">
        <v>25</v>
      </c>
      <c r="I95" t="s">
        <v>9</v>
      </c>
      <c r="J95" t="s">
        <v>30</v>
      </c>
      <c r="K95" t="s">
        <v>31</v>
      </c>
      <c r="L95">
        <v>178.5</v>
      </c>
      <c r="M95">
        <v>41</v>
      </c>
      <c r="N95">
        <f>Hoja4!$L95*Hoja4!$M95</f>
        <v>7318.5</v>
      </c>
      <c r="O95" t="str">
        <f t="shared" si="3"/>
        <v>Dom.</v>
      </c>
      <c r="P95" t="str">
        <f t="shared" si="4"/>
        <v>diciembre</v>
      </c>
    </row>
    <row r="96" spans="1:16" x14ac:dyDescent="0.25">
      <c r="A96">
        <v>95</v>
      </c>
      <c r="B96">
        <v>43923</v>
      </c>
      <c r="C96">
        <v>7945500000</v>
      </c>
      <c r="D96" t="s">
        <v>42</v>
      </c>
      <c r="E96" t="s">
        <v>91</v>
      </c>
      <c r="F96" t="s">
        <v>91</v>
      </c>
      <c r="G96" t="s">
        <v>43</v>
      </c>
      <c r="H96" t="s">
        <v>8</v>
      </c>
      <c r="I96" t="s">
        <v>17</v>
      </c>
      <c r="J96" t="s">
        <v>44</v>
      </c>
      <c r="K96" t="s">
        <v>11</v>
      </c>
      <c r="L96">
        <v>41.86</v>
      </c>
      <c r="M96">
        <v>35</v>
      </c>
      <c r="N96">
        <f>Hoja4!$L96*Hoja4!$M96</f>
        <v>1465.1</v>
      </c>
      <c r="O96" t="str">
        <f t="shared" si="3"/>
        <v>Jue.</v>
      </c>
      <c r="P96" t="str">
        <f t="shared" si="4"/>
        <v>abril</v>
      </c>
    </row>
    <row r="97" spans="1:16" x14ac:dyDescent="0.25">
      <c r="A97">
        <v>96</v>
      </c>
      <c r="B97">
        <v>43923</v>
      </c>
      <c r="C97">
        <v>4671327569</v>
      </c>
      <c r="D97" t="s">
        <v>45</v>
      </c>
      <c r="E97" t="s">
        <v>87</v>
      </c>
      <c r="F97" t="s">
        <v>87</v>
      </c>
      <c r="G97" t="s">
        <v>24</v>
      </c>
      <c r="J97" t="s">
        <v>22</v>
      </c>
      <c r="K97" t="s">
        <v>11</v>
      </c>
      <c r="L97">
        <v>644</v>
      </c>
      <c r="M97">
        <v>31</v>
      </c>
      <c r="N97">
        <f>Hoja4!$L97*Hoja4!$M97</f>
        <v>19964</v>
      </c>
      <c r="O97" t="str">
        <f t="shared" si="3"/>
        <v>Jue.</v>
      </c>
      <c r="P97" t="str">
        <f t="shared" si="4"/>
        <v>abril</v>
      </c>
    </row>
    <row r="98" spans="1:16" x14ac:dyDescent="0.25">
      <c r="A98">
        <v>97</v>
      </c>
      <c r="B98">
        <v>44100</v>
      </c>
      <c r="C98">
        <v>5750783013</v>
      </c>
      <c r="D98" t="s">
        <v>42</v>
      </c>
      <c r="E98" t="s">
        <v>91</v>
      </c>
      <c r="F98" t="s">
        <v>91</v>
      </c>
      <c r="G98" t="s">
        <v>43</v>
      </c>
      <c r="H98" t="s">
        <v>16</v>
      </c>
      <c r="J98" t="s">
        <v>46</v>
      </c>
      <c r="K98" t="s">
        <v>47</v>
      </c>
      <c r="L98">
        <v>350</v>
      </c>
      <c r="M98">
        <v>52</v>
      </c>
      <c r="N98">
        <f>Hoja4!$L98*Hoja4!$M98</f>
        <v>18200</v>
      </c>
      <c r="O98" t="str">
        <f t="shared" si="3"/>
        <v>Sáb.</v>
      </c>
      <c r="P98" t="str">
        <f t="shared" si="4"/>
        <v>septiembre</v>
      </c>
    </row>
    <row r="99" spans="1:16" x14ac:dyDescent="0.25">
      <c r="A99">
        <v>98</v>
      </c>
      <c r="B99">
        <v>44024</v>
      </c>
      <c r="C99">
        <v>1216202808</v>
      </c>
      <c r="D99" t="s">
        <v>42</v>
      </c>
      <c r="E99" t="s">
        <v>91</v>
      </c>
      <c r="F99" t="s">
        <v>91</v>
      </c>
      <c r="G99" t="s">
        <v>43</v>
      </c>
      <c r="H99" t="s">
        <v>16</v>
      </c>
      <c r="J99" t="s">
        <v>48</v>
      </c>
      <c r="K99" t="s">
        <v>49</v>
      </c>
      <c r="L99">
        <v>308</v>
      </c>
      <c r="M99">
        <v>30</v>
      </c>
      <c r="N99">
        <f>Hoja4!$L99*Hoja4!$M99</f>
        <v>9240</v>
      </c>
      <c r="O99" t="str">
        <f t="shared" si="3"/>
        <v>Dom.</v>
      </c>
      <c r="P99" t="str">
        <f t="shared" si="4"/>
        <v>julio</v>
      </c>
    </row>
    <row r="100" spans="1:16" x14ac:dyDescent="0.25">
      <c r="A100">
        <v>99</v>
      </c>
      <c r="B100">
        <v>43934</v>
      </c>
      <c r="C100">
        <v>7167041532</v>
      </c>
      <c r="D100" t="s">
        <v>42</v>
      </c>
      <c r="E100" t="s">
        <v>91</v>
      </c>
      <c r="F100" t="s">
        <v>91</v>
      </c>
      <c r="G100" t="s">
        <v>43</v>
      </c>
      <c r="H100" t="s">
        <v>16</v>
      </c>
      <c r="J100" t="s">
        <v>26</v>
      </c>
      <c r="K100" t="s">
        <v>27</v>
      </c>
      <c r="L100">
        <v>128.79999999999998</v>
      </c>
      <c r="M100">
        <v>41</v>
      </c>
      <c r="N100">
        <f>Hoja4!$L100*Hoja4!$M100</f>
        <v>5280.7999999999993</v>
      </c>
      <c r="O100" t="str">
        <f t="shared" si="3"/>
        <v>Lun.</v>
      </c>
      <c r="P100" t="str">
        <f t="shared" si="4"/>
        <v>abril</v>
      </c>
    </row>
    <row r="101" spans="1:16" x14ac:dyDescent="0.25">
      <c r="A101">
        <v>100</v>
      </c>
      <c r="B101">
        <v>44096</v>
      </c>
      <c r="C101">
        <v>2241191338</v>
      </c>
      <c r="D101" t="s">
        <v>50</v>
      </c>
      <c r="E101" t="s">
        <v>85</v>
      </c>
      <c r="F101" t="s">
        <v>83</v>
      </c>
      <c r="G101" t="s">
        <v>41</v>
      </c>
      <c r="H101" t="s">
        <v>25</v>
      </c>
      <c r="J101" t="s">
        <v>12</v>
      </c>
      <c r="K101" t="s">
        <v>13</v>
      </c>
      <c r="L101">
        <v>49</v>
      </c>
      <c r="M101">
        <v>44</v>
      </c>
      <c r="N101">
        <f>Hoja4!$L101*Hoja4!$M101</f>
        <v>2156</v>
      </c>
      <c r="O101" t="str">
        <f t="shared" si="3"/>
        <v>Mar.</v>
      </c>
      <c r="P101" t="str">
        <f t="shared" si="4"/>
        <v>septiembre</v>
      </c>
    </row>
    <row r="102" spans="1:16" x14ac:dyDescent="0.25">
      <c r="A102">
        <v>101</v>
      </c>
      <c r="B102">
        <v>44106</v>
      </c>
      <c r="C102">
        <v>806264266</v>
      </c>
      <c r="D102" t="s">
        <v>50</v>
      </c>
      <c r="E102" t="s">
        <v>85</v>
      </c>
      <c r="F102" t="s">
        <v>83</v>
      </c>
      <c r="G102" t="s">
        <v>41</v>
      </c>
      <c r="H102" t="s">
        <v>25</v>
      </c>
      <c r="J102" t="s">
        <v>44</v>
      </c>
      <c r="K102" t="s">
        <v>11</v>
      </c>
      <c r="L102">
        <v>41.86</v>
      </c>
      <c r="M102">
        <v>77</v>
      </c>
      <c r="N102">
        <f>Hoja4!$L102*Hoja4!$M102</f>
        <v>3223.22</v>
      </c>
      <c r="O102" t="str">
        <f t="shared" si="3"/>
        <v>Vie.</v>
      </c>
      <c r="P102" t="str">
        <f t="shared" si="4"/>
        <v>octubre</v>
      </c>
    </row>
    <row r="103" spans="1:16" x14ac:dyDescent="0.25">
      <c r="A103">
        <v>102</v>
      </c>
      <c r="B103">
        <v>43902</v>
      </c>
      <c r="C103">
        <v>3820174684</v>
      </c>
      <c r="D103" t="s">
        <v>51</v>
      </c>
      <c r="E103" t="s">
        <v>90</v>
      </c>
      <c r="F103" t="s">
        <v>98</v>
      </c>
      <c r="G103" t="s">
        <v>24</v>
      </c>
      <c r="J103" t="s">
        <v>21</v>
      </c>
      <c r="K103" t="s">
        <v>11</v>
      </c>
      <c r="L103">
        <v>252</v>
      </c>
      <c r="M103">
        <v>29</v>
      </c>
      <c r="N103">
        <f>Hoja4!$L103*Hoja4!$M103</f>
        <v>7308</v>
      </c>
      <c r="O103" t="str">
        <f t="shared" si="3"/>
        <v>Jue.</v>
      </c>
      <c r="P103" t="str">
        <f t="shared" si="4"/>
        <v>marzo</v>
      </c>
    </row>
    <row r="104" spans="1:16" x14ac:dyDescent="0.25">
      <c r="A104">
        <v>103</v>
      </c>
      <c r="B104">
        <v>44074</v>
      </c>
      <c r="C104">
        <v>5541796483</v>
      </c>
      <c r="D104" t="s">
        <v>51</v>
      </c>
      <c r="E104" t="s">
        <v>90</v>
      </c>
      <c r="F104" t="s">
        <v>98</v>
      </c>
      <c r="G104" t="s">
        <v>24</v>
      </c>
      <c r="J104" t="s">
        <v>22</v>
      </c>
      <c r="K104" t="s">
        <v>11</v>
      </c>
      <c r="L104">
        <v>644</v>
      </c>
      <c r="M104">
        <v>77</v>
      </c>
      <c r="N104">
        <f>Hoja4!$L104*Hoja4!$M104</f>
        <v>49588</v>
      </c>
      <c r="O104" t="str">
        <f t="shared" si="3"/>
        <v>Lun.</v>
      </c>
      <c r="P104" t="str">
        <f t="shared" si="4"/>
        <v>agosto</v>
      </c>
    </row>
    <row r="105" spans="1:16" x14ac:dyDescent="0.25">
      <c r="A105">
        <v>104</v>
      </c>
      <c r="B105">
        <v>44025</v>
      </c>
      <c r="C105">
        <v>7096714976</v>
      </c>
      <c r="D105" t="s">
        <v>51</v>
      </c>
      <c r="E105" t="s">
        <v>90</v>
      </c>
      <c r="F105" t="s">
        <v>98</v>
      </c>
      <c r="G105" t="s">
        <v>24</v>
      </c>
      <c r="J105" t="s">
        <v>44</v>
      </c>
      <c r="K105" t="s">
        <v>11</v>
      </c>
      <c r="L105">
        <v>41.86</v>
      </c>
      <c r="M105">
        <v>73</v>
      </c>
      <c r="N105">
        <f>Hoja4!$L105*Hoja4!$M105</f>
        <v>3055.7799999999997</v>
      </c>
      <c r="O105" t="str">
        <f t="shared" si="3"/>
        <v>Lun.</v>
      </c>
      <c r="P105" t="str">
        <f t="shared" si="4"/>
        <v>julio</v>
      </c>
    </row>
    <row r="106" spans="1:16" x14ac:dyDescent="0.25">
      <c r="A106">
        <v>105</v>
      </c>
      <c r="B106">
        <v>44160</v>
      </c>
      <c r="C106">
        <v>2543114862</v>
      </c>
      <c r="D106" t="s">
        <v>40</v>
      </c>
      <c r="E106" t="s">
        <v>97</v>
      </c>
      <c r="F106" t="s">
        <v>88</v>
      </c>
      <c r="G106" t="s">
        <v>41</v>
      </c>
      <c r="H106" t="s">
        <v>25</v>
      </c>
      <c r="I106" t="s">
        <v>17</v>
      </c>
      <c r="J106" t="s">
        <v>34</v>
      </c>
      <c r="K106" t="s">
        <v>35</v>
      </c>
      <c r="L106">
        <v>135.1</v>
      </c>
      <c r="M106">
        <v>74</v>
      </c>
      <c r="N106">
        <f>Hoja4!$L106*Hoja4!$M106</f>
        <v>9997.4</v>
      </c>
      <c r="O106" t="str">
        <f t="shared" si="3"/>
        <v>Mié.</v>
      </c>
      <c r="P106" t="str">
        <f t="shared" si="4"/>
        <v>noviembre</v>
      </c>
    </row>
    <row r="107" spans="1:16" x14ac:dyDescent="0.25">
      <c r="A107">
        <v>106</v>
      </c>
      <c r="B107">
        <v>44070</v>
      </c>
      <c r="C107">
        <v>6501127347</v>
      </c>
      <c r="D107" t="s">
        <v>40</v>
      </c>
      <c r="E107" t="s">
        <v>97</v>
      </c>
      <c r="F107" t="s">
        <v>88</v>
      </c>
      <c r="G107" t="s">
        <v>41</v>
      </c>
      <c r="H107" t="s">
        <v>25</v>
      </c>
      <c r="I107" t="s">
        <v>17</v>
      </c>
      <c r="J107" t="s">
        <v>52</v>
      </c>
      <c r="K107" t="s">
        <v>53</v>
      </c>
      <c r="L107">
        <v>257.59999999999997</v>
      </c>
      <c r="M107">
        <v>25</v>
      </c>
      <c r="N107">
        <f>Hoja4!$L107*Hoja4!$M107</f>
        <v>6439.9999999999991</v>
      </c>
      <c r="O107" t="str">
        <f t="shared" si="3"/>
        <v>Jue.</v>
      </c>
      <c r="P107" t="str">
        <f t="shared" si="4"/>
        <v>agosto</v>
      </c>
    </row>
    <row r="108" spans="1:16" x14ac:dyDescent="0.25">
      <c r="A108">
        <v>107</v>
      </c>
      <c r="B108">
        <v>43947</v>
      </c>
      <c r="C108">
        <v>1322296163</v>
      </c>
      <c r="D108" t="s">
        <v>54</v>
      </c>
      <c r="E108" t="s">
        <v>89</v>
      </c>
      <c r="F108" t="s">
        <v>84</v>
      </c>
      <c r="G108" t="s">
        <v>55</v>
      </c>
      <c r="H108" t="s">
        <v>16</v>
      </c>
      <c r="I108" t="s">
        <v>9</v>
      </c>
      <c r="J108" t="s">
        <v>56</v>
      </c>
      <c r="K108" t="s">
        <v>57</v>
      </c>
      <c r="L108">
        <v>273</v>
      </c>
      <c r="M108">
        <v>82</v>
      </c>
      <c r="N108">
        <f>Hoja4!$L108*Hoja4!$M108</f>
        <v>22386</v>
      </c>
      <c r="O108" t="str">
        <f t="shared" si="3"/>
        <v>Dom.</v>
      </c>
      <c r="P108" t="str">
        <f t="shared" si="4"/>
        <v>abril</v>
      </c>
    </row>
    <row r="109" spans="1:16" x14ac:dyDescent="0.25">
      <c r="A109">
        <v>108</v>
      </c>
      <c r="B109">
        <v>44122</v>
      </c>
      <c r="C109">
        <v>5162222472</v>
      </c>
      <c r="D109" t="s">
        <v>54</v>
      </c>
      <c r="E109" t="s">
        <v>89</v>
      </c>
      <c r="F109" t="s">
        <v>84</v>
      </c>
      <c r="G109" t="s">
        <v>55</v>
      </c>
      <c r="H109" t="s">
        <v>16</v>
      </c>
      <c r="I109" t="s">
        <v>9</v>
      </c>
      <c r="J109" t="s">
        <v>58</v>
      </c>
      <c r="K109" t="s">
        <v>59</v>
      </c>
      <c r="L109">
        <v>487.19999999999993</v>
      </c>
      <c r="M109">
        <v>37</v>
      </c>
      <c r="N109">
        <f>Hoja4!$L109*Hoja4!$M109</f>
        <v>18026.399999999998</v>
      </c>
      <c r="O109" t="str">
        <f t="shared" si="3"/>
        <v>Dom.</v>
      </c>
      <c r="P109" t="str">
        <f t="shared" si="4"/>
        <v>octubre</v>
      </c>
    </row>
    <row r="110" spans="1:16" x14ac:dyDescent="0.25">
      <c r="A110">
        <v>109</v>
      </c>
      <c r="B110">
        <v>44103</v>
      </c>
      <c r="C110">
        <v>5752777715</v>
      </c>
      <c r="D110" t="s">
        <v>36</v>
      </c>
      <c r="E110" t="s">
        <v>92</v>
      </c>
      <c r="F110" t="s">
        <v>99</v>
      </c>
      <c r="G110" t="s">
        <v>37</v>
      </c>
      <c r="H110" t="s">
        <v>8</v>
      </c>
      <c r="I110" t="s">
        <v>17</v>
      </c>
      <c r="J110" t="s">
        <v>10</v>
      </c>
      <c r="K110" t="s">
        <v>11</v>
      </c>
      <c r="L110">
        <v>196</v>
      </c>
      <c r="M110">
        <v>84</v>
      </c>
      <c r="N110">
        <f>Hoja4!$L110*Hoja4!$M110</f>
        <v>16464</v>
      </c>
      <c r="O110" t="str">
        <f t="shared" si="3"/>
        <v>Mar.</v>
      </c>
      <c r="P110" t="str">
        <f t="shared" si="4"/>
        <v>septiembre</v>
      </c>
    </row>
    <row r="111" spans="1:16" x14ac:dyDescent="0.25">
      <c r="A111">
        <v>110</v>
      </c>
      <c r="B111">
        <v>44024</v>
      </c>
      <c r="C111">
        <v>2261700341</v>
      </c>
      <c r="D111" t="s">
        <v>23</v>
      </c>
      <c r="E111" t="s">
        <v>86</v>
      </c>
      <c r="F111" t="s">
        <v>82</v>
      </c>
      <c r="G111" t="s">
        <v>24</v>
      </c>
      <c r="H111" t="s">
        <v>8</v>
      </c>
      <c r="I111" t="s">
        <v>9</v>
      </c>
      <c r="J111" t="s">
        <v>38</v>
      </c>
      <c r="K111" t="s">
        <v>39</v>
      </c>
      <c r="L111">
        <v>560</v>
      </c>
      <c r="M111">
        <v>73</v>
      </c>
      <c r="N111">
        <f>Hoja4!$L111*Hoja4!$M111</f>
        <v>40880</v>
      </c>
      <c r="O111" t="str">
        <f t="shared" si="3"/>
        <v>Dom.</v>
      </c>
      <c r="P111" t="str">
        <f t="shared" si="4"/>
        <v>julio</v>
      </c>
    </row>
    <row r="112" spans="1:16" x14ac:dyDescent="0.25">
      <c r="A112">
        <v>111</v>
      </c>
      <c r="B112">
        <v>44073</v>
      </c>
      <c r="C112">
        <v>9950546196</v>
      </c>
      <c r="D112" t="s">
        <v>23</v>
      </c>
      <c r="E112" t="s">
        <v>86</v>
      </c>
      <c r="F112" t="s">
        <v>82</v>
      </c>
      <c r="G112" t="s">
        <v>24</v>
      </c>
      <c r="H112" t="s">
        <v>8</v>
      </c>
      <c r="I112" t="s">
        <v>9</v>
      </c>
      <c r="J112" t="s">
        <v>26</v>
      </c>
      <c r="K112" t="s">
        <v>27</v>
      </c>
      <c r="L112">
        <v>128.79999999999998</v>
      </c>
      <c r="M112">
        <v>51</v>
      </c>
      <c r="N112">
        <f>Hoja4!$L112*Hoja4!$M112</f>
        <v>6568.7999999999993</v>
      </c>
      <c r="O112" t="str">
        <f t="shared" si="3"/>
        <v>Dom.</v>
      </c>
      <c r="P112" t="str">
        <f t="shared" si="4"/>
        <v>agosto</v>
      </c>
    </row>
    <row r="113" spans="1:16" x14ac:dyDescent="0.25">
      <c r="A113">
        <v>112</v>
      </c>
      <c r="B113">
        <v>44191</v>
      </c>
      <c r="C113">
        <v>9911266011</v>
      </c>
      <c r="D113" t="s">
        <v>62</v>
      </c>
      <c r="E113" t="s">
        <v>91</v>
      </c>
      <c r="F113" t="s">
        <v>91</v>
      </c>
      <c r="G113" t="s">
        <v>43</v>
      </c>
      <c r="H113" t="s">
        <v>16</v>
      </c>
      <c r="I113" t="s">
        <v>33</v>
      </c>
      <c r="J113" t="s">
        <v>67</v>
      </c>
      <c r="K113" t="s">
        <v>27</v>
      </c>
      <c r="L113">
        <v>140</v>
      </c>
      <c r="M113">
        <v>66</v>
      </c>
      <c r="N113">
        <f>Hoja4!$L113*Hoja4!$M113</f>
        <v>9240</v>
      </c>
      <c r="O113" t="str">
        <f t="shared" si="3"/>
        <v>Sáb.</v>
      </c>
      <c r="P113" t="str">
        <f t="shared" si="4"/>
        <v>diciembre</v>
      </c>
    </row>
    <row r="114" spans="1:16" x14ac:dyDescent="0.25">
      <c r="A114">
        <v>113</v>
      </c>
      <c r="B114">
        <v>44183</v>
      </c>
      <c r="C114">
        <v>8455987495</v>
      </c>
      <c r="D114" t="s">
        <v>63</v>
      </c>
      <c r="E114" t="s">
        <v>85</v>
      </c>
      <c r="F114" t="s">
        <v>83</v>
      </c>
      <c r="G114" t="s">
        <v>41</v>
      </c>
      <c r="H114" t="s">
        <v>25</v>
      </c>
      <c r="I114" t="s">
        <v>17</v>
      </c>
      <c r="J114" t="s">
        <v>68</v>
      </c>
      <c r="K114" t="s">
        <v>69</v>
      </c>
      <c r="L114">
        <v>298.90000000000003</v>
      </c>
      <c r="M114">
        <v>36</v>
      </c>
      <c r="N114">
        <f>Hoja4!$L114*Hoja4!$M114</f>
        <v>10760.400000000001</v>
      </c>
      <c r="O114" t="str">
        <f t="shared" si="3"/>
        <v>Vie.</v>
      </c>
      <c r="P114" t="str">
        <f t="shared" si="4"/>
        <v>diciembre</v>
      </c>
    </row>
    <row r="115" spans="1:16" x14ac:dyDescent="0.25">
      <c r="A115">
        <v>114</v>
      </c>
      <c r="B115">
        <v>43966</v>
      </c>
      <c r="C115">
        <v>6668567210</v>
      </c>
      <c r="D115" t="s">
        <v>63</v>
      </c>
      <c r="E115" t="s">
        <v>85</v>
      </c>
      <c r="F115" t="s">
        <v>83</v>
      </c>
      <c r="G115" t="s">
        <v>41</v>
      </c>
      <c r="H115" t="s">
        <v>25</v>
      </c>
      <c r="I115" t="s">
        <v>17</v>
      </c>
      <c r="J115" t="s">
        <v>34</v>
      </c>
      <c r="K115" t="s">
        <v>35</v>
      </c>
      <c r="L115">
        <v>135.1</v>
      </c>
      <c r="M115">
        <v>87</v>
      </c>
      <c r="N115">
        <f>Hoja4!$L115*Hoja4!$M115</f>
        <v>11753.699999999999</v>
      </c>
      <c r="O115" t="str">
        <f t="shared" si="3"/>
        <v>Vie.</v>
      </c>
      <c r="P115" t="str">
        <f t="shared" si="4"/>
        <v>mayo</v>
      </c>
    </row>
    <row r="116" spans="1:16" x14ac:dyDescent="0.25">
      <c r="A116">
        <v>115</v>
      </c>
      <c r="B116">
        <v>44019</v>
      </c>
      <c r="C116">
        <v>9528620750</v>
      </c>
      <c r="D116" t="s">
        <v>63</v>
      </c>
      <c r="E116" t="s">
        <v>85</v>
      </c>
      <c r="F116" t="s">
        <v>83</v>
      </c>
      <c r="G116" t="s">
        <v>41</v>
      </c>
      <c r="H116" t="s">
        <v>25</v>
      </c>
      <c r="I116" t="s">
        <v>17</v>
      </c>
      <c r="J116" t="s">
        <v>52</v>
      </c>
      <c r="K116" t="s">
        <v>53</v>
      </c>
      <c r="L116">
        <v>257.59999999999997</v>
      </c>
      <c r="M116">
        <v>64</v>
      </c>
      <c r="N116">
        <f>Hoja4!$L116*Hoja4!$M116</f>
        <v>16486.399999999998</v>
      </c>
      <c r="O116" t="str">
        <f t="shared" si="3"/>
        <v>Mar.</v>
      </c>
      <c r="P116" t="str">
        <f t="shared" si="4"/>
        <v>julio</v>
      </c>
    </row>
    <row r="117" spans="1:16" x14ac:dyDescent="0.25">
      <c r="A117">
        <v>116</v>
      </c>
      <c r="B117">
        <v>43876</v>
      </c>
      <c r="C117">
        <v>1951835035</v>
      </c>
      <c r="D117" t="s">
        <v>28</v>
      </c>
      <c r="E117" t="s">
        <v>89</v>
      </c>
      <c r="F117" t="s">
        <v>84</v>
      </c>
      <c r="G117" t="s">
        <v>29</v>
      </c>
      <c r="H117" t="s">
        <v>8</v>
      </c>
      <c r="I117" t="s">
        <v>9</v>
      </c>
      <c r="J117" t="s">
        <v>10</v>
      </c>
      <c r="K117" t="s">
        <v>11</v>
      </c>
      <c r="L117">
        <v>196</v>
      </c>
      <c r="M117">
        <v>21</v>
      </c>
      <c r="N117">
        <f>Hoja4!$L117*Hoja4!$M117</f>
        <v>4116</v>
      </c>
      <c r="O117" t="str">
        <f t="shared" si="3"/>
        <v>Sáb.</v>
      </c>
      <c r="P117" t="str">
        <f t="shared" si="4"/>
        <v>febrero</v>
      </c>
    </row>
    <row r="118" spans="1:16" x14ac:dyDescent="0.25">
      <c r="A118">
        <v>117</v>
      </c>
      <c r="B118">
        <v>44101</v>
      </c>
      <c r="C118">
        <v>8464805926</v>
      </c>
      <c r="D118" t="s">
        <v>36</v>
      </c>
      <c r="E118" t="s">
        <v>92</v>
      </c>
      <c r="F118" t="s">
        <v>99</v>
      </c>
      <c r="G118" t="s">
        <v>37</v>
      </c>
      <c r="H118" t="s">
        <v>25</v>
      </c>
      <c r="I118" t="s">
        <v>9</v>
      </c>
      <c r="J118" t="s">
        <v>30</v>
      </c>
      <c r="K118" t="s">
        <v>31</v>
      </c>
      <c r="L118">
        <v>178.5</v>
      </c>
      <c r="M118">
        <v>19</v>
      </c>
      <c r="N118">
        <f>Hoja4!$L118*Hoja4!$M118</f>
        <v>3391.5</v>
      </c>
      <c r="O118" t="str">
        <f t="shared" si="3"/>
        <v>Dom.</v>
      </c>
      <c r="P118" t="str">
        <f t="shared" si="4"/>
        <v>septiembre</v>
      </c>
    </row>
    <row r="119" spans="1:16" x14ac:dyDescent="0.25">
      <c r="A119">
        <v>118</v>
      </c>
      <c r="B119">
        <v>44094</v>
      </c>
      <c r="C119">
        <v>1040241832</v>
      </c>
      <c r="D119" t="s">
        <v>14</v>
      </c>
      <c r="E119" t="s">
        <v>81</v>
      </c>
      <c r="F119" t="s">
        <v>94</v>
      </c>
      <c r="G119" t="s">
        <v>15</v>
      </c>
      <c r="H119" t="s">
        <v>16</v>
      </c>
      <c r="I119" t="s">
        <v>17</v>
      </c>
      <c r="J119" t="s">
        <v>70</v>
      </c>
      <c r="K119" t="s">
        <v>47</v>
      </c>
      <c r="L119">
        <v>1134</v>
      </c>
      <c r="M119">
        <v>23</v>
      </c>
      <c r="N119">
        <f>Hoja4!$L119*Hoja4!$M119</f>
        <v>26082</v>
      </c>
      <c r="O119" t="str">
        <f t="shared" si="3"/>
        <v>Dom.</v>
      </c>
      <c r="P119" t="str">
        <f t="shared" si="4"/>
        <v>septiembre</v>
      </c>
    </row>
    <row r="120" spans="1:16" x14ac:dyDescent="0.25">
      <c r="A120">
        <v>119</v>
      </c>
      <c r="B120">
        <v>44157</v>
      </c>
      <c r="C120">
        <v>5032769390</v>
      </c>
      <c r="D120" t="s">
        <v>14</v>
      </c>
      <c r="E120" t="s">
        <v>81</v>
      </c>
      <c r="F120" t="s">
        <v>94</v>
      </c>
      <c r="G120" t="s">
        <v>15</v>
      </c>
      <c r="H120" t="s">
        <v>16</v>
      </c>
      <c r="I120" t="s">
        <v>17</v>
      </c>
      <c r="J120" t="s">
        <v>71</v>
      </c>
      <c r="K120" t="s">
        <v>72</v>
      </c>
      <c r="L120">
        <v>98</v>
      </c>
      <c r="M120">
        <v>72</v>
      </c>
      <c r="N120">
        <f>Hoja4!$L120*Hoja4!$M120</f>
        <v>7056</v>
      </c>
      <c r="O120" t="str">
        <f t="shared" si="3"/>
        <v>Dom.</v>
      </c>
      <c r="P120" t="str">
        <f t="shared" si="4"/>
        <v>noviembre</v>
      </c>
    </row>
    <row r="121" spans="1:16" x14ac:dyDescent="0.25">
      <c r="A121">
        <v>120</v>
      </c>
      <c r="B121">
        <v>43916</v>
      </c>
      <c r="C121">
        <v>5375997402</v>
      </c>
      <c r="D121" t="s">
        <v>23</v>
      </c>
      <c r="E121" t="s">
        <v>86</v>
      </c>
      <c r="F121" t="s">
        <v>82</v>
      </c>
      <c r="G121" t="s">
        <v>24</v>
      </c>
      <c r="H121" t="s">
        <v>25</v>
      </c>
      <c r="I121" t="s">
        <v>17</v>
      </c>
      <c r="J121" t="s">
        <v>58</v>
      </c>
      <c r="K121" t="s">
        <v>59</v>
      </c>
      <c r="L121">
        <v>487.19999999999993</v>
      </c>
      <c r="M121">
        <v>22</v>
      </c>
      <c r="N121">
        <f>Hoja4!$L121*Hoja4!$M121</f>
        <v>10718.399999999998</v>
      </c>
      <c r="O121" t="str">
        <f t="shared" si="3"/>
        <v>Jue.</v>
      </c>
      <c r="P121" t="str">
        <f t="shared" si="4"/>
        <v>marzo</v>
      </c>
    </row>
    <row r="122" spans="1:16" x14ac:dyDescent="0.25">
      <c r="A122">
        <v>121</v>
      </c>
      <c r="B122">
        <v>43837</v>
      </c>
      <c r="C122">
        <v>967566383</v>
      </c>
      <c r="D122" t="s">
        <v>32</v>
      </c>
      <c r="E122" t="s">
        <v>93</v>
      </c>
      <c r="F122" t="s">
        <v>96</v>
      </c>
      <c r="G122" t="s">
        <v>7</v>
      </c>
      <c r="H122" t="s">
        <v>8</v>
      </c>
      <c r="I122" t="s">
        <v>33</v>
      </c>
      <c r="J122" t="s">
        <v>60</v>
      </c>
      <c r="K122" t="s">
        <v>49</v>
      </c>
      <c r="L122">
        <v>140</v>
      </c>
      <c r="M122">
        <v>82</v>
      </c>
      <c r="N122">
        <f>Hoja4!$L122*Hoja4!$M122</f>
        <v>11480</v>
      </c>
      <c r="O122" t="str">
        <f t="shared" si="3"/>
        <v>Mar.</v>
      </c>
      <c r="P122" t="str">
        <f t="shared" si="4"/>
        <v>enero</v>
      </c>
    </row>
    <row r="123" spans="1:16" x14ac:dyDescent="0.25">
      <c r="A123">
        <v>122</v>
      </c>
      <c r="B123">
        <v>44042</v>
      </c>
      <c r="C123">
        <v>7607007457</v>
      </c>
      <c r="D123" t="s">
        <v>32</v>
      </c>
      <c r="E123" t="s">
        <v>93</v>
      </c>
      <c r="F123" t="s">
        <v>96</v>
      </c>
      <c r="G123" t="s">
        <v>7</v>
      </c>
      <c r="H123" t="s">
        <v>8</v>
      </c>
      <c r="I123" t="s">
        <v>33</v>
      </c>
      <c r="J123" t="s">
        <v>38</v>
      </c>
      <c r="K123" t="s">
        <v>39</v>
      </c>
      <c r="L123">
        <v>560</v>
      </c>
      <c r="M123">
        <v>98</v>
      </c>
      <c r="N123">
        <f>Hoja4!$L123*Hoja4!$M123</f>
        <v>54880</v>
      </c>
      <c r="O123" t="str">
        <f t="shared" si="3"/>
        <v>Jue.</v>
      </c>
      <c r="P123" t="str">
        <f t="shared" si="4"/>
        <v>julio</v>
      </c>
    </row>
    <row r="124" spans="1:16" x14ac:dyDescent="0.25">
      <c r="A124">
        <v>123</v>
      </c>
      <c r="B124">
        <v>44092</v>
      </c>
      <c r="C124">
        <v>6139722497</v>
      </c>
      <c r="D124" t="s">
        <v>45</v>
      </c>
      <c r="E124" t="s">
        <v>87</v>
      </c>
      <c r="F124" t="s">
        <v>87</v>
      </c>
      <c r="G124" t="s">
        <v>24</v>
      </c>
      <c r="J124" t="s">
        <v>22</v>
      </c>
      <c r="K124" t="s">
        <v>11</v>
      </c>
      <c r="L124">
        <v>644</v>
      </c>
      <c r="M124">
        <v>71</v>
      </c>
      <c r="N124">
        <f>Hoja4!$L124*Hoja4!$M124</f>
        <v>45724</v>
      </c>
      <c r="O124" t="str">
        <f t="shared" si="3"/>
        <v>Vie.</v>
      </c>
      <c r="P124" t="str">
        <f t="shared" si="4"/>
        <v>septiembre</v>
      </c>
    </row>
    <row r="125" spans="1:16" x14ac:dyDescent="0.25">
      <c r="A125">
        <v>124</v>
      </c>
      <c r="B125">
        <v>43924</v>
      </c>
      <c r="C125">
        <v>6071133871</v>
      </c>
      <c r="D125" t="s">
        <v>42</v>
      </c>
      <c r="E125" t="s">
        <v>91</v>
      </c>
      <c r="F125" t="s">
        <v>91</v>
      </c>
      <c r="G125" t="s">
        <v>43</v>
      </c>
      <c r="H125" t="s">
        <v>16</v>
      </c>
      <c r="J125" t="s">
        <v>46</v>
      </c>
      <c r="K125" t="s">
        <v>47</v>
      </c>
      <c r="L125">
        <v>350</v>
      </c>
      <c r="M125">
        <v>40</v>
      </c>
      <c r="N125">
        <f>Hoja4!$L125*Hoja4!$M125</f>
        <v>14000</v>
      </c>
      <c r="O125" t="str">
        <f t="shared" si="3"/>
        <v>Vie.</v>
      </c>
      <c r="P125" t="str">
        <f t="shared" si="4"/>
        <v>abril</v>
      </c>
    </row>
    <row r="126" spans="1:16" x14ac:dyDescent="0.25">
      <c r="A126">
        <v>125</v>
      </c>
      <c r="B126">
        <v>43887</v>
      </c>
      <c r="C126">
        <v>8634772142</v>
      </c>
      <c r="D126" t="s">
        <v>42</v>
      </c>
      <c r="E126" t="s">
        <v>91</v>
      </c>
      <c r="F126" t="s">
        <v>91</v>
      </c>
      <c r="G126" t="s">
        <v>43</v>
      </c>
      <c r="H126" t="s">
        <v>16</v>
      </c>
      <c r="J126" t="s">
        <v>48</v>
      </c>
      <c r="K126" t="s">
        <v>49</v>
      </c>
      <c r="L126">
        <v>308</v>
      </c>
      <c r="M126">
        <v>80</v>
      </c>
      <c r="N126">
        <f>Hoja4!$L126*Hoja4!$M126</f>
        <v>24640</v>
      </c>
      <c r="O126" t="str">
        <f t="shared" si="3"/>
        <v>Mié.</v>
      </c>
      <c r="P126" t="str">
        <f t="shared" si="4"/>
        <v>febrero</v>
      </c>
    </row>
    <row r="127" spans="1:16" x14ac:dyDescent="0.25">
      <c r="A127">
        <v>126</v>
      </c>
      <c r="B127">
        <v>44080</v>
      </c>
      <c r="C127">
        <v>5431718510</v>
      </c>
      <c r="D127" t="s">
        <v>42</v>
      </c>
      <c r="E127" t="s">
        <v>91</v>
      </c>
      <c r="F127" t="s">
        <v>91</v>
      </c>
      <c r="G127" t="s">
        <v>43</v>
      </c>
      <c r="H127" t="s">
        <v>16</v>
      </c>
      <c r="J127" t="s">
        <v>26</v>
      </c>
      <c r="K127" t="s">
        <v>27</v>
      </c>
      <c r="L127">
        <v>128.79999999999998</v>
      </c>
      <c r="M127">
        <v>38</v>
      </c>
      <c r="N127">
        <f>Hoja4!$L127*Hoja4!$M127</f>
        <v>4894.3999999999996</v>
      </c>
      <c r="O127" t="str">
        <f t="shared" si="3"/>
        <v>Dom.</v>
      </c>
      <c r="P127" t="str">
        <f t="shared" si="4"/>
        <v>septiembre</v>
      </c>
    </row>
    <row r="128" spans="1:16" x14ac:dyDescent="0.25">
      <c r="A128">
        <v>127</v>
      </c>
      <c r="B128">
        <v>44093</v>
      </c>
      <c r="C128">
        <v>7109276915</v>
      </c>
      <c r="D128" t="s">
        <v>50</v>
      </c>
      <c r="E128" t="s">
        <v>85</v>
      </c>
      <c r="F128" t="s">
        <v>83</v>
      </c>
      <c r="G128" t="s">
        <v>41</v>
      </c>
      <c r="H128" t="s">
        <v>25</v>
      </c>
      <c r="J128" t="s">
        <v>12</v>
      </c>
      <c r="K128" t="s">
        <v>13</v>
      </c>
      <c r="L128">
        <v>49</v>
      </c>
      <c r="M128">
        <v>28</v>
      </c>
      <c r="N128">
        <f>Hoja4!$L128*Hoja4!$M128</f>
        <v>1372</v>
      </c>
      <c r="O128" t="str">
        <f t="shared" si="3"/>
        <v>Sáb.</v>
      </c>
      <c r="P128" t="str">
        <f t="shared" si="4"/>
        <v>septiembre</v>
      </c>
    </row>
    <row r="129" spans="1:16" x14ac:dyDescent="0.25">
      <c r="A129">
        <v>128</v>
      </c>
      <c r="B129">
        <v>44119</v>
      </c>
      <c r="C129">
        <v>8479136081</v>
      </c>
      <c r="D129" t="s">
        <v>50</v>
      </c>
      <c r="E129" t="s">
        <v>85</v>
      </c>
      <c r="F129" t="s">
        <v>83</v>
      </c>
      <c r="G129" t="s">
        <v>41</v>
      </c>
      <c r="H129" t="s">
        <v>25</v>
      </c>
      <c r="J129" t="s">
        <v>44</v>
      </c>
      <c r="K129" t="s">
        <v>11</v>
      </c>
      <c r="L129">
        <v>41.86</v>
      </c>
      <c r="M129">
        <v>60</v>
      </c>
      <c r="N129">
        <f>Hoja4!$L129*Hoja4!$M129</f>
        <v>2511.6</v>
      </c>
      <c r="O129" t="str">
        <f t="shared" si="3"/>
        <v>Jue.</v>
      </c>
      <c r="P129" t="str">
        <f t="shared" si="4"/>
        <v>octubre</v>
      </c>
    </row>
    <row r="130" spans="1:16" x14ac:dyDescent="0.25">
      <c r="A130">
        <v>129</v>
      </c>
      <c r="B130">
        <v>44146</v>
      </c>
      <c r="C130">
        <v>7132355278</v>
      </c>
      <c r="D130" t="s">
        <v>51</v>
      </c>
      <c r="E130" t="s">
        <v>90</v>
      </c>
      <c r="F130" t="s">
        <v>98</v>
      </c>
      <c r="G130" t="s">
        <v>24</v>
      </c>
      <c r="J130" t="s">
        <v>21</v>
      </c>
      <c r="K130" t="s">
        <v>11</v>
      </c>
      <c r="L130">
        <v>252</v>
      </c>
      <c r="M130">
        <v>33</v>
      </c>
      <c r="N130">
        <f>Hoja4!$L130*Hoja4!$M130</f>
        <v>8316</v>
      </c>
      <c r="O130" t="str">
        <f t="shared" ref="O130:O193" si="5">PROPER(TEXT(B130,"ddd."))</f>
        <v>Mié.</v>
      </c>
      <c r="P130" t="str">
        <f t="shared" ref="P130:P193" si="6">TEXT(B130,"mmmm")</f>
        <v>noviembre</v>
      </c>
    </row>
    <row r="131" spans="1:16" x14ac:dyDescent="0.25">
      <c r="A131">
        <v>130</v>
      </c>
      <c r="B131">
        <v>44017</v>
      </c>
      <c r="C131">
        <v>2885792785</v>
      </c>
      <c r="D131" t="s">
        <v>51</v>
      </c>
      <c r="E131" t="s">
        <v>90</v>
      </c>
      <c r="F131" t="s">
        <v>98</v>
      </c>
      <c r="G131" t="s">
        <v>24</v>
      </c>
      <c r="J131" t="s">
        <v>22</v>
      </c>
      <c r="K131" t="s">
        <v>11</v>
      </c>
      <c r="L131">
        <v>644</v>
      </c>
      <c r="M131">
        <v>22</v>
      </c>
      <c r="N131">
        <f>Hoja4!$L131*Hoja4!$M131</f>
        <v>14168</v>
      </c>
      <c r="O131" t="str">
        <f t="shared" si="5"/>
        <v>Dom.</v>
      </c>
      <c r="P131" t="str">
        <f t="shared" si="6"/>
        <v>julio</v>
      </c>
    </row>
    <row r="132" spans="1:16" x14ac:dyDescent="0.25">
      <c r="A132">
        <v>131</v>
      </c>
      <c r="B132">
        <v>44085</v>
      </c>
      <c r="C132">
        <v>3723941023</v>
      </c>
      <c r="D132" t="s">
        <v>51</v>
      </c>
      <c r="E132" t="s">
        <v>90</v>
      </c>
      <c r="F132" t="s">
        <v>98</v>
      </c>
      <c r="G132" t="s">
        <v>24</v>
      </c>
      <c r="J132" t="s">
        <v>44</v>
      </c>
      <c r="K132" t="s">
        <v>11</v>
      </c>
      <c r="L132">
        <v>41.86</v>
      </c>
      <c r="M132">
        <v>51</v>
      </c>
      <c r="N132">
        <f>Hoja4!$L132*Hoja4!$M132</f>
        <v>2134.86</v>
      </c>
      <c r="O132" t="str">
        <f t="shared" si="5"/>
        <v>Vie.</v>
      </c>
      <c r="P132" t="str">
        <f t="shared" si="6"/>
        <v>septiembre</v>
      </c>
    </row>
    <row r="133" spans="1:16" x14ac:dyDescent="0.25">
      <c r="A133">
        <v>132</v>
      </c>
      <c r="B133">
        <v>43943</v>
      </c>
      <c r="C133">
        <v>4827836337</v>
      </c>
      <c r="D133" t="s">
        <v>40</v>
      </c>
      <c r="E133" t="s">
        <v>97</v>
      </c>
      <c r="F133" t="s">
        <v>88</v>
      </c>
      <c r="G133" t="s">
        <v>41</v>
      </c>
      <c r="H133" t="s">
        <v>25</v>
      </c>
      <c r="I133" t="s">
        <v>17</v>
      </c>
      <c r="J133" t="s">
        <v>34</v>
      </c>
      <c r="K133" t="s">
        <v>35</v>
      </c>
      <c r="L133">
        <v>135.1</v>
      </c>
      <c r="M133">
        <v>60</v>
      </c>
      <c r="N133">
        <f>Hoja4!$L133*Hoja4!$M133</f>
        <v>8106</v>
      </c>
      <c r="O133" t="str">
        <f t="shared" si="5"/>
        <v>Mié.</v>
      </c>
      <c r="P133" t="str">
        <f t="shared" si="6"/>
        <v>abril</v>
      </c>
    </row>
    <row r="134" spans="1:16" x14ac:dyDescent="0.25">
      <c r="A134">
        <v>133</v>
      </c>
      <c r="B134">
        <v>44057</v>
      </c>
      <c r="C134">
        <v>2633840866</v>
      </c>
      <c r="D134" t="s">
        <v>40</v>
      </c>
      <c r="E134" t="s">
        <v>97</v>
      </c>
      <c r="F134" t="s">
        <v>88</v>
      </c>
      <c r="G134" t="s">
        <v>41</v>
      </c>
      <c r="H134" t="s">
        <v>25</v>
      </c>
      <c r="I134" t="s">
        <v>17</v>
      </c>
      <c r="J134" t="s">
        <v>52</v>
      </c>
      <c r="K134" t="s">
        <v>53</v>
      </c>
      <c r="L134">
        <v>257.59999999999997</v>
      </c>
      <c r="M134">
        <v>98</v>
      </c>
      <c r="N134">
        <f>Hoja4!$L134*Hoja4!$M134</f>
        <v>25244.799999999996</v>
      </c>
      <c r="O134" t="str">
        <f t="shared" si="5"/>
        <v>Vie.</v>
      </c>
      <c r="P134" t="str">
        <f t="shared" si="6"/>
        <v>agosto</v>
      </c>
    </row>
    <row r="135" spans="1:16" x14ac:dyDescent="0.25">
      <c r="A135">
        <v>134</v>
      </c>
      <c r="B135">
        <v>43929</v>
      </c>
      <c r="C135">
        <v>2489359003</v>
      </c>
      <c r="D135" t="s">
        <v>54</v>
      </c>
      <c r="E135" t="s">
        <v>89</v>
      </c>
      <c r="F135" t="s">
        <v>84</v>
      </c>
      <c r="G135" t="s">
        <v>55</v>
      </c>
      <c r="H135" t="s">
        <v>16</v>
      </c>
      <c r="I135" t="s">
        <v>9</v>
      </c>
      <c r="J135" t="s">
        <v>56</v>
      </c>
      <c r="K135" t="s">
        <v>57</v>
      </c>
      <c r="L135">
        <v>273</v>
      </c>
      <c r="M135">
        <v>27</v>
      </c>
      <c r="N135">
        <f>Hoja4!$L135*Hoja4!$M135</f>
        <v>7371</v>
      </c>
      <c r="O135" t="str">
        <f t="shared" si="5"/>
        <v>Mié.</v>
      </c>
      <c r="P135" t="str">
        <f t="shared" si="6"/>
        <v>abril</v>
      </c>
    </row>
    <row r="136" spans="1:16" x14ac:dyDescent="0.25">
      <c r="A136">
        <v>135</v>
      </c>
      <c r="B136">
        <v>43986</v>
      </c>
      <c r="C136">
        <v>2347277376</v>
      </c>
      <c r="D136" t="s">
        <v>54</v>
      </c>
      <c r="E136" t="s">
        <v>89</v>
      </c>
      <c r="F136" t="s">
        <v>84</v>
      </c>
      <c r="G136" t="s">
        <v>55</v>
      </c>
      <c r="H136" t="s">
        <v>16</v>
      </c>
      <c r="I136" t="s">
        <v>9</v>
      </c>
      <c r="J136" t="s">
        <v>58</v>
      </c>
      <c r="K136" t="s">
        <v>59</v>
      </c>
      <c r="L136">
        <v>487.19999999999993</v>
      </c>
      <c r="M136">
        <v>88</v>
      </c>
      <c r="N136">
        <f>Hoja4!$L136*Hoja4!$M136</f>
        <v>42873.599999999991</v>
      </c>
      <c r="O136" t="str">
        <f t="shared" si="5"/>
        <v>Jue.</v>
      </c>
      <c r="P136" t="str">
        <f t="shared" si="6"/>
        <v>junio</v>
      </c>
    </row>
    <row r="137" spans="1:16" x14ac:dyDescent="0.25">
      <c r="A137">
        <v>136</v>
      </c>
      <c r="B137">
        <v>44058</v>
      </c>
      <c r="C137">
        <v>2071690973</v>
      </c>
      <c r="D137" t="s">
        <v>36</v>
      </c>
      <c r="E137" t="s">
        <v>92</v>
      </c>
      <c r="F137" t="s">
        <v>99</v>
      </c>
      <c r="G137" t="s">
        <v>37</v>
      </c>
      <c r="H137" t="s">
        <v>8</v>
      </c>
      <c r="I137" t="s">
        <v>17</v>
      </c>
      <c r="J137" t="s">
        <v>10</v>
      </c>
      <c r="K137" t="s">
        <v>11</v>
      </c>
      <c r="L137">
        <v>196</v>
      </c>
      <c r="M137">
        <v>65</v>
      </c>
      <c r="N137">
        <f>Hoja4!$L137*Hoja4!$M137</f>
        <v>12740</v>
      </c>
      <c r="O137" t="str">
        <f t="shared" si="5"/>
        <v>Sáb.</v>
      </c>
      <c r="P137" t="str">
        <f t="shared" si="6"/>
        <v>agosto</v>
      </c>
    </row>
    <row r="138" spans="1:16" x14ac:dyDescent="0.25">
      <c r="A138">
        <v>137</v>
      </c>
      <c r="B138">
        <v>44047</v>
      </c>
      <c r="C138">
        <v>1196729221</v>
      </c>
      <c r="D138" t="s">
        <v>23</v>
      </c>
      <c r="E138" t="s">
        <v>86</v>
      </c>
      <c r="F138" t="s">
        <v>82</v>
      </c>
      <c r="G138" t="s">
        <v>24</v>
      </c>
      <c r="H138" t="s">
        <v>8</v>
      </c>
      <c r="I138" t="s">
        <v>9</v>
      </c>
      <c r="J138" t="s">
        <v>38</v>
      </c>
      <c r="K138" t="s">
        <v>39</v>
      </c>
      <c r="L138">
        <v>560</v>
      </c>
      <c r="M138">
        <v>38</v>
      </c>
      <c r="N138">
        <f>Hoja4!$L138*Hoja4!$M138</f>
        <v>21280</v>
      </c>
      <c r="O138" t="str">
        <f t="shared" si="5"/>
        <v>Mar.</v>
      </c>
      <c r="P138" t="str">
        <f t="shared" si="6"/>
        <v>agosto</v>
      </c>
    </row>
    <row r="139" spans="1:16" x14ac:dyDescent="0.25">
      <c r="A139">
        <v>138</v>
      </c>
      <c r="B139">
        <v>43948</v>
      </c>
      <c r="C139">
        <v>9020365601</v>
      </c>
      <c r="D139" t="s">
        <v>23</v>
      </c>
      <c r="E139" t="s">
        <v>86</v>
      </c>
      <c r="F139" t="s">
        <v>82</v>
      </c>
      <c r="G139" t="s">
        <v>24</v>
      </c>
      <c r="H139" t="s">
        <v>8</v>
      </c>
      <c r="I139" t="s">
        <v>9</v>
      </c>
      <c r="J139" t="s">
        <v>26</v>
      </c>
      <c r="K139" t="s">
        <v>27</v>
      </c>
      <c r="L139">
        <v>128.79999999999998</v>
      </c>
      <c r="M139">
        <v>80</v>
      </c>
      <c r="N139">
        <f>Hoja4!$L139*Hoja4!$M139</f>
        <v>10303.999999999998</v>
      </c>
      <c r="O139" t="str">
        <f t="shared" si="5"/>
        <v>Lun.</v>
      </c>
      <c r="P139" t="str">
        <f t="shared" si="6"/>
        <v>abril</v>
      </c>
    </row>
    <row r="140" spans="1:16" x14ac:dyDescent="0.25">
      <c r="A140">
        <v>139</v>
      </c>
      <c r="B140">
        <v>44054</v>
      </c>
      <c r="C140">
        <v>4818692078</v>
      </c>
      <c r="D140" t="s">
        <v>62</v>
      </c>
      <c r="E140" t="s">
        <v>91</v>
      </c>
      <c r="F140" t="s">
        <v>91</v>
      </c>
      <c r="G140" t="s">
        <v>43</v>
      </c>
      <c r="H140" t="s">
        <v>16</v>
      </c>
      <c r="I140" t="s">
        <v>33</v>
      </c>
      <c r="J140" t="s">
        <v>67</v>
      </c>
      <c r="K140" t="s">
        <v>27</v>
      </c>
      <c r="L140">
        <v>140</v>
      </c>
      <c r="M140">
        <v>49</v>
      </c>
      <c r="N140">
        <f>Hoja4!$L140*Hoja4!$M140</f>
        <v>6860</v>
      </c>
      <c r="O140" t="str">
        <f t="shared" si="5"/>
        <v>Mar.</v>
      </c>
      <c r="P140" t="str">
        <f t="shared" si="6"/>
        <v>agosto</v>
      </c>
    </row>
    <row r="141" spans="1:16" x14ac:dyDescent="0.25">
      <c r="A141">
        <v>140</v>
      </c>
      <c r="B141">
        <v>44120</v>
      </c>
      <c r="C141">
        <v>6502762369</v>
      </c>
      <c r="D141" t="s">
        <v>63</v>
      </c>
      <c r="E141" t="s">
        <v>85</v>
      </c>
      <c r="F141" t="s">
        <v>83</v>
      </c>
      <c r="G141" t="s">
        <v>41</v>
      </c>
      <c r="H141" t="s">
        <v>25</v>
      </c>
      <c r="I141" t="s">
        <v>17</v>
      </c>
      <c r="J141" t="s">
        <v>68</v>
      </c>
      <c r="K141" t="s">
        <v>69</v>
      </c>
      <c r="L141">
        <v>298.90000000000003</v>
      </c>
      <c r="M141">
        <v>90</v>
      </c>
      <c r="N141">
        <f>Hoja4!$L141*Hoja4!$M141</f>
        <v>26901.000000000004</v>
      </c>
      <c r="O141" t="str">
        <f t="shared" si="5"/>
        <v>Vie.</v>
      </c>
      <c r="P141" t="str">
        <f t="shared" si="6"/>
        <v>octubre</v>
      </c>
    </row>
    <row r="142" spans="1:16" x14ac:dyDescent="0.25">
      <c r="A142">
        <v>141</v>
      </c>
      <c r="B142">
        <v>43846</v>
      </c>
      <c r="C142">
        <v>924402492</v>
      </c>
      <c r="D142" t="s">
        <v>63</v>
      </c>
      <c r="E142" t="s">
        <v>85</v>
      </c>
      <c r="F142" t="s">
        <v>83</v>
      </c>
      <c r="G142" t="s">
        <v>41</v>
      </c>
      <c r="H142" t="s">
        <v>25</v>
      </c>
      <c r="I142" t="s">
        <v>17</v>
      </c>
      <c r="J142" t="s">
        <v>34</v>
      </c>
      <c r="K142" t="s">
        <v>35</v>
      </c>
      <c r="L142">
        <v>135.1</v>
      </c>
      <c r="M142">
        <v>60</v>
      </c>
      <c r="N142">
        <f>Hoja4!$L142*Hoja4!$M142</f>
        <v>8106</v>
      </c>
      <c r="O142" t="str">
        <f t="shared" si="5"/>
        <v>Jue.</v>
      </c>
      <c r="P142" t="str">
        <f t="shared" si="6"/>
        <v>enero</v>
      </c>
    </row>
    <row r="143" spans="1:16" x14ac:dyDescent="0.25">
      <c r="A143">
        <v>142</v>
      </c>
      <c r="B143">
        <v>44001</v>
      </c>
      <c r="C143">
        <v>5633857209</v>
      </c>
      <c r="D143" t="s">
        <v>63</v>
      </c>
      <c r="E143" t="s">
        <v>85</v>
      </c>
      <c r="F143" t="s">
        <v>83</v>
      </c>
      <c r="G143" t="s">
        <v>41</v>
      </c>
      <c r="H143" t="s">
        <v>25</v>
      </c>
      <c r="I143" t="s">
        <v>17</v>
      </c>
      <c r="J143" t="s">
        <v>52</v>
      </c>
      <c r="K143" t="s">
        <v>53</v>
      </c>
      <c r="L143">
        <v>257.59999999999997</v>
      </c>
      <c r="M143">
        <v>39</v>
      </c>
      <c r="N143">
        <f>Hoja4!$L143*Hoja4!$M143</f>
        <v>10046.399999999998</v>
      </c>
      <c r="O143" t="str">
        <f t="shared" si="5"/>
        <v>Vie.</v>
      </c>
      <c r="P143" t="str">
        <f t="shared" si="6"/>
        <v>junio</v>
      </c>
    </row>
    <row r="144" spans="1:16" x14ac:dyDescent="0.25">
      <c r="A144">
        <v>143</v>
      </c>
      <c r="B144">
        <v>43927</v>
      </c>
      <c r="C144">
        <v>9715216432</v>
      </c>
      <c r="D144" t="s">
        <v>28</v>
      </c>
      <c r="E144" t="s">
        <v>89</v>
      </c>
      <c r="F144" t="s">
        <v>84</v>
      </c>
      <c r="G144" t="s">
        <v>29</v>
      </c>
      <c r="H144" t="s">
        <v>8</v>
      </c>
      <c r="I144" t="s">
        <v>9</v>
      </c>
      <c r="J144" t="s">
        <v>10</v>
      </c>
      <c r="K144" t="s">
        <v>11</v>
      </c>
      <c r="L144">
        <v>196</v>
      </c>
      <c r="M144">
        <v>79</v>
      </c>
      <c r="N144">
        <f>Hoja4!$L144*Hoja4!$M144</f>
        <v>15484</v>
      </c>
      <c r="O144" t="str">
        <f t="shared" si="5"/>
        <v>Lun.</v>
      </c>
      <c r="P144" t="str">
        <f t="shared" si="6"/>
        <v>abril</v>
      </c>
    </row>
    <row r="145" spans="1:16" x14ac:dyDescent="0.25">
      <c r="A145">
        <v>144</v>
      </c>
      <c r="B145">
        <v>44100</v>
      </c>
      <c r="C145">
        <v>2808433382</v>
      </c>
      <c r="D145" t="s">
        <v>36</v>
      </c>
      <c r="E145" t="s">
        <v>92</v>
      </c>
      <c r="F145" t="s">
        <v>99</v>
      </c>
      <c r="G145" t="s">
        <v>37</v>
      </c>
      <c r="H145" t="s">
        <v>25</v>
      </c>
      <c r="I145" t="s">
        <v>9</v>
      </c>
      <c r="J145" t="s">
        <v>30</v>
      </c>
      <c r="K145" t="s">
        <v>31</v>
      </c>
      <c r="L145">
        <v>178.5</v>
      </c>
      <c r="M145">
        <v>44</v>
      </c>
      <c r="N145">
        <f>Hoja4!$L145*Hoja4!$M145</f>
        <v>7854</v>
      </c>
      <c r="O145" t="str">
        <f t="shared" si="5"/>
        <v>Sáb.</v>
      </c>
      <c r="P145" t="str">
        <f t="shared" si="6"/>
        <v>septiembre</v>
      </c>
    </row>
    <row r="146" spans="1:16" x14ac:dyDescent="0.25">
      <c r="A146">
        <v>145</v>
      </c>
      <c r="B146">
        <v>44046</v>
      </c>
      <c r="C146">
        <v>5585231955</v>
      </c>
      <c r="D146" t="s">
        <v>14</v>
      </c>
      <c r="E146" t="s">
        <v>81</v>
      </c>
      <c r="F146" t="s">
        <v>94</v>
      </c>
      <c r="G146" t="s">
        <v>15</v>
      </c>
      <c r="H146" t="s">
        <v>16</v>
      </c>
      <c r="I146" t="s">
        <v>17</v>
      </c>
      <c r="J146" t="s">
        <v>70</v>
      </c>
      <c r="K146" t="s">
        <v>47</v>
      </c>
      <c r="L146">
        <v>1134</v>
      </c>
      <c r="M146">
        <v>98</v>
      </c>
      <c r="N146">
        <f>Hoja4!$L146*Hoja4!$M146</f>
        <v>111132</v>
      </c>
      <c r="O146" t="str">
        <f t="shared" si="5"/>
        <v>Lun.</v>
      </c>
      <c r="P146" t="str">
        <f t="shared" si="6"/>
        <v>agosto</v>
      </c>
    </row>
    <row r="147" spans="1:16" x14ac:dyDescent="0.25">
      <c r="A147">
        <v>146</v>
      </c>
      <c r="B147">
        <v>44169</v>
      </c>
      <c r="C147">
        <v>4338999814</v>
      </c>
      <c r="D147" t="s">
        <v>14</v>
      </c>
      <c r="E147" t="s">
        <v>81</v>
      </c>
      <c r="F147" t="s">
        <v>94</v>
      </c>
      <c r="G147" t="s">
        <v>15</v>
      </c>
      <c r="H147" t="s">
        <v>16</v>
      </c>
      <c r="I147" t="s">
        <v>17</v>
      </c>
      <c r="J147" t="s">
        <v>71</v>
      </c>
      <c r="K147" t="s">
        <v>72</v>
      </c>
      <c r="L147">
        <v>98</v>
      </c>
      <c r="M147">
        <v>61</v>
      </c>
      <c r="N147">
        <f>Hoja4!$L147*Hoja4!$M147</f>
        <v>5978</v>
      </c>
      <c r="O147" t="str">
        <f t="shared" si="5"/>
        <v>Vie.</v>
      </c>
      <c r="P147" t="str">
        <f t="shared" si="6"/>
        <v>diciembre</v>
      </c>
    </row>
    <row r="148" spans="1:16" x14ac:dyDescent="0.25">
      <c r="A148">
        <v>147</v>
      </c>
      <c r="B148">
        <v>44056</v>
      </c>
      <c r="C148">
        <v>3475726472</v>
      </c>
      <c r="D148" t="s">
        <v>23</v>
      </c>
      <c r="E148" t="s">
        <v>86</v>
      </c>
      <c r="F148" t="s">
        <v>82</v>
      </c>
      <c r="G148" t="s">
        <v>24</v>
      </c>
      <c r="H148" t="s">
        <v>25</v>
      </c>
      <c r="I148" t="s">
        <v>17</v>
      </c>
      <c r="J148" t="s">
        <v>58</v>
      </c>
      <c r="K148" t="s">
        <v>59</v>
      </c>
      <c r="L148">
        <v>487.19999999999993</v>
      </c>
      <c r="M148">
        <v>30</v>
      </c>
      <c r="N148">
        <f>Hoja4!$L148*Hoja4!$M148</f>
        <v>14615.999999999998</v>
      </c>
      <c r="O148" t="str">
        <f t="shared" si="5"/>
        <v>Jue.</v>
      </c>
      <c r="P148" t="str">
        <f t="shared" si="6"/>
        <v>agosto</v>
      </c>
    </row>
    <row r="149" spans="1:16" x14ac:dyDescent="0.25">
      <c r="A149">
        <v>148</v>
      </c>
      <c r="B149">
        <v>43946</v>
      </c>
      <c r="C149">
        <v>9727843310</v>
      </c>
      <c r="D149" t="s">
        <v>32</v>
      </c>
      <c r="E149" t="s">
        <v>93</v>
      </c>
      <c r="F149" t="s">
        <v>96</v>
      </c>
      <c r="G149" t="s">
        <v>7</v>
      </c>
      <c r="H149" t="s">
        <v>8</v>
      </c>
      <c r="I149" t="s">
        <v>33</v>
      </c>
      <c r="J149" t="s">
        <v>60</v>
      </c>
      <c r="K149" t="s">
        <v>49</v>
      </c>
      <c r="L149">
        <v>140</v>
      </c>
      <c r="M149">
        <v>24</v>
      </c>
      <c r="N149">
        <f>Hoja4!$L149*Hoja4!$M149</f>
        <v>3360</v>
      </c>
      <c r="O149" t="str">
        <f t="shared" si="5"/>
        <v>Sáb.</v>
      </c>
      <c r="P149" t="str">
        <f t="shared" si="6"/>
        <v>abril</v>
      </c>
    </row>
    <row r="150" spans="1:16" x14ac:dyDescent="0.25">
      <c r="A150">
        <v>149</v>
      </c>
      <c r="B150">
        <v>43951</v>
      </c>
      <c r="C150">
        <v>536031236</v>
      </c>
      <c r="D150" t="s">
        <v>32</v>
      </c>
      <c r="E150" t="s">
        <v>93</v>
      </c>
      <c r="F150" t="s">
        <v>96</v>
      </c>
      <c r="G150" t="s">
        <v>7</v>
      </c>
      <c r="H150" t="s">
        <v>8</v>
      </c>
      <c r="I150" t="s">
        <v>33</v>
      </c>
      <c r="J150" t="s">
        <v>38</v>
      </c>
      <c r="K150" t="s">
        <v>39</v>
      </c>
      <c r="L150">
        <v>560</v>
      </c>
      <c r="M150">
        <v>28</v>
      </c>
      <c r="N150">
        <f>Hoja4!$L150*Hoja4!$M150</f>
        <v>15680</v>
      </c>
      <c r="O150" t="str">
        <f t="shared" si="5"/>
        <v>Jue.</v>
      </c>
      <c r="P150" t="str">
        <f t="shared" si="6"/>
        <v>abril</v>
      </c>
    </row>
    <row r="151" spans="1:16" x14ac:dyDescent="0.25">
      <c r="A151">
        <v>150</v>
      </c>
      <c r="B151">
        <v>44039</v>
      </c>
      <c r="C151">
        <v>1875435757</v>
      </c>
      <c r="D151" t="s">
        <v>42</v>
      </c>
      <c r="E151" t="s">
        <v>91</v>
      </c>
      <c r="F151" t="s">
        <v>91</v>
      </c>
      <c r="G151" t="s">
        <v>43</v>
      </c>
      <c r="H151" t="s">
        <v>8</v>
      </c>
      <c r="I151" t="s">
        <v>17</v>
      </c>
      <c r="J151" t="s">
        <v>61</v>
      </c>
      <c r="K151" t="s">
        <v>13</v>
      </c>
      <c r="L151">
        <v>140</v>
      </c>
      <c r="M151">
        <v>74</v>
      </c>
      <c r="N151">
        <f>Hoja4!$L151*Hoja4!$M151</f>
        <v>10360</v>
      </c>
      <c r="O151" t="str">
        <f t="shared" si="5"/>
        <v>Lun.</v>
      </c>
      <c r="P151" t="str">
        <f t="shared" si="6"/>
        <v>julio</v>
      </c>
    </row>
    <row r="152" spans="1:16" x14ac:dyDescent="0.25">
      <c r="A152">
        <v>151</v>
      </c>
      <c r="B152">
        <v>44141</v>
      </c>
      <c r="C152">
        <v>8711973073</v>
      </c>
      <c r="D152" t="s">
        <v>42</v>
      </c>
      <c r="E152" t="s">
        <v>91</v>
      </c>
      <c r="F152" t="s">
        <v>91</v>
      </c>
      <c r="G152" t="s">
        <v>43</v>
      </c>
      <c r="H152" t="s">
        <v>16</v>
      </c>
      <c r="J152" t="s">
        <v>12</v>
      </c>
      <c r="K152" t="s">
        <v>13</v>
      </c>
      <c r="L152">
        <v>49</v>
      </c>
      <c r="M152">
        <v>90</v>
      </c>
      <c r="N152">
        <f>Hoja4!$L152*Hoja4!$M152</f>
        <v>4410</v>
      </c>
      <c r="O152" t="str">
        <f t="shared" si="5"/>
        <v>Vie.</v>
      </c>
      <c r="P152" t="str">
        <f t="shared" si="6"/>
        <v>noviembre</v>
      </c>
    </row>
    <row r="153" spans="1:16" x14ac:dyDescent="0.25">
      <c r="A153">
        <v>152</v>
      </c>
      <c r="B153">
        <v>44169</v>
      </c>
      <c r="C153">
        <v>1214228285</v>
      </c>
      <c r="D153" t="s">
        <v>50</v>
      </c>
      <c r="E153" t="s">
        <v>85</v>
      </c>
      <c r="F153" t="s">
        <v>83</v>
      </c>
      <c r="G153" t="s">
        <v>41</v>
      </c>
      <c r="H153" t="s">
        <v>25</v>
      </c>
      <c r="J153" t="s">
        <v>38</v>
      </c>
      <c r="K153" t="s">
        <v>39</v>
      </c>
      <c r="L153">
        <v>560</v>
      </c>
      <c r="M153">
        <v>27</v>
      </c>
      <c r="N153">
        <f>Hoja4!$L153*Hoja4!$M153</f>
        <v>15120</v>
      </c>
      <c r="O153" t="str">
        <f t="shared" si="5"/>
        <v>Vie.</v>
      </c>
      <c r="P153" t="str">
        <f t="shared" si="6"/>
        <v>diciembre</v>
      </c>
    </row>
    <row r="154" spans="1:16" x14ac:dyDescent="0.25">
      <c r="A154">
        <v>153</v>
      </c>
      <c r="B154">
        <v>44083</v>
      </c>
      <c r="C154">
        <v>3447948983</v>
      </c>
      <c r="D154" t="s">
        <v>51</v>
      </c>
      <c r="E154" t="s">
        <v>90</v>
      </c>
      <c r="F154" t="s">
        <v>98</v>
      </c>
      <c r="G154" t="s">
        <v>24</v>
      </c>
      <c r="H154" t="s">
        <v>25</v>
      </c>
      <c r="J154" t="s">
        <v>52</v>
      </c>
      <c r="K154" t="s">
        <v>53</v>
      </c>
      <c r="L154">
        <v>257.59999999999997</v>
      </c>
      <c r="M154">
        <v>71</v>
      </c>
      <c r="N154">
        <f>Hoja4!$L154*Hoja4!$M154</f>
        <v>18289.599999999999</v>
      </c>
      <c r="O154" t="str">
        <f t="shared" si="5"/>
        <v>Mié.</v>
      </c>
      <c r="P154" t="str">
        <f t="shared" si="6"/>
        <v>septiembre</v>
      </c>
    </row>
    <row r="155" spans="1:16" x14ac:dyDescent="0.25">
      <c r="A155">
        <v>154</v>
      </c>
      <c r="B155">
        <v>43963</v>
      </c>
      <c r="C155">
        <v>8753770178</v>
      </c>
      <c r="D155" t="s">
        <v>40</v>
      </c>
      <c r="E155" t="s">
        <v>97</v>
      </c>
      <c r="F155" t="s">
        <v>88</v>
      </c>
      <c r="G155" t="s">
        <v>41</v>
      </c>
      <c r="H155" t="s">
        <v>25</v>
      </c>
      <c r="I155" t="s">
        <v>17</v>
      </c>
      <c r="J155" t="s">
        <v>22</v>
      </c>
      <c r="K155" t="s">
        <v>11</v>
      </c>
      <c r="L155">
        <v>644</v>
      </c>
      <c r="M155">
        <v>74</v>
      </c>
      <c r="N155">
        <f>Hoja4!$L155*Hoja4!$M155</f>
        <v>47656</v>
      </c>
      <c r="O155" t="str">
        <f t="shared" si="5"/>
        <v>Mar.</v>
      </c>
      <c r="P155" t="str">
        <f t="shared" si="6"/>
        <v>mayo</v>
      </c>
    </row>
    <row r="156" spans="1:16" x14ac:dyDescent="0.25">
      <c r="A156">
        <v>155</v>
      </c>
      <c r="B156">
        <v>43855</v>
      </c>
      <c r="C156">
        <v>493013693</v>
      </c>
      <c r="D156" t="s">
        <v>54</v>
      </c>
      <c r="E156" t="s">
        <v>89</v>
      </c>
      <c r="F156" t="s">
        <v>84</v>
      </c>
      <c r="G156" t="s">
        <v>55</v>
      </c>
      <c r="H156" t="s">
        <v>16</v>
      </c>
      <c r="I156" t="s">
        <v>9</v>
      </c>
      <c r="J156" t="s">
        <v>34</v>
      </c>
      <c r="K156" t="s">
        <v>35</v>
      </c>
      <c r="L156">
        <v>135.1</v>
      </c>
      <c r="M156">
        <v>76</v>
      </c>
      <c r="N156">
        <f>Hoja4!$L156*Hoja4!$M156</f>
        <v>10267.6</v>
      </c>
      <c r="O156" t="str">
        <f t="shared" si="5"/>
        <v>Sáb.</v>
      </c>
      <c r="P156" t="str">
        <f t="shared" si="6"/>
        <v>enero</v>
      </c>
    </row>
    <row r="157" spans="1:16" x14ac:dyDescent="0.25">
      <c r="A157">
        <v>156</v>
      </c>
      <c r="B157">
        <v>44132</v>
      </c>
      <c r="C157">
        <v>4097578178</v>
      </c>
      <c r="D157" t="s">
        <v>36</v>
      </c>
      <c r="E157" t="s">
        <v>92</v>
      </c>
      <c r="F157" t="s">
        <v>99</v>
      </c>
      <c r="G157" t="s">
        <v>37</v>
      </c>
      <c r="H157" t="s">
        <v>8</v>
      </c>
      <c r="I157" t="s">
        <v>17</v>
      </c>
      <c r="J157" t="s">
        <v>30</v>
      </c>
      <c r="K157" t="s">
        <v>31</v>
      </c>
      <c r="L157">
        <v>178.5</v>
      </c>
      <c r="M157">
        <v>96</v>
      </c>
      <c r="N157">
        <f>Hoja4!$L157*Hoja4!$M157</f>
        <v>17136</v>
      </c>
      <c r="O157" t="str">
        <f t="shared" si="5"/>
        <v>Mié.</v>
      </c>
      <c r="P157" t="str">
        <f t="shared" si="6"/>
        <v>octubre</v>
      </c>
    </row>
    <row r="158" spans="1:16" x14ac:dyDescent="0.25">
      <c r="A158">
        <v>157</v>
      </c>
      <c r="B158">
        <v>44018</v>
      </c>
      <c r="C158">
        <v>9949307477</v>
      </c>
      <c r="D158" t="s">
        <v>23</v>
      </c>
      <c r="E158" t="s">
        <v>86</v>
      </c>
      <c r="F158" t="s">
        <v>82</v>
      </c>
      <c r="G158" t="s">
        <v>24</v>
      </c>
      <c r="H158" t="s">
        <v>8</v>
      </c>
      <c r="I158" t="s">
        <v>9</v>
      </c>
      <c r="J158" t="s">
        <v>30</v>
      </c>
      <c r="K158" t="s">
        <v>31</v>
      </c>
      <c r="L158">
        <v>178.5</v>
      </c>
      <c r="M158">
        <v>92</v>
      </c>
      <c r="N158">
        <f>Hoja4!$L158*Hoja4!$M158</f>
        <v>16422</v>
      </c>
      <c r="O158" t="str">
        <f t="shared" si="5"/>
        <v>Lun.</v>
      </c>
      <c r="P158" t="str">
        <f t="shared" si="6"/>
        <v>julio</v>
      </c>
    </row>
    <row r="159" spans="1:16" x14ac:dyDescent="0.25">
      <c r="A159">
        <v>158</v>
      </c>
      <c r="B159">
        <v>43972</v>
      </c>
      <c r="C159">
        <v>2521830520</v>
      </c>
      <c r="D159" t="s">
        <v>62</v>
      </c>
      <c r="E159" t="s">
        <v>91</v>
      </c>
      <c r="F159" t="s">
        <v>91</v>
      </c>
      <c r="G159" t="s">
        <v>43</v>
      </c>
      <c r="H159" t="s">
        <v>16</v>
      </c>
      <c r="I159" t="s">
        <v>33</v>
      </c>
      <c r="J159" t="s">
        <v>48</v>
      </c>
      <c r="K159" t="s">
        <v>49</v>
      </c>
      <c r="L159">
        <v>308</v>
      </c>
      <c r="M159">
        <v>93</v>
      </c>
      <c r="N159">
        <f>Hoja4!$L159*Hoja4!$M159</f>
        <v>28644</v>
      </c>
      <c r="O159" t="str">
        <f t="shared" si="5"/>
        <v>Jue.</v>
      </c>
      <c r="P159" t="str">
        <f t="shared" si="6"/>
        <v>mayo</v>
      </c>
    </row>
    <row r="160" spans="1:16" x14ac:dyDescent="0.25">
      <c r="A160">
        <v>159</v>
      </c>
      <c r="B160">
        <v>43982</v>
      </c>
      <c r="C160">
        <v>4224616034</v>
      </c>
      <c r="D160" t="s">
        <v>63</v>
      </c>
      <c r="E160" t="s">
        <v>85</v>
      </c>
      <c r="F160" t="s">
        <v>83</v>
      </c>
      <c r="G160" t="s">
        <v>41</v>
      </c>
      <c r="H160" t="s">
        <v>25</v>
      </c>
      <c r="I160" t="s">
        <v>17</v>
      </c>
      <c r="J160" t="s">
        <v>46</v>
      </c>
      <c r="K160" t="s">
        <v>47</v>
      </c>
      <c r="L160">
        <v>350</v>
      </c>
      <c r="M160">
        <v>18</v>
      </c>
      <c r="N160">
        <f>Hoja4!$L160*Hoja4!$M160</f>
        <v>6300</v>
      </c>
      <c r="O160" t="str">
        <f t="shared" si="5"/>
        <v>Dom.</v>
      </c>
      <c r="P160" t="str">
        <f t="shared" si="6"/>
        <v>mayo</v>
      </c>
    </row>
    <row r="161" spans="1:16" x14ac:dyDescent="0.25">
      <c r="A161">
        <v>160</v>
      </c>
      <c r="B161">
        <v>44049</v>
      </c>
      <c r="C161">
        <v>7169314881</v>
      </c>
      <c r="D161" t="s">
        <v>28</v>
      </c>
      <c r="E161" t="s">
        <v>89</v>
      </c>
      <c r="F161" t="s">
        <v>84</v>
      </c>
      <c r="G161" t="s">
        <v>29</v>
      </c>
      <c r="H161" t="s">
        <v>8</v>
      </c>
      <c r="I161" t="s">
        <v>9</v>
      </c>
      <c r="J161" t="s">
        <v>64</v>
      </c>
      <c r="K161" t="s">
        <v>65</v>
      </c>
      <c r="L161">
        <v>546</v>
      </c>
      <c r="M161">
        <v>98</v>
      </c>
      <c r="N161">
        <f>Hoja4!$L161*Hoja4!$M161</f>
        <v>53508</v>
      </c>
      <c r="O161" t="str">
        <f t="shared" si="5"/>
        <v>Jue.</v>
      </c>
      <c r="P161" t="str">
        <f t="shared" si="6"/>
        <v>agosto</v>
      </c>
    </row>
    <row r="162" spans="1:16" x14ac:dyDescent="0.25">
      <c r="A162">
        <v>161</v>
      </c>
      <c r="B162">
        <v>44018</v>
      </c>
      <c r="C162">
        <v>8313545064</v>
      </c>
      <c r="D162" t="s">
        <v>36</v>
      </c>
      <c r="E162" t="s">
        <v>92</v>
      </c>
      <c r="F162" t="s">
        <v>99</v>
      </c>
      <c r="G162" t="s">
        <v>37</v>
      </c>
      <c r="H162" t="s">
        <v>25</v>
      </c>
      <c r="I162" t="s">
        <v>9</v>
      </c>
      <c r="J162" t="s">
        <v>18</v>
      </c>
      <c r="K162" t="s">
        <v>13</v>
      </c>
      <c r="L162">
        <v>420</v>
      </c>
      <c r="M162">
        <v>46</v>
      </c>
      <c r="N162">
        <f>Hoja4!$L162*Hoja4!$M162</f>
        <v>19320</v>
      </c>
      <c r="O162" t="str">
        <f t="shared" si="5"/>
        <v>Lun.</v>
      </c>
      <c r="P162" t="str">
        <f t="shared" si="6"/>
        <v>julio</v>
      </c>
    </row>
    <row r="163" spans="1:16" x14ac:dyDescent="0.25">
      <c r="A163">
        <v>162</v>
      </c>
      <c r="B163">
        <v>44064</v>
      </c>
      <c r="C163">
        <v>5739621013</v>
      </c>
      <c r="D163" t="s">
        <v>36</v>
      </c>
      <c r="E163" t="s">
        <v>92</v>
      </c>
      <c r="F163" t="s">
        <v>99</v>
      </c>
      <c r="G163" t="s">
        <v>37</v>
      </c>
      <c r="H163" t="s">
        <v>25</v>
      </c>
      <c r="I163" t="s">
        <v>9</v>
      </c>
      <c r="J163" t="s">
        <v>19</v>
      </c>
      <c r="K163" t="s">
        <v>13</v>
      </c>
      <c r="L163">
        <v>742</v>
      </c>
      <c r="M163">
        <v>14</v>
      </c>
      <c r="N163">
        <f>Hoja4!$L163*Hoja4!$M163</f>
        <v>10388</v>
      </c>
      <c r="O163" t="str">
        <f t="shared" si="5"/>
        <v>Vie.</v>
      </c>
      <c r="P163" t="str">
        <f t="shared" si="6"/>
        <v>agosto</v>
      </c>
    </row>
    <row r="164" spans="1:16" x14ac:dyDescent="0.25">
      <c r="A164">
        <v>163</v>
      </c>
      <c r="B164">
        <v>43942</v>
      </c>
      <c r="C164">
        <v>1789830506</v>
      </c>
      <c r="D164" t="s">
        <v>14</v>
      </c>
      <c r="E164" t="s">
        <v>81</v>
      </c>
      <c r="F164" t="s">
        <v>94</v>
      </c>
      <c r="G164" t="s">
        <v>15</v>
      </c>
      <c r="J164" t="s">
        <v>66</v>
      </c>
      <c r="K164" t="s">
        <v>57</v>
      </c>
      <c r="L164">
        <v>532</v>
      </c>
      <c r="M164">
        <v>85</v>
      </c>
      <c r="N164">
        <f>Hoja4!$L164*Hoja4!$M164</f>
        <v>45220</v>
      </c>
      <c r="O164" t="str">
        <f t="shared" si="5"/>
        <v>Mar.</v>
      </c>
      <c r="P164" t="str">
        <f t="shared" si="6"/>
        <v>abril</v>
      </c>
    </row>
    <row r="165" spans="1:16" x14ac:dyDescent="0.25">
      <c r="A165">
        <v>164</v>
      </c>
      <c r="B165">
        <v>44098</v>
      </c>
      <c r="C165">
        <v>6281652174</v>
      </c>
      <c r="D165" t="s">
        <v>32</v>
      </c>
      <c r="E165" t="s">
        <v>93</v>
      </c>
      <c r="F165" t="s">
        <v>96</v>
      </c>
      <c r="G165" t="s">
        <v>7</v>
      </c>
      <c r="J165" t="s">
        <v>44</v>
      </c>
      <c r="K165" t="s">
        <v>11</v>
      </c>
      <c r="L165">
        <v>41.86</v>
      </c>
      <c r="M165">
        <v>88</v>
      </c>
      <c r="N165">
        <f>Hoja4!$L165*Hoja4!$M165</f>
        <v>3683.68</v>
      </c>
      <c r="O165" t="str">
        <f t="shared" si="5"/>
        <v>Jue.</v>
      </c>
      <c r="P165" t="str">
        <f t="shared" si="6"/>
        <v>septiembre</v>
      </c>
    </row>
    <row r="166" spans="1:16" x14ac:dyDescent="0.25">
      <c r="A166">
        <v>165</v>
      </c>
      <c r="B166">
        <v>43859</v>
      </c>
      <c r="C166">
        <v>8126696083</v>
      </c>
      <c r="D166" t="s">
        <v>51</v>
      </c>
      <c r="E166" t="s">
        <v>90</v>
      </c>
      <c r="F166" t="s">
        <v>98</v>
      </c>
      <c r="G166" t="s">
        <v>24</v>
      </c>
      <c r="J166" t="s">
        <v>44</v>
      </c>
      <c r="K166" t="s">
        <v>11</v>
      </c>
      <c r="L166">
        <v>41.86</v>
      </c>
      <c r="M166">
        <v>81</v>
      </c>
      <c r="N166">
        <f>Hoja4!$L166*Hoja4!$M166</f>
        <v>3390.66</v>
      </c>
      <c r="O166" t="str">
        <f t="shared" si="5"/>
        <v>Mié.</v>
      </c>
      <c r="P166" t="str">
        <f t="shared" si="6"/>
        <v>enero</v>
      </c>
    </row>
    <row r="167" spans="1:16" x14ac:dyDescent="0.25">
      <c r="A167">
        <v>166</v>
      </c>
      <c r="B167">
        <v>44160</v>
      </c>
      <c r="C167">
        <v>2706456269</v>
      </c>
      <c r="D167" t="s">
        <v>40</v>
      </c>
      <c r="E167" t="s">
        <v>97</v>
      </c>
      <c r="F167" t="s">
        <v>88</v>
      </c>
      <c r="G167" t="s">
        <v>41</v>
      </c>
      <c r="H167" t="s">
        <v>25</v>
      </c>
      <c r="I167" t="s">
        <v>17</v>
      </c>
      <c r="J167" t="s">
        <v>34</v>
      </c>
      <c r="K167" t="s">
        <v>35</v>
      </c>
      <c r="L167">
        <v>135.1</v>
      </c>
      <c r="M167">
        <v>33</v>
      </c>
      <c r="N167">
        <f>Hoja4!$L167*Hoja4!$M167</f>
        <v>4458.3</v>
      </c>
      <c r="O167" t="str">
        <f t="shared" si="5"/>
        <v>Mié.</v>
      </c>
      <c r="P167" t="str">
        <f t="shared" si="6"/>
        <v>noviembre</v>
      </c>
    </row>
    <row r="168" spans="1:16" x14ac:dyDescent="0.25">
      <c r="A168">
        <v>167</v>
      </c>
      <c r="B168">
        <v>44167</v>
      </c>
      <c r="C168">
        <v>6159315697</v>
      </c>
      <c r="D168" t="s">
        <v>40</v>
      </c>
      <c r="E168" t="s">
        <v>97</v>
      </c>
      <c r="F168" t="s">
        <v>88</v>
      </c>
      <c r="G168" t="s">
        <v>41</v>
      </c>
      <c r="H168" t="s">
        <v>25</v>
      </c>
      <c r="I168" t="s">
        <v>17</v>
      </c>
      <c r="J168" t="s">
        <v>52</v>
      </c>
      <c r="K168" t="s">
        <v>53</v>
      </c>
      <c r="L168">
        <v>257.59999999999997</v>
      </c>
      <c r="M168">
        <v>47</v>
      </c>
      <c r="N168">
        <f>Hoja4!$L168*Hoja4!$M168</f>
        <v>12107.199999999999</v>
      </c>
      <c r="O168" t="str">
        <f t="shared" si="5"/>
        <v>Mié.</v>
      </c>
      <c r="P168" t="str">
        <f t="shared" si="6"/>
        <v>diciembre</v>
      </c>
    </row>
    <row r="169" spans="1:16" x14ac:dyDescent="0.25">
      <c r="A169">
        <v>168</v>
      </c>
      <c r="B169">
        <v>44026</v>
      </c>
      <c r="C169">
        <v>2749029538</v>
      </c>
      <c r="D169" t="s">
        <v>54</v>
      </c>
      <c r="E169" t="s">
        <v>89</v>
      </c>
      <c r="F169" t="s">
        <v>84</v>
      </c>
      <c r="G169" t="s">
        <v>55</v>
      </c>
      <c r="H169" t="s">
        <v>16</v>
      </c>
      <c r="I169" t="s">
        <v>9</v>
      </c>
      <c r="J169" t="s">
        <v>56</v>
      </c>
      <c r="K169" t="s">
        <v>57</v>
      </c>
      <c r="L169">
        <v>273</v>
      </c>
      <c r="M169">
        <v>61</v>
      </c>
      <c r="N169">
        <f>Hoja4!$L169*Hoja4!$M169</f>
        <v>16653</v>
      </c>
      <c r="O169" t="str">
        <f t="shared" si="5"/>
        <v>Mar.</v>
      </c>
      <c r="P169" t="str">
        <f t="shared" si="6"/>
        <v>julio</v>
      </c>
    </row>
    <row r="170" spans="1:16" x14ac:dyDescent="0.25">
      <c r="A170">
        <v>169</v>
      </c>
      <c r="B170">
        <v>43998</v>
      </c>
      <c r="C170">
        <v>9017454158</v>
      </c>
      <c r="D170" t="s">
        <v>54</v>
      </c>
      <c r="E170" t="s">
        <v>89</v>
      </c>
      <c r="F170" t="s">
        <v>84</v>
      </c>
      <c r="G170" t="s">
        <v>55</v>
      </c>
      <c r="H170" t="s">
        <v>16</v>
      </c>
      <c r="I170" t="s">
        <v>9</v>
      </c>
      <c r="J170" t="s">
        <v>58</v>
      </c>
      <c r="K170" t="s">
        <v>59</v>
      </c>
      <c r="L170">
        <v>487.19999999999993</v>
      </c>
      <c r="M170">
        <v>27</v>
      </c>
      <c r="N170">
        <f>Hoja4!$L170*Hoja4!$M170</f>
        <v>13154.399999999998</v>
      </c>
      <c r="O170" t="str">
        <f t="shared" si="5"/>
        <v>Mar.</v>
      </c>
      <c r="P170" t="str">
        <f t="shared" si="6"/>
        <v>junio</v>
      </c>
    </row>
    <row r="171" spans="1:16" x14ac:dyDescent="0.25">
      <c r="A171">
        <v>170</v>
      </c>
      <c r="B171">
        <v>43893</v>
      </c>
      <c r="C171">
        <v>445300235</v>
      </c>
      <c r="D171" t="s">
        <v>36</v>
      </c>
      <c r="E171" t="s">
        <v>92</v>
      </c>
      <c r="F171" t="s">
        <v>99</v>
      </c>
      <c r="G171" t="s">
        <v>37</v>
      </c>
      <c r="H171" t="s">
        <v>8</v>
      </c>
      <c r="I171" t="s">
        <v>17</v>
      </c>
      <c r="J171" t="s">
        <v>10</v>
      </c>
      <c r="K171" t="s">
        <v>11</v>
      </c>
      <c r="L171">
        <v>196</v>
      </c>
      <c r="M171">
        <v>84</v>
      </c>
      <c r="N171">
        <f>Hoja4!$L171*Hoja4!$M171</f>
        <v>16464</v>
      </c>
      <c r="O171" t="str">
        <f t="shared" si="5"/>
        <v>Mar.</v>
      </c>
      <c r="P171" t="str">
        <f t="shared" si="6"/>
        <v>marzo</v>
      </c>
    </row>
    <row r="172" spans="1:16" x14ac:dyDescent="0.25">
      <c r="A172">
        <v>171</v>
      </c>
      <c r="B172">
        <v>43844</v>
      </c>
      <c r="C172">
        <v>3498781571</v>
      </c>
      <c r="D172" t="s">
        <v>23</v>
      </c>
      <c r="E172" t="s">
        <v>86</v>
      </c>
      <c r="F172" t="s">
        <v>82</v>
      </c>
      <c r="G172" t="s">
        <v>24</v>
      </c>
      <c r="H172" t="s">
        <v>8</v>
      </c>
      <c r="I172" t="s">
        <v>9</v>
      </c>
      <c r="J172" t="s">
        <v>38</v>
      </c>
      <c r="K172" t="s">
        <v>39</v>
      </c>
      <c r="L172">
        <v>560</v>
      </c>
      <c r="M172">
        <v>91</v>
      </c>
      <c r="N172">
        <f>Hoja4!$L172*Hoja4!$M172</f>
        <v>50960</v>
      </c>
      <c r="O172" t="str">
        <f t="shared" si="5"/>
        <v>Mar.</v>
      </c>
      <c r="P172" t="str">
        <f t="shared" si="6"/>
        <v>enero</v>
      </c>
    </row>
    <row r="173" spans="1:16" x14ac:dyDescent="0.25">
      <c r="A173">
        <v>172</v>
      </c>
      <c r="B173">
        <v>44008</v>
      </c>
      <c r="C173">
        <v>376477229</v>
      </c>
      <c r="D173" t="s">
        <v>23</v>
      </c>
      <c r="E173" t="s">
        <v>86</v>
      </c>
      <c r="F173" t="s">
        <v>82</v>
      </c>
      <c r="G173" t="s">
        <v>24</v>
      </c>
      <c r="H173" t="s">
        <v>8</v>
      </c>
      <c r="I173" t="s">
        <v>9</v>
      </c>
      <c r="J173" t="s">
        <v>26</v>
      </c>
      <c r="K173" t="s">
        <v>27</v>
      </c>
      <c r="L173">
        <v>128.79999999999998</v>
      </c>
      <c r="M173">
        <v>36</v>
      </c>
      <c r="N173">
        <f>Hoja4!$L173*Hoja4!$M173</f>
        <v>4636.7999999999993</v>
      </c>
      <c r="O173" t="str">
        <f t="shared" si="5"/>
        <v>Vie.</v>
      </c>
      <c r="P173" t="str">
        <f t="shared" si="6"/>
        <v>junio</v>
      </c>
    </row>
    <row r="174" spans="1:16" x14ac:dyDescent="0.25">
      <c r="A174">
        <v>173</v>
      </c>
      <c r="B174">
        <v>44119</v>
      </c>
      <c r="C174">
        <v>1790721708</v>
      </c>
      <c r="D174" t="s">
        <v>62</v>
      </c>
      <c r="E174" t="s">
        <v>91</v>
      </c>
      <c r="F174" t="s">
        <v>91</v>
      </c>
      <c r="G174" t="s">
        <v>43</v>
      </c>
      <c r="H174" t="s">
        <v>16</v>
      </c>
      <c r="I174" t="s">
        <v>33</v>
      </c>
      <c r="J174" t="s">
        <v>67</v>
      </c>
      <c r="K174" t="s">
        <v>27</v>
      </c>
      <c r="L174">
        <v>140</v>
      </c>
      <c r="M174">
        <v>34</v>
      </c>
      <c r="N174">
        <f>Hoja4!$L174*Hoja4!$M174</f>
        <v>4760</v>
      </c>
      <c r="O174" t="str">
        <f t="shared" si="5"/>
        <v>Jue.</v>
      </c>
      <c r="P174" t="str">
        <f t="shared" si="6"/>
        <v>octubre</v>
      </c>
    </row>
    <row r="175" spans="1:16" x14ac:dyDescent="0.25">
      <c r="A175">
        <v>174</v>
      </c>
      <c r="B175">
        <v>43831</v>
      </c>
      <c r="C175">
        <v>434033868</v>
      </c>
      <c r="D175" t="s">
        <v>63</v>
      </c>
      <c r="E175" t="s">
        <v>85</v>
      </c>
      <c r="F175" t="s">
        <v>83</v>
      </c>
      <c r="G175" t="s">
        <v>41</v>
      </c>
      <c r="H175" t="s">
        <v>25</v>
      </c>
      <c r="I175" t="s">
        <v>17</v>
      </c>
      <c r="J175" t="s">
        <v>68</v>
      </c>
      <c r="K175" t="s">
        <v>69</v>
      </c>
      <c r="L175">
        <v>298.90000000000003</v>
      </c>
      <c r="M175">
        <v>81</v>
      </c>
      <c r="N175">
        <f>Hoja4!$L175*Hoja4!$M175</f>
        <v>24210.9</v>
      </c>
      <c r="O175" t="str">
        <f t="shared" si="5"/>
        <v>Mié.</v>
      </c>
      <c r="P175" t="str">
        <f t="shared" si="6"/>
        <v>enero</v>
      </c>
    </row>
    <row r="176" spans="1:16" x14ac:dyDescent="0.25">
      <c r="A176">
        <v>175</v>
      </c>
      <c r="B176">
        <v>44054</v>
      </c>
      <c r="C176">
        <v>3247684317</v>
      </c>
      <c r="D176" t="s">
        <v>63</v>
      </c>
      <c r="E176" t="s">
        <v>85</v>
      </c>
      <c r="F176" t="s">
        <v>83</v>
      </c>
      <c r="G176" t="s">
        <v>41</v>
      </c>
      <c r="H176" t="s">
        <v>25</v>
      </c>
      <c r="I176" t="s">
        <v>17</v>
      </c>
      <c r="J176" t="s">
        <v>34</v>
      </c>
      <c r="K176" t="s">
        <v>35</v>
      </c>
      <c r="L176">
        <v>135.1</v>
      </c>
      <c r="M176">
        <v>25</v>
      </c>
      <c r="N176">
        <f>Hoja4!$L176*Hoja4!$M176</f>
        <v>3377.5</v>
      </c>
      <c r="O176" t="str">
        <f t="shared" si="5"/>
        <v>Mar.</v>
      </c>
      <c r="P176" t="str">
        <f t="shared" si="6"/>
        <v>agosto</v>
      </c>
    </row>
    <row r="177" spans="1:16" x14ac:dyDescent="0.25">
      <c r="A177">
        <v>176</v>
      </c>
      <c r="B177">
        <v>43933</v>
      </c>
      <c r="C177">
        <v>6492121203</v>
      </c>
      <c r="D177" t="s">
        <v>63</v>
      </c>
      <c r="E177" t="s">
        <v>85</v>
      </c>
      <c r="F177" t="s">
        <v>83</v>
      </c>
      <c r="G177" t="s">
        <v>41</v>
      </c>
      <c r="H177" t="s">
        <v>25</v>
      </c>
      <c r="I177" t="s">
        <v>17</v>
      </c>
      <c r="J177" t="s">
        <v>52</v>
      </c>
      <c r="K177" t="s">
        <v>53</v>
      </c>
      <c r="L177">
        <v>257.59999999999997</v>
      </c>
      <c r="M177">
        <v>12</v>
      </c>
      <c r="N177">
        <f>Hoja4!$L177*Hoja4!$M177</f>
        <v>3091.2</v>
      </c>
      <c r="O177" t="str">
        <f t="shared" si="5"/>
        <v>Dom.</v>
      </c>
      <c r="P177" t="str">
        <f t="shared" si="6"/>
        <v>abril</v>
      </c>
    </row>
    <row r="178" spans="1:16" x14ac:dyDescent="0.25">
      <c r="A178">
        <v>177</v>
      </c>
      <c r="B178">
        <v>43859</v>
      </c>
      <c r="C178">
        <v>1661667624</v>
      </c>
      <c r="D178" t="s">
        <v>28</v>
      </c>
      <c r="E178" t="s">
        <v>89</v>
      </c>
      <c r="F178" t="s">
        <v>84</v>
      </c>
      <c r="G178" t="s">
        <v>29</v>
      </c>
      <c r="H178" t="s">
        <v>8</v>
      </c>
      <c r="I178" t="s">
        <v>9</v>
      </c>
      <c r="J178" t="s">
        <v>10</v>
      </c>
      <c r="K178" t="s">
        <v>11</v>
      </c>
      <c r="L178">
        <v>196</v>
      </c>
      <c r="M178">
        <v>23</v>
      </c>
      <c r="N178">
        <f>Hoja4!$L178*Hoja4!$M178</f>
        <v>4508</v>
      </c>
      <c r="O178" t="str">
        <f t="shared" si="5"/>
        <v>Mié.</v>
      </c>
      <c r="P178" t="str">
        <f t="shared" si="6"/>
        <v>enero</v>
      </c>
    </row>
    <row r="179" spans="1:16" x14ac:dyDescent="0.25">
      <c r="A179">
        <v>178</v>
      </c>
      <c r="B179">
        <v>44188</v>
      </c>
      <c r="C179">
        <v>1127190015</v>
      </c>
      <c r="D179" t="s">
        <v>36</v>
      </c>
      <c r="E179" t="s">
        <v>92</v>
      </c>
      <c r="F179" t="s">
        <v>99</v>
      </c>
      <c r="G179" t="s">
        <v>37</v>
      </c>
      <c r="H179" t="s">
        <v>25</v>
      </c>
      <c r="I179" t="s">
        <v>9</v>
      </c>
      <c r="J179" t="s">
        <v>30</v>
      </c>
      <c r="K179" t="s">
        <v>31</v>
      </c>
      <c r="L179">
        <v>178.5</v>
      </c>
      <c r="M179">
        <v>76</v>
      </c>
      <c r="N179">
        <f>Hoja4!$L179*Hoja4!$M179</f>
        <v>13566</v>
      </c>
      <c r="O179" t="str">
        <f t="shared" si="5"/>
        <v>Mié.</v>
      </c>
      <c r="P179" t="str">
        <f t="shared" si="6"/>
        <v>diciembre</v>
      </c>
    </row>
    <row r="180" spans="1:16" x14ac:dyDescent="0.25">
      <c r="A180">
        <v>179</v>
      </c>
      <c r="B180">
        <v>43937</v>
      </c>
      <c r="C180">
        <v>7862399002</v>
      </c>
      <c r="D180" t="s">
        <v>14</v>
      </c>
      <c r="E180" t="s">
        <v>81</v>
      </c>
      <c r="F180" t="s">
        <v>94</v>
      </c>
      <c r="G180" t="s">
        <v>15</v>
      </c>
      <c r="H180" t="s">
        <v>16</v>
      </c>
      <c r="I180" t="s">
        <v>17</v>
      </c>
      <c r="J180" t="s">
        <v>70</v>
      </c>
      <c r="K180" t="s">
        <v>47</v>
      </c>
      <c r="L180">
        <v>1134</v>
      </c>
      <c r="M180">
        <v>55</v>
      </c>
      <c r="N180">
        <f>Hoja4!$L180*Hoja4!$M180</f>
        <v>62370</v>
      </c>
      <c r="O180" t="str">
        <f t="shared" si="5"/>
        <v>Jue.</v>
      </c>
      <c r="P180" t="str">
        <f t="shared" si="6"/>
        <v>abril</v>
      </c>
    </row>
    <row r="181" spans="1:16" x14ac:dyDescent="0.25">
      <c r="A181">
        <v>180</v>
      </c>
      <c r="B181">
        <v>44083</v>
      </c>
      <c r="C181">
        <v>9568142105</v>
      </c>
      <c r="D181" t="s">
        <v>14</v>
      </c>
      <c r="E181" t="s">
        <v>81</v>
      </c>
      <c r="F181" t="s">
        <v>94</v>
      </c>
      <c r="G181" t="s">
        <v>15</v>
      </c>
      <c r="H181" t="s">
        <v>16</v>
      </c>
      <c r="I181" t="s">
        <v>17</v>
      </c>
      <c r="J181" t="s">
        <v>71</v>
      </c>
      <c r="K181" t="s">
        <v>72</v>
      </c>
      <c r="L181">
        <v>98</v>
      </c>
      <c r="M181">
        <v>19</v>
      </c>
      <c r="N181">
        <f>Hoja4!$L181*Hoja4!$M181</f>
        <v>1862</v>
      </c>
      <c r="O181" t="str">
        <f t="shared" si="5"/>
        <v>Mié.</v>
      </c>
      <c r="P181" t="str">
        <f t="shared" si="6"/>
        <v>septiembre</v>
      </c>
    </row>
    <row r="182" spans="1:16" x14ac:dyDescent="0.25">
      <c r="A182">
        <v>181</v>
      </c>
      <c r="B182">
        <v>43864</v>
      </c>
      <c r="C182">
        <v>1181634254</v>
      </c>
      <c r="D182" t="s">
        <v>23</v>
      </c>
      <c r="E182" t="s">
        <v>86</v>
      </c>
      <c r="F182" t="s">
        <v>82</v>
      </c>
      <c r="G182" t="s">
        <v>24</v>
      </c>
      <c r="H182" t="s">
        <v>25</v>
      </c>
      <c r="I182" t="s">
        <v>17</v>
      </c>
      <c r="J182" t="s">
        <v>58</v>
      </c>
      <c r="K182" t="s">
        <v>59</v>
      </c>
      <c r="L182">
        <v>487.19999999999993</v>
      </c>
      <c r="M182">
        <v>27</v>
      </c>
      <c r="N182">
        <f>Hoja4!$L182*Hoja4!$M182</f>
        <v>13154.399999999998</v>
      </c>
      <c r="O182" t="str">
        <f t="shared" si="5"/>
        <v>Lun.</v>
      </c>
      <c r="P182" t="str">
        <f t="shared" si="6"/>
        <v>febrero</v>
      </c>
    </row>
    <row r="183" spans="1:16" x14ac:dyDescent="0.25">
      <c r="A183">
        <v>182</v>
      </c>
      <c r="B183">
        <v>44052</v>
      </c>
      <c r="C183">
        <v>5404968765</v>
      </c>
      <c r="D183" t="s">
        <v>32</v>
      </c>
      <c r="E183" t="s">
        <v>93</v>
      </c>
      <c r="F183" t="s">
        <v>96</v>
      </c>
      <c r="G183" t="s">
        <v>7</v>
      </c>
      <c r="H183" t="s">
        <v>8</v>
      </c>
      <c r="I183" t="s">
        <v>33</v>
      </c>
      <c r="J183" t="s">
        <v>60</v>
      </c>
      <c r="K183" t="s">
        <v>49</v>
      </c>
      <c r="L183">
        <v>140</v>
      </c>
      <c r="M183">
        <v>99</v>
      </c>
      <c r="N183">
        <f>Hoja4!$L183*Hoja4!$M183</f>
        <v>13860</v>
      </c>
      <c r="O183" t="str">
        <f t="shared" si="5"/>
        <v>Dom.</v>
      </c>
      <c r="P183" t="str">
        <f t="shared" si="6"/>
        <v>agosto</v>
      </c>
    </row>
    <row r="184" spans="1:16" x14ac:dyDescent="0.25">
      <c r="A184">
        <v>183</v>
      </c>
      <c r="B184">
        <v>43959</v>
      </c>
      <c r="C184">
        <v>2431996009</v>
      </c>
      <c r="D184" t="s">
        <v>32</v>
      </c>
      <c r="E184" t="s">
        <v>93</v>
      </c>
      <c r="F184" t="s">
        <v>96</v>
      </c>
      <c r="G184" t="s">
        <v>7</v>
      </c>
      <c r="H184" t="s">
        <v>8</v>
      </c>
      <c r="I184" t="s">
        <v>33</v>
      </c>
      <c r="J184" t="s">
        <v>38</v>
      </c>
      <c r="K184" t="s">
        <v>39</v>
      </c>
      <c r="L184">
        <v>560</v>
      </c>
      <c r="M184">
        <v>10</v>
      </c>
      <c r="N184">
        <f>Hoja4!$L184*Hoja4!$M184</f>
        <v>5600</v>
      </c>
      <c r="O184" t="str">
        <f t="shared" si="5"/>
        <v>Vie.</v>
      </c>
      <c r="P184" t="str">
        <f t="shared" si="6"/>
        <v>mayo</v>
      </c>
    </row>
    <row r="185" spans="1:16" x14ac:dyDescent="0.25">
      <c r="A185">
        <v>184</v>
      </c>
      <c r="B185">
        <v>44101</v>
      </c>
      <c r="C185">
        <v>6373385557</v>
      </c>
      <c r="D185" t="s">
        <v>42</v>
      </c>
      <c r="E185" t="s">
        <v>91</v>
      </c>
      <c r="F185" t="s">
        <v>91</v>
      </c>
      <c r="G185" t="s">
        <v>43</v>
      </c>
      <c r="H185" t="s">
        <v>8</v>
      </c>
      <c r="I185" t="s">
        <v>17</v>
      </c>
      <c r="J185" t="s">
        <v>61</v>
      </c>
      <c r="K185" t="s">
        <v>13</v>
      </c>
      <c r="L185">
        <v>140</v>
      </c>
      <c r="M185">
        <v>80</v>
      </c>
      <c r="N185">
        <f>Hoja4!$L185*Hoja4!$M185</f>
        <v>11200</v>
      </c>
      <c r="O185" t="str">
        <f t="shared" si="5"/>
        <v>Dom.</v>
      </c>
      <c r="P185" t="str">
        <f t="shared" si="6"/>
        <v>septiembre</v>
      </c>
    </row>
    <row r="186" spans="1:16" x14ac:dyDescent="0.25">
      <c r="A186">
        <v>185</v>
      </c>
      <c r="B186">
        <v>44069</v>
      </c>
      <c r="C186">
        <v>5411926783</v>
      </c>
      <c r="D186" t="s">
        <v>42</v>
      </c>
      <c r="E186" t="s">
        <v>91</v>
      </c>
      <c r="F186" t="s">
        <v>91</v>
      </c>
      <c r="G186" t="s">
        <v>43</v>
      </c>
      <c r="H186" t="s">
        <v>16</v>
      </c>
      <c r="J186" t="s">
        <v>12</v>
      </c>
      <c r="K186" t="s">
        <v>13</v>
      </c>
      <c r="L186">
        <v>49</v>
      </c>
      <c r="M186">
        <v>27</v>
      </c>
      <c r="N186">
        <f>Hoja4!$L186*Hoja4!$M186</f>
        <v>1323</v>
      </c>
      <c r="O186" t="str">
        <f t="shared" si="5"/>
        <v>Mié.</v>
      </c>
      <c r="P186" t="str">
        <f t="shared" si="6"/>
        <v>agosto</v>
      </c>
    </row>
    <row r="187" spans="1:16" x14ac:dyDescent="0.25">
      <c r="A187">
        <v>186</v>
      </c>
      <c r="B187">
        <v>44118</v>
      </c>
      <c r="C187">
        <v>8397590471</v>
      </c>
      <c r="D187" t="s">
        <v>50</v>
      </c>
      <c r="E187" t="s">
        <v>85</v>
      </c>
      <c r="F187" t="s">
        <v>83</v>
      </c>
      <c r="G187" t="s">
        <v>41</v>
      </c>
      <c r="H187" t="s">
        <v>25</v>
      </c>
      <c r="J187" t="s">
        <v>38</v>
      </c>
      <c r="K187" t="s">
        <v>39</v>
      </c>
      <c r="L187">
        <v>560</v>
      </c>
      <c r="M187">
        <v>97</v>
      </c>
      <c r="N187">
        <f>Hoja4!$L187*Hoja4!$M187</f>
        <v>54320</v>
      </c>
      <c r="O187" t="str">
        <f t="shared" si="5"/>
        <v>Mié.</v>
      </c>
      <c r="P187" t="str">
        <f t="shared" si="6"/>
        <v>octubre</v>
      </c>
    </row>
    <row r="188" spans="1:16" x14ac:dyDescent="0.25">
      <c r="A188">
        <v>187</v>
      </c>
      <c r="B188">
        <v>44038</v>
      </c>
      <c r="C188">
        <v>5905399576</v>
      </c>
      <c r="D188" t="s">
        <v>51</v>
      </c>
      <c r="E188" t="s">
        <v>90</v>
      </c>
      <c r="F188" t="s">
        <v>98</v>
      </c>
      <c r="G188" t="s">
        <v>24</v>
      </c>
      <c r="H188" t="s">
        <v>25</v>
      </c>
      <c r="J188" t="s">
        <v>52</v>
      </c>
      <c r="K188" t="s">
        <v>53</v>
      </c>
      <c r="L188">
        <v>257.59999999999997</v>
      </c>
      <c r="M188">
        <v>42</v>
      </c>
      <c r="N188">
        <f>Hoja4!$L188*Hoja4!$M188</f>
        <v>10819.199999999999</v>
      </c>
      <c r="O188" t="str">
        <f t="shared" si="5"/>
        <v>Dom.</v>
      </c>
      <c r="P188" t="str">
        <f t="shared" si="6"/>
        <v>julio</v>
      </c>
    </row>
    <row r="189" spans="1:16" x14ac:dyDescent="0.25">
      <c r="A189">
        <v>188</v>
      </c>
      <c r="B189">
        <v>43947</v>
      </c>
      <c r="C189">
        <v>168682758</v>
      </c>
      <c r="D189" t="s">
        <v>40</v>
      </c>
      <c r="E189" t="s">
        <v>97</v>
      </c>
      <c r="F189" t="s">
        <v>88</v>
      </c>
      <c r="G189" t="s">
        <v>41</v>
      </c>
      <c r="H189" t="s">
        <v>25</v>
      </c>
      <c r="I189" t="s">
        <v>17</v>
      </c>
      <c r="J189" t="s">
        <v>22</v>
      </c>
      <c r="K189" t="s">
        <v>11</v>
      </c>
      <c r="L189">
        <v>644</v>
      </c>
      <c r="M189">
        <v>24</v>
      </c>
      <c r="N189">
        <f>Hoja4!$L189*Hoja4!$M189</f>
        <v>15456</v>
      </c>
      <c r="O189" t="str">
        <f t="shared" si="5"/>
        <v>Dom.</v>
      </c>
      <c r="P189" t="str">
        <f t="shared" si="6"/>
        <v>abril</v>
      </c>
    </row>
    <row r="190" spans="1:16" x14ac:dyDescent="0.25">
      <c r="A190">
        <v>189</v>
      </c>
      <c r="B190">
        <v>44162</v>
      </c>
      <c r="C190">
        <v>4992553897</v>
      </c>
      <c r="D190" t="s">
        <v>54</v>
      </c>
      <c r="E190" t="s">
        <v>89</v>
      </c>
      <c r="F190" t="s">
        <v>84</v>
      </c>
      <c r="G190" t="s">
        <v>55</v>
      </c>
      <c r="H190" t="s">
        <v>16</v>
      </c>
      <c r="I190" t="s">
        <v>9</v>
      </c>
      <c r="J190" t="s">
        <v>34</v>
      </c>
      <c r="K190" t="s">
        <v>35</v>
      </c>
      <c r="L190">
        <v>135.1</v>
      </c>
      <c r="M190">
        <v>90</v>
      </c>
      <c r="N190">
        <f>Hoja4!$L190*Hoja4!$M190</f>
        <v>12159</v>
      </c>
      <c r="O190" t="str">
        <f t="shared" si="5"/>
        <v>Vie.</v>
      </c>
      <c r="P190" t="str">
        <f t="shared" si="6"/>
        <v>noviembre</v>
      </c>
    </row>
    <row r="191" spans="1:16" x14ac:dyDescent="0.25">
      <c r="A191">
        <v>190</v>
      </c>
      <c r="B191">
        <v>44160</v>
      </c>
      <c r="C191">
        <v>9609810399</v>
      </c>
      <c r="D191" t="s">
        <v>36</v>
      </c>
      <c r="E191" t="s">
        <v>92</v>
      </c>
      <c r="F191" t="s">
        <v>99</v>
      </c>
      <c r="G191" t="s">
        <v>37</v>
      </c>
      <c r="H191" t="s">
        <v>8</v>
      </c>
      <c r="I191" t="s">
        <v>17</v>
      </c>
      <c r="J191" t="s">
        <v>30</v>
      </c>
      <c r="K191" t="s">
        <v>31</v>
      </c>
      <c r="L191">
        <v>178.5</v>
      </c>
      <c r="M191">
        <v>28</v>
      </c>
      <c r="N191">
        <f>Hoja4!$L191*Hoja4!$M191</f>
        <v>4998</v>
      </c>
      <c r="O191" t="str">
        <f t="shared" si="5"/>
        <v>Mié.</v>
      </c>
      <c r="P191" t="str">
        <f t="shared" si="6"/>
        <v>noviembre</v>
      </c>
    </row>
    <row r="192" spans="1:16" x14ac:dyDescent="0.25">
      <c r="A192">
        <v>191</v>
      </c>
      <c r="B192">
        <v>44045</v>
      </c>
      <c r="C192">
        <v>1537469039</v>
      </c>
      <c r="D192" t="s">
        <v>40</v>
      </c>
      <c r="E192" t="s">
        <v>97</v>
      </c>
      <c r="F192" t="s">
        <v>88</v>
      </c>
      <c r="G192" t="s">
        <v>41</v>
      </c>
      <c r="H192" t="s">
        <v>25</v>
      </c>
      <c r="I192" t="s">
        <v>9</v>
      </c>
      <c r="J192" t="s">
        <v>22</v>
      </c>
      <c r="K192" t="s">
        <v>11</v>
      </c>
      <c r="L192">
        <v>644</v>
      </c>
      <c r="M192">
        <v>28</v>
      </c>
      <c r="N192">
        <f>Hoja4!$L192*Hoja4!$M192</f>
        <v>18032</v>
      </c>
      <c r="O192" t="str">
        <f t="shared" si="5"/>
        <v>Dom.</v>
      </c>
      <c r="P192" t="str">
        <f t="shared" si="6"/>
        <v>agosto</v>
      </c>
    </row>
    <row r="193" spans="1:16" x14ac:dyDescent="0.25">
      <c r="A193">
        <v>192</v>
      </c>
      <c r="B193">
        <v>44049</v>
      </c>
      <c r="C193">
        <v>2018401595</v>
      </c>
      <c r="D193" t="s">
        <v>23</v>
      </c>
      <c r="E193" t="s">
        <v>86</v>
      </c>
      <c r="F193" t="s">
        <v>82</v>
      </c>
      <c r="G193" t="s">
        <v>24</v>
      </c>
      <c r="H193" t="s">
        <v>25</v>
      </c>
      <c r="I193" t="s">
        <v>9</v>
      </c>
      <c r="J193" t="s">
        <v>30</v>
      </c>
      <c r="K193" t="s">
        <v>31</v>
      </c>
      <c r="L193">
        <v>178.5</v>
      </c>
      <c r="M193">
        <v>57</v>
      </c>
      <c r="N193">
        <f>Hoja4!$L193*Hoja4!$M193</f>
        <v>10174.5</v>
      </c>
      <c r="O193" t="str">
        <f t="shared" si="5"/>
        <v>Jue.</v>
      </c>
      <c r="P193" t="str">
        <f t="shared" si="6"/>
        <v>agosto</v>
      </c>
    </row>
    <row r="194" spans="1:16" x14ac:dyDescent="0.25">
      <c r="A194">
        <v>193</v>
      </c>
      <c r="B194">
        <v>43961</v>
      </c>
      <c r="C194">
        <v>1129934476</v>
      </c>
      <c r="D194" t="s">
        <v>42</v>
      </c>
      <c r="E194" t="s">
        <v>91</v>
      </c>
      <c r="F194" t="s">
        <v>91</v>
      </c>
      <c r="G194" t="s">
        <v>43</v>
      </c>
      <c r="H194" t="s">
        <v>8</v>
      </c>
      <c r="I194" t="s">
        <v>17</v>
      </c>
      <c r="J194" t="s">
        <v>44</v>
      </c>
      <c r="K194" t="s">
        <v>11</v>
      </c>
      <c r="L194">
        <v>41.86</v>
      </c>
      <c r="M194">
        <v>23</v>
      </c>
      <c r="N194">
        <f>Hoja4!$L194*Hoja4!$M194</f>
        <v>962.78</v>
      </c>
      <c r="O194" t="str">
        <f t="shared" ref="O194:O257" si="7">PROPER(TEXT(B194,"ddd."))</f>
        <v>Dom.</v>
      </c>
      <c r="P194" t="str">
        <f t="shared" ref="P194:P257" si="8">TEXT(B194,"mmmm")</f>
        <v>mayo</v>
      </c>
    </row>
    <row r="195" spans="1:16" x14ac:dyDescent="0.25">
      <c r="A195">
        <v>194</v>
      </c>
      <c r="B195">
        <v>43929</v>
      </c>
      <c r="C195">
        <v>878400496</v>
      </c>
      <c r="D195" t="s">
        <v>45</v>
      </c>
      <c r="E195" t="s">
        <v>87</v>
      </c>
      <c r="F195" t="s">
        <v>87</v>
      </c>
      <c r="G195" t="s">
        <v>24</v>
      </c>
      <c r="J195" t="s">
        <v>22</v>
      </c>
      <c r="K195" t="s">
        <v>11</v>
      </c>
      <c r="L195">
        <v>644</v>
      </c>
      <c r="M195">
        <v>86</v>
      </c>
      <c r="N195">
        <f>Hoja4!$L195*Hoja4!$M195</f>
        <v>55384</v>
      </c>
      <c r="O195" t="str">
        <f t="shared" si="7"/>
        <v>Mié.</v>
      </c>
      <c r="P195" t="str">
        <f t="shared" si="8"/>
        <v>abril</v>
      </c>
    </row>
    <row r="196" spans="1:16" x14ac:dyDescent="0.25">
      <c r="A196">
        <v>195</v>
      </c>
      <c r="B196">
        <v>44043</v>
      </c>
      <c r="C196">
        <v>6271764467</v>
      </c>
      <c r="D196" t="s">
        <v>42</v>
      </c>
      <c r="E196" t="s">
        <v>91</v>
      </c>
      <c r="F196" t="s">
        <v>91</v>
      </c>
      <c r="G196" t="s">
        <v>43</v>
      </c>
      <c r="H196" t="s">
        <v>16</v>
      </c>
      <c r="J196" t="s">
        <v>46</v>
      </c>
      <c r="K196" t="s">
        <v>47</v>
      </c>
      <c r="L196">
        <v>350</v>
      </c>
      <c r="M196">
        <v>47</v>
      </c>
      <c r="N196">
        <f>Hoja4!$L196*Hoja4!$M196</f>
        <v>16450</v>
      </c>
      <c r="O196" t="str">
        <f t="shared" si="7"/>
        <v>Vie.</v>
      </c>
      <c r="P196" t="str">
        <f t="shared" si="8"/>
        <v>julio</v>
      </c>
    </row>
    <row r="197" spans="1:16" x14ac:dyDescent="0.25">
      <c r="A197">
        <v>196</v>
      </c>
      <c r="B197">
        <v>43853</v>
      </c>
      <c r="C197">
        <v>5954546839</v>
      </c>
      <c r="D197" t="s">
        <v>42</v>
      </c>
      <c r="E197" t="s">
        <v>91</v>
      </c>
      <c r="F197" t="s">
        <v>91</v>
      </c>
      <c r="G197" t="s">
        <v>43</v>
      </c>
      <c r="H197" t="s">
        <v>16</v>
      </c>
      <c r="J197" t="s">
        <v>48</v>
      </c>
      <c r="K197" t="s">
        <v>49</v>
      </c>
      <c r="L197">
        <v>308</v>
      </c>
      <c r="M197">
        <v>97</v>
      </c>
      <c r="N197">
        <f>Hoja4!$L197*Hoja4!$M197</f>
        <v>29876</v>
      </c>
      <c r="O197" t="str">
        <f t="shared" si="7"/>
        <v>Jue.</v>
      </c>
      <c r="P197" t="str">
        <f t="shared" si="8"/>
        <v>enero</v>
      </c>
    </row>
    <row r="198" spans="1:16" x14ac:dyDescent="0.25">
      <c r="A198">
        <v>197</v>
      </c>
      <c r="B198">
        <v>43905</v>
      </c>
      <c r="C198">
        <v>1007419194</v>
      </c>
      <c r="D198" t="s">
        <v>42</v>
      </c>
      <c r="E198" t="s">
        <v>91</v>
      </c>
      <c r="F198" t="s">
        <v>91</v>
      </c>
      <c r="G198" t="s">
        <v>43</v>
      </c>
      <c r="H198" t="s">
        <v>16</v>
      </c>
      <c r="J198" t="s">
        <v>26</v>
      </c>
      <c r="K198" t="s">
        <v>27</v>
      </c>
      <c r="L198">
        <v>128.79999999999998</v>
      </c>
      <c r="M198">
        <v>96</v>
      </c>
      <c r="N198">
        <f>Hoja4!$L198*Hoja4!$M198</f>
        <v>12364.8</v>
      </c>
      <c r="O198" t="str">
        <f t="shared" si="7"/>
        <v>Dom.</v>
      </c>
      <c r="P198" t="str">
        <f t="shared" si="8"/>
        <v>marzo</v>
      </c>
    </row>
    <row r="199" spans="1:16" x14ac:dyDescent="0.25">
      <c r="A199">
        <v>198</v>
      </c>
      <c r="B199">
        <v>43891</v>
      </c>
      <c r="C199">
        <v>2749506386</v>
      </c>
      <c r="D199" t="s">
        <v>50</v>
      </c>
      <c r="E199" t="s">
        <v>85</v>
      </c>
      <c r="F199" t="s">
        <v>83</v>
      </c>
      <c r="G199" t="s">
        <v>41</v>
      </c>
      <c r="H199" t="s">
        <v>25</v>
      </c>
      <c r="J199" t="s">
        <v>12</v>
      </c>
      <c r="K199" t="s">
        <v>13</v>
      </c>
      <c r="L199">
        <v>49</v>
      </c>
      <c r="M199">
        <v>31</v>
      </c>
      <c r="N199">
        <f>Hoja4!$L199*Hoja4!$M199</f>
        <v>1519</v>
      </c>
      <c r="O199" t="str">
        <f t="shared" si="7"/>
        <v>Dom.</v>
      </c>
      <c r="P199" t="str">
        <f t="shared" si="8"/>
        <v>marzo</v>
      </c>
    </row>
    <row r="200" spans="1:16" x14ac:dyDescent="0.25">
      <c r="A200">
        <v>199</v>
      </c>
      <c r="B200">
        <v>43997</v>
      </c>
      <c r="C200">
        <v>3279160134</v>
      </c>
      <c r="D200" t="s">
        <v>50</v>
      </c>
      <c r="E200" t="s">
        <v>85</v>
      </c>
      <c r="F200" t="s">
        <v>83</v>
      </c>
      <c r="G200" t="s">
        <v>41</v>
      </c>
      <c r="H200" t="s">
        <v>25</v>
      </c>
      <c r="J200" t="s">
        <v>44</v>
      </c>
      <c r="K200" t="s">
        <v>11</v>
      </c>
      <c r="L200">
        <v>41.86</v>
      </c>
      <c r="M200">
        <v>52</v>
      </c>
      <c r="N200">
        <f>Hoja4!$L200*Hoja4!$M200</f>
        <v>2176.7199999999998</v>
      </c>
      <c r="O200" t="str">
        <f t="shared" si="7"/>
        <v>Lun.</v>
      </c>
      <c r="P200" t="str">
        <f t="shared" si="8"/>
        <v>junio</v>
      </c>
    </row>
    <row r="201" spans="1:16" x14ac:dyDescent="0.25">
      <c r="A201">
        <v>200</v>
      </c>
      <c r="B201">
        <v>43994</v>
      </c>
      <c r="C201">
        <v>6789089883</v>
      </c>
      <c r="D201" t="s">
        <v>51</v>
      </c>
      <c r="E201" t="s">
        <v>90</v>
      </c>
      <c r="F201" t="s">
        <v>98</v>
      </c>
      <c r="G201" t="s">
        <v>24</v>
      </c>
      <c r="J201" t="s">
        <v>21</v>
      </c>
      <c r="K201" t="s">
        <v>11</v>
      </c>
      <c r="L201">
        <v>252</v>
      </c>
      <c r="M201">
        <v>91</v>
      </c>
      <c r="N201">
        <f>Hoja4!$L201*Hoja4!$M201</f>
        <v>22932</v>
      </c>
      <c r="O201" t="str">
        <f t="shared" si="7"/>
        <v>Vie.</v>
      </c>
      <c r="P201" t="str">
        <f t="shared" si="8"/>
        <v>junio</v>
      </c>
    </row>
    <row r="202" spans="1:16" x14ac:dyDescent="0.25">
      <c r="A202">
        <v>201</v>
      </c>
      <c r="B202">
        <v>44004</v>
      </c>
      <c r="C202">
        <v>7775981065</v>
      </c>
      <c r="D202" t="s">
        <v>51</v>
      </c>
      <c r="E202" t="s">
        <v>90</v>
      </c>
      <c r="F202" t="s">
        <v>98</v>
      </c>
      <c r="G202" t="s">
        <v>24</v>
      </c>
      <c r="J202" t="s">
        <v>22</v>
      </c>
      <c r="K202" t="s">
        <v>11</v>
      </c>
      <c r="L202">
        <v>644</v>
      </c>
      <c r="M202">
        <v>14</v>
      </c>
      <c r="N202">
        <f>Hoja4!$L202*Hoja4!$M202</f>
        <v>9016</v>
      </c>
      <c r="O202" t="str">
        <f t="shared" si="7"/>
        <v>Lun.</v>
      </c>
      <c r="P202" t="str">
        <f t="shared" si="8"/>
        <v>junio</v>
      </c>
    </row>
    <row r="203" spans="1:16" x14ac:dyDescent="0.25">
      <c r="A203">
        <v>202</v>
      </c>
      <c r="B203">
        <v>43923</v>
      </c>
      <c r="C203">
        <v>5357417804</v>
      </c>
      <c r="D203" t="s">
        <v>51</v>
      </c>
      <c r="E203" t="s">
        <v>90</v>
      </c>
      <c r="F203" t="s">
        <v>98</v>
      </c>
      <c r="G203" t="s">
        <v>24</v>
      </c>
      <c r="J203" t="s">
        <v>44</v>
      </c>
      <c r="K203" t="s">
        <v>11</v>
      </c>
      <c r="L203">
        <v>41.86</v>
      </c>
      <c r="M203">
        <v>44</v>
      </c>
      <c r="N203">
        <f>Hoja4!$L203*Hoja4!$M203</f>
        <v>1841.84</v>
      </c>
      <c r="O203" t="str">
        <f t="shared" si="7"/>
        <v>Jue.</v>
      </c>
      <c r="P203" t="str">
        <f t="shared" si="8"/>
        <v>abril</v>
      </c>
    </row>
    <row r="204" spans="1:16" x14ac:dyDescent="0.25">
      <c r="A204">
        <v>203</v>
      </c>
      <c r="B204">
        <v>44109</v>
      </c>
      <c r="C204">
        <v>4986720222</v>
      </c>
      <c r="D204" t="s">
        <v>40</v>
      </c>
      <c r="E204" t="s">
        <v>97</v>
      </c>
      <c r="F204" t="s">
        <v>88</v>
      </c>
      <c r="G204" t="s">
        <v>41</v>
      </c>
      <c r="H204" t="s">
        <v>25</v>
      </c>
      <c r="I204" t="s">
        <v>17</v>
      </c>
      <c r="J204" t="s">
        <v>34</v>
      </c>
      <c r="K204" t="s">
        <v>35</v>
      </c>
      <c r="L204">
        <v>135.1</v>
      </c>
      <c r="M204">
        <v>97</v>
      </c>
      <c r="N204">
        <f>Hoja4!$L204*Hoja4!$M204</f>
        <v>13104.699999999999</v>
      </c>
      <c r="O204" t="str">
        <f t="shared" si="7"/>
        <v>Lun.</v>
      </c>
      <c r="P204" t="str">
        <f t="shared" si="8"/>
        <v>octubre</v>
      </c>
    </row>
    <row r="205" spans="1:16" x14ac:dyDescent="0.25">
      <c r="A205">
        <v>204</v>
      </c>
      <c r="B205">
        <v>43932</v>
      </c>
      <c r="C205">
        <v>9264353300</v>
      </c>
      <c r="D205" t="s">
        <v>40</v>
      </c>
      <c r="E205" t="s">
        <v>97</v>
      </c>
      <c r="F205" t="s">
        <v>88</v>
      </c>
      <c r="G205" t="s">
        <v>41</v>
      </c>
      <c r="H205" t="s">
        <v>25</v>
      </c>
      <c r="I205" t="s">
        <v>17</v>
      </c>
      <c r="J205" t="s">
        <v>52</v>
      </c>
      <c r="K205" t="s">
        <v>53</v>
      </c>
      <c r="L205">
        <v>257.59999999999997</v>
      </c>
      <c r="M205">
        <v>80</v>
      </c>
      <c r="N205">
        <f>Hoja4!$L205*Hoja4!$M205</f>
        <v>20607.999999999996</v>
      </c>
      <c r="O205" t="str">
        <f t="shared" si="7"/>
        <v>Sáb.</v>
      </c>
      <c r="P205" t="str">
        <f t="shared" si="8"/>
        <v>abril</v>
      </c>
    </row>
    <row r="206" spans="1:16" x14ac:dyDescent="0.25">
      <c r="A206">
        <v>205</v>
      </c>
      <c r="B206">
        <v>44131</v>
      </c>
      <c r="C206">
        <v>4507840734</v>
      </c>
      <c r="D206" t="s">
        <v>54</v>
      </c>
      <c r="E206" t="s">
        <v>89</v>
      </c>
      <c r="F206" t="s">
        <v>84</v>
      </c>
      <c r="G206" t="s">
        <v>55</v>
      </c>
      <c r="H206" t="s">
        <v>16</v>
      </c>
      <c r="I206" t="s">
        <v>9</v>
      </c>
      <c r="J206" t="s">
        <v>56</v>
      </c>
      <c r="K206" t="s">
        <v>57</v>
      </c>
      <c r="L206">
        <v>273</v>
      </c>
      <c r="M206">
        <v>66</v>
      </c>
      <c r="N206">
        <f>Hoja4!$L206*Hoja4!$M206</f>
        <v>18018</v>
      </c>
      <c r="O206" t="str">
        <f t="shared" si="7"/>
        <v>Mar.</v>
      </c>
      <c r="P206" t="str">
        <f t="shared" si="8"/>
        <v>octubre</v>
      </c>
    </row>
    <row r="207" spans="1:16" x14ac:dyDescent="0.25">
      <c r="A207">
        <v>206</v>
      </c>
      <c r="B207">
        <v>43926</v>
      </c>
      <c r="C207">
        <v>1926814553</v>
      </c>
      <c r="D207" t="s">
        <v>54</v>
      </c>
      <c r="E207" t="s">
        <v>89</v>
      </c>
      <c r="F207" t="s">
        <v>84</v>
      </c>
      <c r="G207" t="s">
        <v>55</v>
      </c>
      <c r="H207" t="s">
        <v>16</v>
      </c>
      <c r="I207" t="s">
        <v>9</v>
      </c>
      <c r="J207" t="s">
        <v>58</v>
      </c>
      <c r="K207" t="s">
        <v>59</v>
      </c>
      <c r="L207">
        <v>487.19999999999993</v>
      </c>
      <c r="M207">
        <v>32</v>
      </c>
      <c r="N207">
        <f>Hoja4!$L207*Hoja4!$M207</f>
        <v>15590.399999999998</v>
      </c>
      <c r="O207" t="str">
        <f t="shared" si="7"/>
        <v>Dom.</v>
      </c>
      <c r="P207" t="str">
        <f t="shared" si="8"/>
        <v>abril</v>
      </c>
    </row>
    <row r="208" spans="1:16" x14ac:dyDescent="0.25">
      <c r="A208">
        <v>207</v>
      </c>
      <c r="B208">
        <v>44139</v>
      </c>
      <c r="C208">
        <v>1115906573</v>
      </c>
      <c r="D208" t="s">
        <v>36</v>
      </c>
      <c r="E208" t="s">
        <v>92</v>
      </c>
      <c r="F208" t="s">
        <v>99</v>
      </c>
      <c r="G208" t="s">
        <v>37</v>
      </c>
      <c r="H208" t="s">
        <v>8</v>
      </c>
      <c r="I208" t="s">
        <v>17</v>
      </c>
      <c r="J208" t="s">
        <v>10</v>
      </c>
      <c r="K208" t="s">
        <v>11</v>
      </c>
      <c r="L208">
        <v>196</v>
      </c>
      <c r="M208">
        <v>52</v>
      </c>
      <c r="N208">
        <f>Hoja4!$L208*Hoja4!$M208</f>
        <v>10192</v>
      </c>
      <c r="O208" t="str">
        <f t="shared" si="7"/>
        <v>Mié.</v>
      </c>
      <c r="P208" t="str">
        <f t="shared" si="8"/>
        <v>noviembre</v>
      </c>
    </row>
    <row r="209" spans="1:16" x14ac:dyDescent="0.25">
      <c r="A209">
        <v>208</v>
      </c>
      <c r="B209">
        <v>43905</v>
      </c>
      <c r="C209">
        <v>4298972271</v>
      </c>
      <c r="D209" t="s">
        <v>23</v>
      </c>
      <c r="E209" t="s">
        <v>86</v>
      </c>
      <c r="F209" t="s">
        <v>82</v>
      </c>
      <c r="G209" t="s">
        <v>24</v>
      </c>
      <c r="H209" t="s">
        <v>8</v>
      </c>
      <c r="I209" t="s">
        <v>9</v>
      </c>
      <c r="J209" t="s">
        <v>38</v>
      </c>
      <c r="K209" t="s">
        <v>39</v>
      </c>
      <c r="L209">
        <v>560</v>
      </c>
      <c r="M209">
        <v>78</v>
      </c>
      <c r="N209">
        <f>Hoja4!$L209*Hoja4!$M209</f>
        <v>43680</v>
      </c>
      <c r="O209" t="str">
        <f t="shared" si="7"/>
        <v>Dom.</v>
      </c>
      <c r="P209" t="str">
        <f t="shared" si="8"/>
        <v>marzo</v>
      </c>
    </row>
    <row r="210" spans="1:16" x14ac:dyDescent="0.25">
      <c r="A210">
        <v>209</v>
      </c>
      <c r="B210">
        <v>43899</v>
      </c>
      <c r="C210">
        <v>1419202858</v>
      </c>
      <c r="D210" t="s">
        <v>23</v>
      </c>
      <c r="E210" t="s">
        <v>86</v>
      </c>
      <c r="F210" t="s">
        <v>82</v>
      </c>
      <c r="G210" t="s">
        <v>24</v>
      </c>
      <c r="H210" t="s">
        <v>8</v>
      </c>
      <c r="I210" t="s">
        <v>9</v>
      </c>
      <c r="J210" t="s">
        <v>26</v>
      </c>
      <c r="K210" t="s">
        <v>27</v>
      </c>
      <c r="L210">
        <v>128.79999999999998</v>
      </c>
      <c r="M210">
        <v>54</v>
      </c>
      <c r="N210">
        <f>Hoja4!$L210*Hoja4!$M210</f>
        <v>6955.1999999999989</v>
      </c>
      <c r="O210" t="str">
        <f t="shared" si="7"/>
        <v>Lun.</v>
      </c>
      <c r="P210" t="str">
        <f t="shared" si="8"/>
        <v>marzo</v>
      </c>
    </row>
    <row r="211" spans="1:16" x14ac:dyDescent="0.25">
      <c r="A211">
        <v>210</v>
      </c>
      <c r="B211">
        <v>44154</v>
      </c>
      <c r="C211">
        <v>3516608759</v>
      </c>
      <c r="D211" t="s">
        <v>62</v>
      </c>
      <c r="E211" t="s">
        <v>91</v>
      </c>
      <c r="F211" t="s">
        <v>91</v>
      </c>
      <c r="G211" t="s">
        <v>43</v>
      </c>
      <c r="H211" t="s">
        <v>16</v>
      </c>
      <c r="I211" t="s">
        <v>33</v>
      </c>
      <c r="J211" t="s">
        <v>67</v>
      </c>
      <c r="K211" t="s">
        <v>27</v>
      </c>
      <c r="L211">
        <v>140</v>
      </c>
      <c r="M211">
        <v>55</v>
      </c>
      <c r="N211">
        <f>Hoja4!$L211*Hoja4!$M211</f>
        <v>7700</v>
      </c>
      <c r="O211" t="str">
        <f t="shared" si="7"/>
        <v>Jue.</v>
      </c>
      <c r="P211" t="str">
        <f t="shared" si="8"/>
        <v>noviembre</v>
      </c>
    </row>
    <row r="212" spans="1:16" x14ac:dyDescent="0.25">
      <c r="A212">
        <v>211</v>
      </c>
      <c r="B212">
        <v>44076</v>
      </c>
      <c r="C212">
        <v>8191358442</v>
      </c>
      <c r="D212" t="s">
        <v>63</v>
      </c>
      <c r="E212" t="s">
        <v>85</v>
      </c>
      <c r="F212" t="s">
        <v>83</v>
      </c>
      <c r="G212" t="s">
        <v>41</v>
      </c>
      <c r="H212" t="s">
        <v>25</v>
      </c>
      <c r="I212" t="s">
        <v>17</v>
      </c>
      <c r="J212" t="s">
        <v>68</v>
      </c>
      <c r="K212" t="s">
        <v>69</v>
      </c>
      <c r="L212">
        <v>298.90000000000003</v>
      </c>
      <c r="M212">
        <v>60</v>
      </c>
      <c r="N212">
        <f>Hoja4!$L212*Hoja4!$M212</f>
        <v>17934.000000000004</v>
      </c>
      <c r="O212" t="str">
        <f t="shared" si="7"/>
        <v>Mié.</v>
      </c>
      <c r="P212" t="str">
        <f t="shared" si="8"/>
        <v>septiembre</v>
      </c>
    </row>
    <row r="213" spans="1:16" x14ac:dyDescent="0.25">
      <c r="A213">
        <v>212</v>
      </c>
      <c r="B213">
        <v>43851</v>
      </c>
      <c r="C213">
        <v>8451227157</v>
      </c>
      <c r="D213" t="s">
        <v>63</v>
      </c>
      <c r="E213" t="s">
        <v>85</v>
      </c>
      <c r="F213" t="s">
        <v>83</v>
      </c>
      <c r="G213" t="s">
        <v>41</v>
      </c>
      <c r="H213" t="s">
        <v>25</v>
      </c>
      <c r="I213" t="s">
        <v>17</v>
      </c>
      <c r="J213" t="s">
        <v>34</v>
      </c>
      <c r="K213" t="s">
        <v>35</v>
      </c>
      <c r="L213">
        <v>135.1</v>
      </c>
      <c r="M213">
        <v>19</v>
      </c>
      <c r="N213">
        <f>Hoja4!$L213*Hoja4!$M213</f>
        <v>2566.9</v>
      </c>
      <c r="O213" t="str">
        <f t="shared" si="7"/>
        <v>Mar.</v>
      </c>
      <c r="P213" t="str">
        <f t="shared" si="8"/>
        <v>enero</v>
      </c>
    </row>
    <row r="214" spans="1:16" x14ac:dyDescent="0.25">
      <c r="A214">
        <v>213</v>
      </c>
      <c r="B214">
        <v>43878</v>
      </c>
      <c r="C214">
        <v>9847155245</v>
      </c>
      <c r="D214" t="s">
        <v>63</v>
      </c>
      <c r="E214" t="s">
        <v>85</v>
      </c>
      <c r="F214" t="s">
        <v>83</v>
      </c>
      <c r="G214" t="s">
        <v>41</v>
      </c>
      <c r="H214" t="s">
        <v>25</v>
      </c>
      <c r="I214" t="s">
        <v>17</v>
      </c>
      <c r="J214" t="s">
        <v>52</v>
      </c>
      <c r="K214" t="s">
        <v>53</v>
      </c>
      <c r="L214">
        <v>257.59999999999997</v>
      </c>
      <c r="M214">
        <v>66</v>
      </c>
      <c r="N214">
        <f>Hoja4!$L214*Hoja4!$M214</f>
        <v>17001.599999999999</v>
      </c>
      <c r="O214" t="str">
        <f t="shared" si="7"/>
        <v>Lun.</v>
      </c>
      <c r="P214" t="str">
        <f t="shared" si="8"/>
        <v>febrero</v>
      </c>
    </row>
    <row r="215" spans="1:16" x14ac:dyDescent="0.25">
      <c r="A215">
        <v>214</v>
      </c>
      <c r="B215">
        <v>43886</v>
      </c>
      <c r="C215">
        <v>5189485028</v>
      </c>
      <c r="D215" t="s">
        <v>28</v>
      </c>
      <c r="E215" t="s">
        <v>89</v>
      </c>
      <c r="F215" t="s">
        <v>84</v>
      </c>
      <c r="G215" t="s">
        <v>29</v>
      </c>
      <c r="H215" t="s">
        <v>8</v>
      </c>
      <c r="I215" t="s">
        <v>9</v>
      </c>
      <c r="J215" t="s">
        <v>10</v>
      </c>
      <c r="K215" t="s">
        <v>11</v>
      </c>
      <c r="L215">
        <v>196</v>
      </c>
      <c r="M215">
        <v>42</v>
      </c>
      <c r="N215">
        <f>Hoja4!$L215*Hoja4!$M215</f>
        <v>8232</v>
      </c>
      <c r="O215" t="str">
        <f t="shared" si="7"/>
        <v>Mar.</v>
      </c>
      <c r="P215" t="str">
        <f t="shared" si="8"/>
        <v>febrero</v>
      </c>
    </row>
    <row r="216" spans="1:16" x14ac:dyDescent="0.25">
      <c r="A216">
        <v>215</v>
      </c>
      <c r="B216">
        <v>44037</v>
      </c>
      <c r="C216">
        <v>2367569858</v>
      </c>
      <c r="D216" t="s">
        <v>36</v>
      </c>
      <c r="E216" t="s">
        <v>92</v>
      </c>
      <c r="F216" t="s">
        <v>99</v>
      </c>
      <c r="G216" t="s">
        <v>37</v>
      </c>
      <c r="H216" t="s">
        <v>25</v>
      </c>
      <c r="I216" t="s">
        <v>9</v>
      </c>
      <c r="J216" t="s">
        <v>30</v>
      </c>
      <c r="K216" t="s">
        <v>31</v>
      </c>
      <c r="L216">
        <v>178.5</v>
      </c>
      <c r="M216">
        <v>72</v>
      </c>
      <c r="N216">
        <f>Hoja4!$L216*Hoja4!$M216</f>
        <v>12852</v>
      </c>
      <c r="O216" t="str">
        <f t="shared" si="7"/>
        <v>Sáb.</v>
      </c>
      <c r="P216" t="str">
        <f t="shared" si="8"/>
        <v>julio</v>
      </c>
    </row>
    <row r="217" spans="1:16" x14ac:dyDescent="0.25">
      <c r="A217">
        <v>216</v>
      </c>
      <c r="B217">
        <v>44036</v>
      </c>
      <c r="C217">
        <v>1241520334</v>
      </c>
      <c r="D217" t="s">
        <v>14</v>
      </c>
      <c r="E217" t="s">
        <v>81</v>
      </c>
      <c r="F217" t="s">
        <v>94</v>
      </c>
      <c r="G217" t="s">
        <v>15</v>
      </c>
      <c r="H217" t="s">
        <v>16</v>
      </c>
      <c r="I217" t="s">
        <v>17</v>
      </c>
      <c r="J217" t="s">
        <v>70</v>
      </c>
      <c r="K217" t="s">
        <v>47</v>
      </c>
      <c r="L217">
        <v>1134</v>
      </c>
      <c r="M217">
        <v>32</v>
      </c>
      <c r="N217">
        <f>Hoja4!$L217*Hoja4!$M217</f>
        <v>36288</v>
      </c>
      <c r="O217" t="str">
        <f t="shared" si="7"/>
        <v>Vie.</v>
      </c>
      <c r="P217" t="str">
        <f t="shared" si="8"/>
        <v>julio</v>
      </c>
    </row>
    <row r="218" spans="1:16" x14ac:dyDescent="0.25">
      <c r="A218">
        <v>217</v>
      </c>
      <c r="B218">
        <v>43895</v>
      </c>
      <c r="C218">
        <v>6999895697</v>
      </c>
      <c r="D218" t="s">
        <v>14</v>
      </c>
      <c r="E218" t="s">
        <v>81</v>
      </c>
      <c r="F218" t="s">
        <v>94</v>
      </c>
      <c r="G218" t="s">
        <v>15</v>
      </c>
      <c r="H218" t="s">
        <v>16</v>
      </c>
      <c r="I218" t="s">
        <v>17</v>
      </c>
      <c r="J218" t="s">
        <v>71</v>
      </c>
      <c r="K218" t="s">
        <v>72</v>
      </c>
      <c r="L218">
        <v>98</v>
      </c>
      <c r="M218">
        <v>76</v>
      </c>
      <c r="N218">
        <f>Hoja4!$L218*Hoja4!$M218</f>
        <v>7448</v>
      </c>
      <c r="O218" t="str">
        <f t="shared" si="7"/>
        <v>Jue.</v>
      </c>
      <c r="P218" t="str">
        <f t="shared" si="8"/>
        <v>marzo</v>
      </c>
    </row>
    <row r="219" spans="1:16" x14ac:dyDescent="0.25">
      <c r="A219">
        <v>218</v>
      </c>
      <c r="B219">
        <v>44026</v>
      </c>
      <c r="C219">
        <v>2931440223</v>
      </c>
      <c r="D219" t="s">
        <v>42</v>
      </c>
      <c r="E219" t="s">
        <v>91</v>
      </c>
      <c r="F219" t="s">
        <v>91</v>
      </c>
      <c r="G219" t="s">
        <v>43</v>
      </c>
      <c r="H219" t="s">
        <v>16</v>
      </c>
      <c r="J219" t="s">
        <v>26</v>
      </c>
      <c r="K219" t="s">
        <v>27</v>
      </c>
      <c r="L219">
        <v>128.79999999999998</v>
      </c>
      <c r="M219">
        <v>83</v>
      </c>
      <c r="N219">
        <f>Hoja4!$L219*Hoja4!$M219</f>
        <v>10690.399999999998</v>
      </c>
      <c r="O219" t="str">
        <f t="shared" si="7"/>
        <v>Mar.</v>
      </c>
      <c r="P219" t="str">
        <f t="shared" si="8"/>
        <v>julio</v>
      </c>
    </row>
    <row r="220" spans="1:16" x14ac:dyDescent="0.25">
      <c r="A220">
        <v>219</v>
      </c>
      <c r="B220">
        <v>43965</v>
      </c>
      <c r="C220">
        <v>6045555436</v>
      </c>
      <c r="D220" t="s">
        <v>50</v>
      </c>
      <c r="E220" t="s">
        <v>85</v>
      </c>
      <c r="F220" t="s">
        <v>83</v>
      </c>
      <c r="G220" t="s">
        <v>41</v>
      </c>
      <c r="H220" t="s">
        <v>25</v>
      </c>
      <c r="J220" t="s">
        <v>12</v>
      </c>
      <c r="K220" t="s">
        <v>13</v>
      </c>
      <c r="L220">
        <v>49</v>
      </c>
      <c r="M220">
        <v>91</v>
      </c>
      <c r="N220">
        <f>Hoja4!$L220*Hoja4!$M220</f>
        <v>4459</v>
      </c>
      <c r="O220" t="str">
        <f t="shared" si="7"/>
        <v>Jue.</v>
      </c>
      <c r="P220" t="str">
        <f t="shared" si="8"/>
        <v>mayo</v>
      </c>
    </row>
    <row r="221" spans="1:16" x14ac:dyDescent="0.25">
      <c r="A221">
        <v>220</v>
      </c>
      <c r="B221">
        <v>44117</v>
      </c>
      <c r="C221">
        <v>4985084204</v>
      </c>
      <c r="D221" t="s">
        <v>50</v>
      </c>
      <c r="E221" t="s">
        <v>85</v>
      </c>
      <c r="F221" t="s">
        <v>83</v>
      </c>
      <c r="G221" t="s">
        <v>41</v>
      </c>
      <c r="H221" t="s">
        <v>25</v>
      </c>
      <c r="J221" t="s">
        <v>44</v>
      </c>
      <c r="K221" t="s">
        <v>11</v>
      </c>
      <c r="L221">
        <v>41.86</v>
      </c>
      <c r="M221">
        <v>64</v>
      </c>
      <c r="N221">
        <f>Hoja4!$L221*Hoja4!$M221</f>
        <v>2679.04</v>
      </c>
      <c r="O221" t="str">
        <f t="shared" si="7"/>
        <v>Mar.</v>
      </c>
      <c r="P221" t="str">
        <f t="shared" si="8"/>
        <v>octubre</v>
      </c>
    </row>
    <row r="222" spans="1:16" x14ac:dyDescent="0.25">
      <c r="A222">
        <v>221</v>
      </c>
      <c r="B222">
        <v>44019</v>
      </c>
      <c r="C222">
        <v>8950774476</v>
      </c>
      <c r="D222" t="s">
        <v>51</v>
      </c>
      <c r="E222" t="s">
        <v>90</v>
      </c>
      <c r="F222" t="s">
        <v>98</v>
      </c>
      <c r="G222" t="s">
        <v>24</v>
      </c>
      <c r="J222" t="s">
        <v>21</v>
      </c>
      <c r="K222" t="s">
        <v>11</v>
      </c>
      <c r="L222">
        <v>252</v>
      </c>
      <c r="M222">
        <v>58</v>
      </c>
      <c r="N222">
        <f>Hoja4!$L222*Hoja4!$M222</f>
        <v>14616</v>
      </c>
      <c r="O222" t="str">
        <f t="shared" si="7"/>
        <v>Mar.</v>
      </c>
      <c r="P222" t="str">
        <f t="shared" si="8"/>
        <v>julio</v>
      </c>
    </row>
    <row r="223" spans="1:16" x14ac:dyDescent="0.25">
      <c r="A223">
        <v>222</v>
      </c>
      <c r="B223">
        <v>43977</v>
      </c>
      <c r="C223">
        <v>4091794218</v>
      </c>
      <c r="D223" t="s">
        <v>51</v>
      </c>
      <c r="E223" t="s">
        <v>90</v>
      </c>
      <c r="F223" t="s">
        <v>98</v>
      </c>
      <c r="G223" t="s">
        <v>24</v>
      </c>
      <c r="J223" t="s">
        <v>22</v>
      </c>
      <c r="K223" t="s">
        <v>11</v>
      </c>
      <c r="L223">
        <v>644</v>
      </c>
      <c r="M223">
        <v>97</v>
      </c>
      <c r="N223">
        <f>Hoja4!$L223*Hoja4!$M223</f>
        <v>62468</v>
      </c>
      <c r="O223" t="str">
        <f t="shared" si="7"/>
        <v>Mar.</v>
      </c>
      <c r="P223" t="str">
        <f t="shared" si="8"/>
        <v>mayo</v>
      </c>
    </row>
    <row r="224" spans="1:16" x14ac:dyDescent="0.25">
      <c r="A224">
        <v>223</v>
      </c>
      <c r="B224">
        <v>44043</v>
      </c>
      <c r="C224">
        <v>2789876793</v>
      </c>
      <c r="D224" t="s">
        <v>51</v>
      </c>
      <c r="E224" t="s">
        <v>90</v>
      </c>
      <c r="F224" t="s">
        <v>98</v>
      </c>
      <c r="G224" t="s">
        <v>24</v>
      </c>
      <c r="J224" t="s">
        <v>44</v>
      </c>
      <c r="K224" t="s">
        <v>11</v>
      </c>
      <c r="L224">
        <v>41.86</v>
      </c>
      <c r="M224">
        <v>14</v>
      </c>
      <c r="N224">
        <f>Hoja4!$L224*Hoja4!$M224</f>
        <v>586.04</v>
      </c>
      <c r="O224" t="str">
        <f t="shared" si="7"/>
        <v>Vie.</v>
      </c>
      <c r="P224" t="str">
        <f t="shared" si="8"/>
        <v>julio</v>
      </c>
    </row>
    <row r="225" spans="1:16" x14ac:dyDescent="0.25">
      <c r="A225">
        <v>224</v>
      </c>
      <c r="B225">
        <v>43940</v>
      </c>
      <c r="C225">
        <v>4338385582</v>
      </c>
      <c r="D225" t="s">
        <v>40</v>
      </c>
      <c r="E225" t="s">
        <v>97</v>
      </c>
      <c r="F225" t="s">
        <v>88</v>
      </c>
      <c r="G225" t="s">
        <v>41</v>
      </c>
      <c r="H225" t="s">
        <v>25</v>
      </c>
      <c r="I225" t="s">
        <v>17</v>
      </c>
      <c r="J225" t="s">
        <v>34</v>
      </c>
      <c r="K225" t="s">
        <v>35</v>
      </c>
      <c r="L225">
        <v>135.1</v>
      </c>
      <c r="M225">
        <v>68</v>
      </c>
      <c r="N225">
        <f>Hoja4!$L225*Hoja4!$M225</f>
        <v>9186.7999999999993</v>
      </c>
      <c r="O225" t="str">
        <f t="shared" si="7"/>
        <v>Dom.</v>
      </c>
      <c r="P225" t="str">
        <f t="shared" si="8"/>
        <v>abril</v>
      </c>
    </row>
    <row r="226" spans="1:16" x14ac:dyDescent="0.25">
      <c r="A226">
        <v>225</v>
      </c>
      <c r="B226">
        <v>44008</v>
      </c>
      <c r="C226">
        <v>9159410824</v>
      </c>
      <c r="D226" t="s">
        <v>40</v>
      </c>
      <c r="E226" t="s">
        <v>97</v>
      </c>
      <c r="F226" t="s">
        <v>88</v>
      </c>
      <c r="G226" t="s">
        <v>41</v>
      </c>
      <c r="H226" t="s">
        <v>25</v>
      </c>
      <c r="I226" t="s">
        <v>17</v>
      </c>
      <c r="J226" t="s">
        <v>52</v>
      </c>
      <c r="K226" t="s">
        <v>53</v>
      </c>
      <c r="L226">
        <v>257.59999999999997</v>
      </c>
      <c r="M226">
        <v>32</v>
      </c>
      <c r="N226">
        <f>Hoja4!$L226*Hoja4!$M226</f>
        <v>8243.1999999999989</v>
      </c>
      <c r="O226" t="str">
        <f t="shared" si="7"/>
        <v>Vie.</v>
      </c>
      <c r="P226" t="str">
        <f t="shared" si="8"/>
        <v>junio</v>
      </c>
    </row>
    <row r="227" spans="1:16" x14ac:dyDescent="0.25">
      <c r="A227">
        <v>226</v>
      </c>
      <c r="B227">
        <v>44168</v>
      </c>
      <c r="C227">
        <v>6562657766</v>
      </c>
      <c r="D227" t="s">
        <v>54</v>
      </c>
      <c r="E227" t="s">
        <v>89</v>
      </c>
      <c r="F227" t="s">
        <v>84</v>
      </c>
      <c r="G227" t="s">
        <v>55</v>
      </c>
      <c r="H227" t="s">
        <v>16</v>
      </c>
      <c r="I227" t="s">
        <v>9</v>
      </c>
      <c r="J227" t="s">
        <v>56</v>
      </c>
      <c r="K227" t="s">
        <v>57</v>
      </c>
      <c r="L227">
        <v>273</v>
      </c>
      <c r="M227">
        <v>48</v>
      </c>
      <c r="N227">
        <f>Hoja4!$L227*Hoja4!$M227</f>
        <v>13104</v>
      </c>
      <c r="O227" t="str">
        <f t="shared" si="7"/>
        <v>Jue.</v>
      </c>
      <c r="P227" t="str">
        <f t="shared" si="8"/>
        <v>diciembre</v>
      </c>
    </row>
    <row r="228" spans="1:16" x14ac:dyDescent="0.25">
      <c r="A228">
        <v>227</v>
      </c>
      <c r="B228">
        <v>44177</v>
      </c>
      <c r="C228">
        <v>4160634865</v>
      </c>
      <c r="D228" t="s">
        <v>54</v>
      </c>
      <c r="E228" t="s">
        <v>89</v>
      </c>
      <c r="F228" t="s">
        <v>84</v>
      </c>
      <c r="G228" t="s">
        <v>55</v>
      </c>
      <c r="H228" t="s">
        <v>16</v>
      </c>
      <c r="I228" t="s">
        <v>9</v>
      </c>
      <c r="J228" t="s">
        <v>58</v>
      </c>
      <c r="K228" t="s">
        <v>59</v>
      </c>
      <c r="L228">
        <v>487.19999999999993</v>
      </c>
      <c r="M228">
        <v>57</v>
      </c>
      <c r="N228">
        <f>Hoja4!$L228*Hoja4!$M228</f>
        <v>27770.399999999998</v>
      </c>
      <c r="O228" t="str">
        <f t="shared" si="7"/>
        <v>Sáb.</v>
      </c>
      <c r="P228" t="str">
        <f t="shared" si="8"/>
        <v>diciembre</v>
      </c>
    </row>
    <row r="229" spans="1:16" x14ac:dyDescent="0.25">
      <c r="A229">
        <v>228</v>
      </c>
      <c r="B229">
        <v>43864</v>
      </c>
      <c r="C229">
        <v>142416687</v>
      </c>
      <c r="D229" t="s">
        <v>36</v>
      </c>
      <c r="E229" t="s">
        <v>92</v>
      </c>
      <c r="F229" t="s">
        <v>99</v>
      </c>
      <c r="G229" t="s">
        <v>37</v>
      </c>
      <c r="H229" t="s">
        <v>8</v>
      </c>
      <c r="I229" t="s">
        <v>17</v>
      </c>
      <c r="J229" t="s">
        <v>10</v>
      </c>
      <c r="K229" t="s">
        <v>11</v>
      </c>
      <c r="L229">
        <v>196</v>
      </c>
      <c r="M229">
        <v>67</v>
      </c>
      <c r="N229">
        <f>Hoja4!$L229*Hoja4!$M229</f>
        <v>13132</v>
      </c>
      <c r="O229" t="str">
        <f t="shared" si="7"/>
        <v>Lun.</v>
      </c>
      <c r="P229" t="str">
        <f t="shared" si="8"/>
        <v>febrero</v>
      </c>
    </row>
    <row r="230" spans="1:16" x14ac:dyDescent="0.25">
      <c r="A230">
        <v>229</v>
      </c>
      <c r="B230">
        <v>43887</v>
      </c>
      <c r="C230">
        <v>6114991349</v>
      </c>
      <c r="D230" t="s">
        <v>23</v>
      </c>
      <c r="E230" t="s">
        <v>86</v>
      </c>
      <c r="F230" t="s">
        <v>82</v>
      </c>
      <c r="G230" t="s">
        <v>24</v>
      </c>
      <c r="H230" t="s">
        <v>8</v>
      </c>
      <c r="I230" t="s">
        <v>9</v>
      </c>
      <c r="J230" t="s">
        <v>38</v>
      </c>
      <c r="K230" t="s">
        <v>39</v>
      </c>
      <c r="L230">
        <v>560</v>
      </c>
      <c r="M230">
        <v>48</v>
      </c>
      <c r="N230">
        <f>Hoja4!$L230*Hoja4!$M230</f>
        <v>26880</v>
      </c>
      <c r="O230" t="str">
        <f t="shared" si="7"/>
        <v>Mié.</v>
      </c>
      <c r="P230" t="str">
        <f t="shared" si="8"/>
        <v>febrero</v>
      </c>
    </row>
    <row r="231" spans="1:16" x14ac:dyDescent="0.25">
      <c r="A231">
        <v>230</v>
      </c>
      <c r="B231">
        <v>43925</v>
      </c>
      <c r="C231">
        <v>6472352060</v>
      </c>
      <c r="D231" t="s">
        <v>23</v>
      </c>
      <c r="E231" t="s">
        <v>86</v>
      </c>
      <c r="F231" t="s">
        <v>82</v>
      </c>
      <c r="G231" t="s">
        <v>24</v>
      </c>
      <c r="H231" t="s">
        <v>8</v>
      </c>
      <c r="I231" t="s">
        <v>9</v>
      </c>
      <c r="J231" t="s">
        <v>26</v>
      </c>
      <c r="K231" t="s">
        <v>27</v>
      </c>
      <c r="L231">
        <v>128.79999999999998</v>
      </c>
      <c r="M231">
        <v>77</v>
      </c>
      <c r="N231">
        <f>Hoja4!$L231*Hoja4!$M231</f>
        <v>9917.5999999999985</v>
      </c>
      <c r="O231" t="str">
        <f t="shared" si="7"/>
        <v>Sáb.</v>
      </c>
      <c r="P231" t="str">
        <f t="shared" si="8"/>
        <v>abril</v>
      </c>
    </row>
    <row r="232" spans="1:16" x14ac:dyDescent="0.25">
      <c r="A232">
        <v>231</v>
      </c>
      <c r="B232">
        <v>43942</v>
      </c>
      <c r="C232">
        <v>5399077795</v>
      </c>
      <c r="D232" t="s">
        <v>62</v>
      </c>
      <c r="E232" t="s">
        <v>91</v>
      </c>
      <c r="F232" t="s">
        <v>91</v>
      </c>
      <c r="G232" t="s">
        <v>43</v>
      </c>
      <c r="H232" t="s">
        <v>16</v>
      </c>
      <c r="I232" t="s">
        <v>33</v>
      </c>
      <c r="J232" t="s">
        <v>67</v>
      </c>
      <c r="K232" t="s">
        <v>27</v>
      </c>
      <c r="L232">
        <v>140</v>
      </c>
      <c r="M232">
        <v>94</v>
      </c>
      <c r="N232">
        <f>Hoja4!$L232*Hoja4!$M232</f>
        <v>13160</v>
      </c>
      <c r="O232" t="str">
        <f t="shared" si="7"/>
        <v>Mar.</v>
      </c>
      <c r="P232" t="str">
        <f t="shared" si="8"/>
        <v>abril</v>
      </c>
    </row>
    <row r="233" spans="1:16" x14ac:dyDescent="0.25">
      <c r="A233">
        <v>232</v>
      </c>
      <c r="B233">
        <v>44079</v>
      </c>
      <c r="C233">
        <v>6275645168</v>
      </c>
      <c r="D233" t="s">
        <v>63</v>
      </c>
      <c r="E233" t="s">
        <v>85</v>
      </c>
      <c r="F233" t="s">
        <v>83</v>
      </c>
      <c r="G233" t="s">
        <v>41</v>
      </c>
      <c r="H233" t="s">
        <v>25</v>
      </c>
      <c r="I233" t="s">
        <v>17</v>
      </c>
      <c r="J233" t="s">
        <v>68</v>
      </c>
      <c r="K233" t="s">
        <v>69</v>
      </c>
      <c r="L233">
        <v>298.90000000000003</v>
      </c>
      <c r="M233">
        <v>54</v>
      </c>
      <c r="N233">
        <f>Hoja4!$L233*Hoja4!$M233</f>
        <v>16140.600000000002</v>
      </c>
      <c r="O233" t="str">
        <f t="shared" si="7"/>
        <v>Sáb.</v>
      </c>
      <c r="P233" t="str">
        <f t="shared" si="8"/>
        <v>septiembre</v>
      </c>
    </row>
    <row r="234" spans="1:16" x14ac:dyDescent="0.25">
      <c r="A234">
        <v>233</v>
      </c>
      <c r="B234">
        <v>43882</v>
      </c>
      <c r="C234">
        <v>597069969</v>
      </c>
      <c r="D234" t="s">
        <v>63</v>
      </c>
      <c r="E234" t="s">
        <v>85</v>
      </c>
      <c r="F234" t="s">
        <v>83</v>
      </c>
      <c r="G234" t="s">
        <v>41</v>
      </c>
      <c r="H234" t="s">
        <v>25</v>
      </c>
      <c r="I234" t="s">
        <v>17</v>
      </c>
      <c r="J234" t="s">
        <v>34</v>
      </c>
      <c r="K234" t="s">
        <v>35</v>
      </c>
      <c r="L234">
        <v>135.1</v>
      </c>
      <c r="M234">
        <v>43</v>
      </c>
      <c r="N234">
        <f>Hoja4!$L234*Hoja4!$M234</f>
        <v>5809.3</v>
      </c>
      <c r="O234" t="str">
        <f t="shared" si="7"/>
        <v>Vie.</v>
      </c>
      <c r="P234" t="str">
        <f t="shared" si="8"/>
        <v>febrero</v>
      </c>
    </row>
    <row r="235" spans="1:16" x14ac:dyDescent="0.25">
      <c r="A235">
        <v>234</v>
      </c>
      <c r="B235">
        <v>44174</v>
      </c>
      <c r="C235">
        <v>1323169656</v>
      </c>
      <c r="D235" t="s">
        <v>63</v>
      </c>
      <c r="E235" t="s">
        <v>85</v>
      </c>
      <c r="F235" t="s">
        <v>83</v>
      </c>
      <c r="G235" t="s">
        <v>41</v>
      </c>
      <c r="H235" t="s">
        <v>25</v>
      </c>
      <c r="I235" t="s">
        <v>17</v>
      </c>
      <c r="J235" t="s">
        <v>52</v>
      </c>
      <c r="K235" t="s">
        <v>53</v>
      </c>
      <c r="L235">
        <v>257.59999999999997</v>
      </c>
      <c r="M235">
        <v>71</v>
      </c>
      <c r="N235">
        <f>Hoja4!$L235*Hoja4!$M235</f>
        <v>18289.599999999999</v>
      </c>
      <c r="O235" t="str">
        <f t="shared" si="7"/>
        <v>Mié.</v>
      </c>
      <c r="P235" t="str">
        <f t="shared" si="8"/>
        <v>diciembre</v>
      </c>
    </row>
    <row r="236" spans="1:16" x14ac:dyDescent="0.25">
      <c r="A236">
        <v>235</v>
      </c>
      <c r="B236">
        <v>44142</v>
      </c>
      <c r="C236">
        <v>2932971142</v>
      </c>
      <c r="D236" t="s">
        <v>28</v>
      </c>
      <c r="E236" t="s">
        <v>89</v>
      </c>
      <c r="F236" t="s">
        <v>84</v>
      </c>
      <c r="G236" t="s">
        <v>29</v>
      </c>
      <c r="H236" t="s">
        <v>8</v>
      </c>
      <c r="I236" t="s">
        <v>9</v>
      </c>
      <c r="J236" t="s">
        <v>10</v>
      </c>
      <c r="K236" t="s">
        <v>11</v>
      </c>
      <c r="L236">
        <v>196</v>
      </c>
      <c r="M236">
        <v>50</v>
      </c>
      <c r="N236">
        <f>Hoja4!$L236*Hoja4!$M236</f>
        <v>9800</v>
      </c>
      <c r="O236" t="str">
        <f t="shared" si="7"/>
        <v>Sáb.</v>
      </c>
      <c r="P236" t="str">
        <f t="shared" si="8"/>
        <v>noviembre</v>
      </c>
    </row>
    <row r="237" spans="1:16" x14ac:dyDescent="0.25">
      <c r="A237">
        <v>236</v>
      </c>
      <c r="B237">
        <v>44152</v>
      </c>
      <c r="C237">
        <v>3634141900</v>
      </c>
      <c r="D237" t="s">
        <v>36</v>
      </c>
      <c r="E237" t="s">
        <v>92</v>
      </c>
      <c r="F237" t="s">
        <v>99</v>
      </c>
      <c r="G237" t="s">
        <v>37</v>
      </c>
      <c r="H237" t="s">
        <v>25</v>
      </c>
      <c r="I237" t="s">
        <v>9</v>
      </c>
      <c r="J237" t="s">
        <v>30</v>
      </c>
      <c r="K237" t="s">
        <v>31</v>
      </c>
      <c r="L237">
        <v>178.5</v>
      </c>
      <c r="M237">
        <v>96</v>
      </c>
      <c r="N237">
        <f>Hoja4!$L237*Hoja4!$M237</f>
        <v>17136</v>
      </c>
      <c r="O237" t="str">
        <f t="shared" si="7"/>
        <v>Mar.</v>
      </c>
      <c r="P237" t="str">
        <f t="shared" si="8"/>
        <v>noviembre</v>
      </c>
    </row>
    <row r="238" spans="1:16" x14ac:dyDescent="0.25">
      <c r="A238">
        <v>237</v>
      </c>
      <c r="B238">
        <v>43926</v>
      </c>
      <c r="C238">
        <v>8872627168</v>
      </c>
      <c r="D238" t="s">
        <v>14</v>
      </c>
      <c r="E238" t="s">
        <v>81</v>
      </c>
      <c r="F238" t="s">
        <v>94</v>
      </c>
      <c r="G238" t="s">
        <v>15</v>
      </c>
      <c r="H238" t="s">
        <v>16</v>
      </c>
      <c r="I238" t="s">
        <v>17</v>
      </c>
      <c r="J238" t="s">
        <v>70</v>
      </c>
      <c r="K238" t="s">
        <v>47</v>
      </c>
      <c r="L238">
        <v>1134</v>
      </c>
      <c r="M238">
        <v>54</v>
      </c>
      <c r="N238">
        <f>Hoja4!$L238*Hoja4!$M238</f>
        <v>61236</v>
      </c>
      <c r="O238" t="str">
        <f t="shared" si="7"/>
        <v>Dom.</v>
      </c>
      <c r="P238" t="str">
        <f t="shared" si="8"/>
        <v>abril</v>
      </c>
    </row>
    <row r="239" spans="1:16" x14ac:dyDescent="0.25">
      <c r="A239">
        <v>238</v>
      </c>
      <c r="B239">
        <v>43849</v>
      </c>
      <c r="C239">
        <v>5571010485</v>
      </c>
      <c r="D239" t="s">
        <v>14</v>
      </c>
      <c r="E239" t="s">
        <v>81</v>
      </c>
      <c r="F239" t="s">
        <v>94</v>
      </c>
      <c r="G239" t="s">
        <v>15</v>
      </c>
      <c r="H239" t="s">
        <v>16</v>
      </c>
      <c r="I239" t="s">
        <v>17</v>
      </c>
      <c r="J239" t="s">
        <v>71</v>
      </c>
      <c r="K239" t="s">
        <v>72</v>
      </c>
      <c r="L239">
        <v>98</v>
      </c>
      <c r="M239">
        <v>39</v>
      </c>
      <c r="N239">
        <f>Hoja4!$L239*Hoja4!$M239</f>
        <v>3822</v>
      </c>
      <c r="O239" t="str">
        <f t="shared" si="7"/>
        <v>Dom.</v>
      </c>
      <c r="P239" t="str">
        <f t="shared" si="8"/>
        <v>enero</v>
      </c>
    </row>
    <row r="240" spans="1:16" x14ac:dyDescent="0.25">
      <c r="A240">
        <v>239</v>
      </c>
      <c r="B240">
        <v>43976</v>
      </c>
      <c r="C240">
        <v>7703467924</v>
      </c>
      <c r="D240" t="s">
        <v>23</v>
      </c>
      <c r="E240" t="s">
        <v>86</v>
      </c>
      <c r="F240" t="s">
        <v>82</v>
      </c>
      <c r="G240" t="s">
        <v>24</v>
      </c>
      <c r="H240" t="s">
        <v>25</v>
      </c>
      <c r="I240" t="s">
        <v>17</v>
      </c>
      <c r="J240" t="s">
        <v>58</v>
      </c>
      <c r="K240" t="s">
        <v>59</v>
      </c>
      <c r="L240">
        <v>487.19999999999993</v>
      </c>
      <c r="M240">
        <v>63</v>
      </c>
      <c r="N240">
        <f>Hoja4!$L240*Hoja4!$M240</f>
        <v>30693.599999999995</v>
      </c>
      <c r="O240" t="str">
        <f t="shared" si="7"/>
        <v>Lun.</v>
      </c>
      <c r="P240" t="str">
        <f t="shared" si="8"/>
        <v>mayo</v>
      </c>
    </row>
    <row r="241" spans="1:16" x14ac:dyDescent="0.25">
      <c r="A241">
        <v>240</v>
      </c>
      <c r="B241">
        <v>43844</v>
      </c>
      <c r="C241">
        <v>7747820326</v>
      </c>
      <c r="D241" t="s">
        <v>32</v>
      </c>
      <c r="E241" t="s">
        <v>93</v>
      </c>
      <c r="F241" t="s">
        <v>96</v>
      </c>
      <c r="G241" t="s">
        <v>7</v>
      </c>
      <c r="H241" t="s">
        <v>8</v>
      </c>
      <c r="I241" t="s">
        <v>33</v>
      </c>
      <c r="J241" t="s">
        <v>60</v>
      </c>
      <c r="K241" t="s">
        <v>49</v>
      </c>
      <c r="L241">
        <v>140</v>
      </c>
      <c r="M241">
        <v>71</v>
      </c>
      <c r="N241">
        <f>Hoja4!$L241*Hoja4!$M241</f>
        <v>9940</v>
      </c>
      <c r="O241" t="str">
        <f t="shared" si="7"/>
        <v>Mar.</v>
      </c>
      <c r="P241" t="str">
        <f t="shared" si="8"/>
        <v>enero</v>
      </c>
    </row>
    <row r="242" spans="1:16" x14ac:dyDescent="0.25">
      <c r="A242">
        <v>241</v>
      </c>
      <c r="B242">
        <v>43858</v>
      </c>
      <c r="C242">
        <v>5769101754</v>
      </c>
      <c r="D242" t="s">
        <v>32</v>
      </c>
      <c r="E242" t="s">
        <v>93</v>
      </c>
      <c r="F242" t="s">
        <v>96</v>
      </c>
      <c r="G242" t="s">
        <v>7</v>
      </c>
      <c r="H242" t="s">
        <v>8</v>
      </c>
      <c r="I242" t="s">
        <v>33</v>
      </c>
      <c r="J242" t="s">
        <v>38</v>
      </c>
      <c r="K242" t="s">
        <v>39</v>
      </c>
      <c r="L242">
        <v>560</v>
      </c>
      <c r="M242">
        <v>88</v>
      </c>
      <c r="N242">
        <f>Hoja4!$L242*Hoja4!$M242</f>
        <v>49280</v>
      </c>
      <c r="O242" t="str">
        <f t="shared" si="7"/>
        <v>Mar.</v>
      </c>
      <c r="P242" t="str">
        <f t="shared" si="8"/>
        <v>enero</v>
      </c>
    </row>
    <row r="243" spans="1:16" x14ac:dyDescent="0.25">
      <c r="A243">
        <v>242</v>
      </c>
      <c r="B243">
        <v>43891</v>
      </c>
      <c r="C243">
        <v>7427615835</v>
      </c>
      <c r="D243" t="s">
        <v>42</v>
      </c>
      <c r="E243" t="s">
        <v>91</v>
      </c>
      <c r="F243" t="s">
        <v>91</v>
      </c>
      <c r="G243" t="s">
        <v>43</v>
      </c>
      <c r="H243" t="s">
        <v>8</v>
      </c>
      <c r="I243" t="s">
        <v>17</v>
      </c>
      <c r="J243" t="s">
        <v>61</v>
      </c>
      <c r="K243" t="s">
        <v>13</v>
      </c>
      <c r="L243">
        <v>140</v>
      </c>
      <c r="M243">
        <v>59</v>
      </c>
      <c r="N243">
        <f>Hoja4!$L243*Hoja4!$M243</f>
        <v>8260</v>
      </c>
      <c r="O243" t="str">
        <f t="shared" si="7"/>
        <v>Dom.</v>
      </c>
      <c r="P243" t="str">
        <f t="shared" si="8"/>
        <v>marzo</v>
      </c>
    </row>
    <row r="244" spans="1:16" x14ac:dyDescent="0.25">
      <c r="A244">
        <v>243</v>
      </c>
      <c r="B244">
        <v>43984</v>
      </c>
      <c r="C244">
        <v>242336558</v>
      </c>
      <c r="D244" t="s">
        <v>36</v>
      </c>
      <c r="E244" t="s">
        <v>92</v>
      </c>
      <c r="F244" t="s">
        <v>99</v>
      </c>
      <c r="G244" t="s">
        <v>37</v>
      </c>
      <c r="H244" t="s">
        <v>8</v>
      </c>
      <c r="I244" t="s">
        <v>17</v>
      </c>
      <c r="J244" t="s">
        <v>38</v>
      </c>
      <c r="K244" t="s">
        <v>39</v>
      </c>
      <c r="L244">
        <v>560</v>
      </c>
      <c r="M244">
        <v>94</v>
      </c>
      <c r="N244">
        <f>Hoja4!$L244*Hoja4!$M244</f>
        <v>52640</v>
      </c>
      <c r="O244" t="str">
        <f t="shared" si="7"/>
        <v>Mar.</v>
      </c>
      <c r="P244" t="str">
        <f t="shared" si="8"/>
        <v>junio</v>
      </c>
    </row>
    <row r="245" spans="1:16" x14ac:dyDescent="0.25">
      <c r="A245">
        <v>244</v>
      </c>
      <c r="B245">
        <v>44098</v>
      </c>
      <c r="C245">
        <v>2520819737</v>
      </c>
      <c r="D245" t="s">
        <v>40</v>
      </c>
      <c r="E245" t="s">
        <v>97</v>
      </c>
      <c r="F245" t="s">
        <v>88</v>
      </c>
      <c r="G245" t="s">
        <v>41</v>
      </c>
      <c r="H245" t="s">
        <v>25</v>
      </c>
      <c r="I245" t="s">
        <v>9</v>
      </c>
      <c r="J245" t="s">
        <v>22</v>
      </c>
      <c r="K245" t="s">
        <v>11</v>
      </c>
      <c r="L245">
        <v>644</v>
      </c>
      <c r="M245">
        <v>86</v>
      </c>
      <c r="N245">
        <f>Hoja4!$L245*Hoja4!$M245</f>
        <v>55384</v>
      </c>
      <c r="O245" t="str">
        <f t="shared" si="7"/>
        <v>Jue.</v>
      </c>
      <c r="P245" t="str">
        <f t="shared" si="8"/>
        <v>septiembre</v>
      </c>
    </row>
    <row r="246" spans="1:16" x14ac:dyDescent="0.25">
      <c r="A246">
        <v>245</v>
      </c>
      <c r="B246">
        <v>43988</v>
      </c>
      <c r="C246">
        <v>8828389188</v>
      </c>
      <c r="D246" t="s">
        <v>23</v>
      </c>
      <c r="E246" t="s">
        <v>86</v>
      </c>
      <c r="F246" t="s">
        <v>82</v>
      </c>
      <c r="G246" t="s">
        <v>24</v>
      </c>
      <c r="H246" t="s">
        <v>25</v>
      </c>
      <c r="I246" t="s">
        <v>9</v>
      </c>
      <c r="J246" t="s">
        <v>30</v>
      </c>
      <c r="K246" t="s">
        <v>31</v>
      </c>
      <c r="L246">
        <v>178.5</v>
      </c>
      <c r="M246">
        <v>61</v>
      </c>
      <c r="N246">
        <f>Hoja4!$L246*Hoja4!$M246</f>
        <v>10888.5</v>
      </c>
      <c r="O246" t="str">
        <f t="shared" si="7"/>
        <v>Sáb.</v>
      </c>
      <c r="P246" t="str">
        <f t="shared" si="8"/>
        <v>junio</v>
      </c>
    </row>
    <row r="247" spans="1:16" x14ac:dyDescent="0.25">
      <c r="A247">
        <v>246</v>
      </c>
      <c r="B247">
        <v>44095</v>
      </c>
      <c r="C247">
        <v>164422904</v>
      </c>
      <c r="D247" t="s">
        <v>42</v>
      </c>
      <c r="E247" t="s">
        <v>91</v>
      </c>
      <c r="F247" t="s">
        <v>91</v>
      </c>
      <c r="G247" t="s">
        <v>43</v>
      </c>
      <c r="H247" t="s">
        <v>8</v>
      </c>
      <c r="I247" t="s">
        <v>17</v>
      </c>
      <c r="J247" t="s">
        <v>44</v>
      </c>
      <c r="K247" t="s">
        <v>11</v>
      </c>
      <c r="L247">
        <v>41.86</v>
      </c>
      <c r="M247">
        <v>32</v>
      </c>
      <c r="N247">
        <f>Hoja4!$L247*Hoja4!$M247</f>
        <v>1339.52</v>
      </c>
      <c r="O247" t="str">
        <f t="shared" si="7"/>
        <v>Lun.</v>
      </c>
      <c r="P247" t="str">
        <f t="shared" si="8"/>
        <v>septiembre</v>
      </c>
    </row>
    <row r="248" spans="1:16" x14ac:dyDescent="0.25">
      <c r="A248">
        <v>247</v>
      </c>
      <c r="B248">
        <v>43870</v>
      </c>
      <c r="C248">
        <v>7991995786</v>
      </c>
      <c r="D248" t="s">
        <v>45</v>
      </c>
      <c r="E248" t="s">
        <v>87</v>
      </c>
      <c r="F248" t="s">
        <v>87</v>
      </c>
      <c r="G248" t="s">
        <v>24</v>
      </c>
      <c r="J248" t="s">
        <v>22</v>
      </c>
      <c r="K248" t="s">
        <v>11</v>
      </c>
      <c r="L248">
        <v>644</v>
      </c>
      <c r="M248">
        <v>62</v>
      </c>
      <c r="N248">
        <f>Hoja4!$L248*Hoja4!$M248</f>
        <v>39928</v>
      </c>
      <c r="O248" t="str">
        <f t="shared" si="7"/>
        <v>Dom.</v>
      </c>
      <c r="P248" t="str">
        <f t="shared" si="8"/>
        <v>febrero</v>
      </c>
    </row>
    <row r="249" spans="1:16" x14ac:dyDescent="0.25">
      <c r="A249">
        <v>248</v>
      </c>
      <c r="B249">
        <v>44113</v>
      </c>
      <c r="C249">
        <v>4149364306</v>
      </c>
      <c r="D249" t="s">
        <v>42</v>
      </c>
      <c r="E249" t="s">
        <v>91</v>
      </c>
      <c r="F249" t="s">
        <v>91</v>
      </c>
      <c r="G249" t="s">
        <v>43</v>
      </c>
      <c r="H249" t="s">
        <v>16</v>
      </c>
      <c r="J249" t="s">
        <v>46</v>
      </c>
      <c r="K249" t="s">
        <v>47</v>
      </c>
      <c r="L249">
        <v>350</v>
      </c>
      <c r="M249">
        <v>60</v>
      </c>
      <c r="N249">
        <f>Hoja4!$L249*Hoja4!$M249</f>
        <v>21000</v>
      </c>
      <c r="O249" t="str">
        <f t="shared" si="7"/>
        <v>Vie.</v>
      </c>
      <c r="P249" t="str">
        <f t="shared" si="8"/>
        <v>octubre</v>
      </c>
    </row>
    <row r="250" spans="1:16" x14ac:dyDescent="0.25">
      <c r="A250">
        <v>249</v>
      </c>
      <c r="B250">
        <v>44191</v>
      </c>
      <c r="C250">
        <v>6397472642</v>
      </c>
      <c r="D250" t="s">
        <v>42</v>
      </c>
      <c r="E250" t="s">
        <v>91</v>
      </c>
      <c r="F250" t="s">
        <v>91</v>
      </c>
      <c r="G250" t="s">
        <v>43</v>
      </c>
      <c r="H250" t="s">
        <v>16</v>
      </c>
      <c r="J250" t="s">
        <v>48</v>
      </c>
      <c r="K250" t="s">
        <v>49</v>
      </c>
      <c r="L250">
        <v>308</v>
      </c>
      <c r="M250">
        <v>51</v>
      </c>
      <c r="N250">
        <f>Hoja4!$L250*Hoja4!$M250</f>
        <v>15708</v>
      </c>
      <c r="O250" t="str">
        <f t="shared" si="7"/>
        <v>Sáb.</v>
      </c>
      <c r="P250" t="str">
        <f t="shared" si="8"/>
        <v>diciembre</v>
      </c>
    </row>
    <row r="251" spans="1:16" x14ac:dyDescent="0.25">
      <c r="A251">
        <v>250</v>
      </c>
      <c r="B251">
        <v>43831</v>
      </c>
      <c r="C251">
        <v>1168651383</v>
      </c>
      <c r="D251" t="s">
        <v>42</v>
      </c>
      <c r="E251" t="s">
        <v>91</v>
      </c>
      <c r="F251" t="s">
        <v>91</v>
      </c>
      <c r="G251" t="s">
        <v>43</v>
      </c>
      <c r="H251" t="s">
        <v>16</v>
      </c>
      <c r="J251" t="s">
        <v>26</v>
      </c>
      <c r="K251" t="s">
        <v>27</v>
      </c>
      <c r="L251">
        <v>128.79999999999998</v>
      </c>
      <c r="M251">
        <v>49</v>
      </c>
      <c r="N251">
        <f>Hoja4!$L251*Hoja4!$M251</f>
        <v>6311.1999999999989</v>
      </c>
      <c r="O251" t="str">
        <f t="shared" si="7"/>
        <v>Mié.</v>
      </c>
      <c r="P251" t="str">
        <f t="shared" si="8"/>
        <v>enero</v>
      </c>
    </row>
    <row r="252" spans="1:16" x14ac:dyDescent="0.25">
      <c r="A252">
        <v>251</v>
      </c>
      <c r="B252">
        <v>43877</v>
      </c>
      <c r="C252">
        <v>1309311215</v>
      </c>
      <c r="D252" t="s">
        <v>50</v>
      </c>
      <c r="E252" t="s">
        <v>85</v>
      </c>
      <c r="F252" t="s">
        <v>83</v>
      </c>
      <c r="G252" t="s">
        <v>41</v>
      </c>
      <c r="H252" t="s">
        <v>25</v>
      </c>
      <c r="J252" t="s">
        <v>12</v>
      </c>
      <c r="K252" t="s">
        <v>13</v>
      </c>
      <c r="L252">
        <v>49</v>
      </c>
      <c r="M252">
        <v>20</v>
      </c>
      <c r="N252">
        <f>Hoja4!$L252*Hoja4!$M252</f>
        <v>980</v>
      </c>
      <c r="O252" t="str">
        <f t="shared" si="7"/>
        <v>Dom.</v>
      </c>
      <c r="P252" t="str">
        <f t="shared" si="8"/>
        <v>febrero</v>
      </c>
    </row>
    <row r="253" spans="1:16" x14ac:dyDescent="0.25">
      <c r="A253">
        <v>252</v>
      </c>
      <c r="B253">
        <v>44000</v>
      </c>
      <c r="C253">
        <v>4552083877</v>
      </c>
      <c r="D253" t="s">
        <v>50</v>
      </c>
      <c r="E253" t="s">
        <v>85</v>
      </c>
      <c r="F253" t="s">
        <v>83</v>
      </c>
      <c r="G253" t="s">
        <v>41</v>
      </c>
      <c r="H253" t="s">
        <v>25</v>
      </c>
      <c r="J253" t="s">
        <v>44</v>
      </c>
      <c r="K253" t="s">
        <v>11</v>
      </c>
      <c r="L253">
        <v>41.86</v>
      </c>
      <c r="M253">
        <v>49</v>
      </c>
      <c r="N253">
        <f>Hoja4!$L253*Hoja4!$M253</f>
        <v>2051.14</v>
      </c>
      <c r="O253" t="str">
        <f t="shared" si="7"/>
        <v>Jue.</v>
      </c>
      <c r="P253" t="str">
        <f t="shared" si="8"/>
        <v>junio</v>
      </c>
    </row>
    <row r="254" spans="1:16" x14ac:dyDescent="0.25">
      <c r="A254">
        <v>253</v>
      </c>
      <c r="B254">
        <v>43906</v>
      </c>
      <c r="C254">
        <v>6119453494</v>
      </c>
      <c r="D254" t="s">
        <v>51</v>
      </c>
      <c r="E254" t="s">
        <v>90</v>
      </c>
      <c r="F254" t="s">
        <v>98</v>
      </c>
      <c r="G254" t="s">
        <v>24</v>
      </c>
      <c r="J254" t="s">
        <v>21</v>
      </c>
      <c r="K254" t="s">
        <v>11</v>
      </c>
      <c r="L254">
        <v>252</v>
      </c>
      <c r="M254">
        <v>22</v>
      </c>
      <c r="N254">
        <f>Hoja4!$L254*Hoja4!$M254</f>
        <v>5544</v>
      </c>
      <c r="O254" t="str">
        <f t="shared" si="7"/>
        <v>Lun.</v>
      </c>
      <c r="P254" t="str">
        <f t="shared" si="8"/>
        <v>marzo</v>
      </c>
    </row>
    <row r="255" spans="1:16" x14ac:dyDescent="0.25">
      <c r="A255">
        <v>254</v>
      </c>
      <c r="B255">
        <v>43855</v>
      </c>
      <c r="C255">
        <v>8815781249</v>
      </c>
      <c r="D255" t="s">
        <v>51</v>
      </c>
      <c r="E255" t="s">
        <v>90</v>
      </c>
      <c r="F255" t="s">
        <v>98</v>
      </c>
      <c r="G255" t="s">
        <v>24</v>
      </c>
      <c r="J255" t="s">
        <v>22</v>
      </c>
      <c r="K255" t="s">
        <v>11</v>
      </c>
      <c r="L255">
        <v>644</v>
      </c>
      <c r="M255">
        <v>73</v>
      </c>
      <c r="N255">
        <f>Hoja4!$L255*Hoja4!$M255</f>
        <v>47012</v>
      </c>
      <c r="O255" t="str">
        <f t="shared" si="7"/>
        <v>Sáb.</v>
      </c>
      <c r="P255" t="str">
        <f t="shared" si="8"/>
        <v>enero</v>
      </c>
    </row>
    <row r="256" spans="1:16" x14ac:dyDescent="0.25">
      <c r="A256">
        <v>255</v>
      </c>
      <c r="B256">
        <v>43984</v>
      </c>
      <c r="C256">
        <v>5308869510</v>
      </c>
      <c r="D256" t="s">
        <v>51</v>
      </c>
      <c r="E256" t="s">
        <v>90</v>
      </c>
      <c r="F256" t="s">
        <v>98</v>
      </c>
      <c r="G256" t="s">
        <v>24</v>
      </c>
      <c r="J256" t="s">
        <v>44</v>
      </c>
      <c r="K256" t="s">
        <v>11</v>
      </c>
      <c r="L256">
        <v>41.86</v>
      </c>
      <c r="M256">
        <v>85</v>
      </c>
      <c r="N256">
        <f>Hoja4!$L256*Hoja4!$M256</f>
        <v>3558.1</v>
      </c>
      <c r="O256" t="str">
        <f t="shared" si="7"/>
        <v>Mar.</v>
      </c>
      <c r="P256" t="str">
        <f t="shared" si="8"/>
        <v>junio</v>
      </c>
    </row>
    <row r="257" spans="1:16" x14ac:dyDescent="0.25">
      <c r="A257">
        <v>256</v>
      </c>
      <c r="B257">
        <v>44143</v>
      </c>
      <c r="C257">
        <v>9623390930</v>
      </c>
      <c r="D257" t="s">
        <v>40</v>
      </c>
      <c r="E257" t="s">
        <v>97</v>
      </c>
      <c r="F257" t="s">
        <v>88</v>
      </c>
      <c r="G257" t="s">
        <v>41</v>
      </c>
      <c r="H257" t="s">
        <v>25</v>
      </c>
      <c r="I257" t="s">
        <v>17</v>
      </c>
      <c r="J257" t="s">
        <v>34</v>
      </c>
      <c r="K257" t="s">
        <v>35</v>
      </c>
      <c r="L257">
        <v>135.1</v>
      </c>
      <c r="M257">
        <v>44</v>
      </c>
      <c r="N257">
        <f>Hoja4!$L257*Hoja4!$M257</f>
        <v>5944.4</v>
      </c>
      <c r="O257" t="str">
        <f t="shared" si="7"/>
        <v>Dom.</v>
      </c>
      <c r="P257" t="str">
        <f t="shared" si="8"/>
        <v>noviembre</v>
      </c>
    </row>
    <row r="258" spans="1:16" x14ac:dyDescent="0.25">
      <c r="A258">
        <v>257</v>
      </c>
      <c r="B258">
        <v>43858</v>
      </c>
      <c r="C258">
        <v>9925453816</v>
      </c>
      <c r="D258" t="s">
        <v>40</v>
      </c>
      <c r="E258" t="s">
        <v>97</v>
      </c>
      <c r="F258" t="s">
        <v>88</v>
      </c>
      <c r="G258" t="s">
        <v>41</v>
      </c>
      <c r="H258" t="s">
        <v>25</v>
      </c>
      <c r="I258" t="s">
        <v>17</v>
      </c>
      <c r="J258" t="s">
        <v>52</v>
      </c>
      <c r="K258" t="s">
        <v>53</v>
      </c>
      <c r="L258">
        <v>257.59999999999997</v>
      </c>
      <c r="M258">
        <v>24</v>
      </c>
      <c r="N258">
        <f>Hoja4!$L258*Hoja4!$M258</f>
        <v>6182.4</v>
      </c>
      <c r="O258" t="str">
        <f t="shared" ref="O258:O321" si="9">PROPER(TEXT(B258,"ddd."))</f>
        <v>Mar.</v>
      </c>
      <c r="P258" t="str">
        <f t="shared" ref="P258:P321" si="10">TEXT(B258,"mmmm")</f>
        <v>enero</v>
      </c>
    </row>
    <row r="259" spans="1:16" x14ac:dyDescent="0.25">
      <c r="A259">
        <v>258</v>
      </c>
      <c r="B259">
        <v>44168</v>
      </c>
      <c r="C259">
        <v>6948053333</v>
      </c>
      <c r="D259" t="s">
        <v>54</v>
      </c>
      <c r="E259" t="s">
        <v>89</v>
      </c>
      <c r="F259" t="s">
        <v>84</v>
      </c>
      <c r="G259" t="s">
        <v>55</v>
      </c>
      <c r="H259" t="s">
        <v>16</v>
      </c>
      <c r="I259" t="s">
        <v>9</v>
      </c>
      <c r="J259" t="s">
        <v>56</v>
      </c>
      <c r="K259" t="s">
        <v>57</v>
      </c>
      <c r="L259">
        <v>273</v>
      </c>
      <c r="M259">
        <v>64</v>
      </c>
      <c r="N259">
        <f>Hoja4!$L259*Hoja4!$M259</f>
        <v>17472</v>
      </c>
      <c r="O259" t="str">
        <f t="shared" si="9"/>
        <v>Jue.</v>
      </c>
      <c r="P259" t="str">
        <f t="shared" si="10"/>
        <v>diciembre</v>
      </c>
    </row>
    <row r="260" spans="1:16" x14ac:dyDescent="0.25">
      <c r="A260">
        <v>259</v>
      </c>
      <c r="B260">
        <v>44038</v>
      </c>
      <c r="C260">
        <v>2060963898</v>
      </c>
      <c r="D260" t="s">
        <v>54</v>
      </c>
      <c r="E260" t="s">
        <v>89</v>
      </c>
      <c r="F260" t="s">
        <v>84</v>
      </c>
      <c r="G260" t="s">
        <v>55</v>
      </c>
      <c r="H260" t="s">
        <v>16</v>
      </c>
      <c r="I260" t="s">
        <v>9</v>
      </c>
      <c r="J260" t="s">
        <v>58</v>
      </c>
      <c r="K260" t="s">
        <v>59</v>
      </c>
      <c r="L260">
        <v>487.19999999999993</v>
      </c>
      <c r="M260">
        <v>70</v>
      </c>
      <c r="N260">
        <f>Hoja4!$L260*Hoja4!$M260</f>
        <v>34103.999999999993</v>
      </c>
      <c r="O260" t="str">
        <f t="shared" si="9"/>
        <v>Dom.</v>
      </c>
      <c r="P260" t="str">
        <f t="shared" si="10"/>
        <v>julio</v>
      </c>
    </row>
    <row r="261" spans="1:16" x14ac:dyDescent="0.25">
      <c r="A261">
        <v>260</v>
      </c>
      <c r="B261">
        <v>44142</v>
      </c>
      <c r="C261">
        <v>2582781913</v>
      </c>
      <c r="D261" t="s">
        <v>36</v>
      </c>
      <c r="E261" t="s">
        <v>92</v>
      </c>
      <c r="F261" t="s">
        <v>99</v>
      </c>
      <c r="G261" t="s">
        <v>37</v>
      </c>
      <c r="H261" t="s">
        <v>8</v>
      </c>
      <c r="I261" t="s">
        <v>17</v>
      </c>
      <c r="J261" t="s">
        <v>10</v>
      </c>
      <c r="K261" t="s">
        <v>11</v>
      </c>
      <c r="L261">
        <v>196</v>
      </c>
      <c r="M261">
        <v>98</v>
      </c>
      <c r="N261">
        <f>Hoja4!$L261*Hoja4!$M261</f>
        <v>19208</v>
      </c>
      <c r="O261" t="str">
        <f t="shared" si="9"/>
        <v>Sáb.</v>
      </c>
      <c r="P261" t="str">
        <f t="shared" si="10"/>
        <v>noviembre</v>
      </c>
    </row>
    <row r="262" spans="1:16" x14ac:dyDescent="0.25">
      <c r="A262">
        <v>261</v>
      </c>
      <c r="B262">
        <v>44146</v>
      </c>
      <c r="C262">
        <v>2732649952</v>
      </c>
      <c r="D262" t="s">
        <v>23</v>
      </c>
      <c r="E262" t="s">
        <v>86</v>
      </c>
      <c r="F262" t="s">
        <v>82</v>
      </c>
      <c r="G262" t="s">
        <v>24</v>
      </c>
      <c r="H262" t="s">
        <v>8</v>
      </c>
      <c r="I262" t="s">
        <v>9</v>
      </c>
      <c r="J262" t="s">
        <v>38</v>
      </c>
      <c r="K262" t="s">
        <v>39</v>
      </c>
      <c r="L262">
        <v>560</v>
      </c>
      <c r="M262">
        <v>48</v>
      </c>
      <c r="N262">
        <f>Hoja4!$L262*Hoja4!$M262</f>
        <v>26880</v>
      </c>
      <c r="O262" t="str">
        <f t="shared" si="9"/>
        <v>Mié.</v>
      </c>
      <c r="P262" t="str">
        <f t="shared" si="10"/>
        <v>noviembre</v>
      </c>
    </row>
    <row r="263" spans="1:16" x14ac:dyDescent="0.25">
      <c r="A263">
        <v>262</v>
      </c>
      <c r="B263">
        <v>43893</v>
      </c>
      <c r="C263">
        <v>4179453952</v>
      </c>
      <c r="D263" t="s">
        <v>23</v>
      </c>
      <c r="E263" t="s">
        <v>86</v>
      </c>
      <c r="F263" t="s">
        <v>82</v>
      </c>
      <c r="G263" t="s">
        <v>24</v>
      </c>
      <c r="H263" t="s">
        <v>8</v>
      </c>
      <c r="I263" t="s">
        <v>9</v>
      </c>
      <c r="J263" t="s">
        <v>26</v>
      </c>
      <c r="K263" t="s">
        <v>27</v>
      </c>
      <c r="L263">
        <v>128.79999999999998</v>
      </c>
      <c r="M263">
        <v>100</v>
      </c>
      <c r="N263">
        <f>Hoja4!$L263*Hoja4!$M263</f>
        <v>12879.999999999998</v>
      </c>
      <c r="O263" t="str">
        <f t="shared" si="9"/>
        <v>Mar.</v>
      </c>
      <c r="P263" t="str">
        <f t="shared" si="10"/>
        <v>marzo</v>
      </c>
    </row>
    <row r="264" spans="1:16" x14ac:dyDescent="0.25">
      <c r="A264">
        <v>263</v>
      </c>
      <c r="B264">
        <v>44130</v>
      </c>
      <c r="C264">
        <v>4339665341</v>
      </c>
      <c r="D264" t="s">
        <v>62</v>
      </c>
      <c r="E264" t="s">
        <v>91</v>
      </c>
      <c r="F264" t="s">
        <v>91</v>
      </c>
      <c r="G264" t="s">
        <v>43</v>
      </c>
      <c r="H264" t="s">
        <v>16</v>
      </c>
      <c r="I264" t="s">
        <v>33</v>
      </c>
      <c r="J264" t="s">
        <v>67</v>
      </c>
      <c r="K264" t="s">
        <v>27</v>
      </c>
      <c r="L264">
        <v>140</v>
      </c>
      <c r="M264">
        <v>90</v>
      </c>
      <c r="N264">
        <f>Hoja4!$L264*Hoja4!$M264</f>
        <v>12600</v>
      </c>
      <c r="O264" t="str">
        <f t="shared" si="9"/>
        <v>Lun.</v>
      </c>
      <c r="P264" t="str">
        <f t="shared" si="10"/>
        <v>octubre</v>
      </c>
    </row>
    <row r="265" spans="1:16" x14ac:dyDescent="0.25">
      <c r="A265">
        <v>264</v>
      </c>
      <c r="B265">
        <v>44077</v>
      </c>
      <c r="C265">
        <v>9193900326</v>
      </c>
      <c r="D265" t="s">
        <v>63</v>
      </c>
      <c r="E265" t="s">
        <v>85</v>
      </c>
      <c r="F265" t="s">
        <v>83</v>
      </c>
      <c r="G265" t="s">
        <v>41</v>
      </c>
      <c r="H265" t="s">
        <v>25</v>
      </c>
      <c r="I265" t="s">
        <v>17</v>
      </c>
      <c r="J265" t="s">
        <v>68</v>
      </c>
      <c r="K265" t="s">
        <v>69</v>
      </c>
      <c r="L265">
        <v>298.90000000000003</v>
      </c>
      <c r="M265">
        <v>49</v>
      </c>
      <c r="N265">
        <f>Hoja4!$L265*Hoja4!$M265</f>
        <v>14646.100000000002</v>
      </c>
      <c r="O265" t="str">
        <f t="shared" si="9"/>
        <v>Jue.</v>
      </c>
      <c r="P265" t="str">
        <f t="shared" si="10"/>
        <v>septiembre</v>
      </c>
    </row>
    <row r="266" spans="1:16" x14ac:dyDescent="0.25">
      <c r="A266">
        <v>265</v>
      </c>
      <c r="B266">
        <v>44073</v>
      </c>
      <c r="C266">
        <v>7474169055</v>
      </c>
      <c r="D266" t="s">
        <v>63</v>
      </c>
      <c r="E266" t="s">
        <v>85</v>
      </c>
      <c r="F266" t="s">
        <v>83</v>
      </c>
      <c r="G266" t="s">
        <v>41</v>
      </c>
      <c r="H266" t="s">
        <v>25</v>
      </c>
      <c r="I266" t="s">
        <v>17</v>
      </c>
      <c r="J266" t="s">
        <v>34</v>
      </c>
      <c r="K266" t="s">
        <v>35</v>
      </c>
      <c r="L266">
        <v>135.1</v>
      </c>
      <c r="M266">
        <v>71</v>
      </c>
      <c r="N266">
        <f>Hoja4!$L266*Hoja4!$M266</f>
        <v>9592.1</v>
      </c>
      <c r="O266" t="str">
        <f t="shared" si="9"/>
        <v>Dom.</v>
      </c>
      <c r="P266" t="str">
        <f t="shared" si="10"/>
        <v>agosto</v>
      </c>
    </row>
    <row r="267" spans="1:16" x14ac:dyDescent="0.25">
      <c r="A267">
        <v>266</v>
      </c>
      <c r="B267">
        <v>43890</v>
      </c>
      <c r="C267">
        <v>9750138179</v>
      </c>
      <c r="D267" t="s">
        <v>63</v>
      </c>
      <c r="E267" t="s">
        <v>85</v>
      </c>
      <c r="F267" t="s">
        <v>83</v>
      </c>
      <c r="G267" t="s">
        <v>41</v>
      </c>
      <c r="H267" t="s">
        <v>25</v>
      </c>
      <c r="I267" t="s">
        <v>17</v>
      </c>
      <c r="J267" t="s">
        <v>52</v>
      </c>
      <c r="K267" t="s">
        <v>53</v>
      </c>
      <c r="L267">
        <v>257.59999999999997</v>
      </c>
      <c r="M267">
        <v>10</v>
      </c>
      <c r="N267">
        <f>Hoja4!$L267*Hoja4!$M267</f>
        <v>2575.9999999999995</v>
      </c>
      <c r="O267" t="str">
        <f t="shared" si="9"/>
        <v>Sáb.</v>
      </c>
      <c r="P267" t="str">
        <f t="shared" si="10"/>
        <v>febrero</v>
      </c>
    </row>
    <row r="268" spans="1:16" x14ac:dyDescent="0.25">
      <c r="A268">
        <v>267</v>
      </c>
      <c r="B268">
        <v>43907</v>
      </c>
      <c r="C268">
        <v>2294414293</v>
      </c>
      <c r="D268" t="s">
        <v>28</v>
      </c>
      <c r="E268" t="s">
        <v>89</v>
      </c>
      <c r="F268" t="s">
        <v>84</v>
      </c>
      <c r="G268" t="s">
        <v>29</v>
      </c>
      <c r="H268" t="s">
        <v>8</v>
      </c>
      <c r="I268" t="s">
        <v>9</v>
      </c>
      <c r="J268" t="s">
        <v>10</v>
      </c>
      <c r="K268" t="s">
        <v>11</v>
      </c>
      <c r="L268">
        <v>196</v>
      </c>
      <c r="M268">
        <v>78</v>
      </c>
      <c r="N268">
        <f>Hoja4!$L268*Hoja4!$M268</f>
        <v>15288</v>
      </c>
      <c r="O268" t="str">
        <f t="shared" si="9"/>
        <v>Mar.</v>
      </c>
      <c r="P268" t="str">
        <f t="shared" si="10"/>
        <v>marzo</v>
      </c>
    </row>
    <row r="269" spans="1:16" x14ac:dyDescent="0.25">
      <c r="A269">
        <v>268</v>
      </c>
      <c r="B269">
        <v>44023</v>
      </c>
      <c r="C269">
        <v>776426288</v>
      </c>
      <c r="D269" t="s">
        <v>36</v>
      </c>
      <c r="E269" t="s">
        <v>92</v>
      </c>
      <c r="F269" t="s">
        <v>99</v>
      </c>
      <c r="G269" t="s">
        <v>37</v>
      </c>
      <c r="H269" t="s">
        <v>25</v>
      </c>
      <c r="I269" t="s">
        <v>9</v>
      </c>
      <c r="J269" t="s">
        <v>30</v>
      </c>
      <c r="K269" t="s">
        <v>31</v>
      </c>
      <c r="L269">
        <v>178.5</v>
      </c>
      <c r="M269">
        <v>44</v>
      </c>
      <c r="N269">
        <f>Hoja4!$L269*Hoja4!$M269</f>
        <v>7854</v>
      </c>
      <c r="O269" t="str">
        <f t="shared" si="9"/>
        <v>Sáb.</v>
      </c>
      <c r="P269" t="str">
        <f t="shared" si="10"/>
        <v>julio</v>
      </c>
    </row>
    <row r="270" spans="1:16" x14ac:dyDescent="0.25">
      <c r="A270">
        <v>269</v>
      </c>
      <c r="B270">
        <v>44109</v>
      </c>
      <c r="C270">
        <v>1245231958</v>
      </c>
      <c r="D270" t="s">
        <v>14</v>
      </c>
      <c r="E270" t="s">
        <v>81</v>
      </c>
      <c r="F270" t="s">
        <v>94</v>
      </c>
      <c r="G270" t="s">
        <v>15</v>
      </c>
      <c r="H270" t="s">
        <v>16</v>
      </c>
      <c r="I270" t="s">
        <v>17</v>
      </c>
      <c r="J270" t="s">
        <v>70</v>
      </c>
      <c r="K270" t="s">
        <v>47</v>
      </c>
      <c r="L270">
        <v>1134</v>
      </c>
      <c r="M270">
        <v>82</v>
      </c>
      <c r="N270">
        <f>Hoja4!$L270*Hoja4!$M270</f>
        <v>92988</v>
      </c>
      <c r="O270" t="str">
        <f t="shared" si="9"/>
        <v>Lun.</v>
      </c>
      <c r="P270" t="str">
        <f t="shared" si="10"/>
        <v>octubre</v>
      </c>
    </row>
    <row r="271" spans="1:16" x14ac:dyDescent="0.25">
      <c r="A271">
        <v>270</v>
      </c>
      <c r="B271">
        <v>43931</v>
      </c>
      <c r="C271">
        <v>2050724971</v>
      </c>
      <c r="D271" t="s">
        <v>14</v>
      </c>
      <c r="E271" t="s">
        <v>81</v>
      </c>
      <c r="F271" t="s">
        <v>94</v>
      </c>
      <c r="G271" t="s">
        <v>15</v>
      </c>
      <c r="H271" t="s">
        <v>16</v>
      </c>
      <c r="I271" t="s">
        <v>17</v>
      </c>
      <c r="J271" t="s">
        <v>71</v>
      </c>
      <c r="K271" t="s">
        <v>72</v>
      </c>
      <c r="L271">
        <v>98</v>
      </c>
      <c r="M271">
        <v>29</v>
      </c>
      <c r="N271">
        <f>Hoja4!$L271*Hoja4!$M271</f>
        <v>2842</v>
      </c>
      <c r="O271" t="str">
        <f t="shared" si="9"/>
        <v>Vie.</v>
      </c>
      <c r="P271" t="str">
        <f t="shared" si="10"/>
        <v>abril</v>
      </c>
    </row>
    <row r="272" spans="1:16" x14ac:dyDescent="0.25">
      <c r="A272">
        <v>271</v>
      </c>
      <c r="B272">
        <v>44097</v>
      </c>
      <c r="C272">
        <v>9478104719</v>
      </c>
      <c r="D272" t="s">
        <v>23</v>
      </c>
      <c r="E272" t="s">
        <v>86</v>
      </c>
      <c r="F272" t="s">
        <v>82</v>
      </c>
      <c r="G272" t="s">
        <v>24</v>
      </c>
      <c r="H272" t="s">
        <v>25</v>
      </c>
      <c r="I272" t="s">
        <v>17</v>
      </c>
      <c r="J272" t="s">
        <v>58</v>
      </c>
      <c r="K272" t="s">
        <v>59</v>
      </c>
      <c r="L272">
        <v>487.19999999999993</v>
      </c>
      <c r="M272">
        <v>93</v>
      </c>
      <c r="N272">
        <f>Hoja4!$L272*Hoja4!$M272</f>
        <v>45309.599999999991</v>
      </c>
      <c r="O272" t="str">
        <f t="shared" si="9"/>
        <v>Mié.</v>
      </c>
      <c r="P272" t="str">
        <f t="shared" si="10"/>
        <v>septiembre</v>
      </c>
    </row>
    <row r="273" spans="1:16" x14ac:dyDescent="0.25">
      <c r="A273">
        <v>272</v>
      </c>
      <c r="B273">
        <v>44131</v>
      </c>
      <c r="C273">
        <v>7620759943</v>
      </c>
      <c r="D273" t="s">
        <v>32</v>
      </c>
      <c r="E273" t="s">
        <v>93</v>
      </c>
      <c r="F273" t="s">
        <v>96</v>
      </c>
      <c r="G273" t="s">
        <v>7</v>
      </c>
      <c r="H273" t="s">
        <v>8</v>
      </c>
      <c r="I273" t="s">
        <v>33</v>
      </c>
      <c r="J273" t="s">
        <v>60</v>
      </c>
      <c r="K273" t="s">
        <v>49</v>
      </c>
      <c r="L273">
        <v>140</v>
      </c>
      <c r="M273">
        <v>11</v>
      </c>
      <c r="N273">
        <f>Hoja4!$L273*Hoja4!$M273</f>
        <v>1540</v>
      </c>
      <c r="O273" t="str">
        <f t="shared" si="9"/>
        <v>Mar.</v>
      </c>
      <c r="P273" t="str">
        <f t="shared" si="10"/>
        <v>octubre</v>
      </c>
    </row>
    <row r="274" spans="1:16" x14ac:dyDescent="0.25">
      <c r="A274">
        <v>273</v>
      </c>
      <c r="B274">
        <v>44173</v>
      </c>
      <c r="C274">
        <v>9345003575</v>
      </c>
      <c r="D274" t="s">
        <v>32</v>
      </c>
      <c r="E274" t="s">
        <v>93</v>
      </c>
      <c r="F274" t="s">
        <v>96</v>
      </c>
      <c r="G274" t="s">
        <v>7</v>
      </c>
      <c r="H274" t="s">
        <v>8</v>
      </c>
      <c r="I274" t="s">
        <v>33</v>
      </c>
      <c r="J274" t="s">
        <v>38</v>
      </c>
      <c r="K274" t="s">
        <v>39</v>
      </c>
      <c r="L274">
        <v>560</v>
      </c>
      <c r="M274">
        <v>91</v>
      </c>
      <c r="N274">
        <f>Hoja4!$L274*Hoja4!$M274</f>
        <v>50960</v>
      </c>
      <c r="O274" t="str">
        <f t="shared" si="9"/>
        <v>Mar.</v>
      </c>
      <c r="P274" t="str">
        <f t="shared" si="10"/>
        <v>diciembre</v>
      </c>
    </row>
    <row r="275" spans="1:16" x14ac:dyDescent="0.25">
      <c r="A275">
        <v>274</v>
      </c>
      <c r="B275">
        <v>44123</v>
      </c>
      <c r="C275">
        <v>5988072690</v>
      </c>
      <c r="D275" t="s">
        <v>42</v>
      </c>
      <c r="E275" t="s">
        <v>91</v>
      </c>
      <c r="F275" t="s">
        <v>91</v>
      </c>
      <c r="G275" t="s">
        <v>43</v>
      </c>
      <c r="H275" t="s">
        <v>8</v>
      </c>
      <c r="I275" t="s">
        <v>17</v>
      </c>
      <c r="J275" t="s">
        <v>61</v>
      </c>
      <c r="K275" t="s">
        <v>13</v>
      </c>
      <c r="L275">
        <v>140</v>
      </c>
      <c r="M275">
        <v>12</v>
      </c>
      <c r="N275">
        <f>Hoja4!$L275*Hoja4!$M275</f>
        <v>1680</v>
      </c>
      <c r="O275" t="str">
        <f t="shared" si="9"/>
        <v>Lun.</v>
      </c>
      <c r="P275" t="str">
        <f t="shared" si="10"/>
        <v>octubre</v>
      </c>
    </row>
    <row r="276" spans="1:16" x14ac:dyDescent="0.25">
      <c r="A276">
        <v>275</v>
      </c>
      <c r="B276">
        <v>44028</v>
      </c>
      <c r="C276">
        <v>5113488625</v>
      </c>
      <c r="D276" t="s">
        <v>42</v>
      </c>
      <c r="E276" t="s">
        <v>91</v>
      </c>
      <c r="F276" t="s">
        <v>91</v>
      </c>
      <c r="G276" t="s">
        <v>43</v>
      </c>
      <c r="H276" t="s">
        <v>16</v>
      </c>
      <c r="J276" t="s">
        <v>12</v>
      </c>
      <c r="K276" t="s">
        <v>13</v>
      </c>
      <c r="L276">
        <v>49</v>
      </c>
      <c r="M276">
        <v>78</v>
      </c>
      <c r="N276">
        <f>Hoja4!$L276*Hoja4!$M276</f>
        <v>3822</v>
      </c>
      <c r="O276" t="str">
        <f t="shared" si="9"/>
        <v>Jue.</v>
      </c>
      <c r="P276" t="str">
        <f t="shared" si="10"/>
        <v>julio</v>
      </c>
    </row>
    <row r="277" spans="1:16" x14ac:dyDescent="0.25">
      <c r="A277">
        <v>276</v>
      </c>
      <c r="B277">
        <v>43915</v>
      </c>
      <c r="C277">
        <v>8021429259</v>
      </c>
      <c r="D277" t="s">
        <v>50</v>
      </c>
      <c r="E277" t="s">
        <v>85</v>
      </c>
      <c r="F277" t="s">
        <v>83</v>
      </c>
      <c r="G277" t="s">
        <v>41</v>
      </c>
      <c r="H277" t="s">
        <v>25</v>
      </c>
      <c r="J277" t="s">
        <v>38</v>
      </c>
      <c r="K277" t="s">
        <v>39</v>
      </c>
      <c r="L277">
        <v>560</v>
      </c>
      <c r="M277">
        <v>60</v>
      </c>
      <c r="N277">
        <f>Hoja4!$L277*Hoja4!$M277</f>
        <v>33600</v>
      </c>
      <c r="O277" t="str">
        <f t="shared" si="9"/>
        <v>Mié.</v>
      </c>
      <c r="P277" t="str">
        <f t="shared" si="10"/>
        <v>marzo</v>
      </c>
    </row>
    <row r="278" spans="1:16" x14ac:dyDescent="0.25">
      <c r="A278">
        <v>277</v>
      </c>
      <c r="B278">
        <v>43906</v>
      </c>
      <c r="C278">
        <v>680211800</v>
      </c>
      <c r="D278" t="s">
        <v>51</v>
      </c>
      <c r="E278" t="s">
        <v>90</v>
      </c>
      <c r="F278" t="s">
        <v>98</v>
      </c>
      <c r="G278" t="s">
        <v>24</v>
      </c>
      <c r="H278" t="s">
        <v>25</v>
      </c>
      <c r="J278" t="s">
        <v>52</v>
      </c>
      <c r="K278" t="s">
        <v>53</v>
      </c>
      <c r="L278">
        <v>257.59999999999997</v>
      </c>
      <c r="M278">
        <v>23</v>
      </c>
      <c r="N278">
        <f>Hoja4!$L278*Hoja4!$M278</f>
        <v>5924.7999999999993</v>
      </c>
      <c r="O278" t="str">
        <f t="shared" si="9"/>
        <v>Lun.</v>
      </c>
      <c r="P278" t="str">
        <f t="shared" si="10"/>
        <v>marzo</v>
      </c>
    </row>
    <row r="279" spans="1:16" x14ac:dyDescent="0.25">
      <c r="A279">
        <v>278</v>
      </c>
      <c r="B279">
        <v>44092</v>
      </c>
      <c r="C279">
        <v>2635806056</v>
      </c>
      <c r="D279" t="s">
        <v>40</v>
      </c>
      <c r="E279" t="s">
        <v>97</v>
      </c>
      <c r="F279" t="s">
        <v>88</v>
      </c>
      <c r="G279" t="s">
        <v>41</v>
      </c>
      <c r="H279" t="s">
        <v>25</v>
      </c>
      <c r="I279" t="s">
        <v>17</v>
      </c>
      <c r="J279" t="s">
        <v>22</v>
      </c>
      <c r="K279" t="s">
        <v>11</v>
      </c>
      <c r="L279">
        <v>644</v>
      </c>
      <c r="M279">
        <v>34</v>
      </c>
      <c r="N279">
        <f>Hoja4!$L279*Hoja4!$M279</f>
        <v>21896</v>
      </c>
      <c r="O279" t="str">
        <f t="shared" si="9"/>
        <v>Vie.</v>
      </c>
      <c r="P279" t="str">
        <f t="shared" si="10"/>
        <v>septiembre</v>
      </c>
    </row>
    <row r="280" spans="1:16" x14ac:dyDescent="0.25">
      <c r="A280">
        <v>279</v>
      </c>
      <c r="B280">
        <v>44073</v>
      </c>
      <c r="C280">
        <v>3338515953</v>
      </c>
      <c r="D280" t="s">
        <v>54</v>
      </c>
      <c r="E280" t="s">
        <v>89</v>
      </c>
      <c r="F280" t="s">
        <v>84</v>
      </c>
      <c r="G280" t="s">
        <v>55</v>
      </c>
      <c r="H280" t="s">
        <v>16</v>
      </c>
      <c r="I280" t="s">
        <v>9</v>
      </c>
      <c r="J280" t="s">
        <v>34</v>
      </c>
      <c r="K280" t="s">
        <v>35</v>
      </c>
      <c r="L280">
        <v>135.1</v>
      </c>
      <c r="M280">
        <v>89</v>
      </c>
      <c r="N280">
        <f>Hoja4!$L280*Hoja4!$M280</f>
        <v>12023.9</v>
      </c>
      <c r="O280" t="str">
        <f t="shared" si="9"/>
        <v>Dom.</v>
      </c>
      <c r="P280" t="str">
        <f t="shared" si="10"/>
        <v>agosto</v>
      </c>
    </row>
    <row r="281" spans="1:16" x14ac:dyDescent="0.25">
      <c r="A281">
        <v>280</v>
      </c>
      <c r="B281">
        <v>44106</v>
      </c>
      <c r="C281">
        <v>3075758565</v>
      </c>
      <c r="D281" t="s">
        <v>36</v>
      </c>
      <c r="E281" t="s">
        <v>92</v>
      </c>
      <c r="F281" t="s">
        <v>99</v>
      </c>
      <c r="G281" t="s">
        <v>37</v>
      </c>
      <c r="H281" t="s">
        <v>8</v>
      </c>
      <c r="I281" t="s">
        <v>17</v>
      </c>
      <c r="J281" t="s">
        <v>30</v>
      </c>
      <c r="K281" t="s">
        <v>31</v>
      </c>
      <c r="L281">
        <v>178.5</v>
      </c>
      <c r="M281">
        <v>82</v>
      </c>
      <c r="N281">
        <f>Hoja4!$L281*Hoja4!$M281</f>
        <v>14637</v>
      </c>
      <c r="O281" t="str">
        <f t="shared" si="9"/>
        <v>Vie.</v>
      </c>
      <c r="P281" t="str">
        <f t="shared" si="10"/>
        <v>octubre</v>
      </c>
    </row>
    <row r="282" spans="1:16" x14ac:dyDescent="0.25">
      <c r="A282">
        <v>281</v>
      </c>
      <c r="B282">
        <v>44160</v>
      </c>
      <c r="C282">
        <v>5383209032</v>
      </c>
      <c r="D282" t="s">
        <v>23</v>
      </c>
      <c r="E282" t="s">
        <v>86</v>
      </c>
      <c r="F282" t="s">
        <v>82</v>
      </c>
      <c r="G282" t="s">
        <v>24</v>
      </c>
      <c r="H282" t="s">
        <v>8</v>
      </c>
      <c r="I282" t="s">
        <v>9</v>
      </c>
      <c r="J282" t="s">
        <v>30</v>
      </c>
      <c r="K282" t="s">
        <v>31</v>
      </c>
      <c r="L282">
        <v>178.5</v>
      </c>
      <c r="M282">
        <v>43</v>
      </c>
      <c r="N282">
        <f>Hoja4!$L282*Hoja4!$M282</f>
        <v>7675.5</v>
      </c>
      <c r="O282" t="str">
        <f t="shared" si="9"/>
        <v>Mié.</v>
      </c>
      <c r="P282" t="str">
        <f t="shared" si="10"/>
        <v>noviembre</v>
      </c>
    </row>
    <row r="283" spans="1:16" x14ac:dyDescent="0.25">
      <c r="A283">
        <v>282</v>
      </c>
      <c r="B283">
        <v>44068</v>
      </c>
      <c r="C283">
        <v>9635546425</v>
      </c>
      <c r="D283" t="s">
        <v>42</v>
      </c>
      <c r="E283" t="s">
        <v>91</v>
      </c>
      <c r="F283" t="s">
        <v>91</v>
      </c>
      <c r="G283" t="s">
        <v>43</v>
      </c>
      <c r="H283" t="s">
        <v>16</v>
      </c>
      <c r="J283" t="s">
        <v>48</v>
      </c>
      <c r="K283" t="s">
        <v>49</v>
      </c>
      <c r="L283">
        <v>308</v>
      </c>
      <c r="M283">
        <v>96</v>
      </c>
      <c r="N283">
        <f>Hoja4!$L283*Hoja4!$M283</f>
        <v>29568</v>
      </c>
      <c r="O283" t="str">
        <f t="shared" si="9"/>
        <v>Mar.</v>
      </c>
      <c r="P283" t="str">
        <f t="shared" si="10"/>
        <v>agosto</v>
      </c>
    </row>
    <row r="284" spans="1:16" x14ac:dyDescent="0.25">
      <c r="A284">
        <v>283</v>
      </c>
      <c r="B284">
        <v>44073</v>
      </c>
      <c r="C284">
        <v>3501364052</v>
      </c>
      <c r="D284" t="s">
        <v>42</v>
      </c>
      <c r="E284" t="s">
        <v>91</v>
      </c>
      <c r="F284" t="s">
        <v>91</v>
      </c>
      <c r="G284" t="s">
        <v>43</v>
      </c>
      <c r="H284" t="s">
        <v>16</v>
      </c>
      <c r="J284" t="s">
        <v>26</v>
      </c>
      <c r="K284" t="s">
        <v>27</v>
      </c>
      <c r="L284">
        <v>128.79999999999998</v>
      </c>
      <c r="M284">
        <v>34</v>
      </c>
      <c r="N284">
        <f>Hoja4!$L284*Hoja4!$M284</f>
        <v>4379.2</v>
      </c>
      <c r="O284" t="str">
        <f t="shared" si="9"/>
        <v>Dom.</v>
      </c>
      <c r="P284" t="str">
        <f t="shared" si="10"/>
        <v>agosto</v>
      </c>
    </row>
    <row r="285" spans="1:16" x14ac:dyDescent="0.25">
      <c r="A285">
        <v>284</v>
      </c>
      <c r="B285">
        <v>43992</v>
      </c>
      <c r="C285">
        <v>2226825043</v>
      </c>
      <c r="D285" t="s">
        <v>50</v>
      </c>
      <c r="E285" t="s">
        <v>85</v>
      </c>
      <c r="F285" t="s">
        <v>83</v>
      </c>
      <c r="G285" t="s">
        <v>41</v>
      </c>
      <c r="H285" t="s">
        <v>25</v>
      </c>
      <c r="J285" t="s">
        <v>12</v>
      </c>
      <c r="K285" t="s">
        <v>13</v>
      </c>
      <c r="L285">
        <v>49</v>
      </c>
      <c r="M285">
        <v>42</v>
      </c>
      <c r="N285">
        <f>Hoja4!$L285*Hoja4!$M285</f>
        <v>2058</v>
      </c>
      <c r="O285" t="str">
        <f t="shared" si="9"/>
        <v>Mié.</v>
      </c>
      <c r="P285" t="str">
        <f t="shared" si="10"/>
        <v>junio</v>
      </c>
    </row>
    <row r="286" spans="1:16" x14ac:dyDescent="0.25">
      <c r="A286">
        <v>285</v>
      </c>
      <c r="B286">
        <v>43883</v>
      </c>
      <c r="C286">
        <v>6321323029</v>
      </c>
      <c r="D286" t="s">
        <v>50</v>
      </c>
      <c r="E286" t="s">
        <v>85</v>
      </c>
      <c r="F286" t="s">
        <v>83</v>
      </c>
      <c r="G286" t="s">
        <v>41</v>
      </c>
      <c r="H286" t="s">
        <v>25</v>
      </c>
      <c r="J286" t="s">
        <v>44</v>
      </c>
      <c r="K286" t="s">
        <v>11</v>
      </c>
      <c r="L286">
        <v>41.86</v>
      </c>
      <c r="M286">
        <v>100</v>
      </c>
      <c r="N286">
        <f>Hoja4!$L286*Hoja4!$M286</f>
        <v>4186</v>
      </c>
      <c r="O286" t="str">
        <f t="shared" si="9"/>
        <v>Sáb.</v>
      </c>
      <c r="P286" t="str">
        <f t="shared" si="10"/>
        <v>febrero</v>
      </c>
    </row>
    <row r="287" spans="1:16" x14ac:dyDescent="0.25">
      <c r="A287">
        <v>286</v>
      </c>
      <c r="B287">
        <v>44168</v>
      </c>
      <c r="C287">
        <v>3775524143</v>
      </c>
      <c r="D287" t="s">
        <v>51</v>
      </c>
      <c r="E287" t="s">
        <v>90</v>
      </c>
      <c r="F287" t="s">
        <v>98</v>
      </c>
      <c r="G287" t="s">
        <v>24</v>
      </c>
      <c r="J287" t="s">
        <v>21</v>
      </c>
      <c r="K287" t="s">
        <v>11</v>
      </c>
      <c r="L287">
        <v>252</v>
      </c>
      <c r="M287">
        <v>42</v>
      </c>
      <c r="N287">
        <f>Hoja4!$L287*Hoja4!$M287</f>
        <v>10584</v>
      </c>
      <c r="O287" t="str">
        <f t="shared" si="9"/>
        <v>Jue.</v>
      </c>
      <c r="P287" t="str">
        <f t="shared" si="10"/>
        <v>diciembre</v>
      </c>
    </row>
    <row r="288" spans="1:16" x14ac:dyDescent="0.25">
      <c r="A288">
        <v>287</v>
      </c>
      <c r="B288">
        <v>44044</v>
      </c>
      <c r="C288">
        <v>9543041808</v>
      </c>
      <c r="D288" t="s">
        <v>51</v>
      </c>
      <c r="E288" t="s">
        <v>90</v>
      </c>
      <c r="F288" t="s">
        <v>98</v>
      </c>
      <c r="G288" t="s">
        <v>24</v>
      </c>
      <c r="J288" t="s">
        <v>22</v>
      </c>
      <c r="K288" t="s">
        <v>11</v>
      </c>
      <c r="L288">
        <v>644</v>
      </c>
      <c r="M288">
        <v>16</v>
      </c>
      <c r="N288">
        <f>Hoja4!$L288*Hoja4!$M288</f>
        <v>10304</v>
      </c>
      <c r="O288" t="str">
        <f t="shared" si="9"/>
        <v>Sáb.</v>
      </c>
      <c r="P288" t="str">
        <f t="shared" si="10"/>
        <v>agosto</v>
      </c>
    </row>
    <row r="289" spans="1:16" x14ac:dyDescent="0.25">
      <c r="A289">
        <v>288</v>
      </c>
      <c r="B289">
        <v>43954</v>
      </c>
      <c r="C289">
        <v>547647770</v>
      </c>
      <c r="D289" t="s">
        <v>51</v>
      </c>
      <c r="E289" t="s">
        <v>90</v>
      </c>
      <c r="F289" t="s">
        <v>98</v>
      </c>
      <c r="G289" t="s">
        <v>24</v>
      </c>
      <c r="J289" t="s">
        <v>44</v>
      </c>
      <c r="K289" t="s">
        <v>11</v>
      </c>
      <c r="L289">
        <v>41.86</v>
      </c>
      <c r="M289">
        <v>22</v>
      </c>
      <c r="N289">
        <f>Hoja4!$L289*Hoja4!$M289</f>
        <v>920.92</v>
      </c>
      <c r="O289" t="str">
        <f t="shared" si="9"/>
        <v>Dom.</v>
      </c>
      <c r="P289" t="str">
        <f t="shared" si="10"/>
        <v>mayo</v>
      </c>
    </row>
    <row r="290" spans="1:16" x14ac:dyDescent="0.25">
      <c r="A290">
        <v>289</v>
      </c>
      <c r="B290">
        <v>44106</v>
      </c>
      <c r="C290">
        <v>7120228607</v>
      </c>
      <c r="D290" t="s">
        <v>40</v>
      </c>
      <c r="E290" t="s">
        <v>97</v>
      </c>
      <c r="F290" t="s">
        <v>88</v>
      </c>
      <c r="G290" t="s">
        <v>41</v>
      </c>
      <c r="H290" t="s">
        <v>25</v>
      </c>
      <c r="I290" t="s">
        <v>17</v>
      </c>
      <c r="J290" t="s">
        <v>34</v>
      </c>
      <c r="K290" t="s">
        <v>35</v>
      </c>
      <c r="L290">
        <v>135.1</v>
      </c>
      <c r="M290">
        <v>46</v>
      </c>
      <c r="N290">
        <f>Hoja4!$L290*Hoja4!$M290</f>
        <v>6214.5999999999995</v>
      </c>
      <c r="O290" t="str">
        <f t="shared" si="9"/>
        <v>Vie.</v>
      </c>
      <c r="P290" t="str">
        <f t="shared" si="10"/>
        <v>octubre</v>
      </c>
    </row>
    <row r="291" spans="1:16" x14ac:dyDescent="0.25">
      <c r="A291">
        <v>290</v>
      </c>
      <c r="B291">
        <v>43837</v>
      </c>
      <c r="C291">
        <v>5554565190</v>
      </c>
      <c r="D291" t="s">
        <v>40</v>
      </c>
      <c r="E291" t="s">
        <v>97</v>
      </c>
      <c r="F291" t="s">
        <v>88</v>
      </c>
      <c r="G291" t="s">
        <v>41</v>
      </c>
      <c r="H291" t="s">
        <v>25</v>
      </c>
      <c r="I291" t="s">
        <v>17</v>
      </c>
      <c r="J291" t="s">
        <v>52</v>
      </c>
      <c r="K291" t="s">
        <v>53</v>
      </c>
      <c r="L291">
        <v>257.59999999999997</v>
      </c>
      <c r="M291">
        <v>100</v>
      </c>
      <c r="N291">
        <f>Hoja4!$L291*Hoja4!$M291</f>
        <v>25759.999999999996</v>
      </c>
      <c r="O291" t="str">
        <f t="shared" si="9"/>
        <v>Mar.</v>
      </c>
      <c r="P291" t="str">
        <f t="shared" si="10"/>
        <v>enero</v>
      </c>
    </row>
    <row r="292" spans="1:16" x14ac:dyDescent="0.25">
      <c r="A292">
        <v>291</v>
      </c>
      <c r="B292">
        <v>43866</v>
      </c>
      <c r="C292">
        <v>1644848787</v>
      </c>
      <c r="D292" t="s">
        <v>54</v>
      </c>
      <c r="E292" t="s">
        <v>89</v>
      </c>
      <c r="F292" t="s">
        <v>84</v>
      </c>
      <c r="G292" t="s">
        <v>55</v>
      </c>
      <c r="H292" t="s">
        <v>16</v>
      </c>
      <c r="I292" t="s">
        <v>9</v>
      </c>
      <c r="J292" t="s">
        <v>56</v>
      </c>
      <c r="K292" t="s">
        <v>57</v>
      </c>
      <c r="L292">
        <v>273</v>
      </c>
      <c r="M292">
        <v>87</v>
      </c>
      <c r="N292">
        <f>Hoja4!$L292*Hoja4!$M292</f>
        <v>23751</v>
      </c>
      <c r="O292" t="str">
        <f t="shared" si="9"/>
        <v>Mié.</v>
      </c>
      <c r="P292" t="str">
        <f t="shared" si="10"/>
        <v>febrero</v>
      </c>
    </row>
    <row r="293" spans="1:16" x14ac:dyDescent="0.25">
      <c r="A293">
        <v>292</v>
      </c>
      <c r="B293">
        <v>43923</v>
      </c>
      <c r="C293">
        <v>8273786477</v>
      </c>
      <c r="D293" t="s">
        <v>54</v>
      </c>
      <c r="E293" t="s">
        <v>89</v>
      </c>
      <c r="F293" t="s">
        <v>84</v>
      </c>
      <c r="G293" t="s">
        <v>55</v>
      </c>
      <c r="H293" t="s">
        <v>16</v>
      </c>
      <c r="I293" t="s">
        <v>9</v>
      </c>
      <c r="J293" t="s">
        <v>58</v>
      </c>
      <c r="K293" t="s">
        <v>59</v>
      </c>
      <c r="L293">
        <v>487.19999999999993</v>
      </c>
      <c r="M293">
        <v>58</v>
      </c>
      <c r="N293">
        <f>Hoja4!$L293*Hoja4!$M293</f>
        <v>28257.599999999995</v>
      </c>
      <c r="O293" t="str">
        <f t="shared" si="9"/>
        <v>Jue.</v>
      </c>
      <c r="P293" t="str">
        <f t="shared" si="10"/>
        <v>abril</v>
      </c>
    </row>
    <row r="294" spans="1:16" x14ac:dyDescent="0.25">
      <c r="A294">
        <v>293</v>
      </c>
      <c r="B294">
        <v>44062</v>
      </c>
      <c r="C294">
        <v>1397118248</v>
      </c>
      <c r="D294" t="s">
        <v>36</v>
      </c>
      <c r="E294" t="s">
        <v>92</v>
      </c>
      <c r="F294" t="s">
        <v>99</v>
      </c>
      <c r="G294" t="s">
        <v>37</v>
      </c>
      <c r="H294" t="s">
        <v>8</v>
      </c>
      <c r="I294" t="s">
        <v>17</v>
      </c>
      <c r="J294" t="s">
        <v>10</v>
      </c>
      <c r="K294" t="s">
        <v>11</v>
      </c>
      <c r="L294">
        <v>196</v>
      </c>
      <c r="M294">
        <v>85</v>
      </c>
      <c r="N294">
        <f>Hoja4!$L294*Hoja4!$M294</f>
        <v>16660</v>
      </c>
      <c r="O294" t="str">
        <f t="shared" si="9"/>
        <v>Mié.</v>
      </c>
      <c r="P294" t="str">
        <f t="shared" si="10"/>
        <v>agosto</v>
      </c>
    </row>
    <row r="295" spans="1:16" x14ac:dyDescent="0.25">
      <c r="A295">
        <v>294</v>
      </c>
      <c r="B295">
        <v>43959</v>
      </c>
      <c r="C295">
        <v>4468604310</v>
      </c>
      <c r="D295" t="s">
        <v>23</v>
      </c>
      <c r="E295" t="s">
        <v>86</v>
      </c>
      <c r="F295" t="s">
        <v>82</v>
      </c>
      <c r="G295" t="s">
        <v>24</v>
      </c>
      <c r="H295" t="s">
        <v>8</v>
      </c>
      <c r="I295" t="s">
        <v>9</v>
      </c>
      <c r="J295" t="s">
        <v>38</v>
      </c>
      <c r="K295" t="s">
        <v>39</v>
      </c>
      <c r="L295">
        <v>560</v>
      </c>
      <c r="M295">
        <v>28</v>
      </c>
      <c r="N295">
        <f>Hoja4!$L295*Hoja4!$M295</f>
        <v>15680</v>
      </c>
      <c r="O295" t="str">
        <f t="shared" si="9"/>
        <v>Vie.</v>
      </c>
      <c r="P295" t="str">
        <f t="shared" si="10"/>
        <v>mayo</v>
      </c>
    </row>
    <row r="296" spans="1:16" x14ac:dyDescent="0.25">
      <c r="A296">
        <v>295</v>
      </c>
      <c r="B296">
        <v>44178</v>
      </c>
      <c r="C296">
        <v>457458721</v>
      </c>
      <c r="D296" t="s">
        <v>23</v>
      </c>
      <c r="E296" t="s">
        <v>86</v>
      </c>
      <c r="F296" t="s">
        <v>82</v>
      </c>
      <c r="G296" t="s">
        <v>24</v>
      </c>
      <c r="H296" t="s">
        <v>8</v>
      </c>
      <c r="I296" t="s">
        <v>9</v>
      </c>
      <c r="J296" t="s">
        <v>26</v>
      </c>
      <c r="K296" t="s">
        <v>27</v>
      </c>
      <c r="L296">
        <v>128.79999999999998</v>
      </c>
      <c r="M296">
        <v>19</v>
      </c>
      <c r="N296">
        <f>Hoja4!$L296*Hoja4!$M296</f>
        <v>2447.1999999999998</v>
      </c>
      <c r="O296" t="str">
        <f t="shared" si="9"/>
        <v>Dom.</v>
      </c>
      <c r="P296" t="str">
        <f t="shared" si="10"/>
        <v>diciembre</v>
      </c>
    </row>
    <row r="297" spans="1:16" x14ac:dyDescent="0.25">
      <c r="A297">
        <v>296</v>
      </c>
      <c r="B297">
        <v>43990</v>
      </c>
      <c r="C297">
        <v>7184663808</v>
      </c>
      <c r="D297" t="s">
        <v>62</v>
      </c>
      <c r="E297" t="s">
        <v>91</v>
      </c>
      <c r="F297" t="s">
        <v>91</v>
      </c>
      <c r="G297" t="s">
        <v>43</v>
      </c>
      <c r="H297" t="s">
        <v>16</v>
      </c>
      <c r="I297" t="s">
        <v>33</v>
      </c>
      <c r="J297" t="s">
        <v>67</v>
      </c>
      <c r="K297" t="s">
        <v>27</v>
      </c>
      <c r="L297">
        <v>140</v>
      </c>
      <c r="M297">
        <v>99</v>
      </c>
      <c r="N297">
        <f>Hoja4!$L297*Hoja4!$M297</f>
        <v>13860</v>
      </c>
      <c r="O297" t="str">
        <f t="shared" si="9"/>
        <v>Lun.</v>
      </c>
      <c r="P297" t="str">
        <f t="shared" si="10"/>
        <v>junio</v>
      </c>
    </row>
    <row r="298" spans="1:16" x14ac:dyDescent="0.25">
      <c r="A298">
        <v>297</v>
      </c>
      <c r="B298">
        <v>44087</v>
      </c>
      <c r="C298">
        <v>3449599231</v>
      </c>
      <c r="D298" t="s">
        <v>63</v>
      </c>
      <c r="E298" t="s">
        <v>85</v>
      </c>
      <c r="F298" t="s">
        <v>83</v>
      </c>
      <c r="G298" t="s">
        <v>41</v>
      </c>
      <c r="H298" t="s">
        <v>25</v>
      </c>
      <c r="I298" t="s">
        <v>17</v>
      </c>
      <c r="J298" t="s">
        <v>68</v>
      </c>
      <c r="K298" t="s">
        <v>69</v>
      </c>
      <c r="L298">
        <v>298.90000000000003</v>
      </c>
      <c r="M298">
        <v>69</v>
      </c>
      <c r="N298">
        <f>Hoja4!$L298*Hoja4!$M298</f>
        <v>20624.100000000002</v>
      </c>
      <c r="O298" t="str">
        <f t="shared" si="9"/>
        <v>Dom.</v>
      </c>
      <c r="P298" t="str">
        <f t="shared" si="10"/>
        <v>septiembre</v>
      </c>
    </row>
    <row r="299" spans="1:16" x14ac:dyDescent="0.25">
      <c r="A299">
        <v>298</v>
      </c>
      <c r="B299">
        <v>44168</v>
      </c>
      <c r="C299">
        <v>3901461858</v>
      </c>
      <c r="D299" t="s">
        <v>63</v>
      </c>
      <c r="E299" t="s">
        <v>85</v>
      </c>
      <c r="F299" t="s">
        <v>83</v>
      </c>
      <c r="G299" t="s">
        <v>41</v>
      </c>
      <c r="H299" t="s">
        <v>25</v>
      </c>
      <c r="I299" t="s">
        <v>17</v>
      </c>
      <c r="J299" t="s">
        <v>34</v>
      </c>
      <c r="K299" t="s">
        <v>35</v>
      </c>
      <c r="L299">
        <v>135.1</v>
      </c>
      <c r="M299">
        <v>37</v>
      </c>
      <c r="N299">
        <f>Hoja4!$L299*Hoja4!$M299</f>
        <v>4998.7</v>
      </c>
      <c r="O299" t="str">
        <f t="shared" si="9"/>
        <v>Jue.</v>
      </c>
      <c r="P299" t="str">
        <f t="shared" si="10"/>
        <v>diciembre</v>
      </c>
    </row>
    <row r="300" spans="1:16" x14ac:dyDescent="0.25">
      <c r="A300">
        <v>299</v>
      </c>
      <c r="B300">
        <v>43922</v>
      </c>
      <c r="C300">
        <v>6798892819</v>
      </c>
      <c r="D300" t="s">
        <v>63</v>
      </c>
      <c r="E300" t="s">
        <v>85</v>
      </c>
      <c r="F300" t="s">
        <v>83</v>
      </c>
      <c r="G300" t="s">
        <v>41</v>
      </c>
      <c r="H300" t="s">
        <v>25</v>
      </c>
      <c r="I300" t="s">
        <v>17</v>
      </c>
      <c r="J300" t="s">
        <v>52</v>
      </c>
      <c r="K300" t="s">
        <v>53</v>
      </c>
      <c r="L300">
        <v>257.59999999999997</v>
      </c>
      <c r="M300">
        <v>64</v>
      </c>
      <c r="N300">
        <f>Hoja4!$L300*Hoja4!$M300</f>
        <v>16486.399999999998</v>
      </c>
      <c r="O300" t="str">
        <f t="shared" si="9"/>
        <v>Mié.</v>
      </c>
      <c r="P300" t="str">
        <f t="shared" si="10"/>
        <v>abril</v>
      </c>
    </row>
    <row r="301" spans="1:16" x14ac:dyDescent="0.25">
      <c r="A301">
        <v>300</v>
      </c>
      <c r="B301">
        <v>44130</v>
      </c>
      <c r="C301">
        <v>6897506437</v>
      </c>
      <c r="D301" t="s">
        <v>28</v>
      </c>
      <c r="E301" t="s">
        <v>89</v>
      </c>
      <c r="F301" t="s">
        <v>84</v>
      </c>
      <c r="G301" t="s">
        <v>29</v>
      </c>
      <c r="H301" t="s">
        <v>8</v>
      </c>
      <c r="I301" t="s">
        <v>9</v>
      </c>
      <c r="J301" t="s">
        <v>10</v>
      </c>
      <c r="K301" t="s">
        <v>11</v>
      </c>
      <c r="L301">
        <v>196</v>
      </c>
      <c r="M301">
        <v>38</v>
      </c>
      <c r="N301">
        <f>Hoja4!$L301*Hoja4!$M301</f>
        <v>7448</v>
      </c>
      <c r="O301" t="str">
        <f t="shared" si="9"/>
        <v>Lun.</v>
      </c>
      <c r="P301" t="str">
        <f t="shared" si="10"/>
        <v>octubre</v>
      </c>
    </row>
    <row r="302" spans="1:16" x14ac:dyDescent="0.25">
      <c r="A302">
        <v>301</v>
      </c>
      <c r="B302">
        <v>44124</v>
      </c>
      <c r="C302">
        <v>6298594113</v>
      </c>
      <c r="D302" t="s">
        <v>36</v>
      </c>
      <c r="E302" t="s">
        <v>92</v>
      </c>
      <c r="F302" t="s">
        <v>99</v>
      </c>
      <c r="G302" t="s">
        <v>37</v>
      </c>
      <c r="H302" t="s">
        <v>25</v>
      </c>
      <c r="I302" t="s">
        <v>9</v>
      </c>
      <c r="J302" t="s">
        <v>30</v>
      </c>
      <c r="K302" t="s">
        <v>31</v>
      </c>
      <c r="L302">
        <v>178.5</v>
      </c>
      <c r="M302">
        <v>15</v>
      </c>
      <c r="N302">
        <f>Hoja4!$L302*Hoja4!$M302</f>
        <v>2677.5</v>
      </c>
      <c r="O302" t="str">
        <f t="shared" si="9"/>
        <v>Mar.</v>
      </c>
      <c r="P302" t="str">
        <f t="shared" si="10"/>
        <v>octubre</v>
      </c>
    </row>
    <row r="303" spans="1:16" x14ac:dyDescent="0.25">
      <c r="A303">
        <v>302</v>
      </c>
      <c r="B303">
        <v>43984</v>
      </c>
      <c r="C303">
        <v>6972691420</v>
      </c>
      <c r="D303" t="s">
        <v>14</v>
      </c>
      <c r="E303" t="s">
        <v>81</v>
      </c>
      <c r="F303" t="s">
        <v>94</v>
      </c>
      <c r="G303" t="s">
        <v>15</v>
      </c>
      <c r="H303" t="s">
        <v>16</v>
      </c>
      <c r="I303" t="s">
        <v>17</v>
      </c>
      <c r="J303" t="s">
        <v>70</v>
      </c>
      <c r="K303" t="s">
        <v>47</v>
      </c>
      <c r="L303">
        <v>1134</v>
      </c>
      <c r="M303">
        <v>52</v>
      </c>
      <c r="N303">
        <f>Hoja4!$L303*Hoja4!$M303</f>
        <v>58968</v>
      </c>
      <c r="O303" t="str">
        <f t="shared" si="9"/>
        <v>Mar.</v>
      </c>
      <c r="P303" t="str">
        <f t="shared" si="10"/>
        <v>junio</v>
      </c>
    </row>
    <row r="304" spans="1:16" x14ac:dyDescent="0.25">
      <c r="A304">
        <v>303</v>
      </c>
      <c r="B304">
        <v>44078</v>
      </c>
      <c r="C304">
        <v>677992170</v>
      </c>
      <c r="D304" t="s">
        <v>14</v>
      </c>
      <c r="E304" t="s">
        <v>81</v>
      </c>
      <c r="F304" t="s">
        <v>94</v>
      </c>
      <c r="G304" t="s">
        <v>15</v>
      </c>
      <c r="H304" t="s">
        <v>16</v>
      </c>
      <c r="I304" t="s">
        <v>17</v>
      </c>
      <c r="J304" t="s">
        <v>71</v>
      </c>
      <c r="K304" t="s">
        <v>72</v>
      </c>
      <c r="L304">
        <v>98</v>
      </c>
      <c r="M304">
        <v>37</v>
      </c>
      <c r="N304">
        <f>Hoja4!$L304*Hoja4!$M304</f>
        <v>3626</v>
      </c>
      <c r="O304" t="str">
        <f t="shared" si="9"/>
        <v>Vie.</v>
      </c>
      <c r="P304" t="str">
        <f t="shared" si="10"/>
        <v>septiembre</v>
      </c>
    </row>
    <row r="305" spans="1:16" x14ac:dyDescent="0.25">
      <c r="A305">
        <v>304</v>
      </c>
      <c r="B305">
        <v>44063</v>
      </c>
      <c r="C305">
        <v>3501827064</v>
      </c>
      <c r="D305" t="s">
        <v>23</v>
      </c>
      <c r="E305" t="s">
        <v>86</v>
      </c>
      <c r="F305" t="s">
        <v>82</v>
      </c>
      <c r="G305" t="s">
        <v>24</v>
      </c>
      <c r="H305" t="s">
        <v>25</v>
      </c>
      <c r="I305" t="s">
        <v>17</v>
      </c>
      <c r="J305" t="s">
        <v>58</v>
      </c>
      <c r="K305" t="s">
        <v>59</v>
      </c>
      <c r="L305">
        <v>487.19999999999993</v>
      </c>
      <c r="M305">
        <v>24</v>
      </c>
      <c r="N305">
        <f>Hoja4!$L305*Hoja4!$M305</f>
        <v>11692.8</v>
      </c>
      <c r="O305" t="str">
        <f t="shared" si="9"/>
        <v>Jue.</v>
      </c>
      <c r="P305" t="str">
        <f t="shared" si="10"/>
        <v>agosto</v>
      </c>
    </row>
    <row r="306" spans="1:16" x14ac:dyDescent="0.25">
      <c r="A306">
        <v>305</v>
      </c>
      <c r="B306">
        <v>43979</v>
      </c>
      <c r="C306">
        <v>9140892367</v>
      </c>
      <c r="D306" t="s">
        <v>32</v>
      </c>
      <c r="E306" t="s">
        <v>93</v>
      </c>
      <c r="F306" t="s">
        <v>96</v>
      </c>
      <c r="G306" t="s">
        <v>7</v>
      </c>
      <c r="H306" t="s">
        <v>8</v>
      </c>
      <c r="I306" t="s">
        <v>33</v>
      </c>
      <c r="J306" t="s">
        <v>60</v>
      </c>
      <c r="K306" t="s">
        <v>49</v>
      </c>
      <c r="L306">
        <v>140</v>
      </c>
      <c r="M306">
        <v>36</v>
      </c>
      <c r="N306">
        <f>Hoja4!$L306*Hoja4!$M306</f>
        <v>5040</v>
      </c>
      <c r="O306" t="str">
        <f t="shared" si="9"/>
        <v>Jue.</v>
      </c>
      <c r="P306" t="str">
        <f t="shared" si="10"/>
        <v>mayo</v>
      </c>
    </row>
    <row r="307" spans="1:16" x14ac:dyDescent="0.25">
      <c r="A307">
        <v>306</v>
      </c>
      <c r="B307">
        <v>44037</v>
      </c>
      <c r="C307">
        <v>7570396760</v>
      </c>
      <c r="D307" t="s">
        <v>32</v>
      </c>
      <c r="E307" t="s">
        <v>93</v>
      </c>
      <c r="F307" t="s">
        <v>96</v>
      </c>
      <c r="G307" t="s">
        <v>7</v>
      </c>
      <c r="H307" t="s">
        <v>8</v>
      </c>
      <c r="I307" t="s">
        <v>33</v>
      </c>
      <c r="J307" t="s">
        <v>38</v>
      </c>
      <c r="K307" t="s">
        <v>39</v>
      </c>
      <c r="L307">
        <v>560</v>
      </c>
      <c r="M307">
        <v>24</v>
      </c>
      <c r="N307">
        <f>Hoja4!$L307*Hoja4!$M307</f>
        <v>13440</v>
      </c>
      <c r="O307" t="str">
        <f t="shared" si="9"/>
        <v>Sáb.</v>
      </c>
      <c r="P307" t="str">
        <f t="shared" si="10"/>
        <v>julio</v>
      </c>
    </row>
    <row r="308" spans="1:16" x14ac:dyDescent="0.25">
      <c r="A308">
        <v>307</v>
      </c>
      <c r="B308">
        <v>44085</v>
      </c>
      <c r="C308">
        <v>5368769086</v>
      </c>
      <c r="D308" t="s">
        <v>42</v>
      </c>
      <c r="E308" t="s">
        <v>91</v>
      </c>
      <c r="F308" t="s">
        <v>91</v>
      </c>
      <c r="G308" t="s">
        <v>43</v>
      </c>
      <c r="H308" t="s">
        <v>8</v>
      </c>
      <c r="I308" t="s">
        <v>17</v>
      </c>
      <c r="J308" t="s">
        <v>61</v>
      </c>
      <c r="K308" t="s">
        <v>13</v>
      </c>
      <c r="L308">
        <v>140</v>
      </c>
      <c r="M308">
        <v>20</v>
      </c>
      <c r="N308">
        <f>Hoja4!$L308*Hoja4!$M308</f>
        <v>2800</v>
      </c>
      <c r="O308" t="str">
        <f t="shared" si="9"/>
        <v>Vie.</v>
      </c>
      <c r="P308" t="str">
        <f t="shared" si="10"/>
        <v>septiembre</v>
      </c>
    </row>
    <row r="309" spans="1:16" x14ac:dyDescent="0.25">
      <c r="A309">
        <v>308</v>
      </c>
      <c r="B309">
        <v>44162</v>
      </c>
      <c r="C309">
        <v>443042127</v>
      </c>
      <c r="D309" t="s">
        <v>42</v>
      </c>
      <c r="E309" t="s">
        <v>91</v>
      </c>
      <c r="F309" t="s">
        <v>91</v>
      </c>
      <c r="G309" t="s">
        <v>43</v>
      </c>
      <c r="H309" t="s">
        <v>16</v>
      </c>
      <c r="J309" t="s">
        <v>12</v>
      </c>
      <c r="K309" t="s">
        <v>13</v>
      </c>
      <c r="L309">
        <v>49</v>
      </c>
      <c r="M309">
        <v>11</v>
      </c>
      <c r="N309">
        <f>Hoja4!$L309*Hoja4!$M309</f>
        <v>539</v>
      </c>
      <c r="O309" t="str">
        <f t="shared" si="9"/>
        <v>Vie.</v>
      </c>
      <c r="P309" t="str">
        <f t="shared" si="10"/>
        <v>noviembre</v>
      </c>
    </row>
    <row r="310" spans="1:16" x14ac:dyDescent="0.25">
      <c r="A310">
        <v>309</v>
      </c>
      <c r="B310">
        <v>43840</v>
      </c>
      <c r="C310">
        <v>3198859022</v>
      </c>
      <c r="D310" t="s">
        <v>50</v>
      </c>
      <c r="E310" t="s">
        <v>85</v>
      </c>
      <c r="F310" t="s">
        <v>83</v>
      </c>
      <c r="G310" t="s">
        <v>41</v>
      </c>
      <c r="H310" t="s">
        <v>25</v>
      </c>
      <c r="J310" t="s">
        <v>38</v>
      </c>
      <c r="K310" t="s">
        <v>39</v>
      </c>
      <c r="L310">
        <v>560</v>
      </c>
      <c r="M310">
        <v>78</v>
      </c>
      <c r="N310">
        <f>Hoja4!$L310*Hoja4!$M310</f>
        <v>43680</v>
      </c>
      <c r="O310" t="str">
        <f t="shared" si="9"/>
        <v>Vie.</v>
      </c>
      <c r="P310" t="str">
        <f t="shared" si="10"/>
        <v>enero</v>
      </c>
    </row>
    <row r="311" spans="1:16" x14ac:dyDescent="0.25">
      <c r="A311">
        <v>310</v>
      </c>
      <c r="B311">
        <v>44043</v>
      </c>
      <c r="C311">
        <v>2982674072</v>
      </c>
      <c r="D311" t="s">
        <v>51</v>
      </c>
      <c r="E311" t="s">
        <v>90</v>
      </c>
      <c r="F311" t="s">
        <v>98</v>
      </c>
      <c r="G311" t="s">
        <v>24</v>
      </c>
      <c r="H311" t="s">
        <v>25</v>
      </c>
      <c r="J311" t="s">
        <v>52</v>
      </c>
      <c r="K311" t="s">
        <v>53</v>
      </c>
      <c r="L311">
        <v>257.59999999999997</v>
      </c>
      <c r="M311">
        <v>76</v>
      </c>
      <c r="N311">
        <f>Hoja4!$L311*Hoja4!$M311</f>
        <v>19577.599999999999</v>
      </c>
      <c r="O311" t="str">
        <f t="shared" si="9"/>
        <v>Vie.</v>
      </c>
      <c r="P311" t="str">
        <f t="shared" si="10"/>
        <v>julio</v>
      </c>
    </row>
    <row r="312" spans="1:16" x14ac:dyDescent="0.25">
      <c r="A312">
        <v>311</v>
      </c>
      <c r="B312">
        <v>44118</v>
      </c>
      <c r="C312">
        <v>1636086310</v>
      </c>
      <c r="D312" t="s">
        <v>40</v>
      </c>
      <c r="E312" t="s">
        <v>97</v>
      </c>
      <c r="F312" t="s">
        <v>88</v>
      </c>
      <c r="G312" t="s">
        <v>41</v>
      </c>
      <c r="H312" t="s">
        <v>25</v>
      </c>
      <c r="I312" t="s">
        <v>17</v>
      </c>
      <c r="J312" t="s">
        <v>22</v>
      </c>
      <c r="K312" t="s">
        <v>11</v>
      </c>
      <c r="L312">
        <v>644</v>
      </c>
      <c r="M312">
        <v>57</v>
      </c>
      <c r="N312">
        <f>Hoja4!$L312*Hoja4!$M312</f>
        <v>36708</v>
      </c>
      <c r="O312" t="str">
        <f t="shared" si="9"/>
        <v>Mié.</v>
      </c>
      <c r="P312" t="str">
        <f t="shared" si="10"/>
        <v>octubre</v>
      </c>
    </row>
    <row r="313" spans="1:16" x14ac:dyDescent="0.25">
      <c r="A313">
        <v>312</v>
      </c>
      <c r="B313">
        <v>44069</v>
      </c>
      <c r="C313">
        <v>9879315200</v>
      </c>
      <c r="D313" t="s">
        <v>54</v>
      </c>
      <c r="E313" t="s">
        <v>89</v>
      </c>
      <c r="F313" t="s">
        <v>84</v>
      </c>
      <c r="G313" t="s">
        <v>55</v>
      </c>
      <c r="H313" t="s">
        <v>16</v>
      </c>
      <c r="I313" t="s">
        <v>9</v>
      </c>
      <c r="J313" t="s">
        <v>34</v>
      </c>
      <c r="K313" t="s">
        <v>35</v>
      </c>
      <c r="L313">
        <v>135.1</v>
      </c>
      <c r="M313">
        <v>14</v>
      </c>
      <c r="N313">
        <f>Hoja4!$L313*Hoja4!$M313</f>
        <v>1891.3999999999999</v>
      </c>
      <c r="O313" t="str">
        <f t="shared" si="9"/>
        <v>Mié.</v>
      </c>
      <c r="P313" t="str">
        <f t="shared" si="10"/>
        <v>agosto</v>
      </c>
    </row>
    <row r="314" spans="1:16" x14ac:dyDescent="0.25">
      <c r="A314">
        <v>313</v>
      </c>
      <c r="B314">
        <v>43953</v>
      </c>
      <c r="C314">
        <v>3833780472</v>
      </c>
      <c r="D314" t="s">
        <v>6</v>
      </c>
      <c r="E314" t="s">
        <v>80</v>
      </c>
      <c r="F314" t="s">
        <v>95</v>
      </c>
      <c r="G314" t="s">
        <v>7</v>
      </c>
      <c r="H314" t="s">
        <v>8</v>
      </c>
      <c r="I314" t="s">
        <v>9</v>
      </c>
      <c r="J314" t="s">
        <v>10</v>
      </c>
      <c r="K314" t="s">
        <v>11</v>
      </c>
      <c r="L314">
        <v>196</v>
      </c>
      <c r="M314">
        <v>14</v>
      </c>
      <c r="N314">
        <f>Hoja4!$L314*Hoja4!$M314</f>
        <v>2744</v>
      </c>
      <c r="O314" t="str">
        <f t="shared" si="9"/>
        <v>Sáb.</v>
      </c>
      <c r="P314" t="str">
        <f t="shared" si="10"/>
        <v>mayo</v>
      </c>
    </row>
    <row r="315" spans="1:16" x14ac:dyDescent="0.25">
      <c r="A315">
        <v>314</v>
      </c>
      <c r="B315">
        <v>44161</v>
      </c>
      <c r="C315">
        <v>1343389818</v>
      </c>
      <c r="D315" t="s">
        <v>6</v>
      </c>
      <c r="E315" t="s">
        <v>80</v>
      </c>
      <c r="F315" t="s">
        <v>95</v>
      </c>
      <c r="G315" t="s">
        <v>7</v>
      </c>
      <c r="H315" t="s">
        <v>8</v>
      </c>
      <c r="I315" t="s">
        <v>9</v>
      </c>
      <c r="J315" t="s">
        <v>12</v>
      </c>
      <c r="K315" t="s">
        <v>13</v>
      </c>
      <c r="L315">
        <v>49</v>
      </c>
      <c r="M315">
        <v>70</v>
      </c>
      <c r="N315">
        <f>Hoja4!$L315*Hoja4!$M315</f>
        <v>3430</v>
      </c>
      <c r="O315" t="str">
        <f t="shared" si="9"/>
        <v>Jue.</v>
      </c>
      <c r="P315" t="str">
        <f t="shared" si="10"/>
        <v>noviembre</v>
      </c>
    </row>
    <row r="316" spans="1:16" x14ac:dyDescent="0.25">
      <c r="A316">
        <v>315</v>
      </c>
      <c r="B316">
        <v>43897</v>
      </c>
      <c r="C316">
        <v>3066920858</v>
      </c>
      <c r="D316" t="s">
        <v>14</v>
      </c>
      <c r="E316" t="s">
        <v>81</v>
      </c>
      <c r="F316" t="s">
        <v>94</v>
      </c>
      <c r="G316" t="s">
        <v>15</v>
      </c>
      <c r="H316" t="s">
        <v>16</v>
      </c>
      <c r="I316" t="s">
        <v>17</v>
      </c>
      <c r="J316" t="s">
        <v>18</v>
      </c>
      <c r="K316" t="s">
        <v>13</v>
      </c>
      <c r="L316">
        <v>420</v>
      </c>
      <c r="M316">
        <v>100</v>
      </c>
      <c r="N316">
        <f>Hoja4!$L316*Hoja4!$M316</f>
        <v>42000</v>
      </c>
      <c r="O316" t="str">
        <f t="shared" si="9"/>
        <v>Sáb.</v>
      </c>
      <c r="P316" t="str">
        <f t="shared" si="10"/>
        <v>marzo</v>
      </c>
    </row>
    <row r="317" spans="1:16" x14ac:dyDescent="0.25">
      <c r="A317">
        <v>316</v>
      </c>
      <c r="B317">
        <v>44075</v>
      </c>
      <c r="C317">
        <v>3596038071</v>
      </c>
      <c r="D317" t="s">
        <v>14</v>
      </c>
      <c r="E317" t="s">
        <v>81</v>
      </c>
      <c r="F317" t="s">
        <v>94</v>
      </c>
      <c r="G317" t="s">
        <v>15</v>
      </c>
      <c r="H317" t="s">
        <v>16</v>
      </c>
      <c r="I317" t="s">
        <v>17</v>
      </c>
      <c r="J317" t="s">
        <v>19</v>
      </c>
      <c r="K317" t="s">
        <v>13</v>
      </c>
      <c r="L317">
        <v>742</v>
      </c>
      <c r="M317">
        <v>27</v>
      </c>
      <c r="N317">
        <f>Hoja4!$L317*Hoja4!$M317</f>
        <v>20034</v>
      </c>
      <c r="O317" t="str">
        <f t="shared" si="9"/>
        <v>Mar.</v>
      </c>
      <c r="P317" t="str">
        <f t="shared" si="10"/>
        <v>septiembre</v>
      </c>
    </row>
    <row r="318" spans="1:16" x14ac:dyDescent="0.25">
      <c r="A318">
        <v>317</v>
      </c>
      <c r="B318">
        <v>44055</v>
      </c>
      <c r="C318">
        <v>8280434895</v>
      </c>
      <c r="D318" t="s">
        <v>14</v>
      </c>
      <c r="E318" t="s">
        <v>81</v>
      </c>
      <c r="F318" t="s">
        <v>94</v>
      </c>
      <c r="G318" t="s">
        <v>15</v>
      </c>
      <c r="H318" t="s">
        <v>16</v>
      </c>
      <c r="I318" t="s">
        <v>17</v>
      </c>
      <c r="J318" t="s">
        <v>12</v>
      </c>
      <c r="K318" t="s">
        <v>13</v>
      </c>
      <c r="L318">
        <v>49</v>
      </c>
      <c r="M318">
        <v>70</v>
      </c>
      <c r="N318">
        <f>Hoja4!$L318*Hoja4!$M318</f>
        <v>3430</v>
      </c>
      <c r="O318" t="str">
        <f t="shared" si="9"/>
        <v>Mié.</v>
      </c>
      <c r="P318" t="str">
        <f t="shared" si="10"/>
        <v>agosto</v>
      </c>
    </row>
    <row r="319" spans="1:16" x14ac:dyDescent="0.25">
      <c r="A319">
        <v>318</v>
      </c>
      <c r="B319">
        <v>44146</v>
      </c>
      <c r="C319">
        <v>7983505639</v>
      </c>
      <c r="D319" t="s">
        <v>20</v>
      </c>
      <c r="E319" t="s">
        <v>80</v>
      </c>
      <c r="F319" t="s">
        <v>95</v>
      </c>
      <c r="G319" t="s">
        <v>7</v>
      </c>
      <c r="H319" t="s">
        <v>8</v>
      </c>
      <c r="I319" t="s">
        <v>17</v>
      </c>
      <c r="J319" t="s">
        <v>21</v>
      </c>
      <c r="K319" t="s">
        <v>11</v>
      </c>
      <c r="L319">
        <v>252</v>
      </c>
      <c r="M319">
        <v>57</v>
      </c>
      <c r="N319">
        <f>Hoja4!$L319*Hoja4!$M319</f>
        <v>14364</v>
      </c>
      <c r="O319" t="str">
        <f t="shared" si="9"/>
        <v>Mié.</v>
      </c>
      <c r="P319" t="str">
        <f t="shared" si="10"/>
        <v>noviembre</v>
      </c>
    </row>
    <row r="320" spans="1:16" x14ac:dyDescent="0.25">
      <c r="A320">
        <v>319</v>
      </c>
      <c r="B320">
        <v>43997</v>
      </c>
      <c r="C320">
        <v>4943792001</v>
      </c>
      <c r="D320" t="s">
        <v>20</v>
      </c>
      <c r="E320" t="s">
        <v>80</v>
      </c>
      <c r="F320" t="s">
        <v>95</v>
      </c>
      <c r="G320" t="s">
        <v>7</v>
      </c>
      <c r="H320" t="s">
        <v>8</v>
      </c>
      <c r="I320" t="s">
        <v>17</v>
      </c>
      <c r="J320" t="s">
        <v>22</v>
      </c>
      <c r="K320" t="s">
        <v>11</v>
      </c>
      <c r="L320">
        <v>644</v>
      </c>
      <c r="M320">
        <v>83</v>
      </c>
      <c r="N320">
        <f>Hoja4!$L320*Hoja4!$M320</f>
        <v>53452</v>
      </c>
      <c r="O320" t="str">
        <f t="shared" si="9"/>
        <v>Lun.</v>
      </c>
      <c r="P320" t="str">
        <f t="shared" si="10"/>
        <v>junio</v>
      </c>
    </row>
    <row r="321" spans="1:16" x14ac:dyDescent="0.25">
      <c r="A321">
        <v>320</v>
      </c>
      <c r="B321">
        <v>43857</v>
      </c>
      <c r="C321">
        <v>2679766092</v>
      </c>
      <c r="D321" t="s">
        <v>23</v>
      </c>
      <c r="E321" t="s">
        <v>86</v>
      </c>
      <c r="F321" t="s">
        <v>82</v>
      </c>
      <c r="G321" t="s">
        <v>24</v>
      </c>
      <c r="H321" t="s">
        <v>25</v>
      </c>
      <c r="I321" t="s">
        <v>17</v>
      </c>
      <c r="J321" t="s">
        <v>26</v>
      </c>
      <c r="K321" t="s">
        <v>27</v>
      </c>
      <c r="L321">
        <v>128.79999999999998</v>
      </c>
      <c r="M321">
        <v>76</v>
      </c>
      <c r="N321">
        <f>Hoja4!$L321*Hoja4!$M321</f>
        <v>9788.7999999999993</v>
      </c>
      <c r="O321" t="str">
        <f t="shared" si="9"/>
        <v>Lun.</v>
      </c>
      <c r="P321" t="str">
        <f t="shared" si="10"/>
        <v>enero</v>
      </c>
    </row>
    <row r="322" spans="1:16" x14ac:dyDescent="0.25">
      <c r="A322">
        <v>321</v>
      </c>
      <c r="B322">
        <v>44155</v>
      </c>
      <c r="C322">
        <v>6256032641</v>
      </c>
      <c r="D322" t="s">
        <v>14</v>
      </c>
      <c r="E322" t="s">
        <v>81</v>
      </c>
      <c r="F322" t="s">
        <v>94</v>
      </c>
      <c r="G322" t="s">
        <v>15</v>
      </c>
      <c r="H322" t="s">
        <v>25</v>
      </c>
      <c r="I322" t="s">
        <v>9</v>
      </c>
      <c r="J322" t="s">
        <v>26</v>
      </c>
      <c r="K322" t="s">
        <v>27</v>
      </c>
      <c r="L322">
        <v>128.79999999999998</v>
      </c>
      <c r="M322">
        <v>80</v>
      </c>
      <c r="N322">
        <f>Hoja4!$L322*Hoja4!$M322</f>
        <v>10303.999999999998</v>
      </c>
      <c r="O322" t="str">
        <f t="shared" ref="O322:O370" si="11">PROPER(TEXT(B322,"ddd."))</f>
        <v>Vie.</v>
      </c>
      <c r="P322" t="str">
        <f t="shared" ref="P322:P370" si="12">TEXT(B322,"mmmm")</f>
        <v>noviembre</v>
      </c>
    </row>
    <row r="323" spans="1:16" x14ac:dyDescent="0.25">
      <c r="A323">
        <v>322</v>
      </c>
      <c r="B323">
        <v>43867</v>
      </c>
      <c r="C323">
        <v>8317306577</v>
      </c>
      <c r="D323" t="s">
        <v>28</v>
      </c>
      <c r="E323" t="s">
        <v>89</v>
      </c>
      <c r="F323" t="s">
        <v>84</v>
      </c>
      <c r="G323" t="s">
        <v>29</v>
      </c>
      <c r="H323" t="s">
        <v>8</v>
      </c>
      <c r="I323" t="s">
        <v>9</v>
      </c>
      <c r="J323" t="s">
        <v>30</v>
      </c>
      <c r="K323" t="s">
        <v>31</v>
      </c>
      <c r="L323">
        <v>178.5</v>
      </c>
      <c r="M323">
        <v>47</v>
      </c>
      <c r="N323">
        <f>Hoja4!$L323*Hoja4!$M323</f>
        <v>8389.5</v>
      </c>
      <c r="O323" t="str">
        <f t="shared" si="11"/>
        <v>Jue.</v>
      </c>
      <c r="P323" t="str">
        <f t="shared" si="12"/>
        <v>febrero</v>
      </c>
    </row>
    <row r="324" spans="1:16" x14ac:dyDescent="0.25">
      <c r="A324">
        <v>323</v>
      </c>
      <c r="B324">
        <v>44120</v>
      </c>
      <c r="C324">
        <v>4952054948</v>
      </c>
      <c r="D324" t="s">
        <v>32</v>
      </c>
      <c r="E324" t="s">
        <v>93</v>
      </c>
      <c r="F324" t="s">
        <v>96</v>
      </c>
      <c r="G324" t="s">
        <v>7</v>
      </c>
      <c r="H324" t="s">
        <v>8</v>
      </c>
      <c r="I324" t="s">
        <v>33</v>
      </c>
      <c r="J324" t="s">
        <v>34</v>
      </c>
      <c r="K324" t="s">
        <v>35</v>
      </c>
      <c r="L324">
        <v>135.1</v>
      </c>
      <c r="M324">
        <v>96</v>
      </c>
      <c r="N324">
        <f>Hoja4!$L324*Hoja4!$M324</f>
        <v>12969.599999999999</v>
      </c>
      <c r="O324" t="str">
        <f t="shared" si="11"/>
        <v>Vie.</v>
      </c>
      <c r="P324" t="str">
        <f t="shared" si="12"/>
        <v>octubre</v>
      </c>
    </row>
    <row r="325" spans="1:16" x14ac:dyDescent="0.25">
      <c r="A325">
        <v>324</v>
      </c>
      <c r="B325">
        <v>44059</v>
      </c>
      <c r="C325">
        <v>7792270317</v>
      </c>
      <c r="D325" t="s">
        <v>36</v>
      </c>
      <c r="E325" t="s">
        <v>92</v>
      </c>
      <c r="F325" t="s">
        <v>99</v>
      </c>
      <c r="G325" t="s">
        <v>37</v>
      </c>
      <c r="H325" t="s">
        <v>8</v>
      </c>
      <c r="I325" t="s">
        <v>17</v>
      </c>
      <c r="J325" t="s">
        <v>38</v>
      </c>
      <c r="K325" t="s">
        <v>39</v>
      </c>
      <c r="L325">
        <v>560</v>
      </c>
      <c r="M325">
        <v>32</v>
      </c>
      <c r="N325">
        <f>Hoja4!$L325*Hoja4!$M325</f>
        <v>17920</v>
      </c>
      <c r="O325" t="str">
        <f t="shared" si="11"/>
        <v>Dom.</v>
      </c>
      <c r="P325" t="str">
        <f t="shared" si="12"/>
        <v>agosto</v>
      </c>
    </row>
    <row r="326" spans="1:16" x14ac:dyDescent="0.25">
      <c r="A326">
        <v>325</v>
      </c>
      <c r="B326">
        <v>44045</v>
      </c>
      <c r="C326">
        <v>8753687299</v>
      </c>
      <c r="D326" t="s">
        <v>40</v>
      </c>
      <c r="E326" t="s">
        <v>97</v>
      </c>
      <c r="F326" t="s">
        <v>88</v>
      </c>
      <c r="G326" t="s">
        <v>41</v>
      </c>
      <c r="H326" t="s">
        <v>25</v>
      </c>
      <c r="I326" t="s">
        <v>9</v>
      </c>
      <c r="J326" t="s">
        <v>22</v>
      </c>
      <c r="K326" t="s">
        <v>11</v>
      </c>
      <c r="L326">
        <v>644</v>
      </c>
      <c r="M326">
        <v>16</v>
      </c>
      <c r="N326">
        <f>Hoja4!$L326*Hoja4!$M326</f>
        <v>10304</v>
      </c>
      <c r="O326" t="str">
        <f t="shared" si="11"/>
        <v>Dom.</v>
      </c>
      <c r="P326" t="str">
        <f t="shared" si="12"/>
        <v>agosto</v>
      </c>
    </row>
    <row r="327" spans="1:16" x14ac:dyDescent="0.25">
      <c r="A327">
        <v>326</v>
      </c>
      <c r="B327">
        <v>43867</v>
      </c>
      <c r="C327">
        <v>3276376437</v>
      </c>
      <c r="D327" t="s">
        <v>23</v>
      </c>
      <c r="E327" t="s">
        <v>86</v>
      </c>
      <c r="F327" t="s">
        <v>82</v>
      </c>
      <c r="G327" t="s">
        <v>24</v>
      </c>
      <c r="H327" t="s">
        <v>25</v>
      </c>
      <c r="I327" t="s">
        <v>9</v>
      </c>
      <c r="J327" t="s">
        <v>30</v>
      </c>
      <c r="K327" t="s">
        <v>31</v>
      </c>
      <c r="L327">
        <v>178.5</v>
      </c>
      <c r="M327">
        <v>41</v>
      </c>
      <c r="N327">
        <f>Hoja4!$L327*Hoja4!$M327</f>
        <v>7318.5</v>
      </c>
      <c r="O327" t="str">
        <f t="shared" si="11"/>
        <v>Jue.</v>
      </c>
      <c r="P327" t="str">
        <f t="shared" si="12"/>
        <v>febrero</v>
      </c>
    </row>
    <row r="328" spans="1:16" x14ac:dyDescent="0.25">
      <c r="A328">
        <v>327</v>
      </c>
      <c r="B328">
        <v>44087</v>
      </c>
      <c r="C328">
        <v>6189400875</v>
      </c>
      <c r="D328" t="s">
        <v>42</v>
      </c>
      <c r="E328" t="s">
        <v>91</v>
      </c>
      <c r="F328" t="s">
        <v>91</v>
      </c>
      <c r="G328" t="s">
        <v>43</v>
      </c>
      <c r="H328" t="s">
        <v>8</v>
      </c>
      <c r="I328" t="s">
        <v>17</v>
      </c>
      <c r="J328" t="s">
        <v>44</v>
      </c>
      <c r="K328" t="s">
        <v>11</v>
      </c>
      <c r="L328">
        <v>41.86</v>
      </c>
      <c r="M328">
        <v>41</v>
      </c>
      <c r="N328">
        <f>Hoja4!$L328*Hoja4!$M328</f>
        <v>1716.26</v>
      </c>
      <c r="O328" t="str">
        <f t="shared" si="11"/>
        <v>Dom.</v>
      </c>
      <c r="P328" t="str">
        <f t="shared" si="12"/>
        <v>septiembre</v>
      </c>
    </row>
    <row r="329" spans="1:16" x14ac:dyDescent="0.25">
      <c r="A329">
        <v>328</v>
      </c>
      <c r="B329">
        <v>43927</v>
      </c>
      <c r="C329">
        <v>3440571177</v>
      </c>
      <c r="D329" t="s">
        <v>45</v>
      </c>
      <c r="E329" t="s">
        <v>87</v>
      </c>
      <c r="F329" t="s">
        <v>87</v>
      </c>
      <c r="G329" t="s">
        <v>24</v>
      </c>
      <c r="J329" t="s">
        <v>22</v>
      </c>
      <c r="K329" t="s">
        <v>11</v>
      </c>
      <c r="L329">
        <v>644</v>
      </c>
      <c r="M329">
        <v>41</v>
      </c>
      <c r="N329">
        <f>Hoja4!$L329*Hoja4!$M329</f>
        <v>26404</v>
      </c>
      <c r="O329" t="str">
        <f t="shared" si="11"/>
        <v>Lun.</v>
      </c>
      <c r="P329" t="str">
        <f t="shared" si="12"/>
        <v>abril</v>
      </c>
    </row>
    <row r="330" spans="1:16" x14ac:dyDescent="0.25">
      <c r="A330">
        <v>329</v>
      </c>
      <c r="B330">
        <v>43975</v>
      </c>
      <c r="C330">
        <v>8874798513</v>
      </c>
      <c r="D330" t="s">
        <v>42</v>
      </c>
      <c r="E330" t="s">
        <v>91</v>
      </c>
      <c r="F330" t="s">
        <v>91</v>
      </c>
      <c r="G330" t="s">
        <v>43</v>
      </c>
      <c r="H330" t="s">
        <v>16</v>
      </c>
      <c r="J330" t="s">
        <v>46</v>
      </c>
      <c r="K330" t="s">
        <v>47</v>
      </c>
      <c r="L330">
        <v>350</v>
      </c>
      <c r="M330">
        <v>94</v>
      </c>
      <c r="N330">
        <f>Hoja4!$L330*Hoja4!$M330</f>
        <v>32900</v>
      </c>
      <c r="O330" t="str">
        <f t="shared" si="11"/>
        <v>Dom.</v>
      </c>
      <c r="P330" t="str">
        <f t="shared" si="12"/>
        <v>mayo</v>
      </c>
    </row>
    <row r="331" spans="1:16" x14ac:dyDescent="0.25">
      <c r="A331">
        <v>330</v>
      </c>
      <c r="B331">
        <v>43992</v>
      </c>
      <c r="C331">
        <v>9730368433</v>
      </c>
      <c r="D331" t="s">
        <v>42</v>
      </c>
      <c r="E331" t="s">
        <v>91</v>
      </c>
      <c r="F331" t="s">
        <v>91</v>
      </c>
      <c r="G331" t="s">
        <v>43</v>
      </c>
      <c r="H331" t="s">
        <v>16</v>
      </c>
      <c r="J331" t="s">
        <v>48</v>
      </c>
      <c r="K331" t="s">
        <v>49</v>
      </c>
      <c r="L331">
        <v>308</v>
      </c>
      <c r="M331">
        <v>20</v>
      </c>
      <c r="N331">
        <f>Hoja4!$L331*Hoja4!$M331</f>
        <v>6160</v>
      </c>
      <c r="O331" t="str">
        <f t="shared" si="11"/>
        <v>Mié.</v>
      </c>
      <c r="P331" t="str">
        <f t="shared" si="12"/>
        <v>junio</v>
      </c>
    </row>
    <row r="332" spans="1:16" x14ac:dyDescent="0.25">
      <c r="A332">
        <v>331</v>
      </c>
      <c r="B332">
        <v>43870</v>
      </c>
      <c r="C332">
        <v>6592275352</v>
      </c>
      <c r="D332" t="s">
        <v>42</v>
      </c>
      <c r="E332" t="s">
        <v>91</v>
      </c>
      <c r="F332" t="s">
        <v>91</v>
      </c>
      <c r="G332" t="s">
        <v>43</v>
      </c>
      <c r="H332" t="s">
        <v>16</v>
      </c>
      <c r="J332" t="s">
        <v>26</v>
      </c>
      <c r="K332" t="s">
        <v>27</v>
      </c>
      <c r="L332">
        <v>128.79999999999998</v>
      </c>
      <c r="M332">
        <v>13</v>
      </c>
      <c r="N332">
        <f>Hoja4!$L332*Hoja4!$M332</f>
        <v>1674.3999999999999</v>
      </c>
      <c r="O332" t="str">
        <f t="shared" si="11"/>
        <v>Dom.</v>
      </c>
      <c r="P332" t="str">
        <f t="shared" si="12"/>
        <v>febrero</v>
      </c>
    </row>
    <row r="333" spans="1:16" x14ac:dyDescent="0.25">
      <c r="A333">
        <v>332</v>
      </c>
      <c r="B333">
        <v>43882</v>
      </c>
      <c r="C333">
        <v>9303282439</v>
      </c>
      <c r="D333" t="s">
        <v>50</v>
      </c>
      <c r="E333" t="s">
        <v>85</v>
      </c>
      <c r="F333" t="s">
        <v>83</v>
      </c>
      <c r="G333" t="s">
        <v>41</v>
      </c>
      <c r="H333" t="s">
        <v>25</v>
      </c>
      <c r="J333" t="s">
        <v>12</v>
      </c>
      <c r="K333" t="s">
        <v>13</v>
      </c>
      <c r="L333">
        <v>49</v>
      </c>
      <c r="M333">
        <v>74</v>
      </c>
      <c r="N333">
        <f>Hoja4!$L333*Hoja4!$M333</f>
        <v>3626</v>
      </c>
      <c r="O333" t="str">
        <f t="shared" si="11"/>
        <v>Vie.</v>
      </c>
      <c r="P333" t="str">
        <f t="shared" si="12"/>
        <v>febrero</v>
      </c>
    </row>
    <row r="334" spans="1:16" x14ac:dyDescent="0.25">
      <c r="A334">
        <v>333</v>
      </c>
      <c r="B334">
        <v>43940</v>
      </c>
      <c r="C334">
        <v>8998167680</v>
      </c>
      <c r="D334" t="s">
        <v>50</v>
      </c>
      <c r="E334" t="s">
        <v>85</v>
      </c>
      <c r="F334" t="s">
        <v>83</v>
      </c>
      <c r="G334" t="s">
        <v>41</v>
      </c>
      <c r="H334" t="s">
        <v>25</v>
      </c>
      <c r="J334" t="s">
        <v>44</v>
      </c>
      <c r="K334" t="s">
        <v>11</v>
      </c>
      <c r="L334">
        <v>41.86</v>
      </c>
      <c r="M334">
        <v>53</v>
      </c>
      <c r="N334">
        <f>Hoja4!$L334*Hoja4!$M334</f>
        <v>2218.58</v>
      </c>
      <c r="O334" t="str">
        <f t="shared" si="11"/>
        <v>Dom.</v>
      </c>
      <c r="P334" t="str">
        <f t="shared" si="12"/>
        <v>abril</v>
      </c>
    </row>
    <row r="335" spans="1:16" x14ac:dyDescent="0.25">
      <c r="A335">
        <v>334</v>
      </c>
      <c r="B335">
        <v>43874</v>
      </c>
      <c r="C335">
        <v>2058395697</v>
      </c>
      <c r="D335" t="s">
        <v>51</v>
      </c>
      <c r="E335" t="s">
        <v>90</v>
      </c>
      <c r="F335" t="s">
        <v>98</v>
      </c>
      <c r="G335" t="s">
        <v>24</v>
      </c>
      <c r="J335" t="s">
        <v>21</v>
      </c>
      <c r="K335" t="s">
        <v>11</v>
      </c>
      <c r="L335">
        <v>252</v>
      </c>
      <c r="M335">
        <v>99</v>
      </c>
      <c r="N335">
        <f>Hoja4!$L335*Hoja4!$M335</f>
        <v>24948</v>
      </c>
      <c r="O335" t="str">
        <f t="shared" si="11"/>
        <v>Jue.</v>
      </c>
      <c r="P335" t="str">
        <f t="shared" si="12"/>
        <v>febrero</v>
      </c>
    </row>
    <row r="336" spans="1:16" x14ac:dyDescent="0.25">
      <c r="A336">
        <v>335</v>
      </c>
      <c r="B336">
        <v>43832</v>
      </c>
      <c r="C336">
        <v>5534305664</v>
      </c>
      <c r="D336" t="s">
        <v>51</v>
      </c>
      <c r="E336" t="s">
        <v>90</v>
      </c>
      <c r="F336" t="s">
        <v>98</v>
      </c>
      <c r="G336" t="s">
        <v>24</v>
      </c>
      <c r="J336" t="s">
        <v>22</v>
      </c>
      <c r="K336" t="s">
        <v>11</v>
      </c>
      <c r="L336">
        <v>644</v>
      </c>
      <c r="M336">
        <v>89</v>
      </c>
      <c r="N336">
        <f>Hoja4!$L336*Hoja4!$M336</f>
        <v>57316</v>
      </c>
      <c r="O336" t="str">
        <f t="shared" si="11"/>
        <v>Jue.</v>
      </c>
      <c r="P336" t="str">
        <f t="shared" si="12"/>
        <v>enero</v>
      </c>
    </row>
    <row r="337" spans="1:16" x14ac:dyDescent="0.25">
      <c r="A337">
        <v>336</v>
      </c>
      <c r="B337">
        <v>43988</v>
      </c>
      <c r="C337">
        <v>5417309832</v>
      </c>
      <c r="D337" t="s">
        <v>51</v>
      </c>
      <c r="E337" t="s">
        <v>90</v>
      </c>
      <c r="F337" t="s">
        <v>98</v>
      </c>
      <c r="G337" t="s">
        <v>24</v>
      </c>
      <c r="J337" t="s">
        <v>44</v>
      </c>
      <c r="K337" t="s">
        <v>11</v>
      </c>
      <c r="L337">
        <v>41.86</v>
      </c>
      <c r="M337">
        <v>64</v>
      </c>
      <c r="N337">
        <f>Hoja4!$L337*Hoja4!$M337</f>
        <v>2679.04</v>
      </c>
      <c r="O337" t="str">
        <f t="shared" si="11"/>
        <v>Sáb.</v>
      </c>
      <c r="P337" t="str">
        <f t="shared" si="12"/>
        <v>junio</v>
      </c>
    </row>
    <row r="338" spans="1:16" x14ac:dyDescent="0.25">
      <c r="A338">
        <v>337</v>
      </c>
      <c r="B338">
        <v>44101</v>
      </c>
      <c r="C338">
        <v>7626114952</v>
      </c>
      <c r="D338" t="s">
        <v>40</v>
      </c>
      <c r="E338" t="s">
        <v>97</v>
      </c>
      <c r="F338" t="s">
        <v>88</v>
      </c>
      <c r="G338" t="s">
        <v>41</v>
      </c>
      <c r="H338" t="s">
        <v>25</v>
      </c>
      <c r="I338" t="s">
        <v>17</v>
      </c>
      <c r="J338" t="s">
        <v>34</v>
      </c>
      <c r="K338" t="s">
        <v>35</v>
      </c>
      <c r="L338">
        <v>135.1</v>
      </c>
      <c r="M338">
        <v>98</v>
      </c>
      <c r="N338">
        <f>Hoja4!$L338*Hoja4!$M338</f>
        <v>13239.8</v>
      </c>
      <c r="O338" t="str">
        <f t="shared" si="11"/>
        <v>Dom.</v>
      </c>
      <c r="P338" t="str">
        <f t="shared" si="12"/>
        <v>septiembre</v>
      </c>
    </row>
    <row r="339" spans="1:16" x14ac:dyDescent="0.25">
      <c r="A339">
        <v>338</v>
      </c>
      <c r="B339">
        <v>43879</v>
      </c>
      <c r="C339">
        <v>7075151442</v>
      </c>
      <c r="D339" t="s">
        <v>40</v>
      </c>
      <c r="E339" t="s">
        <v>97</v>
      </c>
      <c r="F339" t="s">
        <v>88</v>
      </c>
      <c r="G339" t="s">
        <v>41</v>
      </c>
      <c r="H339" t="s">
        <v>25</v>
      </c>
      <c r="I339" t="s">
        <v>17</v>
      </c>
      <c r="J339" t="s">
        <v>52</v>
      </c>
      <c r="K339" t="s">
        <v>53</v>
      </c>
      <c r="L339">
        <v>257.59999999999997</v>
      </c>
      <c r="M339">
        <v>86</v>
      </c>
      <c r="N339">
        <f>Hoja4!$L339*Hoja4!$M339</f>
        <v>22153.599999999999</v>
      </c>
      <c r="O339" t="str">
        <f t="shared" si="11"/>
        <v>Mar.</v>
      </c>
      <c r="P339" t="str">
        <f t="shared" si="12"/>
        <v>febrero</v>
      </c>
    </row>
    <row r="340" spans="1:16" x14ac:dyDescent="0.25">
      <c r="A340">
        <v>339</v>
      </c>
      <c r="B340">
        <v>44167</v>
      </c>
      <c r="C340">
        <v>4170346813</v>
      </c>
      <c r="D340" t="s">
        <v>54</v>
      </c>
      <c r="E340" t="s">
        <v>89</v>
      </c>
      <c r="F340" t="s">
        <v>84</v>
      </c>
      <c r="G340" t="s">
        <v>55</v>
      </c>
      <c r="H340" t="s">
        <v>16</v>
      </c>
      <c r="I340" t="s">
        <v>9</v>
      </c>
      <c r="J340" t="s">
        <v>56</v>
      </c>
      <c r="K340" t="s">
        <v>57</v>
      </c>
      <c r="L340">
        <v>273</v>
      </c>
      <c r="M340">
        <v>20</v>
      </c>
      <c r="N340">
        <f>Hoja4!$L340*Hoja4!$M340</f>
        <v>5460</v>
      </c>
      <c r="O340" t="str">
        <f t="shared" si="11"/>
        <v>Mié.</v>
      </c>
      <c r="P340" t="str">
        <f t="shared" si="12"/>
        <v>diciembre</v>
      </c>
    </row>
    <row r="341" spans="1:16" x14ac:dyDescent="0.25">
      <c r="A341">
        <v>340</v>
      </c>
      <c r="B341">
        <v>43982</v>
      </c>
      <c r="C341">
        <v>7181884746</v>
      </c>
      <c r="D341" t="s">
        <v>54</v>
      </c>
      <c r="E341" t="s">
        <v>89</v>
      </c>
      <c r="F341" t="s">
        <v>84</v>
      </c>
      <c r="G341" t="s">
        <v>55</v>
      </c>
      <c r="H341" t="s">
        <v>16</v>
      </c>
      <c r="I341" t="s">
        <v>9</v>
      </c>
      <c r="J341" t="s">
        <v>58</v>
      </c>
      <c r="K341" t="s">
        <v>59</v>
      </c>
      <c r="L341">
        <v>487.19999999999993</v>
      </c>
      <c r="M341">
        <v>69</v>
      </c>
      <c r="N341">
        <f>Hoja4!$L341*Hoja4!$M341</f>
        <v>33616.799999999996</v>
      </c>
      <c r="O341" t="str">
        <f t="shared" si="11"/>
        <v>Dom.</v>
      </c>
      <c r="P341" t="str">
        <f t="shared" si="12"/>
        <v>mayo</v>
      </c>
    </row>
    <row r="342" spans="1:16" x14ac:dyDescent="0.25">
      <c r="A342">
        <v>341</v>
      </c>
      <c r="B342">
        <v>44196</v>
      </c>
      <c r="C342">
        <v>654398232</v>
      </c>
      <c r="D342" t="s">
        <v>36</v>
      </c>
      <c r="E342" t="s">
        <v>92</v>
      </c>
      <c r="F342" t="s">
        <v>99</v>
      </c>
      <c r="G342" t="s">
        <v>37</v>
      </c>
      <c r="H342" t="s">
        <v>8</v>
      </c>
      <c r="I342" t="s">
        <v>17</v>
      </c>
      <c r="J342" t="s">
        <v>10</v>
      </c>
      <c r="K342" t="s">
        <v>11</v>
      </c>
      <c r="L342">
        <v>196</v>
      </c>
      <c r="M342">
        <v>68</v>
      </c>
      <c r="N342">
        <f>Hoja4!$L342*Hoja4!$M342</f>
        <v>13328</v>
      </c>
      <c r="O342" t="str">
        <f t="shared" si="11"/>
        <v>Jue.</v>
      </c>
      <c r="P342" t="str">
        <f t="shared" si="12"/>
        <v>diciembre</v>
      </c>
    </row>
    <row r="343" spans="1:16" x14ac:dyDescent="0.25">
      <c r="A343">
        <v>342</v>
      </c>
      <c r="B343">
        <v>43891</v>
      </c>
      <c r="C343">
        <v>6559752885</v>
      </c>
      <c r="D343" t="s">
        <v>23</v>
      </c>
      <c r="E343" t="s">
        <v>86</v>
      </c>
      <c r="F343" t="s">
        <v>82</v>
      </c>
      <c r="G343" t="s">
        <v>24</v>
      </c>
      <c r="H343" t="s">
        <v>8</v>
      </c>
      <c r="I343" t="s">
        <v>9</v>
      </c>
      <c r="J343" t="s">
        <v>38</v>
      </c>
      <c r="K343" t="s">
        <v>39</v>
      </c>
      <c r="L343">
        <v>560</v>
      </c>
      <c r="M343">
        <v>52</v>
      </c>
      <c r="N343">
        <f>Hoja4!$L343*Hoja4!$M343</f>
        <v>29120</v>
      </c>
      <c r="O343" t="str">
        <f t="shared" si="11"/>
        <v>Dom.</v>
      </c>
      <c r="P343" t="str">
        <f t="shared" si="12"/>
        <v>marzo</v>
      </c>
    </row>
    <row r="344" spans="1:16" x14ac:dyDescent="0.25">
      <c r="A344">
        <v>343</v>
      </c>
      <c r="B344">
        <v>44023</v>
      </c>
      <c r="C344">
        <v>9428165637</v>
      </c>
      <c r="D344" t="s">
        <v>23</v>
      </c>
      <c r="E344" t="s">
        <v>86</v>
      </c>
      <c r="F344" t="s">
        <v>82</v>
      </c>
      <c r="G344" t="s">
        <v>24</v>
      </c>
      <c r="H344" t="s">
        <v>8</v>
      </c>
      <c r="I344" t="s">
        <v>9</v>
      </c>
      <c r="J344" t="s">
        <v>26</v>
      </c>
      <c r="K344" t="s">
        <v>27</v>
      </c>
      <c r="L344">
        <v>128.79999999999998</v>
      </c>
      <c r="M344">
        <v>40</v>
      </c>
      <c r="N344">
        <f>Hoja4!$L344*Hoja4!$M344</f>
        <v>5151.9999999999991</v>
      </c>
      <c r="O344" t="str">
        <f t="shared" si="11"/>
        <v>Sáb.</v>
      </c>
      <c r="P344" t="str">
        <f t="shared" si="12"/>
        <v>julio</v>
      </c>
    </row>
    <row r="345" spans="1:16" x14ac:dyDescent="0.25">
      <c r="A345">
        <v>344</v>
      </c>
      <c r="B345">
        <v>43843</v>
      </c>
      <c r="C345">
        <v>9902612158</v>
      </c>
      <c r="D345" t="s">
        <v>62</v>
      </c>
      <c r="E345" t="s">
        <v>91</v>
      </c>
      <c r="F345" t="s">
        <v>91</v>
      </c>
      <c r="G345" t="s">
        <v>43</v>
      </c>
      <c r="H345" t="s">
        <v>16</v>
      </c>
      <c r="I345" t="s">
        <v>33</v>
      </c>
      <c r="J345" t="s">
        <v>67</v>
      </c>
      <c r="K345" t="s">
        <v>27</v>
      </c>
      <c r="L345">
        <v>140</v>
      </c>
      <c r="M345">
        <v>100</v>
      </c>
      <c r="N345">
        <f>Hoja4!$L345*Hoja4!$M345</f>
        <v>14000</v>
      </c>
      <c r="O345" t="str">
        <f t="shared" si="11"/>
        <v>Lun.</v>
      </c>
      <c r="P345" t="str">
        <f t="shared" si="12"/>
        <v>enero</v>
      </c>
    </row>
    <row r="346" spans="1:16" x14ac:dyDescent="0.25">
      <c r="A346">
        <v>345</v>
      </c>
      <c r="B346">
        <v>44034</v>
      </c>
      <c r="C346">
        <v>9601886174</v>
      </c>
      <c r="D346" t="s">
        <v>63</v>
      </c>
      <c r="E346" t="s">
        <v>85</v>
      </c>
      <c r="F346" t="s">
        <v>83</v>
      </c>
      <c r="G346" t="s">
        <v>41</v>
      </c>
      <c r="H346" t="s">
        <v>25</v>
      </c>
      <c r="I346" t="s">
        <v>17</v>
      </c>
      <c r="J346" t="s">
        <v>68</v>
      </c>
      <c r="K346" t="s">
        <v>69</v>
      </c>
      <c r="L346">
        <v>298.90000000000003</v>
      </c>
      <c r="M346">
        <v>88</v>
      </c>
      <c r="N346">
        <f>Hoja4!$L346*Hoja4!$M346</f>
        <v>26303.200000000004</v>
      </c>
      <c r="O346" t="str">
        <f t="shared" si="11"/>
        <v>Mié.</v>
      </c>
      <c r="P346" t="str">
        <f t="shared" si="12"/>
        <v>julio</v>
      </c>
    </row>
    <row r="347" spans="1:16" x14ac:dyDescent="0.25">
      <c r="A347">
        <v>346</v>
      </c>
      <c r="B347">
        <v>43958</v>
      </c>
      <c r="C347">
        <v>9194823962</v>
      </c>
      <c r="D347" t="s">
        <v>63</v>
      </c>
      <c r="E347" t="s">
        <v>85</v>
      </c>
      <c r="F347" t="s">
        <v>83</v>
      </c>
      <c r="G347" t="s">
        <v>41</v>
      </c>
      <c r="H347" t="s">
        <v>25</v>
      </c>
      <c r="I347" t="s">
        <v>17</v>
      </c>
      <c r="J347" t="s">
        <v>34</v>
      </c>
      <c r="K347" t="s">
        <v>35</v>
      </c>
      <c r="L347">
        <v>135.1</v>
      </c>
      <c r="M347">
        <v>46</v>
      </c>
      <c r="N347">
        <f>Hoja4!$L347*Hoja4!$M347</f>
        <v>6214.5999999999995</v>
      </c>
      <c r="O347" t="str">
        <f t="shared" si="11"/>
        <v>Jue.</v>
      </c>
      <c r="P347" t="str">
        <f t="shared" si="12"/>
        <v>mayo</v>
      </c>
    </row>
    <row r="348" spans="1:16" x14ac:dyDescent="0.25">
      <c r="A348">
        <v>347</v>
      </c>
      <c r="B348">
        <v>43832</v>
      </c>
      <c r="C348">
        <v>3580433044</v>
      </c>
      <c r="D348" t="s">
        <v>63</v>
      </c>
      <c r="E348" t="s">
        <v>85</v>
      </c>
      <c r="F348" t="s">
        <v>83</v>
      </c>
      <c r="G348" t="s">
        <v>41</v>
      </c>
      <c r="H348" t="s">
        <v>25</v>
      </c>
      <c r="I348" t="s">
        <v>17</v>
      </c>
      <c r="J348" t="s">
        <v>52</v>
      </c>
      <c r="K348" t="s">
        <v>53</v>
      </c>
      <c r="L348">
        <v>257.59999999999997</v>
      </c>
      <c r="M348">
        <v>93</v>
      </c>
      <c r="N348">
        <f>Hoja4!$L348*Hoja4!$M348</f>
        <v>23956.799999999996</v>
      </c>
      <c r="O348" t="str">
        <f t="shared" si="11"/>
        <v>Jue.</v>
      </c>
      <c r="P348" t="str">
        <f t="shared" si="12"/>
        <v>enero</v>
      </c>
    </row>
    <row r="349" spans="1:16" x14ac:dyDescent="0.25">
      <c r="A349">
        <v>348</v>
      </c>
      <c r="B349">
        <v>43959</v>
      </c>
      <c r="C349">
        <v>7020598503</v>
      </c>
      <c r="D349" t="s">
        <v>28</v>
      </c>
      <c r="E349" t="s">
        <v>89</v>
      </c>
      <c r="F349" t="s">
        <v>84</v>
      </c>
      <c r="G349" t="s">
        <v>29</v>
      </c>
      <c r="H349" t="s">
        <v>8</v>
      </c>
      <c r="I349" t="s">
        <v>9</v>
      </c>
      <c r="J349" t="s">
        <v>10</v>
      </c>
      <c r="K349" t="s">
        <v>11</v>
      </c>
      <c r="L349">
        <v>196</v>
      </c>
      <c r="M349">
        <v>96</v>
      </c>
      <c r="N349">
        <f>Hoja4!$L349*Hoja4!$M349</f>
        <v>18816</v>
      </c>
      <c r="O349" t="str">
        <f t="shared" si="11"/>
        <v>Vie.</v>
      </c>
      <c r="P349" t="str">
        <f t="shared" si="12"/>
        <v>mayo</v>
      </c>
    </row>
    <row r="350" spans="1:16" x14ac:dyDescent="0.25">
      <c r="A350">
        <v>349</v>
      </c>
      <c r="B350">
        <v>44101</v>
      </c>
      <c r="C350">
        <v>8040421717</v>
      </c>
      <c r="D350" t="s">
        <v>36</v>
      </c>
      <c r="E350" t="s">
        <v>92</v>
      </c>
      <c r="F350" t="s">
        <v>99</v>
      </c>
      <c r="G350" t="s">
        <v>37</v>
      </c>
      <c r="H350" t="s">
        <v>25</v>
      </c>
      <c r="I350" t="s">
        <v>9</v>
      </c>
      <c r="J350" t="s">
        <v>30</v>
      </c>
      <c r="K350" t="s">
        <v>31</v>
      </c>
      <c r="L350">
        <v>178.5</v>
      </c>
      <c r="M350">
        <v>12</v>
      </c>
      <c r="N350">
        <f>Hoja4!$L350*Hoja4!$M350</f>
        <v>2142</v>
      </c>
      <c r="O350" t="str">
        <f t="shared" si="11"/>
        <v>Dom.</v>
      </c>
      <c r="P350" t="str">
        <f t="shared" si="12"/>
        <v>septiembre</v>
      </c>
    </row>
    <row r="351" spans="1:16" x14ac:dyDescent="0.25">
      <c r="A351">
        <v>350</v>
      </c>
      <c r="B351">
        <v>43958</v>
      </c>
      <c r="C351">
        <v>3654530055</v>
      </c>
      <c r="D351" t="s">
        <v>14</v>
      </c>
      <c r="E351" t="s">
        <v>81</v>
      </c>
      <c r="F351" t="s">
        <v>94</v>
      </c>
      <c r="G351" t="s">
        <v>15</v>
      </c>
      <c r="H351" t="s">
        <v>16</v>
      </c>
      <c r="I351" t="s">
        <v>17</v>
      </c>
      <c r="J351" t="s">
        <v>70</v>
      </c>
      <c r="K351" t="s">
        <v>47</v>
      </c>
      <c r="L351">
        <v>1134</v>
      </c>
      <c r="M351">
        <v>38</v>
      </c>
      <c r="N351">
        <f>Hoja4!$L351*Hoja4!$M351</f>
        <v>43092</v>
      </c>
      <c r="O351" t="str">
        <f t="shared" si="11"/>
        <v>Jue.</v>
      </c>
      <c r="P351" t="str">
        <f t="shared" si="12"/>
        <v>mayo</v>
      </c>
    </row>
    <row r="352" spans="1:16" x14ac:dyDescent="0.25">
      <c r="A352">
        <v>351</v>
      </c>
      <c r="B352">
        <v>43884</v>
      </c>
      <c r="C352">
        <v>2061527783</v>
      </c>
      <c r="D352" t="s">
        <v>14</v>
      </c>
      <c r="E352" t="s">
        <v>81</v>
      </c>
      <c r="F352" t="s">
        <v>94</v>
      </c>
      <c r="G352" t="s">
        <v>15</v>
      </c>
      <c r="H352" t="s">
        <v>16</v>
      </c>
      <c r="I352" t="s">
        <v>17</v>
      </c>
      <c r="J352" t="s">
        <v>71</v>
      </c>
      <c r="K352" t="s">
        <v>72</v>
      </c>
      <c r="L352">
        <v>98</v>
      </c>
      <c r="M352">
        <v>42</v>
      </c>
      <c r="N352">
        <f>Hoja4!$L352*Hoja4!$M352</f>
        <v>4116</v>
      </c>
      <c r="O352" t="str">
        <f t="shared" si="11"/>
        <v>Dom.</v>
      </c>
      <c r="P352" t="str">
        <f t="shared" si="12"/>
        <v>febrero</v>
      </c>
    </row>
    <row r="353" spans="1:16" x14ac:dyDescent="0.25">
      <c r="A353">
        <v>352</v>
      </c>
      <c r="B353">
        <v>43958</v>
      </c>
      <c r="C353">
        <v>7896754000</v>
      </c>
      <c r="D353" t="s">
        <v>23</v>
      </c>
      <c r="E353" t="s">
        <v>86</v>
      </c>
      <c r="F353" t="s">
        <v>82</v>
      </c>
      <c r="G353" t="s">
        <v>24</v>
      </c>
      <c r="H353" t="s">
        <v>25</v>
      </c>
      <c r="I353" t="s">
        <v>17</v>
      </c>
      <c r="J353" t="s">
        <v>58</v>
      </c>
      <c r="K353" t="s">
        <v>59</v>
      </c>
      <c r="L353">
        <v>487.19999999999993</v>
      </c>
      <c r="M353">
        <v>100</v>
      </c>
      <c r="N353">
        <f>Hoja4!$L353*Hoja4!$M353</f>
        <v>48719.999999999993</v>
      </c>
      <c r="O353" t="str">
        <f t="shared" si="11"/>
        <v>Jue.</v>
      </c>
      <c r="P353" t="str">
        <f t="shared" si="12"/>
        <v>mayo</v>
      </c>
    </row>
    <row r="354" spans="1:16" x14ac:dyDescent="0.25">
      <c r="A354">
        <v>353</v>
      </c>
      <c r="B354">
        <v>44185</v>
      </c>
      <c r="C354">
        <v>7608023281</v>
      </c>
      <c r="D354" t="s">
        <v>32</v>
      </c>
      <c r="E354" t="s">
        <v>93</v>
      </c>
      <c r="F354" t="s">
        <v>96</v>
      </c>
      <c r="G354" t="s">
        <v>7</v>
      </c>
      <c r="H354" t="s">
        <v>8</v>
      </c>
      <c r="I354" t="s">
        <v>33</v>
      </c>
      <c r="J354" t="s">
        <v>60</v>
      </c>
      <c r="K354" t="s">
        <v>49</v>
      </c>
      <c r="L354">
        <v>140</v>
      </c>
      <c r="M354">
        <v>89</v>
      </c>
      <c r="N354">
        <f>Hoja4!$L354*Hoja4!$M354</f>
        <v>12460</v>
      </c>
      <c r="O354" t="str">
        <f t="shared" si="11"/>
        <v>Dom.</v>
      </c>
      <c r="P354" t="str">
        <f t="shared" si="12"/>
        <v>diciembre</v>
      </c>
    </row>
    <row r="355" spans="1:16" x14ac:dyDescent="0.25">
      <c r="A355">
        <v>354</v>
      </c>
      <c r="B355">
        <v>44158</v>
      </c>
      <c r="C355">
        <v>1088259448</v>
      </c>
      <c r="D355" t="s">
        <v>32</v>
      </c>
      <c r="E355" t="s">
        <v>93</v>
      </c>
      <c r="F355" t="s">
        <v>96</v>
      </c>
      <c r="G355" t="s">
        <v>7</v>
      </c>
      <c r="H355" t="s">
        <v>8</v>
      </c>
      <c r="I355" t="s">
        <v>33</v>
      </c>
      <c r="J355" t="s">
        <v>38</v>
      </c>
      <c r="K355" t="s">
        <v>39</v>
      </c>
      <c r="L355">
        <v>560</v>
      </c>
      <c r="M355">
        <v>12</v>
      </c>
      <c r="N355">
        <f>Hoja4!$L355*Hoja4!$M355</f>
        <v>6720</v>
      </c>
      <c r="O355" t="str">
        <f t="shared" si="11"/>
        <v>Lun.</v>
      </c>
      <c r="P355" t="str">
        <f t="shared" si="12"/>
        <v>noviembre</v>
      </c>
    </row>
    <row r="356" spans="1:16" x14ac:dyDescent="0.25">
      <c r="A356">
        <v>355</v>
      </c>
      <c r="B356">
        <v>43872</v>
      </c>
      <c r="C356">
        <v>8019968936</v>
      </c>
      <c r="D356" t="s">
        <v>42</v>
      </c>
      <c r="E356" t="s">
        <v>91</v>
      </c>
      <c r="F356" t="s">
        <v>91</v>
      </c>
      <c r="G356" t="s">
        <v>43</v>
      </c>
      <c r="H356" t="s">
        <v>8</v>
      </c>
      <c r="I356" t="s">
        <v>17</v>
      </c>
      <c r="J356" t="s">
        <v>61</v>
      </c>
      <c r="K356" t="s">
        <v>13</v>
      </c>
      <c r="L356">
        <v>140</v>
      </c>
      <c r="M356">
        <v>97</v>
      </c>
      <c r="N356">
        <f>Hoja4!$L356*Hoja4!$M356</f>
        <v>13580</v>
      </c>
      <c r="O356" t="str">
        <f t="shared" si="11"/>
        <v>Mar.</v>
      </c>
      <c r="P356" t="str">
        <f t="shared" si="12"/>
        <v>febrero</v>
      </c>
    </row>
    <row r="357" spans="1:16" x14ac:dyDescent="0.25">
      <c r="A357">
        <v>356</v>
      </c>
      <c r="B357">
        <v>43849</v>
      </c>
      <c r="C357">
        <v>767630917</v>
      </c>
      <c r="D357" t="s">
        <v>42</v>
      </c>
      <c r="E357" t="s">
        <v>91</v>
      </c>
      <c r="F357" t="s">
        <v>91</v>
      </c>
      <c r="G357" t="s">
        <v>43</v>
      </c>
      <c r="H357" t="s">
        <v>16</v>
      </c>
      <c r="J357" t="s">
        <v>12</v>
      </c>
      <c r="K357" t="s">
        <v>13</v>
      </c>
      <c r="L357">
        <v>49</v>
      </c>
      <c r="M357">
        <v>53</v>
      </c>
      <c r="N357">
        <f>Hoja4!$L357*Hoja4!$M357</f>
        <v>2597</v>
      </c>
      <c r="O357" t="str">
        <f t="shared" si="11"/>
        <v>Dom.</v>
      </c>
      <c r="P357" t="str">
        <f t="shared" si="12"/>
        <v>enero</v>
      </c>
    </row>
    <row r="358" spans="1:16" x14ac:dyDescent="0.25">
      <c r="A358">
        <v>357</v>
      </c>
      <c r="B358">
        <v>44148</v>
      </c>
      <c r="C358">
        <v>8764802979</v>
      </c>
      <c r="D358" t="s">
        <v>50</v>
      </c>
      <c r="E358" t="s">
        <v>85</v>
      </c>
      <c r="F358" t="s">
        <v>83</v>
      </c>
      <c r="G358" t="s">
        <v>41</v>
      </c>
      <c r="H358" t="s">
        <v>25</v>
      </c>
      <c r="J358" t="s">
        <v>38</v>
      </c>
      <c r="K358" t="s">
        <v>39</v>
      </c>
      <c r="L358">
        <v>560</v>
      </c>
      <c r="M358">
        <v>61</v>
      </c>
      <c r="N358">
        <f>Hoja4!$L358*Hoja4!$M358</f>
        <v>34160</v>
      </c>
      <c r="O358" t="str">
        <f t="shared" si="11"/>
        <v>Vie.</v>
      </c>
      <c r="P358" t="str">
        <f t="shared" si="12"/>
        <v>noviembre</v>
      </c>
    </row>
    <row r="359" spans="1:16" x14ac:dyDescent="0.25">
      <c r="A359">
        <v>358</v>
      </c>
      <c r="B359">
        <v>44136</v>
      </c>
      <c r="C359">
        <v>1212476279</v>
      </c>
      <c r="D359" t="s">
        <v>51</v>
      </c>
      <c r="E359" t="s">
        <v>90</v>
      </c>
      <c r="F359" t="s">
        <v>98</v>
      </c>
      <c r="G359" t="s">
        <v>24</v>
      </c>
      <c r="H359" t="s">
        <v>25</v>
      </c>
      <c r="J359" t="s">
        <v>52</v>
      </c>
      <c r="K359" t="s">
        <v>53</v>
      </c>
      <c r="L359">
        <v>257.59999999999997</v>
      </c>
      <c r="M359">
        <v>45</v>
      </c>
      <c r="N359">
        <f>Hoja4!$L359*Hoja4!$M359</f>
        <v>11591.999999999998</v>
      </c>
      <c r="O359" t="str">
        <f t="shared" si="11"/>
        <v>Dom.</v>
      </c>
      <c r="P359" t="str">
        <f t="shared" si="12"/>
        <v>noviembre</v>
      </c>
    </row>
    <row r="360" spans="1:16" x14ac:dyDescent="0.25">
      <c r="A360">
        <v>359</v>
      </c>
      <c r="B360">
        <v>43990</v>
      </c>
      <c r="C360">
        <v>8659179079</v>
      </c>
      <c r="D360" t="s">
        <v>40</v>
      </c>
      <c r="E360" t="s">
        <v>97</v>
      </c>
      <c r="F360" t="s">
        <v>88</v>
      </c>
      <c r="G360" t="s">
        <v>41</v>
      </c>
      <c r="H360" t="s">
        <v>25</v>
      </c>
      <c r="I360" t="s">
        <v>17</v>
      </c>
      <c r="J360" t="s">
        <v>22</v>
      </c>
      <c r="K360" t="s">
        <v>11</v>
      </c>
      <c r="L360">
        <v>644</v>
      </c>
      <c r="M360">
        <v>43</v>
      </c>
      <c r="N360">
        <f>Hoja4!$L360*Hoja4!$M360</f>
        <v>27692</v>
      </c>
      <c r="O360" t="str">
        <f t="shared" si="11"/>
        <v>Lun.</v>
      </c>
      <c r="P360" t="str">
        <f t="shared" si="12"/>
        <v>junio</v>
      </c>
    </row>
    <row r="361" spans="1:16" x14ac:dyDescent="0.25">
      <c r="A361">
        <v>360</v>
      </c>
      <c r="B361">
        <v>43938</v>
      </c>
      <c r="C361">
        <v>4311827425</v>
      </c>
      <c r="D361" t="s">
        <v>54</v>
      </c>
      <c r="E361" t="s">
        <v>89</v>
      </c>
      <c r="F361" t="s">
        <v>84</v>
      </c>
      <c r="G361" t="s">
        <v>55</v>
      </c>
      <c r="H361" t="s">
        <v>16</v>
      </c>
      <c r="I361" t="s">
        <v>9</v>
      </c>
      <c r="J361" t="s">
        <v>34</v>
      </c>
      <c r="K361" t="s">
        <v>35</v>
      </c>
      <c r="L361">
        <v>135.1</v>
      </c>
      <c r="M361">
        <v>18</v>
      </c>
      <c r="N361">
        <f>Hoja4!$L361*Hoja4!$M361</f>
        <v>2431.7999999999997</v>
      </c>
      <c r="O361" t="str">
        <f t="shared" si="11"/>
        <v>Vie.</v>
      </c>
      <c r="P361" t="str">
        <f t="shared" si="12"/>
        <v>abril</v>
      </c>
    </row>
    <row r="362" spans="1:16" x14ac:dyDescent="0.25">
      <c r="A362">
        <v>361</v>
      </c>
      <c r="B362">
        <v>44010</v>
      </c>
      <c r="C362">
        <v>7400116244</v>
      </c>
      <c r="D362" t="s">
        <v>36</v>
      </c>
      <c r="E362" t="s">
        <v>92</v>
      </c>
      <c r="F362" t="s">
        <v>99</v>
      </c>
      <c r="G362" t="s">
        <v>37</v>
      </c>
      <c r="H362" t="s">
        <v>8</v>
      </c>
      <c r="I362" t="s">
        <v>17</v>
      </c>
      <c r="J362" t="s">
        <v>30</v>
      </c>
      <c r="K362" t="s">
        <v>31</v>
      </c>
      <c r="L362">
        <v>178.5</v>
      </c>
      <c r="M362">
        <v>41</v>
      </c>
      <c r="N362">
        <f>Hoja4!$L362*Hoja4!$M362</f>
        <v>7318.5</v>
      </c>
      <c r="O362" t="str">
        <f t="shared" si="11"/>
        <v>Dom.</v>
      </c>
      <c r="P362" t="str">
        <f t="shared" si="12"/>
        <v>junio</v>
      </c>
    </row>
    <row r="363" spans="1:16" x14ac:dyDescent="0.25">
      <c r="A363">
        <v>362</v>
      </c>
      <c r="B363">
        <v>43946</v>
      </c>
      <c r="C363">
        <v>8550780121</v>
      </c>
      <c r="D363" t="s">
        <v>23</v>
      </c>
      <c r="E363" t="s">
        <v>86</v>
      </c>
      <c r="F363" t="s">
        <v>82</v>
      </c>
      <c r="G363" t="s">
        <v>24</v>
      </c>
      <c r="H363" t="s">
        <v>8</v>
      </c>
      <c r="I363" t="s">
        <v>9</v>
      </c>
      <c r="J363" t="s">
        <v>30</v>
      </c>
      <c r="K363" t="s">
        <v>31</v>
      </c>
      <c r="L363">
        <v>178.5</v>
      </c>
      <c r="M363">
        <v>19</v>
      </c>
      <c r="N363">
        <f>Hoja4!$L363*Hoja4!$M363</f>
        <v>3391.5</v>
      </c>
      <c r="O363" t="str">
        <f t="shared" si="11"/>
        <v>Sáb.</v>
      </c>
      <c r="P363" t="str">
        <f t="shared" si="12"/>
        <v>abril</v>
      </c>
    </row>
    <row r="364" spans="1:16" x14ac:dyDescent="0.25">
      <c r="A364">
        <v>363</v>
      </c>
      <c r="B364">
        <v>44042</v>
      </c>
      <c r="C364">
        <v>9461451917</v>
      </c>
      <c r="D364" t="s">
        <v>62</v>
      </c>
      <c r="E364" t="s">
        <v>91</v>
      </c>
      <c r="F364" t="s">
        <v>91</v>
      </c>
      <c r="G364" t="s">
        <v>43</v>
      </c>
      <c r="H364" t="s">
        <v>16</v>
      </c>
      <c r="I364" t="s">
        <v>33</v>
      </c>
      <c r="J364" t="s">
        <v>48</v>
      </c>
      <c r="K364" t="s">
        <v>49</v>
      </c>
      <c r="L364">
        <v>308</v>
      </c>
      <c r="M364">
        <v>65</v>
      </c>
      <c r="N364">
        <f>Hoja4!$L364*Hoja4!$M364</f>
        <v>20020</v>
      </c>
      <c r="O364" t="str">
        <f t="shared" si="11"/>
        <v>Jue.</v>
      </c>
      <c r="P364" t="str">
        <f t="shared" si="12"/>
        <v>julio</v>
      </c>
    </row>
    <row r="365" spans="1:16" x14ac:dyDescent="0.25">
      <c r="A365">
        <v>364</v>
      </c>
      <c r="B365">
        <v>44026</v>
      </c>
      <c r="C365">
        <v>3160888933</v>
      </c>
      <c r="D365" t="s">
        <v>63</v>
      </c>
      <c r="E365" t="s">
        <v>85</v>
      </c>
      <c r="F365" t="s">
        <v>83</v>
      </c>
      <c r="G365" t="s">
        <v>41</v>
      </c>
      <c r="H365" t="s">
        <v>25</v>
      </c>
      <c r="I365" t="s">
        <v>17</v>
      </c>
      <c r="J365" t="s">
        <v>46</v>
      </c>
      <c r="K365" t="s">
        <v>47</v>
      </c>
      <c r="L365">
        <v>350</v>
      </c>
      <c r="M365">
        <v>13</v>
      </c>
      <c r="N365">
        <f>Hoja4!$L365*Hoja4!$M365</f>
        <v>4550</v>
      </c>
      <c r="O365" t="str">
        <f t="shared" si="11"/>
        <v>Mar.</v>
      </c>
      <c r="P365" t="str">
        <f t="shared" si="12"/>
        <v>julio</v>
      </c>
    </row>
    <row r="366" spans="1:16" x14ac:dyDescent="0.25">
      <c r="A366">
        <v>365</v>
      </c>
      <c r="B366">
        <v>44046</v>
      </c>
      <c r="C366">
        <v>6433254443</v>
      </c>
      <c r="D366" t="s">
        <v>28</v>
      </c>
      <c r="E366" t="s">
        <v>89</v>
      </c>
      <c r="F366" t="s">
        <v>84</v>
      </c>
      <c r="G366" t="s">
        <v>29</v>
      </c>
      <c r="H366" t="s">
        <v>8</v>
      </c>
      <c r="I366" t="s">
        <v>9</v>
      </c>
      <c r="J366" t="s">
        <v>64</v>
      </c>
      <c r="K366" t="s">
        <v>65</v>
      </c>
      <c r="L366">
        <v>546</v>
      </c>
      <c r="M366">
        <v>54</v>
      </c>
      <c r="N366">
        <f>Hoja4!$L366*Hoja4!$M366</f>
        <v>29484</v>
      </c>
      <c r="O366" t="str">
        <f t="shared" si="11"/>
        <v>Lun.</v>
      </c>
      <c r="P366" t="str">
        <f t="shared" si="12"/>
        <v>agosto</v>
      </c>
    </row>
    <row r="367" spans="1:16" x14ac:dyDescent="0.25">
      <c r="A367">
        <v>366</v>
      </c>
      <c r="B367">
        <v>43986</v>
      </c>
      <c r="C367">
        <v>8977261174</v>
      </c>
      <c r="D367" t="s">
        <v>36</v>
      </c>
      <c r="E367" t="s">
        <v>92</v>
      </c>
      <c r="F367" t="s">
        <v>99</v>
      </c>
      <c r="G367" t="s">
        <v>37</v>
      </c>
      <c r="H367" t="s">
        <v>25</v>
      </c>
      <c r="I367" t="s">
        <v>9</v>
      </c>
      <c r="J367" t="s">
        <v>18</v>
      </c>
      <c r="K367" t="s">
        <v>13</v>
      </c>
      <c r="L367">
        <v>420</v>
      </c>
      <c r="M367">
        <v>33</v>
      </c>
      <c r="N367">
        <f>Hoja4!$L367*Hoja4!$M367</f>
        <v>13860</v>
      </c>
      <c r="O367" t="str">
        <f t="shared" si="11"/>
        <v>Jue.</v>
      </c>
      <c r="P367" t="str">
        <f t="shared" si="12"/>
        <v>junio</v>
      </c>
    </row>
    <row r="368" spans="1:16" x14ac:dyDescent="0.25">
      <c r="A368">
        <v>367</v>
      </c>
      <c r="B368">
        <v>43939</v>
      </c>
      <c r="C368">
        <v>7770716054</v>
      </c>
      <c r="D368" t="s">
        <v>36</v>
      </c>
      <c r="E368" t="s">
        <v>92</v>
      </c>
      <c r="F368" t="s">
        <v>99</v>
      </c>
      <c r="G368" t="s">
        <v>37</v>
      </c>
      <c r="H368" t="s">
        <v>25</v>
      </c>
      <c r="I368" t="s">
        <v>9</v>
      </c>
      <c r="J368" t="s">
        <v>19</v>
      </c>
      <c r="K368" t="s">
        <v>13</v>
      </c>
      <c r="L368">
        <v>742</v>
      </c>
      <c r="M368">
        <v>34</v>
      </c>
      <c r="N368">
        <f>Hoja4!$L368*Hoja4!$M368</f>
        <v>25228</v>
      </c>
      <c r="O368" t="str">
        <f t="shared" si="11"/>
        <v>Sáb.</v>
      </c>
      <c r="P368" t="str">
        <f t="shared" si="12"/>
        <v>abril</v>
      </c>
    </row>
    <row r="369" spans="1:16" x14ac:dyDescent="0.25">
      <c r="A369">
        <v>368</v>
      </c>
      <c r="B369">
        <v>44179</v>
      </c>
      <c r="C369">
        <v>2754807386</v>
      </c>
      <c r="D369" t="s">
        <v>14</v>
      </c>
      <c r="E369" t="s">
        <v>81</v>
      </c>
      <c r="F369" t="s">
        <v>94</v>
      </c>
      <c r="G369" t="s">
        <v>15</v>
      </c>
      <c r="J369" t="s">
        <v>66</v>
      </c>
      <c r="K369" t="s">
        <v>57</v>
      </c>
      <c r="L369">
        <v>532</v>
      </c>
      <c r="M369">
        <v>59</v>
      </c>
      <c r="N369">
        <f>Hoja4!$L369*Hoja4!$M369</f>
        <v>31388</v>
      </c>
      <c r="O369" t="str">
        <f t="shared" si="11"/>
        <v>Lun.</v>
      </c>
      <c r="P369" t="str">
        <f t="shared" si="12"/>
        <v>diciembre</v>
      </c>
    </row>
    <row r="370" spans="1:16" x14ac:dyDescent="0.25">
      <c r="A370">
        <v>369</v>
      </c>
      <c r="B370">
        <v>43987</v>
      </c>
      <c r="C370">
        <v>3873424489</v>
      </c>
      <c r="D370" t="s">
        <v>32</v>
      </c>
      <c r="E370" t="s">
        <v>93</v>
      </c>
      <c r="F370" t="s">
        <v>96</v>
      </c>
      <c r="G370" t="s">
        <v>7</v>
      </c>
      <c r="J370" t="s">
        <v>44</v>
      </c>
      <c r="K370" t="s">
        <v>11</v>
      </c>
      <c r="L370">
        <v>41.86</v>
      </c>
      <c r="M370">
        <v>24</v>
      </c>
      <c r="N370">
        <f>Hoja4!$L370*Hoja4!$M370</f>
        <v>1004.64</v>
      </c>
      <c r="O370" t="str">
        <f t="shared" si="11"/>
        <v>Vie.</v>
      </c>
      <c r="P370" t="str">
        <f t="shared" si="12"/>
        <v>junio</v>
      </c>
    </row>
  </sheetData>
  <sortState xmlns:xlrd2="http://schemas.microsoft.com/office/spreadsheetml/2017/richdata2" caseSensitive="1" ref="A2:P334">
    <sortCondition ref="K2:K334"/>
  </sortState>
  <phoneticPr fontId="5" type="noConversion"/>
  <conditionalFormatting sqref="A2:R370">
    <cfRule type="expression" dxfId="2" priority="4">
      <formula>AND(OR($O2="Jue.",$P2="abril"),$M2&lt;50)</formula>
    </cfRule>
  </conditionalFormatting>
  <conditionalFormatting sqref="AG10:AG45">
    <cfRule type="cellIs" dxfId="1" priority="1" operator="equal">
      <formula>"Lun."</formula>
    </cfRule>
  </conditionalFormatting>
  <dataValidations count="3">
    <dataValidation type="list" allowBlank="1" showInputMessage="1" showErrorMessage="1" errorTitle="ERROR!!!" error="Celda en blanco" promptTitle="Mes" prompt="Seleccione mes" sqref="S1" xr:uid="{8E4C58ED-AEE3-4370-92E8-1CAD34F3F01F}">
      <formula1>mes</formula1>
    </dataValidation>
    <dataValidation type="list" allowBlank="1" showInputMessage="1" showErrorMessage="1" sqref="T1" xr:uid="{76114C49-2C57-441A-A96A-8F38657FAB41}">
      <formula1>titulo</formula1>
    </dataValidation>
    <dataValidation type="list" allowBlank="1" showInputMessage="1" showErrorMessage="1" sqref="W1" xr:uid="{75026946-2288-4546-83D6-C266ACB3BAFF}">
      <formula1>$Y$1:$Y$2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C92A9-96B3-44DB-BA19-CDFBDEC8038D}">
  <dimension ref="A1:A10"/>
  <sheetViews>
    <sheetView workbookViewId="0">
      <selection activeCell="A2" sqref="A2"/>
    </sheetView>
  </sheetViews>
  <sheetFormatPr baseColWidth="10" defaultRowHeight="15" x14ac:dyDescent="0.25"/>
  <cols>
    <col min="1" max="1" width="30" bestFit="1" customWidth="1"/>
  </cols>
  <sheetData>
    <row r="1" spans="1:1" x14ac:dyDescent="0.25">
      <c r="A1" t="s">
        <v>154</v>
      </c>
    </row>
    <row r="2" spans="1:1" x14ac:dyDescent="0.25">
      <c r="A2" s="13">
        <v>43863</v>
      </c>
    </row>
    <row r="3" spans="1:1" x14ac:dyDescent="0.25">
      <c r="A3" s="14">
        <v>43908</v>
      </c>
    </row>
    <row r="4" spans="1:1" x14ac:dyDescent="0.25">
      <c r="A4" s="14">
        <v>43930</v>
      </c>
    </row>
    <row r="5" spans="1:1" x14ac:dyDescent="0.25">
      <c r="A5" s="14">
        <v>43944</v>
      </c>
    </row>
    <row r="6" spans="1:1" x14ac:dyDescent="0.25">
      <c r="A6" s="13">
        <v>43974</v>
      </c>
    </row>
    <row r="7" spans="1:1" x14ac:dyDescent="0.25">
      <c r="A7" s="13">
        <v>44068</v>
      </c>
    </row>
    <row r="8" spans="1:1" x14ac:dyDescent="0.25">
      <c r="A8" s="14">
        <v>44133</v>
      </c>
    </row>
    <row r="9" spans="1:1" x14ac:dyDescent="0.25">
      <c r="A9" s="14">
        <v>44158</v>
      </c>
    </row>
    <row r="10" spans="1:1" x14ac:dyDescent="0.25">
      <c r="A10" s="13">
        <v>44184</v>
      </c>
    </row>
  </sheetData>
  <sortState xmlns:xlrd2="http://schemas.microsoft.com/office/spreadsheetml/2017/richdata2" caseSensitive="1" ref="A2:A10">
    <sortCondition ref="A2:A10"/>
  </sortState>
  <conditionalFormatting sqref="A2:A10">
    <cfRule type="expression" dxfId="0" priority="1">
      <formula>AND(OR($O2="Jue.",$P2="abril"),$M2&lt;50)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ECECB-554E-472F-B578-33158E4EFA06}">
  <dimension ref="A1:P13"/>
  <sheetViews>
    <sheetView tabSelected="1" workbookViewId="0">
      <selection activeCell="H1" sqref="H1"/>
    </sheetView>
  </sheetViews>
  <sheetFormatPr baseColWidth="10" defaultRowHeight="15" x14ac:dyDescent="0.25"/>
  <cols>
    <col min="8" max="8" width="11.85546875" bestFit="1" customWidth="1"/>
    <col min="9" max="9" width="10.7109375" bestFit="1" customWidth="1"/>
  </cols>
  <sheetData>
    <row r="1" spans="1:16" x14ac:dyDescent="0.25">
      <c r="A1" t="s">
        <v>133</v>
      </c>
      <c r="G1" t="s">
        <v>170</v>
      </c>
      <c r="H1" t="s">
        <v>168</v>
      </c>
      <c r="J1">
        <f>IF(H1="Ascendente",1,-1)</f>
        <v>1</v>
      </c>
      <c r="K1" t="s">
        <v>168</v>
      </c>
    </row>
    <row r="2" spans="1:16" x14ac:dyDescent="0.25">
      <c r="A2" t="str" cm="1">
        <f t="array" ref="A2:A13">_xlfn._xlws.SORT(_xlfn.UNIQUE(Tabla2[mes]),1,J1)</f>
        <v>abril</v>
      </c>
      <c r="K2" t="s">
        <v>169</v>
      </c>
      <c r="N2" s="20" t="str">
        <f t="array" ref="N2:N13">IF(MIN(LEN(periodo))=LEN(periodo),ROW(),"")</f>
        <v/>
      </c>
      <c r="P2" s="21" t="str">
        <f t="array" ref="P2:P13">IF(MAX(LEN(periodo))=LEN(periodo),ROW(),"")</f>
        <v/>
      </c>
    </row>
    <row r="3" spans="1:16" x14ac:dyDescent="0.25">
      <c r="A3" t="str">
        <v>agosto</v>
      </c>
      <c r="N3" s="20" t="str">
        <v/>
      </c>
      <c r="P3" s="21" t="str">
        <v/>
      </c>
    </row>
    <row r="4" spans="1:16" x14ac:dyDescent="0.25">
      <c r="A4" t="str">
        <v>diciembre</v>
      </c>
      <c r="N4" s="20" t="str">
        <v/>
      </c>
      <c r="P4" s="21" t="str">
        <v/>
      </c>
    </row>
    <row r="5" spans="1:16" x14ac:dyDescent="0.25">
      <c r="A5" t="str">
        <v>enero</v>
      </c>
      <c r="G5" t="s">
        <v>173</v>
      </c>
      <c r="H5" t="s">
        <v>174</v>
      </c>
      <c r="N5" s="20" t="str">
        <v/>
      </c>
      <c r="P5" s="21" t="str">
        <v/>
      </c>
    </row>
    <row r="6" spans="1:16" x14ac:dyDescent="0.25">
      <c r="A6" t="str">
        <v>febrero</v>
      </c>
      <c r="F6" t="s">
        <v>171</v>
      </c>
      <c r="G6">
        <f t="array" ref="G6">MIN(LEN(periodo))</f>
        <v>4</v>
      </c>
      <c r="H6">
        <f>SUM(datmes)</f>
        <v>10</v>
      </c>
      <c r="I6" t="str" cm="1">
        <f t="array" ref="I6">INDEX(periodo,H6-1,1)</f>
        <v>mayo</v>
      </c>
      <c r="N6" s="20" t="str">
        <v/>
      </c>
      <c r="P6" s="21" t="str">
        <v/>
      </c>
    </row>
    <row r="7" spans="1:16" x14ac:dyDescent="0.25">
      <c r="A7" t="str">
        <v>julio</v>
      </c>
      <c r="F7" t="s">
        <v>172</v>
      </c>
      <c r="G7" cm="1">
        <f t="array" ref="G7">MAX(LEN(periodo))</f>
        <v>10</v>
      </c>
      <c r="H7">
        <f>SUM(maxmes)</f>
        <v>13</v>
      </c>
      <c r="I7" t="str" cm="1">
        <f t="array" ref="I7">INDEX(periodo,H7-1,1)</f>
        <v>septiembre</v>
      </c>
      <c r="N7" s="20" t="str">
        <v/>
      </c>
      <c r="P7" s="21" t="str">
        <v/>
      </c>
    </row>
    <row r="8" spans="1:16" x14ac:dyDescent="0.25">
      <c r="A8" t="str">
        <v>junio</v>
      </c>
      <c r="N8" s="20" t="str">
        <v/>
      </c>
      <c r="P8" s="21" t="str">
        <v/>
      </c>
    </row>
    <row r="9" spans="1:16" x14ac:dyDescent="0.25">
      <c r="A9" t="str">
        <v>marzo</v>
      </c>
      <c r="N9" s="20" t="str">
        <v/>
      </c>
      <c r="P9" s="21" t="str">
        <v/>
      </c>
    </row>
    <row r="10" spans="1:16" x14ac:dyDescent="0.25">
      <c r="A10" t="str">
        <v>mayo</v>
      </c>
      <c r="N10" s="20">
        <v>10</v>
      </c>
      <c r="P10" s="21" t="str">
        <v/>
      </c>
    </row>
    <row r="11" spans="1:16" x14ac:dyDescent="0.25">
      <c r="A11" t="str">
        <v>noviembre</v>
      </c>
      <c r="N11" s="20" t="str">
        <v/>
      </c>
      <c r="P11" s="21" t="str">
        <v/>
      </c>
    </row>
    <row r="12" spans="1:16" x14ac:dyDescent="0.25">
      <c r="A12" t="str">
        <v>octubre</v>
      </c>
      <c r="N12" s="20" t="str">
        <v/>
      </c>
      <c r="P12" s="21" t="str">
        <v/>
      </c>
    </row>
    <row r="13" spans="1:16" x14ac:dyDescent="0.25">
      <c r="A13" t="str">
        <v>septiembre</v>
      </c>
      <c r="N13" s="20" t="str">
        <v/>
      </c>
      <c r="P13" s="21">
        <v>13</v>
      </c>
    </row>
  </sheetData>
  <dataValidations count="1">
    <dataValidation type="list" allowBlank="1" showInputMessage="1" showErrorMessage="1" sqref="H1:I1" xr:uid="{34EDCC06-3BCA-4FC2-88F4-944A7C1C083E}">
      <formula1>orden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7054-7689-4246-8FCA-50A830972B2A}">
  <sheetPr codeName="Hoja4"/>
  <dimension ref="A1:E75"/>
  <sheetViews>
    <sheetView topLeftCell="A56" workbookViewId="0">
      <selection activeCell="L34" sqref="L34"/>
    </sheetView>
  </sheetViews>
  <sheetFormatPr baseColWidth="10" defaultRowHeight="15" x14ac:dyDescent="0.25"/>
  <cols>
    <col min="1" max="1" width="17.5703125" bestFit="1" customWidth="1"/>
    <col min="2" max="2" width="16.7109375" bestFit="1" customWidth="1"/>
    <col min="4" max="4" width="12" bestFit="1" customWidth="1"/>
  </cols>
  <sheetData>
    <row r="1" spans="1:2" x14ac:dyDescent="0.25">
      <c r="A1" s="6" t="s">
        <v>101</v>
      </c>
      <c r="B1" t="s">
        <v>119</v>
      </c>
    </row>
    <row r="2" spans="1:2" x14ac:dyDescent="0.25">
      <c r="A2" s="7" t="s">
        <v>103</v>
      </c>
      <c r="B2" s="8">
        <v>136478.99999999997</v>
      </c>
    </row>
    <row r="3" spans="1:2" x14ac:dyDescent="0.25">
      <c r="A3" s="7" t="s">
        <v>104</v>
      </c>
      <c r="B3" s="8">
        <v>93438.8</v>
      </c>
    </row>
    <row r="4" spans="1:2" x14ac:dyDescent="0.25">
      <c r="A4" s="7" t="s">
        <v>105</v>
      </c>
      <c r="B4" s="8">
        <v>35119</v>
      </c>
    </row>
    <row r="5" spans="1:2" x14ac:dyDescent="0.25">
      <c r="A5" s="7" t="s">
        <v>106</v>
      </c>
      <c r="B5" s="8">
        <v>75152.98</v>
      </c>
    </row>
    <row r="6" spans="1:2" x14ac:dyDescent="0.25">
      <c r="A6" s="7" t="s">
        <v>107</v>
      </c>
      <c r="B6" s="8">
        <v>127651.3</v>
      </c>
    </row>
    <row r="7" spans="1:2" x14ac:dyDescent="0.25">
      <c r="A7" s="7" t="s">
        <v>108</v>
      </c>
      <c r="B7" s="8">
        <v>52267.459999999992</v>
      </c>
    </row>
    <row r="8" spans="1:2" x14ac:dyDescent="0.25">
      <c r="A8" s="7" t="s">
        <v>109</v>
      </c>
      <c r="B8" s="8">
        <v>51023.280000000006</v>
      </c>
    </row>
    <row r="9" spans="1:2" x14ac:dyDescent="0.25">
      <c r="A9" s="7" t="s">
        <v>110</v>
      </c>
      <c r="B9" s="8">
        <v>96993.4</v>
      </c>
    </row>
    <row r="10" spans="1:2" x14ac:dyDescent="0.25">
      <c r="A10" s="7" t="s">
        <v>111</v>
      </c>
      <c r="B10" s="8">
        <v>200744.6</v>
      </c>
    </row>
    <row r="11" spans="1:2" x14ac:dyDescent="0.25">
      <c r="A11" s="7" t="s">
        <v>112</v>
      </c>
      <c r="B11" s="8">
        <v>190532.16</v>
      </c>
    </row>
    <row r="12" spans="1:2" x14ac:dyDescent="0.25">
      <c r="A12" s="7" t="s">
        <v>113</v>
      </c>
      <c r="B12" s="8">
        <v>130488.79999999999</v>
      </c>
    </row>
    <row r="13" spans="1:2" x14ac:dyDescent="0.25">
      <c r="A13" s="7" t="s">
        <v>114</v>
      </c>
      <c r="B13" s="8">
        <v>61275.9</v>
      </c>
    </row>
    <row r="14" spans="1:2" x14ac:dyDescent="0.25">
      <c r="A14" s="7" t="s">
        <v>102</v>
      </c>
      <c r="B14" s="8">
        <v>1251166.68</v>
      </c>
    </row>
    <row r="18" spans="1:2" x14ac:dyDescent="0.25">
      <c r="A18" s="6" t="s">
        <v>101</v>
      </c>
      <c r="B18" t="s">
        <v>119</v>
      </c>
    </row>
    <row r="19" spans="1:2" x14ac:dyDescent="0.25">
      <c r="A19" s="7" t="s">
        <v>41</v>
      </c>
      <c r="B19" s="8">
        <v>1251166.6799999997</v>
      </c>
    </row>
    <row r="20" spans="1:2" x14ac:dyDescent="0.25">
      <c r="A20" s="7" t="s">
        <v>102</v>
      </c>
      <c r="B20" s="8">
        <v>1251166.6799999997</v>
      </c>
    </row>
    <row r="31" spans="1:2" x14ac:dyDescent="0.25">
      <c r="A31" s="6" t="s">
        <v>101</v>
      </c>
      <c r="B31" t="s">
        <v>119</v>
      </c>
    </row>
    <row r="32" spans="1:2" x14ac:dyDescent="0.25">
      <c r="A32" s="7" t="s">
        <v>69</v>
      </c>
      <c r="B32" s="8">
        <v>186513.6</v>
      </c>
    </row>
    <row r="33" spans="1:2" x14ac:dyDescent="0.25">
      <c r="A33" s="7" t="s">
        <v>11</v>
      </c>
      <c r="B33" s="8">
        <v>375437.97999999992</v>
      </c>
    </row>
    <row r="34" spans="1:2" x14ac:dyDescent="0.25">
      <c r="A34" s="7" t="s">
        <v>53</v>
      </c>
      <c r="B34" s="8">
        <v>252236.59999999998</v>
      </c>
    </row>
    <row r="35" spans="1:2" x14ac:dyDescent="0.25">
      <c r="A35" s="7" t="s">
        <v>13</v>
      </c>
      <c r="B35" s="8">
        <v>23009</v>
      </c>
    </row>
    <row r="36" spans="1:2" x14ac:dyDescent="0.25">
      <c r="A36" s="7" t="s">
        <v>47</v>
      </c>
      <c r="B36" s="8">
        <v>18200</v>
      </c>
    </row>
    <row r="37" spans="1:2" x14ac:dyDescent="0.25">
      <c r="A37" s="7" t="s">
        <v>39</v>
      </c>
      <c r="B37" s="8">
        <v>258720</v>
      </c>
    </row>
    <row r="38" spans="1:2" x14ac:dyDescent="0.25">
      <c r="A38" s="7" t="s">
        <v>35</v>
      </c>
      <c r="B38" s="8">
        <v>137049.5</v>
      </c>
    </row>
    <row r="39" spans="1:2" x14ac:dyDescent="0.25">
      <c r="A39" s="7" t="s">
        <v>5</v>
      </c>
      <c r="B39" s="8"/>
    </row>
    <row r="40" spans="1:2" x14ac:dyDescent="0.25">
      <c r="A40" s="7" t="s">
        <v>102</v>
      </c>
      <c r="B40" s="8">
        <v>1251166.68</v>
      </c>
    </row>
    <row r="51" spans="1:5" x14ac:dyDescent="0.25">
      <c r="A51" s="6" t="s">
        <v>101</v>
      </c>
      <c r="B51" t="s">
        <v>119</v>
      </c>
    </row>
    <row r="52" spans="1:5" x14ac:dyDescent="0.25">
      <c r="A52" s="7" t="s">
        <v>116</v>
      </c>
      <c r="B52" s="8">
        <v>467858.9800000001</v>
      </c>
    </row>
    <row r="53" spans="1:5" x14ac:dyDescent="0.25">
      <c r="A53" s="7" t="s">
        <v>117</v>
      </c>
      <c r="B53" s="8">
        <v>480123.7</v>
      </c>
    </row>
    <row r="54" spans="1:5" x14ac:dyDescent="0.25">
      <c r="A54" s="7" t="s">
        <v>118</v>
      </c>
      <c r="B54" s="8">
        <v>241360</v>
      </c>
    </row>
    <row r="55" spans="1:5" x14ac:dyDescent="0.25">
      <c r="A55" s="7" t="s">
        <v>120</v>
      </c>
      <c r="B55" s="8">
        <v>61824</v>
      </c>
    </row>
    <row r="56" spans="1:5" x14ac:dyDescent="0.25">
      <c r="A56" s="7" t="s">
        <v>102</v>
      </c>
      <c r="B56" s="8">
        <v>1251166.6800000002</v>
      </c>
    </row>
    <row r="64" spans="1:5" x14ac:dyDescent="0.25">
      <c r="A64" s="6" t="s">
        <v>101</v>
      </c>
      <c r="B64" t="s">
        <v>121</v>
      </c>
      <c r="D64" t="s">
        <v>123</v>
      </c>
      <c r="E64" t="s">
        <v>124</v>
      </c>
    </row>
    <row r="65" spans="1:5" x14ac:dyDescent="0.25">
      <c r="A65" s="7" t="s">
        <v>88</v>
      </c>
      <c r="B65" s="8">
        <v>31</v>
      </c>
      <c r="D65" s="7" t="s">
        <v>95</v>
      </c>
      <c r="E65" t="e">
        <f>GETPIVOTDATA("Ventas",$A$64,"Provincia","Azuay")</f>
        <v>#REF!</v>
      </c>
    </row>
    <row r="66" spans="1:5" x14ac:dyDescent="0.25">
      <c r="A66" s="7" t="s">
        <v>83</v>
      </c>
      <c r="B66" s="8">
        <v>55</v>
      </c>
      <c r="D66" s="7" t="s">
        <v>94</v>
      </c>
      <c r="E66" t="e">
        <f>GETPIVOTDATA("Ventas",$A$64,"Provincia","Canar")</f>
        <v>#REF!</v>
      </c>
    </row>
    <row r="67" spans="1:5" x14ac:dyDescent="0.25">
      <c r="A67" s="7" t="s">
        <v>102</v>
      </c>
      <c r="B67" s="8">
        <v>86</v>
      </c>
      <c r="D67" s="7" t="s">
        <v>82</v>
      </c>
      <c r="E67" t="e">
        <f>GETPIVOTDATA("Ventas",$A$64,"Provincia","Chimborazo")</f>
        <v>#REF!</v>
      </c>
    </row>
    <row r="68" spans="1:5" x14ac:dyDescent="0.25">
      <c r="D68" s="7" t="s">
        <v>96</v>
      </c>
      <c r="E68" t="e">
        <f>GETPIVOTDATA("Ventas",$A$64,"Provincia","El Oro")</f>
        <v>#REF!</v>
      </c>
    </row>
    <row r="69" spans="1:5" x14ac:dyDescent="0.25">
      <c r="D69" s="7" t="s">
        <v>91</v>
      </c>
      <c r="E69" t="e">
        <f>GETPIVOTDATA("Ventas",$A$64,"Provincia","Esmeraldas")</f>
        <v>#REF!</v>
      </c>
    </row>
    <row r="70" spans="1:5" x14ac:dyDescent="0.25">
      <c r="D70" s="7" t="s">
        <v>87</v>
      </c>
      <c r="E70" t="e">
        <f>GETPIVOTDATA("Ventas",$A$64,"Provincia","Guaranda")</f>
        <v>#REF!</v>
      </c>
    </row>
    <row r="71" spans="1:5" x14ac:dyDescent="0.25">
      <c r="D71" s="7" t="s">
        <v>84</v>
      </c>
      <c r="E71" t="e">
        <f>GETPIVOTDATA("Ventas",$A$64,"Provincia","Guayas")</f>
        <v>#REF!</v>
      </c>
    </row>
    <row r="72" spans="1:5" x14ac:dyDescent="0.25">
      <c r="D72" s="7" t="s">
        <v>99</v>
      </c>
      <c r="E72" t="e">
        <f>GETPIVOTDATA("Ventas",$A$64,"Provincia","Imbabura")</f>
        <v>#REF!</v>
      </c>
    </row>
    <row r="73" spans="1:5" x14ac:dyDescent="0.25">
      <c r="D73" s="7" t="s">
        <v>88</v>
      </c>
      <c r="E73">
        <f>GETPIVOTDATA("Ventas",$A$64,"Provincia","Manabi")</f>
        <v>31</v>
      </c>
    </row>
    <row r="74" spans="1:5" x14ac:dyDescent="0.25">
      <c r="D74" s="7" t="s">
        <v>83</v>
      </c>
      <c r="E74">
        <f>GETPIVOTDATA("Ventas",$A$64,"Provincia","Pichincha")</f>
        <v>55</v>
      </c>
    </row>
    <row r="75" spans="1:5" x14ac:dyDescent="0.25">
      <c r="D75" s="7" t="s">
        <v>98</v>
      </c>
      <c r="E75" t="e">
        <f>GETPIVOTDATA("Ventas",$A$64,"Provincia","Tungurahua")</f>
        <v>#REF!</v>
      </c>
    </row>
  </sheetData>
  <pageMargins left="0.7" right="0.7" top="0.75" bottom="0.75" header="0.3" footer="0.3"/>
  <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2AED6-E63F-4CE1-B054-C252CEE4EE86}">
  <sheetPr codeName="Hoja2"/>
  <dimension ref="A2:F20"/>
  <sheetViews>
    <sheetView zoomScale="82" zoomScaleNormal="82" workbookViewId="0">
      <selection activeCell="D13" sqref="D13"/>
    </sheetView>
  </sheetViews>
  <sheetFormatPr baseColWidth="10" defaultRowHeight="15" x14ac:dyDescent="0.25"/>
  <cols>
    <col min="1" max="1" width="17.85546875" bestFit="1" customWidth="1"/>
    <col min="2" max="2" width="22.85546875" bestFit="1" customWidth="1"/>
    <col min="3" max="4" width="22.7109375" bestFit="1" customWidth="1"/>
    <col min="5" max="5" width="22.85546875" bestFit="1" customWidth="1"/>
    <col min="6" max="6" width="12.5703125" bestFit="1" customWidth="1"/>
    <col min="7" max="7" width="5.42578125" bestFit="1" customWidth="1"/>
    <col min="8" max="9" width="4.28515625" bestFit="1" customWidth="1"/>
    <col min="10" max="14" width="5.42578125" bestFit="1" customWidth="1"/>
    <col min="15" max="15" width="4.28515625" bestFit="1" customWidth="1"/>
    <col min="16" max="16" width="5.42578125" bestFit="1" customWidth="1"/>
    <col min="17" max="17" width="4.28515625" bestFit="1" customWidth="1"/>
    <col min="18" max="19" width="5.42578125" bestFit="1" customWidth="1"/>
    <col min="20" max="20" width="9.5703125" bestFit="1" customWidth="1"/>
    <col min="21" max="21" width="5.42578125" bestFit="1" customWidth="1"/>
    <col min="22" max="22" width="4.28515625" bestFit="1" customWidth="1"/>
    <col min="23" max="24" width="5.42578125" bestFit="1" customWidth="1"/>
    <col min="25" max="25" width="6.42578125" bestFit="1" customWidth="1"/>
    <col min="26" max="26" width="5.42578125" bestFit="1" customWidth="1"/>
    <col min="27" max="27" width="6.42578125" bestFit="1" customWidth="1"/>
    <col min="28" max="29" width="9.5703125" bestFit="1" customWidth="1"/>
    <col min="30" max="30" width="7.42578125" bestFit="1" customWidth="1"/>
    <col min="31" max="31" width="8.5703125" bestFit="1" customWidth="1"/>
    <col min="32" max="33" width="7.42578125" bestFit="1" customWidth="1"/>
    <col min="34" max="34" width="9.5703125" bestFit="1" customWidth="1"/>
    <col min="35" max="35" width="7.42578125" bestFit="1" customWidth="1"/>
    <col min="36" max="36" width="9.5703125" bestFit="1" customWidth="1"/>
    <col min="37" max="39" width="7.42578125" bestFit="1" customWidth="1"/>
    <col min="40" max="40" width="9.5703125" bestFit="1" customWidth="1"/>
    <col min="41" max="41" width="7.42578125" bestFit="1" customWidth="1"/>
    <col min="42" max="42" width="6.42578125" bestFit="1" customWidth="1"/>
    <col min="43" max="44" width="7.42578125" bestFit="1" customWidth="1"/>
    <col min="45" max="45" width="6.42578125" bestFit="1" customWidth="1"/>
    <col min="46" max="46" width="7.42578125" bestFit="1" customWidth="1"/>
    <col min="47" max="47" width="22.85546875" bestFit="1" customWidth="1"/>
    <col min="48" max="48" width="12.5703125" bestFit="1" customWidth="1"/>
    <col min="49" max="50" width="11.140625" bestFit="1" customWidth="1"/>
    <col min="51" max="51" width="10.140625" bestFit="1" customWidth="1"/>
    <col min="52" max="55" width="11.140625" bestFit="1" customWidth="1"/>
    <col min="56" max="56" width="10.140625" bestFit="1" customWidth="1"/>
    <col min="57" max="59" width="11.140625" bestFit="1" customWidth="1"/>
    <col min="60" max="60" width="8.5703125" bestFit="1" customWidth="1"/>
    <col min="61" max="61" width="10.140625" bestFit="1" customWidth="1"/>
    <col min="62" max="62" width="11.140625" bestFit="1" customWidth="1"/>
    <col min="63" max="64" width="10.140625" bestFit="1" customWidth="1"/>
    <col min="65" max="65" width="11.140625" bestFit="1" customWidth="1"/>
    <col min="66" max="66" width="10.140625" bestFit="1" customWidth="1"/>
    <col min="67" max="69" width="11.140625" bestFit="1" customWidth="1"/>
    <col min="70" max="70" width="10.140625" bestFit="1" customWidth="1"/>
    <col min="71" max="71" width="8.5703125" bestFit="1" customWidth="1"/>
    <col min="72" max="73" width="10.140625" bestFit="1" customWidth="1"/>
    <col min="74" max="77" width="11.140625" bestFit="1" customWidth="1"/>
    <col min="78" max="78" width="10.140625" bestFit="1" customWidth="1"/>
    <col min="79" max="79" width="8.5703125" bestFit="1" customWidth="1"/>
    <col min="80" max="81" width="11.140625" bestFit="1" customWidth="1"/>
    <col min="82" max="82" width="9.42578125" bestFit="1" customWidth="1"/>
    <col min="83" max="84" width="11.140625" bestFit="1" customWidth="1"/>
    <col min="85" max="85" width="10.140625" bestFit="1" customWidth="1"/>
    <col min="86" max="87" width="11.140625" bestFit="1" customWidth="1"/>
    <col min="88" max="88" width="10.140625" bestFit="1" customWidth="1"/>
    <col min="89" max="89" width="11.140625" bestFit="1" customWidth="1"/>
    <col min="90" max="90" width="10.140625" bestFit="1" customWidth="1"/>
    <col min="91" max="93" width="11.140625" bestFit="1" customWidth="1"/>
    <col min="94" max="94" width="10.140625" bestFit="1" customWidth="1"/>
    <col min="95" max="95" width="11.140625" bestFit="1" customWidth="1"/>
    <col min="96" max="96" width="10.140625" bestFit="1" customWidth="1"/>
    <col min="97" max="97" width="12.140625" bestFit="1" customWidth="1"/>
    <col min="98" max="98" width="11.140625" bestFit="1" customWidth="1"/>
    <col min="99" max="99" width="10.140625" bestFit="1" customWidth="1"/>
    <col min="100" max="101" width="11.140625" bestFit="1" customWidth="1"/>
    <col min="102" max="102" width="10.140625" bestFit="1" customWidth="1"/>
    <col min="103" max="103" width="11.140625" bestFit="1" customWidth="1"/>
    <col min="104" max="104" width="8.5703125" bestFit="1" customWidth="1"/>
    <col min="105" max="105" width="11.140625" bestFit="1" customWidth="1"/>
    <col min="106" max="106" width="10.140625" bestFit="1" customWidth="1"/>
    <col min="107" max="109" width="11.140625" bestFit="1" customWidth="1"/>
    <col min="110" max="110" width="10.140625" bestFit="1" customWidth="1"/>
    <col min="111" max="111" width="11.140625" bestFit="1" customWidth="1"/>
    <col min="112" max="112" width="10.140625" bestFit="1" customWidth="1"/>
    <col min="113" max="113" width="11.140625" bestFit="1" customWidth="1"/>
    <col min="114" max="114" width="10.140625" bestFit="1" customWidth="1"/>
    <col min="115" max="120" width="11.140625" bestFit="1" customWidth="1"/>
    <col min="121" max="121" width="10.140625" bestFit="1" customWidth="1"/>
    <col min="122" max="122" width="11.140625" bestFit="1" customWidth="1"/>
    <col min="123" max="123" width="10.140625" bestFit="1" customWidth="1"/>
    <col min="124" max="133" width="11.140625" bestFit="1" customWidth="1"/>
    <col min="134" max="134" width="12.140625" bestFit="1" customWidth="1"/>
    <col min="135" max="138" width="11.140625" bestFit="1" customWidth="1"/>
    <col min="139" max="139" width="10.140625" bestFit="1" customWidth="1"/>
    <col min="140" max="146" width="11.140625" bestFit="1" customWidth="1"/>
    <col min="147" max="147" width="10.140625" bestFit="1" customWidth="1"/>
    <col min="148" max="149" width="11.140625" bestFit="1" customWidth="1"/>
    <col min="150" max="150" width="10.140625" bestFit="1" customWidth="1"/>
    <col min="151" max="156" width="11.140625" bestFit="1" customWidth="1"/>
    <col min="157" max="157" width="10.140625" bestFit="1" customWidth="1"/>
    <col min="158" max="158" width="11.140625" bestFit="1" customWidth="1"/>
    <col min="159" max="159" width="10.140625" bestFit="1" customWidth="1"/>
    <col min="160" max="160" width="11.140625" bestFit="1" customWidth="1"/>
    <col min="161" max="161" width="10.140625" bestFit="1" customWidth="1"/>
    <col min="162" max="165" width="11.140625" bestFit="1" customWidth="1"/>
    <col min="166" max="166" width="10.140625" bestFit="1" customWidth="1"/>
    <col min="167" max="167" width="11.140625" bestFit="1" customWidth="1"/>
    <col min="168" max="169" width="10.140625" bestFit="1" customWidth="1"/>
    <col min="170" max="171" width="11.140625" bestFit="1" customWidth="1"/>
    <col min="172" max="172" width="10.140625" bestFit="1" customWidth="1"/>
    <col min="173" max="175" width="11.140625" bestFit="1" customWidth="1"/>
    <col min="176" max="176" width="10.140625" bestFit="1" customWidth="1"/>
    <col min="177" max="177" width="11.140625" bestFit="1" customWidth="1"/>
    <col min="178" max="178" width="10.140625" bestFit="1" customWidth="1"/>
    <col min="179" max="179" width="12.140625" bestFit="1" customWidth="1"/>
    <col min="180" max="183" width="11.140625" bestFit="1" customWidth="1"/>
    <col min="184" max="184" width="10.140625" bestFit="1" customWidth="1"/>
    <col min="185" max="187" width="11.140625" bestFit="1" customWidth="1"/>
    <col min="188" max="189" width="10.140625" bestFit="1" customWidth="1"/>
    <col min="190" max="192" width="11.140625" bestFit="1" customWidth="1"/>
    <col min="193" max="193" width="10.140625" bestFit="1" customWidth="1"/>
    <col min="194" max="194" width="11.140625" bestFit="1" customWidth="1"/>
    <col min="195" max="195" width="10.140625" bestFit="1" customWidth="1"/>
    <col min="196" max="196" width="11.140625" bestFit="1" customWidth="1"/>
    <col min="197" max="197" width="10.140625" bestFit="1" customWidth="1"/>
    <col min="198" max="198" width="11.140625" bestFit="1" customWidth="1"/>
    <col min="199" max="199" width="10.140625" bestFit="1" customWidth="1"/>
    <col min="200" max="200" width="8.5703125" bestFit="1" customWidth="1"/>
    <col min="201" max="206" width="11.140625" bestFit="1" customWidth="1"/>
    <col min="207" max="208" width="10.140625" bestFit="1" customWidth="1"/>
    <col min="209" max="209" width="11.140625" bestFit="1" customWidth="1"/>
    <col min="210" max="210" width="10.140625" bestFit="1" customWidth="1"/>
    <col min="211" max="216" width="11.140625" bestFit="1" customWidth="1"/>
    <col min="217" max="217" width="8.5703125" bestFit="1" customWidth="1"/>
    <col min="218" max="223" width="11.140625" bestFit="1" customWidth="1"/>
    <col min="224" max="224" width="8.5703125" bestFit="1" customWidth="1"/>
    <col min="225" max="227" width="11.140625" bestFit="1" customWidth="1"/>
    <col min="228" max="228" width="10.140625" bestFit="1" customWidth="1"/>
    <col min="229" max="229" width="11.140625" bestFit="1" customWidth="1"/>
    <col min="230" max="230" width="13.7109375" bestFit="1" customWidth="1"/>
    <col min="231" max="231" width="12.5703125" bestFit="1" customWidth="1"/>
  </cols>
  <sheetData>
    <row r="2" spans="1:6" x14ac:dyDescent="0.25">
      <c r="A2" s="6" t="s">
        <v>119</v>
      </c>
      <c r="B2" s="6" t="s">
        <v>126</v>
      </c>
    </row>
    <row r="3" spans="1:6" x14ac:dyDescent="0.25">
      <c r="A3" s="6" t="s">
        <v>101</v>
      </c>
      <c r="B3" t="s">
        <v>16</v>
      </c>
      <c r="C3" t="s">
        <v>8</v>
      </c>
      <c r="D3" t="s">
        <v>25</v>
      </c>
      <c r="E3" t="s">
        <v>127</v>
      </c>
      <c r="F3" t="s">
        <v>102</v>
      </c>
    </row>
    <row r="4" spans="1:6" x14ac:dyDescent="0.25">
      <c r="A4" s="7" t="s">
        <v>129</v>
      </c>
      <c r="B4" s="8">
        <v>273600</v>
      </c>
      <c r="C4" s="8">
        <v>426442.88</v>
      </c>
      <c r="D4" s="8">
        <v>368287.7</v>
      </c>
      <c r="E4" s="8">
        <v>192336.16</v>
      </c>
      <c r="F4" s="8">
        <v>1260666.74</v>
      </c>
    </row>
    <row r="5" spans="1:6" x14ac:dyDescent="0.25">
      <c r="A5" s="11" t="s">
        <v>103</v>
      </c>
      <c r="B5" s="8">
        <v>156543.80000000002</v>
      </c>
      <c r="C5" s="8">
        <v>130643.68</v>
      </c>
      <c r="D5" s="8">
        <v>150223.79999999999</v>
      </c>
      <c r="E5" s="8">
        <v>110858.16</v>
      </c>
      <c r="F5" s="8">
        <v>548269.43999999994</v>
      </c>
    </row>
    <row r="6" spans="1:6" x14ac:dyDescent="0.25">
      <c r="A6" s="11" t="s">
        <v>104</v>
      </c>
      <c r="B6" s="8">
        <v>54181.4</v>
      </c>
      <c r="C6" s="8">
        <v>127872</v>
      </c>
      <c r="D6" s="8">
        <v>125981.69999999998</v>
      </c>
      <c r="E6" s="8">
        <v>64876</v>
      </c>
      <c r="F6" s="8">
        <v>372911.1</v>
      </c>
    </row>
    <row r="7" spans="1:6" x14ac:dyDescent="0.25">
      <c r="A7" s="11" t="s">
        <v>105</v>
      </c>
      <c r="B7" s="8">
        <v>62874.8</v>
      </c>
      <c r="C7" s="8">
        <v>167927.2</v>
      </c>
      <c r="D7" s="8">
        <v>92082.2</v>
      </c>
      <c r="E7" s="8">
        <v>16602</v>
      </c>
      <c r="F7" s="8">
        <v>339486.2</v>
      </c>
    </row>
    <row r="8" spans="1:6" x14ac:dyDescent="0.25">
      <c r="A8" s="7" t="s">
        <v>130</v>
      </c>
      <c r="B8" s="8">
        <v>575142.1</v>
      </c>
      <c r="C8" s="8">
        <v>291836.58</v>
      </c>
      <c r="D8" s="8">
        <v>419517.83999999997</v>
      </c>
      <c r="E8" s="8">
        <v>359459.54000000004</v>
      </c>
      <c r="F8" s="8">
        <v>1645956.06</v>
      </c>
    </row>
    <row r="9" spans="1:6" x14ac:dyDescent="0.25">
      <c r="A9" s="11" t="s">
        <v>106</v>
      </c>
      <c r="B9" s="8">
        <v>239261.6</v>
      </c>
      <c r="C9" s="8">
        <v>67442.2</v>
      </c>
      <c r="D9" s="8">
        <v>108366.58</v>
      </c>
      <c r="E9" s="8">
        <v>213745.84</v>
      </c>
      <c r="F9" s="8">
        <v>628816.22</v>
      </c>
    </row>
    <row r="10" spans="1:6" x14ac:dyDescent="0.25">
      <c r="A10" s="11" t="s">
        <v>107</v>
      </c>
      <c r="B10" s="8">
        <v>152017.79999999999</v>
      </c>
      <c r="C10" s="8">
        <v>52412.78</v>
      </c>
      <c r="D10" s="8">
        <v>234135.30000000002</v>
      </c>
      <c r="E10" s="8">
        <v>101384.92</v>
      </c>
      <c r="F10" s="8">
        <v>539950.80000000005</v>
      </c>
    </row>
    <row r="11" spans="1:6" x14ac:dyDescent="0.25">
      <c r="A11" s="11" t="s">
        <v>108</v>
      </c>
      <c r="B11" s="8">
        <v>183862.69999999998</v>
      </c>
      <c r="C11" s="8">
        <v>171981.6</v>
      </c>
      <c r="D11" s="8">
        <v>77015.959999999992</v>
      </c>
      <c r="E11" s="8">
        <v>44328.78</v>
      </c>
      <c r="F11" s="8">
        <v>477189.04000000004</v>
      </c>
    </row>
    <row r="12" spans="1:6" x14ac:dyDescent="0.25">
      <c r="A12" s="7" t="s">
        <v>131</v>
      </c>
      <c r="B12" s="8">
        <v>429424.30000000005</v>
      </c>
      <c r="C12" s="8">
        <v>402677.07999999996</v>
      </c>
      <c r="D12" s="8">
        <v>558133.58000000007</v>
      </c>
      <c r="E12" s="8">
        <v>143944.36000000002</v>
      </c>
      <c r="F12" s="8">
        <v>1534179.32</v>
      </c>
    </row>
    <row r="13" spans="1:6" x14ac:dyDescent="0.25">
      <c r="A13" s="11" t="s">
        <v>109</v>
      </c>
      <c r="B13" s="8">
        <v>150893.4</v>
      </c>
      <c r="C13" s="8">
        <v>145070</v>
      </c>
      <c r="D13" s="8">
        <v>136537.58000000002</v>
      </c>
      <c r="E13" s="8">
        <v>32509.82</v>
      </c>
      <c r="F13" s="8">
        <v>465010.80000000005</v>
      </c>
    </row>
    <row r="14" spans="1:6" x14ac:dyDescent="0.25">
      <c r="A14" s="11" t="s">
        <v>110</v>
      </c>
      <c r="B14" s="8">
        <v>184722.5</v>
      </c>
      <c r="C14" s="8">
        <v>176487.3</v>
      </c>
      <c r="D14" s="8">
        <v>143864.69999999998</v>
      </c>
      <c r="E14" s="8">
        <v>59892</v>
      </c>
      <c r="F14" s="8">
        <v>564966.5</v>
      </c>
    </row>
    <row r="15" spans="1:6" x14ac:dyDescent="0.25">
      <c r="A15" s="11" t="s">
        <v>111</v>
      </c>
      <c r="B15" s="8">
        <v>93808.4</v>
      </c>
      <c r="C15" s="8">
        <v>81119.78</v>
      </c>
      <c r="D15" s="8">
        <v>277731.3</v>
      </c>
      <c r="E15" s="8">
        <v>51542.54</v>
      </c>
      <c r="F15" s="8">
        <v>504202.01999999996</v>
      </c>
    </row>
    <row r="16" spans="1:6" x14ac:dyDescent="0.25">
      <c r="A16" s="7" t="s">
        <v>132</v>
      </c>
      <c r="B16" s="8">
        <v>300068</v>
      </c>
      <c r="C16" s="8">
        <v>369048.9</v>
      </c>
      <c r="D16" s="8">
        <v>477701.45999999996</v>
      </c>
      <c r="E16" s="8">
        <v>50288</v>
      </c>
      <c r="F16" s="8">
        <v>1197106.3599999999</v>
      </c>
    </row>
    <row r="17" spans="1:6" x14ac:dyDescent="0.25">
      <c r="A17" s="11" t="s">
        <v>112</v>
      </c>
      <c r="B17" s="8">
        <v>172751.6</v>
      </c>
      <c r="C17" s="8">
        <v>129344.6</v>
      </c>
      <c r="D17" s="8">
        <v>223903.26</v>
      </c>
      <c r="E17" s="8"/>
      <c r="F17" s="8">
        <v>525999.46</v>
      </c>
    </row>
    <row r="18" spans="1:6" x14ac:dyDescent="0.25">
      <c r="A18" s="11" t="s">
        <v>113</v>
      </c>
      <c r="B18" s="8">
        <v>31864</v>
      </c>
      <c r="C18" s="8">
        <v>119965.5</v>
      </c>
      <c r="D18" s="8">
        <v>171637.8</v>
      </c>
      <c r="E18" s="8">
        <v>8316</v>
      </c>
      <c r="F18" s="8">
        <v>331783.3</v>
      </c>
    </row>
    <row r="19" spans="1:6" x14ac:dyDescent="0.25">
      <c r="A19" s="11" t="s">
        <v>114</v>
      </c>
      <c r="B19" s="8">
        <v>95452.4</v>
      </c>
      <c r="C19" s="8">
        <v>119738.8</v>
      </c>
      <c r="D19" s="8">
        <v>82160.399999999994</v>
      </c>
      <c r="E19" s="8">
        <v>41972</v>
      </c>
      <c r="F19" s="8">
        <v>339323.6</v>
      </c>
    </row>
    <row r="20" spans="1:6" x14ac:dyDescent="0.25">
      <c r="A20" s="7" t="s">
        <v>102</v>
      </c>
      <c r="B20" s="8">
        <v>1578234.4</v>
      </c>
      <c r="C20" s="8">
        <v>1490005.4400000002</v>
      </c>
      <c r="D20" s="8">
        <v>1823640.58</v>
      </c>
      <c r="E20" s="8">
        <v>746028.05999999994</v>
      </c>
      <c r="F20" s="8">
        <v>5637908.4799999986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17FE9-902F-4413-950E-FE45349310DB}">
  <sheetPr codeName="Hoja5"/>
  <dimension ref="A1:J5"/>
  <sheetViews>
    <sheetView topLeftCell="A8" zoomScale="87" zoomScaleNormal="87" workbookViewId="0">
      <selection activeCell="L34" sqref="L34"/>
    </sheetView>
  </sheetViews>
  <sheetFormatPr baseColWidth="10" defaultRowHeight="15" x14ac:dyDescent="0.25"/>
  <cols>
    <col min="1" max="16384" width="11.42578125" style="9"/>
  </cols>
  <sheetData>
    <row r="1" spans="1:10" x14ac:dyDescent="0.25">
      <c r="A1" s="16" t="s">
        <v>125</v>
      </c>
      <c r="B1" s="17"/>
      <c r="C1" s="17"/>
      <c r="D1" s="17"/>
      <c r="E1" s="17"/>
      <c r="F1" s="17"/>
      <c r="G1" s="17"/>
      <c r="H1" s="17"/>
      <c r="I1" s="17"/>
      <c r="J1" s="17"/>
    </row>
    <row r="2" spans="1:10" x14ac:dyDescent="0.25">
      <c r="A2" s="17"/>
      <c r="B2" s="17"/>
      <c r="C2" s="17"/>
      <c r="D2" s="17"/>
      <c r="E2" s="17"/>
      <c r="F2" s="17"/>
      <c r="G2" s="17"/>
      <c r="H2" s="17"/>
      <c r="I2" s="17"/>
      <c r="J2" s="17"/>
    </row>
    <row r="3" spans="1:10" x14ac:dyDescent="0.25">
      <c r="A3" s="18" t="s">
        <v>122</v>
      </c>
      <c r="B3" s="18"/>
      <c r="C3" s="18"/>
      <c r="D3" s="18"/>
      <c r="E3" s="18"/>
      <c r="F3" s="18"/>
      <c r="G3" s="18"/>
      <c r="H3" s="18"/>
      <c r="I3" s="18"/>
      <c r="J3" s="18"/>
    </row>
    <row r="4" spans="1:10" x14ac:dyDescent="0.25">
      <c r="A4" s="19"/>
      <c r="B4" s="19"/>
      <c r="C4" s="19"/>
      <c r="D4" s="19"/>
      <c r="E4" s="19"/>
      <c r="F4" s="19"/>
      <c r="G4" s="19"/>
      <c r="H4" s="19"/>
      <c r="I4" s="19"/>
      <c r="J4" s="19"/>
    </row>
    <row r="5" spans="1:10" x14ac:dyDescent="0.25">
      <c r="D5" s="10"/>
    </row>
  </sheetData>
  <mergeCells count="2">
    <mergeCell ref="A1:J2"/>
    <mergeCell ref="A3:J4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8BCB2-E7A6-41A4-B4AE-40C869699D10}">
  <sheetPr codeName="Hoja6">
    <tabColor rgb="FF00B050"/>
  </sheetPr>
  <dimension ref="A1:R37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N372"/>
    </sheetView>
  </sheetViews>
  <sheetFormatPr baseColWidth="10" defaultColWidth="10.85546875" defaultRowHeight="15" x14ac:dyDescent="0.25"/>
  <cols>
    <col min="1" max="1" width="16.28515625" customWidth="1"/>
    <col min="2" max="2" width="12.42578125" style="1" bestFit="1" customWidth="1"/>
    <col min="3" max="3" width="14.140625" customWidth="1"/>
    <col min="4" max="4" width="12.85546875" bestFit="1" customWidth="1"/>
    <col min="5" max="5" width="12.140625" bestFit="1" customWidth="1"/>
    <col min="6" max="6" width="14.140625" customWidth="1"/>
    <col min="7" max="7" width="25" bestFit="1" customWidth="1"/>
    <col min="8" max="8" width="24.42578125" bestFit="1" customWidth="1"/>
    <col min="9" max="9" width="20.140625" customWidth="1"/>
    <col min="10" max="10" width="25" bestFit="1" customWidth="1"/>
    <col min="11" max="11" width="22" bestFit="1" customWidth="1"/>
    <col min="12" max="12" width="12" style="2" customWidth="1"/>
    <col min="13" max="13" width="14.85546875" style="2" customWidth="1"/>
    <col min="14" max="14" width="13.140625" style="2" bestFit="1" customWidth="1"/>
    <col min="15" max="15" width="15.85546875" bestFit="1" customWidth="1"/>
    <col min="16" max="16" width="11.85546875" bestFit="1" customWidth="1"/>
    <col min="18" max="18" width="22.42578125" bestFit="1" customWidth="1"/>
  </cols>
  <sheetData>
    <row r="1" spans="1:18" s="3" customFormat="1" ht="30" customHeight="1" x14ac:dyDescent="0.25">
      <c r="A1" s="3" t="s">
        <v>73</v>
      </c>
      <c r="B1" s="4" t="s">
        <v>74</v>
      </c>
      <c r="C1" s="3" t="s">
        <v>79</v>
      </c>
      <c r="D1" s="3" t="s">
        <v>100</v>
      </c>
      <c r="E1" s="3" t="s">
        <v>0</v>
      </c>
      <c r="F1" s="3" t="s">
        <v>75</v>
      </c>
      <c r="G1" s="3" t="s">
        <v>1</v>
      </c>
      <c r="H1" s="3" t="s">
        <v>76</v>
      </c>
      <c r="I1" s="3" t="s">
        <v>2</v>
      </c>
      <c r="J1" s="3" t="s">
        <v>77</v>
      </c>
      <c r="K1" s="3" t="s">
        <v>3</v>
      </c>
      <c r="L1" s="5" t="s">
        <v>78</v>
      </c>
      <c r="M1" s="5" t="s">
        <v>4</v>
      </c>
      <c r="N1" s="5" t="s">
        <v>115</v>
      </c>
      <c r="R1" s="3">
        <f>IF(INDEX(Tabla1[],ROWS(Tabla1[]),1)="",ROWS(Tabla1[])+1,ROWS(Tabla1[])+2)</f>
        <v>373</v>
      </c>
    </row>
    <row r="2" spans="1:18" x14ac:dyDescent="0.25">
      <c r="A2">
        <v>1</v>
      </c>
      <c r="B2" s="1">
        <v>43930</v>
      </c>
      <c r="C2">
        <v>9259377217</v>
      </c>
      <c r="D2" t="s">
        <v>6</v>
      </c>
      <c r="E2" t="s">
        <v>80</v>
      </c>
      <c r="F2" t="s">
        <v>95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>
        <v>14</v>
      </c>
      <c r="M2" s="2">
        <v>10</v>
      </c>
      <c r="N2" s="2">
        <f>normalizar!$L2*normalizar!$M2</f>
        <v>140</v>
      </c>
    </row>
    <row r="3" spans="1:18" x14ac:dyDescent="0.25">
      <c r="A3">
        <v>2</v>
      </c>
      <c r="B3" s="1">
        <v>44068</v>
      </c>
      <c r="C3">
        <v>6185253419</v>
      </c>
      <c r="D3" t="s">
        <v>6</v>
      </c>
      <c r="E3" t="s">
        <v>80</v>
      </c>
      <c r="F3" t="s">
        <v>95</v>
      </c>
      <c r="G3" t="s">
        <v>7</v>
      </c>
      <c r="H3" t="s">
        <v>8</v>
      </c>
      <c r="I3" t="s">
        <v>9</v>
      </c>
      <c r="J3" t="s">
        <v>12</v>
      </c>
      <c r="K3" t="s">
        <v>13</v>
      </c>
      <c r="L3" s="2">
        <v>34</v>
      </c>
      <c r="M3" s="2">
        <v>1</v>
      </c>
      <c r="N3" s="2">
        <f>normalizar!$L3*normalizar!$M3</f>
        <v>34</v>
      </c>
    </row>
    <row r="4" spans="1:18" x14ac:dyDescent="0.25">
      <c r="A4">
        <v>3</v>
      </c>
      <c r="B4" s="1">
        <v>43908</v>
      </c>
      <c r="C4">
        <v>2308885942</v>
      </c>
      <c r="D4" t="s">
        <v>14</v>
      </c>
      <c r="E4" t="s">
        <v>81</v>
      </c>
      <c r="F4" t="s">
        <v>94</v>
      </c>
      <c r="G4" t="s">
        <v>15</v>
      </c>
      <c r="H4" t="s">
        <v>16</v>
      </c>
      <c r="I4" t="s">
        <v>17</v>
      </c>
      <c r="J4" t="s">
        <v>18</v>
      </c>
      <c r="K4" t="s">
        <v>13</v>
      </c>
      <c r="L4" s="2">
        <v>14</v>
      </c>
      <c r="M4" s="2">
        <v>57</v>
      </c>
      <c r="N4" s="2">
        <f>normalizar!$L4*normalizar!$M4</f>
        <v>798</v>
      </c>
    </row>
    <row r="5" spans="1:18" x14ac:dyDescent="0.25">
      <c r="A5">
        <v>4</v>
      </c>
      <c r="B5" s="1">
        <v>43974</v>
      </c>
      <c r="C5">
        <v>6199717898</v>
      </c>
      <c r="D5" t="s">
        <v>14</v>
      </c>
      <c r="E5" t="s">
        <v>81</v>
      </c>
      <c r="F5" t="s">
        <v>94</v>
      </c>
      <c r="G5" t="s">
        <v>15</v>
      </c>
      <c r="H5" t="s">
        <v>16</v>
      </c>
      <c r="I5" t="s">
        <v>17</v>
      </c>
      <c r="J5" t="s">
        <v>19</v>
      </c>
      <c r="K5" t="s">
        <v>13</v>
      </c>
      <c r="L5" s="2">
        <v>16</v>
      </c>
      <c r="M5" s="2">
        <v>72</v>
      </c>
      <c r="N5" s="2">
        <f>normalizar!$L5*normalizar!$M5</f>
        <v>1152</v>
      </c>
    </row>
    <row r="6" spans="1:18" x14ac:dyDescent="0.25">
      <c r="A6">
        <v>5</v>
      </c>
      <c r="B6" s="1">
        <v>43944</v>
      </c>
      <c r="C6">
        <v>5540683029</v>
      </c>
      <c r="D6" t="s">
        <v>14</v>
      </c>
      <c r="E6" t="s">
        <v>81</v>
      </c>
      <c r="F6" t="s">
        <v>94</v>
      </c>
      <c r="G6" t="s">
        <v>15</v>
      </c>
      <c r="H6" t="s">
        <v>16</v>
      </c>
      <c r="I6" t="s">
        <v>17</v>
      </c>
      <c r="J6" t="s">
        <v>12</v>
      </c>
      <c r="K6" t="s">
        <v>13</v>
      </c>
      <c r="L6" s="2">
        <v>12</v>
      </c>
      <c r="M6" s="2">
        <v>68</v>
      </c>
      <c r="N6" s="2">
        <f>normalizar!$L6*normalizar!$M6</f>
        <v>816</v>
      </c>
    </row>
    <row r="7" spans="1:18" x14ac:dyDescent="0.25">
      <c r="A7">
        <v>6</v>
      </c>
      <c r="B7" s="1">
        <v>44184</v>
      </c>
      <c r="C7">
        <v>6343955045</v>
      </c>
      <c r="D7" t="s">
        <v>20</v>
      </c>
      <c r="E7" t="s">
        <v>80</v>
      </c>
      <c r="F7" t="s">
        <v>95</v>
      </c>
      <c r="G7" t="s">
        <v>7</v>
      </c>
      <c r="H7" t="s">
        <v>8</v>
      </c>
      <c r="I7" t="s">
        <v>17</v>
      </c>
      <c r="J7" t="s">
        <v>21</v>
      </c>
      <c r="K7" t="s">
        <v>11</v>
      </c>
      <c r="L7" s="2">
        <v>22</v>
      </c>
      <c r="M7" s="2">
        <v>29</v>
      </c>
      <c r="N7" s="2">
        <f>normalizar!$L7*normalizar!$M7</f>
        <v>638</v>
      </c>
    </row>
    <row r="8" spans="1:18" x14ac:dyDescent="0.25">
      <c r="A8">
        <v>7</v>
      </c>
      <c r="B8" s="1">
        <v>44133</v>
      </c>
      <c r="C8">
        <v>1572125717</v>
      </c>
      <c r="D8" t="s">
        <v>20</v>
      </c>
      <c r="E8" t="s">
        <v>80</v>
      </c>
      <c r="F8" t="s">
        <v>95</v>
      </c>
      <c r="G8" t="s">
        <v>7</v>
      </c>
      <c r="H8" t="s">
        <v>8</v>
      </c>
      <c r="I8" t="s">
        <v>17</v>
      </c>
      <c r="J8" t="s">
        <v>22</v>
      </c>
      <c r="K8" t="s">
        <v>11</v>
      </c>
      <c r="L8" s="2">
        <v>42</v>
      </c>
      <c r="M8" s="2">
        <v>41</v>
      </c>
      <c r="N8" s="2">
        <f>normalizar!$L8*normalizar!$M8</f>
        <v>1722</v>
      </c>
    </row>
    <row r="9" spans="1:18" x14ac:dyDescent="0.25">
      <c r="A9">
        <v>8</v>
      </c>
      <c r="B9" s="1">
        <v>43863</v>
      </c>
      <c r="C9">
        <v>3776895536</v>
      </c>
      <c r="D9" t="s">
        <v>23</v>
      </c>
      <c r="E9" t="s">
        <v>86</v>
      </c>
      <c r="F9" t="s">
        <v>82</v>
      </c>
      <c r="G9" t="s">
        <v>24</v>
      </c>
      <c r="H9" t="s">
        <v>25</v>
      </c>
      <c r="I9" t="s">
        <v>17</v>
      </c>
      <c r="J9" t="s">
        <v>26</v>
      </c>
      <c r="K9" t="s">
        <v>27</v>
      </c>
      <c r="L9" s="2">
        <v>11</v>
      </c>
      <c r="M9" s="2">
        <v>18</v>
      </c>
      <c r="N9" s="2">
        <f>normalizar!$L9*normalizar!$M9</f>
        <v>198</v>
      </c>
    </row>
    <row r="10" spans="1:18" x14ac:dyDescent="0.25">
      <c r="A10">
        <v>9</v>
      </c>
      <c r="B10" s="1">
        <v>44158</v>
      </c>
      <c r="C10">
        <v>390733860</v>
      </c>
      <c r="D10" t="s">
        <v>14</v>
      </c>
      <c r="E10" t="s">
        <v>81</v>
      </c>
      <c r="F10" t="s">
        <v>94</v>
      </c>
      <c r="G10" t="s">
        <v>15</v>
      </c>
      <c r="H10" t="s">
        <v>25</v>
      </c>
      <c r="I10" t="s">
        <v>9</v>
      </c>
      <c r="J10" t="s">
        <v>26</v>
      </c>
      <c r="K10" t="s">
        <v>27</v>
      </c>
      <c r="L10" s="2">
        <v>29</v>
      </c>
      <c r="M10" s="2">
        <v>73</v>
      </c>
      <c r="N10" s="2">
        <f>normalizar!$L10*normalizar!$M10</f>
        <v>2117</v>
      </c>
    </row>
    <row r="11" spans="1:18" x14ac:dyDescent="0.25">
      <c r="A11">
        <v>10</v>
      </c>
      <c r="B11" s="1">
        <v>43863</v>
      </c>
      <c r="C11">
        <v>2456709195</v>
      </c>
      <c r="D11" t="s">
        <v>28</v>
      </c>
      <c r="E11" t="s">
        <v>89</v>
      </c>
      <c r="F11" t="s">
        <v>84</v>
      </c>
      <c r="G11" t="s">
        <v>29</v>
      </c>
      <c r="H11" t="s">
        <v>8</v>
      </c>
      <c r="I11" t="s">
        <v>9</v>
      </c>
      <c r="J11" t="s">
        <v>30</v>
      </c>
      <c r="K11" t="s">
        <v>31</v>
      </c>
      <c r="L11" s="2">
        <v>12</v>
      </c>
      <c r="M11" s="2">
        <v>79</v>
      </c>
      <c r="N11" s="2">
        <f>normalizar!$L11*normalizar!$M11</f>
        <v>948</v>
      </c>
    </row>
    <row r="12" spans="1:18" x14ac:dyDescent="0.25">
      <c r="A12">
        <v>11</v>
      </c>
      <c r="B12" s="1">
        <v>43999</v>
      </c>
      <c r="C12">
        <v>5766090086</v>
      </c>
      <c r="D12" t="s">
        <v>32</v>
      </c>
      <c r="E12" t="s">
        <v>93</v>
      </c>
      <c r="F12" t="s">
        <v>96</v>
      </c>
      <c r="G12" t="s">
        <v>7</v>
      </c>
      <c r="H12" t="s">
        <v>8</v>
      </c>
      <c r="I12" t="s">
        <v>33</v>
      </c>
      <c r="J12" t="s">
        <v>34</v>
      </c>
      <c r="K12" t="s">
        <v>35</v>
      </c>
      <c r="L12" s="2">
        <v>28</v>
      </c>
      <c r="M12" s="2">
        <v>37</v>
      </c>
      <c r="N12" s="2">
        <f>normalizar!$L12*normalizar!$M12</f>
        <v>1036</v>
      </c>
    </row>
    <row r="13" spans="1:18" x14ac:dyDescent="0.25">
      <c r="A13">
        <v>12</v>
      </c>
      <c r="B13" s="1">
        <v>44045</v>
      </c>
      <c r="C13">
        <v>4872781256</v>
      </c>
      <c r="D13" t="s">
        <v>36</v>
      </c>
      <c r="E13" t="s">
        <v>92</v>
      </c>
      <c r="F13" t="s">
        <v>99</v>
      </c>
      <c r="G13" t="s">
        <v>37</v>
      </c>
      <c r="H13" t="s">
        <v>8</v>
      </c>
      <c r="I13" t="s">
        <v>17</v>
      </c>
      <c r="J13" t="s">
        <v>38</v>
      </c>
      <c r="K13" t="s">
        <v>39</v>
      </c>
      <c r="L13" s="2">
        <v>33</v>
      </c>
      <c r="M13" s="2">
        <v>64</v>
      </c>
      <c r="N13" s="2">
        <f>normalizar!$L13*normalizar!$M13</f>
        <v>2112</v>
      </c>
    </row>
    <row r="14" spans="1:18" x14ac:dyDescent="0.25">
      <c r="A14">
        <v>13</v>
      </c>
      <c r="B14" s="1">
        <v>43843</v>
      </c>
      <c r="C14">
        <v>4213140599</v>
      </c>
      <c r="D14" t="s">
        <v>40</v>
      </c>
      <c r="E14" t="s">
        <v>97</v>
      </c>
      <c r="F14" t="s">
        <v>88</v>
      </c>
      <c r="G14" t="s">
        <v>41</v>
      </c>
      <c r="H14" t="s">
        <v>25</v>
      </c>
      <c r="I14" t="s">
        <v>9</v>
      </c>
      <c r="J14" t="s">
        <v>22</v>
      </c>
      <c r="K14" t="s">
        <v>11</v>
      </c>
      <c r="L14" s="2">
        <v>21</v>
      </c>
      <c r="M14" s="2">
        <v>96</v>
      </c>
      <c r="N14" s="2">
        <f>normalizar!$L14*normalizar!$M14</f>
        <v>2016</v>
      </c>
    </row>
    <row r="15" spans="1:18" x14ac:dyDescent="0.25">
      <c r="A15">
        <v>14</v>
      </c>
      <c r="B15" s="1">
        <v>43861</v>
      </c>
      <c r="C15">
        <v>9433063552</v>
      </c>
      <c r="D15" t="s">
        <v>23</v>
      </c>
      <c r="E15" t="s">
        <v>86</v>
      </c>
      <c r="F15" t="s">
        <v>82</v>
      </c>
      <c r="G15" t="s">
        <v>24</v>
      </c>
      <c r="H15" t="s">
        <v>25</v>
      </c>
      <c r="I15" t="s">
        <v>9</v>
      </c>
      <c r="J15" t="s">
        <v>30</v>
      </c>
      <c r="K15" t="s">
        <v>31</v>
      </c>
      <c r="L15" s="2">
        <v>46</v>
      </c>
      <c r="M15" s="2">
        <v>86</v>
      </c>
      <c r="N15" s="2">
        <f>normalizar!$L15*normalizar!$M15</f>
        <v>3956</v>
      </c>
    </row>
    <row r="16" spans="1:18" x14ac:dyDescent="0.25">
      <c r="A16">
        <v>15</v>
      </c>
      <c r="B16" s="1">
        <v>44037</v>
      </c>
      <c r="C16">
        <v>8539365209</v>
      </c>
      <c r="D16" t="s">
        <v>42</v>
      </c>
      <c r="E16" t="s">
        <v>91</v>
      </c>
      <c r="F16" t="s">
        <v>91</v>
      </c>
      <c r="G16" t="s">
        <v>43</v>
      </c>
      <c r="H16" t="s">
        <v>8</v>
      </c>
      <c r="I16" t="s">
        <v>17</v>
      </c>
      <c r="J16" t="s">
        <v>44</v>
      </c>
      <c r="K16" t="s">
        <v>11</v>
      </c>
      <c r="L16" s="2">
        <v>41</v>
      </c>
      <c r="M16" s="2">
        <v>96</v>
      </c>
      <c r="N16" s="2">
        <f>normalizar!$L16*normalizar!$M16</f>
        <v>3936</v>
      </c>
    </row>
    <row r="17" spans="1:14" x14ac:dyDescent="0.25">
      <c r="A17">
        <v>16</v>
      </c>
      <c r="B17" s="1">
        <v>44009</v>
      </c>
      <c r="C17">
        <v>6983099686</v>
      </c>
      <c r="D17" t="s">
        <v>45</v>
      </c>
      <c r="E17" t="s">
        <v>87</v>
      </c>
      <c r="F17" t="s">
        <v>87</v>
      </c>
      <c r="G17" t="s">
        <v>24</v>
      </c>
      <c r="H17" t="s">
        <v>127</v>
      </c>
      <c r="I17" t="s">
        <v>127</v>
      </c>
      <c r="J17" t="s">
        <v>22</v>
      </c>
      <c r="K17" t="s">
        <v>11</v>
      </c>
      <c r="L17" s="2">
        <v>45</v>
      </c>
      <c r="M17" s="2">
        <v>97</v>
      </c>
      <c r="N17" s="2">
        <f>normalizar!$L17*normalizar!$M17</f>
        <v>4365</v>
      </c>
    </row>
    <row r="18" spans="1:14" x14ac:dyDescent="0.25">
      <c r="A18">
        <v>17</v>
      </c>
      <c r="B18" s="1">
        <v>44065</v>
      </c>
      <c r="C18">
        <v>3008945605</v>
      </c>
      <c r="D18" t="s">
        <v>42</v>
      </c>
      <c r="E18" t="s">
        <v>91</v>
      </c>
      <c r="F18" t="s">
        <v>91</v>
      </c>
      <c r="G18" t="s">
        <v>43</v>
      </c>
      <c r="H18" t="s">
        <v>16</v>
      </c>
      <c r="I18" t="s">
        <v>127</v>
      </c>
      <c r="J18" t="s">
        <v>46</v>
      </c>
      <c r="K18" t="s">
        <v>47</v>
      </c>
      <c r="L18" s="2">
        <v>26</v>
      </c>
      <c r="M18" s="2">
        <v>65</v>
      </c>
      <c r="N18" s="2">
        <f>normalizar!$L18*normalizar!$M18</f>
        <v>1690</v>
      </c>
    </row>
    <row r="19" spans="1:14" x14ac:dyDescent="0.25">
      <c r="A19">
        <v>18</v>
      </c>
      <c r="B19" s="1">
        <v>43937</v>
      </c>
      <c r="C19">
        <v>5388305959</v>
      </c>
      <c r="D19" t="s">
        <v>42</v>
      </c>
      <c r="E19" t="s">
        <v>91</v>
      </c>
      <c r="F19" t="s">
        <v>91</v>
      </c>
      <c r="G19" t="s">
        <v>43</v>
      </c>
      <c r="H19" t="s">
        <v>16</v>
      </c>
      <c r="I19" t="s">
        <v>127</v>
      </c>
      <c r="J19" t="s">
        <v>48</v>
      </c>
      <c r="K19" t="s">
        <v>49</v>
      </c>
      <c r="L19" s="2">
        <v>40</v>
      </c>
      <c r="M19" s="2">
        <v>88</v>
      </c>
      <c r="N19" s="2">
        <f>normalizar!$L19*normalizar!$M19</f>
        <v>3520</v>
      </c>
    </row>
    <row r="20" spans="1:14" x14ac:dyDescent="0.25">
      <c r="A20">
        <v>19</v>
      </c>
      <c r="B20" s="1">
        <v>44172</v>
      </c>
      <c r="C20">
        <v>438272084</v>
      </c>
      <c r="D20" t="s">
        <v>42</v>
      </c>
      <c r="E20" t="s">
        <v>91</v>
      </c>
      <c r="F20" t="s">
        <v>91</v>
      </c>
      <c r="G20" t="s">
        <v>43</v>
      </c>
      <c r="H20" t="s">
        <v>16</v>
      </c>
      <c r="I20" t="s">
        <v>127</v>
      </c>
      <c r="J20" t="s">
        <v>26</v>
      </c>
      <c r="K20" t="s">
        <v>27</v>
      </c>
      <c r="L20" s="2">
        <v>12</v>
      </c>
      <c r="M20" s="2">
        <v>60</v>
      </c>
      <c r="N20" s="2">
        <f>normalizar!$L20*normalizar!$M20</f>
        <v>720</v>
      </c>
    </row>
    <row r="21" spans="1:14" x14ac:dyDescent="0.25">
      <c r="A21">
        <v>20</v>
      </c>
      <c r="B21" s="1">
        <v>43875</v>
      </c>
      <c r="C21">
        <v>2536792311</v>
      </c>
      <c r="D21" t="s">
        <v>50</v>
      </c>
      <c r="E21" t="s">
        <v>85</v>
      </c>
      <c r="F21" t="s">
        <v>83</v>
      </c>
      <c r="G21" t="s">
        <v>41</v>
      </c>
      <c r="H21" t="s">
        <v>25</v>
      </c>
      <c r="I21" t="s">
        <v>127</v>
      </c>
      <c r="J21" t="s">
        <v>12</v>
      </c>
      <c r="K21" t="s">
        <v>13</v>
      </c>
      <c r="L21" s="2">
        <v>35</v>
      </c>
      <c r="M21" s="2">
        <v>96</v>
      </c>
      <c r="N21" s="2">
        <f>normalizar!$L21*normalizar!$M21</f>
        <v>3360</v>
      </c>
    </row>
    <row r="22" spans="1:14" x14ac:dyDescent="0.25">
      <c r="A22">
        <v>21</v>
      </c>
      <c r="B22" s="1">
        <v>44138</v>
      </c>
      <c r="C22">
        <v>7813757711</v>
      </c>
      <c r="D22" t="s">
        <v>50</v>
      </c>
      <c r="E22" t="s">
        <v>85</v>
      </c>
      <c r="F22" t="s">
        <v>83</v>
      </c>
      <c r="G22" t="s">
        <v>41</v>
      </c>
      <c r="H22" t="s">
        <v>25</v>
      </c>
      <c r="I22" t="s">
        <v>127</v>
      </c>
      <c r="J22" t="s">
        <v>44</v>
      </c>
      <c r="K22" t="s">
        <v>11</v>
      </c>
      <c r="L22" s="2">
        <v>20</v>
      </c>
      <c r="M22" s="2">
        <v>50</v>
      </c>
      <c r="N22" s="2">
        <f>normalizar!$L22*normalizar!$M22</f>
        <v>1000</v>
      </c>
    </row>
    <row r="23" spans="1:14" x14ac:dyDescent="0.25">
      <c r="A23">
        <v>22</v>
      </c>
      <c r="B23" s="1">
        <v>43918</v>
      </c>
      <c r="C23">
        <v>4786931679</v>
      </c>
      <c r="D23" t="s">
        <v>51</v>
      </c>
      <c r="E23" t="s">
        <v>90</v>
      </c>
      <c r="F23" t="s">
        <v>98</v>
      </c>
      <c r="G23" t="s">
        <v>24</v>
      </c>
      <c r="H23" t="s">
        <v>127</v>
      </c>
      <c r="I23" t="s">
        <v>127</v>
      </c>
      <c r="J23" t="s">
        <v>21</v>
      </c>
      <c r="K23" t="s">
        <v>11</v>
      </c>
      <c r="L23" s="2">
        <v>50</v>
      </c>
      <c r="M23" s="2">
        <v>75</v>
      </c>
      <c r="N23" s="2">
        <f>normalizar!$L23*normalizar!$M23</f>
        <v>3750</v>
      </c>
    </row>
    <row r="24" spans="1:14" x14ac:dyDescent="0.25">
      <c r="A24">
        <v>23</v>
      </c>
      <c r="B24" s="1">
        <v>44039</v>
      </c>
      <c r="C24">
        <v>3021659728</v>
      </c>
      <c r="D24" t="s">
        <v>51</v>
      </c>
      <c r="E24" t="s">
        <v>90</v>
      </c>
      <c r="F24" t="s">
        <v>98</v>
      </c>
      <c r="G24" t="s">
        <v>24</v>
      </c>
      <c r="H24" t="s">
        <v>127</v>
      </c>
      <c r="I24" t="s">
        <v>127</v>
      </c>
      <c r="J24" t="s">
        <v>22</v>
      </c>
      <c r="K24" t="s">
        <v>11</v>
      </c>
      <c r="L24" s="2">
        <v>21</v>
      </c>
      <c r="M24" s="2">
        <v>4</v>
      </c>
      <c r="N24" s="2">
        <f>normalizar!$L24*normalizar!$M24</f>
        <v>84</v>
      </c>
    </row>
    <row r="25" spans="1:14" x14ac:dyDescent="0.25">
      <c r="A25">
        <v>24</v>
      </c>
      <c r="B25" s="1">
        <v>43993</v>
      </c>
      <c r="C25">
        <v>2591950684</v>
      </c>
      <c r="D25" t="s">
        <v>51</v>
      </c>
      <c r="E25" t="s">
        <v>90</v>
      </c>
      <c r="F25" t="s">
        <v>98</v>
      </c>
      <c r="G25" t="s">
        <v>24</v>
      </c>
      <c r="H25" t="s">
        <v>127</v>
      </c>
      <c r="I25" t="s">
        <v>127</v>
      </c>
      <c r="J25" t="s">
        <v>44</v>
      </c>
      <c r="K25" t="s">
        <v>11</v>
      </c>
      <c r="L25" s="2">
        <v>43</v>
      </c>
      <c r="M25" s="2">
        <v>18</v>
      </c>
      <c r="N25" s="2">
        <f>normalizar!$L25*normalizar!$M25</f>
        <v>774</v>
      </c>
    </row>
    <row r="26" spans="1:14" x14ac:dyDescent="0.25">
      <c r="A26">
        <v>25</v>
      </c>
      <c r="B26" s="1">
        <v>43885</v>
      </c>
      <c r="C26">
        <v>9326361454</v>
      </c>
      <c r="D26" t="s">
        <v>40</v>
      </c>
      <c r="E26" t="s">
        <v>97</v>
      </c>
      <c r="F26" t="s">
        <v>88</v>
      </c>
      <c r="G26" t="s">
        <v>41</v>
      </c>
      <c r="H26" t="s">
        <v>25</v>
      </c>
      <c r="I26" t="s">
        <v>17</v>
      </c>
      <c r="J26" t="s">
        <v>34</v>
      </c>
      <c r="K26" t="s">
        <v>35</v>
      </c>
      <c r="L26" s="2">
        <v>26</v>
      </c>
      <c r="M26" s="2">
        <v>49</v>
      </c>
      <c r="N26" s="2">
        <f>normalizar!$L26*normalizar!$M26</f>
        <v>1274</v>
      </c>
    </row>
    <row r="27" spans="1:14" x14ac:dyDescent="0.25">
      <c r="A27">
        <v>26</v>
      </c>
      <c r="B27" s="1">
        <v>44055</v>
      </c>
      <c r="C27">
        <v>3769138349</v>
      </c>
      <c r="D27" t="s">
        <v>40</v>
      </c>
      <c r="E27" t="s">
        <v>97</v>
      </c>
      <c r="F27" t="s">
        <v>88</v>
      </c>
      <c r="G27" t="s">
        <v>41</v>
      </c>
      <c r="H27" t="s">
        <v>25</v>
      </c>
      <c r="I27" t="s">
        <v>17</v>
      </c>
      <c r="J27" t="s">
        <v>52</v>
      </c>
      <c r="K27" t="s">
        <v>53</v>
      </c>
      <c r="L27" s="2">
        <v>39</v>
      </c>
      <c r="M27" s="2">
        <v>21</v>
      </c>
      <c r="N27" s="2">
        <f>normalizar!$L27*normalizar!$M27</f>
        <v>819</v>
      </c>
    </row>
    <row r="28" spans="1:14" x14ac:dyDescent="0.25">
      <c r="A28">
        <v>27</v>
      </c>
      <c r="B28" s="1">
        <v>43908</v>
      </c>
      <c r="C28">
        <v>5871657714</v>
      </c>
      <c r="D28" t="s">
        <v>54</v>
      </c>
      <c r="E28" t="s">
        <v>89</v>
      </c>
      <c r="F28" t="s">
        <v>84</v>
      </c>
      <c r="G28" t="s">
        <v>55</v>
      </c>
      <c r="H28" t="s">
        <v>16</v>
      </c>
      <c r="I28" t="s">
        <v>9</v>
      </c>
      <c r="J28" t="s">
        <v>56</v>
      </c>
      <c r="K28" t="s">
        <v>57</v>
      </c>
      <c r="L28" s="2">
        <v>33</v>
      </c>
      <c r="M28" s="2">
        <v>8</v>
      </c>
      <c r="N28" s="2">
        <f>normalizar!$L28*normalizar!$M28</f>
        <v>264</v>
      </c>
    </row>
    <row r="29" spans="1:14" x14ac:dyDescent="0.25">
      <c r="A29">
        <v>28</v>
      </c>
      <c r="B29" s="1">
        <v>43965</v>
      </c>
      <c r="C29">
        <v>1534553307</v>
      </c>
      <c r="D29" t="s">
        <v>54</v>
      </c>
      <c r="E29" t="s">
        <v>89</v>
      </c>
      <c r="F29" t="s">
        <v>84</v>
      </c>
      <c r="G29" t="s">
        <v>55</v>
      </c>
      <c r="H29" t="s">
        <v>16</v>
      </c>
      <c r="I29" t="s">
        <v>9</v>
      </c>
      <c r="J29" t="s">
        <v>58</v>
      </c>
      <c r="K29" t="s">
        <v>59</v>
      </c>
      <c r="L29" s="2">
        <v>46</v>
      </c>
      <c r="M29" s="2">
        <v>82</v>
      </c>
      <c r="N29" s="2">
        <f>normalizar!$L29*normalizar!$M29</f>
        <v>3772</v>
      </c>
    </row>
    <row r="30" spans="1:14" x14ac:dyDescent="0.25">
      <c r="A30">
        <v>29</v>
      </c>
      <c r="B30" s="1">
        <v>44146</v>
      </c>
      <c r="C30">
        <v>8474620707</v>
      </c>
      <c r="D30" t="s">
        <v>36</v>
      </c>
      <c r="E30" t="s">
        <v>92</v>
      </c>
      <c r="F30" t="s">
        <v>99</v>
      </c>
      <c r="G30" t="s">
        <v>37</v>
      </c>
      <c r="H30" t="s">
        <v>8</v>
      </c>
      <c r="I30" t="s">
        <v>17</v>
      </c>
      <c r="J30" t="s">
        <v>10</v>
      </c>
      <c r="K30" t="s">
        <v>11</v>
      </c>
      <c r="L30" s="2">
        <v>32</v>
      </c>
      <c r="M30" s="2">
        <v>75</v>
      </c>
      <c r="N30" s="2">
        <f>normalizar!$L30*normalizar!$M30</f>
        <v>2400</v>
      </c>
    </row>
    <row r="31" spans="1:14" x14ac:dyDescent="0.25">
      <c r="A31">
        <v>30</v>
      </c>
      <c r="B31" s="1">
        <v>44144</v>
      </c>
      <c r="C31">
        <v>3530767380</v>
      </c>
      <c r="D31" t="s">
        <v>23</v>
      </c>
      <c r="E31" t="s">
        <v>86</v>
      </c>
      <c r="F31" t="s">
        <v>82</v>
      </c>
      <c r="G31" t="s">
        <v>24</v>
      </c>
      <c r="H31" t="s">
        <v>8</v>
      </c>
      <c r="I31" t="s">
        <v>9</v>
      </c>
      <c r="J31" t="s">
        <v>38</v>
      </c>
      <c r="K31" t="s">
        <v>39</v>
      </c>
      <c r="L31" s="2">
        <v>34</v>
      </c>
      <c r="M31" s="2">
        <v>3</v>
      </c>
      <c r="N31" s="2">
        <f>normalizar!$L31*normalizar!$M31</f>
        <v>102</v>
      </c>
    </row>
    <row r="32" spans="1:14" x14ac:dyDescent="0.25">
      <c r="A32">
        <v>31</v>
      </c>
      <c r="B32" s="1">
        <v>43845</v>
      </c>
      <c r="C32">
        <v>6673950624</v>
      </c>
      <c r="D32" t="s">
        <v>32</v>
      </c>
      <c r="E32" t="s">
        <v>93</v>
      </c>
      <c r="F32" t="s">
        <v>96</v>
      </c>
      <c r="G32" t="s">
        <v>7</v>
      </c>
      <c r="H32" t="s">
        <v>8</v>
      </c>
      <c r="I32" t="s">
        <v>33</v>
      </c>
      <c r="J32" t="s">
        <v>60</v>
      </c>
      <c r="K32" t="s">
        <v>49</v>
      </c>
      <c r="L32" s="2">
        <v>24</v>
      </c>
      <c r="M32" s="2">
        <v>33</v>
      </c>
      <c r="N32" s="2">
        <f>normalizar!$L32*normalizar!$M32</f>
        <v>792</v>
      </c>
    </row>
    <row r="33" spans="1:14" x14ac:dyDescent="0.25">
      <c r="A33">
        <v>32</v>
      </c>
      <c r="B33" s="1">
        <v>43967</v>
      </c>
      <c r="C33">
        <v>7137547321</v>
      </c>
      <c r="D33" t="s">
        <v>32</v>
      </c>
      <c r="E33" t="s">
        <v>93</v>
      </c>
      <c r="F33" t="s">
        <v>96</v>
      </c>
      <c r="G33" t="s">
        <v>7</v>
      </c>
      <c r="H33" t="s">
        <v>8</v>
      </c>
      <c r="I33" t="s">
        <v>33</v>
      </c>
      <c r="J33" t="s">
        <v>38</v>
      </c>
      <c r="K33" t="s">
        <v>39</v>
      </c>
      <c r="L33" s="2">
        <v>21</v>
      </c>
      <c r="M33" s="2">
        <v>51</v>
      </c>
      <c r="N33" s="2">
        <f>normalizar!$L33*normalizar!$M33</f>
        <v>1071</v>
      </c>
    </row>
    <row r="34" spans="1:14" x14ac:dyDescent="0.25">
      <c r="A34">
        <v>33</v>
      </c>
      <c r="B34" s="1">
        <v>43862</v>
      </c>
      <c r="C34">
        <v>9655985375</v>
      </c>
      <c r="D34" t="s">
        <v>36</v>
      </c>
      <c r="E34" t="s">
        <v>92</v>
      </c>
      <c r="F34" t="s">
        <v>99</v>
      </c>
      <c r="G34" t="s">
        <v>37</v>
      </c>
      <c r="H34" t="s">
        <v>8</v>
      </c>
      <c r="I34" t="s">
        <v>17</v>
      </c>
      <c r="J34" t="s">
        <v>38</v>
      </c>
      <c r="K34" t="s">
        <v>39</v>
      </c>
      <c r="L34" s="2">
        <v>17</v>
      </c>
      <c r="M34" s="2">
        <v>30</v>
      </c>
      <c r="N34" s="2">
        <f>normalizar!$L34*normalizar!$M34</f>
        <v>510</v>
      </c>
    </row>
    <row r="35" spans="1:14" x14ac:dyDescent="0.25">
      <c r="A35">
        <v>34</v>
      </c>
      <c r="B35" s="1">
        <v>44167</v>
      </c>
      <c r="C35">
        <v>299812367</v>
      </c>
      <c r="D35" t="s">
        <v>40</v>
      </c>
      <c r="E35" t="s">
        <v>97</v>
      </c>
      <c r="F35" t="s">
        <v>88</v>
      </c>
      <c r="G35" t="s">
        <v>41</v>
      </c>
      <c r="H35" t="s">
        <v>25</v>
      </c>
      <c r="I35" t="s">
        <v>9</v>
      </c>
      <c r="J35" t="s">
        <v>60</v>
      </c>
      <c r="K35" t="s">
        <v>49</v>
      </c>
      <c r="L35" s="2">
        <v>12.7</v>
      </c>
      <c r="M35" s="2">
        <v>25.8</v>
      </c>
      <c r="N35" s="2">
        <f>normalizar!$L35*normalizar!$M35</f>
        <v>327.65999999999997</v>
      </c>
    </row>
    <row r="36" spans="1:14" x14ac:dyDescent="0.25">
      <c r="A36">
        <v>35</v>
      </c>
      <c r="B36" s="1">
        <v>43870</v>
      </c>
      <c r="C36">
        <v>7779151222</v>
      </c>
      <c r="D36" t="s">
        <v>23</v>
      </c>
      <c r="E36" t="s">
        <v>86</v>
      </c>
      <c r="F36" t="s">
        <v>82</v>
      </c>
      <c r="G36" t="s">
        <v>24</v>
      </c>
      <c r="H36" t="s">
        <v>25</v>
      </c>
      <c r="I36" t="s">
        <v>9</v>
      </c>
      <c r="J36" t="s">
        <v>38</v>
      </c>
      <c r="K36" t="s">
        <v>39</v>
      </c>
      <c r="L36" s="2">
        <v>8.4</v>
      </c>
      <c r="M36" s="2">
        <v>21.6</v>
      </c>
      <c r="N36" s="2">
        <f>normalizar!$L36*normalizar!$M36</f>
        <v>181.44000000000003</v>
      </c>
    </row>
    <row r="37" spans="1:14" x14ac:dyDescent="0.25">
      <c r="A37">
        <v>36</v>
      </c>
      <c r="B37" s="1">
        <v>44192</v>
      </c>
      <c r="C37">
        <v>9282360094</v>
      </c>
      <c r="D37" t="s">
        <v>42</v>
      </c>
      <c r="E37" t="s">
        <v>91</v>
      </c>
      <c r="F37" t="s">
        <v>91</v>
      </c>
      <c r="G37" t="s">
        <v>43</v>
      </c>
      <c r="H37" t="s">
        <v>8</v>
      </c>
      <c r="I37" t="s">
        <v>17</v>
      </c>
      <c r="J37" t="s">
        <v>61</v>
      </c>
      <c r="K37" t="s">
        <v>13</v>
      </c>
      <c r="L37" s="2">
        <v>140</v>
      </c>
      <c r="M37" s="2">
        <v>47</v>
      </c>
      <c r="N37" s="2">
        <f>normalizar!$L37*normalizar!$M37</f>
        <v>6580</v>
      </c>
    </row>
    <row r="38" spans="1:14" x14ac:dyDescent="0.25">
      <c r="A38">
        <v>37</v>
      </c>
      <c r="B38" s="1">
        <v>43982</v>
      </c>
      <c r="C38">
        <v>6935804403</v>
      </c>
      <c r="D38" t="s">
        <v>42</v>
      </c>
      <c r="E38" t="s">
        <v>91</v>
      </c>
      <c r="F38" t="s">
        <v>91</v>
      </c>
      <c r="G38" t="s">
        <v>43</v>
      </c>
      <c r="H38" t="s">
        <v>16</v>
      </c>
      <c r="I38" t="s">
        <v>127</v>
      </c>
      <c r="J38" t="s">
        <v>12</v>
      </c>
      <c r="K38" t="s">
        <v>13</v>
      </c>
      <c r="L38" s="2">
        <v>49</v>
      </c>
      <c r="M38" s="2">
        <v>49</v>
      </c>
      <c r="N38" s="2">
        <f>normalizar!$L38*normalizar!$M38</f>
        <v>2401</v>
      </c>
    </row>
    <row r="39" spans="1:14" x14ac:dyDescent="0.25">
      <c r="A39">
        <v>38</v>
      </c>
      <c r="B39" s="1">
        <v>43952</v>
      </c>
      <c r="C39">
        <v>3650322132</v>
      </c>
      <c r="D39" t="s">
        <v>50</v>
      </c>
      <c r="E39" t="s">
        <v>85</v>
      </c>
      <c r="F39" t="s">
        <v>83</v>
      </c>
      <c r="G39" t="s">
        <v>41</v>
      </c>
      <c r="H39" t="s">
        <v>25</v>
      </c>
      <c r="I39" t="s">
        <v>127</v>
      </c>
      <c r="J39" t="s">
        <v>38</v>
      </c>
      <c r="K39" t="s">
        <v>39</v>
      </c>
      <c r="L39" s="2">
        <v>560</v>
      </c>
      <c r="M39" s="2">
        <v>72</v>
      </c>
      <c r="N39" s="2">
        <f>normalizar!$L39*normalizar!$M39</f>
        <v>40320</v>
      </c>
    </row>
    <row r="40" spans="1:14" x14ac:dyDescent="0.25">
      <c r="A40">
        <v>39</v>
      </c>
      <c r="B40" s="1">
        <v>43965</v>
      </c>
      <c r="C40">
        <v>1985754250</v>
      </c>
      <c r="D40" t="s">
        <v>51</v>
      </c>
      <c r="E40" t="s">
        <v>90</v>
      </c>
      <c r="F40" t="s">
        <v>98</v>
      </c>
      <c r="G40" t="s">
        <v>24</v>
      </c>
      <c r="H40" t="s">
        <v>25</v>
      </c>
      <c r="I40" t="s">
        <v>127</v>
      </c>
      <c r="J40" t="s">
        <v>52</v>
      </c>
      <c r="K40" t="s">
        <v>53</v>
      </c>
      <c r="L40" s="2">
        <v>257.59999999999997</v>
      </c>
      <c r="M40" s="2">
        <v>13</v>
      </c>
      <c r="N40" s="2">
        <f>normalizar!$L40*normalizar!$M40</f>
        <v>3348.7999999999997</v>
      </c>
    </row>
    <row r="41" spans="1:14" x14ac:dyDescent="0.25">
      <c r="A41">
        <v>40</v>
      </c>
      <c r="B41" s="1">
        <v>44090</v>
      </c>
      <c r="C41">
        <v>7293507918</v>
      </c>
      <c r="D41" t="s">
        <v>40</v>
      </c>
      <c r="E41" t="s">
        <v>97</v>
      </c>
      <c r="F41" t="s">
        <v>88</v>
      </c>
      <c r="G41" t="s">
        <v>41</v>
      </c>
      <c r="H41" t="s">
        <v>25</v>
      </c>
      <c r="I41" t="s">
        <v>17</v>
      </c>
      <c r="J41" t="s">
        <v>22</v>
      </c>
      <c r="K41" t="s">
        <v>11</v>
      </c>
      <c r="L41" s="2">
        <v>644</v>
      </c>
      <c r="M41" s="2">
        <v>32</v>
      </c>
      <c r="N41" s="2">
        <f>normalizar!$L41*normalizar!$M41</f>
        <v>20608</v>
      </c>
    </row>
    <row r="42" spans="1:14" x14ac:dyDescent="0.25">
      <c r="A42">
        <v>41</v>
      </c>
      <c r="B42" s="1">
        <v>43983</v>
      </c>
      <c r="C42">
        <v>3459323228</v>
      </c>
      <c r="D42" t="s">
        <v>54</v>
      </c>
      <c r="E42" t="s">
        <v>89</v>
      </c>
      <c r="F42" t="s">
        <v>84</v>
      </c>
      <c r="G42" t="s">
        <v>55</v>
      </c>
      <c r="H42" t="s">
        <v>16</v>
      </c>
      <c r="I42" t="s">
        <v>9</v>
      </c>
      <c r="J42" t="s">
        <v>34</v>
      </c>
      <c r="K42" t="s">
        <v>35</v>
      </c>
      <c r="L42" s="2">
        <v>135.1</v>
      </c>
      <c r="M42" s="2">
        <v>27</v>
      </c>
      <c r="N42" s="2">
        <f>normalizar!$L42*normalizar!$M42</f>
        <v>3647.7</v>
      </c>
    </row>
    <row r="43" spans="1:14" x14ac:dyDescent="0.25">
      <c r="A43">
        <v>42</v>
      </c>
      <c r="B43" s="1">
        <v>43999</v>
      </c>
      <c r="C43">
        <v>1144627655</v>
      </c>
      <c r="D43" t="s">
        <v>36</v>
      </c>
      <c r="E43" t="s">
        <v>92</v>
      </c>
      <c r="F43" t="s">
        <v>99</v>
      </c>
      <c r="G43" t="s">
        <v>37</v>
      </c>
      <c r="H43" t="s">
        <v>8</v>
      </c>
      <c r="I43" t="s">
        <v>17</v>
      </c>
      <c r="J43" t="s">
        <v>30</v>
      </c>
      <c r="K43" t="s">
        <v>31</v>
      </c>
      <c r="L43" s="2">
        <v>178.5</v>
      </c>
      <c r="M43" s="2">
        <v>71</v>
      </c>
      <c r="N43" s="2">
        <f>normalizar!$L43*normalizar!$M43</f>
        <v>12673.5</v>
      </c>
    </row>
    <row r="44" spans="1:14" x14ac:dyDescent="0.25">
      <c r="A44">
        <v>43</v>
      </c>
      <c r="B44" s="1">
        <v>44070</v>
      </c>
      <c r="C44">
        <v>3986713828</v>
      </c>
      <c r="D44" t="s">
        <v>23</v>
      </c>
      <c r="E44" t="s">
        <v>86</v>
      </c>
      <c r="F44" t="s">
        <v>82</v>
      </c>
      <c r="G44" t="s">
        <v>24</v>
      </c>
      <c r="H44" t="s">
        <v>8</v>
      </c>
      <c r="I44" t="s">
        <v>9</v>
      </c>
      <c r="J44" t="s">
        <v>30</v>
      </c>
      <c r="K44" t="s">
        <v>31</v>
      </c>
      <c r="L44" s="2">
        <v>178.5</v>
      </c>
      <c r="M44" s="2">
        <v>13</v>
      </c>
      <c r="N44" s="2">
        <f>normalizar!$L44*normalizar!$M44</f>
        <v>2320.5</v>
      </c>
    </row>
    <row r="45" spans="1:14" x14ac:dyDescent="0.25">
      <c r="A45">
        <v>44</v>
      </c>
      <c r="B45" s="1">
        <v>43998</v>
      </c>
      <c r="C45">
        <v>9350633665</v>
      </c>
      <c r="D45" t="s">
        <v>62</v>
      </c>
      <c r="E45" t="s">
        <v>91</v>
      </c>
      <c r="F45" t="s">
        <v>91</v>
      </c>
      <c r="G45" t="s">
        <v>43</v>
      </c>
      <c r="H45" t="s">
        <v>16</v>
      </c>
      <c r="I45" t="s">
        <v>33</v>
      </c>
      <c r="J45" t="s">
        <v>48</v>
      </c>
      <c r="K45" t="s">
        <v>49</v>
      </c>
      <c r="L45" s="2">
        <v>308</v>
      </c>
      <c r="M45" s="2">
        <v>98</v>
      </c>
      <c r="N45" s="2">
        <f>normalizar!$L45*normalizar!$M45</f>
        <v>30184</v>
      </c>
    </row>
    <row r="46" spans="1:14" x14ac:dyDescent="0.25">
      <c r="A46">
        <v>45</v>
      </c>
      <c r="B46" s="1">
        <v>44129</v>
      </c>
      <c r="C46">
        <v>4918639925</v>
      </c>
      <c r="D46" t="s">
        <v>63</v>
      </c>
      <c r="E46" t="s">
        <v>85</v>
      </c>
      <c r="F46" t="s">
        <v>83</v>
      </c>
      <c r="G46" t="s">
        <v>41</v>
      </c>
      <c r="H46" t="s">
        <v>25</v>
      </c>
      <c r="I46" t="s">
        <v>17</v>
      </c>
      <c r="J46" t="s">
        <v>46</v>
      </c>
      <c r="K46" t="s">
        <v>47</v>
      </c>
      <c r="L46" s="2">
        <v>350</v>
      </c>
      <c r="M46" s="2">
        <v>21</v>
      </c>
      <c r="N46" s="2">
        <f>normalizar!$L46*normalizar!$M46</f>
        <v>7350</v>
      </c>
    </row>
    <row r="47" spans="1:14" x14ac:dyDescent="0.25">
      <c r="A47">
        <v>46</v>
      </c>
      <c r="B47" s="1">
        <v>44165</v>
      </c>
      <c r="C47">
        <v>9630006862</v>
      </c>
      <c r="D47" t="s">
        <v>28</v>
      </c>
      <c r="E47" t="s">
        <v>89</v>
      </c>
      <c r="F47" t="s">
        <v>84</v>
      </c>
      <c r="G47" t="s">
        <v>29</v>
      </c>
      <c r="H47" t="s">
        <v>8</v>
      </c>
      <c r="I47" t="s">
        <v>9</v>
      </c>
      <c r="J47" t="s">
        <v>64</v>
      </c>
      <c r="K47" t="s">
        <v>65</v>
      </c>
      <c r="L47" s="2">
        <v>546</v>
      </c>
      <c r="M47" s="2">
        <v>26</v>
      </c>
      <c r="N47" s="2">
        <f>normalizar!$L47*normalizar!$M47</f>
        <v>14196</v>
      </c>
    </row>
    <row r="48" spans="1:14" x14ac:dyDescent="0.25">
      <c r="A48">
        <v>47</v>
      </c>
      <c r="B48" s="1">
        <v>43920</v>
      </c>
      <c r="C48">
        <v>9029002933</v>
      </c>
      <c r="D48" t="s">
        <v>36</v>
      </c>
      <c r="E48" t="s">
        <v>92</v>
      </c>
      <c r="F48" t="s">
        <v>99</v>
      </c>
      <c r="G48" t="s">
        <v>37</v>
      </c>
      <c r="H48" t="s">
        <v>25</v>
      </c>
      <c r="I48" t="s">
        <v>9</v>
      </c>
      <c r="J48" t="s">
        <v>18</v>
      </c>
      <c r="K48" t="s">
        <v>13</v>
      </c>
      <c r="L48" s="2">
        <v>420</v>
      </c>
      <c r="M48" s="2">
        <v>96</v>
      </c>
      <c r="N48" s="2">
        <f>normalizar!$L48*normalizar!$M48</f>
        <v>40320</v>
      </c>
    </row>
    <row r="49" spans="1:14" x14ac:dyDescent="0.25">
      <c r="A49">
        <v>48</v>
      </c>
      <c r="B49" s="1">
        <v>43880</v>
      </c>
      <c r="C49">
        <v>5702300844</v>
      </c>
      <c r="D49" t="s">
        <v>36</v>
      </c>
      <c r="E49" t="s">
        <v>92</v>
      </c>
      <c r="F49" t="s">
        <v>99</v>
      </c>
      <c r="G49" t="s">
        <v>37</v>
      </c>
      <c r="H49" t="s">
        <v>25</v>
      </c>
      <c r="I49" t="s">
        <v>9</v>
      </c>
      <c r="J49" t="s">
        <v>19</v>
      </c>
      <c r="K49" t="s">
        <v>13</v>
      </c>
      <c r="L49" s="2">
        <v>742</v>
      </c>
      <c r="M49" s="2">
        <v>16</v>
      </c>
      <c r="N49" s="2">
        <f>normalizar!$L49*normalizar!$M49</f>
        <v>11872</v>
      </c>
    </row>
    <row r="50" spans="1:14" x14ac:dyDescent="0.25">
      <c r="A50">
        <v>49</v>
      </c>
      <c r="B50" s="1">
        <v>43922</v>
      </c>
      <c r="C50">
        <v>6885713027</v>
      </c>
      <c r="D50" t="s">
        <v>14</v>
      </c>
      <c r="E50" t="s">
        <v>81</v>
      </c>
      <c r="F50" t="s">
        <v>94</v>
      </c>
      <c r="G50" t="s">
        <v>15</v>
      </c>
      <c r="H50" t="s">
        <v>127</v>
      </c>
      <c r="I50" t="s">
        <v>127</v>
      </c>
      <c r="J50" t="s">
        <v>66</v>
      </c>
      <c r="K50" t="s">
        <v>57</v>
      </c>
      <c r="L50" s="2">
        <v>532</v>
      </c>
      <c r="M50" s="2">
        <v>96</v>
      </c>
      <c r="N50" s="2">
        <f>normalizar!$L50*normalizar!$M50</f>
        <v>51072</v>
      </c>
    </row>
    <row r="51" spans="1:14" x14ac:dyDescent="0.25">
      <c r="A51">
        <v>50</v>
      </c>
      <c r="B51" s="1">
        <v>43861</v>
      </c>
      <c r="C51">
        <v>5156178317</v>
      </c>
      <c r="D51" t="s">
        <v>32</v>
      </c>
      <c r="E51" t="s">
        <v>93</v>
      </c>
      <c r="F51" t="s">
        <v>96</v>
      </c>
      <c r="G51" t="s">
        <v>7</v>
      </c>
      <c r="H51" t="s">
        <v>127</v>
      </c>
      <c r="I51" t="s">
        <v>127</v>
      </c>
      <c r="J51" t="s">
        <v>44</v>
      </c>
      <c r="K51" t="s">
        <v>11</v>
      </c>
      <c r="L51" s="2">
        <v>41.86</v>
      </c>
      <c r="M51" s="2">
        <v>75</v>
      </c>
      <c r="N51" s="2">
        <f>normalizar!$L51*normalizar!$M51</f>
        <v>3139.5</v>
      </c>
    </row>
    <row r="52" spans="1:14" x14ac:dyDescent="0.25">
      <c r="A52">
        <v>51</v>
      </c>
      <c r="B52" s="1">
        <v>43992</v>
      </c>
      <c r="C52">
        <v>9993785470</v>
      </c>
      <c r="D52" t="s">
        <v>54</v>
      </c>
      <c r="E52" t="s">
        <v>89</v>
      </c>
      <c r="F52" t="s">
        <v>84</v>
      </c>
      <c r="G52" t="s">
        <v>55</v>
      </c>
      <c r="H52" t="s">
        <v>16</v>
      </c>
      <c r="I52" t="s">
        <v>9</v>
      </c>
      <c r="J52" t="s">
        <v>56</v>
      </c>
      <c r="K52" t="s">
        <v>57</v>
      </c>
      <c r="L52" s="2">
        <v>273</v>
      </c>
      <c r="M52" s="2">
        <v>55</v>
      </c>
      <c r="N52" s="2">
        <f>normalizar!$L52*normalizar!$M52</f>
        <v>15015</v>
      </c>
    </row>
    <row r="53" spans="1:14" x14ac:dyDescent="0.25">
      <c r="A53">
        <v>52</v>
      </c>
      <c r="B53" s="1">
        <v>44107</v>
      </c>
      <c r="C53">
        <v>2344903076</v>
      </c>
      <c r="D53" t="s">
        <v>54</v>
      </c>
      <c r="E53" t="s">
        <v>89</v>
      </c>
      <c r="F53" t="s">
        <v>84</v>
      </c>
      <c r="G53" t="s">
        <v>55</v>
      </c>
      <c r="H53" t="s">
        <v>16</v>
      </c>
      <c r="I53" t="s">
        <v>9</v>
      </c>
      <c r="J53" t="s">
        <v>58</v>
      </c>
      <c r="K53" t="s">
        <v>59</v>
      </c>
      <c r="L53" s="2">
        <v>487.19999999999993</v>
      </c>
      <c r="M53" s="2">
        <v>11</v>
      </c>
      <c r="N53" s="2">
        <f>normalizar!$L53*normalizar!$M53</f>
        <v>5359.1999999999989</v>
      </c>
    </row>
    <row r="54" spans="1:14" x14ac:dyDescent="0.25">
      <c r="A54">
        <v>53</v>
      </c>
      <c r="B54" s="1">
        <v>44123</v>
      </c>
      <c r="C54">
        <v>5773601950</v>
      </c>
      <c r="D54" t="s">
        <v>36</v>
      </c>
      <c r="E54" t="s">
        <v>92</v>
      </c>
      <c r="F54" t="s">
        <v>99</v>
      </c>
      <c r="G54" t="s">
        <v>37</v>
      </c>
      <c r="H54" t="s">
        <v>8</v>
      </c>
      <c r="I54" t="s">
        <v>17</v>
      </c>
      <c r="J54" t="s">
        <v>10</v>
      </c>
      <c r="K54" t="s">
        <v>11</v>
      </c>
      <c r="L54" s="2">
        <v>196</v>
      </c>
      <c r="M54" s="2">
        <v>53</v>
      </c>
      <c r="N54" s="2">
        <f>normalizar!$L54*normalizar!$M54</f>
        <v>10388</v>
      </c>
    </row>
    <row r="55" spans="1:14" x14ac:dyDescent="0.25">
      <c r="A55">
        <v>54</v>
      </c>
      <c r="B55" s="1">
        <v>44088</v>
      </c>
      <c r="C55">
        <v>4818078168</v>
      </c>
      <c r="D55" t="s">
        <v>23</v>
      </c>
      <c r="E55" t="s">
        <v>86</v>
      </c>
      <c r="F55" t="s">
        <v>82</v>
      </c>
      <c r="G55" t="s">
        <v>24</v>
      </c>
      <c r="H55" t="s">
        <v>8</v>
      </c>
      <c r="I55" t="s">
        <v>9</v>
      </c>
      <c r="J55" t="s">
        <v>38</v>
      </c>
      <c r="K55" t="s">
        <v>39</v>
      </c>
      <c r="L55" s="2">
        <v>560</v>
      </c>
      <c r="M55" s="2">
        <v>85</v>
      </c>
      <c r="N55" s="2">
        <f>normalizar!$L55*normalizar!$M55</f>
        <v>47600</v>
      </c>
    </row>
    <row r="56" spans="1:14" x14ac:dyDescent="0.25">
      <c r="A56">
        <v>55</v>
      </c>
      <c r="B56" s="1">
        <v>44178</v>
      </c>
      <c r="C56">
        <v>9107195581</v>
      </c>
      <c r="D56" t="s">
        <v>23</v>
      </c>
      <c r="E56" t="s">
        <v>86</v>
      </c>
      <c r="F56" t="s">
        <v>82</v>
      </c>
      <c r="G56" t="s">
        <v>24</v>
      </c>
      <c r="H56" t="s">
        <v>8</v>
      </c>
      <c r="I56" t="s">
        <v>9</v>
      </c>
      <c r="J56" t="s">
        <v>26</v>
      </c>
      <c r="K56" t="s">
        <v>27</v>
      </c>
      <c r="L56" s="2">
        <v>128.79999999999998</v>
      </c>
      <c r="M56" s="2">
        <v>97</v>
      </c>
      <c r="N56" s="2">
        <f>normalizar!$L56*normalizar!$M56</f>
        <v>12493.599999999999</v>
      </c>
    </row>
    <row r="57" spans="1:14" x14ac:dyDescent="0.25">
      <c r="A57">
        <v>56</v>
      </c>
      <c r="B57" s="1">
        <v>43964</v>
      </c>
      <c r="C57">
        <v>5806733138</v>
      </c>
      <c r="D57" t="s">
        <v>62</v>
      </c>
      <c r="E57" t="s">
        <v>91</v>
      </c>
      <c r="F57" t="s">
        <v>91</v>
      </c>
      <c r="G57" t="s">
        <v>43</v>
      </c>
      <c r="H57" t="s">
        <v>16</v>
      </c>
      <c r="I57" t="s">
        <v>33</v>
      </c>
      <c r="J57" t="s">
        <v>67</v>
      </c>
      <c r="K57" t="s">
        <v>27</v>
      </c>
      <c r="L57" s="2">
        <v>140</v>
      </c>
      <c r="M57" s="2">
        <v>46</v>
      </c>
      <c r="N57" s="2">
        <f>normalizar!$L57*normalizar!$M57</f>
        <v>6440</v>
      </c>
    </row>
    <row r="58" spans="1:14" x14ac:dyDescent="0.25">
      <c r="A58">
        <v>57</v>
      </c>
      <c r="B58" s="1">
        <v>43882</v>
      </c>
      <c r="C58">
        <v>3059258597</v>
      </c>
      <c r="D58" t="s">
        <v>63</v>
      </c>
      <c r="E58" t="s">
        <v>85</v>
      </c>
      <c r="F58" t="s">
        <v>83</v>
      </c>
      <c r="G58" t="s">
        <v>41</v>
      </c>
      <c r="H58" t="s">
        <v>25</v>
      </c>
      <c r="I58" t="s">
        <v>17</v>
      </c>
      <c r="J58" t="s">
        <v>68</v>
      </c>
      <c r="K58" t="s">
        <v>69</v>
      </c>
      <c r="L58" s="2">
        <v>298.90000000000003</v>
      </c>
      <c r="M58" s="2">
        <v>97</v>
      </c>
      <c r="N58" s="2">
        <f>normalizar!$L58*normalizar!$M58</f>
        <v>28993.300000000003</v>
      </c>
    </row>
    <row r="59" spans="1:14" x14ac:dyDescent="0.25">
      <c r="A59">
        <v>58</v>
      </c>
      <c r="B59" s="1">
        <v>44154</v>
      </c>
      <c r="C59">
        <v>586395005</v>
      </c>
      <c r="D59" t="s">
        <v>63</v>
      </c>
      <c r="E59" t="s">
        <v>85</v>
      </c>
      <c r="F59" t="s">
        <v>83</v>
      </c>
      <c r="G59" t="s">
        <v>41</v>
      </c>
      <c r="H59" t="s">
        <v>25</v>
      </c>
      <c r="I59" t="s">
        <v>17</v>
      </c>
      <c r="J59" t="s">
        <v>34</v>
      </c>
      <c r="K59" t="s">
        <v>35</v>
      </c>
      <c r="L59" s="2">
        <v>135.1</v>
      </c>
      <c r="M59" s="2">
        <v>97</v>
      </c>
      <c r="N59" s="2">
        <f>normalizar!$L59*normalizar!$M59</f>
        <v>13104.699999999999</v>
      </c>
    </row>
    <row r="60" spans="1:14" x14ac:dyDescent="0.25">
      <c r="A60">
        <v>59</v>
      </c>
      <c r="B60" s="1">
        <v>44075</v>
      </c>
      <c r="C60">
        <v>9281389647</v>
      </c>
      <c r="D60" t="s">
        <v>63</v>
      </c>
      <c r="E60" t="s">
        <v>85</v>
      </c>
      <c r="F60" t="s">
        <v>83</v>
      </c>
      <c r="G60" t="s">
        <v>41</v>
      </c>
      <c r="H60" t="s">
        <v>25</v>
      </c>
      <c r="I60" t="s">
        <v>17</v>
      </c>
      <c r="J60" t="s">
        <v>52</v>
      </c>
      <c r="K60" t="s">
        <v>53</v>
      </c>
      <c r="L60" s="2">
        <v>257.59999999999997</v>
      </c>
      <c r="M60" s="2">
        <v>65</v>
      </c>
      <c r="N60" s="2">
        <f>normalizar!$L60*normalizar!$M60</f>
        <v>16743.999999999996</v>
      </c>
    </row>
    <row r="61" spans="1:14" x14ac:dyDescent="0.25">
      <c r="A61">
        <v>60</v>
      </c>
      <c r="B61" s="1">
        <v>44171</v>
      </c>
      <c r="C61">
        <v>2230409971</v>
      </c>
      <c r="D61" t="s">
        <v>28</v>
      </c>
      <c r="E61" t="s">
        <v>89</v>
      </c>
      <c r="F61" t="s">
        <v>84</v>
      </c>
      <c r="G61" t="s">
        <v>29</v>
      </c>
      <c r="H61" t="s">
        <v>8</v>
      </c>
      <c r="I61" t="s">
        <v>9</v>
      </c>
      <c r="J61" t="s">
        <v>10</v>
      </c>
      <c r="K61" t="s">
        <v>11</v>
      </c>
      <c r="L61" s="2">
        <v>196</v>
      </c>
      <c r="M61" s="2">
        <v>72</v>
      </c>
      <c r="N61" s="2">
        <f>normalizar!$L61*normalizar!$M61</f>
        <v>14112</v>
      </c>
    </row>
    <row r="62" spans="1:14" x14ac:dyDescent="0.25">
      <c r="A62">
        <v>61</v>
      </c>
      <c r="B62" s="1">
        <v>43982</v>
      </c>
      <c r="C62">
        <v>498762200</v>
      </c>
      <c r="D62" t="s">
        <v>36</v>
      </c>
      <c r="E62" t="s">
        <v>92</v>
      </c>
      <c r="F62" t="s">
        <v>99</v>
      </c>
      <c r="G62" t="s">
        <v>37</v>
      </c>
      <c r="H62" t="s">
        <v>25</v>
      </c>
      <c r="I62" t="s">
        <v>9</v>
      </c>
      <c r="J62" t="s">
        <v>30</v>
      </c>
      <c r="K62" t="s">
        <v>31</v>
      </c>
      <c r="L62" s="2">
        <v>178.5</v>
      </c>
      <c r="M62" s="2">
        <v>16</v>
      </c>
      <c r="N62" s="2">
        <f>normalizar!$L62*normalizar!$M62</f>
        <v>2856</v>
      </c>
    </row>
    <row r="63" spans="1:14" x14ac:dyDescent="0.25">
      <c r="A63">
        <v>62</v>
      </c>
      <c r="B63" s="1">
        <v>43855</v>
      </c>
      <c r="C63">
        <v>5059332572</v>
      </c>
      <c r="D63" t="s">
        <v>14</v>
      </c>
      <c r="E63" t="s">
        <v>81</v>
      </c>
      <c r="F63" t="s">
        <v>94</v>
      </c>
      <c r="G63" t="s">
        <v>15</v>
      </c>
      <c r="H63" t="s">
        <v>16</v>
      </c>
      <c r="I63" t="s">
        <v>17</v>
      </c>
      <c r="J63" t="s">
        <v>70</v>
      </c>
      <c r="K63" t="s">
        <v>47</v>
      </c>
      <c r="L63" s="2">
        <v>1134</v>
      </c>
      <c r="M63" s="2">
        <v>77</v>
      </c>
      <c r="N63" s="2">
        <f>normalizar!$L63*normalizar!$M63</f>
        <v>87318</v>
      </c>
    </row>
    <row r="64" spans="1:14" x14ac:dyDescent="0.25">
      <c r="A64">
        <v>63</v>
      </c>
      <c r="B64" s="1">
        <v>44034</v>
      </c>
      <c r="C64">
        <v>807667000</v>
      </c>
      <c r="D64" t="s">
        <v>14</v>
      </c>
      <c r="E64" t="s">
        <v>81</v>
      </c>
      <c r="F64" t="s">
        <v>94</v>
      </c>
      <c r="G64" t="s">
        <v>15</v>
      </c>
      <c r="H64" t="s">
        <v>16</v>
      </c>
      <c r="I64" t="s">
        <v>17</v>
      </c>
      <c r="J64" t="s">
        <v>71</v>
      </c>
      <c r="K64" t="s">
        <v>72</v>
      </c>
      <c r="L64" s="2">
        <v>98</v>
      </c>
      <c r="M64" s="2">
        <v>37</v>
      </c>
      <c r="N64" s="2">
        <f>normalizar!$L64*normalizar!$M64</f>
        <v>3626</v>
      </c>
    </row>
    <row r="65" spans="1:14" x14ac:dyDescent="0.25">
      <c r="A65">
        <v>64</v>
      </c>
      <c r="B65" s="1">
        <v>44117</v>
      </c>
      <c r="C65">
        <v>4320869422</v>
      </c>
      <c r="D65" t="s">
        <v>23</v>
      </c>
      <c r="E65" t="s">
        <v>86</v>
      </c>
      <c r="F65" t="s">
        <v>82</v>
      </c>
      <c r="G65" t="s">
        <v>24</v>
      </c>
      <c r="H65" t="s">
        <v>25</v>
      </c>
      <c r="I65" t="s">
        <v>17</v>
      </c>
      <c r="J65" t="s">
        <v>58</v>
      </c>
      <c r="K65" t="s">
        <v>59</v>
      </c>
      <c r="L65" s="2">
        <v>487.19999999999993</v>
      </c>
      <c r="M65" s="2">
        <v>63</v>
      </c>
      <c r="N65" s="2">
        <f>normalizar!$L65*normalizar!$M65</f>
        <v>30693.599999999995</v>
      </c>
    </row>
    <row r="66" spans="1:14" x14ac:dyDescent="0.25">
      <c r="A66">
        <v>65</v>
      </c>
      <c r="B66" s="1">
        <v>44174</v>
      </c>
      <c r="C66">
        <v>7227542762</v>
      </c>
      <c r="D66" t="s">
        <v>32</v>
      </c>
      <c r="E66" t="s">
        <v>93</v>
      </c>
      <c r="F66" t="s">
        <v>96</v>
      </c>
      <c r="G66" t="s">
        <v>7</v>
      </c>
      <c r="H66" t="s">
        <v>8</v>
      </c>
      <c r="I66" t="s">
        <v>33</v>
      </c>
      <c r="J66" t="s">
        <v>60</v>
      </c>
      <c r="K66" t="s">
        <v>49</v>
      </c>
      <c r="L66" s="2">
        <v>140</v>
      </c>
      <c r="M66" s="2">
        <v>48</v>
      </c>
      <c r="N66" s="2">
        <f>normalizar!$L66*normalizar!$M66</f>
        <v>6720</v>
      </c>
    </row>
    <row r="67" spans="1:14" x14ac:dyDescent="0.25">
      <c r="A67">
        <v>66</v>
      </c>
      <c r="B67" s="1">
        <v>43890</v>
      </c>
      <c r="C67">
        <v>4844854212</v>
      </c>
      <c r="D67" t="s">
        <v>32</v>
      </c>
      <c r="E67" t="s">
        <v>93</v>
      </c>
      <c r="F67" t="s">
        <v>96</v>
      </c>
      <c r="G67" t="s">
        <v>7</v>
      </c>
      <c r="H67" t="s">
        <v>8</v>
      </c>
      <c r="I67" t="s">
        <v>33</v>
      </c>
      <c r="J67" t="s">
        <v>38</v>
      </c>
      <c r="K67" t="s">
        <v>39</v>
      </c>
      <c r="L67" s="2">
        <v>560</v>
      </c>
      <c r="M67" s="2">
        <v>71</v>
      </c>
      <c r="N67" s="2">
        <f>normalizar!$L67*normalizar!$M67</f>
        <v>39760</v>
      </c>
    </row>
    <row r="68" spans="1:14" x14ac:dyDescent="0.25">
      <c r="A68">
        <v>67</v>
      </c>
      <c r="B68" s="1">
        <v>43945</v>
      </c>
      <c r="C68">
        <v>6476704094</v>
      </c>
      <c r="D68" t="s">
        <v>42</v>
      </c>
      <c r="E68" t="s">
        <v>91</v>
      </c>
      <c r="F68" t="s">
        <v>91</v>
      </c>
      <c r="G68" t="s">
        <v>43</v>
      </c>
      <c r="H68" t="s">
        <v>8</v>
      </c>
      <c r="I68" t="s">
        <v>17</v>
      </c>
      <c r="J68" t="s">
        <v>61</v>
      </c>
      <c r="K68" t="s">
        <v>13</v>
      </c>
      <c r="L68" s="2">
        <v>140</v>
      </c>
      <c r="M68" s="2">
        <v>55</v>
      </c>
      <c r="N68" s="2">
        <f>normalizar!$L68*normalizar!$M68</f>
        <v>7700</v>
      </c>
    </row>
    <row r="69" spans="1:14" x14ac:dyDescent="0.25">
      <c r="A69">
        <v>68</v>
      </c>
      <c r="B69" s="1">
        <v>44052</v>
      </c>
      <c r="C69">
        <v>289513623</v>
      </c>
      <c r="D69" t="s">
        <v>42</v>
      </c>
      <c r="E69" t="s">
        <v>91</v>
      </c>
      <c r="F69" t="s">
        <v>91</v>
      </c>
      <c r="G69" t="s">
        <v>43</v>
      </c>
      <c r="H69" t="s">
        <v>16</v>
      </c>
      <c r="I69" t="s">
        <v>127</v>
      </c>
      <c r="J69" t="s">
        <v>12</v>
      </c>
      <c r="K69" t="s">
        <v>13</v>
      </c>
      <c r="L69" s="2">
        <v>49</v>
      </c>
      <c r="M69" s="2">
        <v>21</v>
      </c>
      <c r="N69" s="2">
        <f>normalizar!$L69*normalizar!$M69</f>
        <v>1029</v>
      </c>
    </row>
    <row r="70" spans="1:14" x14ac:dyDescent="0.25">
      <c r="A70">
        <v>69</v>
      </c>
      <c r="B70" s="1">
        <v>44115</v>
      </c>
      <c r="C70">
        <v>4360909288</v>
      </c>
      <c r="D70" t="s">
        <v>50</v>
      </c>
      <c r="E70" t="s">
        <v>85</v>
      </c>
      <c r="F70" t="s">
        <v>83</v>
      </c>
      <c r="G70" t="s">
        <v>41</v>
      </c>
      <c r="H70" t="s">
        <v>25</v>
      </c>
      <c r="I70" t="s">
        <v>127</v>
      </c>
      <c r="J70" t="s">
        <v>38</v>
      </c>
      <c r="K70" t="s">
        <v>39</v>
      </c>
      <c r="L70" s="2">
        <v>560</v>
      </c>
      <c r="M70" s="2">
        <v>67</v>
      </c>
      <c r="N70" s="2">
        <f>normalizar!$L70*normalizar!$M70</f>
        <v>37520</v>
      </c>
    </row>
    <row r="71" spans="1:14" x14ac:dyDescent="0.25">
      <c r="A71">
        <v>70</v>
      </c>
      <c r="B71" s="1">
        <v>43966</v>
      </c>
      <c r="C71">
        <v>1569352924</v>
      </c>
      <c r="D71" t="s">
        <v>51</v>
      </c>
      <c r="E71" t="s">
        <v>90</v>
      </c>
      <c r="F71" t="s">
        <v>98</v>
      </c>
      <c r="G71" t="s">
        <v>24</v>
      </c>
      <c r="H71" t="s">
        <v>25</v>
      </c>
      <c r="I71" t="s">
        <v>127</v>
      </c>
      <c r="J71" t="s">
        <v>52</v>
      </c>
      <c r="K71" t="s">
        <v>53</v>
      </c>
      <c r="L71" s="2">
        <v>257.59999999999997</v>
      </c>
      <c r="M71" s="2">
        <v>75</v>
      </c>
      <c r="N71" s="2">
        <f>normalizar!$L71*normalizar!$M71</f>
        <v>19319.999999999996</v>
      </c>
    </row>
    <row r="72" spans="1:14" x14ac:dyDescent="0.25">
      <c r="A72">
        <v>71</v>
      </c>
      <c r="B72" s="1">
        <v>43962</v>
      </c>
      <c r="C72">
        <v>4417023777</v>
      </c>
      <c r="D72" t="s">
        <v>40</v>
      </c>
      <c r="E72" t="s">
        <v>97</v>
      </c>
      <c r="F72" t="s">
        <v>88</v>
      </c>
      <c r="G72" t="s">
        <v>41</v>
      </c>
      <c r="H72" t="s">
        <v>25</v>
      </c>
      <c r="I72" t="s">
        <v>17</v>
      </c>
      <c r="J72" t="s">
        <v>22</v>
      </c>
      <c r="K72" t="s">
        <v>11</v>
      </c>
      <c r="L72" s="2">
        <v>644</v>
      </c>
      <c r="M72" s="2">
        <v>17</v>
      </c>
      <c r="N72" s="2">
        <f>normalizar!$L72*normalizar!$M72</f>
        <v>10948</v>
      </c>
    </row>
    <row r="73" spans="1:14" x14ac:dyDescent="0.25">
      <c r="A73">
        <v>72</v>
      </c>
      <c r="B73" s="1">
        <v>43845</v>
      </c>
      <c r="C73">
        <v>5213348963</v>
      </c>
      <c r="D73" t="s">
        <v>14</v>
      </c>
      <c r="E73" t="s">
        <v>81</v>
      </c>
      <c r="F73" t="s">
        <v>94</v>
      </c>
      <c r="G73" t="s">
        <v>15</v>
      </c>
      <c r="H73" t="s">
        <v>16</v>
      </c>
      <c r="I73" t="s">
        <v>17</v>
      </c>
      <c r="J73" t="s">
        <v>12</v>
      </c>
      <c r="K73" t="s">
        <v>13</v>
      </c>
      <c r="L73" s="2">
        <v>49</v>
      </c>
      <c r="M73" s="2">
        <v>48</v>
      </c>
      <c r="N73" s="2">
        <f>normalizar!$L73*normalizar!$M73</f>
        <v>2352</v>
      </c>
    </row>
    <row r="74" spans="1:14" x14ac:dyDescent="0.25">
      <c r="A74">
        <v>73</v>
      </c>
      <c r="B74" s="1">
        <v>44010</v>
      </c>
      <c r="C74">
        <v>6039525395</v>
      </c>
      <c r="D74" t="s">
        <v>20</v>
      </c>
      <c r="E74" t="s">
        <v>80</v>
      </c>
      <c r="F74" t="s">
        <v>95</v>
      </c>
      <c r="G74" t="s">
        <v>7</v>
      </c>
      <c r="H74" t="s">
        <v>8</v>
      </c>
      <c r="I74" t="s">
        <v>17</v>
      </c>
      <c r="J74" t="s">
        <v>21</v>
      </c>
      <c r="K74" t="s">
        <v>11</v>
      </c>
      <c r="L74" s="2">
        <v>252</v>
      </c>
      <c r="M74" s="2">
        <v>74</v>
      </c>
      <c r="N74" s="2">
        <f>normalizar!$L74*normalizar!$M74</f>
        <v>18648</v>
      </c>
    </row>
    <row r="75" spans="1:14" x14ac:dyDescent="0.25">
      <c r="A75">
        <v>74</v>
      </c>
      <c r="B75" s="1">
        <v>44123</v>
      </c>
      <c r="C75">
        <v>7564866770</v>
      </c>
      <c r="D75" t="s">
        <v>20</v>
      </c>
      <c r="E75" t="s">
        <v>80</v>
      </c>
      <c r="F75" t="s">
        <v>95</v>
      </c>
      <c r="G75" t="s">
        <v>7</v>
      </c>
      <c r="H75" t="s">
        <v>8</v>
      </c>
      <c r="I75" t="s">
        <v>17</v>
      </c>
      <c r="J75" t="s">
        <v>22</v>
      </c>
      <c r="K75" t="s">
        <v>11</v>
      </c>
      <c r="L75" s="2">
        <v>644</v>
      </c>
      <c r="M75" s="2">
        <v>96</v>
      </c>
      <c r="N75" s="2">
        <f>normalizar!$L75*normalizar!$M75</f>
        <v>61824</v>
      </c>
    </row>
    <row r="76" spans="1:14" x14ac:dyDescent="0.25">
      <c r="A76">
        <v>75</v>
      </c>
      <c r="B76" s="1">
        <v>43976</v>
      </c>
      <c r="C76">
        <v>9161740728</v>
      </c>
      <c r="D76" t="s">
        <v>23</v>
      </c>
      <c r="E76" t="s">
        <v>86</v>
      </c>
      <c r="F76" t="s">
        <v>82</v>
      </c>
      <c r="G76" t="s">
        <v>24</v>
      </c>
      <c r="H76" t="s">
        <v>25</v>
      </c>
      <c r="I76" t="s">
        <v>17</v>
      </c>
      <c r="J76" t="s">
        <v>26</v>
      </c>
      <c r="K76" t="s">
        <v>27</v>
      </c>
      <c r="L76" s="2">
        <v>128.79999999999998</v>
      </c>
      <c r="M76" s="2">
        <v>12</v>
      </c>
      <c r="N76" s="2">
        <f>normalizar!$L76*normalizar!$M76</f>
        <v>1545.6</v>
      </c>
    </row>
    <row r="77" spans="1:14" x14ac:dyDescent="0.25">
      <c r="A77">
        <v>76</v>
      </c>
      <c r="B77" s="1">
        <v>43939</v>
      </c>
      <c r="C77">
        <v>5854661633</v>
      </c>
      <c r="D77" t="s">
        <v>14</v>
      </c>
      <c r="E77" t="s">
        <v>81</v>
      </c>
      <c r="F77" t="s">
        <v>94</v>
      </c>
      <c r="G77" t="s">
        <v>15</v>
      </c>
      <c r="H77" t="s">
        <v>25</v>
      </c>
      <c r="I77" t="s">
        <v>9</v>
      </c>
      <c r="J77" t="s">
        <v>26</v>
      </c>
      <c r="K77" t="s">
        <v>27</v>
      </c>
      <c r="L77" s="2">
        <v>128.79999999999998</v>
      </c>
      <c r="M77" s="2">
        <v>62</v>
      </c>
      <c r="N77" s="2">
        <f>normalizar!$L77*normalizar!$M77</f>
        <v>7985.5999999999985</v>
      </c>
    </row>
    <row r="78" spans="1:14" x14ac:dyDescent="0.25">
      <c r="A78">
        <v>77</v>
      </c>
      <c r="B78" s="1">
        <v>43995</v>
      </c>
      <c r="C78">
        <v>9782824487</v>
      </c>
      <c r="D78" t="s">
        <v>28</v>
      </c>
      <c r="E78" t="s">
        <v>89</v>
      </c>
      <c r="F78" t="s">
        <v>84</v>
      </c>
      <c r="G78" t="s">
        <v>29</v>
      </c>
      <c r="H78" t="s">
        <v>8</v>
      </c>
      <c r="I78" t="s">
        <v>9</v>
      </c>
      <c r="J78" t="s">
        <v>30</v>
      </c>
      <c r="K78" t="s">
        <v>31</v>
      </c>
      <c r="L78" s="2">
        <v>178.5</v>
      </c>
      <c r="M78" s="2">
        <v>35</v>
      </c>
      <c r="N78" s="2">
        <f>normalizar!$L78*normalizar!$M78</f>
        <v>6247.5</v>
      </c>
    </row>
    <row r="79" spans="1:14" x14ac:dyDescent="0.25">
      <c r="A79">
        <v>78</v>
      </c>
      <c r="B79" s="1">
        <v>43888</v>
      </c>
      <c r="C79">
        <v>5368581132</v>
      </c>
      <c r="D79" t="s">
        <v>32</v>
      </c>
      <c r="E79" t="s">
        <v>93</v>
      </c>
      <c r="F79" t="s">
        <v>96</v>
      </c>
      <c r="G79" t="s">
        <v>7</v>
      </c>
      <c r="H79" t="s">
        <v>8</v>
      </c>
      <c r="I79" t="s">
        <v>33</v>
      </c>
      <c r="J79" t="s">
        <v>34</v>
      </c>
      <c r="K79" t="s">
        <v>35</v>
      </c>
      <c r="L79" s="2">
        <v>135.1</v>
      </c>
      <c r="M79" s="2">
        <v>95</v>
      </c>
      <c r="N79" s="2">
        <f>normalizar!$L79*normalizar!$M79</f>
        <v>12834.5</v>
      </c>
    </row>
    <row r="80" spans="1:14" x14ac:dyDescent="0.25">
      <c r="A80">
        <v>79</v>
      </c>
      <c r="B80" s="1">
        <v>43991</v>
      </c>
      <c r="C80">
        <v>1972466220</v>
      </c>
      <c r="D80" t="s">
        <v>36</v>
      </c>
      <c r="E80" t="s">
        <v>92</v>
      </c>
      <c r="F80" t="s">
        <v>99</v>
      </c>
      <c r="G80" t="s">
        <v>37</v>
      </c>
      <c r="H80" t="s">
        <v>8</v>
      </c>
      <c r="I80" t="s">
        <v>17</v>
      </c>
      <c r="J80" t="s">
        <v>38</v>
      </c>
      <c r="K80" t="s">
        <v>39</v>
      </c>
      <c r="L80" s="2">
        <v>560</v>
      </c>
      <c r="M80" s="2">
        <v>17</v>
      </c>
      <c r="N80" s="2">
        <f>normalizar!$L80*normalizar!$M80</f>
        <v>9520</v>
      </c>
    </row>
    <row r="81" spans="1:14" x14ac:dyDescent="0.25">
      <c r="A81">
        <v>80</v>
      </c>
      <c r="B81" s="1">
        <v>44149</v>
      </c>
      <c r="C81">
        <v>6835780904</v>
      </c>
      <c r="D81" t="s">
        <v>40</v>
      </c>
      <c r="E81" t="s">
        <v>97</v>
      </c>
      <c r="F81" t="s">
        <v>88</v>
      </c>
      <c r="G81" t="s">
        <v>41</v>
      </c>
      <c r="H81" t="s">
        <v>25</v>
      </c>
      <c r="I81" t="s">
        <v>9</v>
      </c>
      <c r="J81" t="s">
        <v>22</v>
      </c>
      <c r="K81" t="s">
        <v>11</v>
      </c>
      <c r="L81" s="2">
        <v>644</v>
      </c>
      <c r="M81" s="2">
        <v>96</v>
      </c>
      <c r="N81" s="2">
        <f>normalizar!$L81*normalizar!$M81</f>
        <v>61824</v>
      </c>
    </row>
    <row r="82" spans="1:14" x14ac:dyDescent="0.25">
      <c r="A82">
        <v>81</v>
      </c>
      <c r="B82" s="1">
        <v>44029</v>
      </c>
      <c r="C82">
        <v>9361876990</v>
      </c>
      <c r="D82" t="s">
        <v>23</v>
      </c>
      <c r="E82" t="s">
        <v>86</v>
      </c>
      <c r="F82" t="s">
        <v>82</v>
      </c>
      <c r="G82" t="s">
        <v>24</v>
      </c>
      <c r="H82" t="s">
        <v>25</v>
      </c>
      <c r="I82" t="s">
        <v>9</v>
      </c>
      <c r="J82" t="s">
        <v>30</v>
      </c>
      <c r="K82" t="s">
        <v>31</v>
      </c>
      <c r="L82" s="2">
        <v>178.5</v>
      </c>
      <c r="M82" s="2">
        <v>83</v>
      </c>
      <c r="N82" s="2">
        <f>normalizar!$L82*normalizar!$M82</f>
        <v>14815.5</v>
      </c>
    </row>
    <row r="83" spans="1:14" x14ac:dyDescent="0.25">
      <c r="A83">
        <v>82</v>
      </c>
      <c r="B83" s="1">
        <v>43831</v>
      </c>
      <c r="C83">
        <v>7655628230</v>
      </c>
      <c r="D83" t="s">
        <v>42</v>
      </c>
      <c r="E83" t="s">
        <v>91</v>
      </c>
      <c r="F83" t="s">
        <v>91</v>
      </c>
      <c r="G83" t="s">
        <v>43</v>
      </c>
      <c r="H83" t="s">
        <v>8</v>
      </c>
      <c r="I83" t="s">
        <v>17</v>
      </c>
      <c r="J83" t="s">
        <v>44</v>
      </c>
      <c r="K83" t="s">
        <v>11</v>
      </c>
      <c r="L83" s="2">
        <v>41.86</v>
      </c>
      <c r="M83" s="2">
        <v>88</v>
      </c>
      <c r="N83" s="2">
        <f>normalizar!$L83*normalizar!$M83</f>
        <v>3683.68</v>
      </c>
    </row>
    <row r="84" spans="1:14" x14ac:dyDescent="0.25">
      <c r="A84">
        <v>83</v>
      </c>
      <c r="B84" s="1">
        <v>43952</v>
      </c>
      <c r="C84">
        <v>6770397729</v>
      </c>
      <c r="D84" t="s">
        <v>45</v>
      </c>
      <c r="E84" t="s">
        <v>87</v>
      </c>
      <c r="F84" t="s">
        <v>87</v>
      </c>
      <c r="G84" t="s">
        <v>24</v>
      </c>
      <c r="H84" t="s">
        <v>127</v>
      </c>
      <c r="I84" t="s">
        <v>127</v>
      </c>
      <c r="J84" t="s">
        <v>22</v>
      </c>
      <c r="K84" t="s">
        <v>11</v>
      </c>
      <c r="L84" s="2">
        <v>644</v>
      </c>
      <c r="M84" s="2">
        <v>59</v>
      </c>
      <c r="N84" s="2">
        <f>normalizar!$L84*normalizar!$M84</f>
        <v>37996</v>
      </c>
    </row>
    <row r="85" spans="1:14" x14ac:dyDescent="0.25">
      <c r="A85">
        <v>84</v>
      </c>
      <c r="B85" s="1">
        <v>44099</v>
      </c>
      <c r="C85">
        <v>6622149015</v>
      </c>
      <c r="D85" t="s">
        <v>42</v>
      </c>
      <c r="E85" t="s">
        <v>91</v>
      </c>
      <c r="F85" t="s">
        <v>91</v>
      </c>
      <c r="G85" t="s">
        <v>43</v>
      </c>
      <c r="H85" t="s">
        <v>16</v>
      </c>
      <c r="I85" t="s">
        <v>127</v>
      </c>
      <c r="J85" t="s">
        <v>46</v>
      </c>
      <c r="K85" t="s">
        <v>47</v>
      </c>
      <c r="L85" s="2">
        <v>350</v>
      </c>
      <c r="M85" s="2">
        <v>27</v>
      </c>
      <c r="N85" s="2">
        <f>normalizar!$L85*normalizar!$M85</f>
        <v>9450</v>
      </c>
    </row>
    <row r="86" spans="1:14" x14ac:dyDescent="0.25">
      <c r="A86">
        <v>85</v>
      </c>
      <c r="B86" s="1">
        <v>44071</v>
      </c>
      <c r="C86">
        <v>8859429908</v>
      </c>
      <c r="D86" t="s">
        <v>42</v>
      </c>
      <c r="E86" t="s">
        <v>91</v>
      </c>
      <c r="F86" t="s">
        <v>91</v>
      </c>
      <c r="G86" t="s">
        <v>43</v>
      </c>
      <c r="H86" t="s">
        <v>16</v>
      </c>
      <c r="I86" t="s">
        <v>127</v>
      </c>
      <c r="J86" t="s">
        <v>48</v>
      </c>
      <c r="K86" t="s">
        <v>49</v>
      </c>
      <c r="L86" s="2">
        <v>308</v>
      </c>
      <c r="M86" s="2">
        <v>37</v>
      </c>
      <c r="N86" s="2">
        <f>normalizar!$L86*normalizar!$M86</f>
        <v>11396</v>
      </c>
    </row>
    <row r="87" spans="1:14" x14ac:dyDescent="0.25">
      <c r="A87">
        <v>86</v>
      </c>
      <c r="B87" s="1">
        <v>44104</v>
      </c>
      <c r="C87">
        <v>146252536</v>
      </c>
      <c r="D87" t="s">
        <v>42</v>
      </c>
      <c r="E87" t="s">
        <v>91</v>
      </c>
      <c r="F87" t="s">
        <v>91</v>
      </c>
      <c r="G87" t="s">
        <v>43</v>
      </c>
      <c r="H87" t="s">
        <v>16</v>
      </c>
      <c r="I87" t="s">
        <v>127</v>
      </c>
      <c r="J87" t="s">
        <v>26</v>
      </c>
      <c r="K87" t="s">
        <v>27</v>
      </c>
      <c r="L87" s="2">
        <v>128.79999999999998</v>
      </c>
      <c r="M87" s="2">
        <v>75</v>
      </c>
      <c r="N87" s="2">
        <f>normalizar!$L87*normalizar!$M87</f>
        <v>9659.9999999999982</v>
      </c>
    </row>
    <row r="88" spans="1:14" x14ac:dyDescent="0.25">
      <c r="A88">
        <v>87</v>
      </c>
      <c r="B88" s="1">
        <v>43866</v>
      </c>
      <c r="C88">
        <v>9010865731</v>
      </c>
      <c r="D88" t="s">
        <v>50</v>
      </c>
      <c r="E88" t="s">
        <v>85</v>
      </c>
      <c r="F88" t="s">
        <v>83</v>
      </c>
      <c r="G88" t="s">
        <v>41</v>
      </c>
      <c r="H88" t="s">
        <v>25</v>
      </c>
      <c r="I88" t="s">
        <v>127</v>
      </c>
      <c r="J88" t="s">
        <v>12</v>
      </c>
      <c r="K88" t="s">
        <v>13</v>
      </c>
      <c r="L88" s="2">
        <v>49</v>
      </c>
      <c r="M88" s="2">
        <v>71</v>
      </c>
      <c r="N88" s="2">
        <f>normalizar!$L88*normalizar!$M88</f>
        <v>3479</v>
      </c>
    </row>
    <row r="89" spans="1:14" x14ac:dyDescent="0.25">
      <c r="A89">
        <v>88</v>
      </c>
      <c r="B89" s="1">
        <v>44017</v>
      </c>
      <c r="C89">
        <v>9076170123</v>
      </c>
      <c r="D89" t="s">
        <v>50</v>
      </c>
      <c r="E89" t="s">
        <v>85</v>
      </c>
      <c r="F89" t="s">
        <v>83</v>
      </c>
      <c r="G89" t="s">
        <v>41</v>
      </c>
      <c r="H89" t="s">
        <v>25</v>
      </c>
      <c r="I89" t="s">
        <v>127</v>
      </c>
      <c r="J89" t="s">
        <v>44</v>
      </c>
      <c r="K89" t="s">
        <v>11</v>
      </c>
      <c r="L89" s="2">
        <v>41.86</v>
      </c>
      <c r="M89" s="2">
        <v>88</v>
      </c>
      <c r="N89" s="2">
        <f>normalizar!$L89*normalizar!$M89</f>
        <v>3683.68</v>
      </c>
    </row>
    <row r="90" spans="1:14" x14ac:dyDescent="0.25">
      <c r="A90">
        <v>89</v>
      </c>
      <c r="B90" s="1">
        <v>43924</v>
      </c>
      <c r="C90">
        <v>4412491838</v>
      </c>
      <c r="D90" t="s">
        <v>51</v>
      </c>
      <c r="E90" t="s">
        <v>90</v>
      </c>
      <c r="F90" t="s">
        <v>98</v>
      </c>
      <c r="G90" t="s">
        <v>24</v>
      </c>
      <c r="H90" t="s">
        <v>127</v>
      </c>
      <c r="I90" t="s">
        <v>127</v>
      </c>
      <c r="J90" t="s">
        <v>21</v>
      </c>
      <c r="K90" t="s">
        <v>11</v>
      </c>
      <c r="L90" s="2">
        <v>252</v>
      </c>
      <c r="M90" s="2">
        <v>55</v>
      </c>
      <c r="N90" s="2">
        <f>normalizar!$L90*normalizar!$M90</f>
        <v>13860</v>
      </c>
    </row>
    <row r="91" spans="1:14" x14ac:dyDescent="0.25">
      <c r="A91">
        <v>90</v>
      </c>
      <c r="B91" s="1">
        <v>43964</v>
      </c>
      <c r="C91">
        <v>7223227521</v>
      </c>
      <c r="D91" t="s">
        <v>28</v>
      </c>
      <c r="E91" t="s">
        <v>89</v>
      </c>
      <c r="F91" t="s">
        <v>84</v>
      </c>
      <c r="G91" t="s">
        <v>29</v>
      </c>
      <c r="H91" t="s">
        <v>8</v>
      </c>
      <c r="I91" t="s">
        <v>9</v>
      </c>
      <c r="J91" t="s">
        <v>30</v>
      </c>
      <c r="K91" t="s">
        <v>31</v>
      </c>
      <c r="L91" s="2">
        <v>178.5</v>
      </c>
      <c r="M91" s="2">
        <v>14</v>
      </c>
      <c r="N91" s="2">
        <f>normalizar!$L91*normalizar!$M91</f>
        <v>2499</v>
      </c>
    </row>
    <row r="92" spans="1:14" x14ac:dyDescent="0.25">
      <c r="A92">
        <v>91</v>
      </c>
      <c r="B92" s="1">
        <v>43994</v>
      </c>
      <c r="C92">
        <v>9595973394</v>
      </c>
      <c r="D92" t="s">
        <v>32</v>
      </c>
      <c r="E92" t="s">
        <v>93</v>
      </c>
      <c r="F92" t="s">
        <v>96</v>
      </c>
      <c r="G92" t="s">
        <v>7</v>
      </c>
      <c r="H92" t="s">
        <v>8</v>
      </c>
      <c r="I92" t="s">
        <v>33</v>
      </c>
      <c r="J92" t="s">
        <v>34</v>
      </c>
      <c r="K92" t="s">
        <v>35</v>
      </c>
      <c r="L92" s="2">
        <v>135.1</v>
      </c>
      <c r="M92" s="2">
        <v>43</v>
      </c>
      <c r="N92" s="2">
        <f>normalizar!$L92*normalizar!$M92</f>
        <v>5809.3</v>
      </c>
    </row>
    <row r="93" spans="1:14" x14ac:dyDescent="0.25">
      <c r="A93">
        <v>92</v>
      </c>
      <c r="B93" s="1">
        <v>43891</v>
      </c>
      <c r="C93">
        <v>2755531090</v>
      </c>
      <c r="D93" t="s">
        <v>36</v>
      </c>
      <c r="E93" t="s">
        <v>92</v>
      </c>
      <c r="F93" t="s">
        <v>99</v>
      </c>
      <c r="G93" t="s">
        <v>37</v>
      </c>
      <c r="H93" t="s">
        <v>8</v>
      </c>
      <c r="I93" t="s">
        <v>17</v>
      </c>
      <c r="J93" t="s">
        <v>38</v>
      </c>
      <c r="K93" t="s">
        <v>39</v>
      </c>
      <c r="L93" s="2">
        <v>560</v>
      </c>
      <c r="M93" s="2">
        <v>63</v>
      </c>
      <c r="N93" s="2">
        <f>normalizar!$L93*normalizar!$M93</f>
        <v>35280</v>
      </c>
    </row>
    <row r="94" spans="1:14" x14ac:dyDescent="0.25">
      <c r="A94">
        <v>93</v>
      </c>
      <c r="B94" s="1">
        <v>44069</v>
      </c>
      <c r="C94">
        <v>5306800000</v>
      </c>
      <c r="D94" t="s">
        <v>40</v>
      </c>
      <c r="E94" t="s">
        <v>97</v>
      </c>
      <c r="F94" t="s">
        <v>88</v>
      </c>
      <c r="G94" t="s">
        <v>41</v>
      </c>
      <c r="H94" t="s">
        <v>25</v>
      </c>
      <c r="I94" t="s">
        <v>9</v>
      </c>
      <c r="J94" t="s">
        <v>22</v>
      </c>
      <c r="K94" t="s">
        <v>11</v>
      </c>
      <c r="L94" s="2">
        <v>644</v>
      </c>
      <c r="M94" s="2">
        <v>36</v>
      </c>
      <c r="N94" s="2">
        <f>normalizar!$L94*normalizar!$M94</f>
        <v>23184</v>
      </c>
    </row>
    <row r="95" spans="1:14" x14ac:dyDescent="0.25">
      <c r="A95">
        <v>94</v>
      </c>
      <c r="B95" s="1">
        <v>44171</v>
      </c>
      <c r="C95">
        <v>6768826719</v>
      </c>
      <c r="D95" t="s">
        <v>23</v>
      </c>
      <c r="E95" t="s">
        <v>86</v>
      </c>
      <c r="F95" t="s">
        <v>82</v>
      </c>
      <c r="G95" t="s">
        <v>24</v>
      </c>
      <c r="H95" t="s">
        <v>25</v>
      </c>
      <c r="I95" t="s">
        <v>9</v>
      </c>
      <c r="J95" t="s">
        <v>30</v>
      </c>
      <c r="K95" t="s">
        <v>31</v>
      </c>
      <c r="L95" s="2">
        <v>178.5</v>
      </c>
      <c r="M95" s="2">
        <v>41</v>
      </c>
      <c r="N95" s="2">
        <f>normalizar!$L95*normalizar!$M95</f>
        <v>7318.5</v>
      </c>
    </row>
    <row r="96" spans="1:14" x14ac:dyDescent="0.25">
      <c r="A96">
        <v>95</v>
      </c>
      <c r="B96" s="1">
        <v>43923</v>
      </c>
      <c r="C96">
        <v>7945500000</v>
      </c>
      <c r="D96" t="s">
        <v>42</v>
      </c>
      <c r="E96" t="s">
        <v>91</v>
      </c>
      <c r="F96" t="s">
        <v>91</v>
      </c>
      <c r="G96" t="s">
        <v>43</v>
      </c>
      <c r="H96" t="s">
        <v>8</v>
      </c>
      <c r="I96" t="s">
        <v>17</v>
      </c>
      <c r="J96" t="s">
        <v>44</v>
      </c>
      <c r="K96" t="s">
        <v>11</v>
      </c>
      <c r="L96" s="2">
        <v>41.86</v>
      </c>
      <c r="M96" s="2">
        <v>35</v>
      </c>
      <c r="N96" s="2">
        <f>normalizar!$L96*normalizar!$M96</f>
        <v>1465.1</v>
      </c>
    </row>
    <row r="97" spans="1:14" x14ac:dyDescent="0.25">
      <c r="A97">
        <v>96</v>
      </c>
      <c r="B97" s="1">
        <v>43923</v>
      </c>
      <c r="C97">
        <v>4671327569</v>
      </c>
      <c r="D97" t="s">
        <v>45</v>
      </c>
      <c r="E97" t="s">
        <v>87</v>
      </c>
      <c r="F97" t="s">
        <v>87</v>
      </c>
      <c r="G97" t="s">
        <v>24</v>
      </c>
      <c r="H97" t="s">
        <v>127</v>
      </c>
      <c r="I97" t="s">
        <v>127</v>
      </c>
      <c r="J97" t="s">
        <v>22</v>
      </c>
      <c r="K97" t="s">
        <v>11</v>
      </c>
      <c r="L97" s="2">
        <v>644</v>
      </c>
      <c r="M97" s="2">
        <v>31</v>
      </c>
      <c r="N97" s="2">
        <f>normalizar!$L97*normalizar!$M97</f>
        <v>19964</v>
      </c>
    </row>
    <row r="98" spans="1:14" x14ac:dyDescent="0.25">
      <c r="A98">
        <v>97</v>
      </c>
      <c r="B98" s="1">
        <v>44100</v>
      </c>
      <c r="C98">
        <v>5750783013</v>
      </c>
      <c r="D98" t="s">
        <v>42</v>
      </c>
      <c r="E98" t="s">
        <v>91</v>
      </c>
      <c r="F98" t="s">
        <v>91</v>
      </c>
      <c r="G98" t="s">
        <v>43</v>
      </c>
      <c r="H98" t="s">
        <v>16</v>
      </c>
      <c r="I98" t="s">
        <v>127</v>
      </c>
      <c r="J98" t="s">
        <v>46</v>
      </c>
      <c r="K98" t="s">
        <v>47</v>
      </c>
      <c r="L98" s="2">
        <v>350</v>
      </c>
      <c r="M98" s="2">
        <v>52</v>
      </c>
      <c r="N98" s="2">
        <f>normalizar!$L98*normalizar!$M98</f>
        <v>18200</v>
      </c>
    </row>
    <row r="99" spans="1:14" x14ac:dyDescent="0.25">
      <c r="A99">
        <v>98</v>
      </c>
      <c r="B99" s="1">
        <v>44024</v>
      </c>
      <c r="C99">
        <v>1216202808</v>
      </c>
      <c r="D99" t="s">
        <v>42</v>
      </c>
      <c r="E99" t="s">
        <v>91</v>
      </c>
      <c r="F99" t="s">
        <v>91</v>
      </c>
      <c r="G99" t="s">
        <v>43</v>
      </c>
      <c r="H99" t="s">
        <v>16</v>
      </c>
      <c r="I99" t="s">
        <v>127</v>
      </c>
      <c r="J99" t="s">
        <v>48</v>
      </c>
      <c r="K99" t="s">
        <v>49</v>
      </c>
      <c r="L99" s="2">
        <v>308</v>
      </c>
      <c r="M99" s="2">
        <v>30</v>
      </c>
      <c r="N99" s="2">
        <f>normalizar!$L99*normalizar!$M99</f>
        <v>9240</v>
      </c>
    </row>
    <row r="100" spans="1:14" x14ac:dyDescent="0.25">
      <c r="A100">
        <v>99</v>
      </c>
      <c r="B100" s="1">
        <v>43934</v>
      </c>
      <c r="C100">
        <v>7167041532</v>
      </c>
      <c r="D100" t="s">
        <v>42</v>
      </c>
      <c r="E100" t="s">
        <v>91</v>
      </c>
      <c r="F100" t="s">
        <v>91</v>
      </c>
      <c r="G100" t="s">
        <v>43</v>
      </c>
      <c r="H100" t="s">
        <v>16</v>
      </c>
      <c r="I100" t="s">
        <v>127</v>
      </c>
      <c r="J100" t="s">
        <v>26</v>
      </c>
      <c r="K100" t="s">
        <v>27</v>
      </c>
      <c r="L100" s="2">
        <v>128.79999999999998</v>
      </c>
      <c r="M100" s="2">
        <v>41</v>
      </c>
      <c r="N100" s="2">
        <f>normalizar!$L100*normalizar!$M100</f>
        <v>5280.7999999999993</v>
      </c>
    </row>
    <row r="101" spans="1:14" x14ac:dyDescent="0.25">
      <c r="A101">
        <v>100</v>
      </c>
      <c r="B101" s="1">
        <v>44096</v>
      </c>
      <c r="C101">
        <v>2241191338</v>
      </c>
      <c r="D101" t="s">
        <v>50</v>
      </c>
      <c r="E101" t="s">
        <v>85</v>
      </c>
      <c r="F101" t="s">
        <v>83</v>
      </c>
      <c r="G101" t="s">
        <v>41</v>
      </c>
      <c r="H101" t="s">
        <v>25</v>
      </c>
      <c r="I101" t="s">
        <v>127</v>
      </c>
      <c r="J101" t="s">
        <v>12</v>
      </c>
      <c r="K101" t="s">
        <v>13</v>
      </c>
      <c r="L101" s="2">
        <v>49</v>
      </c>
      <c r="M101" s="2">
        <v>44</v>
      </c>
      <c r="N101" s="2">
        <f>normalizar!$L101*normalizar!$M101</f>
        <v>2156</v>
      </c>
    </row>
    <row r="102" spans="1:14" x14ac:dyDescent="0.25">
      <c r="A102">
        <v>101</v>
      </c>
      <c r="B102" s="1">
        <v>44106</v>
      </c>
      <c r="C102">
        <v>806264266</v>
      </c>
      <c r="D102" t="s">
        <v>50</v>
      </c>
      <c r="E102" t="s">
        <v>85</v>
      </c>
      <c r="F102" t="s">
        <v>83</v>
      </c>
      <c r="G102" t="s">
        <v>41</v>
      </c>
      <c r="H102" t="s">
        <v>25</v>
      </c>
      <c r="I102" t="s">
        <v>127</v>
      </c>
      <c r="J102" t="s">
        <v>44</v>
      </c>
      <c r="K102" t="s">
        <v>11</v>
      </c>
      <c r="L102" s="2">
        <v>41.86</v>
      </c>
      <c r="M102" s="2">
        <v>77</v>
      </c>
      <c r="N102" s="2">
        <f>normalizar!$L102*normalizar!$M102</f>
        <v>3223.22</v>
      </c>
    </row>
    <row r="103" spans="1:14" x14ac:dyDescent="0.25">
      <c r="A103">
        <v>102</v>
      </c>
      <c r="B103" s="1">
        <v>43902</v>
      </c>
      <c r="C103">
        <v>3820174684</v>
      </c>
      <c r="D103" t="s">
        <v>51</v>
      </c>
      <c r="E103" t="s">
        <v>90</v>
      </c>
      <c r="F103" t="s">
        <v>98</v>
      </c>
      <c r="G103" t="s">
        <v>24</v>
      </c>
      <c r="H103" t="s">
        <v>127</v>
      </c>
      <c r="I103" t="s">
        <v>127</v>
      </c>
      <c r="J103" t="s">
        <v>21</v>
      </c>
      <c r="K103" t="s">
        <v>11</v>
      </c>
      <c r="L103" s="2">
        <v>252</v>
      </c>
      <c r="M103" s="2">
        <v>29</v>
      </c>
      <c r="N103" s="2">
        <f>normalizar!$L103*normalizar!$M103</f>
        <v>7308</v>
      </c>
    </row>
    <row r="104" spans="1:14" x14ac:dyDescent="0.25">
      <c r="A104">
        <v>103</v>
      </c>
      <c r="B104" s="1">
        <v>44074</v>
      </c>
      <c r="C104">
        <v>5541796483</v>
      </c>
      <c r="D104" t="s">
        <v>51</v>
      </c>
      <c r="E104" t="s">
        <v>90</v>
      </c>
      <c r="F104" t="s">
        <v>98</v>
      </c>
      <c r="G104" t="s">
        <v>24</v>
      </c>
      <c r="H104" t="s">
        <v>127</v>
      </c>
      <c r="I104" t="s">
        <v>127</v>
      </c>
      <c r="J104" t="s">
        <v>22</v>
      </c>
      <c r="K104" t="s">
        <v>11</v>
      </c>
      <c r="L104" s="2">
        <v>644</v>
      </c>
      <c r="M104" s="2">
        <v>77</v>
      </c>
      <c r="N104" s="2">
        <f>normalizar!$L104*normalizar!$M104</f>
        <v>49588</v>
      </c>
    </row>
    <row r="105" spans="1:14" x14ac:dyDescent="0.25">
      <c r="A105">
        <v>104</v>
      </c>
      <c r="B105" s="1">
        <v>44025</v>
      </c>
      <c r="C105">
        <v>7096714976</v>
      </c>
      <c r="D105" t="s">
        <v>51</v>
      </c>
      <c r="E105" t="s">
        <v>90</v>
      </c>
      <c r="F105" t="s">
        <v>98</v>
      </c>
      <c r="G105" t="s">
        <v>24</v>
      </c>
      <c r="H105" t="s">
        <v>127</v>
      </c>
      <c r="I105" t="s">
        <v>127</v>
      </c>
      <c r="J105" t="s">
        <v>44</v>
      </c>
      <c r="K105" t="s">
        <v>11</v>
      </c>
      <c r="L105" s="2">
        <v>41.86</v>
      </c>
      <c r="M105" s="2">
        <v>73</v>
      </c>
      <c r="N105" s="2">
        <f>normalizar!$L105*normalizar!$M105</f>
        <v>3055.7799999999997</v>
      </c>
    </row>
    <row r="106" spans="1:14" x14ac:dyDescent="0.25">
      <c r="A106">
        <v>105</v>
      </c>
      <c r="B106" s="1">
        <v>44160</v>
      </c>
      <c r="C106">
        <v>2543114862</v>
      </c>
      <c r="D106" t="s">
        <v>40</v>
      </c>
      <c r="E106" t="s">
        <v>97</v>
      </c>
      <c r="F106" t="s">
        <v>88</v>
      </c>
      <c r="G106" t="s">
        <v>41</v>
      </c>
      <c r="H106" t="s">
        <v>25</v>
      </c>
      <c r="I106" t="s">
        <v>17</v>
      </c>
      <c r="J106" t="s">
        <v>34</v>
      </c>
      <c r="K106" t="s">
        <v>35</v>
      </c>
      <c r="L106" s="2">
        <v>135.1</v>
      </c>
      <c r="M106" s="2">
        <v>74</v>
      </c>
      <c r="N106" s="2">
        <f>normalizar!$L106*normalizar!$M106</f>
        <v>9997.4</v>
      </c>
    </row>
    <row r="107" spans="1:14" x14ac:dyDescent="0.25">
      <c r="A107">
        <v>106</v>
      </c>
      <c r="B107" s="1">
        <v>44070</v>
      </c>
      <c r="C107">
        <v>6501127347</v>
      </c>
      <c r="D107" t="s">
        <v>40</v>
      </c>
      <c r="E107" t="s">
        <v>97</v>
      </c>
      <c r="F107" t="s">
        <v>88</v>
      </c>
      <c r="G107" t="s">
        <v>41</v>
      </c>
      <c r="H107" t="s">
        <v>25</v>
      </c>
      <c r="I107" t="s">
        <v>17</v>
      </c>
      <c r="J107" t="s">
        <v>52</v>
      </c>
      <c r="K107" t="s">
        <v>53</v>
      </c>
      <c r="L107" s="2">
        <v>257.59999999999997</v>
      </c>
      <c r="M107" s="2">
        <v>25</v>
      </c>
      <c r="N107" s="2">
        <f>normalizar!$L107*normalizar!$M107</f>
        <v>6439.9999999999991</v>
      </c>
    </row>
    <row r="108" spans="1:14" x14ac:dyDescent="0.25">
      <c r="A108">
        <v>107</v>
      </c>
      <c r="B108" s="1">
        <v>43947</v>
      </c>
      <c r="C108">
        <v>1322296163</v>
      </c>
      <c r="D108" t="s">
        <v>54</v>
      </c>
      <c r="E108" t="s">
        <v>89</v>
      </c>
      <c r="F108" t="s">
        <v>84</v>
      </c>
      <c r="G108" t="s">
        <v>55</v>
      </c>
      <c r="H108" t="s">
        <v>16</v>
      </c>
      <c r="I108" t="s">
        <v>9</v>
      </c>
      <c r="J108" t="s">
        <v>56</v>
      </c>
      <c r="K108" t="s">
        <v>57</v>
      </c>
      <c r="L108" s="2">
        <v>273</v>
      </c>
      <c r="M108" s="2">
        <v>82</v>
      </c>
      <c r="N108" s="2">
        <f>normalizar!$L108*normalizar!$M108</f>
        <v>22386</v>
      </c>
    </row>
    <row r="109" spans="1:14" x14ac:dyDescent="0.25">
      <c r="A109">
        <v>108</v>
      </c>
      <c r="B109" s="1">
        <v>44122</v>
      </c>
      <c r="C109">
        <v>5162222472</v>
      </c>
      <c r="D109" t="s">
        <v>54</v>
      </c>
      <c r="E109" t="s">
        <v>89</v>
      </c>
      <c r="F109" t="s">
        <v>84</v>
      </c>
      <c r="G109" t="s">
        <v>55</v>
      </c>
      <c r="H109" t="s">
        <v>16</v>
      </c>
      <c r="I109" t="s">
        <v>9</v>
      </c>
      <c r="J109" t="s">
        <v>58</v>
      </c>
      <c r="K109" t="s">
        <v>59</v>
      </c>
      <c r="L109" s="2">
        <v>487.19999999999993</v>
      </c>
      <c r="M109" s="2">
        <v>37</v>
      </c>
      <c r="N109" s="2">
        <f>normalizar!$L109*normalizar!$M109</f>
        <v>18026.399999999998</v>
      </c>
    </row>
    <row r="110" spans="1:14" x14ac:dyDescent="0.25">
      <c r="A110">
        <v>109</v>
      </c>
      <c r="B110" s="1">
        <v>44103</v>
      </c>
      <c r="C110">
        <v>5752777715</v>
      </c>
      <c r="D110" t="s">
        <v>36</v>
      </c>
      <c r="E110" t="s">
        <v>92</v>
      </c>
      <c r="F110" t="s">
        <v>99</v>
      </c>
      <c r="G110" t="s">
        <v>37</v>
      </c>
      <c r="H110" t="s">
        <v>8</v>
      </c>
      <c r="I110" t="s">
        <v>17</v>
      </c>
      <c r="J110" t="s">
        <v>10</v>
      </c>
      <c r="K110" t="s">
        <v>11</v>
      </c>
      <c r="L110" s="2">
        <v>196</v>
      </c>
      <c r="M110" s="2">
        <v>84</v>
      </c>
      <c r="N110" s="2">
        <f>normalizar!$L110*normalizar!$M110</f>
        <v>16464</v>
      </c>
    </row>
    <row r="111" spans="1:14" x14ac:dyDescent="0.25">
      <c r="A111">
        <v>110</v>
      </c>
      <c r="B111" s="1">
        <v>44024</v>
      </c>
      <c r="C111">
        <v>2261700341</v>
      </c>
      <c r="D111" t="s">
        <v>23</v>
      </c>
      <c r="E111" t="s">
        <v>86</v>
      </c>
      <c r="F111" t="s">
        <v>82</v>
      </c>
      <c r="G111" t="s">
        <v>24</v>
      </c>
      <c r="H111" t="s">
        <v>8</v>
      </c>
      <c r="I111" t="s">
        <v>9</v>
      </c>
      <c r="J111" t="s">
        <v>38</v>
      </c>
      <c r="K111" t="s">
        <v>39</v>
      </c>
      <c r="L111" s="2">
        <v>560</v>
      </c>
      <c r="M111" s="2">
        <v>73</v>
      </c>
      <c r="N111" s="2">
        <f>normalizar!$L111*normalizar!$M111</f>
        <v>40880</v>
      </c>
    </row>
    <row r="112" spans="1:14" x14ac:dyDescent="0.25">
      <c r="A112">
        <v>111</v>
      </c>
      <c r="B112" s="1">
        <v>44073</v>
      </c>
      <c r="C112">
        <v>9950546196</v>
      </c>
      <c r="D112" t="s">
        <v>23</v>
      </c>
      <c r="E112" t="s">
        <v>86</v>
      </c>
      <c r="F112" t="s">
        <v>82</v>
      </c>
      <c r="G112" t="s">
        <v>24</v>
      </c>
      <c r="H112" t="s">
        <v>8</v>
      </c>
      <c r="I112" t="s">
        <v>9</v>
      </c>
      <c r="J112" t="s">
        <v>26</v>
      </c>
      <c r="K112" t="s">
        <v>27</v>
      </c>
      <c r="L112" s="2">
        <v>128.79999999999998</v>
      </c>
      <c r="M112" s="2">
        <v>51</v>
      </c>
      <c r="N112" s="2">
        <f>normalizar!$L112*normalizar!$M112</f>
        <v>6568.7999999999993</v>
      </c>
    </row>
    <row r="113" spans="1:14" x14ac:dyDescent="0.25">
      <c r="A113">
        <v>112</v>
      </c>
      <c r="B113" s="1">
        <v>44191</v>
      </c>
      <c r="C113">
        <v>9911266011</v>
      </c>
      <c r="D113" t="s">
        <v>62</v>
      </c>
      <c r="E113" t="s">
        <v>91</v>
      </c>
      <c r="F113" t="s">
        <v>91</v>
      </c>
      <c r="G113" t="s">
        <v>43</v>
      </c>
      <c r="H113" t="s">
        <v>16</v>
      </c>
      <c r="I113" t="s">
        <v>33</v>
      </c>
      <c r="J113" t="s">
        <v>67</v>
      </c>
      <c r="K113" t="s">
        <v>27</v>
      </c>
      <c r="L113" s="2">
        <v>140</v>
      </c>
      <c r="M113" s="2">
        <v>66</v>
      </c>
      <c r="N113" s="2">
        <f>normalizar!$L113*normalizar!$M113</f>
        <v>9240</v>
      </c>
    </row>
    <row r="114" spans="1:14" x14ac:dyDescent="0.25">
      <c r="A114">
        <v>113</v>
      </c>
      <c r="B114" s="1">
        <v>44183</v>
      </c>
      <c r="C114">
        <v>8455987495</v>
      </c>
      <c r="D114" t="s">
        <v>63</v>
      </c>
      <c r="E114" t="s">
        <v>85</v>
      </c>
      <c r="F114" t="s">
        <v>83</v>
      </c>
      <c r="G114" t="s">
        <v>41</v>
      </c>
      <c r="H114" t="s">
        <v>25</v>
      </c>
      <c r="I114" t="s">
        <v>17</v>
      </c>
      <c r="J114" t="s">
        <v>68</v>
      </c>
      <c r="K114" t="s">
        <v>69</v>
      </c>
      <c r="L114" s="2">
        <v>298.90000000000003</v>
      </c>
      <c r="M114" s="2">
        <v>36</v>
      </c>
      <c r="N114" s="2">
        <f>normalizar!$L114*normalizar!$M114</f>
        <v>10760.400000000001</v>
      </c>
    </row>
    <row r="115" spans="1:14" x14ac:dyDescent="0.25">
      <c r="A115">
        <v>114</v>
      </c>
      <c r="B115" s="1">
        <v>43966</v>
      </c>
      <c r="C115">
        <v>6668567210</v>
      </c>
      <c r="D115" t="s">
        <v>63</v>
      </c>
      <c r="E115" t="s">
        <v>85</v>
      </c>
      <c r="F115" t="s">
        <v>83</v>
      </c>
      <c r="G115" t="s">
        <v>41</v>
      </c>
      <c r="H115" t="s">
        <v>25</v>
      </c>
      <c r="I115" t="s">
        <v>17</v>
      </c>
      <c r="J115" t="s">
        <v>34</v>
      </c>
      <c r="K115" t="s">
        <v>35</v>
      </c>
      <c r="L115" s="2">
        <v>135.1</v>
      </c>
      <c r="M115" s="2">
        <v>87</v>
      </c>
      <c r="N115" s="2">
        <f>normalizar!$L115*normalizar!$M115</f>
        <v>11753.699999999999</v>
      </c>
    </row>
    <row r="116" spans="1:14" x14ac:dyDescent="0.25">
      <c r="A116">
        <v>115</v>
      </c>
      <c r="B116" s="1">
        <v>44019</v>
      </c>
      <c r="C116">
        <v>9528620750</v>
      </c>
      <c r="D116" t="s">
        <v>63</v>
      </c>
      <c r="E116" t="s">
        <v>85</v>
      </c>
      <c r="F116" t="s">
        <v>83</v>
      </c>
      <c r="G116" t="s">
        <v>41</v>
      </c>
      <c r="H116" t="s">
        <v>25</v>
      </c>
      <c r="I116" t="s">
        <v>17</v>
      </c>
      <c r="J116" t="s">
        <v>52</v>
      </c>
      <c r="K116" t="s">
        <v>53</v>
      </c>
      <c r="L116" s="2">
        <v>257.59999999999997</v>
      </c>
      <c r="M116" s="2">
        <v>64</v>
      </c>
      <c r="N116" s="2">
        <f>normalizar!$L116*normalizar!$M116</f>
        <v>16486.399999999998</v>
      </c>
    </row>
    <row r="117" spans="1:14" x14ac:dyDescent="0.25">
      <c r="A117">
        <v>116</v>
      </c>
      <c r="B117" s="1">
        <v>43876</v>
      </c>
      <c r="C117">
        <v>1951835035</v>
      </c>
      <c r="D117" t="s">
        <v>28</v>
      </c>
      <c r="E117" t="s">
        <v>89</v>
      </c>
      <c r="F117" t="s">
        <v>84</v>
      </c>
      <c r="G117" t="s">
        <v>29</v>
      </c>
      <c r="H117" t="s">
        <v>8</v>
      </c>
      <c r="I117" t="s">
        <v>9</v>
      </c>
      <c r="J117" t="s">
        <v>10</v>
      </c>
      <c r="K117" t="s">
        <v>11</v>
      </c>
      <c r="L117" s="2">
        <v>196</v>
      </c>
      <c r="M117" s="2">
        <v>21</v>
      </c>
      <c r="N117" s="2">
        <f>normalizar!$L117*normalizar!$M117</f>
        <v>4116</v>
      </c>
    </row>
    <row r="118" spans="1:14" x14ac:dyDescent="0.25">
      <c r="A118">
        <v>117</v>
      </c>
      <c r="B118" s="1">
        <v>44101</v>
      </c>
      <c r="C118">
        <v>8464805926</v>
      </c>
      <c r="D118" t="s">
        <v>36</v>
      </c>
      <c r="E118" t="s">
        <v>92</v>
      </c>
      <c r="F118" t="s">
        <v>99</v>
      </c>
      <c r="G118" t="s">
        <v>37</v>
      </c>
      <c r="H118" t="s">
        <v>25</v>
      </c>
      <c r="I118" t="s">
        <v>9</v>
      </c>
      <c r="J118" t="s">
        <v>30</v>
      </c>
      <c r="K118" t="s">
        <v>31</v>
      </c>
      <c r="L118" s="2">
        <v>178.5</v>
      </c>
      <c r="M118" s="2">
        <v>19</v>
      </c>
      <c r="N118" s="2">
        <f>normalizar!$L118*normalizar!$M118</f>
        <v>3391.5</v>
      </c>
    </row>
    <row r="119" spans="1:14" x14ac:dyDescent="0.25">
      <c r="A119">
        <v>118</v>
      </c>
      <c r="B119" s="1">
        <v>44094</v>
      </c>
      <c r="C119">
        <v>1040241832</v>
      </c>
      <c r="D119" t="s">
        <v>14</v>
      </c>
      <c r="E119" t="s">
        <v>81</v>
      </c>
      <c r="F119" t="s">
        <v>94</v>
      </c>
      <c r="G119" t="s">
        <v>15</v>
      </c>
      <c r="H119" t="s">
        <v>16</v>
      </c>
      <c r="I119" t="s">
        <v>17</v>
      </c>
      <c r="J119" t="s">
        <v>70</v>
      </c>
      <c r="K119" t="s">
        <v>47</v>
      </c>
      <c r="L119" s="2">
        <v>1134</v>
      </c>
      <c r="M119" s="2">
        <v>23</v>
      </c>
      <c r="N119" s="2">
        <f>normalizar!$L119*normalizar!$M119</f>
        <v>26082</v>
      </c>
    </row>
    <row r="120" spans="1:14" x14ac:dyDescent="0.25">
      <c r="A120">
        <v>119</v>
      </c>
      <c r="B120" s="1">
        <v>44157</v>
      </c>
      <c r="C120">
        <v>5032769390</v>
      </c>
      <c r="D120" t="s">
        <v>14</v>
      </c>
      <c r="E120" t="s">
        <v>81</v>
      </c>
      <c r="F120" t="s">
        <v>94</v>
      </c>
      <c r="G120" t="s">
        <v>15</v>
      </c>
      <c r="H120" t="s">
        <v>16</v>
      </c>
      <c r="I120" t="s">
        <v>17</v>
      </c>
      <c r="J120" t="s">
        <v>71</v>
      </c>
      <c r="K120" t="s">
        <v>72</v>
      </c>
      <c r="L120" s="2">
        <v>98</v>
      </c>
      <c r="M120" s="2">
        <v>72</v>
      </c>
      <c r="N120" s="2">
        <f>normalizar!$L120*normalizar!$M120</f>
        <v>7056</v>
      </c>
    </row>
    <row r="121" spans="1:14" x14ac:dyDescent="0.25">
      <c r="A121">
        <v>120</v>
      </c>
      <c r="B121" s="1">
        <v>43916</v>
      </c>
      <c r="C121">
        <v>5375997402</v>
      </c>
      <c r="D121" t="s">
        <v>23</v>
      </c>
      <c r="E121" t="s">
        <v>86</v>
      </c>
      <c r="F121" t="s">
        <v>82</v>
      </c>
      <c r="G121" t="s">
        <v>24</v>
      </c>
      <c r="H121" t="s">
        <v>25</v>
      </c>
      <c r="I121" t="s">
        <v>17</v>
      </c>
      <c r="J121" t="s">
        <v>58</v>
      </c>
      <c r="K121" t="s">
        <v>59</v>
      </c>
      <c r="L121" s="2">
        <v>487.19999999999993</v>
      </c>
      <c r="M121" s="2">
        <v>22</v>
      </c>
      <c r="N121" s="2">
        <f>normalizar!$L121*normalizar!$M121</f>
        <v>10718.399999999998</v>
      </c>
    </row>
    <row r="122" spans="1:14" x14ac:dyDescent="0.25">
      <c r="A122">
        <v>121</v>
      </c>
      <c r="B122" s="1">
        <v>43837</v>
      </c>
      <c r="C122">
        <v>967566383</v>
      </c>
      <c r="D122" t="s">
        <v>32</v>
      </c>
      <c r="E122" t="s">
        <v>93</v>
      </c>
      <c r="F122" t="s">
        <v>96</v>
      </c>
      <c r="G122" t="s">
        <v>7</v>
      </c>
      <c r="H122" t="s">
        <v>8</v>
      </c>
      <c r="I122" t="s">
        <v>33</v>
      </c>
      <c r="J122" t="s">
        <v>60</v>
      </c>
      <c r="K122" t="s">
        <v>49</v>
      </c>
      <c r="L122" s="2">
        <v>140</v>
      </c>
      <c r="M122" s="2">
        <v>82</v>
      </c>
      <c r="N122" s="2">
        <f>normalizar!$L122*normalizar!$M122</f>
        <v>11480</v>
      </c>
    </row>
    <row r="123" spans="1:14" x14ac:dyDescent="0.25">
      <c r="A123">
        <v>122</v>
      </c>
      <c r="B123" s="1">
        <v>44042</v>
      </c>
      <c r="C123">
        <v>7607007457</v>
      </c>
      <c r="D123" t="s">
        <v>32</v>
      </c>
      <c r="E123" t="s">
        <v>93</v>
      </c>
      <c r="F123" t="s">
        <v>96</v>
      </c>
      <c r="G123" t="s">
        <v>7</v>
      </c>
      <c r="H123" t="s">
        <v>8</v>
      </c>
      <c r="I123" t="s">
        <v>33</v>
      </c>
      <c r="J123" t="s">
        <v>38</v>
      </c>
      <c r="K123" t="s">
        <v>39</v>
      </c>
      <c r="L123" s="2">
        <v>560</v>
      </c>
      <c r="M123" s="2">
        <v>98</v>
      </c>
      <c r="N123" s="2">
        <f>normalizar!$L123*normalizar!$M123</f>
        <v>54880</v>
      </c>
    </row>
    <row r="124" spans="1:14" x14ac:dyDescent="0.25">
      <c r="A124">
        <v>123</v>
      </c>
      <c r="B124" s="1">
        <v>44092</v>
      </c>
      <c r="C124">
        <v>6139722497</v>
      </c>
      <c r="D124" t="s">
        <v>45</v>
      </c>
      <c r="E124" t="s">
        <v>87</v>
      </c>
      <c r="F124" t="s">
        <v>87</v>
      </c>
      <c r="G124" t="s">
        <v>24</v>
      </c>
      <c r="H124" t="s">
        <v>127</v>
      </c>
      <c r="I124" t="s">
        <v>127</v>
      </c>
      <c r="J124" t="s">
        <v>22</v>
      </c>
      <c r="K124" t="s">
        <v>11</v>
      </c>
      <c r="L124" s="2">
        <v>644</v>
      </c>
      <c r="M124" s="2">
        <v>71</v>
      </c>
      <c r="N124" s="2">
        <f>normalizar!$L124*normalizar!$M124</f>
        <v>45724</v>
      </c>
    </row>
    <row r="125" spans="1:14" x14ac:dyDescent="0.25">
      <c r="A125">
        <v>124</v>
      </c>
      <c r="B125" s="1">
        <v>43924</v>
      </c>
      <c r="C125">
        <v>6071133871</v>
      </c>
      <c r="D125" t="s">
        <v>42</v>
      </c>
      <c r="E125" t="s">
        <v>91</v>
      </c>
      <c r="F125" t="s">
        <v>91</v>
      </c>
      <c r="G125" t="s">
        <v>43</v>
      </c>
      <c r="H125" t="s">
        <v>16</v>
      </c>
      <c r="I125" t="s">
        <v>127</v>
      </c>
      <c r="J125" t="s">
        <v>46</v>
      </c>
      <c r="K125" t="s">
        <v>47</v>
      </c>
      <c r="L125" s="2">
        <v>350</v>
      </c>
      <c r="M125" s="2">
        <v>40</v>
      </c>
      <c r="N125" s="2">
        <f>normalizar!$L125*normalizar!$M125</f>
        <v>14000</v>
      </c>
    </row>
    <row r="126" spans="1:14" x14ac:dyDescent="0.25">
      <c r="A126">
        <v>125</v>
      </c>
      <c r="B126" s="1">
        <v>43887</v>
      </c>
      <c r="C126">
        <v>8634772142</v>
      </c>
      <c r="D126" t="s">
        <v>42</v>
      </c>
      <c r="E126" t="s">
        <v>91</v>
      </c>
      <c r="F126" t="s">
        <v>91</v>
      </c>
      <c r="G126" t="s">
        <v>43</v>
      </c>
      <c r="H126" t="s">
        <v>16</v>
      </c>
      <c r="I126" t="s">
        <v>127</v>
      </c>
      <c r="J126" t="s">
        <v>48</v>
      </c>
      <c r="K126" t="s">
        <v>49</v>
      </c>
      <c r="L126" s="2">
        <v>308</v>
      </c>
      <c r="M126" s="2">
        <v>80</v>
      </c>
      <c r="N126" s="2">
        <f>normalizar!$L126*normalizar!$M126</f>
        <v>24640</v>
      </c>
    </row>
    <row r="127" spans="1:14" x14ac:dyDescent="0.25">
      <c r="A127">
        <v>126</v>
      </c>
      <c r="B127" s="1">
        <v>44080</v>
      </c>
      <c r="C127">
        <v>5431718510</v>
      </c>
      <c r="D127" t="s">
        <v>42</v>
      </c>
      <c r="E127" t="s">
        <v>91</v>
      </c>
      <c r="F127" t="s">
        <v>91</v>
      </c>
      <c r="G127" t="s">
        <v>43</v>
      </c>
      <c r="H127" t="s">
        <v>16</v>
      </c>
      <c r="I127" t="s">
        <v>127</v>
      </c>
      <c r="J127" t="s">
        <v>26</v>
      </c>
      <c r="K127" t="s">
        <v>27</v>
      </c>
      <c r="L127" s="2">
        <v>128.79999999999998</v>
      </c>
      <c r="M127" s="2">
        <v>38</v>
      </c>
      <c r="N127" s="2">
        <f>normalizar!$L127*normalizar!$M127</f>
        <v>4894.3999999999996</v>
      </c>
    </row>
    <row r="128" spans="1:14" x14ac:dyDescent="0.25">
      <c r="A128">
        <v>127</v>
      </c>
      <c r="B128" s="1">
        <v>44093</v>
      </c>
      <c r="C128">
        <v>7109276915</v>
      </c>
      <c r="D128" t="s">
        <v>50</v>
      </c>
      <c r="E128" t="s">
        <v>85</v>
      </c>
      <c r="F128" t="s">
        <v>83</v>
      </c>
      <c r="G128" t="s">
        <v>41</v>
      </c>
      <c r="H128" t="s">
        <v>25</v>
      </c>
      <c r="I128" t="s">
        <v>127</v>
      </c>
      <c r="J128" t="s">
        <v>12</v>
      </c>
      <c r="K128" t="s">
        <v>13</v>
      </c>
      <c r="L128" s="2">
        <v>49</v>
      </c>
      <c r="M128" s="2">
        <v>28</v>
      </c>
      <c r="N128" s="2">
        <f>normalizar!$L128*normalizar!$M128</f>
        <v>1372</v>
      </c>
    </row>
    <row r="129" spans="1:14" x14ac:dyDescent="0.25">
      <c r="A129">
        <v>128</v>
      </c>
      <c r="B129" s="1">
        <v>44119</v>
      </c>
      <c r="C129">
        <v>8479136081</v>
      </c>
      <c r="D129" t="s">
        <v>50</v>
      </c>
      <c r="E129" t="s">
        <v>85</v>
      </c>
      <c r="F129" t="s">
        <v>83</v>
      </c>
      <c r="G129" t="s">
        <v>41</v>
      </c>
      <c r="H129" t="s">
        <v>25</v>
      </c>
      <c r="I129" t="s">
        <v>127</v>
      </c>
      <c r="J129" t="s">
        <v>44</v>
      </c>
      <c r="K129" t="s">
        <v>11</v>
      </c>
      <c r="L129" s="2">
        <v>41.86</v>
      </c>
      <c r="M129" s="2">
        <v>60</v>
      </c>
      <c r="N129" s="2">
        <f>normalizar!$L129*normalizar!$M129</f>
        <v>2511.6</v>
      </c>
    </row>
    <row r="130" spans="1:14" x14ac:dyDescent="0.25">
      <c r="A130">
        <v>129</v>
      </c>
      <c r="B130" s="1">
        <v>44146</v>
      </c>
      <c r="C130">
        <v>7132355278</v>
      </c>
      <c r="D130" t="s">
        <v>51</v>
      </c>
      <c r="E130" t="s">
        <v>90</v>
      </c>
      <c r="F130" t="s">
        <v>98</v>
      </c>
      <c r="G130" t="s">
        <v>24</v>
      </c>
      <c r="H130" t="s">
        <v>127</v>
      </c>
      <c r="I130" t="s">
        <v>127</v>
      </c>
      <c r="J130" t="s">
        <v>21</v>
      </c>
      <c r="K130" t="s">
        <v>11</v>
      </c>
      <c r="L130" s="2">
        <v>252</v>
      </c>
      <c r="M130" s="2">
        <v>33</v>
      </c>
      <c r="N130" s="2">
        <f>normalizar!$L130*normalizar!$M130</f>
        <v>8316</v>
      </c>
    </row>
    <row r="131" spans="1:14" x14ac:dyDescent="0.25">
      <c r="A131">
        <v>130</v>
      </c>
      <c r="B131" s="1">
        <v>44017</v>
      </c>
      <c r="C131">
        <v>2885792785</v>
      </c>
      <c r="D131" t="s">
        <v>51</v>
      </c>
      <c r="E131" t="s">
        <v>90</v>
      </c>
      <c r="F131" t="s">
        <v>98</v>
      </c>
      <c r="G131" t="s">
        <v>24</v>
      </c>
      <c r="H131" t="s">
        <v>127</v>
      </c>
      <c r="I131" t="s">
        <v>127</v>
      </c>
      <c r="J131" t="s">
        <v>22</v>
      </c>
      <c r="K131" t="s">
        <v>11</v>
      </c>
      <c r="L131" s="2">
        <v>644</v>
      </c>
      <c r="M131" s="2">
        <v>22</v>
      </c>
      <c r="N131" s="2">
        <f>normalizar!$L131*normalizar!$M131</f>
        <v>14168</v>
      </c>
    </row>
    <row r="132" spans="1:14" x14ac:dyDescent="0.25">
      <c r="A132">
        <v>131</v>
      </c>
      <c r="B132" s="1">
        <v>44085</v>
      </c>
      <c r="C132">
        <v>3723941023</v>
      </c>
      <c r="D132" t="s">
        <v>51</v>
      </c>
      <c r="E132" t="s">
        <v>90</v>
      </c>
      <c r="F132" t="s">
        <v>98</v>
      </c>
      <c r="G132" t="s">
        <v>24</v>
      </c>
      <c r="H132" t="s">
        <v>127</v>
      </c>
      <c r="I132" t="s">
        <v>127</v>
      </c>
      <c r="J132" t="s">
        <v>44</v>
      </c>
      <c r="K132" t="s">
        <v>11</v>
      </c>
      <c r="L132" s="2">
        <v>41.86</v>
      </c>
      <c r="M132" s="2">
        <v>51</v>
      </c>
      <c r="N132" s="2">
        <f>normalizar!$L132*normalizar!$M132</f>
        <v>2134.86</v>
      </c>
    </row>
    <row r="133" spans="1:14" x14ac:dyDescent="0.25">
      <c r="A133">
        <v>132</v>
      </c>
      <c r="B133" s="1">
        <v>43943</v>
      </c>
      <c r="C133">
        <v>4827836337</v>
      </c>
      <c r="D133" t="s">
        <v>40</v>
      </c>
      <c r="E133" t="s">
        <v>97</v>
      </c>
      <c r="F133" t="s">
        <v>88</v>
      </c>
      <c r="G133" t="s">
        <v>41</v>
      </c>
      <c r="H133" t="s">
        <v>25</v>
      </c>
      <c r="I133" t="s">
        <v>17</v>
      </c>
      <c r="J133" t="s">
        <v>34</v>
      </c>
      <c r="K133" t="s">
        <v>35</v>
      </c>
      <c r="L133" s="2">
        <v>135.1</v>
      </c>
      <c r="M133" s="2">
        <v>60</v>
      </c>
      <c r="N133" s="2">
        <f>normalizar!$L133*normalizar!$M133</f>
        <v>8106</v>
      </c>
    </row>
    <row r="134" spans="1:14" x14ac:dyDescent="0.25">
      <c r="A134">
        <v>133</v>
      </c>
      <c r="B134" s="1">
        <v>44057</v>
      </c>
      <c r="C134">
        <v>2633840866</v>
      </c>
      <c r="D134" t="s">
        <v>40</v>
      </c>
      <c r="E134" t="s">
        <v>97</v>
      </c>
      <c r="F134" t="s">
        <v>88</v>
      </c>
      <c r="G134" t="s">
        <v>41</v>
      </c>
      <c r="H134" t="s">
        <v>25</v>
      </c>
      <c r="I134" t="s">
        <v>17</v>
      </c>
      <c r="J134" t="s">
        <v>52</v>
      </c>
      <c r="K134" t="s">
        <v>53</v>
      </c>
      <c r="L134" s="2">
        <v>257.59999999999997</v>
      </c>
      <c r="M134" s="2">
        <v>98</v>
      </c>
      <c r="N134" s="2">
        <f>normalizar!$L134*normalizar!$M134</f>
        <v>25244.799999999996</v>
      </c>
    </row>
    <row r="135" spans="1:14" x14ac:dyDescent="0.25">
      <c r="A135">
        <v>134</v>
      </c>
      <c r="B135" s="1">
        <v>43929</v>
      </c>
      <c r="C135">
        <v>2489359003</v>
      </c>
      <c r="D135" t="s">
        <v>54</v>
      </c>
      <c r="E135" t="s">
        <v>89</v>
      </c>
      <c r="F135" t="s">
        <v>84</v>
      </c>
      <c r="G135" t="s">
        <v>55</v>
      </c>
      <c r="H135" t="s">
        <v>16</v>
      </c>
      <c r="I135" t="s">
        <v>9</v>
      </c>
      <c r="J135" t="s">
        <v>56</v>
      </c>
      <c r="K135" t="s">
        <v>57</v>
      </c>
      <c r="L135" s="2">
        <v>273</v>
      </c>
      <c r="M135" s="2">
        <v>27</v>
      </c>
      <c r="N135" s="2">
        <f>normalizar!$L135*normalizar!$M135</f>
        <v>7371</v>
      </c>
    </row>
    <row r="136" spans="1:14" x14ac:dyDescent="0.25">
      <c r="A136">
        <v>135</v>
      </c>
      <c r="B136" s="1">
        <v>43986</v>
      </c>
      <c r="C136">
        <v>2347277376</v>
      </c>
      <c r="D136" t="s">
        <v>54</v>
      </c>
      <c r="E136" t="s">
        <v>89</v>
      </c>
      <c r="F136" t="s">
        <v>84</v>
      </c>
      <c r="G136" t="s">
        <v>55</v>
      </c>
      <c r="H136" t="s">
        <v>16</v>
      </c>
      <c r="I136" t="s">
        <v>9</v>
      </c>
      <c r="J136" t="s">
        <v>58</v>
      </c>
      <c r="K136" t="s">
        <v>59</v>
      </c>
      <c r="L136" s="2">
        <v>487.19999999999993</v>
      </c>
      <c r="M136" s="2">
        <v>88</v>
      </c>
      <c r="N136" s="2">
        <f>normalizar!$L136*normalizar!$M136</f>
        <v>42873.599999999991</v>
      </c>
    </row>
    <row r="137" spans="1:14" x14ac:dyDescent="0.25">
      <c r="A137">
        <v>136</v>
      </c>
      <c r="B137" s="1">
        <v>44058</v>
      </c>
      <c r="C137">
        <v>2071690973</v>
      </c>
      <c r="D137" t="s">
        <v>36</v>
      </c>
      <c r="E137" t="s">
        <v>92</v>
      </c>
      <c r="F137" t="s">
        <v>99</v>
      </c>
      <c r="G137" t="s">
        <v>37</v>
      </c>
      <c r="H137" t="s">
        <v>8</v>
      </c>
      <c r="I137" t="s">
        <v>17</v>
      </c>
      <c r="J137" t="s">
        <v>10</v>
      </c>
      <c r="K137" t="s">
        <v>11</v>
      </c>
      <c r="L137" s="2">
        <v>196</v>
      </c>
      <c r="M137" s="2">
        <v>65</v>
      </c>
      <c r="N137" s="2">
        <f>normalizar!$L137*normalizar!$M137</f>
        <v>12740</v>
      </c>
    </row>
    <row r="138" spans="1:14" x14ac:dyDescent="0.25">
      <c r="A138">
        <v>137</v>
      </c>
      <c r="B138" s="1">
        <v>44047</v>
      </c>
      <c r="C138">
        <v>1196729221</v>
      </c>
      <c r="D138" t="s">
        <v>23</v>
      </c>
      <c r="E138" t="s">
        <v>86</v>
      </c>
      <c r="F138" t="s">
        <v>82</v>
      </c>
      <c r="G138" t="s">
        <v>24</v>
      </c>
      <c r="H138" t="s">
        <v>8</v>
      </c>
      <c r="I138" t="s">
        <v>9</v>
      </c>
      <c r="J138" t="s">
        <v>38</v>
      </c>
      <c r="K138" t="s">
        <v>39</v>
      </c>
      <c r="L138" s="2">
        <v>560</v>
      </c>
      <c r="M138" s="2">
        <v>38</v>
      </c>
      <c r="N138" s="2">
        <f>normalizar!$L138*normalizar!$M138</f>
        <v>21280</v>
      </c>
    </row>
    <row r="139" spans="1:14" x14ac:dyDescent="0.25">
      <c r="A139">
        <v>138</v>
      </c>
      <c r="B139" s="1">
        <v>43948</v>
      </c>
      <c r="C139">
        <v>9020365601</v>
      </c>
      <c r="D139" t="s">
        <v>23</v>
      </c>
      <c r="E139" t="s">
        <v>86</v>
      </c>
      <c r="F139" t="s">
        <v>82</v>
      </c>
      <c r="G139" t="s">
        <v>24</v>
      </c>
      <c r="H139" t="s">
        <v>8</v>
      </c>
      <c r="I139" t="s">
        <v>9</v>
      </c>
      <c r="J139" t="s">
        <v>26</v>
      </c>
      <c r="K139" t="s">
        <v>27</v>
      </c>
      <c r="L139" s="2">
        <v>128.79999999999998</v>
      </c>
      <c r="M139" s="2">
        <v>80</v>
      </c>
      <c r="N139" s="2">
        <f>normalizar!$L139*normalizar!$M139</f>
        <v>10303.999999999998</v>
      </c>
    </row>
    <row r="140" spans="1:14" x14ac:dyDescent="0.25">
      <c r="A140">
        <v>139</v>
      </c>
      <c r="B140" s="1">
        <v>44054</v>
      </c>
      <c r="C140">
        <v>4818692078</v>
      </c>
      <c r="D140" t="s">
        <v>62</v>
      </c>
      <c r="E140" t="s">
        <v>91</v>
      </c>
      <c r="F140" t="s">
        <v>91</v>
      </c>
      <c r="G140" t="s">
        <v>43</v>
      </c>
      <c r="H140" t="s">
        <v>16</v>
      </c>
      <c r="I140" t="s">
        <v>33</v>
      </c>
      <c r="J140" t="s">
        <v>67</v>
      </c>
      <c r="K140" t="s">
        <v>27</v>
      </c>
      <c r="L140" s="2">
        <v>140</v>
      </c>
      <c r="M140" s="2">
        <v>49</v>
      </c>
      <c r="N140" s="2">
        <f>normalizar!$L140*normalizar!$M140</f>
        <v>6860</v>
      </c>
    </row>
    <row r="141" spans="1:14" x14ac:dyDescent="0.25">
      <c r="A141">
        <v>140</v>
      </c>
      <c r="B141" s="1">
        <v>44120</v>
      </c>
      <c r="C141">
        <v>6502762369</v>
      </c>
      <c r="D141" t="s">
        <v>63</v>
      </c>
      <c r="E141" t="s">
        <v>85</v>
      </c>
      <c r="F141" t="s">
        <v>83</v>
      </c>
      <c r="G141" t="s">
        <v>41</v>
      </c>
      <c r="H141" t="s">
        <v>25</v>
      </c>
      <c r="I141" t="s">
        <v>17</v>
      </c>
      <c r="J141" t="s">
        <v>68</v>
      </c>
      <c r="K141" t="s">
        <v>69</v>
      </c>
      <c r="L141" s="2">
        <v>298.90000000000003</v>
      </c>
      <c r="M141" s="2">
        <v>90</v>
      </c>
      <c r="N141" s="2">
        <f>normalizar!$L141*normalizar!$M141</f>
        <v>26901.000000000004</v>
      </c>
    </row>
    <row r="142" spans="1:14" x14ac:dyDescent="0.25">
      <c r="A142">
        <v>141</v>
      </c>
      <c r="B142" s="1">
        <v>43846</v>
      </c>
      <c r="C142">
        <v>924402492</v>
      </c>
      <c r="D142" t="s">
        <v>63</v>
      </c>
      <c r="E142" t="s">
        <v>85</v>
      </c>
      <c r="F142" t="s">
        <v>83</v>
      </c>
      <c r="G142" t="s">
        <v>41</v>
      </c>
      <c r="H142" t="s">
        <v>25</v>
      </c>
      <c r="I142" t="s">
        <v>17</v>
      </c>
      <c r="J142" t="s">
        <v>34</v>
      </c>
      <c r="K142" t="s">
        <v>35</v>
      </c>
      <c r="L142" s="2">
        <v>135.1</v>
      </c>
      <c r="M142" s="2">
        <v>60</v>
      </c>
      <c r="N142" s="2">
        <f>normalizar!$L142*normalizar!$M142</f>
        <v>8106</v>
      </c>
    </row>
    <row r="143" spans="1:14" x14ac:dyDescent="0.25">
      <c r="A143">
        <v>142</v>
      </c>
      <c r="B143" s="1">
        <v>44001</v>
      </c>
      <c r="C143">
        <v>5633857209</v>
      </c>
      <c r="D143" t="s">
        <v>63</v>
      </c>
      <c r="E143" t="s">
        <v>85</v>
      </c>
      <c r="F143" t="s">
        <v>83</v>
      </c>
      <c r="G143" t="s">
        <v>41</v>
      </c>
      <c r="H143" t="s">
        <v>25</v>
      </c>
      <c r="I143" t="s">
        <v>17</v>
      </c>
      <c r="J143" t="s">
        <v>52</v>
      </c>
      <c r="K143" t="s">
        <v>53</v>
      </c>
      <c r="L143" s="2">
        <v>257.59999999999997</v>
      </c>
      <c r="M143" s="2">
        <v>39</v>
      </c>
      <c r="N143" s="2">
        <f>normalizar!$L143*normalizar!$M143</f>
        <v>10046.399999999998</v>
      </c>
    </row>
    <row r="144" spans="1:14" x14ac:dyDescent="0.25">
      <c r="A144">
        <v>143</v>
      </c>
      <c r="B144" s="1">
        <v>43927</v>
      </c>
      <c r="C144">
        <v>9715216432</v>
      </c>
      <c r="D144" t="s">
        <v>28</v>
      </c>
      <c r="E144" t="s">
        <v>89</v>
      </c>
      <c r="F144" t="s">
        <v>84</v>
      </c>
      <c r="G144" t="s">
        <v>29</v>
      </c>
      <c r="H144" t="s">
        <v>8</v>
      </c>
      <c r="I144" t="s">
        <v>9</v>
      </c>
      <c r="J144" t="s">
        <v>10</v>
      </c>
      <c r="K144" t="s">
        <v>11</v>
      </c>
      <c r="L144" s="2">
        <v>196</v>
      </c>
      <c r="M144" s="2">
        <v>79</v>
      </c>
      <c r="N144" s="2">
        <f>normalizar!$L144*normalizar!$M144</f>
        <v>15484</v>
      </c>
    </row>
    <row r="145" spans="1:14" x14ac:dyDescent="0.25">
      <c r="A145">
        <v>144</v>
      </c>
      <c r="B145" s="1">
        <v>44100</v>
      </c>
      <c r="C145">
        <v>2808433382</v>
      </c>
      <c r="D145" t="s">
        <v>36</v>
      </c>
      <c r="E145" t="s">
        <v>92</v>
      </c>
      <c r="F145" t="s">
        <v>99</v>
      </c>
      <c r="G145" t="s">
        <v>37</v>
      </c>
      <c r="H145" t="s">
        <v>25</v>
      </c>
      <c r="I145" t="s">
        <v>9</v>
      </c>
      <c r="J145" t="s">
        <v>30</v>
      </c>
      <c r="K145" t="s">
        <v>31</v>
      </c>
      <c r="L145" s="2">
        <v>178.5</v>
      </c>
      <c r="M145" s="2">
        <v>44</v>
      </c>
      <c r="N145" s="2">
        <f>normalizar!$L145*normalizar!$M145</f>
        <v>7854</v>
      </c>
    </row>
    <row r="146" spans="1:14" x14ac:dyDescent="0.25">
      <c r="A146">
        <v>145</v>
      </c>
      <c r="B146" s="1">
        <v>44046</v>
      </c>
      <c r="C146">
        <v>5585231955</v>
      </c>
      <c r="D146" t="s">
        <v>14</v>
      </c>
      <c r="E146" t="s">
        <v>81</v>
      </c>
      <c r="F146" t="s">
        <v>94</v>
      </c>
      <c r="G146" t="s">
        <v>15</v>
      </c>
      <c r="H146" t="s">
        <v>16</v>
      </c>
      <c r="I146" t="s">
        <v>17</v>
      </c>
      <c r="J146" t="s">
        <v>70</v>
      </c>
      <c r="K146" t="s">
        <v>47</v>
      </c>
      <c r="L146" s="2">
        <v>1134</v>
      </c>
      <c r="M146" s="2">
        <v>98</v>
      </c>
      <c r="N146" s="2">
        <f>normalizar!$L146*normalizar!$M146</f>
        <v>111132</v>
      </c>
    </row>
    <row r="147" spans="1:14" x14ac:dyDescent="0.25">
      <c r="A147">
        <v>146</v>
      </c>
      <c r="B147" s="1">
        <v>44169</v>
      </c>
      <c r="C147">
        <v>4338999814</v>
      </c>
      <c r="D147" t="s">
        <v>14</v>
      </c>
      <c r="E147" t="s">
        <v>81</v>
      </c>
      <c r="F147" t="s">
        <v>94</v>
      </c>
      <c r="G147" t="s">
        <v>15</v>
      </c>
      <c r="H147" t="s">
        <v>16</v>
      </c>
      <c r="I147" t="s">
        <v>17</v>
      </c>
      <c r="J147" t="s">
        <v>71</v>
      </c>
      <c r="K147" t="s">
        <v>72</v>
      </c>
      <c r="L147" s="2">
        <v>98</v>
      </c>
      <c r="M147" s="2">
        <v>61</v>
      </c>
      <c r="N147" s="2">
        <f>normalizar!$L147*normalizar!$M147</f>
        <v>5978</v>
      </c>
    </row>
    <row r="148" spans="1:14" x14ac:dyDescent="0.25">
      <c r="A148">
        <v>147</v>
      </c>
      <c r="B148" s="1">
        <v>44056</v>
      </c>
      <c r="C148">
        <v>3475726472</v>
      </c>
      <c r="D148" t="s">
        <v>23</v>
      </c>
      <c r="E148" t="s">
        <v>86</v>
      </c>
      <c r="F148" t="s">
        <v>82</v>
      </c>
      <c r="G148" t="s">
        <v>24</v>
      </c>
      <c r="H148" t="s">
        <v>25</v>
      </c>
      <c r="I148" t="s">
        <v>17</v>
      </c>
      <c r="J148" t="s">
        <v>58</v>
      </c>
      <c r="K148" t="s">
        <v>59</v>
      </c>
      <c r="L148" s="2">
        <v>487.19999999999993</v>
      </c>
      <c r="M148" s="2">
        <v>30</v>
      </c>
      <c r="N148" s="2">
        <f>normalizar!$L148*normalizar!$M148</f>
        <v>14615.999999999998</v>
      </c>
    </row>
    <row r="149" spans="1:14" x14ac:dyDescent="0.25">
      <c r="A149">
        <v>148</v>
      </c>
      <c r="B149" s="1">
        <v>43946</v>
      </c>
      <c r="C149">
        <v>9727843310</v>
      </c>
      <c r="D149" t="s">
        <v>32</v>
      </c>
      <c r="E149" t="s">
        <v>93</v>
      </c>
      <c r="F149" t="s">
        <v>96</v>
      </c>
      <c r="G149" t="s">
        <v>7</v>
      </c>
      <c r="H149" t="s">
        <v>8</v>
      </c>
      <c r="I149" t="s">
        <v>33</v>
      </c>
      <c r="J149" t="s">
        <v>60</v>
      </c>
      <c r="K149" t="s">
        <v>49</v>
      </c>
      <c r="L149" s="2">
        <v>140</v>
      </c>
      <c r="M149" s="2">
        <v>24</v>
      </c>
      <c r="N149" s="2">
        <f>normalizar!$L149*normalizar!$M149</f>
        <v>3360</v>
      </c>
    </row>
    <row r="150" spans="1:14" x14ac:dyDescent="0.25">
      <c r="A150">
        <v>149</v>
      </c>
      <c r="B150" s="1">
        <v>43951</v>
      </c>
      <c r="C150">
        <v>536031236</v>
      </c>
      <c r="D150" t="s">
        <v>32</v>
      </c>
      <c r="E150" t="s">
        <v>93</v>
      </c>
      <c r="F150" t="s">
        <v>96</v>
      </c>
      <c r="G150" t="s">
        <v>7</v>
      </c>
      <c r="H150" t="s">
        <v>8</v>
      </c>
      <c r="I150" t="s">
        <v>33</v>
      </c>
      <c r="J150" t="s">
        <v>38</v>
      </c>
      <c r="K150" t="s">
        <v>39</v>
      </c>
      <c r="L150" s="2">
        <v>560</v>
      </c>
      <c r="M150" s="2">
        <v>28</v>
      </c>
      <c r="N150" s="2">
        <f>normalizar!$L150*normalizar!$M150</f>
        <v>15680</v>
      </c>
    </row>
    <row r="151" spans="1:14" x14ac:dyDescent="0.25">
      <c r="A151">
        <v>150</v>
      </c>
      <c r="B151" s="1">
        <v>44039</v>
      </c>
      <c r="C151">
        <v>1875435757</v>
      </c>
      <c r="D151" t="s">
        <v>42</v>
      </c>
      <c r="E151" t="s">
        <v>91</v>
      </c>
      <c r="F151" t="s">
        <v>91</v>
      </c>
      <c r="G151" t="s">
        <v>43</v>
      </c>
      <c r="H151" t="s">
        <v>8</v>
      </c>
      <c r="I151" t="s">
        <v>17</v>
      </c>
      <c r="J151" t="s">
        <v>61</v>
      </c>
      <c r="K151" t="s">
        <v>13</v>
      </c>
      <c r="L151" s="2">
        <v>140</v>
      </c>
      <c r="M151" s="2">
        <v>74</v>
      </c>
      <c r="N151" s="2">
        <f>normalizar!$L151*normalizar!$M151</f>
        <v>10360</v>
      </c>
    </row>
    <row r="152" spans="1:14" x14ac:dyDescent="0.25">
      <c r="A152">
        <v>151</v>
      </c>
      <c r="B152" s="1">
        <v>44141</v>
      </c>
      <c r="C152">
        <v>8711973073</v>
      </c>
      <c r="D152" t="s">
        <v>42</v>
      </c>
      <c r="E152" t="s">
        <v>91</v>
      </c>
      <c r="F152" t="s">
        <v>91</v>
      </c>
      <c r="G152" t="s">
        <v>43</v>
      </c>
      <c r="H152" t="s">
        <v>16</v>
      </c>
      <c r="I152" t="s">
        <v>127</v>
      </c>
      <c r="J152" t="s">
        <v>12</v>
      </c>
      <c r="K152" t="s">
        <v>13</v>
      </c>
      <c r="L152" s="2">
        <v>49</v>
      </c>
      <c r="M152" s="2">
        <v>90</v>
      </c>
      <c r="N152" s="2">
        <f>normalizar!$L152*normalizar!$M152</f>
        <v>4410</v>
      </c>
    </row>
    <row r="153" spans="1:14" x14ac:dyDescent="0.25">
      <c r="A153">
        <v>152</v>
      </c>
      <c r="B153" s="1">
        <v>44169</v>
      </c>
      <c r="C153">
        <v>1214228285</v>
      </c>
      <c r="D153" t="s">
        <v>50</v>
      </c>
      <c r="E153" t="s">
        <v>85</v>
      </c>
      <c r="F153" t="s">
        <v>83</v>
      </c>
      <c r="G153" t="s">
        <v>41</v>
      </c>
      <c r="H153" t="s">
        <v>25</v>
      </c>
      <c r="I153" t="s">
        <v>127</v>
      </c>
      <c r="J153" t="s">
        <v>38</v>
      </c>
      <c r="K153" t="s">
        <v>39</v>
      </c>
      <c r="L153" s="2">
        <v>560</v>
      </c>
      <c r="M153" s="2">
        <v>27</v>
      </c>
      <c r="N153" s="2">
        <f>normalizar!$L153*normalizar!$M153</f>
        <v>15120</v>
      </c>
    </row>
    <row r="154" spans="1:14" x14ac:dyDescent="0.25">
      <c r="A154">
        <v>153</v>
      </c>
      <c r="B154" s="1">
        <v>44083</v>
      </c>
      <c r="C154">
        <v>3447948983</v>
      </c>
      <c r="D154" t="s">
        <v>51</v>
      </c>
      <c r="E154" t="s">
        <v>90</v>
      </c>
      <c r="F154" t="s">
        <v>98</v>
      </c>
      <c r="G154" t="s">
        <v>24</v>
      </c>
      <c r="H154" t="s">
        <v>25</v>
      </c>
      <c r="I154" t="s">
        <v>127</v>
      </c>
      <c r="J154" t="s">
        <v>52</v>
      </c>
      <c r="K154" t="s">
        <v>53</v>
      </c>
      <c r="L154" s="2">
        <v>257.59999999999997</v>
      </c>
      <c r="M154" s="2">
        <v>71</v>
      </c>
      <c r="N154" s="2">
        <f>normalizar!$L154*normalizar!$M154</f>
        <v>18289.599999999999</v>
      </c>
    </row>
    <row r="155" spans="1:14" x14ac:dyDescent="0.25">
      <c r="A155">
        <v>154</v>
      </c>
      <c r="B155" s="1">
        <v>43963</v>
      </c>
      <c r="C155">
        <v>8753770178</v>
      </c>
      <c r="D155" t="s">
        <v>40</v>
      </c>
      <c r="E155" t="s">
        <v>97</v>
      </c>
      <c r="F155" t="s">
        <v>88</v>
      </c>
      <c r="G155" t="s">
        <v>41</v>
      </c>
      <c r="H155" t="s">
        <v>25</v>
      </c>
      <c r="I155" t="s">
        <v>17</v>
      </c>
      <c r="J155" t="s">
        <v>22</v>
      </c>
      <c r="K155" t="s">
        <v>11</v>
      </c>
      <c r="L155" s="2">
        <v>644</v>
      </c>
      <c r="M155" s="2">
        <v>74</v>
      </c>
      <c r="N155" s="2">
        <f>normalizar!$L155*normalizar!$M155</f>
        <v>47656</v>
      </c>
    </row>
    <row r="156" spans="1:14" x14ac:dyDescent="0.25">
      <c r="A156">
        <v>155</v>
      </c>
      <c r="B156" s="1">
        <v>43855</v>
      </c>
      <c r="C156">
        <v>493013693</v>
      </c>
      <c r="D156" t="s">
        <v>54</v>
      </c>
      <c r="E156" t="s">
        <v>89</v>
      </c>
      <c r="F156" t="s">
        <v>84</v>
      </c>
      <c r="G156" t="s">
        <v>55</v>
      </c>
      <c r="H156" t="s">
        <v>16</v>
      </c>
      <c r="I156" t="s">
        <v>9</v>
      </c>
      <c r="J156" t="s">
        <v>34</v>
      </c>
      <c r="K156" t="s">
        <v>35</v>
      </c>
      <c r="L156" s="2">
        <v>135.1</v>
      </c>
      <c r="M156" s="2">
        <v>76</v>
      </c>
      <c r="N156" s="2">
        <f>normalizar!$L156*normalizar!$M156</f>
        <v>10267.6</v>
      </c>
    </row>
    <row r="157" spans="1:14" x14ac:dyDescent="0.25">
      <c r="A157">
        <v>156</v>
      </c>
      <c r="B157" s="1">
        <v>44132</v>
      </c>
      <c r="C157">
        <v>4097578178</v>
      </c>
      <c r="D157" t="s">
        <v>36</v>
      </c>
      <c r="E157" t="s">
        <v>92</v>
      </c>
      <c r="F157" t="s">
        <v>99</v>
      </c>
      <c r="G157" t="s">
        <v>37</v>
      </c>
      <c r="H157" t="s">
        <v>8</v>
      </c>
      <c r="I157" t="s">
        <v>17</v>
      </c>
      <c r="J157" t="s">
        <v>30</v>
      </c>
      <c r="K157" t="s">
        <v>31</v>
      </c>
      <c r="L157" s="2">
        <v>178.5</v>
      </c>
      <c r="M157" s="2">
        <v>96</v>
      </c>
      <c r="N157" s="2">
        <f>normalizar!$L157*normalizar!$M157</f>
        <v>17136</v>
      </c>
    </row>
    <row r="158" spans="1:14" x14ac:dyDescent="0.25">
      <c r="A158">
        <v>157</v>
      </c>
      <c r="B158" s="1">
        <v>44018</v>
      </c>
      <c r="C158">
        <v>9949307477</v>
      </c>
      <c r="D158" t="s">
        <v>23</v>
      </c>
      <c r="E158" t="s">
        <v>86</v>
      </c>
      <c r="F158" t="s">
        <v>82</v>
      </c>
      <c r="G158" t="s">
        <v>24</v>
      </c>
      <c r="H158" t="s">
        <v>8</v>
      </c>
      <c r="I158" t="s">
        <v>9</v>
      </c>
      <c r="J158" t="s">
        <v>30</v>
      </c>
      <c r="K158" t="s">
        <v>31</v>
      </c>
      <c r="L158" s="2">
        <v>178.5</v>
      </c>
      <c r="M158" s="2">
        <v>92</v>
      </c>
      <c r="N158" s="2">
        <f>normalizar!$L158*normalizar!$M158</f>
        <v>16422</v>
      </c>
    </row>
    <row r="159" spans="1:14" x14ac:dyDescent="0.25">
      <c r="A159">
        <v>158</v>
      </c>
      <c r="B159" s="1">
        <v>43972</v>
      </c>
      <c r="C159">
        <v>2521830520</v>
      </c>
      <c r="D159" t="s">
        <v>62</v>
      </c>
      <c r="E159" t="s">
        <v>91</v>
      </c>
      <c r="F159" t="s">
        <v>91</v>
      </c>
      <c r="G159" t="s">
        <v>43</v>
      </c>
      <c r="H159" t="s">
        <v>16</v>
      </c>
      <c r="I159" t="s">
        <v>33</v>
      </c>
      <c r="J159" t="s">
        <v>48</v>
      </c>
      <c r="K159" t="s">
        <v>49</v>
      </c>
      <c r="L159" s="2">
        <v>308</v>
      </c>
      <c r="M159" s="2">
        <v>93</v>
      </c>
      <c r="N159" s="2">
        <f>normalizar!$L159*normalizar!$M159</f>
        <v>28644</v>
      </c>
    </row>
    <row r="160" spans="1:14" x14ac:dyDescent="0.25">
      <c r="A160">
        <v>159</v>
      </c>
      <c r="B160" s="1">
        <v>43982</v>
      </c>
      <c r="C160">
        <v>4224616034</v>
      </c>
      <c r="D160" t="s">
        <v>63</v>
      </c>
      <c r="E160" t="s">
        <v>85</v>
      </c>
      <c r="F160" t="s">
        <v>83</v>
      </c>
      <c r="G160" t="s">
        <v>41</v>
      </c>
      <c r="H160" t="s">
        <v>25</v>
      </c>
      <c r="I160" t="s">
        <v>17</v>
      </c>
      <c r="J160" t="s">
        <v>46</v>
      </c>
      <c r="K160" t="s">
        <v>47</v>
      </c>
      <c r="L160" s="2">
        <v>350</v>
      </c>
      <c r="M160" s="2">
        <v>18</v>
      </c>
      <c r="N160" s="2">
        <f>normalizar!$L160*normalizar!$M160</f>
        <v>6300</v>
      </c>
    </row>
    <row r="161" spans="1:14" x14ac:dyDescent="0.25">
      <c r="A161">
        <v>160</v>
      </c>
      <c r="B161" s="1">
        <v>44049</v>
      </c>
      <c r="C161">
        <v>7169314881</v>
      </c>
      <c r="D161" t="s">
        <v>28</v>
      </c>
      <c r="E161" t="s">
        <v>89</v>
      </c>
      <c r="F161" t="s">
        <v>84</v>
      </c>
      <c r="G161" t="s">
        <v>29</v>
      </c>
      <c r="H161" t="s">
        <v>8</v>
      </c>
      <c r="I161" t="s">
        <v>9</v>
      </c>
      <c r="J161" t="s">
        <v>64</v>
      </c>
      <c r="K161" t="s">
        <v>65</v>
      </c>
      <c r="L161" s="2">
        <v>546</v>
      </c>
      <c r="M161" s="2">
        <v>98</v>
      </c>
      <c r="N161" s="2">
        <f>normalizar!$L161*normalizar!$M161</f>
        <v>53508</v>
      </c>
    </row>
    <row r="162" spans="1:14" x14ac:dyDescent="0.25">
      <c r="A162">
        <v>161</v>
      </c>
      <c r="B162" s="1">
        <v>44018</v>
      </c>
      <c r="C162">
        <v>8313545064</v>
      </c>
      <c r="D162" t="s">
        <v>36</v>
      </c>
      <c r="E162" t="s">
        <v>92</v>
      </c>
      <c r="F162" t="s">
        <v>99</v>
      </c>
      <c r="G162" t="s">
        <v>37</v>
      </c>
      <c r="H162" t="s">
        <v>25</v>
      </c>
      <c r="I162" t="s">
        <v>9</v>
      </c>
      <c r="J162" t="s">
        <v>18</v>
      </c>
      <c r="K162" t="s">
        <v>13</v>
      </c>
      <c r="L162" s="2">
        <v>420</v>
      </c>
      <c r="M162" s="2">
        <v>46</v>
      </c>
      <c r="N162" s="2">
        <f>normalizar!$L162*normalizar!$M162</f>
        <v>19320</v>
      </c>
    </row>
    <row r="163" spans="1:14" x14ac:dyDescent="0.25">
      <c r="A163">
        <v>162</v>
      </c>
      <c r="B163" s="1">
        <v>44064</v>
      </c>
      <c r="C163">
        <v>5739621013</v>
      </c>
      <c r="D163" t="s">
        <v>36</v>
      </c>
      <c r="E163" t="s">
        <v>92</v>
      </c>
      <c r="F163" t="s">
        <v>99</v>
      </c>
      <c r="G163" t="s">
        <v>37</v>
      </c>
      <c r="H163" t="s">
        <v>25</v>
      </c>
      <c r="I163" t="s">
        <v>9</v>
      </c>
      <c r="J163" t="s">
        <v>19</v>
      </c>
      <c r="K163" t="s">
        <v>13</v>
      </c>
      <c r="L163" s="2">
        <v>742</v>
      </c>
      <c r="M163" s="2">
        <v>14</v>
      </c>
      <c r="N163" s="2">
        <f>normalizar!$L163*normalizar!$M163</f>
        <v>10388</v>
      </c>
    </row>
    <row r="164" spans="1:14" x14ac:dyDescent="0.25">
      <c r="A164">
        <v>163</v>
      </c>
      <c r="B164" s="1">
        <v>43942</v>
      </c>
      <c r="C164">
        <v>1789830506</v>
      </c>
      <c r="D164" t="s">
        <v>14</v>
      </c>
      <c r="E164" t="s">
        <v>81</v>
      </c>
      <c r="F164" t="s">
        <v>94</v>
      </c>
      <c r="G164" t="s">
        <v>15</v>
      </c>
      <c r="H164" t="s">
        <v>127</v>
      </c>
      <c r="I164" t="s">
        <v>127</v>
      </c>
      <c r="J164" t="s">
        <v>66</v>
      </c>
      <c r="K164" t="s">
        <v>57</v>
      </c>
      <c r="L164" s="2">
        <v>532</v>
      </c>
      <c r="M164" s="2">
        <v>85</v>
      </c>
      <c r="N164" s="2">
        <f>normalizar!$L164*normalizar!$M164</f>
        <v>45220</v>
      </c>
    </row>
    <row r="165" spans="1:14" x14ac:dyDescent="0.25">
      <c r="A165">
        <v>164</v>
      </c>
      <c r="B165" s="1">
        <v>44098</v>
      </c>
      <c r="C165">
        <v>6281652174</v>
      </c>
      <c r="D165" t="s">
        <v>32</v>
      </c>
      <c r="E165" t="s">
        <v>93</v>
      </c>
      <c r="F165" t="s">
        <v>96</v>
      </c>
      <c r="G165" t="s">
        <v>7</v>
      </c>
      <c r="H165" t="s">
        <v>127</v>
      </c>
      <c r="I165" t="s">
        <v>127</v>
      </c>
      <c r="J165" t="s">
        <v>44</v>
      </c>
      <c r="K165" t="s">
        <v>11</v>
      </c>
      <c r="L165" s="2">
        <v>41.86</v>
      </c>
      <c r="M165" s="2">
        <v>88</v>
      </c>
      <c r="N165" s="2">
        <f>normalizar!$L165*normalizar!$M165</f>
        <v>3683.68</v>
      </c>
    </row>
    <row r="166" spans="1:14" x14ac:dyDescent="0.25">
      <c r="A166">
        <v>165</v>
      </c>
      <c r="B166" s="1">
        <v>43859</v>
      </c>
      <c r="C166">
        <v>8126696083</v>
      </c>
      <c r="D166" t="s">
        <v>51</v>
      </c>
      <c r="E166" t="s">
        <v>90</v>
      </c>
      <c r="F166" t="s">
        <v>98</v>
      </c>
      <c r="G166" t="s">
        <v>24</v>
      </c>
      <c r="H166" t="s">
        <v>127</v>
      </c>
      <c r="I166" t="s">
        <v>127</v>
      </c>
      <c r="J166" t="s">
        <v>44</v>
      </c>
      <c r="K166" t="s">
        <v>11</v>
      </c>
      <c r="L166" s="2">
        <v>41.86</v>
      </c>
      <c r="M166" s="2">
        <v>81</v>
      </c>
      <c r="N166" s="2">
        <f>normalizar!$L166*normalizar!$M166</f>
        <v>3390.66</v>
      </c>
    </row>
    <row r="167" spans="1:14" x14ac:dyDescent="0.25">
      <c r="A167">
        <v>166</v>
      </c>
      <c r="B167" s="1">
        <v>44160</v>
      </c>
      <c r="C167">
        <v>2706456269</v>
      </c>
      <c r="D167" t="s">
        <v>40</v>
      </c>
      <c r="E167" t="s">
        <v>97</v>
      </c>
      <c r="F167" t="s">
        <v>88</v>
      </c>
      <c r="G167" t="s">
        <v>41</v>
      </c>
      <c r="H167" t="s">
        <v>25</v>
      </c>
      <c r="I167" t="s">
        <v>17</v>
      </c>
      <c r="J167" t="s">
        <v>34</v>
      </c>
      <c r="K167" t="s">
        <v>35</v>
      </c>
      <c r="L167" s="2">
        <v>135.1</v>
      </c>
      <c r="M167" s="2">
        <v>33</v>
      </c>
      <c r="N167" s="2">
        <f>normalizar!$L167*normalizar!$M167</f>
        <v>4458.3</v>
      </c>
    </row>
    <row r="168" spans="1:14" x14ac:dyDescent="0.25">
      <c r="A168">
        <v>167</v>
      </c>
      <c r="B168" s="1">
        <v>44167</v>
      </c>
      <c r="C168">
        <v>6159315697</v>
      </c>
      <c r="D168" t="s">
        <v>40</v>
      </c>
      <c r="E168" t="s">
        <v>97</v>
      </c>
      <c r="F168" t="s">
        <v>88</v>
      </c>
      <c r="G168" t="s">
        <v>41</v>
      </c>
      <c r="H168" t="s">
        <v>25</v>
      </c>
      <c r="I168" t="s">
        <v>17</v>
      </c>
      <c r="J168" t="s">
        <v>52</v>
      </c>
      <c r="K168" t="s">
        <v>53</v>
      </c>
      <c r="L168" s="2">
        <v>257.59999999999997</v>
      </c>
      <c r="M168" s="2">
        <v>47</v>
      </c>
      <c r="N168" s="2">
        <f>normalizar!$L168*normalizar!$M168</f>
        <v>12107.199999999999</v>
      </c>
    </row>
    <row r="169" spans="1:14" x14ac:dyDescent="0.25">
      <c r="A169">
        <v>168</v>
      </c>
      <c r="B169" s="1">
        <v>44026</v>
      </c>
      <c r="C169">
        <v>2749029538</v>
      </c>
      <c r="D169" t="s">
        <v>54</v>
      </c>
      <c r="E169" t="s">
        <v>89</v>
      </c>
      <c r="F169" t="s">
        <v>84</v>
      </c>
      <c r="G169" t="s">
        <v>55</v>
      </c>
      <c r="H169" t="s">
        <v>16</v>
      </c>
      <c r="I169" t="s">
        <v>9</v>
      </c>
      <c r="J169" t="s">
        <v>56</v>
      </c>
      <c r="K169" t="s">
        <v>57</v>
      </c>
      <c r="L169" s="2">
        <v>273</v>
      </c>
      <c r="M169" s="2">
        <v>61</v>
      </c>
      <c r="N169" s="2">
        <f>normalizar!$L169*normalizar!$M169</f>
        <v>16653</v>
      </c>
    </row>
    <row r="170" spans="1:14" x14ac:dyDescent="0.25">
      <c r="A170">
        <v>169</v>
      </c>
      <c r="B170" s="1">
        <v>43998</v>
      </c>
      <c r="C170">
        <v>9017454158</v>
      </c>
      <c r="D170" t="s">
        <v>54</v>
      </c>
      <c r="E170" t="s">
        <v>89</v>
      </c>
      <c r="F170" t="s">
        <v>84</v>
      </c>
      <c r="G170" t="s">
        <v>55</v>
      </c>
      <c r="H170" t="s">
        <v>16</v>
      </c>
      <c r="I170" t="s">
        <v>9</v>
      </c>
      <c r="J170" t="s">
        <v>58</v>
      </c>
      <c r="K170" t="s">
        <v>59</v>
      </c>
      <c r="L170" s="2">
        <v>487.19999999999993</v>
      </c>
      <c r="M170" s="2">
        <v>27</v>
      </c>
      <c r="N170" s="2">
        <f>normalizar!$L170*normalizar!$M170</f>
        <v>13154.399999999998</v>
      </c>
    </row>
    <row r="171" spans="1:14" x14ac:dyDescent="0.25">
      <c r="A171">
        <v>170</v>
      </c>
      <c r="B171" s="1">
        <v>43893</v>
      </c>
      <c r="C171">
        <v>445300235</v>
      </c>
      <c r="D171" t="s">
        <v>36</v>
      </c>
      <c r="E171" t="s">
        <v>92</v>
      </c>
      <c r="F171" t="s">
        <v>99</v>
      </c>
      <c r="G171" t="s">
        <v>37</v>
      </c>
      <c r="H171" t="s">
        <v>8</v>
      </c>
      <c r="I171" t="s">
        <v>17</v>
      </c>
      <c r="J171" t="s">
        <v>10</v>
      </c>
      <c r="K171" t="s">
        <v>11</v>
      </c>
      <c r="L171" s="2">
        <v>196</v>
      </c>
      <c r="M171" s="2">
        <v>84</v>
      </c>
      <c r="N171" s="2">
        <f>normalizar!$L171*normalizar!$M171</f>
        <v>16464</v>
      </c>
    </row>
    <row r="172" spans="1:14" x14ac:dyDescent="0.25">
      <c r="A172">
        <v>171</v>
      </c>
      <c r="B172" s="1">
        <v>43844</v>
      </c>
      <c r="C172">
        <v>3498781571</v>
      </c>
      <c r="D172" t="s">
        <v>23</v>
      </c>
      <c r="E172" t="s">
        <v>86</v>
      </c>
      <c r="F172" t="s">
        <v>82</v>
      </c>
      <c r="G172" t="s">
        <v>24</v>
      </c>
      <c r="H172" t="s">
        <v>8</v>
      </c>
      <c r="I172" t="s">
        <v>9</v>
      </c>
      <c r="J172" t="s">
        <v>38</v>
      </c>
      <c r="K172" t="s">
        <v>39</v>
      </c>
      <c r="L172" s="2">
        <v>560</v>
      </c>
      <c r="M172" s="2">
        <v>91</v>
      </c>
      <c r="N172" s="2">
        <f>normalizar!$L172*normalizar!$M172</f>
        <v>50960</v>
      </c>
    </row>
    <row r="173" spans="1:14" x14ac:dyDescent="0.25">
      <c r="A173">
        <v>172</v>
      </c>
      <c r="B173" s="1">
        <v>44008</v>
      </c>
      <c r="C173">
        <v>376477229</v>
      </c>
      <c r="D173" t="s">
        <v>23</v>
      </c>
      <c r="E173" t="s">
        <v>86</v>
      </c>
      <c r="F173" t="s">
        <v>82</v>
      </c>
      <c r="G173" t="s">
        <v>24</v>
      </c>
      <c r="H173" t="s">
        <v>8</v>
      </c>
      <c r="I173" t="s">
        <v>9</v>
      </c>
      <c r="J173" t="s">
        <v>26</v>
      </c>
      <c r="K173" t="s">
        <v>27</v>
      </c>
      <c r="L173" s="2">
        <v>128.79999999999998</v>
      </c>
      <c r="M173" s="2">
        <v>36</v>
      </c>
      <c r="N173" s="2">
        <f>normalizar!$L173*normalizar!$M173</f>
        <v>4636.7999999999993</v>
      </c>
    </row>
    <row r="174" spans="1:14" x14ac:dyDescent="0.25">
      <c r="A174">
        <v>173</v>
      </c>
      <c r="B174" s="1">
        <v>44119</v>
      </c>
      <c r="C174">
        <v>1790721708</v>
      </c>
      <c r="D174" t="s">
        <v>62</v>
      </c>
      <c r="E174" t="s">
        <v>91</v>
      </c>
      <c r="F174" t="s">
        <v>91</v>
      </c>
      <c r="G174" t="s">
        <v>43</v>
      </c>
      <c r="H174" t="s">
        <v>16</v>
      </c>
      <c r="I174" t="s">
        <v>33</v>
      </c>
      <c r="J174" t="s">
        <v>67</v>
      </c>
      <c r="K174" t="s">
        <v>27</v>
      </c>
      <c r="L174" s="2">
        <v>140</v>
      </c>
      <c r="M174" s="2">
        <v>34</v>
      </c>
      <c r="N174" s="2">
        <f>normalizar!$L174*normalizar!$M174</f>
        <v>4760</v>
      </c>
    </row>
    <row r="175" spans="1:14" x14ac:dyDescent="0.25">
      <c r="A175">
        <v>174</v>
      </c>
      <c r="B175" s="1">
        <v>43831</v>
      </c>
      <c r="C175">
        <v>434033868</v>
      </c>
      <c r="D175" t="s">
        <v>63</v>
      </c>
      <c r="E175" t="s">
        <v>85</v>
      </c>
      <c r="F175" t="s">
        <v>83</v>
      </c>
      <c r="G175" t="s">
        <v>41</v>
      </c>
      <c r="H175" t="s">
        <v>25</v>
      </c>
      <c r="I175" t="s">
        <v>17</v>
      </c>
      <c r="J175" t="s">
        <v>68</v>
      </c>
      <c r="K175" t="s">
        <v>69</v>
      </c>
      <c r="L175" s="2">
        <v>298.90000000000003</v>
      </c>
      <c r="M175" s="2">
        <v>81</v>
      </c>
      <c r="N175" s="2">
        <f>normalizar!$L175*normalizar!$M175</f>
        <v>24210.9</v>
      </c>
    </row>
    <row r="176" spans="1:14" x14ac:dyDescent="0.25">
      <c r="A176">
        <v>175</v>
      </c>
      <c r="B176" s="1">
        <v>44054</v>
      </c>
      <c r="C176">
        <v>3247684317</v>
      </c>
      <c r="D176" t="s">
        <v>63</v>
      </c>
      <c r="E176" t="s">
        <v>85</v>
      </c>
      <c r="F176" t="s">
        <v>83</v>
      </c>
      <c r="G176" t="s">
        <v>41</v>
      </c>
      <c r="H176" t="s">
        <v>25</v>
      </c>
      <c r="I176" t="s">
        <v>17</v>
      </c>
      <c r="J176" t="s">
        <v>34</v>
      </c>
      <c r="K176" t="s">
        <v>35</v>
      </c>
      <c r="L176" s="2">
        <v>135.1</v>
      </c>
      <c r="M176" s="2">
        <v>25</v>
      </c>
      <c r="N176" s="2">
        <f>normalizar!$L176*normalizar!$M176</f>
        <v>3377.5</v>
      </c>
    </row>
    <row r="177" spans="1:14" x14ac:dyDescent="0.25">
      <c r="A177">
        <v>176</v>
      </c>
      <c r="B177" s="1">
        <v>43933</v>
      </c>
      <c r="C177">
        <v>6492121203</v>
      </c>
      <c r="D177" t="s">
        <v>63</v>
      </c>
      <c r="E177" t="s">
        <v>85</v>
      </c>
      <c r="F177" t="s">
        <v>83</v>
      </c>
      <c r="G177" t="s">
        <v>41</v>
      </c>
      <c r="H177" t="s">
        <v>25</v>
      </c>
      <c r="I177" t="s">
        <v>17</v>
      </c>
      <c r="J177" t="s">
        <v>52</v>
      </c>
      <c r="K177" t="s">
        <v>53</v>
      </c>
      <c r="L177" s="2">
        <v>257.59999999999997</v>
      </c>
      <c r="M177" s="2">
        <v>12</v>
      </c>
      <c r="N177" s="2">
        <f>normalizar!$L177*normalizar!$M177</f>
        <v>3091.2</v>
      </c>
    </row>
    <row r="178" spans="1:14" x14ac:dyDescent="0.25">
      <c r="A178">
        <v>177</v>
      </c>
      <c r="B178" s="1">
        <v>43859</v>
      </c>
      <c r="C178">
        <v>1661667624</v>
      </c>
      <c r="D178" t="s">
        <v>28</v>
      </c>
      <c r="E178" t="s">
        <v>89</v>
      </c>
      <c r="F178" t="s">
        <v>84</v>
      </c>
      <c r="G178" t="s">
        <v>29</v>
      </c>
      <c r="H178" t="s">
        <v>8</v>
      </c>
      <c r="I178" t="s">
        <v>9</v>
      </c>
      <c r="J178" t="s">
        <v>10</v>
      </c>
      <c r="K178" t="s">
        <v>11</v>
      </c>
      <c r="L178" s="2">
        <v>196</v>
      </c>
      <c r="M178" s="2">
        <v>23</v>
      </c>
      <c r="N178" s="2">
        <f>normalizar!$L178*normalizar!$M178</f>
        <v>4508</v>
      </c>
    </row>
    <row r="179" spans="1:14" x14ac:dyDescent="0.25">
      <c r="A179">
        <v>178</v>
      </c>
      <c r="B179" s="1">
        <v>44188</v>
      </c>
      <c r="C179">
        <v>1127190015</v>
      </c>
      <c r="D179" t="s">
        <v>36</v>
      </c>
      <c r="E179" t="s">
        <v>92</v>
      </c>
      <c r="F179" t="s">
        <v>99</v>
      </c>
      <c r="G179" t="s">
        <v>37</v>
      </c>
      <c r="H179" t="s">
        <v>25</v>
      </c>
      <c r="I179" t="s">
        <v>9</v>
      </c>
      <c r="J179" t="s">
        <v>30</v>
      </c>
      <c r="K179" t="s">
        <v>31</v>
      </c>
      <c r="L179" s="2">
        <v>178.5</v>
      </c>
      <c r="M179" s="2">
        <v>76</v>
      </c>
      <c r="N179" s="2">
        <f>normalizar!$L179*normalizar!$M179</f>
        <v>13566</v>
      </c>
    </row>
    <row r="180" spans="1:14" x14ac:dyDescent="0.25">
      <c r="A180">
        <v>179</v>
      </c>
      <c r="B180" s="1">
        <v>43937</v>
      </c>
      <c r="C180">
        <v>7862399002</v>
      </c>
      <c r="D180" t="s">
        <v>14</v>
      </c>
      <c r="E180" t="s">
        <v>81</v>
      </c>
      <c r="F180" t="s">
        <v>94</v>
      </c>
      <c r="G180" t="s">
        <v>15</v>
      </c>
      <c r="H180" t="s">
        <v>16</v>
      </c>
      <c r="I180" t="s">
        <v>17</v>
      </c>
      <c r="J180" t="s">
        <v>70</v>
      </c>
      <c r="K180" t="s">
        <v>47</v>
      </c>
      <c r="L180" s="2">
        <v>1134</v>
      </c>
      <c r="M180" s="2">
        <v>55</v>
      </c>
      <c r="N180" s="2">
        <f>normalizar!$L180*normalizar!$M180</f>
        <v>62370</v>
      </c>
    </row>
    <row r="181" spans="1:14" x14ac:dyDescent="0.25">
      <c r="A181">
        <v>180</v>
      </c>
      <c r="B181" s="1">
        <v>44083</v>
      </c>
      <c r="C181">
        <v>9568142105</v>
      </c>
      <c r="D181" t="s">
        <v>14</v>
      </c>
      <c r="E181" t="s">
        <v>81</v>
      </c>
      <c r="F181" t="s">
        <v>94</v>
      </c>
      <c r="G181" t="s">
        <v>15</v>
      </c>
      <c r="H181" t="s">
        <v>16</v>
      </c>
      <c r="I181" t="s">
        <v>17</v>
      </c>
      <c r="J181" t="s">
        <v>71</v>
      </c>
      <c r="K181" t="s">
        <v>72</v>
      </c>
      <c r="L181" s="2">
        <v>98</v>
      </c>
      <c r="M181" s="2">
        <v>19</v>
      </c>
      <c r="N181" s="2">
        <f>normalizar!$L181*normalizar!$M181</f>
        <v>1862</v>
      </c>
    </row>
    <row r="182" spans="1:14" x14ac:dyDescent="0.25">
      <c r="A182">
        <v>181</v>
      </c>
      <c r="B182" s="1">
        <v>43864</v>
      </c>
      <c r="C182">
        <v>1181634254</v>
      </c>
      <c r="D182" t="s">
        <v>23</v>
      </c>
      <c r="E182" t="s">
        <v>86</v>
      </c>
      <c r="F182" t="s">
        <v>82</v>
      </c>
      <c r="G182" t="s">
        <v>24</v>
      </c>
      <c r="H182" t="s">
        <v>25</v>
      </c>
      <c r="I182" t="s">
        <v>17</v>
      </c>
      <c r="J182" t="s">
        <v>58</v>
      </c>
      <c r="K182" t="s">
        <v>59</v>
      </c>
      <c r="L182" s="2">
        <v>487.19999999999993</v>
      </c>
      <c r="M182" s="2">
        <v>27</v>
      </c>
      <c r="N182" s="2">
        <f>normalizar!$L182*normalizar!$M182</f>
        <v>13154.399999999998</v>
      </c>
    </row>
    <row r="183" spans="1:14" x14ac:dyDescent="0.25">
      <c r="A183">
        <v>182</v>
      </c>
      <c r="B183" s="1">
        <v>44052</v>
      </c>
      <c r="C183">
        <v>5404968765</v>
      </c>
      <c r="D183" t="s">
        <v>32</v>
      </c>
      <c r="E183" t="s">
        <v>93</v>
      </c>
      <c r="F183" t="s">
        <v>96</v>
      </c>
      <c r="G183" t="s">
        <v>7</v>
      </c>
      <c r="H183" t="s">
        <v>8</v>
      </c>
      <c r="I183" t="s">
        <v>33</v>
      </c>
      <c r="J183" t="s">
        <v>60</v>
      </c>
      <c r="K183" t="s">
        <v>49</v>
      </c>
      <c r="L183" s="2">
        <v>140</v>
      </c>
      <c r="M183" s="2">
        <v>99</v>
      </c>
      <c r="N183" s="2">
        <f>normalizar!$L183*normalizar!$M183</f>
        <v>13860</v>
      </c>
    </row>
    <row r="184" spans="1:14" x14ac:dyDescent="0.25">
      <c r="A184">
        <v>183</v>
      </c>
      <c r="B184" s="1">
        <v>43959</v>
      </c>
      <c r="C184">
        <v>2431996009</v>
      </c>
      <c r="D184" t="s">
        <v>32</v>
      </c>
      <c r="E184" t="s">
        <v>93</v>
      </c>
      <c r="F184" t="s">
        <v>96</v>
      </c>
      <c r="G184" t="s">
        <v>7</v>
      </c>
      <c r="H184" t="s">
        <v>8</v>
      </c>
      <c r="I184" t="s">
        <v>33</v>
      </c>
      <c r="J184" t="s">
        <v>38</v>
      </c>
      <c r="K184" t="s">
        <v>39</v>
      </c>
      <c r="L184" s="2">
        <v>560</v>
      </c>
      <c r="M184" s="2">
        <v>10</v>
      </c>
      <c r="N184" s="2">
        <f>normalizar!$L184*normalizar!$M184</f>
        <v>5600</v>
      </c>
    </row>
    <row r="185" spans="1:14" x14ac:dyDescent="0.25">
      <c r="A185">
        <v>184</v>
      </c>
      <c r="B185" s="1">
        <v>44101</v>
      </c>
      <c r="C185">
        <v>6373385557</v>
      </c>
      <c r="D185" t="s">
        <v>42</v>
      </c>
      <c r="E185" t="s">
        <v>91</v>
      </c>
      <c r="F185" t="s">
        <v>91</v>
      </c>
      <c r="G185" t="s">
        <v>43</v>
      </c>
      <c r="H185" t="s">
        <v>8</v>
      </c>
      <c r="I185" t="s">
        <v>17</v>
      </c>
      <c r="J185" t="s">
        <v>61</v>
      </c>
      <c r="K185" t="s">
        <v>13</v>
      </c>
      <c r="L185" s="2">
        <v>140</v>
      </c>
      <c r="M185" s="2">
        <v>80</v>
      </c>
      <c r="N185" s="2">
        <f>normalizar!$L185*normalizar!$M185</f>
        <v>11200</v>
      </c>
    </row>
    <row r="186" spans="1:14" x14ac:dyDescent="0.25">
      <c r="A186">
        <v>185</v>
      </c>
      <c r="B186" s="1">
        <v>44069</v>
      </c>
      <c r="C186">
        <v>5411926783</v>
      </c>
      <c r="D186" t="s">
        <v>42</v>
      </c>
      <c r="E186" t="s">
        <v>91</v>
      </c>
      <c r="F186" t="s">
        <v>91</v>
      </c>
      <c r="G186" t="s">
        <v>43</v>
      </c>
      <c r="H186" t="s">
        <v>16</v>
      </c>
      <c r="I186" t="s">
        <v>127</v>
      </c>
      <c r="J186" t="s">
        <v>12</v>
      </c>
      <c r="K186" t="s">
        <v>13</v>
      </c>
      <c r="L186" s="2">
        <v>49</v>
      </c>
      <c r="M186" s="2">
        <v>27</v>
      </c>
      <c r="N186" s="2">
        <f>normalizar!$L186*normalizar!$M186</f>
        <v>1323</v>
      </c>
    </row>
    <row r="187" spans="1:14" x14ac:dyDescent="0.25">
      <c r="A187">
        <v>186</v>
      </c>
      <c r="B187" s="1">
        <v>44118</v>
      </c>
      <c r="C187">
        <v>8397590471</v>
      </c>
      <c r="D187" t="s">
        <v>50</v>
      </c>
      <c r="E187" t="s">
        <v>85</v>
      </c>
      <c r="F187" t="s">
        <v>83</v>
      </c>
      <c r="G187" t="s">
        <v>41</v>
      </c>
      <c r="H187" t="s">
        <v>25</v>
      </c>
      <c r="I187" t="s">
        <v>127</v>
      </c>
      <c r="J187" t="s">
        <v>38</v>
      </c>
      <c r="K187" t="s">
        <v>39</v>
      </c>
      <c r="L187" s="2">
        <v>560</v>
      </c>
      <c r="M187" s="2">
        <v>97</v>
      </c>
      <c r="N187" s="2">
        <f>normalizar!$L187*normalizar!$M187</f>
        <v>54320</v>
      </c>
    </row>
    <row r="188" spans="1:14" x14ac:dyDescent="0.25">
      <c r="A188">
        <v>187</v>
      </c>
      <c r="B188" s="1">
        <v>44038</v>
      </c>
      <c r="C188">
        <v>5905399576</v>
      </c>
      <c r="D188" t="s">
        <v>51</v>
      </c>
      <c r="E188" t="s">
        <v>90</v>
      </c>
      <c r="F188" t="s">
        <v>98</v>
      </c>
      <c r="G188" t="s">
        <v>24</v>
      </c>
      <c r="H188" t="s">
        <v>25</v>
      </c>
      <c r="I188" t="s">
        <v>127</v>
      </c>
      <c r="J188" t="s">
        <v>52</v>
      </c>
      <c r="K188" t="s">
        <v>53</v>
      </c>
      <c r="L188" s="2">
        <v>257.59999999999997</v>
      </c>
      <c r="M188" s="2">
        <v>42</v>
      </c>
      <c r="N188" s="2">
        <f>normalizar!$L188*normalizar!$M188</f>
        <v>10819.199999999999</v>
      </c>
    </row>
    <row r="189" spans="1:14" x14ac:dyDescent="0.25">
      <c r="A189">
        <v>188</v>
      </c>
      <c r="B189" s="1">
        <v>43947</v>
      </c>
      <c r="C189">
        <v>168682758</v>
      </c>
      <c r="D189" t="s">
        <v>40</v>
      </c>
      <c r="E189" t="s">
        <v>97</v>
      </c>
      <c r="F189" t="s">
        <v>88</v>
      </c>
      <c r="G189" t="s">
        <v>41</v>
      </c>
      <c r="H189" t="s">
        <v>25</v>
      </c>
      <c r="I189" t="s">
        <v>17</v>
      </c>
      <c r="J189" t="s">
        <v>22</v>
      </c>
      <c r="K189" t="s">
        <v>11</v>
      </c>
      <c r="L189" s="2">
        <v>644</v>
      </c>
      <c r="M189" s="2">
        <v>24</v>
      </c>
      <c r="N189" s="2">
        <f>normalizar!$L189*normalizar!$M189</f>
        <v>15456</v>
      </c>
    </row>
    <row r="190" spans="1:14" x14ac:dyDescent="0.25">
      <c r="A190">
        <v>189</v>
      </c>
      <c r="B190" s="1">
        <v>44162</v>
      </c>
      <c r="C190">
        <v>4992553897</v>
      </c>
      <c r="D190" t="s">
        <v>54</v>
      </c>
      <c r="E190" t="s">
        <v>89</v>
      </c>
      <c r="F190" t="s">
        <v>84</v>
      </c>
      <c r="G190" t="s">
        <v>55</v>
      </c>
      <c r="H190" t="s">
        <v>16</v>
      </c>
      <c r="I190" t="s">
        <v>9</v>
      </c>
      <c r="J190" t="s">
        <v>34</v>
      </c>
      <c r="K190" t="s">
        <v>35</v>
      </c>
      <c r="L190" s="2">
        <v>135.1</v>
      </c>
      <c r="M190" s="2">
        <v>90</v>
      </c>
      <c r="N190" s="2">
        <f>normalizar!$L190*normalizar!$M190</f>
        <v>12159</v>
      </c>
    </row>
    <row r="191" spans="1:14" x14ac:dyDescent="0.25">
      <c r="A191">
        <v>190</v>
      </c>
      <c r="B191" s="1">
        <v>44160</v>
      </c>
      <c r="C191">
        <v>9609810399</v>
      </c>
      <c r="D191" t="s">
        <v>36</v>
      </c>
      <c r="E191" t="s">
        <v>92</v>
      </c>
      <c r="F191" t="s">
        <v>99</v>
      </c>
      <c r="G191" t="s">
        <v>37</v>
      </c>
      <c r="H191" t="s">
        <v>8</v>
      </c>
      <c r="I191" t="s">
        <v>17</v>
      </c>
      <c r="J191" t="s">
        <v>30</v>
      </c>
      <c r="K191" t="s">
        <v>31</v>
      </c>
      <c r="L191" s="2">
        <v>178.5</v>
      </c>
      <c r="M191" s="2">
        <v>28</v>
      </c>
      <c r="N191" s="2">
        <f>normalizar!$L191*normalizar!$M191</f>
        <v>4998</v>
      </c>
    </row>
    <row r="192" spans="1:14" x14ac:dyDescent="0.25">
      <c r="A192">
        <v>191</v>
      </c>
      <c r="B192" s="1">
        <v>44045</v>
      </c>
      <c r="C192">
        <v>1537469039</v>
      </c>
      <c r="D192" t="s">
        <v>40</v>
      </c>
      <c r="E192" t="s">
        <v>97</v>
      </c>
      <c r="F192" t="s">
        <v>88</v>
      </c>
      <c r="G192" t="s">
        <v>41</v>
      </c>
      <c r="H192" t="s">
        <v>25</v>
      </c>
      <c r="I192" t="s">
        <v>9</v>
      </c>
      <c r="J192" t="s">
        <v>22</v>
      </c>
      <c r="K192" t="s">
        <v>11</v>
      </c>
      <c r="L192" s="2">
        <v>644</v>
      </c>
      <c r="M192" s="2">
        <v>28</v>
      </c>
      <c r="N192" s="2">
        <f>normalizar!$L192*normalizar!$M192</f>
        <v>18032</v>
      </c>
    </row>
    <row r="193" spans="1:14" x14ac:dyDescent="0.25">
      <c r="A193">
        <v>192</v>
      </c>
      <c r="B193" s="1">
        <v>44049</v>
      </c>
      <c r="C193">
        <v>2018401595</v>
      </c>
      <c r="D193" t="s">
        <v>23</v>
      </c>
      <c r="E193" t="s">
        <v>86</v>
      </c>
      <c r="F193" t="s">
        <v>82</v>
      </c>
      <c r="G193" t="s">
        <v>24</v>
      </c>
      <c r="H193" t="s">
        <v>25</v>
      </c>
      <c r="I193" t="s">
        <v>9</v>
      </c>
      <c r="J193" t="s">
        <v>30</v>
      </c>
      <c r="K193" t="s">
        <v>31</v>
      </c>
      <c r="L193" s="2">
        <v>178.5</v>
      </c>
      <c r="M193" s="2">
        <v>57</v>
      </c>
      <c r="N193" s="2">
        <f>normalizar!$L193*normalizar!$M193</f>
        <v>10174.5</v>
      </c>
    </row>
    <row r="194" spans="1:14" x14ac:dyDescent="0.25">
      <c r="A194">
        <v>193</v>
      </c>
      <c r="B194" s="1">
        <v>43961</v>
      </c>
      <c r="C194">
        <v>1129934476</v>
      </c>
      <c r="D194" t="s">
        <v>42</v>
      </c>
      <c r="E194" t="s">
        <v>91</v>
      </c>
      <c r="F194" t="s">
        <v>91</v>
      </c>
      <c r="G194" t="s">
        <v>43</v>
      </c>
      <c r="H194" t="s">
        <v>8</v>
      </c>
      <c r="I194" t="s">
        <v>17</v>
      </c>
      <c r="J194" t="s">
        <v>44</v>
      </c>
      <c r="K194" t="s">
        <v>11</v>
      </c>
      <c r="L194" s="2">
        <v>41.86</v>
      </c>
      <c r="M194" s="2">
        <v>23</v>
      </c>
      <c r="N194" s="2">
        <f>normalizar!$L194*normalizar!$M194</f>
        <v>962.78</v>
      </c>
    </row>
    <row r="195" spans="1:14" x14ac:dyDescent="0.25">
      <c r="A195">
        <v>194</v>
      </c>
      <c r="B195" s="1">
        <v>43929</v>
      </c>
      <c r="C195">
        <v>878400496</v>
      </c>
      <c r="D195" t="s">
        <v>45</v>
      </c>
      <c r="E195" t="s">
        <v>87</v>
      </c>
      <c r="F195" t="s">
        <v>87</v>
      </c>
      <c r="G195" t="s">
        <v>24</v>
      </c>
      <c r="H195" t="s">
        <v>127</v>
      </c>
      <c r="I195" t="s">
        <v>127</v>
      </c>
      <c r="J195" t="s">
        <v>22</v>
      </c>
      <c r="K195" t="s">
        <v>11</v>
      </c>
      <c r="L195" s="2">
        <v>644</v>
      </c>
      <c r="M195" s="2">
        <v>86</v>
      </c>
      <c r="N195" s="2">
        <f>normalizar!$L195*normalizar!$M195</f>
        <v>55384</v>
      </c>
    </row>
    <row r="196" spans="1:14" x14ac:dyDescent="0.25">
      <c r="A196">
        <v>195</v>
      </c>
      <c r="B196" s="1">
        <v>44043</v>
      </c>
      <c r="C196">
        <v>6271764467</v>
      </c>
      <c r="D196" t="s">
        <v>42</v>
      </c>
      <c r="E196" t="s">
        <v>91</v>
      </c>
      <c r="F196" t="s">
        <v>91</v>
      </c>
      <c r="G196" t="s">
        <v>43</v>
      </c>
      <c r="H196" t="s">
        <v>16</v>
      </c>
      <c r="I196" t="s">
        <v>127</v>
      </c>
      <c r="J196" t="s">
        <v>46</v>
      </c>
      <c r="K196" t="s">
        <v>47</v>
      </c>
      <c r="L196" s="2">
        <v>350</v>
      </c>
      <c r="M196" s="2">
        <v>47</v>
      </c>
      <c r="N196" s="2">
        <f>normalizar!$L196*normalizar!$M196</f>
        <v>16450</v>
      </c>
    </row>
    <row r="197" spans="1:14" x14ac:dyDescent="0.25">
      <c r="A197">
        <v>196</v>
      </c>
      <c r="B197" s="1">
        <v>43853</v>
      </c>
      <c r="C197">
        <v>5954546839</v>
      </c>
      <c r="D197" t="s">
        <v>42</v>
      </c>
      <c r="E197" t="s">
        <v>91</v>
      </c>
      <c r="F197" t="s">
        <v>91</v>
      </c>
      <c r="G197" t="s">
        <v>43</v>
      </c>
      <c r="H197" t="s">
        <v>16</v>
      </c>
      <c r="I197" t="s">
        <v>127</v>
      </c>
      <c r="J197" t="s">
        <v>48</v>
      </c>
      <c r="K197" t="s">
        <v>49</v>
      </c>
      <c r="L197" s="2">
        <v>308</v>
      </c>
      <c r="M197" s="2">
        <v>97</v>
      </c>
      <c r="N197" s="2">
        <f>normalizar!$L197*normalizar!$M197</f>
        <v>29876</v>
      </c>
    </row>
    <row r="198" spans="1:14" x14ac:dyDescent="0.25">
      <c r="A198">
        <v>197</v>
      </c>
      <c r="B198" s="1">
        <v>43905</v>
      </c>
      <c r="C198">
        <v>1007419194</v>
      </c>
      <c r="D198" t="s">
        <v>42</v>
      </c>
      <c r="E198" t="s">
        <v>91</v>
      </c>
      <c r="F198" t="s">
        <v>91</v>
      </c>
      <c r="G198" t="s">
        <v>43</v>
      </c>
      <c r="H198" t="s">
        <v>16</v>
      </c>
      <c r="I198" t="s">
        <v>127</v>
      </c>
      <c r="J198" t="s">
        <v>26</v>
      </c>
      <c r="K198" t="s">
        <v>27</v>
      </c>
      <c r="L198" s="2">
        <v>128.79999999999998</v>
      </c>
      <c r="M198" s="2">
        <v>96</v>
      </c>
      <c r="N198" s="2">
        <f>normalizar!$L198*normalizar!$M198</f>
        <v>12364.8</v>
      </c>
    </row>
    <row r="199" spans="1:14" x14ac:dyDescent="0.25">
      <c r="A199">
        <v>198</v>
      </c>
      <c r="B199" s="1">
        <v>43891</v>
      </c>
      <c r="C199">
        <v>2749506386</v>
      </c>
      <c r="D199" t="s">
        <v>50</v>
      </c>
      <c r="E199" t="s">
        <v>85</v>
      </c>
      <c r="F199" t="s">
        <v>83</v>
      </c>
      <c r="G199" t="s">
        <v>41</v>
      </c>
      <c r="H199" t="s">
        <v>25</v>
      </c>
      <c r="I199" t="s">
        <v>127</v>
      </c>
      <c r="J199" t="s">
        <v>12</v>
      </c>
      <c r="K199" t="s">
        <v>13</v>
      </c>
      <c r="L199" s="2">
        <v>49</v>
      </c>
      <c r="M199" s="2">
        <v>31</v>
      </c>
      <c r="N199" s="2">
        <f>normalizar!$L199*normalizar!$M199</f>
        <v>1519</v>
      </c>
    </row>
    <row r="200" spans="1:14" x14ac:dyDescent="0.25">
      <c r="A200">
        <v>199</v>
      </c>
      <c r="B200" s="1">
        <v>43997</v>
      </c>
      <c r="C200">
        <v>3279160134</v>
      </c>
      <c r="D200" t="s">
        <v>50</v>
      </c>
      <c r="E200" t="s">
        <v>85</v>
      </c>
      <c r="F200" t="s">
        <v>83</v>
      </c>
      <c r="G200" t="s">
        <v>41</v>
      </c>
      <c r="H200" t="s">
        <v>25</v>
      </c>
      <c r="I200" t="s">
        <v>127</v>
      </c>
      <c r="J200" t="s">
        <v>44</v>
      </c>
      <c r="K200" t="s">
        <v>11</v>
      </c>
      <c r="L200" s="2">
        <v>41.86</v>
      </c>
      <c r="M200" s="2">
        <v>52</v>
      </c>
      <c r="N200" s="2">
        <f>normalizar!$L200*normalizar!$M200</f>
        <v>2176.7199999999998</v>
      </c>
    </row>
    <row r="201" spans="1:14" x14ac:dyDescent="0.25">
      <c r="A201">
        <v>200</v>
      </c>
      <c r="B201" s="1">
        <v>43994</v>
      </c>
      <c r="C201">
        <v>6789089883</v>
      </c>
      <c r="D201" t="s">
        <v>51</v>
      </c>
      <c r="E201" t="s">
        <v>90</v>
      </c>
      <c r="F201" t="s">
        <v>98</v>
      </c>
      <c r="G201" t="s">
        <v>24</v>
      </c>
      <c r="H201" t="s">
        <v>127</v>
      </c>
      <c r="I201" t="s">
        <v>127</v>
      </c>
      <c r="J201" t="s">
        <v>21</v>
      </c>
      <c r="K201" t="s">
        <v>11</v>
      </c>
      <c r="L201" s="2">
        <v>252</v>
      </c>
      <c r="M201" s="2">
        <v>91</v>
      </c>
      <c r="N201" s="2">
        <f>normalizar!$L201*normalizar!$M201</f>
        <v>22932</v>
      </c>
    </row>
    <row r="202" spans="1:14" x14ac:dyDescent="0.25">
      <c r="A202">
        <v>201</v>
      </c>
      <c r="B202" s="1">
        <v>44004</v>
      </c>
      <c r="C202">
        <v>7775981065</v>
      </c>
      <c r="D202" t="s">
        <v>51</v>
      </c>
      <c r="E202" t="s">
        <v>90</v>
      </c>
      <c r="F202" t="s">
        <v>98</v>
      </c>
      <c r="G202" t="s">
        <v>24</v>
      </c>
      <c r="H202" t="s">
        <v>127</v>
      </c>
      <c r="I202" t="s">
        <v>127</v>
      </c>
      <c r="J202" t="s">
        <v>22</v>
      </c>
      <c r="K202" t="s">
        <v>11</v>
      </c>
      <c r="L202" s="2">
        <v>644</v>
      </c>
      <c r="M202" s="2">
        <v>14</v>
      </c>
      <c r="N202" s="2">
        <f>normalizar!$L202*normalizar!$M202</f>
        <v>9016</v>
      </c>
    </row>
    <row r="203" spans="1:14" x14ac:dyDescent="0.25">
      <c r="A203">
        <v>202</v>
      </c>
      <c r="B203" s="1">
        <v>43923</v>
      </c>
      <c r="C203">
        <v>5357417804</v>
      </c>
      <c r="D203" t="s">
        <v>51</v>
      </c>
      <c r="E203" t="s">
        <v>90</v>
      </c>
      <c r="F203" t="s">
        <v>98</v>
      </c>
      <c r="G203" t="s">
        <v>24</v>
      </c>
      <c r="H203" t="s">
        <v>127</v>
      </c>
      <c r="I203" t="s">
        <v>127</v>
      </c>
      <c r="J203" t="s">
        <v>44</v>
      </c>
      <c r="K203" t="s">
        <v>11</v>
      </c>
      <c r="L203" s="2">
        <v>41.86</v>
      </c>
      <c r="M203" s="2">
        <v>44</v>
      </c>
      <c r="N203" s="2">
        <f>normalizar!$L203*normalizar!$M203</f>
        <v>1841.84</v>
      </c>
    </row>
    <row r="204" spans="1:14" x14ac:dyDescent="0.25">
      <c r="A204">
        <v>203</v>
      </c>
      <c r="B204" s="1">
        <v>44109</v>
      </c>
      <c r="C204">
        <v>4986720222</v>
      </c>
      <c r="D204" t="s">
        <v>40</v>
      </c>
      <c r="E204" t="s">
        <v>97</v>
      </c>
      <c r="F204" t="s">
        <v>88</v>
      </c>
      <c r="G204" t="s">
        <v>41</v>
      </c>
      <c r="H204" t="s">
        <v>25</v>
      </c>
      <c r="I204" t="s">
        <v>17</v>
      </c>
      <c r="J204" t="s">
        <v>34</v>
      </c>
      <c r="K204" t="s">
        <v>35</v>
      </c>
      <c r="L204" s="2">
        <v>135.1</v>
      </c>
      <c r="M204" s="2">
        <v>97</v>
      </c>
      <c r="N204" s="2">
        <f>normalizar!$L204*normalizar!$M204</f>
        <v>13104.699999999999</v>
      </c>
    </row>
    <row r="205" spans="1:14" x14ac:dyDescent="0.25">
      <c r="A205">
        <v>204</v>
      </c>
      <c r="B205" s="1">
        <v>43932</v>
      </c>
      <c r="C205">
        <v>9264353300</v>
      </c>
      <c r="D205" t="s">
        <v>40</v>
      </c>
      <c r="E205" t="s">
        <v>97</v>
      </c>
      <c r="F205" t="s">
        <v>88</v>
      </c>
      <c r="G205" t="s">
        <v>41</v>
      </c>
      <c r="H205" t="s">
        <v>25</v>
      </c>
      <c r="I205" t="s">
        <v>17</v>
      </c>
      <c r="J205" t="s">
        <v>52</v>
      </c>
      <c r="K205" t="s">
        <v>53</v>
      </c>
      <c r="L205" s="2">
        <v>257.59999999999997</v>
      </c>
      <c r="M205" s="2">
        <v>80</v>
      </c>
      <c r="N205" s="2">
        <f>normalizar!$L205*normalizar!$M205</f>
        <v>20607.999999999996</v>
      </c>
    </row>
    <row r="206" spans="1:14" x14ac:dyDescent="0.25">
      <c r="A206">
        <v>205</v>
      </c>
      <c r="B206" s="1">
        <v>44131</v>
      </c>
      <c r="C206">
        <v>4507840734</v>
      </c>
      <c r="D206" t="s">
        <v>54</v>
      </c>
      <c r="E206" t="s">
        <v>89</v>
      </c>
      <c r="F206" t="s">
        <v>84</v>
      </c>
      <c r="G206" t="s">
        <v>55</v>
      </c>
      <c r="H206" t="s">
        <v>16</v>
      </c>
      <c r="I206" t="s">
        <v>9</v>
      </c>
      <c r="J206" t="s">
        <v>56</v>
      </c>
      <c r="K206" t="s">
        <v>57</v>
      </c>
      <c r="L206" s="2">
        <v>273</v>
      </c>
      <c r="M206" s="2">
        <v>66</v>
      </c>
      <c r="N206" s="2">
        <f>normalizar!$L206*normalizar!$M206</f>
        <v>18018</v>
      </c>
    </row>
    <row r="207" spans="1:14" x14ac:dyDescent="0.25">
      <c r="A207">
        <v>206</v>
      </c>
      <c r="B207" s="1">
        <v>43926</v>
      </c>
      <c r="C207">
        <v>1926814553</v>
      </c>
      <c r="D207" t="s">
        <v>54</v>
      </c>
      <c r="E207" t="s">
        <v>89</v>
      </c>
      <c r="F207" t="s">
        <v>84</v>
      </c>
      <c r="G207" t="s">
        <v>55</v>
      </c>
      <c r="H207" t="s">
        <v>16</v>
      </c>
      <c r="I207" t="s">
        <v>9</v>
      </c>
      <c r="J207" t="s">
        <v>58</v>
      </c>
      <c r="K207" t="s">
        <v>59</v>
      </c>
      <c r="L207" s="2">
        <v>487.19999999999993</v>
      </c>
      <c r="M207" s="2">
        <v>32</v>
      </c>
      <c r="N207" s="2">
        <f>normalizar!$L207*normalizar!$M207</f>
        <v>15590.399999999998</v>
      </c>
    </row>
    <row r="208" spans="1:14" x14ac:dyDescent="0.25">
      <c r="A208">
        <v>207</v>
      </c>
      <c r="B208" s="1">
        <v>44139</v>
      </c>
      <c r="C208">
        <v>1115906573</v>
      </c>
      <c r="D208" t="s">
        <v>36</v>
      </c>
      <c r="E208" t="s">
        <v>92</v>
      </c>
      <c r="F208" t="s">
        <v>99</v>
      </c>
      <c r="G208" t="s">
        <v>37</v>
      </c>
      <c r="H208" t="s">
        <v>8</v>
      </c>
      <c r="I208" t="s">
        <v>17</v>
      </c>
      <c r="J208" t="s">
        <v>10</v>
      </c>
      <c r="K208" t="s">
        <v>11</v>
      </c>
      <c r="L208" s="2">
        <v>196</v>
      </c>
      <c r="M208" s="2">
        <v>52</v>
      </c>
      <c r="N208" s="2">
        <f>normalizar!$L208*normalizar!$M208</f>
        <v>10192</v>
      </c>
    </row>
    <row r="209" spans="1:14" x14ac:dyDescent="0.25">
      <c r="A209">
        <v>208</v>
      </c>
      <c r="B209" s="1">
        <v>43905</v>
      </c>
      <c r="C209">
        <v>4298972271</v>
      </c>
      <c r="D209" t="s">
        <v>23</v>
      </c>
      <c r="E209" t="s">
        <v>86</v>
      </c>
      <c r="F209" t="s">
        <v>82</v>
      </c>
      <c r="G209" t="s">
        <v>24</v>
      </c>
      <c r="H209" t="s">
        <v>8</v>
      </c>
      <c r="I209" t="s">
        <v>9</v>
      </c>
      <c r="J209" t="s">
        <v>38</v>
      </c>
      <c r="K209" t="s">
        <v>39</v>
      </c>
      <c r="L209" s="2">
        <v>560</v>
      </c>
      <c r="M209" s="2">
        <v>78</v>
      </c>
      <c r="N209" s="2">
        <f>normalizar!$L209*normalizar!$M209</f>
        <v>43680</v>
      </c>
    </row>
    <row r="210" spans="1:14" x14ac:dyDescent="0.25">
      <c r="A210">
        <v>209</v>
      </c>
      <c r="B210" s="1">
        <v>43899</v>
      </c>
      <c r="C210">
        <v>1419202858</v>
      </c>
      <c r="D210" t="s">
        <v>23</v>
      </c>
      <c r="E210" t="s">
        <v>86</v>
      </c>
      <c r="F210" t="s">
        <v>82</v>
      </c>
      <c r="G210" t="s">
        <v>24</v>
      </c>
      <c r="H210" t="s">
        <v>8</v>
      </c>
      <c r="I210" t="s">
        <v>9</v>
      </c>
      <c r="J210" t="s">
        <v>26</v>
      </c>
      <c r="K210" t="s">
        <v>27</v>
      </c>
      <c r="L210" s="2">
        <v>128.79999999999998</v>
      </c>
      <c r="M210" s="2">
        <v>54</v>
      </c>
      <c r="N210" s="2">
        <f>normalizar!$L210*normalizar!$M210</f>
        <v>6955.1999999999989</v>
      </c>
    </row>
    <row r="211" spans="1:14" x14ac:dyDescent="0.25">
      <c r="A211">
        <v>210</v>
      </c>
      <c r="B211" s="1">
        <v>44154</v>
      </c>
      <c r="C211">
        <v>3516608759</v>
      </c>
      <c r="D211" t="s">
        <v>62</v>
      </c>
      <c r="E211" t="s">
        <v>91</v>
      </c>
      <c r="F211" t="s">
        <v>91</v>
      </c>
      <c r="G211" t="s">
        <v>43</v>
      </c>
      <c r="H211" t="s">
        <v>16</v>
      </c>
      <c r="I211" t="s">
        <v>33</v>
      </c>
      <c r="J211" t="s">
        <v>67</v>
      </c>
      <c r="K211" t="s">
        <v>27</v>
      </c>
      <c r="L211" s="2">
        <v>140</v>
      </c>
      <c r="M211" s="2">
        <v>55</v>
      </c>
      <c r="N211" s="2">
        <f>normalizar!$L211*normalizar!$M211</f>
        <v>7700</v>
      </c>
    </row>
    <row r="212" spans="1:14" x14ac:dyDescent="0.25">
      <c r="A212">
        <v>211</v>
      </c>
      <c r="B212" s="1">
        <v>44076</v>
      </c>
      <c r="C212">
        <v>8191358442</v>
      </c>
      <c r="D212" t="s">
        <v>63</v>
      </c>
      <c r="E212" t="s">
        <v>85</v>
      </c>
      <c r="F212" t="s">
        <v>83</v>
      </c>
      <c r="G212" t="s">
        <v>41</v>
      </c>
      <c r="H212" t="s">
        <v>25</v>
      </c>
      <c r="I212" t="s">
        <v>17</v>
      </c>
      <c r="J212" t="s">
        <v>68</v>
      </c>
      <c r="K212" t="s">
        <v>69</v>
      </c>
      <c r="L212" s="2">
        <v>298.90000000000003</v>
      </c>
      <c r="M212" s="2">
        <v>60</v>
      </c>
      <c r="N212" s="2">
        <f>normalizar!$L212*normalizar!$M212</f>
        <v>17934.000000000004</v>
      </c>
    </row>
    <row r="213" spans="1:14" x14ac:dyDescent="0.25">
      <c r="A213">
        <v>212</v>
      </c>
      <c r="B213" s="1">
        <v>43851</v>
      </c>
      <c r="C213">
        <v>8451227157</v>
      </c>
      <c r="D213" t="s">
        <v>63</v>
      </c>
      <c r="E213" t="s">
        <v>85</v>
      </c>
      <c r="F213" t="s">
        <v>83</v>
      </c>
      <c r="G213" t="s">
        <v>41</v>
      </c>
      <c r="H213" t="s">
        <v>25</v>
      </c>
      <c r="I213" t="s">
        <v>17</v>
      </c>
      <c r="J213" t="s">
        <v>34</v>
      </c>
      <c r="K213" t="s">
        <v>35</v>
      </c>
      <c r="L213" s="2">
        <v>135.1</v>
      </c>
      <c r="M213" s="2">
        <v>19</v>
      </c>
      <c r="N213" s="2">
        <f>normalizar!$L213*normalizar!$M213</f>
        <v>2566.9</v>
      </c>
    </row>
    <row r="214" spans="1:14" x14ac:dyDescent="0.25">
      <c r="A214">
        <v>213</v>
      </c>
      <c r="B214" s="1">
        <v>43878</v>
      </c>
      <c r="C214">
        <v>9847155245</v>
      </c>
      <c r="D214" t="s">
        <v>63</v>
      </c>
      <c r="E214" t="s">
        <v>85</v>
      </c>
      <c r="F214" t="s">
        <v>83</v>
      </c>
      <c r="G214" t="s">
        <v>41</v>
      </c>
      <c r="H214" t="s">
        <v>25</v>
      </c>
      <c r="I214" t="s">
        <v>17</v>
      </c>
      <c r="J214" t="s">
        <v>52</v>
      </c>
      <c r="K214" t="s">
        <v>53</v>
      </c>
      <c r="L214" s="2">
        <v>257.59999999999997</v>
      </c>
      <c r="M214" s="2">
        <v>66</v>
      </c>
      <c r="N214" s="2">
        <f>normalizar!$L214*normalizar!$M214</f>
        <v>17001.599999999999</v>
      </c>
    </row>
    <row r="215" spans="1:14" x14ac:dyDescent="0.25">
      <c r="A215">
        <v>214</v>
      </c>
      <c r="B215" s="1">
        <v>43886</v>
      </c>
      <c r="C215">
        <v>5189485028</v>
      </c>
      <c r="D215" t="s">
        <v>28</v>
      </c>
      <c r="E215" t="s">
        <v>89</v>
      </c>
      <c r="F215" t="s">
        <v>84</v>
      </c>
      <c r="G215" t="s">
        <v>29</v>
      </c>
      <c r="H215" t="s">
        <v>8</v>
      </c>
      <c r="I215" t="s">
        <v>9</v>
      </c>
      <c r="J215" t="s">
        <v>10</v>
      </c>
      <c r="K215" t="s">
        <v>11</v>
      </c>
      <c r="L215" s="2">
        <v>196</v>
      </c>
      <c r="M215" s="2">
        <v>42</v>
      </c>
      <c r="N215" s="2">
        <f>normalizar!$L215*normalizar!$M215</f>
        <v>8232</v>
      </c>
    </row>
    <row r="216" spans="1:14" x14ac:dyDescent="0.25">
      <c r="A216">
        <v>215</v>
      </c>
      <c r="B216" s="1">
        <v>44037</v>
      </c>
      <c r="C216">
        <v>2367569858</v>
      </c>
      <c r="D216" t="s">
        <v>36</v>
      </c>
      <c r="E216" t="s">
        <v>92</v>
      </c>
      <c r="F216" t="s">
        <v>99</v>
      </c>
      <c r="G216" t="s">
        <v>37</v>
      </c>
      <c r="H216" t="s">
        <v>25</v>
      </c>
      <c r="I216" t="s">
        <v>9</v>
      </c>
      <c r="J216" t="s">
        <v>30</v>
      </c>
      <c r="K216" t="s">
        <v>31</v>
      </c>
      <c r="L216" s="2">
        <v>178.5</v>
      </c>
      <c r="M216" s="2">
        <v>72</v>
      </c>
      <c r="N216" s="2">
        <f>normalizar!$L216*normalizar!$M216</f>
        <v>12852</v>
      </c>
    </row>
    <row r="217" spans="1:14" x14ac:dyDescent="0.25">
      <c r="A217">
        <v>216</v>
      </c>
      <c r="B217" s="1">
        <v>44036</v>
      </c>
      <c r="C217">
        <v>1241520334</v>
      </c>
      <c r="D217" t="s">
        <v>14</v>
      </c>
      <c r="E217" t="s">
        <v>81</v>
      </c>
      <c r="F217" t="s">
        <v>94</v>
      </c>
      <c r="G217" t="s">
        <v>15</v>
      </c>
      <c r="H217" t="s">
        <v>16</v>
      </c>
      <c r="I217" t="s">
        <v>17</v>
      </c>
      <c r="J217" t="s">
        <v>70</v>
      </c>
      <c r="K217" t="s">
        <v>47</v>
      </c>
      <c r="L217" s="2">
        <v>1134</v>
      </c>
      <c r="M217" s="2">
        <v>32</v>
      </c>
      <c r="N217" s="2">
        <f>normalizar!$L217*normalizar!$M217</f>
        <v>36288</v>
      </c>
    </row>
    <row r="218" spans="1:14" x14ac:dyDescent="0.25">
      <c r="A218">
        <v>217</v>
      </c>
      <c r="B218" s="1">
        <v>43895</v>
      </c>
      <c r="C218">
        <v>6999895697</v>
      </c>
      <c r="D218" t="s">
        <v>14</v>
      </c>
      <c r="E218" t="s">
        <v>81</v>
      </c>
      <c r="F218" t="s">
        <v>94</v>
      </c>
      <c r="G218" t="s">
        <v>15</v>
      </c>
      <c r="H218" t="s">
        <v>16</v>
      </c>
      <c r="I218" t="s">
        <v>17</v>
      </c>
      <c r="J218" t="s">
        <v>71</v>
      </c>
      <c r="K218" t="s">
        <v>72</v>
      </c>
      <c r="L218" s="2">
        <v>98</v>
      </c>
      <c r="M218" s="2">
        <v>76</v>
      </c>
      <c r="N218" s="2">
        <f>normalizar!$L218*normalizar!$M218</f>
        <v>7448</v>
      </c>
    </row>
    <row r="219" spans="1:14" x14ac:dyDescent="0.25">
      <c r="A219">
        <v>218</v>
      </c>
      <c r="B219" s="1">
        <v>44026</v>
      </c>
      <c r="C219">
        <v>2931440223</v>
      </c>
      <c r="D219" t="s">
        <v>42</v>
      </c>
      <c r="E219" t="s">
        <v>91</v>
      </c>
      <c r="F219" t="s">
        <v>91</v>
      </c>
      <c r="G219" t="s">
        <v>43</v>
      </c>
      <c r="H219" t="s">
        <v>16</v>
      </c>
      <c r="I219" t="s">
        <v>127</v>
      </c>
      <c r="J219" t="s">
        <v>26</v>
      </c>
      <c r="K219" t="s">
        <v>27</v>
      </c>
      <c r="L219" s="2">
        <v>128.79999999999998</v>
      </c>
      <c r="M219" s="2">
        <v>83</v>
      </c>
      <c r="N219" s="2">
        <f>normalizar!$L219*normalizar!$M219</f>
        <v>10690.399999999998</v>
      </c>
    </row>
    <row r="220" spans="1:14" x14ac:dyDescent="0.25">
      <c r="A220">
        <v>219</v>
      </c>
      <c r="B220" s="1">
        <v>43965</v>
      </c>
      <c r="C220">
        <v>6045555436</v>
      </c>
      <c r="D220" t="s">
        <v>50</v>
      </c>
      <c r="E220" t="s">
        <v>85</v>
      </c>
      <c r="F220" t="s">
        <v>83</v>
      </c>
      <c r="G220" t="s">
        <v>41</v>
      </c>
      <c r="H220" t="s">
        <v>25</v>
      </c>
      <c r="I220" t="s">
        <v>127</v>
      </c>
      <c r="J220" t="s">
        <v>12</v>
      </c>
      <c r="K220" t="s">
        <v>13</v>
      </c>
      <c r="L220" s="2">
        <v>49</v>
      </c>
      <c r="M220" s="2">
        <v>91</v>
      </c>
      <c r="N220" s="2">
        <f>normalizar!$L220*normalizar!$M220</f>
        <v>4459</v>
      </c>
    </row>
    <row r="221" spans="1:14" x14ac:dyDescent="0.25">
      <c r="A221">
        <v>220</v>
      </c>
      <c r="B221" s="1">
        <v>44117</v>
      </c>
      <c r="C221">
        <v>4985084204</v>
      </c>
      <c r="D221" t="s">
        <v>50</v>
      </c>
      <c r="E221" t="s">
        <v>85</v>
      </c>
      <c r="F221" t="s">
        <v>83</v>
      </c>
      <c r="G221" t="s">
        <v>41</v>
      </c>
      <c r="H221" t="s">
        <v>25</v>
      </c>
      <c r="I221" t="s">
        <v>127</v>
      </c>
      <c r="J221" t="s">
        <v>44</v>
      </c>
      <c r="K221" t="s">
        <v>11</v>
      </c>
      <c r="L221" s="2">
        <v>41.86</v>
      </c>
      <c r="M221" s="2">
        <v>64</v>
      </c>
      <c r="N221" s="2">
        <f>normalizar!$L221*normalizar!$M221</f>
        <v>2679.04</v>
      </c>
    </row>
    <row r="222" spans="1:14" x14ac:dyDescent="0.25">
      <c r="A222">
        <v>221</v>
      </c>
      <c r="B222" s="1">
        <v>44019</v>
      </c>
      <c r="C222">
        <v>8950774476</v>
      </c>
      <c r="D222" t="s">
        <v>51</v>
      </c>
      <c r="E222" t="s">
        <v>90</v>
      </c>
      <c r="F222" t="s">
        <v>98</v>
      </c>
      <c r="G222" t="s">
        <v>24</v>
      </c>
      <c r="H222" t="s">
        <v>127</v>
      </c>
      <c r="I222" t="s">
        <v>127</v>
      </c>
      <c r="J222" t="s">
        <v>21</v>
      </c>
      <c r="K222" t="s">
        <v>11</v>
      </c>
      <c r="L222" s="2">
        <v>252</v>
      </c>
      <c r="M222" s="2">
        <v>58</v>
      </c>
      <c r="N222" s="2">
        <f>normalizar!$L222*normalizar!$M222</f>
        <v>14616</v>
      </c>
    </row>
    <row r="223" spans="1:14" x14ac:dyDescent="0.25">
      <c r="A223">
        <v>222</v>
      </c>
      <c r="B223" s="1">
        <v>43977</v>
      </c>
      <c r="C223">
        <v>4091794218</v>
      </c>
      <c r="D223" t="s">
        <v>51</v>
      </c>
      <c r="E223" t="s">
        <v>90</v>
      </c>
      <c r="F223" t="s">
        <v>98</v>
      </c>
      <c r="G223" t="s">
        <v>24</v>
      </c>
      <c r="H223" t="s">
        <v>127</v>
      </c>
      <c r="I223" t="s">
        <v>127</v>
      </c>
      <c r="J223" t="s">
        <v>22</v>
      </c>
      <c r="K223" t="s">
        <v>11</v>
      </c>
      <c r="L223" s="2">
        <v>644</v>
      </c>
      <c r="M223" s="2">
        <v>97</v>
      </c>
      <c r="N223" s="2">
        <f>normalizar!$L223*normalizar!$M223</f>
        <v>62468</v>
      </c>
    </row>
    <row r="224" spans="1:14" x14ac:dyDescent="0.25">
      <c r="A224">
        <v>223</v>
      </c>
      <c r="B224" s="1">
        <v>44043</v>
      </c>
      <c r="C224">
        <v>2789876793</v>
      </c>
      <c r="D224" t="s">
        <v>51</v>
      </c>
      <c r="E224" t="s">
        <v>90</v>
      </c>
      <c r="F224" t="s">
        <v>98</v>
      </c>
      <c r="G224" t="s">
        <v>24</v>
      </c>
      <c r="H224" t="s">
        <v>127</v>
      </c>
      <c r="I224" t="s">
        <v>127</v>
      </c>
      <c r="J224" t="s">
        <v>44</v>
      </c>
      <c r="K224" t="s">
        <v>11</v>
      </c>
      <c r="L224" s="2">
        <v>41.86</v>
      </c>
      <c r="M224" s="2">
        <v>14</v>
      </c>
      <c r="N224" s="2">
        <f>normalizar!$L224*normalizar!$M224</f>
        <v>586.04</v>
      </c>
    </row>
    <row r="225" spans="1:14" x14ac:dyDescent="0.25">
      <c r="A225">
        <v>224</v>
      </c>
      <c r="B225" s="1">
        <v>43940</v>
      </c>
      <c r="C225">
        <v>4338385582</v>
      </c>
      <c r="D225" t="s">
        <v>40</v>
      </c>
      <c r="E225" t="s">
        <v>97</v>
      </c>
      <c r="F225" t="s">
        <v>88</v>
      </c>
      <c r="G225" t="s">
        <v>41</v>
      </c>
      <c r="H225" t="s">
        <v>25</v>
      </c>
      <c r="I225" t="s">
        <v>17</v>
      </c>
      <c r="J225" t="s">
        <v>34</v>
      </c>
      <c r="K225" t="s">
        <v>35</v>
      </c>
      <c r="L225" s="2">
        <v>135.1</v>
      </c>
      <c r="M225" s="2">
        <v>68</v>
      </c>
      <c r="N225" s="2">
        <f>normalizar!$L225*normalizar!$M225</f>
        <v>9186.7999999999993</v>
      </c>
    </row>
    <row r="226" spans="1:14" x14ac:dyDescent="0.25">
      <c r="A226">
        <v>225</v>
      </c>
      <c r="B226" s="1">
        <v>44008</v>
      </c>
      <c r="C226">
        <v>9159410824</v>
      </c>
      <c r="D226" t="s">
        <v>40</v>
      </c>
      <c r="E226" t="s">
        <v>97</v>
      </c>
      <c r="F226" t="s">
        <v>88</v>
      </c>
      <c r="G226" t="s">
        <v>41</v>
      </c>
      <c r="H226" t="s">
        <v>25</v>
      </c>
      <c r="I226" t="s">
        <v>17</v>
      </c>
      <c r="J226" t="s">
        <v>52</v>
      </c>
      <c r="K226" t="s">
        <v>53</v>
      </c>
      <c r="L226" s="2">
        <v>257.59999999999997</v>
      </c>
      <c r="M226" s="2">
        <v>32</v>
      </c>
      <c r="N226" s="2">
        <f>normalizar!$L226*normalizar!$M226</f>
        <v>8243.1999999999989</v>
      </c>
    </row>
    <row r="227" spans="1:14" x14ac:dyDescent="0.25">
      <c r="A227">
        <v>226</v>
      </c>
      <c r="B227" s="1">
        <v>44168</v>
      </c>
      <c r="C227">
        <v>6562657766</v>
      </c>
      <c r="D227" t="s">
        <v>54</v>
      </c>
      <c r="E227" t="s">
        <v>89</v>
      </c>
      <c r="F227" t="s">
        <v>84</v>
      </c>
      <c r="G227" t="s">
        <v>55</v>
      </c>
      <c r="H227" t="s">
        <v>16</v>
      </c>
      <c r="I227" t="s">
        <v>9</v>
      </c>
      <c r="J227" t="s">
        <v>56</v>
      </c>
      <c r="K227" t="s">
        <v>57</v>
      </c>
      <c r="L227" s="2">
        <v>273</v>
      </c>
      <c r="M227" s="2">
        <v>48</v>
      </c>
      <c r="N227" s="2">
        <f>normalizar!$L227*normalizar!$M227</f>
        <v>13104</v>
      </c>
    </row>
    <row r="228" spans="1:14" x14ac:dyDescent="0.25">
      <c r="A228">
        <v>227</v>
      </c>
      <c r="B228" s="1">
        <v>44177</v>
      </c>
      <c r="C228">
        <v>4160634865</v>
      </c>
      <c r="D228" t="s">
        <v>54</v>
      </c>
      <c r="E228" t="s">
        <v>89</v>
      </c>
      <c r="F228" t="s">
        <v>84</v>
      </c>
      <c r="G228" t="s">
        <v>55</v>
      </c>
      <c r="H228" t="s">
        <v>16</v>
      </c>
      <c r="I228" t="s">
        <v>9</v>
      </c>
      <c r="J228" t="s">
        <v>58</v>
      </c>
      <c r="K228" t="s">
        <v>59</v>
      </c>
      <c r="L228" s="2">
        <v>487.19999999999993</v>
      </c>
      <c r="M228" s="2">
        <v>57</v>
      </c>
      <c r="N228" s="2">
        <f>normalizar!$L228*normalizar!$M228</f>
        <v>27770.399999999998</v>
      </c>
    </row>
    <row r="229" spans="1:14" x14ac:dyDescent="0.25">
      <c r="A229">
        <v>228</v>
      </c>
      <c r="B229" s="1">
        <v>43864</v>
      </c>
      <c r="C229">
        <v>142416687</v>
      </c>
      <c r="D229" t="s">
        <v>36</v>
      </c>
      <c r="E229" t="s">
        <v>92</v>
      </c>
      <c r="F229" t="s">
        <v>99</v>
      </c>
      <c r="G229" t="s">
        <v>37</v>
      </c>
      <c r="H229" t="s">
        <v>8</v>
      </c>
      <c r="I229" t="s">
        <v>17</v>
      </c>
      <c r="J229" t="s">
        <v>10</v>
      </c>
      <c r="K229" t="s">
        <v>11</v>
      </c>
      <c r="L229" s="2">
        <v>196</v>
      </c>
      <c r="M229" s="2">
        <v>67</v>
      </c>
      <c r="N229" s="2">
        <f>normalizar!$L229*normalizar!$M229</f>
        <v>13132</v>
      </c>
    </row>
    <row r="230" spans="1:14" x14ac:dyDescent="0.25">
      <c r="A230">
        <v>229</v>
      </c>
      <c r="B230" s="1">
        <v>43887</v>
      </c>
      <c r="C230">
        <v>6114991349</v>
      </c>
      <c r="D230" t="s">
        <v>23</v>
      </c>
      <c r="E230" t="s">
        <v>86</v>
      </c>
      <c r="F230" t="s">
        <v>82</v>
      </c>
      <c r="G230" t="s">
        <v>24</v>
      </c>
      <c r="H230" t="s">
        <v>8</v>
      </c>
      <c r="I230" t="s">
        <v>9</v>
      </c>
      <c r="J230" t="s">
        <v>38</v>
      </c>
      <c r="K230" t="s">
        <v>39</v>
      </c>
      <c r="L230" s="2">
        <v>560</v>
      </c>
      <c r="M230" s="2">
        <v>48</v>
      </c>
      <c r="N230" s="2">
        <f>normalizar!$L230*normalizar!$M230</f>
        <v>26880</v>
      </c>
    </row>
    <row r="231" spans="1:14" x14ac:dyDescent="0.25">
      <c r="A231">
        <v>230</v>
      </c>
      <c r="B231" s="1">
        <v>43925</v>
      </c>
      <c r="C231">
        <v>6472352060</v>
      </c>
      <c r="D231" t="s">
        <v>23</v>
      </c>
      <c r="E231" t="s">
        <v>86</v>
      </c>
      <c r="F231" t="s">
        <v>82</v>
      </c>
      <c r="G231" t="s">
        <v>24</v>
      </c>
      <c r="H231" t="s">
        <v>8</v>
      </c>
      <c r="I231" t="s">
        <v>9</v>
      </c>
      <c r="J231" t="s">
        <v>26</v>
      </c>
      <c r="K231" t="s">
        <v>27</v>
      </c>
      <c r="L231" s="2">
        <v>128.79999999999998</v>
      </c>
      <c r="M231" s="2">
        <v>77</v>
      </c>
      <c r="N231" s="2">
        <f>normalizar!$L231*normalizar!$M231</f>
        <v>9917.5999999999985</v>
      </c>
    </row>
    <row r="232" spans="1:14" x14ac:dyDescent="0.25">
      <c r="A232">
        <v>231</v>
      </c>
      <c r="B232" s="1">
        <v>43942</v>
      </c>
      <c r="C232">
        <v>5399077795</v>
      </c>
      <c r="D232" t="s">
        <v>62</v>
      </c>
      <c r="E232" t="s">
        <v>91</v>
      </c>
      <c r="F232" t="s">
        <v>91</v>
      </c>
      <c r="G232" t="s">
        <v>43</v>
      </c>
      <c r="H232" t="s">
        <v>16</v>
      </c>
      <c r="I232" t="s">
        <v>33</v>
      </c>
      <c r="J232" t="s">
        <v>67</v>
      </c>
      <c r="K232" t="s">
        <v>27</v>
      </c>
      <c r="L232" s="2">
        <v>140</v>
      </c>
      <c r="M232" s="2">
        <v>94</v>
      </c>
      <c r="N232" s="2">
        <f>normalizar!$L232*normalizar!$M232</f>
        <v>13160</v>
      </c>
    </row>
    <row r="233" spans="1:14" x14ac:dyDescent="0.25">
      <c r="A233">
        <v>232</v>
      </c>
      <c r="B233" s="1">
        <v>44079</v>
      </c>
      <c r="C233">
        <v>6275645168</v>
      </c>
      <c r="D233" t="s">
        <v>63</v>
      </c>
      <c r="E233" t="s">
        <v>85</v>
      </c>
      <c r="F233" t="s">
        <v>83</v>
      </c>
      <c r="G233" t="s">
        <v>41</v>
      </c>
      <c r="H233" t="s">
        <v>25</v>
      </c>
      <c r="I233" t="s">
        <v>17</v>
      </c>
      <c r="J233" t="s">
        <v>68</v>
      </c>
      <c r="K233" t="s">
        <v>69</v>
      </c>
      <c r="L233" s="2">
        <v>298.90000000000003</v>
      </c>
      <c r="M233" s="2">
        <v>54</v>
      </c>
      <c r="N233" s="2">
        <f>normalizar!$L233*normalizar!$M233</f>
        <v>16140.600000000002</v>
      </c>
    </row>
    <row r="234" spans="1:14" x14ac:dyDescent="0.25">
      <c r="A234">
        <v>233</v>
      </c>
      <c r="B234" s="1">
        <v>43882</v>
      </c>
      <c r="C234">
        <v>597069969</v>
      </c>
      <c r="D234" t="s">
        <v>63</v>
      </c>
      <c r="E234" t="s">
        <v>85</v>
      </c>
      <c r="F234" t="s">
        <v>83</v>
      </c>
      <c r="G234" t="s">
        <v>41</v>
      </c>
      <c r="H234" t="s">
        <v>25</v>
      </c>
      <c r="I234" t="s">
        <v>17</v>
      </c>
      <c r="J234" t="s">
        <v>34</v>
      </c>
      <c r="K234" t="s">
        <v>35</v>
      </c>
      <c r="L234" s="2">
        <v>135.1</v>
      </c>
      <c r="M234" s="2">
        <v>43</v>
      </c>
      <c r="N234" s="2">
        <f>normalizar!$L234*normalizar!$M234</f>
        <v>5809.3</v>
      </c>
    </row>
    <row r="235" spans="1:14" x14ac:dyDescent="0.25">
      <c r="A235">
        <v>234</v>
      </c>
      <c r="B235" s="1">
        <v>44174</v>
      </c>
      <c r="C235">
        <v>1323169656</v>
      </c>
      <c r="D235" t="s">
        <v>63</v>
      </c>
      <c r="E235" t="s">
        <v>85</v>
      </c>
      <c r="F235" t="s">
        <v>83</v>
      </c>
      <c r="G235" t="s">
        <v>41</v>
      </c>
      <c r="H235" t="s">
        <v>25</v>
      </c>
      <c r="I235" t="s">
        <v>17</v>
      </c>
      <c r="J235" t="s">
        <v>52</v>
      </c>
      <c r="K235" t="s">
        <v>53</v>
      </c>
      <c r="L235" s="2">
        <v>257.59999999999997</v>
      </c>
      <c r="M235" s="2">
        <v>71</v>
      </c>
      <c r="N235" s="2">
        <f>normalizar!$L235*normalizar!$M235</f>
        <v>18289.599999999999</v>
      </c>
    </row>
    <row r="236" spans="1:14" x14ac:dyDescent="0.25">
      <c r="A236">
        <v>235</v>
      </c>
      <c r="B236" s="1">
        <v>44142</v>
      </c>
      <c r="C236">
        <v>2932971142</v>
      </c>
      <c r="D236" t="s">
        <v>28</v>
      </c>
      <c r="E236" t="s">
        <v>89</v>
      </c>
      <c r="F236" t="s">
        <v>84</v>
      </c>
      <c r="G236" t="s">
        <v>29</v>
      </c>
      <c r="H236" t="s">
        <v>8</v>
      </c>
      <c r="I236" t="s">
        <v>9</v>
      </c>
      <c r="J236" t="s">
        <v>10</v>
      </c>
      <c r="K236" t="s">
        <v>11</v>
      </c>
      <c r="L236" s="2">
        <v>196</v>
      </c>
      <c r="M236" s="2">
        <v>50</v>
      </c>
      <c r="N236" s="2">
        <f>normalizar!$L236*normalizar!$M236</f>
        <v>9800</v>
      </c>
    </row>
    <row r="237" spans="1:14" x14ac:dyDescent="0.25">
      <c r="A237">
        <v>236</v>
      </c>
      <c r="B237" s="1">
        <v>44152</v>
      </c>
      <c r="C237">
        <v>3634141900</v>
      </c>
      <c r="D237" t="s">
        <v>36</v>
      </c>
      <c r="E237" t="s">
        <v>92</v>
      </c>
      <c r="F237" t="s">
        <v>99</v>
      </c>
      <c r="G237" t="s">
        <v>37</v>
      </c>
      <c r="H237" t="s">
        <v>25</v>
      </c>
      <c r="I237" t="s">
        <v>9</v>
      </c>
      <c r="J237" t="s">
        <v>30</v>
      </c>
      <c r="K237" t="s">
        <v>31</v>
      </c>
      <c r="L237" s="2">
        <v>178.5</v>
      </c>
      <c r="M237" s="2">
        <v>96</v>
      </c>
      <c r="N237" s="2">
        <f>normalizar!$L237*normalizar!$M237</f>
        <v>17136</v>
      </c>
    </row>
    <row r="238" spans="1:14" x14ac:dyDescent="0.25">
      <c r="A238">
        <v>237</v>
      </c>
      <c r="B238" s="1">
        <v>43926</v>
      </c>
      <c r="C238">
        <v>8872627168</v>
      </c>
      <c r="D238" t="s">
        <v>14</v>
      </c>
      <c r="E238" t="s">
        <v>81</v>
      </c>
      <c r="F238" t="s">
        <v>94</v>
      </c>
      <c r="G238" t="s">
        <v>15</v>
      </c>
      <c r="H238" t="s">
        <v>16</v>
      </c>
      <c r="I238" t="s">
        <v>17</v>
      </c>
      <c r="J238" t="s">
        <v>70</v>
      </c>
      <c r="K238" t="s">
        <v>47</v>
      </c>
      <c r="L238" s="2">
        <v>1134</v>
      </c>
      <c r="M238" s="2">
        <v>54</v>
      </c>
      <c r="N238" s="2">
        <f>normalizar!$L238*normalizar!$M238</f>
        <v>61236</v>
      </c>
    </row>
    <row r="239" spans="1:14" x14ac:dyDescent="0.25">
      <c r="A239">
        <v>238</v>
      </c>
      <c r="B239" s="1">
        <v>43849</v>
      </c>
      <c r="C239">
        <v>5571010485</v>
      </c>
      <c r="D239" t="s">
        <v>14</v>
      </c>
      <c r="E239" t="s">
        <v>81</v>
      </c>
      <c r="F239" t="s">
        <v>94</v>
      </c>
      <c r="G239" t="s">
        <v>15</v>
      </c>
      <c r="H239" t="s">
        <v>16</v>
      </c>
      <c r="I239" t="s">
        <v>17</v>
      </c>
      <c r="J239" t="s">
        <v>71</v>
      </c>
      <c r="K239" t="s">
        <v>72</v>
      </c>
      <c r="L239" s="2">
        <v>98</v>
      </c>
      <c r="M239" s="2">
        <v>39</v>
      </c>
      <c r="N239" s="2">
        <f>normalizar!$L239*normalizar!$M239</f>
        <v>3822</v>
      </c>
    </row>
    <row r="240" spans="1:14" x14ac:dyDescent="0.25">
      <c r="A240">
        <v>239</v>
      </c>
      <c r="B240" s="1">
        <v>43976</v>
      </c>
      <c r="C240">
        <v>7703467924</v>
      </c>
      <c r="D240" t="s">
        <v>23</v>
      </c>
      <c r="E240" t="s">
        <v>86</v>
      </c>
      <c r="F240" t="s">
        <v>82</v>
      </c>
      <c r="G240" t="s">
        <v>24</v>
      </c>
      <c r="H240" t="s">
        <v>25</v>
      </c>
      <c r="I240" t="s">
        <v>17</v>
      </c>
      <c r="J240" t="s">
        <v>58</v>
      </c>
      <c r="K240" t="s">
        <v>59</v>
      </c>
      <c r="L240" s="2">
        <v>487.19999999999993</v>
      </c>
      <c r="M240" s="2">
        <v>63</v>
      </c>
      <c r="N240" s="2">
        <f>normalizar!$L240*normalizar!$M240</f>
        <v>30693.599999999995</v>
      </c>
    </row>
    <row r="241" spans="1:14" x14ac:dyDescent="0.25">
      <c r="A241">
        <v>240</v>
      </c>
      <c r="B241" s="1">
        <v>43844</v>
      </c>
      <c r="C241">
        <v>7747820326</v>
      </c>
      <c r="D241" t="s">
        <v>32</v>
      </c>
      <c r="E241" t="s">
        <v>93</v>
      </c>
      <c r="F241" t="s">
        <v>96</v>
      </c>
      <c r="G241" t="s">
        <v>7</v>
      </c>
      <c r="H241" t="s">
        <v>8</v>
      </c>
      <c r="I241" t="s">
        <v>33</v>
      </c>
      <c r="J241" t="s">
        <v>60</v>
      </c>
      <c r="K241" t="s">
        <v>49</v>
      </c>
      <c r="L241" s="2">
        <v>140</v>
      </c>
      <c r="M241" s="2">
        <v>71</v>
      </c>
      <c r="N241" s="2">
        <f>normalizar!$L241*normalizar!$M241</f>
        <v>9940</v>
      </c>
    </row>
    <row r="242" spans="1:14" x14ac:dyDescent="0.25">
      <c r="A242">
        <v>241</v>
      </c>
      <c r="B242" s="1">
        <v>43858</v>
      </c>
      <c r="C242">
        <v>5769101754</v>
      </c>
      <c r="D242" t="s">
        <v>32</v>
      </c>
      <c r="E242" t="s">
        <v>93</v>
      </c>
      <c r="F242" t="s">
        <v>96</v>
      </c>
      <c r="G242" t="s">
        <v>7</v>
      </c>
      <c r="H242" t="s">
        <v>8</v>
      </c>
      <c r="I242" t="s">
        <v>33</v>
      </c>
      <c r="J242" t="s">
        <v>38</v>
      </c>
      <c r="K242" t="s">
        <v>39</v>
      </c>
      <c r="L242" s="2">
        <v>560</v>
      </c>
      <c r="M242" s="2">
        <v>88</v>
      </c>
      <c r="N242" s="2">
        <f>normalizar!$L242*normalizar!$M242</f>
        <v>49280</v>
      </c>
    </row>
    <row r="243" spans="1:14" x14ac:dyDescent="0.25">
      <c r="A243">
        <v>242</v>
      </c>
      <c r="B243" s="1">
        <v>43891</v>
      </c>
      <c r="C243">
        <v>7427615835</v>
      </c>
      <c r="D243" t="s">
        <v>42</v>
      </c>
      <c r="E243" t="s">
        <v>91</v>
      </c>
      <c r="F243" t="s">
        <v>91</v>
      </c>
      <c r="G243" t="s">
        <v>43</v>
      </c>
      <c r="H243" t="s">
        <v>8</v>
      </c>
      <c r="I243" t="s">
        <v>17</v>
      </c>
      <c r="J243" t="s">
        <v>61</v>
      </c>
      <c r="K243" t="s">
        <v>13</v>
      </c>
      <c r="L243" s="2">
        <v>140</v>
      </c>
      <c r="M243" s="2">
        <v>59</v>
      </c>
      <c r="N243" s="2">
        <f>normalizar!$L243*normalizar!$M243</f>
        <v>8260</v>
      </c>
    </row>
    <row r="244" spans="1:14" x14ac:dyDescent="0.25">
      <c r="A244">
        <v>243</v>
      </c>
      <c r="B244" s="1">
        <v>43984</v>
      </c>
      <c r="C244">
        <v>242336558</v>
      </c>
      <c r="D244" t="s">
        <v>36</v>
      </c>
      <c r="E244" t="s">
        <v>92</v>
      </c>
      <c r="F244" t="s">
        <v>99</v>
      </c>
      <c r="G244" t="s">
        <v>37</v>
      </c>
      <c r="H244" t="s">
        <v>8</v>
      </c>
      <c r="I244" t="s">
        <v>17</v>
      </c>
      <c r="J244" t="s">
        <v>38</v>
      </c>
      <c r="K244" t="s">
        <v>39</v>
      </c>
      <c r="L244" s="2">
        <v>560</v>
      </c>
      <c r="M244" s="2">
        <v>94</v>
      </c>
      <c r="N244" s="2">
        <f>normalizar!$L244*normalizar!$M244</f>
        <v>52640</v>
      </c>
    </row>
    <row r="245" spans="1:14" x14ac:dyDescent="0.25">
      <c r="A245">
        <v>244</v>
      </c>
      <c r="B245" s="1">
        <v>44098</v>
      </c>
      <c r="C245">
        <v>2520819737</v>
      </c>
      <c r="D245" t="s">
        <v>40</v>
      </c>
      <c r="E245" t="s">
        <v>97</v>
      </c>
      <c r="F245" t="s">
        <v>88</v>
      </c>
      <c r="G245" t="s">
        <v>41</v>
      </c>
      <c r="H245" t="s">
        <v>25</v>
      </c>
      <c r="I245" t="s">
        <v>9</v>
      </c>
      <c r="J245" t="s">
        <v>22</v>
      </c>
      <c r="K245" t="s">
        <v>11</v>
      </c>
      <c r="L245" s="2">
        <v>644</v>
      </c>
      <c r="M245" s="2">
        <v>86</v>
      </c>
      <c r="N245" s="2">
        <f>normalizar!$L245*normalizar!$M245</f>
        <v>55384</v>
      </c>
    </row>
    <row r="246" spans="1:14" x14ac:dyDescent="0.25">
      <c r="A246">
        <v>245</v>
      </c>
      <c r="B246" s="1">
        <v>43988</v>
      </c>
      <c r="C246">
        <v>8828389188</v>
      </c>
      <c r="D246" t="s">
        <v>23</v>
      </c>
      <c r="E246" t="s">
        <v>86</v>
      </c>
      <c r="F246" t="s">
        <v>82</v>
      </c>
      <c r="G246" t="s">
        <v>24</v>
      </c>
      <c r="H246" t="s">
        <v>25</v>
      </c>
      <c r="I246" t="s">
        <v>9</v>
      </c>
      <c r="J246" t="s">
        <v>30</v>
      </c>
      <c r="K246" t="s">
        <v>31</v>
      </c>
      <c r="L246" s="2">
        <v>178.5</v>
      </c>
      <c r="M246" s="2">
        <v>61</v>
      </c>
      <c r="N246" s="2">
        <f>normalizar!$L246*normalizar!$M246</f>
        <v>10888.5</v>
      </c>
    </row>
    <row r="247" spans="1:14" x14ac:dyDescent="0.25">
      <c r="A247">
        <v>246</v>
      </c>
      <c r="B247" s="1">
        <v>44095</v>
      </c>
      <c r="C247">
        <v>164422904</v>
      </c>
      <c r="D247" t="s">
        <v>42</v>
      </c>
      <c r="E247" t="s">
        <v>91</v>
      </c>
      <c r="F247" t="s">
        <v>91</v>
      </c>
      <c r="G247" t="s">
        <v>43</v>
      </c>
      <c r="H247" t="s">
        <v>8</v>
      </c>
      <c r="I247" t="s">
        <v>17</v>
      </c>
      <c r="J247" t="s">
        <v>44</v>
      </c>
      <c r="K247" t="s">
        <v>11</v>
      </c>
      <c r="L247" s="2">
        <v>41.86</v>
      </c>
      <c r="M247" s="2">
        <v>32</v>
      </c>
      <c r="N247" s="2">
        <f>normalizar!$L247*normalizar!$M247</f>
        <v>1339.52</v>
      </c>
    </row>
    <row r="248" spans="1:14" x14ac:dyDescent="0.25">
      <c r="A248">
        <v>247</v>
      </c>
      <c r="B248" s="1">
        <v>43870</v>
      </c>
      <c r="C248">
        <v>7991995786</v>
      </c>
      <c r="D248" t="s">
        <v>45</v>
      </c>
      <c r="E248" t="s">
        <v>87</v>
      </c>
      <c r="F248" t="s">
        <v>87</v>
      </c>
      <c r="G248" t="s">
        <v>24</v>
      </c>
      <c r="H248" t="s">
        <v>127</v>
      </c>
      <c r="I248" t="s">
        <v>127</v>
      </c>
      <c r="J248" t="s">
        <v>22</v>
      </c>
      <c r="K248" t="s">
        <v>11</v>
      </c>
      <c r="L248" s="2">
        <v>644</v>
      </c>
      <c r="M248" s="2">
        <v>62</v>
      </c>
      <c r="N248" s="2">
        <f>normalizar!$L248*normalizar!$M248</f>
        <v>39928</v>
      </c>
    </row>
    <row r="249" spans="1:14" x14ac:dyDescent="0.25">
      <c r="A249">
        <v>248</v>
      </c>
      <c r="B249" s="1">
        <v>44113</v>
      </c>
      <c r="C249">
        <v>4149364306</v>
      </c>
      <c r="D249" t="s">
        <v>42</v>
      </c>
      <c r="E249" t="s">
        <v>91</v>
      </c>
      <c r="F249" t="s">
        <v>91</v>
      </c>
      <c r="G249" t="s">
        <v>43</v>
      </c>
      <c r="H249" t="s">
        <v>16</v>
      </c>
      <c r="I249" t="s">
        <v>127</v>
      </c>
      <c r="J249" t="s">
        <v>46</v>
      </c>
      <c r="K249" t="s">
        <v>47</v>
      </c>
      <c r="L249" s="2">
        <v>350</v>
      </c>
      <c r="M249" s="2">
        <v>60</v>
      </c>
      <c r="N249" s="2">
        <f>normalizar!$L249*normalizar!$M249</f>
        <v>21000</v>
      </c>
    </row>
    <row r="250" spans="1:14" x14ac:dyDescent="0.25">
      <c r="A250">
        <v>249</v>
      </c>
      <c r="B250" s="1">
        <v>44191</v>
      </c>
      <c r="C250">
        <v>6397472642</v>
      </c>
      <c r="D250" t="s">
        <v>42</v>
      </c>
      <c r="E250" t="s">
        <v>91</v>
      </c>
      <c r="F250" t="s">
        <v>91</v>
      </c>
      <c r="G250" t="s">
        <v>43</v>
      </c>
      <c r="H250" t="s">
        <v>16</v>
      </c>
      <c r="I250" t="s">
        <v>127</v>
      </c>
      <c r="J250" t="s">
        <v>48</v>
      </c>
      <c r="K250" t="s">
        <v>49</v>
      </c>
      <c r="L250" s="2">
        <v>308</v>
      </c>
      <c r="M250" s="2">
        <v>51</v>
      </c>
      <c r="N250" s="2">
        <f>normalizar!$L250*normalizar!$M250</f>
        <v>15708</v>
      </c>
    </row>
    <row r="251" spans="1:14" x14ac:dyDescent="0.25">
      <c r="A251">
        <v>250</v>
      </c>
      <c r="B251" s="1">
        <v>43831</v>
      </c>
      <c r="C251">
        <v>1168651383</v>
      </c>
      <c r="D251" t="s">
        <v>42</v>
      </c>
      <c r="E251" t="s">
        <v>91</v>
      </c>
      <c r="F251" t="s">
        <v>91</v>
      </c>
      <c r="G251" t="s">
        <v>43</v>
      </c>
      <c r="H251" t="s">
        <v>16</v>
      </c>
      <c r="I251" t="s">
        <v>127</v>
      </c>
      <c r="J251" t="s">
        <v>26</v>
      </c>
      <c r="K251" t="s">
        <v>27</v>
      </c>
      <c r="L251" s="2">
        <v>128.79999999999998</v>
      </c>
      <c r="M251" s="2">
        <v>49</v>
      </c>
      <c r="N251" s="2">
        <f>normalizar!$L251*normalizar!$M251</f>
        <v>6311.1999999999989</v>
      </c>
    </row>
    <row r="252" spans="1:14" x14ac:dyDescent="0.25">
      <c r="A252">
        <v>251</v>
      </c>
      <c r="B252" s="1">
        <v>43877</v>
      </c>
      <c r="C252">
        <v>1309311215</v>
      </c>
      <c r="D252" t="s">
        <v>50</v>
      </c>
      <c r="E252" t="s">
        <v>85</v>
      </c>
      <c r="F252" t="s">
        <v>83</v>
      </c>
      <c r="G252" t="s">
        <v>41</v>
      </c>
      <c r="H252" t="s">
        <v>25</v>
      </c>
      <c r="I252" t="s">
        <v>127</v>
      </c>
      <c r="J252" t="s">
        <v>12</v>
      </c>
      <c r="K252" t="s">
        <v>13</v>
      </c>
      <c r="L252" s="2">
        <v>49</v>
      </c>
      <c r="M252" s="2">
        <v>20</v>
      </c>
      <c r="N252" s="2">
        <f>normalizar!$L252*normalizar!$M252</f>
        <v>980</v>
      </c>
    </row>
    <row r="253" spans="1:14" x14ac:dyDescent="0.25">
      <c r="A253">
        <v>252</v>
      </c>
      <c r="B253" s="1">
        <v>44000</v>
      </c>
      <c r="C253">
        <v>4552083877</v>
      </c>
      <c r="D253" t="s">
        <v>50</v>
      </c>
      <c r="E253" t="s">
        <v>85</v>
      </c>
      <c r="F253" t="s">
        <v>83</v>
      </c>
      <c r="G253" t="s">
        <v>41</v>
      </c>
      <c r="H253" t="s">
        <v>25</v>
      </c>
      <c r="I253" t="s">
        <v>127</v>
      </c>
      <c r="J253" t="s">
        <v>44</v>
      </c>
      <c r="K253" t="s">
        <v>11</v>
      </c>
      <c r="L253" s="2">
        <v>41.86</v>
      </c>
      <c r="M253" s="2">
        <v>49</v>
      </c>
      <c r="N253" s="2">
        <f>normalizar!$L253*normalizar!$M253</f>
        <v>2051.14</v>
      </c>
    </row>
    <row r="254" spans="1:14" x14ac:dyDescent="0.25">
      <c r="A254">
        <v>253</v>
      </c>
      <c r="B254" s="1">
        <v>43906</v>
      </c>
      <c r="C254">
        <v>6119453494</v>
      </c>
      <c r="D254" t="s">
        <v>51</v>
      </c>
      <c r="E254" t="s">
        <v>90</v>
      </c>
      <c r="F254" t="s">
        <v>98</v>
      </c>
      <c r="G254" t="s">
        <v>24</v>
      </c>
      <c r="H254" t="s">
        <v>127</v>
      </c>
      <c r="I254" t="s">
        <v>127</v>
      </c>
      <c r="J254" t="s">
        <v>21</v>
      </c>
      <c r="K254" t="s">
        <v>11</v>
      </c>
      <c r="L254" s="2">
        <v>252</v>
      </c>
      <c r="M254" s="2">
        <v>22</v>
      </c>
      <c r="N254" s="2">
        <f>normalizar!$L254*normalizar!$M254</f>
        <v>5544</v>
      </c>
    </row>
    <row r="255" spans="1:14" x14ac:dyDescent="0.25">
      <c r="A255">
        <v>254</v>
      </c>
      <c r="B255" s="1">
        <v>43855</v>
      </c>
      <c r="C255">
        <v>8815781249</v>
      </c>
      <c r="D255" t="s">
        <v>51</v>
      </c>
      <c r="E255" t="s">
        <v>90</v>
      </c>
      <c r="F255" t="s">
        <v>98</v>
      </c>
      <c r="G255" t="s">
        <v>24</v>
      </c>
      <c r="H255" t="s">
        <v>127</v>
      </c>
      <c r="I255" t="s">
        <v>127</v>
      </c>
      <c r="J255" t="s">
        <v>22</v>
      </c>
      <c r="K255" t="s">
        <v>11</v>
      </c>
      <c r="L255" s="2">
        <v>644</v>
      </c>
      <c r="M255" s="2">
        <v>73</v>
      </c>
      <c r="N255" s="2">
        <f>normalizar!$L255*normalizar!$M255</f>
        <v>47012</v>
      </c>
    </row>
    <row r="256" spans="1:14" x14ac:dyDescent="0.25">
      <c r="A256">
        <v>255</v>
      </c>
      <c r="B256" s="1">
        <v>43984</v>
      </c>
      <c r="C256">
        <v>5308869510</v>
      </c>
      <c r="D256" t="s">
        <v>51</v>
      </c>
      <c r="E256" t="s">
        <v>90</v>
      </c>
      <c r="F256" t="s">
        <v>98</v>
      </c>
      <c r="G256" t="s">
        <v>24</v>
      </c>
      <c r="H256" t="s">
        <v>127</v>
      </c>
      <c r="I256" t="s">
        <v>127</v>
      </c>
      <c r="J256" t="s">
        <v>44</v>
      </c>
      <c r="K256" t="s">
        <v>11</v>
      </c>
      <c r="L256" s="2">
        <v>41.86</v>
      </c>
      <c r="M256" s="2">
        <v>85</v>
      </c>
      <c r="N256" s="2">
        <f>normalizar!$L256*normalizar!$M256</f>
        <v>3558.1</v>
      </c>
    </row>
    <row r="257" spans="1:14" x14ac:dyDescent="0.25">
      <c r="A257">
        <v>256</v>
      </c>
      <c r="B257" s="1">
        <v>44143</v>
      </c>
      <c r="C257">
        <v>9623390930</v>
      </c>
      <c r="D257" t="s">
        <v>40</v>
      </c>
      <c r="E257" t="s">
        <v>97</v>
      </c>
      <c r="F257" t="s">
        <v>88</v>
      </c>
      <c r="G257" t="s">
        <v>41</v>
      </c>
      <c r="H257" t="s">
        <v>25</v>
      </c>
      <c r="I257" t="s">
        <v>17</v>
      </c>
      <c r="J257" t="s">
        <v>34</v>
      </c>
      <c r="K257" t="s">
        <v>35</v>
      </c>
      <c r="L257" s="2">
        <v>135.1</v>
      </c>
      <c r="M257" s="2">
        <v>44</v>
      </c>
      <c r="N257" s="2">
        <f>normalizar!$L257*normalizar!$M257</f>
        <v>5944.4</v>
      </c>
    </row>
    <row r="258" spans="1:14" x14ac:dyDescent="0.25">
      <c r="A258">
        <v>257</v>
      </c>
      <c r="B258" s="1">
        <v>43858</v>
      </c>
      <c r="C258">
        <v>9925453816</v>
      </c>
      <c r="D258" t="s">
        <v>40</v>
      </c>
      <c r="E258" t="s">
        <v>97</v>
      </c>
      <c r="F258" t="s">
        <v>88</v>
      </c>
      <c r="G258" t="s">
        <v>41</v>
      </c>
      <c r="H258" t="s">
        <v>25</v>
      </c>
      <c r="I258" t="s">
        <v>17</v>
      </c>
      <c r="J258" t="s">
        <v>52</v>
      </c>
      <c r="K258" t="s">
        <v>53</v>
      </c>
      <c r="L258" s="2">
        <v>257.59999999999997</v>
      </c>
      <c r="M258" s="2">
        <v>24</v>
      </c>
      <c r="N258" s="2">
        <f>normalizar!$L258*normalizar!$M258</f>
        <v>6182.4</v>
      </c>
    </row>
    <row r="259" spans="1:14" x14ac:dyDescent="0.25">
      <c r="A259">
        <v>258</v>
      </c>
      <c r="B259" s="1">
        <v>44168</v>
      </c>
      <c r="C259">
        <v>6948053333</v>
      </c>
      <c r="D259" t="s">
        <v>54</v>
      </c>
      <c r="E259" t="s">
        <v>89</v>
      </c>
      <c r="F259" t="s">
        <v>84</v>
      </c>
      <c r="G259" t="s">
        <v>55</v>
      </c>
      <c r="H259" t="s">
        <v>16</v>
      </c>
      <c r="I259" t="s">
        <v>9</v>
      </c>
      <c r="J259" t="s">
        <v>56</v>
      </c>
      <c r="K259" t="s">
        <v>57</v>
      </c>
      <c r="L259" s="2">
        <v>273</v>
      </c>
      <c r="M259" s="2">
        <v>64</v>
      </c>
      <c r="N259" s="2">
        <f>normalizar!$L259*normalizar!$M259</f>
        <v>17472</v>
      </c>
    </row>
    <row r="260" spans="1:14" x14ac:dyDescent="0.25">
      <c r="A260">
        <v>259</v>
      </c>
      <c r="B260" s="1">
        <v>44038</v>
      </c>
      <c r="C260">
        <v>2060963898</v>
      </c>
      <c r="D260" t="s">
        <v>54</v>
      </c>
      <c r="E260" t="s">
        <v>89</v>
      </c>
      <c r="F260" t="s">
        <v>84</v>
      </c>
      <c r="G260" t="s">
        <v>55</v>
      </c>
      <c r="H260" t="s">
        <v>16</v>
      </c>
      <c r="I260" t="s">
        <v>9</v>
      </c>
      <c r="J260" t="s">
        <v>58</v>
      </c>
      <c r="K260" t="s">
        <v>59</v>
      </c>
      <c r="L260" s="2">
        <v>487.19999999999993</v>
      </c>
      <c r="M260" s="2">
        <v>70</v>
      </c>
      <c r="N260" s="2">
        <f>normalizar!$L260*normalizar!$M260</f>
        <v>34103.999999999993</v>
      </c>
    </row>
    <row r="261" spans="1:14" x14ac:dyDescent="0.25">
      <c r="A261">
        <v>260</v>
      </c>
      <c r="B261" s="1">
        <v>44142</v>
      </c>
      <c r="C261">
        <v>2582781913</v>
      </c>
      <c r="D261" t="s">
        <v>36</v>
      </c>
      <c r="E261" t="s">
        <v>92</v>
      </c>
      <c r="F261" t="s">
        <v>99</v>
      </c>
      <c r="G261" t="s">
        <v>37</v>
      </c>
      <c r="H261" t="s">
        <v>8</v>
      </c>
      <c r="I261" t="s">
        <v>17</v>
      </c>
      <c r="J261" t="s">
        <v>10</v>
      </c>
      <c r="K261" t="s">
        <v>11</v>
      </c>
      <c r="L261" s="2">
        <v>196</v>
      </c>
      <c r="M261" s="2">
        <v>98</v>
      </c>
      <c r="N261" s="2">
        <f>normalizar!$L261*normalizar!$M261</f>
        <v>19208</v>
      </c>
    </row>
    <row r="262" spans="1:14" x14ac:dyDescent="0.25">
      <c r="A262">
        <v>261</v>
      </c>
      <c r="B262" s="1">
        <v>44146</v>
      </c>
      <c r="C262">
        <v>2732649952</v>
      </c>
      <c r="D262" t="s">
        <v>23</v>
      </c>
      <c r="E262" t="s">
        <v>86</v>
      </c>
      <c r="F262" t="s">
        <v>82</v>
      </c>
      <c r="G262" t="s">
        <v>24</v>
      </c>
      <c r="H262" t="s">
        <v>8</v>
      </c>
      <c r="I262" t="s">
        <v>9</v>
      </c>
      <c r="J262" t="s">
        <v>38</v>
      </c>
      <c r="K262" t="s">
        <v>39</v>
      </c>
      <c r="L262" s="2">
        <v>560</v>
      </c>
      <c r="M262" s="2">
        <v>48</v>
      </c>
      <c r="N262" s="2">
        <f>normalizar!$L262*normalizar!$M262</f>
        <v>26880</v>
      </c>
    </row>
    <row r="263" spans="1:14" x14ac:dyDescent="0.25">
      <c r="A263">
        <v>262</v>
      </c>
      <c r="B263" s="1">
        <v>43893</v>
      </c>
      <c r="C263">
        <v>4179453952</v>
      </c>
      <c r="D263" t="s">
        <v>23</v>
      </c>
      <c r="E263" t="s">
        <v>86</v>
      </c>
      <c r="F263" t="s">
        <v>82</v>
      </c>
      <c r="G263" t="s">
        <v>24</v>
      </c>
      <c r="H263" t="s">
        <v>8</v>
      </c>
      <c r="I263" t="s">
        <v>9</v>
      </c>
      <c r="J263" t="s">
        <v>26</v>
      </c>
      <c r="K263" t="s">
        <v>27</v>
      </c>
      <c r="L263" s="2">
        <v>128.79999999999998</v>
      </c>
      <c r="M263" s="2">
        <v>100</v>
      </c>
      <c r="N263" s="2">
        <f>normalizar!$L263*normalizar!$M263</f>
        <v>12879.999999999998</v>
      </c>
    </row>
    <row r="264" spans="1:14" x14ac:dyDescent="0.25">
      <c r="A264">
        <v>263</v>
      </c>
      <c r="B264" s="1">
        <v>44130</v>
      </c>
      <c r="C264">
        <v>4339665341</v>
      </c>
      <c r="D264" t="s">
        <v>62</v>
      </c>
      <c r="E264" t="s">
        <v>91</v>
      </c>
      <c r="F264" t="s">
        <v>91</v>
      </c>
      <c r="G264" t="s">
        <v>43</v>
      </c>
      <c r="H264" t="s">
        <v>16</v>
      </c>
      <c r="I264" t="s">
        <v>33</v>
      </c>
      <c r="J264" t="s">
        <v>67</v>
      </c>
      <c r="K264" t="s">
        <v>27</v>
      </c>
      <c r="L264" s="2">
        <v>140</v>
      </c>
      <c r="M264" s="2">
        <v>90</v>
      </c>
      <c r="N264" s="2">
        <f>normalizar!$L264*normalizar!$M264</f>
        <v>12600</v>
      </c>
    </row>
    <row r="265" spans="1:14" x14ac:dyDescent="0.25">
      <c r="A265">
        <v>264</v>
      </c>
      <c r="B265" s="1">
        <v>44077</v>
      </c>
      <c r="C265">
        <v>9193900326</v>
      </c>
      <c r="D265" t="s">
        <v>63</v>
      </c>
      <c r="E265" t="s">
        <v>85</v>
      </c>
      <c r="F265" t="s">
        <v>83</v>
      </c>
      <c r="G265" t="s">
        <v>41</v>
      </c>
      <c r="H265" t="s">
        <v>25</v>
      </c>
      <c r="I265" t="s">
        <v>17</v>
      </c>
      <c r="J265" t="s">
        <v>68</v>
      </c>
      <c r="K265" t="s">
        <v>69</v>
      </c>
      <c r="L265" s="2">
        <v>298.90000000000003</v>
      </c>
      <c r="M265" s="2">
        <v>49</v>
      </c>
      <c r="N265" s="2">
        <f>normalizar!$L265*normalizar!$M265</f>
        <v>14646.100000000002</v>
      </c>
    </row>
    <row r="266" spans="1:14" x14ac:dyDescent="0.25">
      <c r="A266">
        <v>265</v>
      </c>
      <c r="B266" s="1">
        <v>44073</v>
      </c>
      <c r="C266">
        <v>7474169055</v>
      </c>
      <c r="D266" t="s">
        <v>63</v>
      </c>
      <c r="E266" t="s">
        <v>85</v>
      </c>
      <c r="F266" t="s">
        <v>83</v>
      </c>
      <c r="G266" t="s">
        <v>41</v>
      </c>
      <c r="H266" t="s">
        <v>25</v>
      </c>
      <c r="I266" t="s">
        <v>17</v>
      </c>
      <c r="J266" t="s">
        <v>34</v>
      </c>
      <c r="K266" t="s">
        <v>35</v>
      </c>
      <c r="L266" s="2">
        <v>135.1</v>
      </c>
      <c r="M266" s="2">
        <v>71</v>
      </c>
      <c r="N266" s="2">
        <f>normalizar!$L266*normalizar!$M266</f>
        <v>9592.1</v>
      </c>
    </row>
    <row r="267" spans="1:14" x14ac:dyDescent="0.25">
      <c r="A267">
        <v>266</v>
      </c>
      <c r="B267" s="1">
        <v>43890</v>
      </c>
      <c r="C267">
        <v>9750138179</v>
      </c>
      <c r="D267" t="s">
        <v>63</v>
      </c>
      <c r="E267" t="s">
        <v>85</v>
      </c>
      <c r="F267" t="s">
        <v>83</v>
      </c>
      <c r="G267" t="s">
        <v>41</v>
      </c>
      <c r="H267" t="s">
        <v>25</v>
      </c>
      <c r="I267" t="s">
        <v>17</v>
      </c>
      <c r="J267" t="s">
        <v>52</v>
      </c>
      <c r="K267" t="s">
        <v>53</v>
      </c>
      <c r="L267" s="2">
        <v>257.59999999999997</v>
      </c>
      <c r="M267" s="2">
        <v>10</v>
      </c>
      <c r="N267" s="2">
        <f>normalizar!$L267*normalizar!$M267</f>
        <v>2575.9999999999995</v>
      </c>
    </row>
    <row r="268" spans="1:14" x14ac:dyDescent="0.25">
      <c r="A268">
        <v>267</v>
      </c>
      <c r="B268" s="1">
        <v>43907</v>
      </c>
      <c r="C268">
        <v>2294414293</v>
      </c>
      <c r="D268" t="s">
        <v>28</v>
      </c>
      <c r="E268" t="s">
        <v>89</v>
      </c>
      <c r="F268" t="s">
        <v>84</v>
      </c>
      <c r="G268" t="s">
        <v>29</v>
      </c>
      <c r="H268" t="s">
        <v>8</v>
      </c>
      <c r="I268" t="s">
        <v>9</v>
      </c>
      <c r="J268" t="s">
        <v>10</v>
      </c>
      <c r="K268" t="s">
        <v>11</v>
      </c>
      <c r="L268" s="2">
        <v>196</v>
      </c>
      <c r="M268" s="2">
        <v>78</v>
      </c>
      <c r="N268" s="2">
        <f>normalizar!$L268*normalizar!$M268</f>
        <v>15288</v>
      </c>
    </row>
    <row r="269" spans="1:14" x14ac:dyDescent="0.25">
      <c r="A269">
        <v>268</v>
      </c>
      <c r="B269" s="1">
        <v>44023</v>
      </c>
      <c r="C269">
        <v>776426288</v>
      </c>
      <c r="D269" t="s">
        <v>36</v>
      </c>
      <c r="E269" t="s">
        <v>92</v>
      </c>
      <c r="F269" t="s">
        <v>99</v>
      </c>
      <c r="G269" t="s">
        <v>37</v>
      </c>
      <c r="H269" t="s">
        <v>25</v>
      </c>
      <c r="I269" t="s">
        <v>9</v>
      </c>
      <c r="J269" t="s">
        <v>30</v>
      </c>
      <c r="K269" t="s">
        <v>31</v>
      </c>
      <c r="L269" s="2">
        <v>178.5</v>
      </c>
      <c r="M269" s="2">
        <v>44</v>
      </c>
      <c r="N269" s="2">
        <f>normalizar!$L269*normalizar!$M269</f>
        <v>7854</v>
      </c>
    </row>
    <row r="270" spans="1:14" x14ac:dyDescent="0.25">
      <c r="A270">
        <v>269</v>
      </c>
      <c r="B270" s="1">
        <v>44109</v>
      </c>
      <c r="C270">
        <v>1245231958</v>
      </c>
      <c r="D270" t="s">
        <v>14</v>
      </c>
      <c r="E270" t="s">
        <v>81</v>
      </c>
      <c r="F270" t="s">
        <v>94</v>
      </c>
      <c r="G270" t="s">
        <v>15</v>
      </c>
      <c r="H270" t="s">
        <v>16</v>
      </c>
      <c r="I270" t="s">
        <v>17</v>
      </c>
      <c r="J270" t="s">
        <v>70</v>
      </c>
      <c r="K270" t="s">
        <v>47</v>
      </c>
      <c r="L270" s="2">
        <v>1134</v>
      </c>
      <c r="M270" s="2">
        <v>82</v>
      </c>
      <c r="N270" s="2">
        <f>normalizar!$L270*normalizar!$M270</f>
        <v>92988</v>
      </c>
    </row>
    <row r="271" spans="1:14" x14ac:dyDescent="0.25">
      <c r="A271">
        <v>270</v>
      </c>
      <c r="B271" s="1">
        <v>43931</v>
      </c>
      <c r="C271">
        <v>2050724971</v>
      </c>
      <c r="D271" t="s">
        <v>14</v>
      </c>
      <c r="E271" t="s">
        <v>81</v>
      </c>
      <c r="F271" t="s">
        <v>94</v>
      </c>
      <c r="G271" t="s">
        <v>15</v>
      </c>
      <c r="H271" t="s">
        <v>16</v>
      </c>
      <c r="I271" t="s">
        <v>17</v>
      </c>
      <c r="J271" t="s">
        <v>71</v>
      </c>
      <c r="K271" t="s">
        <v>72</v>
      </c>
      <c r="L271" s="2">
        <v>98</v>
      </c>
      <c r="M271" s="2">
        <v>29</v>
      </c>
      <c r="N271" s="2">
        <f>normalizar!$L271*normalizar!$M271</f>
        <v>2842</v>
      </c>
    </row>
    <row r="272" spans="1:14" x14ac:dyDescent="0.25">
      <c r="A272">
        <v>271</v>
      </c>
      <c r="B272" s="1">
        <v>44097</v>
      </c>
      <c r="C272">
        <v>9478104719</v>
      </c>
      <c r="D272" t="s">
        <v>23</v>
      </c>
      <c r="E272" t="s">
        <v>86</v>
      </c>
      <c r="F272" t="s">
        <v>82</v>
      </c>
      <c r="G272" t="s">
        <v>24</v>
      </c>
      <c r="H272" t="s">
        <v>25</v>
      </c>
      <c r="I272" t="s">
        <v>17</v>
      </c>
      <c r="J272" t="s">
        <v>58</v>
      </c>
      <c r="K272" t="s">
        <v>59</v>
      </c>
      <c r="L272" s="2">
        <v>487.19999999999993</v>
      </c>
      <c r="M272" s="2">
        <v>93</v>
      </c>
      <c r="N272" s="2">
        <f>normalizar!$L272*normalizar!$M272</f>
        <v>45309.599999999991</v>
      </c>
    </row>
    <row r="273" spans="1:14" x14ac:dyDescent="0.25">
      <c r="A273">
        <v>272</v>
      </c>
      <c r="B273" s="1">
        <v>44131</v>
      </c>
      <c r="C273">
        <v>7620759943</v>
      </c>
      <c r="D273" t="s">
        <v>32</v>
      </c>
      <c r="E273" t="s">
        <v>93</v>
      </c>
      <c r="F273" t="s">
        <v>96</v>
      </c>
      <c r="G273" t="s">
        <v>7</v>
      </c>
      <c r="H273" t="s">
        <v>8</v>
      </c>
      <c r="I273" t="s">
        <v>33</v>
      </c>
      <c r="J273" t="s">
        <v>60</v>
      </c>
      <c r="K273" t="s">
        <v>49</v>
      </c>
      <c r="L273" s="2">
        <v>140</v>
      </c>
      <c r="M273" s="2">
        <v>11</v>
      </c>
      <c r="N273" s="2">
        <f>normalizar!$L273*normalizar!$M273</f>
        <v>1540</v>
      </c>
    </row>
    <row r="274" spans="1:14" x14ac:dyDescent="0.25">
      <c r="A274">
        <v>273</v>
      </c>
      <c r="B274" s="1">
        <v>44173</v>
      </c>
      <c r="C274">
        <v>9345003575</v>
      </c>
      <c r="D274" t="s">
        <v>32</v>
      </c>
      <c r="E274" t="s">
        <v>93</v>
      </c>
      <c r="F274" t="s">
        <v>96</v>
      </c>
      <c r="G274" t="s">
        <v>7</v>
      </c>
      <c r="H274" t="s">
        <v>8</v>
      </c>
      <c r="I274" t="s">
        <v>33</v>
      </c>
      <c r="J274" t="s">
        <v>38</v>
      </c>
      <c r="K274" t="s">
        <v>39</v>
      </c>
      <c r="L274" s="2">
        <v>560</v>
      </c>
      <c r="M274" s="2">
        <v>91</v>
      </c>
      <c r="N274" s="2">
        <f>normalizar!$L274*normalizar!$M274</f>
        <v>50960</v>
      </c>
    </row>
    <row r="275" spans="1:14" x14ac:dyDescent="0.25">
      <c r="A275">
        <v>274</v>
      </c>
      <c r="B275" s="1">
        <v>44123</v>
      </c>
      <c r="C275">
        <v>5988072690</v>
      </c>
      <c r="D275" t="s">
        <v>42</v>
      </c>
      <c r="E275" t="s">
        <v>91</v>
      </c>
      <c r="F275" t="s">
        <v>91</v>
      </c>
      <c r="G275" t="s">
        <v>43</v>
      </c>
      <c r="H275" t="s">
        <v>8</v>
      </c>
      <c r="I275" t="s">
        <v>17</v>
      </c>
      <c r="J275" t="s">
        <v>61</v>
      </c>
      <c r="K275" t="s">
        <v>13</v>
      </c>
      <c r="L275" s="2">
        <v>140</v>
      </c>
      <c r="M275" s="2">
        <v>12</v>
      </c>
      <c r="N275" s="2">
        <f>normalizar!$L275*normalizar!$M275</f>
        <v>1680</v>
      </c>
    </row>
    <row r="276" spans="1:14" x14ac:dyDescent="0.25">
      <c r="A276">
        <v>275</v>
      </c>
      <c r="B276" s="1">
        <v>44028</v>
      </c>
      <c r="C276">
        <v>5113488625</v>
      </c>
      <c r="D276" t="s">
        <v>42</v>
      </c>
      <c r="E276" t="s">
        <v>91</v>
      </c>
      <c r="F276" t="s">
        <v>91</v>
      </c>
      <c r="G276" t="s">
        <v>43</v>
      </c>
      <c r="H276" t="s">
        <v>16</v>
      </c>
      <c r="I276" t="s">
        <v>127</v>
      </c>
      <c r="J276" t="s">
        <v>12</v>
      </c>
      <c r="K276" t="s">
        <v>13</v>
      </c>
      <c r="L276" s="2">
        <v>49</v>
      </c>
      <c r="M276" s="2">
        <v>78</v>
      </c>
      <c r="N276" s="2">
        <f>normalizar!$L276*normalizar!$M276</f>
        <v>3822</v>
      </c>
    </row>
    <row r="277" spans="1:14" x14ac:dyDescent="0.25">
      <c r="A277">
        <v>276</v>
      </c>
      <c r="B277" s="1">
        <v>43915</v>
      </c>
      <c r="C277">
        <v>8021429259</v>
      </c>
      <c r="D277" t="s">
        <v>50</v>
      </c>
      <c r="E277" t="s">
        <v>85</v>
      </c>
      <c r="F277" t="s">
        <v>83</v>
      </c>
      <c r="G277" t="s">
        <v>41</v>
      </c>
      <c r="H277" t="s">
        <v>25</v>
      </c>
      <c r="I277" t="s">
        <v>127</v>
      </c>
      <c r="J277" t="s">
        <v>38</v>
      </c>
      <c r="K277" t="s">
        <v>39</v>
      </c>
      <c r="L277" s="2">
        <v>560</v>
      </c>
      <c r="M277" s="2">
        <v>60</v>
      </c>
      <c r="N277" s="2">
        <f>normalizar!$L277*normalizar!$M277</f>
        <v>33600</v>
      </c>
    </row>
    <row r="278" spans="1:14" x14ac:dyDescent="0.25">
      <c r="A278">
        <v>277</v>
      </c>
      <c r="B278" s="1">
        <v>43906</v>
      </c>
      <c r="C278">
        <v>680211800</v>
      </c>
      <c r="D278" t="s">
        <v>51</v>
      </c>
      <c r="E278" t="s">
        <v>90</v>
      </c>
      <c r="F278" t="s">
        <v>98</v>
      </c>
      <c r="G278" t="s">
        <v>24</v>
      </c>
      <c r="H278" t="s">
        <v>25</v>
      </c>
      <c r="I278" t="s">
        <v>127</v>
      </c>
      <c r="J278" t="s">
        <v>52</v>
      </c>
      <c r="K278" t="s">
        <v>53</v>
      </c>
      <c r="L278" s="2">
        <v>257.59999999999997</v>
      </c>
      <c r="M278" s="2">
        <v>23</v>
      </c>
      <c r="N278" s="2">
        <f>normalizar!$L278*normalizar!$M278</f>
        <v>5924.7999999999993</v>
      </c>
    </row>
    <row r="279" spans="1:14" x14ac:dyDescent="0.25">
      <c r="A279">
        <v>278</v>
      </c>
      <c r="B279" s="1">
        <v>44092</v>
      </c>
      <c r="C279">
        <v>2635806056</v>
      </c>
      <c r="D279" t="s">
        <v>40</v>
      </c>
      <c r="E279" t="s">
        <v>97</v>
      </c>
      <c r="F279" t="s">
        <v>88</v>
      </c>
      <c r="G279" t="s">
        <v>41</v>
      </c>
      <c r="H279" t="s">
        <v>25</v>
      </c>
      <c r="I279" t="s">
        <v>17</v>
      </c>
      <c r="J279" t="s">
        <v>22</v>
      </c>
      <c r="K279" t="s">
        <v>11</v>
      </c>
      <c r="L279" s="2">
        <v>644</v>
      </c>
      <c r="M279" s="2">
        <v>34</v>
      </c>
      <c r="N279" s="2">
        <f>normalizar!$L279*normalizar!$M279</f>
        <v>21896</v>
      </c>
    </row>
    <row r="280" spans="1:14" x14ac:dyDescent="0.25">
      <c r="A280">
        <v>279</v>
      </c>
      <c r="B280" s="1">
        <v>44073</v>
      </c>
      <c r="C280">
        <v>3338515953</v>
      </c>
      <c r="D280" t="s">
        <v>54</v>
      </c>
      <c r="E280" t="s">
        <v>89</v>
      </c>
      <c r="F280" t="s">
        <v>84</v>
      </c>
      <c r="G280" t="s">
        <v>55</v>
      </c>
      <c r="H280" t="s">
        <v>16</v>
      </c>
      <c r="I280" t="s">
        <v>9</v>
      </c>
      <c r="J280" t="s">
        <v>34</v>
      </c>
      <c r="K280" t="s">
        <v>35</v>
      </c>
      <c r="L280" s="2">
        <v>135.1</v>
      </c>
      <c r="M280" s="2">
        <v>89</v>
      </c>
      <c r="N280" s="2">
        <f>normalizar!$L280*normalizar!$M280</f>
        <v>12023.9</v>
      </c>
    </row>
    <row r="281" spans="1:14" x14ac:dyDescent="0.25">
      <c r="A281">
        <v>280</v>
      </c>
      <c r="B281" s="1">
        <v>44106</v>
      </c>
      <c r="C281">
        <v>3075758565</v>
      </c>
      <c r="D281" t="s">
        <v>36</v>
      </c>
      <c r="E281" t="s">
        <v>92</v>
      </c>
      <c r="F281" t="s">
        <v>99</v>
      </c>
      <c r="G281" t="s">
        <v>37</v>
      </c>
      <c r="H281" t="s">
        <v>8</v>
      </c>
      <c r="I281" t="s">
        <v>17</v>
      </c>
      <c r="J281" t="s">
        <v>30</v>
      </c>
      <c r="K281" t="s">
        <v>31</v>
      </c>
      <c r="L281" s="2">
        <v>178.5</v>
      </c>
      <c r="M281" s="2">
        <v>82</v>
      </c>
      <c r="N281" s="2">
        <f>normalizar!$L281*normalizar!$M281</f>
        <v>14637</v>
      </c>
    </row>
    <row r="282" spans="1:14" x14ac:dyDescent="0.25">
      <c r="A282">
        <v>281</v>
      </c>
      <c r="B282" s="1">
        <v>44160</v>
      </c>
      <c r="C282">
        <v>5383209032</v>
      </c>
      <c r="D282" t="s">
        <v>23</v>
      </c>
      <c r="E282" t="s">
        <v>86</v>
      </c>
      <c r="F282" t="s">
        <v>82</v>
      </c>
      <c r="G282" t="s">
        <v>24</v>
      </c>
      <c r="H282" t="s">
        <v>8</v>
      </c>
      <c r="I282" t="s">
        <v>9</v>
      </c>
      <c r="J282" t="s">
        <v>30</v>
      </c>
      <c r="K282" t="s">
        <v>31</v>
      </c>
      <c r="L282" s="2">
        <v>178.5</v>
      </c>
      <c r="M282" s="2">
        <v>43</v>
      </c>
      <c r="N282" s="2">
        <f>normalizar!$L282*normalizar!$M282</f>
        <v>7675.5</v>
      </c>
    </row>
    <row r="283" spans="1:14" x14ac:dyDescent="0.25">
      <c r="A283">
        <v>282</v>
      </c>
      <c r="B283" s="1">
        <v>44068</v>
      </c>
      <c r="C283">
        <v>9635546425</v>
      </c>
      <c r="D283" t="s">
        <v>42</v>
      </c>
      <c r="E283" t="s">
        <v>91</v>
      </c>
      <c r="F283" t="s">
        <v>91</v>
      </c>
      <c r="G283" t="s">
        <v>43</v>
      </c>
      <c r="H283" t="s">
        <v>16</v>
      </c>
      <c r="I283" t="s">
        <v>127</v>
      </c>
      <c r="J283" t="s">
        <v>48</v>
      </c>
      <c r="K283" t="s">
        <v>49</v>
      </c>
      <c r="L283" s="2">
        <v>308</v>
      </c>
      <c r="M283" s="2">
        <v>96</v>
      </c>
      <c r="N283" s="2">
        <f>normalizar!$L283*normalizar!$M283</f>
        <v>29568</v>
      </c>
    </row>
    <row r="284" spans="1:14" x14ac:dyDescent="0.25">
      <c r="A284">
        <v>283</v>
      </c>
      <c r="B284" s="1">
        <v>44073</v>
      </c>
      <c r="C284">
        <v>3501364052</v>
      </c>
      <c r="D284" t="s">
        <v>42</v>
      </c>
      <c r="E284" t="s">
        <v>91</v>
      </c>
      <c r="F284" t="s">
        <v>91</v>
      </c>
      <c r="G284" t="s">
        <v>43</v>
      </c>
      <c r="H284" t="s">
        <v>16</v>
      </c>
      <c r="I284" t="s">
        <v>127</v>
      </c>
      <c r="J284" t="s">
        <v>26</v>
      </c>
      <c r="K284" t="s">
        <v>27</v>
      </c>
      <c r="L284" s="2">
        <v>128.79999999999998</v>
      </c>
      <c r="M284" s="2">
        <v>34</v>
      </c>
      <c r="N284" s="2">
        <f>normalizar!$L284*normalizar!$M284</f>
        <v>4379.2</v>
      </c>
    </row>
    <row r="285" spans="1:14" x14ac:dyDescent="0.25">
      <c r="A285">
        <v>284</v>
      </c>
      <c r="B285" s="1">
        <v>43992</v>
      </c>
      <c r="C285">
        <v>2226825043</v>
      </c>
      <c r="D285" t="s">
        <v>50</v>
      </c>
      <c r="E285" t="s">
        <v>85</v>
      </c>
      <c r="F285" t="s">
        <v>83</v>
      </c>
      <c r="G285" t="s">
        <v>41</v>
      </c>
      <c r="H285" t="s">
        <v>25</v>
      </c>
      <c r="I285" t="s">
        <v>127</v>
      </c>
      <c r="J285" t="s">
        <v>12</v>
      </c>
      <c r="K285" t="s">
        <v>13</v>
      </c>
      <c r="L285" s="2">
        <v>49</v>
      </c>
      <c r="M285" s="2">
        <v>42</v>
      </c>
      <c r="N285" s="2">
        <f>normalizar!$L285*normalizar!$M285</f>
        <v>2058</v>
      </c>
    </row>
    <row r="286" spans="1:14" x14ac:dyDescent="0.25">
      <c r="A286">
        <v>285</v>
      </c>
      <c r="B286" s="1">
        <v>43883</v>
      </c>
      <c r="C286">
        <v>6321323029</v>
      </c>
      <c r="D286" t="s">
        <v>50</v>
      </c>
      <c r="E286" t="s">
        <v>85</v>
      </c>
      <c r="F286" t="s">
        <v>83</v>
      </c>
      <c r="G286" t="s">
        <v>41</v>
      </c>
      <c r="H286" t="s">
        <v>25</v>
      </c>
      <c r="I286" t="s">
        <v>127</v>
      </c>
      <c r="J286" t="s">
        <v>44</v>
      </c>
      <c r="K286" t="s">
        <v>11</v>
      </c>
      <c r="L286" s="2">
        <v>41.86</v>
      </c>
      <c r="M286" s="2">
        <v>100</v>
      </c>
      <c r="N286" s="2">
        <f>normalizar!$L286*normalizar!$M286</f>
        <v>4186</v>
      </c>
    </row>
    <row r="287" spans="1:14" x14ac:dyDescent="0.25">
      <c r="A287">
        <v>286</v>
      </c>
      <c r="B287" s="1">
        <v>44168</v>
      </c>
      <c r="C287">
        <v>3775524143</v>
      </c>
      <c r="D287" t="s">
        <v>51</v>
      </c>
      <c r="E287" t="s">
        <v>90</v>
      </c>
      <c r="F287" t="s">
        <v>98</v>
      </c>
      <c r="G287" t="s">
        <v>24</v>
      </c>
      <c r="H287" t="s">
        <v>127</v>
      </c>
      <c r="I287" t="s">
        <v>127</v>
      </c>
      <c r="J287" t="s">
        <v>21</v>
      </c>
      <c r="K287" t="s">
        <v>11</v>
      </c>
      <c r="L287" s="2">
        <v>252</v>
      </c>
      <c r="M287" s="2">
        <v>42</v>
      </c>
      <c r="N287" s="2">
        <f>normalizar!$L287*normalizar!$M287</f>
        <v>10584</v>
      </c>
    </row>
    <row r="288" spans="1:14" x14ac:dyDescent="0.25">
      <c r="A288">
        <v>287</v>
      </c>
      <c r="B288" s="1">
        <v>44044</v>
      </c>
      <c r="C288">
        <v>9543041808</v>
      </c>
      <c r="D288" t="s">
        <v>51</v>
      </c>
      <c r="E288" t="s">
        <v>90</v>
      </c>
      <c r="F288" t="s">
        <v>98</v>
      </c>
      <c r="G288" t="s">
        <v>24</v>
      </c>
      <c r="H288" t="s">
        <v>127</v>
      </c>
      <c r="I288" t="s">
        <v>127</v>
      </c>
      <c r="J288" t="s">
        <v>22</v>
      </c>
      <c r="K288" t="s">
        <v>11</v>
      </c>
      <c r="L288" s="2">
        <v>644</v>
      </c>
      <c r="M288" s="2">
        <v>16</v>
      </c>
      <c r="N288" s="2">
        <f>normalizar!$L288*normalizar!$M288</f>
        <v>10304</v>
      </c>
    </row>
    <row r="289" spans="1:14" x14ac:dyDescent="0.25">
      <c r="A289">
        <v>288</v>
      </c>
      <c r="B289" s="1">
        <v>43954</v>
      </c>
      <c r="C289">
        <v>547647770</v>
      </c>
      <c r="D289" t="s">
        <v>51</v>
      </c>
      <c r="E289" t="s">
        <v>90</v>
      </c>
      <c r="F289" t="s">
        <v>98</v>
      </c>
      <c r="G289" t="s">
        <v>24</v>
      </c>
      <c r="H289" t="s">
        <v>127</v>
      </c>
      <c r="I289" t="s">
        <v>127</v>
      </c>
      <c r="J289" t="s">
        <v>44</v>
      </c>
      <c r="K289" t="s">
        <v>11</v>
      </c>
      <c r="L289" s="2">
        <v>41.86</v>
      </c>
      <c r="M289" s="2">
        <v>22</v>
      </c>
      <c r="N289" s="2">
        <f>normalizar!$L289*normalizar!$M289</f>
        <v>920.92</v>
      </c>
    </row>
    <row r="290" spans="1:14" x14ac:dyDescent="0.25">
      <c r="A290">
        <v>289</v>
      </c>
      <c r="B290" s="1">
        <v>44106</v>
      </c>
      <c r="C290">
        <v>7120228607</v>
      </c>
      <c r="D290" t="s">
        <v>40</v>
      </c>
      <c r="E290" t="s">
        <v>97</v>
      </c>
      <c r="F290" t="s">
        <v>88</v>
      </c>
      <c r="G290" t="s">
        <v>41</v>
      </c>
      <c r="H290" t="s">
        <v>25</v>
      </c>
      <c r="I290" t="s">
        <v>17</v>
      </c>
      <c r="J290" t="s">
        <v>34</v>
      </c>
      <c r="K290" t="s">
        <v>35</v>
      </c>
      <c r="L290" s="2">
        <v>135.1</v>
      </c>
      <c r="M290" s="2">
        <v>46</v>
      </c>
      <c r="N290" s="2">
        <f>normalizar!$L290*normalizar!$M290</f>
        <v>6214.5999999999995</v>
      </c>
    </row>
    <row r="291" spans="1:14" x14ac:dyDescent="0.25">
      <c r="A291">
        <v>290</v>
      </c>
      <c r="B291" s="1">
        <v>43837</v>
      </c>
      <c r="C291">
        <v>5554565190</v>
      </c>
      <c r="D291" t="s">
        <v>40</v>
      </c>
      <c r="E291" t="s">
        <v>97</v>
      </c>
      <c r="F291" t="s">
        <v>88</v>
      </c>
      <c r="G291" t="s">
        <v>41</v>
      </c>
      <c r="H291" t="s">
        <v>25</v>
      </c>
      <c r="I291" t="s">
        <v>17</v>
      </c>
      <c r="J291" t="s">
        <v>52</v>
      </c>
      <c r="K291" t="s">
        <v>53</v>
      </c>
      <c r="L291" s="2">
        <v>257.59999999999997</v>
      </c>
      <c r="M291" s="2">
        <v>100</v>
      </c>
      <c r="N291" s="2">
        <f>normalizar!$L291*normalizar!$M291</f>
        <v>25759.999999999996</v>
      </c>
    </row>
    <row r="292" spans="1:14" x14ac:dyDescent="0.25">
      <c r="A292">
        <v>291</v>
      </c>
      <c r="B292" s="1">
        <v>43866</v>
      </c>
      <c r="C292">
        <v>1644848787</v>
      </c>
      <c r="D292" t="s">
        <v>54</v>
      </c>
      <c r="E292" t="s">
        <v>89</v>
      </c>
      <c r="F292" t="s">
        <v>84</v>
      </c>
      <c r="G292" t="s">
        <v>55</v>
      </c>
      <c r="H292" t="s">
        <v>16</v>
      </c>
      <c r="I292" t="s">
        <v>9</v>
      </c>
      <c r="J292" t="s">
        <v>56</v>
      </c>
      <c r="K292" t="s">
        <v>57</v>
      </c>
      <c r="L292" s="2">
        <v>273</v>
      </c>
      <c r="M292" s="2">
        <v>87</v>
      </c>
      <c r="N292" s="2">
        <f>normalizar!$L292*normalizar!$M292</f>
        <v>23751</v>
      </c>
    </row>
    <row r="293" spans="1:14" x14ac:dyDescent="0.25">
      <c r="A293">
        <v>292</v>
      </c>
      <c r="B293" s="1">
        <v>43923</v>
      </c>
      <c r="C293">
        <v>8273786477</v>
      </c>
      <c r="D293" t="s">
        <v>54</v>
      </c>
      <c r="E293" t="s">
        <v>89</v>
      </c>
      <c r="F293" t="s">
        <v>84</v>
      </c>
      <c r="G293" t="s">
        <v>55</v>
      </c>
      <c r="H293" t="s">
        <v>16</v>
      </c>
      <c r="I293" t="s">
        <v>9</v>
      </c>
      <c r="J293" t="s">
        <v>58</v>
      </c>
      <c r="K293" t="s">
        <v>59</v>
      </c>
      <c r="L293" s="2">
        <v>487.19999999999993</v>
      </c>
      <c r="M293" s="2">
        <v>58</v>
      </c>
      <c r="N293" s="2">
        <f>normalizar!$L293*normalizar!$M293</f>
        <v>28257.599999999995</v>
      </c>
    </row>
    <row r="294" spans="1:14" x14ac:dyDescent="0.25">
      <c r="A294">
        <v>293</v>
      </c>
      <c r="B294" s="1">
        <v>44062</v>
      </c>
      <c r="C294">
        <v>1397118248</v>
      </c>
      <c r="D294" t="s">
        <v>36</v>
      </c>
      <c r="E294" t="s">
        <v>92</v>
      </c>
      <c r="F294" t="s">
        <v>99</v>
      </c>
      <c r="G294" t="s">
        <v>37</v>
      </c>
      <c r="H294" t="s">
        <v>8</v>
      </c>
      <c r="I294" t="s">
        <v>17</v>
      </c>
      <c r="J294" t="s">
        <v>10</v>
      </c>
      <c r="K294" t="s">
        <v>11</v>
      </c>
      <c r="L294" s="2">
        <v>196</v>
      </c>
      <c r="M294" s="2">
        <v>85</v>
      </c>
      <c r="N294" s="2">
        <f>normalizar!$L294*normalizar!$M294</f>
        <v>16660</v>
      </c>
    </row>
    <row r="295" spans="1:14" x14ac:dyDescent="0.25">
      <c r="A295">
        <v>294</v>
      </c>
      <c r="B295" s="1">
        <v>43959</v>
      </c>
      <c r="C295">
        <v>4468604310</v>
      </c>
      <c r="D295" t="s">
        <v>23</v>
      </c>
      <c r="E295" t="s">
        <v>86</v>
      </c>
      <c r="F295" t="s">
        <v>82</v>
      </c>
      <c r="G295" t="s">
        <v>24</v>
      </c>
      <c r="H295" t="s">
        <v>8</v>
      </c>
      <c r="I295" t="s">
        <v>9</v>
      </c>
      <c r="J295" t="s">
        <v>38</v>
      </c>
      <c r="K295" t="s">
        <v>39</v>
      </c>
      <c r="L295" s="2">
        <v>560</v>
      </c>
      <c r="M295" s="2">
        <v>28</v>
      </c>
      <c r="N295" s="2">
        <f>normalizar!$L295*normalizar!$M295</f>
        <v>15680</v>
      </c>
    </row>
    <row r="296" spans="1:14" x14ac:dyDescent="0.25">
      <c r="A296">
        <v>295</v>
      </c>
      <c r="B296" s="1">
        <v>44178</v>
      </c>
      <c r="C296">
        <v>457458721</v>
      </c>
      <c r="D296" t="s">
        <v>23</v>
      </c>
      <c r="E296" t="s">
        <v>86</v>
      </c>
      <c r="F296" t="s">
        <v>82</v>
      </c>
      <c r="G296" t="s">
        <v>24</v>
      </c>
      <c r="H296" t="s">
        <v>8</v>
      </c>
      <c r="I296" t="s">
        <v>9</v>
      </c>
      <c r="J296" t="s">
        <v>26</v>
      </c>
      <c r="K296" t="s">
        <v>27</v>
      </c>
      <c r="L296" s="2">
        <v>128.79999999999998</v>
      </c>
      <c r="M296" s="2">
        <v>19</v>
      </c>
      <c r="N296" s="2">
        <f>normalizar!$L296*normalizar!$M296</f>
        <v>2447.1999999999998</v>
      </c>
    </row>
    <row r="297" spans="1:14" x14ac:dyDescent="0.25">
      <c r="A297">
        <v>296</v>
      </c>
      <c r="B297" s="1">
        <v>43990</v>
      </c>
      <c r="C297">
        <v>7184663808</v>
      </c>
      <c r="D297" t="s">
        <v>62</v>
      </c>
      <c r="E297" t="s">
        <v>91</v>
      </c>
      <c r="F297" t="s">
        <v>91</v>
      </c>
      <c r="G297" t="s">
        <v>43</v>
      </c>
      <c r="H297" t="s">
        <v>16</v>
      </c>
      <c r="I297" t="s">
        <v>33</v>
      </c>
      <c r="J297" t="s">
        <v>67</v>
      </c>
      <c r="K297" t="s">
        <v>27</v>
      </c>
      <c r="L297" s="2">
        <v>140</v>
      </c>
      <c r="M297" s="2">
        <v>99</v>
      </c>
      <c r="N297" s="2">
        <f>normalizar!$L297*normalizar!$M297</f>
        <v>13860</v>
      </c>
    </row>
    <row r="298" spans="1:14" x14ac:dyDescent="0.25">
      <c r="A298">
        <v>297</v>
      </c>
      <c r="B298" s="1">
        <v>44087</v>
      </c>
      <c r="C298">
        <v>3449599231</v>
      </c>
      <c r="D298" t="s">
        <v>63</v>
      </c>
      <c r="E298" t="s">
        <v>85</v>
      </c>
      <c r="F298" t="s">
        <v>83</v>
      </c>
      <c r="G298" t="s">
        <v>41</v>
      </c>
      <c r="H298" t="s">
        <v>25</v>
      </c>
      <c r="I298" t="s">
        <v>17</v>
      </c>
      <c r="J298" t="s">
        <v>68</v>
      </c>
      <c r="K298" t="s">
        <v>69</v>
      </c>
      <c r="L298" s="2">
        <v>298.90000000000003</v>
      </c>
      <c r="M298" s="2">
        <v>69</v>
      </c>
      <c r="N298" s="2">
        <f>normalizar!$L298*normalizar!$M298</f>
        <v>20624.100000000002</v>
      </c>
    </row>
    <row r="299" spans="1:14" x14ac:dyDescent="0.25">
      <c r="A299">
        <v>298</v>
      </c>
      <c r="B299" s="1">
        <v>44168</v>
      </c>
      <c r="C299">
        <v>3901461858</v>
      </c>
      <c r="D299" t="s">
        <v>63</v>
      </c>
      <c r="E299" t="s">
        <v>85</v>
      </c>
      <c r="F299" t="s">
        <v>83</v>
      </c>
      <c r="G299" t="s">
        <v>41</v>
      </c>
      <c r="H299" t="s">
        <v>25</v>
      </c>
      <c r="I299" t="s">
        <v>17</v>
      </c>
      <c r="J299" t="s">
        <v>34</v>
      </c>
      <c r="K299" t="s">
        <v>35</v>
      </c>
      <c r="L299" s="2">
        <v>135.1</v>
      </c>
      <c r="M299" s="2">
        <v>37</v>
      </c>
      <c r="N299" s="2">
        <f>normalizar!$L299*normalizar!$M299</f>
        <v>4998.7</v>
      </c>
    </row>
    <row r="300" spans="1:14" x14ac:dyDescent="0.25">
      <c r="A300">
        <v>299</v>
      </c>
      <c r="B300" s="1">
        <v>43922</v>
      </c>
      <c r="C300">
        <v>6798892819</v>
      </c>
      <c r="D300" t="s">
        <v>63</v>
      </c>
      <c r="E300" t="s">
        <v>85</v>
      </c>
      <c r="F300" t="s">
        <v>83</v>
      </c>
      <c r="G300" t="s">
        <v>41</v>
      </c>
      <c r="H300" t="s">
        <v>25</v>
      </c>
      <c r="I300" t="s">
        <v>17</v>
      </c>
      <c r="J300" t="s">
        <v>52</v>
      </c>
      <c r="K300" t="s">
        <v>53</v>
      </c>
      <c r="L300" s="2">
        <v>257.59999999999997</v>
      </c>
      <c r="M300" s="2">
        <v>64</v>
      </c>
      <c r="N300" s="2">
        <f>normalizar!$L300*normalizar!$M300</f>
        <v>16486.399999999998</v>
      </c>
    </row>
    <row r="301" spans="1:14" x14ac:dyDescent="0.25">
      <c r="A301">
        <v>300</v>
      </c>
      <c r="B301" s="1">
        <v>44130</v>
      </c>
      <c r="C301">
        <v>6897506437</v>
      </c>
      <c r="D301" t="s">
        <v>28</v>
      </c>
      <c r="E301" t="s">
        <v>89</v>
      </c>
      <c r="F301" t="s">
        <v>84</v>
      </c>
      <c r="G301" t="s">
        <v>29</v>
      </c>
      <c r="H301" t="s">
        <v>8</v>
      </c>
      <c r="I301" t="s">
        <v>9</v>
      </c>
      <c r="J301" t="s">
        <v>10</v>
      </c>
      <c r="K301" t="s">
        <v>11</v>
      </c>
      <c r="L301" s="2">
        <v>196</v>
      </c>
      <c r="M301" s="2">
        <v>38</v>
      </c>
      <c r="N301" s="2">
        <f>normalizar!$L301*normalizar!$M301</f>
        <v>7448</v>
      </c>
    </row>
    <row r="302" spans="1:14" x14ac:dyDescent="0.25">
      <c r="A302">
        <v>301</v>
      </c>
      <c r="B302" s="1">
        <v>44124</v>
      </c>
      <c r="C302">
        <v>6298594113</v>
      </c>
      <c r="D302" t="s">
        <v>36</v>
      </c>
      <c r="E302" t="s">
        <v>92</v>
      </c>
      <c r="F302" t="s">
        <v>99</v>
      </c>
      <c r="G302" t="s">
        <v>37</v>
      </c>
      <c r="H302" t="s">
        <v>25</v>
      </c>
      <c r="I302" t="s">
        <v>9</v>
      </c>
      <c r="J302" t="s">
        <v>30</v>
      </c>
      <c r="K302" t="s">
        <v>31</v>
      </c>
      <c r="L302" s="2">
        <v>178.5</v>
      </c>
      <c r="M302" s="2">
        <v>15</v>
      </c>
      <c r="N302" s="2">
        <f>normalizar!$L302*normalizar!$M302</f>
        <v>2677.5</v>
      </c>
    </row>
    <row r="303" spans="1:14" x14ac:dyDescent="0.25">
      <c r="A303">
        <v>302</v>
      </c>
      <c r="B303" s="1">
        <v>43984</v>
      </c>
      <c r="C303">
        <v>6972691420</v>
      </c>
      <c r="D303" t="s">
        <v>14</v>
      </c>
      <c r="E303" t="s">
        <v>81</v>
      </c>
      <c r="F303" t="s">
        <v>94</v>
      </c>
      <c r="G303" t="s">
        <v>15</v>
      </c>
      <c r="H303" t="s">
        <v>16</v>
      </c>
      <c r="I303" t="s">
        <v>17</v>
      </c>
      <c r="J303" t="s">
        <v>70</v>
      </c>
      <c r="K303" t="s">
        <v>47</v>
      </c>
      <c r="L303" s="2">
        <v>1134</v>
      </c>
      <c r="M303" s="2">
        <v>52</v>
      </c>
      <c r="N303" s="2">
        <f>normalizar!$L303*normalizar!$M303</f>
        <v>58968</v>
      </c>
    </row>
    <row r="304" spans="1:14" x14ac:dyDescent="0.25">
      <c r="A304">
        <v>303</v>
      </c>
      <c r="B304" s="1">
        <v>44078</v>
      </c>
      <c r="C304">
        <v>677992170</v>
      </c>
      <c r="D304" t="s">
        <v>14</v>
      </c>
      <c r="E304" t="s">
        <v>81</v>
      </c>
      <c r="F304" t="s">
        <v>94</v>
      </c>
      <c r="G304" t="s">
        <v>15</v>
      </c>
      <c r="H304" t="s">
        <v>16</v>
      </c>
      <c r="I304" t="s">
        <v>17</v>
      </c>
      <c r="J304" t="s">
        <v>71</v>
      </c>
      <c r="K304" t="s">
        <v>72</v>
      </c>
      <c r="L304" s="2">
        <v>98</v>
      </c>
      <c r="M304" s="2">
        <v>37</v>
      </c>
      <c r="N304" s="2">
        <f>normalizar!$L304*normalizar!$M304</f>
        <v>3626</v>
      </c>
    </row>
    <row r="305" spans="1:14" x14ac:dyDescent="0.25">
      <c r="A305">
        <v>304</v>
      </c>
      <c r="B305" s="1">
        <v>44063</v>
      </c>
      <c r="C305">
        <v>3501827064</v>
      </c>
      <c r="D305" t="s">
        <v>23</v>
      </c>
      <c r="E305" t="s">
        <v>86</v>
      </c>
      <c r="F305" t="s">
        <v>82</v>
      </c>
      <c r="G305" t="s">
        <v>24</v>
      </c>
      <c r="H305" t="s">
        <v>25</v>
      </c>
      <c r="I305" t="s">
        <v>17</v>
      </c>
      <c r="J305" t="s">
        <v>58</v>
      </c>
      <c r="K305" t="s">
        <v>59</v>
      </c>
      <c r="L305" s="2">
        <v>487.19999999999993</v>
      </c>
      <c r="M305" s="2">
        <v>24</v>
      </c>
      <c r="N305" s="2">
        <f>normalizar!$L305*normalizar!$M305</f>
        <v>11692.8</v>
      </c>
    </row>
    <row r="306" spans="1:14" x14ac:dyDescent="0.25">
      <c r="A306">
        <v>305</v>
      </c>
      <c r="B306" s="1">
        <v>43979</v>
      </c>
      <c r="C306">
        <v>9140892367</v>
      </c>
      <c r="D306" t="s">
        <v>32</v>
      </c>
      <c r="E306" t="s">
        <v>93</v>
      </c>
      <c r="F306" t="s">
        <v>96</v>
      </c>
      <c r="G306" t="s">
        <v>7</v>
      </c>
      <c r="H306" t="s">
        <v>8</v>
      </c>
      <c r="I306" t="s">
        <v>33</v>
      </c>
      <c r="J306" t="s">
        <v>60</v>
      </c>
      <c r="K306" t="s">
        <v>49</v>
      </c>
      <c r="L306" s="2">
        <v>140</v>
      </c>
      <c r="M306" s="2">
        <v>36</v>
      </c>
      <c r="N306" s="2">
        <f>normalizar!$L306*normalizar!$M306</f>
        <v>5040</v>
      </c>
    </row>
    <row r="307" spans="1:14" x14ac:dyDescent="0.25">
      <c r="A307">
        <v>306</v>
      </c>
      <c r="B307" s="1">
        <v>44037</v>
      </c>
      <c r="C307">
        <v>7570396760</v>
      </c>
      <c r="D307" t="s">
        <v>32</v>
      </c>
      <c r="E307" t="s">
        <v>93</v>
      </c>
      <c r="F307" t="s">
        <v>96</v>
      </c>
      <c r="G307" t="s">
        <v>7</v>
      </c>
      <c r="H307" t="s">
        <v>8</v>
      </c>
      <c r="I307" t="s">
        <v>33</v>
      </c>
      <c r="J307" t="s">
        <v>38</v>
      </c>
      <c r="K307" t="s">
        <v>39</v>
      </c>
      <c r="L307" s="2">
        <v>560</v>
      </c>
      <c r="M307" s="2">
        <v>24</v>
      </c>
      <c r="N307" s="2">
        <f>normalizar!$L307*normalizar!$M307</f>
        <v>13440</v>
      </c>
    </row>
    <row r="308" spans="1:14" x14ac:dyDescent="0.25">
      <c r="A308">
        <v>307</v>
      </c>
      <c r="B308" s="1">
        <v>44085</v>
      </c>
      <c r="C308">
        <v>5368769086</v>
      </c>
      <c r="D308" t="s">
        <v>42</v>
      </c>
      <c r="E308" t="s">
        <v>91</v>
      </c>
      <c r="F308" t="s">
        <v>91</v>
      </c>
      <c r="G308" t="s">
        <v>43</v>
      </c>
      <c r="H308" t="s">
        <v>8</v>
      </c>
      <c r="I308" t="s">
        <v>17</v>
      </c>
      <c r="J308" t="s">
        <v>61</v>
      </c>
      <c r="K308" t="s">
        <v>13</v>
      </c>
      <c r="L308" s="2">
        <v>140</v>
      </c>
      <c r="M308" s="2">
        <v>20</v>
      </c>
      <c r="N308" s="2">
        <f>normalizar!$L308*normalizar!$M308</f>
        <v>2800</v>
      </c>
    </row>
    <row r="309" spans="1:14" x14ac:dyDescent="0.25">
      <c r="A309">
        <v>308</v>
      </c>
      <c r="B309" s="1">
        <v>44162</v>
      </c>
      <c r="C309">
        <v>443042127</v>
      </c>
      <c r="D309" t="s">
        <v>42</v>
      </c>
      <c r="E309" t="s">
        <v>91</v>
      </c>
      <c r="F309" t="s">
        <v>91</v>
      </c>
      <c r="G309" t="s">
        <v>43</v>
      </c>
      <c r="H309" t="s">
        <v>16</v>
      </c>
      <c r="I309" t="s">
        <v>127</v>
      </c>
      <c r="J309" t="s">
        <v>12</v>
      </c>
      <c r="K309" t="s">
        <v>13</v>
      </c>
      <c r="L309" s="2">
        <v>49</v>
      </c>
      <c r="M309" s="2">
        <v>11</v>
      </c>
      <c r="N309" s="2">
        <f>normalizar!$L309*normalizar!$M309</f>
        <v>539</v>
      </c>
    </row>
    <row r="310" spans="1:14" x14ac:dyDescent="0.25">
      <c r="A310">
        <v>309</v>
      </c>
      <c r="B310" s="1">
        <v>43840</v>
      </c>
      <c r="C310">
        <v>3198859022</v>
      </c>
      <c r="D310" t="s">
        <v>50</v>
      </c>
      <c r="E310" t="s">
        <v>85</v>
      </c>
      <c r="F310" t="s">
        <v>83</v>
      </c>
      <c r="G310" t="s">
        <v>41</v>
      </c>
      <c r="H310" t="s">
        <v>25</v>
      </c>
      <c r="I310" t="s">
        <v>127</v>
      </c>
      <c r="J310" t="s">
        <v>38</v>
      </c>
      <c r="K310" t="s">
        <v>39</v>
      </c>
      <c r="L310" s="2">
        <v>560</v>
      </c>
      <c r="M310" s="2">
        <v>78</v>
      </c>
      <c r="N310" s="2">
        <f>normalizar!$L310*normalizar!$M310</f>
        <v>43680</v>
      </c>
    </row>
    <row r="311" spans="1:14" x14ac:dyDescent="0.25">
      <c r="A311">
        <v>310</v>
      </c>
      <c r="B311" s="1">
        <v>44043</v>
      </c>
      <c r="C311">
        <v>2982674072</v>
      </c>
      <c r="D311" t="s">
        <v>51</v>
      </c>
      <c r="E311" t="s">
        <v>90</v>
      </c>
      <c r="F311" t="s">
        <v>98</v>
      </c>
      <c r="G311" t="s">
        <v>24</v>
      </c>
      <c r="H311" t="s">
        <v>25</v>
      </c>
      <c r="I311" t="s">
        <v>127</v>
      </c>
      <c r="J311" t="s">
        <v>52</v>
      </c>
      <c r="K311" t="s">
        <v>53</v>
      </c>
      <c r="L311" s="2">
        <v>257.59999999999997</v>
      </c>
      <c r="M311" s="2">
        <v>76</v>
      </c>
      <c r="N311" s="2">
        <f>normalizar!$L311*normalizar!$M311</f>
        <v>19577.599999999999</v>
      </c>
    </row>
    <row r="312" spans="1:14" x14ac:dyDescent="0.25">
      <c r="A312">
        <v>311</v>
      </c>
      <c r="B312" s="1">
        <v>44118</v>
      </c>
      <c r="C312">
        <v>1636086310</v>
      </c>
      <c r="D312" t="s">
        <v>40</v>
      </c>
      <c r="E312" t="s">
        <v>97</v>
      </c>
      <c r="F312" t="s">
        <v>88</v>
      </c>
      <c r="G312" t="s">
        <v>41</v>
      </c>
      <c r="H312" t="s">
        <v>25</v>
      </c>
      <c r="I312" t="s">
        <v>17</v>
      </c>
      <c r="J312" t="s">
        <v>22</v>
      </c>
      <c r="K312" t="s">
        <v>11</v>
      </c>
      <c r="L312" s="2">
        <v>644</v>
      </c>
      <c r="M312" s="2">
        <v>57</v>
      </c>
      <c r="N312" s="2">
        <f>normalizar!$L312*normalizar!$M312</f>
        <v>36708</v>
      </c>
    </row>
    <row r="313" spans="1:14" x14ac:dyDescent="0.25">
      <c r="A313">
        <v>312</v>
      </c>
      <c r="B313" s="1">
        <v>44069</v>
      </c>
      <c r="C313">
        <v>9879315200</v>
      </c>
      <c r="D313" t="s">
        <v>54</v>
      </c>
      <c r="E313" t="s">
        <v>89</v>
      </c>
      <c r="F313" t="s">
        <v>84</v>
      </c>
      <c r="G313" t="s">
        <v>55</v>
      </c>
      <c r="H313" t="s">
        <v>16</v>
      </c>
      <c r="I313" t="s">
        <v>9</v>
      </c>
      <c r="J313" t="s">
        <v>34</v>
      </c>
      <c r="K313" t="s">
        <v>35</v>
      </c>
      <c r="L313" s="2">
        <v>135.1</v>
      </c>
      <c r="M313" s="2">
        <v>14</v>
      </c>
      <c r="N313" s="2">
        <f>normalizar!$L313*normalizar!$M313</f>
        <v>1891.3999999999999</v>
      </c>
    </row>
    <row r="314" spans="1:14" x14ac:dyDescent="0.25">
      <c r="A314">
        <v>313</v>
      </c>
      <c r="B314" s="1">
        <v>43953</v>
      </c>
      <c r="C314">
        <v>3833780472</v>
      </c>
      <c r="D314" t="s">
        <v>6</v>
      </c>
      <c r="E314" t="s">
        <v>80</v>
      </c>
      <c r="F314" t="s">
        <v>95</v>
      </c>
      <c r="G314" t="s">
        <v>7</v>
      </c>
      <c r="H314" t="s">
        <v>8</v>
      </c>
      <c r="I314" t="s">
        <v>9</v>
      </c>
      <c r="J314" t="s">
        <v>10</v>
      </c>
      <c r="K314" t="s">
        <v>11</v>
      </c>
      <c r="L314" s="2">
        <v>196</v>
      </c>
      <c r="M314" s="2">
        <v>14</v>
      </c>
      <c r="N314" s="2">
        <f>normalizar!$L314*normalizar!$M314</f>
        <v>2744</v>
      </c>
    </row>
    <row r="315" spans="1:14" x14ac:dyDescent="0.25">
      <c r="A315">
        <v>314</v>
      </c>
      <c r="B315" s="1">
        <v>44161</v>
      </c>
      <c r="C315">
        <v>1343389818</v>
      </c>
      <c r="D315" t="s">
        <v>6</v>
      </c>
      <c r="E315" t="s">
        <v>80</v>
      </c>
      <c r="F315" t="s">
        <v>95</v>
      </c>
      <c r="G315" t="s">
        <v>7</v>
      </c>
      <c r="H315" t="s">
        <v>8</v>
      </c>
      <c r="I315" t="s">
        <v>9</v>
      </c>
      <c r="J315" t="s">
        <v>12</v>
      </c>
      <c r="K315" t="s">
        <v>13</v>
      </c>
      <c r="L315" s="2">
        <v>49</v>
      </c>
      <c r="M315" s="2">
        <v>70</v>
      </c>
      <c r="N315" s="2">
        <f>normalizar!$L315*normalizar!$M315</f>
        <v>3430</v>
      </c>
    </row>
    <row r="316" spans="1:14" x14ac:dyDescent="0.25">
      <c r="A316">
        <v>315</v>
      </c>
      <c r="B316" s="1">
        <v>43897</v>
      </c>
      <c r="C316">
        <v>3066920858</v>
      </c>
      <c r="D316" t="s">
        <v>14</v>
      </c>
      <c r="E316" t="s">
        <v>81</v>
      </c>
      <c r="F316" t="s">
        <v>94</v>
      </c>
      <c r="G316" t="s">
        <v>15</v>
      </c>
      <c r="H316" t="s">
        <v>16</v>
      </c>
      <c r="I316" t="s">
        <v>17</v>
      </c>
      <c r="J316" t="s">
        <v>18</v>
      </c>
      <c r="K316" t="s">
        <v>13</v>
      </c>
      <c r="L316" s="2">
        <v>420</v>
      </c>
      <c r="M316" s="2">
        <v>100</v>
      </c>
      <c r="N316" s="2">
        <f>normalizar!$L316*normalizar!$M316</f>
        <v>42000</v>
      </c>
    </row>
    <row r="317" spans="1:14" x14ac:dyDescent="0.25">
      <c r="A317">
        <v>316</v>
      </c>
      <c r="B317" s="1">
        <v>44075</v>
      </c>
      <c r="C317">
        <v>3596038071</v>
      </c>
      <c r="D317" t="s">
        <v>14</v>
      </c>
      <c r="E317" t="s">
        <v>81</v>
      </c>
      <c r="F317" t="s">
        <v>94</v>
      </c>
      <c r="G317" t="s">
        <v>15</v>
      </c>
      <c r="H317" t="s">
        <v>16</v>
      </c>
      <c r="I317" t="s">
        <v>17</v>
      </c>
      <c r="J317" t="s">
        <v>19</v>
      </c>
      <c r="K317" t="s">
        <v>13</v>
      </c>
      <c r="L317" s="2">
        <v>742</v>
      </c>
      <c r="M317" s="2">
        <v>27</v>
      </c>
      <c r="N317" s="2">
        <f>normalizar!$L317*normalizar!$M317</f>
        <v>20034</v>
      </c>
    </row>
    <row r="318" spans="1:14" x14ac:dyDescent="0.25">
      <c r="A318">
        <v>317</v>
      </c>
      <c r="B318" s="1">
        <v>44055</v>
      </c>
      <c r="C318">
        <v>8280434895</v>
      </c>
      <c r="D318" t="s">
        <v>14</v>
      </c>
      <c r="E318" t="s">
        <v>81</v>
      </c>
      <c r="F318" t="s">
        <v>94</v>
      </c>
      <c r="G318" t="s">
        <v>15</v>
      </c>
      <c r="H318" t="s">
        <v>16</v>
      </c>
      <c r="I318" t="s">
        <v>17</v>
      </c>
      <c r="J318" t="s">
        <v>12</v>
      </c>
      <c r="K318" t="s">
        <v>13</v>
      </c>
      <c r="L318" s="2">
        <v>49</v>
      </c>
      <c r="M318" s="2">
        <v>70</v>
      </c>
      <c r="N318" s="2">
        <f>normalizar!$L318*normalizar!$M318</f>
        <v>3430</v>
      </c>
    </row>
    <row r="319" spans="1:14" x14ac:dyDescent="0.25">
      <c r="A319">
        <v>318</v>
      </c>
      <c r="B319" s="1">
        <v>44146</v>
      </c>
      <c r="C319">
        <v>7983505639</v>
      </c>
      <c r="D319" t="s">
        <v>20</v>
      </c>
      <c r="E319" t="s">
        <v>80</v>
      </c>
      <c r="F319" t="s">
        <v>95</v>
      </c>
      <c r="G319" t="s">
        <v>7</v>
      </c>
      <c r="H319" t="s">
        <v>8</v>
      </c>
      <c r="I319" t="s">
        <v>17</v>
      </c>
      <c r="J319" t="s">
        <v>21</v>
      </c>
      <c r="K319" t="s">
        <v>11</v>
      </c>
      <c r="L319" s="2">
        <v>252</v>
      </c>
      <c r="M319" s="2">
        <v>57</v>
      </c>
      <c r="N319" s="2">
        <f>normalizar!$L319*normalizar!$M319</f>
        <v>14364</v>
      </c>
    </row>
    <row r="320" spans="1:14" x14ac:dyDescent="0.25">
      <c r="A320">
        <v>319</v>
      </c>
      <c r="B320" s="1">
        <v>43997</v>
      </c>
      <c r="C320">
        <v>4943792001</v>
      </c>
      <c r="D320" t="s">
        <v>20</v>
      </c>
      <c r="E320" t="s">
        <v>80</v>
      </c>
      <c r="F320" t="s">
        <v>95</v>
      </c>
      <c r="G320" t="s">
        <v>7</v>
      </c>
      <c r="H320" t="s">
        <v>8</v>
      </c>
      <c r="I320" t="s">
        <v>17</v>
      </c>
      <c r="J320" t="s">
        <v>22</v>
      </c>
      <c r="K320" t="s">
        <v>11</v>
      </c>
      <c r="L320" s="2">
        <v>644</v>
      </c>
      <c r="M320" s="2">
        <v>83</v>
      </c>
      <c r="N320" s="2">
        <f>normalizar!$L320*normalizar!$M320</f>
        <v>53452</v>
      </c>
    </row>
    <row r="321" spans="1:14" x14ac:dyDescent="0.25">
      <c r="A321">
        <v>320</v>
      </c>
      <c r="B321" s="1">
        <v>43857</v>
      </c>
      <c r="C321">
        <v>2679766092</v>
      </c>
      <c r="D321" t="s">
        <v>23</v>
      </c>
      <c r="E321" t="s">
        <v>86</v>
      </c>
      <c r="F321" t="s">
        <v>82</v>
      </c>
      <c r="G321" t="s">
        <v>24</v>
      </c>
      <c r="H321" t="s">
        <v>25</v>
      </c>
      <c r="I321" t="s">
        <v>17</v>
      </c>
      <c r="J321" t="s">
        <v>26</v>
      </c>
      <c r="K321" t="s">
        <v>27</v>
      </c>
      <c r="L321" s="2">
        <v>128.79999999999998</v>
      </c>
      <c r="M321" s="2">
        <v>76</v>
      </c>
      <c r="N321" s="2">
        <f>normalizar!$L321*normalizar!$M321</f>
        <v>9788.7999999999993</v>
      </c>
    </row>
    <row r="322" spans="1:14" x14ac:dyDescent="0.25">
      <c r="A322">
        <v>321</v>
      </c>
      <c r="B322" s="1">
        <v>44155</v>
      </c>
      <c r="C322">
        <v>6256032641</v>
      </c>
      <c r="D322" t="s">
        <v>14</v>
      </c>
      <c r="E322" t="s">
        <v>81</v>
      </c>
      <c r="F322" t="s">
        <v>94</v>
      </c>
      <c r="G322" t="s">
        <v>15</v>
      </c>
      <c r="H322" t="s">
        <v>25</v>
      </c>
      <c r="I322" t="s">
        <v>9</v>
      </c>
      <c r="J322" t="s">
        <v>26</v>
      </c>
      <c r="K322" t="s">
        <v>27</v>
      </c>
      <c r="L322" s="2">
        <v>128.79999999999998</v>
      </c>
      <c r="M322" s="2">
        <v>80</v>
      </c>
      <c r="N322" s="2">
        <f>normalizar!$L322*normalizar!$M322</f>
        <v>10303.999999999998</v>
      </c>
    </row>
    <row r="323" spans="1:14" x14ac:dyDescent="0.25">
      <c r="A323">
        <v>322</v>
      </c>
      <c r="B323" s="1">
        <v>43867</v>
      </c>
      <c r="C323">
        <v>8317306577</v>
      </c>
      <c r="D323" t="s">
        <v>28</v>
      </c>
      <c r="E323" t="s">
        <v>89</v>
      </c>
      <c r="F323" t="s">
        <v>84</v>
      </c>
      <c r="G323" t="s">
        <v>29</v>
      </c>
      <c r="H323" t="s">
        <v>8</v>
      </c>
      <c r="I323" t="s">
        <v>9</v>
      </c>
      <c r="J323" t="s">
        <v>30</v>
      </c>
      <c r="K323" t="s">
        <v>31</v>
      </c>
      <c r="L323" s="2">
        <v>178.5</v>
      </c>
      <c r="M323" s="2">
        <v>47</v>
      </c>
      <c r="N323" s="2">
        <f>normalizar!$L323*normalizar!$M323</f>
        <v>8389.5</v>
      </c>
    </row>
    <row r="324" spans="1:14" x14ac:dyDescent="0.25">
      <c r="A324">
        <v>323</v>
      </c>
      <c r="B324" s="1">
        <v>44120</v>
      </c>
      <c r="C324">
        <v>4952054948</v>
      </c>
      <c r="D324" t="s">
        <v>32</v>
      </c>
      <c r="E324" t="s">
        <v>93</v>
      </c>
      <c r="F324" t="s">
        <v>96</v>
      </c>
      <c r="G324" t="s">
        <v>7</v>
      </c>
      <c r="H324" t="s">
        <v>8</v>
      </c>
      <c r="I324" t="s">
        <v>33</v>
      </c>
      <c r="J324" t="s">
        <v>34</v>
      </c>
      <c r="K324" t="s">
        <v>35</v>
      </c>
      <c r="L324" s="2">
        <v>135.1</v>
      </c>
      <c r="M324" s="2">
        <v>96</v>
      </c>
      <c r="N324" s="2">
        <f>normalizar!$L324*normalizar!$M324</f>
        <v>12969.599999999999</v>
      </c>
    </row>
    <row r="325" spans="1:14" x14ac:dyDescent="0.25">
      <c r="A325">
        <v>324</v>
      </c>
      <c r="B325" s="1">
        <v>44059</v>
      </c>
      <c r="C325">
        <v>7792270317</v>
      </c>
      <c r="D325" t="s">
        <v>36</v>
      </c>
      <c r="E325" t="s">
        <v>92</v>
      </c>
      <c r="F325" t="s">
        <v>99</v>
      </c>
      <c r="G325" t="s">
        <v>37</v>
      </c>
      <c r="H325" t="s">
        <v>8</v>
      </c>
      <c r="I325" t="s">
        <v>17</v>
      </c>
      <c r="J325" t="s">
        <v>38</v>
      </c>
      <c r="K325" t="s">
        <v>39</v>
      </c>
      <c r="L325" s="2">
        <v>560</v>
      </c>
      <c r="M325" s="2">
        <v>32</v>
      </c>
      <c r="N325" s="2">
        <f>normalizar!$L325*normalizar!$M325</f>
        <v>17920</v>
      </c>
    </row>
    <row r="326" spans="1:14" x14ac:dyDescent="0.25">
      <c r="A326">
        <v>325</v>
      </c>
      <c r="B326" s="1">
        <v>44045</v>
      </c>
      <c r="C326">
        <v>8753687299</v>
      </c>
      <c r="D326" t="s">
        <v>40</v>
      </c>
      <c r="E326" t="s">
        <v>97</v>
      </c>
      <c r="F326" t="s">
        <v>88</v>
      </c>
      <c r="G326" t="s">
        <v>41</v>
      </c>
      <c r="H326" t="s">
        <v>25</v>
      </c>
      <c r="I326" t="s">
        <v>9</v>
      </c>
      <c r="J326" t="s">
        <v>22</v>
      </c>
      <c r="K326" t="s">
        <v>11</v>
      </c>
      <c r="L326" s="2">
        <v>644</v>
      </c>
      <c r="M326" s="2">
        <v>16</v>
      </c>
      <c r="N326" s="2">
        <f>normalizar!$L326*normalizar!$M326</f>
        <v>10304</v>
      </c>
    </row>
    <row r="327" spans="1:14" x14ac:dyDescent="0.25">
      <c r="A327">
        <v>326</v>
      </c>
      <c r="B327" s="1">
        <v>43867</v>
      </c>
      <c r="C327">
        <v>3276376437</v>
      </c>
      <c r="D327" t="s">
        <v>23</v>
      </c>
      <c r="E327" t="s">
        <v>86</v>
      </c>
      <c r="F327" t="s">
        <v>82</v>
      </c>
      <c r="G327" t="s">
        <v>24</v>
      </c>
      <c r="H327" t="s">
        <v>25</v>
      </c>
      <c r="I327" t="s">
        <v>9</v>
      </c>
      <c r="J327" t="s">
        <v>30</v>
      </c>
      <c r="K327" t="s">
        <v>31</v>
      </c>
      <c r="L327" s="2">
        <v>178.5</v>
      </c>
      <c r="M327" s="2">
        <v>41</v>
      </c>
      <c r="N327" s="2">
        <f>normalizar!$L327*normalizar!$M327</f>
        <v>7318.5</v>
      </c>
    </row>
    <row r="328" spans="1:14" x14ac:dyDescent="0.25">
      <c r="A328">
        <v>327</v>
      </c>
      <c r="B328" s="1">
        <v>44087</v>
      </c>
      <c r="C328">
        <v>6189400875</v>
      </c>
      <c r="D328" t="s">
        <v>42</v>
      </c>
      <c r="E328" t="s">
        <v>91</v>
      </c>
      <c r="F328" t="s">
        <v>91</v>
      </c>
      <c r="G328" t="s">
        <v>43</v>
      </c>
      <c r="H328" t="s">
        <v>8</v>
      </c>
      <c r="I328" t="s">
        <v>17</v>
      </c>
      <c r="J328" t="s">
        <v>44</v>
      </c>
      <c r="K328" t="s">
        <v>11</v>
      </c>
      <c r="L328" s="2">
        <v>41.86</v>
      </c>
      <c r="M328" s="2">
        <v>41</v>
      </c>
      <c r="N328" s="2">
        <f>normalizar!$L328*normalizar!$M328</f>
        <v>1716.26</v>
      </c>
    </row>
    <row r="329" spans="1:14" x14ac:dyDescent="0.25">
      <c r="A329">
        <v>328</v>
      </c>
      <c r="B329" s="1">
        <v>43927</v>
      </c>
      <c r="C329">
        <v>3440571177</v>
      </c>
      <c r="D329" t="s">
        <v>45</v>
      </c>
      <c r="E329" t="s">
        <v>87</v>
      </c>
      <c r="F329" t="s">
        <v>87</v>
      </c>
      <c r="G329" t="s">
        <v>24</v>
      </c>
      <c r="H329" t="s">
        <v>127</v>
      </c>
      <c r="I329" t="s">
        <v>127</v>
      </c>
      <c r="J329" t="s">
        <v>22</v>
      </c>
      <c r="K329" t="s">
        <v>11</v>
      </c>
      <c r="L329" s="2">
        <v>644</v>
      </c>
      <c r="M329" s="2">
        <v>41</v>
      </c>
      <c r="N329" s="2">
        <f>normalizar!$L329*normalizar!$M329</f>
        <v>26404</v>
      </c>
    </row>
    <row r="330" spans="1:14" x14ac:dyDescent="0.25">
      <c r="A330">
        <v>329</v>
      </c>
      <c r="B330" s="1">
        <v>43975</v>
      </c>
      <c r="C330">
        <v>8874798513</v>
      </c>
      <c r="D330" t="s">
        <v>42</v>
      </c>
      <c r="E330" t="s">
        <v>91</v>
      </c>
      <c r="F330" t="s">
        <v>91</v>
      </c>
      <c r="G330" t="s">
        <v>43</v>
      </c>
      <c r="H330" t="s">
        <v>16</v>
      </c>
      <c r="I330" t="s">
        <v>127</v>
      </c>
      <c r="J330" t="s">
        <v>46</v>
      </c>
      <c r="K330" t="s">
        <v>47</v>
      </c>
      <c r="L330" s="2">
        <v>350</v>
      </c>
      <c r="M330" s="2">
        <v>94</v>
      </c>
      <c r="N330" s="2">
        <f>normalizar!$L330*normalizar!$M330</f>
        <v>32900</v>
      </c>
    </row>
    <row r="331" spans="1:14" x14ac:dyDescent="0.25">
      <c r="A331">
        <v>330</v>
      </c>
      <c r="B331" s="1">
        <v>43992</v>
      </c>
      <c r="C331">
        <v>9730368433</v>
      </c>
      <c r="D331" t="s">
        <v>42</v>
      </c>
      <c r="E331" t="s">
        <v>91</v>
      </c>
      <c r="F331" t="s">
        <v>91</v>
      </c>
      <c r="G331" t="s">
        <v>43</v>
      </c>
      <c r="H331" t="s">
        <v>16</v>
      </c>
      <c r="I331" t="s">
        <v>127</v>
      </c>
      <c r="J331" t="s">
        <v>48</v>
      </c>
      <c r="K331" t="s">
        <v>49</v>
      </c>
      <c r="L331" s="2">
        <v>308</v>
      </c>
      <c r="M331" s="2">
        <v>20</v>
      </c>
      <c r="N331" s="2">
        <f>normalizar!$L331*normalizar!$M331</f>
        <v>6160</v>
      </c>
    </row>
    <row r="332" spans="1:14" x14ac:dyDescent="0.25">
      <c r="A332">
        <v>331</v>
      </c>
      <c r="B332" s="1">
        <v>43870</v>
      </c>
      <c r="C332">
        <v>6592275352</v>
      </c>
      <c r="D332" t="s">
        <v>42</v>
      </c>
      <c r="E332" t="s">
        <v>91</v>
      </c>
      <c r="F332" t="s">
        <v>91</v>
      </c>
      <c r="G332" t="s">
        <v>43</v>
      </c>
      <c r="H332" t="s">
        <v>16</v>
      </c>
      <c r="I332" t="s">
        <v>127</v>
      </c>
      <c r="J332" t="s">
        <v>26</v>
      </c>
      <c r="K332" t="s">
        <v>27</v>
      </c>
      <c r="L332" s="2">
        <v>128.79999999999998</v>
      </c>
      <c r="M332" s="2">
        <v>13</v>
      </c>
      <c r="N332" s="2">
        <f>normalizar!$L332*normalizar!$M332</f>
        <v>1674.3999999999999</v>
      </c>
    </row>
    <row r="333" spans="1:14" x14ac:dyDescent="0.25">
      <c r="A333">
        <v>332</v>
      </c>
      <c r="B333" s="1">
        <v>43882</v>
      </c>
      <c r="C333">
        <v>9303282439</v>
      </c>
      <c r="D333" t="s">
        <v>50</v>
      </c>
      <c r="E333" t="s">
        <v>85</v>
      </c>
      <c r="F333" t="s">
        <v>83</v>
      </c>
      <c r="G333" t="s">
        <v>41</v>
      </c>
      <c r="H333" t="s">
        <v>25</v>
      </c>
      <c r="I333" t="s">
        <v>127</v>
      </c>
      <c r="J333" t="s">
        <v>12</v>
      </c>
      <c r="K333" t="s">
        <v>13</v>
      </c>
      <c r="L333" s="2">
        <v>49</v>
      </c>
      <c r="M333" s="2">
        <v>74</v>
      </c>
      <c r="N333" s="2">
        <f>normalizar!$L333*normalizar!$M333</f>
        <v>3626</v>
      </c>
    </row>
    <row r="334" spans="1:14" x14ac:dyDescent="0.25">
      <c r="A334">
        <v>333</v>
      </c>
      <c r="B334" s="1">
        <v>43940</v>
      </c>
      <c r="C334">
        <v>8998167680</v>
      </c>
      <c r="D334" t="s">
        <v>50</v>
      </c>
      <c r="E334" t="s">
        <v>85</v>
      </c>
      <c r="F334" t="s">
        <v>83</v>
      </c>
      <c r="G334" t="s">
        <v>41</v>
      </c>
      <c r="H334" t="s">
        <v>25</v>
      </c>
      <c r="I334" t="s">
        <v>127</v>
      </c>
      <c r="J334" t="s">
        <v>44</v>
      </c>
      <c r="K334" t="s">
        <v>11</v>
      </c>
      <c r="L334" s="2">
        <v>41.86</v>
      </c>
      <c r="M334" s="2">
        <v>53</v>
      </c>
      <c r="N334" s="2">
        <f>normalizar!$L334*normalizar!$M334</f>
        <v>2218.58</v>
      </c>
    </row>
    <row r="335" spans="1:14" x14ac:dyDescent="0.25">
      <c r="A335">
        <v>334</v>
      </c>
      <c r="B335" s="1">
        <v>43874</v>
      </c>
      <c r="C335">
        <v>2058395697</v>
      </c>
      <c r="D335" t="s">
        <v>51</v>
      </c>
      <c r="E335" t="s">
        <v>90</v>
      </c>
      <c r="F335" t="s">
        <v>98</v>
      </c>
      <c r="G335" t="s">
        <v>24</v>
      </c>
      <c r="H335" t="s">
        <v>127</v>
      </c>
      <c r="I335" t="s">
        <v>127</v>
      </c>
      <c r="J335" t="s">
        <v>21</v>
      </c>
      <c r="K335" t="s">
        <v>11</v>
      </c>
      <c r="L335" s="2">
        <v>252</v>
      </c>
      <c r="M335" s="2">
        <v>99</v>
      </c>
      <c r="N335" s="2">
        <f>normalizar!$L335*normalizar!$M335</f>
        <v>24948</v>
      </c>
    </row>
    <row r="336" spans="1:14" x14ac:dyDescent="0.25">
      <c r="A336">
        <v>335</v>
      </c>
      <c r="B336" s="1">
        <v>43832</v>
      </c>
      <c r="C336">
        <v>5534305664</v>
      </c>
      <c r="D336" t="s">
        <v>51</v>
      </c>
      <c r="E336" t="s">
        <v>90</v>
      </c>
      <c r="F336" t="s">
        <v>98</v>
      </c>
      <c r="G336" t="s">
        <v>24</v>
      </c>
      <c r="H336" t="s">
        <v>127</v>
      </c>
      <c r="I336" t="s">
        <v>127</v>
      </c>
      <c r="J336" t="s">
        <v>22</v>
      </c>
      <c r="K336" t="s">
        <v>11</v>
      </c>
      <c r="L336" s="2">
        <v>644</v>
      </c>
      <c r="M336" s="2">
        <v>89</v>
      </c>
      <c r="N336" s="2">
        <f>normalizar!$L336*normalizar!$M336</f>
        <v>57316</v>
      </c>
    </row>
    <row r="337" spans="1:14" x14ac:dyDescent="0.25">
      <c r="A337">
        <v>336</v>
      </c>
      <c r="B337" s="1">
        <v>43988</v>
      </c>
      <c r="C337">
        <v>5417309832</v>
      </c>
      <c r="D337" t="s">
        <v>51</v>
      </c>
      <c r="E337" t="s">
        <v>90</v>
      </c>
      <c r="F337" t="s">
        <v>98</v>
      </c>
      <c r="G337" t="s">
        <v>24</v>
      </c>
      <c r="H337" t="s">
        <v>127</v>
      </c>
      <c r="I337" t="s">
        <v>127</v>
      </c>
      <c r="J337" t="s">
        <v>44</v>
      </c>
      <c r="K337" t="s">
        <v>11</v>
      </c>
      <c r="L337" s="2">
        <v>41.86</v>
      </c>
      <c r="M337" s="2">
        <v>64</v>
      </c>
      <c r="N337" s="2">
        <f>normalizar!$L337*normalizar!$M337</f>
        <v>2679.04</v>
      </c>
    </row>
    <row r="338" spans="1:14" x14ac:dyDescent="0.25">
      <c r="A338">
        <v>337</v>
      </c>
      <c r="B338" s="1">
        <v>44101</v>
      </c>
      <c r="C338">
        <v>7626114952</v>
      </c>
      <c r="D338" t="s">
        <v>40</v>
      </c>
      <c r="E338" t="s">
        <v>97</v>
      </c>
      <c r="F338" t="s">
        <v>88</v>
      </c>
      <c r="G338" t="s">
        <v>41</v>
      </c>
      <c r="H338" t="s">
        <v>25</v>
      </c>
      <c r="I338" t="s">
        <v>17</v>
      </c>
      <c r="J338" t="s">
        <v>34</v>
      </c>
      <c r="K338" t="s">
        <v>35</v>
      </c>
      <c r="L338" s="2">
        <v>135.1</v>
      </c>
      <c r="M338" s="2">
        <v>98</v>
      </c>
      <c r="N338" s="2">
        <f>normalizar!$L338*normalizar!$M338</f>
        <v>13239.8</v>
      </c>
    </row>
    <row r="339" spans="1:14" x14ac:dyDescent="0.25">
      <c r="A339">
        <v>338</v>
      </c>
      <c r="B339" s="1">
        <v>43879</v>
      </c>
      <c r="C339">
        <v>7075151442</v>
      </c>
      <c r="D339" t="s">
        <v>40</v>
      </c>
      <c r="E339" t="s">
        <v>97</v>
      </c>
      <c r="F339" t="s">
        <v>88</v>
      </c>
      <c r="G339" t="s">
        <v>41</v>
      </c>
      <c r="H339" t="s">
        <v>25</v>
      </c>
      <c r="I339" t="s">
        <v>17</v>
      </c>
      <c r="J339" t="s">
        <v>52</v>
      </c>
      <c r="K339" t="s">
        <v>53</v>
      </c>
      <c r="L339" s="2">
        <v>257.59999999999997</v>
      </c>
      <c r="M339" s="2">
        <v>86</v>
      </c>
      <c r="N339" s="2">
        <f>normalizar!$L339*normalizar!$M339</f>
        <v>22153.599999999999</v>
      </c>
    </row>
    <row r="340" spans="1:14" x14ac:dyDescent="0.25">
      <c r="A340">
        <v>339</v>
      </c>
      <c r="B340" s="1">
        <v>44167</v>
      </c>
      <c r="C340">
        <v>4170346813</v>
      </c>
      <c r="D340" t="s">
        <v>54</v>
      </c>
      <c r="E340" t="s">
        <v>89</v>
      </c>
      <c r="F340" t="s">
        <v>84</v>
      </c>
      <c r="G340" t="s">
        <v>55</v>
      </c>
      <c r="H340" t="s">
        <v>16</v>
      </c>
      <c r="I340" t="s">
        <v>9</v>
      </c>
      <c r="J340" t="s">
        <v>56</v>
      </c>
      <c r="K340" t="s">
        <v>57</v>
      </c>
      <c r="L340" s="2">
        <v>273</v>
      </c>
      <c r="M340" s="2">
        <v>20</v>
      </c>
      <c r="N340" s="2">
        <f>normalizar!$L340*normalizar!$M340</f>
        <v>5460</v>
      </c>
    </row>
    <row r="341" spans="1:14" x14ac:dyDescent="0.25">
      <c r="A341">
        <v>340</v>
      </c>
      <c r="B341" s="1">
        <v>43982</v>
      </c>
      <c r="C341">
        <v>7181884746</v>
      </c>
      <c r="D341" t="s">
        <v>54</v>
      </c>
      <c r="E341" t="s">
        <v>89</v>
      </c>
      <c r="F341" t="s">
        <v>84</v>
      </c>
      <c r="G341" t="s">
        <v>55</v>
      </c>
      <c r="H341" t="s">
        <v>16</v>
      </c>
      <c r="I341" t="s">
        <v>9</v>
      </c>
      <c r="J341" t="s">
        <v>58</v>
      </c>
      <c r="K341" t="s">
        <v>59</v>
      </c>
      <c r="L341" s="2">
        <v>487.19999999999993</v>
      </c>
      <c r="M341" s="2">
        <v>69</v>
      </c>
      <c r="N341" s="2">
        <f>normalizar!$L341*normalizar!$M341</f>
        <v>33616.799999999996</v>
      </c>
    </row>
    <row r="342" spans="1:14" x14ac:dyDescent="0.25">
      <c r="A342">
        <v>341</v>
      </c>
      <c r="B342" s="1">
        <v>44196</v>
      </c>
      <c r="C342">
        <v>654398232</v>
      </c>
      <c r="D342" t="s">
        <v>36</v>
      </c>
      <c r="E342" t="s">
        <v>92</v>
      </c>
      <c r="F342" t="s">
        <v>99</v>
      </c>
      <c r="G342" t="s">
        <v>37</v>
      </c>
      <c r="H342" t="s">
        <v>8</v>
      </c>
      <c r="I342" t="s">
        <v>17</v>
      </c>
      <c r="J342" t="s">
        <v>10</v>
      </c>
      <c r="K342" t="s">
        <v>11</v>
      </c>
      <c r="L342" s="2">
        <v>196</v>
      </c>
      <c r="M342" s="2">
        <v>68</v>
      </c>
      <c r="N342" s="2">
        <f>normalizar!$L342*normalizar!$M342</f>
        <v>13328</v>
      </c>
    </row>
    <row r="343" spans="1:14" x14ac:dyDescent="0.25">
      <c r="A343">
        <v>342</v>
      </c>
      <c r="B343" s="1">
        <v>43891</v>
      </c>
      <c r="C343">
        <v>6559752885</v>
      </c>
      <c r="D343" t="s">
        <v>23</v>
      </c>
      <c r="E343" t="s">
        <v>86</v>
      </c>
      <c r="F343" t="s">
        <v>82</v>
      </c>
      <c r="G343" t="s">
        <v>24</v>
      </c>
      <c r="H343" t="s">
        <v>8</v>
      </c>
      <c r="I343" t="s">
        <v>9</v>
      </c>
      <c r="J343" t="s">
        <v>38</v>
      </c>
      <c r="K343" t="s">
        <v>39</v>
      </c>
      <c r="L343" s="2">
        <v>560</v>
      </c>
      <c r="M343" s="2">
        <v>52</v>
      </c>
      <c r="N343" s="2">
        <f>normalizar!$L343*normalizar!$M343</f>
        <v>29120</v>
      </c>
    </row>
    <row r="344" spans="1:14" x14ac:dyDescent="0.25">
      <c r="A344">
        <v>343</v>
      </c>
      <c r="B344" s="1">
        <v>44023</v>
      </c>
      <c r="C344">
        <v>9428165637</v>
      </c>
      <c r="D344" t="s">
        <v>23</v>
      </c>
      <c r="E344" t="s">
        <v>86</v>
      </c>
      <c r="F344" t="s">
        <v>82</v>
      </c>
      <c r="G344" t="s">
        <v>24</v>
      </c>
      <c r="H344" t="s">
        <v>8</v>
      </c>
      <c r="I344" t="s">
        <v>9</v>
      </c>
      <c r="J344" t="s">
        <v>26</v>
      </c>
      <c r="K344" t="s">
        <v>27</v>
      </c>
      <c r="L344" s="2">
        <v>128.79999999999998</v>
      </c>
      <c r="M344" s="2">
        <v>40</v>
      </c>
      <c r="N344" s="2">
        <f>normalizar!$L344*normalizar!$M344</f>
        <v>5151.9999999999991</v>
      </c>
    </row>
    <row r="345" spans="1:14" x14ac:dyDescent="0.25">
      <c r="A345">
        <v>344</v>
      </c>
      <c r="B345" s="1">
        <v>43843</v>
      </c>
      <c r="C345">
        <v>9902612158</v>
      </c>
      <c r="D345" t="s">
        <v>62</v>
      </c>
      <c r="E345" t="s">
        <v>91</v>
      </c>
      <c r="F345" t="s">
        <v>91</v>
      </c>
      <c r="G345" t="s">
        <v>43</v>
      </c>
      <c r="H345" t="s">
        <v>16</v>
      </c>
      <c r="I345" t="s">
        <v>33</v>
      </c>
      <c r="J345" t="s">
        <v>67</v>
      </c>
      <c r="K345" t="s">
        <v>27</v>
      </c>
      <c r="L345" s="2">
        <v>140</v>
      </c>
      <c r="M345" s="2">
        <v>100</v>
      </c>
      <c r="N345" s="2">
        <f>normalizar!$L345*normalizar!$M345</f>
        <v>14000</v>
      </c>
    </row>
    <row r="346" spans="1:14" x14ac:dyDescent="0.25">
      <c r="A346">
        <v>345</v>
      </c>
      <c r="B346" s="1">
        <v>44034</v>
      </c>
      <c r="C346">
        <v>9601886174</v>
      </c>
      <c r="D346" t="s">
        <v>63</v>
      </c>
      <c r="E346" t="s">
        <v>85</v>
      </c>
      <c r="F346" t="s">
        <v>83</v>
      </c>
      <c r="G346" t="s">
        <v>41</v>
      </c>
      <c r="H346" t="s">
        <v>25</v>
      </c>
      <c r="I346" t="s">
        <v>17</v>
      </c>
      <c r="J346" t="s">
        <v>68</v>
      </c>
      <c r="K346" t="s">
        <v>69</v>
      </c>
      <c r="L346" s="2">
        <v>298.90000000000003</v>
      </c>
      <c r="M346" s="2">
        <v>88</v>
      </c>
      <c r="N346" s="2">
        <f>normalizar!$L346*normalizar!$M346</f>
        <v>26303.200000000004</v>
      </c>
    </row>
    <row r="347" spans="1:14" x14ac:dyDescent="0.25">
      <c r="A347">
        <v>346</v>
      </c>
      <c r="B347" s="1">
        <v>43958</v>
      </c>
      <c r="C347">
        <v>9194823962</v>
      </c>
      <c r="D347" t="s">
        <v>63</v>
      </c>
      <c r="E347" t="s">
        <v>85</v>
      </c>
      <c r="F347" t="s">
        <v>83</v>
      </c>
      <c r="G347" t="s">
        <v>41</v>
      </c>
      <c r="H347" t="s">
        <v>25</v>
      </c>
      <c r="I347" t="s">
        <v>17</v>
      </c>
      <c r="J347" t="s">
        <v>34</v>
      </c>
      <c r="K347" t="s">
        <v>35</v>
      </c>
      <c r="L347" s="2">
        <v>135.1</v>
      </c>
      <c r="M347" s="2">
        <v>46</v>
      </c>
      <c r="N347" s="2">
        <f>normalizar!$L347*normalizar!$M347</f>
        <v>6214.5999999999995</v>
      </c>
    </row>
    <row r="348" spans="1:14" x14ac:dyDescent="0.25">
      <c r="A348">
        <v>347</v>
      </c>
      <c r="B348" s="1">
        <v>43832</v>
      </c>
      <c r="C348">
        <v>3580433044</v>
      </c>
      <c r="D348" t="s">
        <v>63</v>
      </c>
      <c r="E348" t="s">
        <v>85</v>
      </c>
      <c r="F348" t="s">
        <v>83</v>
      </c>
      <c r="G348" t="s">
        <v>41</v>
      </c>
      <c r="H348" t="s">
        <v>25</v>
      </c>
      <c r="I348" t="s">
        <v>17</v>
      </c>
      <c r="J348" t="s">
        <v>52</v>
      </c>
      <c r="K348" t="s">
        <v>53</v>
      </c>
      <c r="L348" s="2">
        <v>257.59999999999997</v>
      </c>
      <c r="M348" s="2">
        <v>93</v>
      </c>
      <c r="N348" s="2">
        <f>normalizar!$L348*normalizar!$M348</f>
        <v>23956.799999999996</v>
      </c>
    </row>
    <row r="349" spans="1:14" x14ac:dyDescent="0.25">
      <c r="A349">
        <v>348</v>
      </c>
      <c r="B349" s="1">
        <v>43959</v>
      </c>
      <c r="C349">
        <v>7020598503</v>
      </c>
      <c r="D349" t="s">
        <v>28</v>
      </c>
      <c r="E349" t="s">
        <v>89</v>
      </c>
      <c r="F349" t="s">
        <v>84</v>
      </c>
      <c r="G349" t="s">
        <v>29</v>
      </c>
      <c r="H349" t="s">
        <v>8</v>
      </c>
      <c r="I349" t="s">
        <v>9</v>
      </c>
      <c r="J349" t="s">
        <v>10</v>
      </c>
      <c r="K349" t="s">
        <v>11</v>
      </c>
      <c r="L349" s="2">
        <v>196</v>
      </c>
      <c r="M349" s="2">
        <v>96</v>
      </c>
      <c r="N349" s="2">
        <f>normalizar!$L349*normalizar!$M349</f>
        <v>18816</v>
      </c>
    </row>
    <row r="350" spans="1:14" x14ac:dyDescent="0.25">
      <c r="A350">
        <v>349</v>
      </c>
      <c r="B350" s="1">
        <v>44101</v>
      </c>
      <c r="C350">
        <v>8040421717</v>
      </c>
      <c r="D350" t="s">
        <v>36</v>
      </c>
      <c r="E350" t="s">
        <v>92</v>
      </c>
      <c r="F350" t="s">
        <v>99</v>
      </c>
      <c r="G350" t="s">
        <v>37</v>
      </c>
      <c r="H350" t="s">
        <v>25</v>
      </c>
      <c r="I350" t="s">
        <v>9</v>
      </c>
      <c r="J350" t="s">
        <v>30</v>
      </c>
      <c r="K350" t="s">
        <v>31</v>
      </c>
      <c r="L350" s="2">
        <v>178.5</v>
      </c>
      <c r="M350" s="2">
        <v>12</v>
      </c>
      <c r="N350" s="2">
        <f>normalizar!$L350*normalizar!$M350</f>
        <v>2142</v>
      </c>
    </row>
    <row r="351" spans="1:14" x14ac:dyDescent="0.25">
      <c r="A351">
        <v>350</v>
      </c>
      <c r="B351" s="1">
        <v>43958</v>
      </c>
      <c r="C351">
        <v>3654530055</v>
      </c>
      <c r="D351" t="s">
        <v>14</v>
      </c>
      <c r="E351" t="s">
        <v>81</v>
      </c>
      <c r="F351" t="s">
        <v>94</v>
      </c>
      <c r="G351" t="s">
        <v>15</v>
      </c>
      <c r="H351" t="s">
        <v>16</v>
      </c>
      <c r="I351" t="s">
        <v>17</v>
      </c>
      <c r="J351" t="s">
        <v>70</v>
      </c>
      <c r="K351" t="s">
        <v>47</v>
      </c>
      <c r="L351" s="2">
        <v>1134</v>
      </c>
      <c r="M351" s="2">
        <v>38</v>
      </c>
      <c r="N351" s="2">
        <f>normalizar!$L351*normalizar!$M351</f>
        <v>43092</v>
      </c>
    </row>
    <row r="352" spans="1:14" x14ac:dyDescent="0.25">
      <c r="A352">
        <v>351</v>
      </c>
      <c r="B352" s="1">
        <v>43884</v>
      </c>
      <c r="C352">
        <v>2061527783</v>
      </c>
      <c r="D352" t="s">
        <v>14</v>
      </c>
      <c r="E352" t="s">
        <v>81</v>
      </c>
      <c r="F352" t="s">
        <v>94</v>
      </c>
      <c r="G352" t="s">
        <v>15</v>
      </c>
      <c r="H352" t="s">
        <v>16</v>
      </c>
      <c r="I352" t="s">
        <v>17</v>
      </c>
      <c r="J352" t="s">
        <v>71</v>
      </c>
      <c r="K352" t="s">
        <v>72</v>
      </c>
      <c r="L352" s="2">
        <v>98</v>
      </c>
      <c r="M352" s="2">
        <v>42</v>
      </c>
      <c r="N352" s="2">
        <f>normalizar!$L352*normalizar!$M352</f>
        <v>4116</v>
      </c>
    </row>
    <row r="353" spans="1:14" x14ac:dyDescent="0.25">
      <c r="A353">
        <v>352</v>
      </c>
      <c r="B353" s="1">
        <v>43958</v>
      </c>
      <c r="C353">
        <v>7896754000</v>
      </c>
      <c r="D353" t="s">
        <v>23</v>
      </c>
      <c r="E353" t="s">
        <v>86</v>
      </c>
      <c r="F353" t="s">
        <v>82</v>
      </c>
      <c r="G353" t="s">
        <v>24</v>
      </c>
      <c r="H353" t="s">
        <v>25</v>
      </c>
      <c r="I353" t="s">
        <v>17</v>
      </c>
      <c r="J353" t="s">
        <v>58</v>
      </c>
      <c r="K353" t="s">
        <v>59</v>
      </c>
      <c r="L353" s="2">
        <v>487.19999999999993</v>
      </c>
      <c r="M353" s="2">
        <v>100</v>
      </c>
      <c r="N353" s="2">
        <f>normalizar!$L353*normalizar!$M353</f>
        <v>48719.999999999993</v>
      </c>
    </row>
    <row r="354" spans="1:14" x14ac:dyDescent="0.25">
      <c r="A354">
        <v>353</v>
      </c>
      <c r="B354" s="1">
        <v>44185</v>
      </c>
      <c r="C354">
        <v>7608023281</v>
      </c>
      <c r="D354" t="s">
        <v>32</v>
      </c>
      <c r="E354" t="s">
        <v>93</v>
      </c>
      <c r="F354" t="s">
        <v>96</v>
      </c>
      <c r="G354" t="s">
        <v>7</v>
      </c>
      <c r="H354" t="s">
        <v>8</v>
      </c>
      <c r="I354" t="s">
        <v>33</v>
      </c>
      <c r="J354" t="s">
        <v>60</v>
      </c>
      <c r="K354" t="s">
        <v>49</v>
      </c>
      <c r="L354" s="2">
        <v>140</v>
      </c>
      <c r="M354" s="2">
        <v>89</v>
      </c>
      <c r="N354" s="2">
        <f>normalizar!$L354*normalizar!$M354</f>
        <v>12460</v>
      </c>
    </row>
    <row r="355" spans="1:14" x14ac:dyDescent="0.25">
      <c r="A355">
        <v>354</v>
      </c>
      <c r="B355" s="1">
        <v>44158</v>
      </c>
      <c r="C355">
        <v>1088259448</v>
      </c>
      <c r="D355" t="s">
        <v>32</v>
      </c>
      <c r="E355" t="s">
        <v>93</v>
      </c>
      <c r="F355" t="s">
        <v>96</v>
      </c>
      <c r="G355" t="s">
        <v>7</v>
      </c>
      <c r="H355" t="s">
        <v>8</v>
      </c>
      <c r="I355" t="s">
        <v>33</v>
      </c>
      <c r="J355" t="s">
        <v>38</v>
      </c>
      <c r="K355" t="s">
        <v>39</v>
      </c>
      <c r="L355" s="2">
        <v>560</v>
      </c>
      <c r="M355" s="2">
        <v>12</v>
      </c>
      <c r="N355" s="2">
        <f>normalizar!$L355*normalizar!$M355</f>
        <v>6720</v>
      </c>
    </row>
    <row r="356" spans="1:14" x14ac:dyDescent="0.25">
      <c r="A356">
        <v>355</v>
      </c>
      <c r="B356" s="1">
        <v>43872</v>
      </c>
      <c r="C356">
        <v>8019968936</v>
      </c>
      <c r="D356" t="s">
        <v>42</v>
      </c>
      <c r="E356" t="s">
        <v>91</v>
      </c>
      <c r="F356" t="s">
        <v>91</v>
      </c>
      <c r="G356" t="s">
        <v>43</v>
      </c>
      <c r="H356" t="s">
        <v>8</v>
      </c>
      <c r="I356" t="s">
        <v>17</v>
      </c>
      <c r="J356" t="s">
        <v>61</v>
      </c>
      <c r="K356" t="s">
        <v>13</v>
      </c>
      <c r="L356" s="2">
        <v>140</v>
      </c>
      <c r="M356" s="2">
        <v>97</v>
      </c>
      <c r="N356" s="2">
        <f>normalizar!$L356*normalizar!$M356</f>
        <v>13580</v>
      </c>
    </row>
    <row r="357" spans="1:14" x14ac:dyDescent="0.25">
      <c r="A357">
        <v>356</v>
      </c>
      <c r="B357" s="1">
        <v>43849</v>
      </c>
      <c r="C357">
        <v>767630917</v>
      </c>
      <c r="D357" t="s">
        <v>42</v>
      </c>
      <c r="E357" t="s">
        <v>91</v>
      </c>
      <c r="F357" t="s">
        <v>91</v>
      </c>
      <c r="G357" t="s">
        <v>43</v>
      </c>
      <c r="H357" t="s">
        <v>16</v>
      </c>
      <c r="I357" t="s">
        <v>127</v>
      </c>
      <c r="J357" t="s">
        <v>12</v>
      </c>
      <c r="K357" t="s">
        <v>13</v>
      </c>
      <c r="L357" s="2">
        <v>49</v>
      </c>
      <c r="M357" s="2">
        <v>53</v>
      </c>
      <c r="N357" s="2">
        <f>normalizar!$L357*normalizar!$M357</f>
        <v>2597</v>
      </c>
    </row>
    <row r="358" spans="1:14" x14ac:dyDescent="0.25">
      <c r="A358">
        <v>357</v>
      </c>
      <c r="B358" s="1">
        <v>44148</v>
      </c>
      <c r="C358">
        <v>8764802979</v>
      </c>
      <c r="D358" t="s">
        <v>50</v>
      </c>
      <c r="E358" t="s">
        <v>85</v>
      </c>
      <c r="F358" t="s">
        <v>83</v>
      </c>
      <c r="G358" t="s">
        <v>41</v>
      </c>
      <c r="H358" t="s">
        <v>25</v>
      </c>
      <c r="I358" t="s">
        <v>127</v>
      </c>
      <c r="J358" t="s">
        <v>38</v>
      </c>
      <c r="K358" t="s">
        <v>39</v>
      </c>
      <c r="L358" s="2">
        <v>560</v>
      </c>
      <c r="M358" s="2">
        <v>61</v>
      </c>
      <c r="N358" s="2">
        <f>normalizar!$L358*normalizar!$M358</f>
        <v>34160</v>
      </c>
    </row>
    <row r="359" spans="1:14" x14ac:dyDescent="0.25">
      <c r="A359">
        <v>358</v>
      </c>
      <c r="B359" s="1">
        <v>44136</v>
      </c>
      <c r="C359">
        <v>1212476279</v>
      </c>
      <c r="D359" t="s">
        <v>51</v>
      </c>
      <c r="E359" t="s">
        <v>90</v>
      </c>
      <c r="F359" t="s">
        <v>98</v>
      </c>
      <c r="G359" t="s">
        <v>24</v>
      </c>
      <c r="H359" t="s">
        <v>25</v>
      </c>
      <c r="I359" t="s">
        <v>127</v>
      </c>
      <c r="J359" t="s">
        <v>52</v>
      </c>
      <c r="K359" t="s">
        <v>53</v>
      </c>
      <c r="L359" s="2">
        <v>257.59999999999997</v>
      </c>
      <c r="M359" s="2">
        <v>45</v>
      </c>
      <c r="N359" s="2">
        <f>normalizar!$L359*normalizar!$M359</f>
        <v>11591.999999999998</v>
      </c>
    </row>
    <row r="360" spans="1:14" x14ac:dyDescent="0.25">
      <c r="A360">
        <v>359</v>
      </c>
      <c r="B360" s="1">
        <v>43990</v>
      </c>
      <c r="C360">
        <v>8659179079</v>
      </c>
      <c r="D360" t="s">
        <v>40</v>
      </c>
      <c r="E360" t="s">
        <v>97</v>
      </c>
      <c r="F360" t="s">
        <v>88</v>
      </c>
      <c r="G360" t="s">
        <v>41</v>
      </c>
      <c r="H360" t="s">
        <v>25</v>
      </c>
      <c r="I360" t="s">
        <v>17</v>
      </c>
      <c r="J360" t="s">
        <v>22</v>
      </c>
      <c r="K360" t="s">
        <v>11</v>
      </c>
      <c r="L360" s="2">
        <v>644</v>
      </c>
      <c r="M360" s="2">
        <v>43</v>
      </c>
      <c r="N360" s="2">
        <f>normalizar!$L360*normalizar!$M360</f>
        <v>27692</v>
      </c>
    </row>
    <row r="361" spans="1:14" x14ac:dyDescent="0.25">
      <c r="A361">
        <v>360</v>
      </c>
      <c r="B361" s="1">
        <v>43938</v>
      </c>
      <c r="C361">
        <v>4311827425</v>
      </c>
      <c r="D361" t="s">
        <v>54</v>
      </c>
      <c r="E361" t="s">
        <v>89</v>
      </c>
      <c r="F361" t="s">
        <v>84</v>
      </c>
      <c r="G361" t="s">
        <v>55</v>
      </c>
      <c r="H361" t="s">
        <v>16</v>
      </c>
      <c r="I361" t="s">
        <v>9</v>
      </c>
      <c r="J361" t="s">
        <v>34</v>
      </c>
      <c r="K361" t="s">
        <v>35</v>
      </c>
      <c r="L361" s="2">
        <v>135.1</v>
      </c>
      <c r="M361" s="2">
        <v>18</v>
      </c>
      <c r="N361" s="2">
        <f>normalizar!$L361*normalizar!$M361</f>
        <v>2431.7999999999997</v>
      </c>
    </row>
    <row r="362" spans="1:14" x14ac:dyDescent="0.25">
      <c r="A362">
        <v>361</v>
      </c>
      <c r="B362" s="1">
        <v>44010</v>
      </c>
      <c r="C362">
        <v>7400116244</v>
      </c>
      <c r="D362" t="s">
        <v>36</v>
      </c>
      <c r="E362" t="s">
        <v>92</v>
      </c>
      <c r="F362" t="s">
        <v>99</v>
      </c>
      <c r="G362" t="s">
        <v>37</v>
      </c>
      <c r="H362" t="s">
        <v>8</v>
      </c>
      <c r="I362" t="s">
        <v>17</v>
      </c>
      <c r="J362" t="s">
        <v>30</v>
      </c>
      <c r="K362" t="s">
        <v>31</v>
      </c>
      <c r="L362" s="2">
        <v>178.5</v>
      </c>
      <c r="M362" s="2">
        <v>41</v>
      </c>
      <c r="N362" s="2">
        <f>normalizar!$L362*normalizar!$M362</f>
        <v>7318.5</v>
      </c>
    </row>
    <row r="363" spans="1:14" x14ac:dyDescent="0.25">
      <c r="A363">
        <v>362</v>
      </c>
      <c r="B363" s="1">
        <v>43946</v>
      </c>
      <c r="C363">
        <v>8550780121</v>
      </c>
      <c r="D363" t="s">
        <v>23</v>
      </c>
      <c r="E363" t="s">
        <v>86</v>
      </c>
      <c r="F363" t="s">
        <v>82</v>
      </c>
      <c r="G363" t="s">
        <v>24</v>
      </c>
      <c r="H363" t="s">
        <v>8</v>
      </c>
      <c r="I363" t="s">
        <v>9</v>
      </c>
      <c r="J363" t="s">
        <v>30</v>
      </c>
      <c r="K363" t="s">
        <v>31</v>
      </c>
      <c r="L363" s="2">
        <v>178.5</v>
      </c>
      <c r="M363" s="2">
        <v>19</v>
      </c>
      <c r="N363" s="2">
        <f>normalizar!$L363*normalizar!$M363</f>
        <v>3391.5</v>
      </c>
    </row>
    <row r="364" spans="1:14" x14ac:dyDescent="0.25">
      <c r="A364">
        <v>363</v>
      </c>
      <c r="B364" s="1">
        <v>44042</v>
      </c>
      <c r="C364">
        <v>9461451917</v>
      </c>
      <c r="D364" t="s">
        <v>62</v>
      </c>
      <c r="E364" t="s">
        <v>91</v>
      </c>
      <c r="F364" t="s">
        <v>91</v>
      </c>
      <c r="G364" t="s">
        <v>43</v>
      </c>
      <c r="H364" t="s">
        <v>16</v>
      </c>
      <c r="I364" t="s">
        <v>33</v>
      </c>
      <c r="J364" t="s">
        <v>48</v>
      </c>
      <c r="K364" t="s">
        <v>49</v>
      </c>
      <c r="L364" s="2">
        <v>308</v>
      </c>
      <c r="M364" s="2">
        <v>65</v>
      </c>
      <c r="N364" s="2">
        <f>normalizar!$L364*normalizar!$M364</f>
        <v>20020</v>
      </c>
    </row>
    <row r="365" spans="1:14" x14ac:dyDescent="0.25">
      <c r="A365">
        <v>364</v>
      </c>
      <c r="B365" s="1">
        <v>44026</v>
      </c>
      <c r="C365">
        <v>3160888933</v>
      </c>
      <c r="D365" t="s">
        <v>63</v>
      </c>
      <c r="E365" t="s">
        <v>85</v>
      </c>
      <c r="F365" t="s">
        <v>83</v>
      </c>
      <c r="G365" t="s">
        <v>41</v>
      </c>
      <c r="H365" t="s">
        <v>25</v>
      </c>
      <c r="I365" t="s">
        <v>17</v>
      </c>
      <c r="J365" t="s">
        <v>46</v>
      </c>
      <c r="K365" t="s">
        <v>47</v>
      </c>
      <c r="L365" s="2">
        <v>350</v>
      </c>
      <c r="M365" s="2">
        <v>13</v>
      </c>
      <c r="N365" s="2">
        <f>normalizar!$L365*normalizar!$M365</f>
        <v>4550</v>
      </c>
    </row>
    <row r="366" spans="1:14" x14ac:dyDescent="0.25">
      <c r="A366">
        <v>365</v>
      </c>
      <c r="B366" s="1">
        <v>44046</v>
      </c>
      <c r="C366">
        <v>6433254443</v>
      </c>
      <c r="D366" t="s">
        <v>28</v>
      </c>
      <c r="E366" t="s">
        <v>89</v>
      </c>
      <c r="F366" t="s">
        <v>84</v>
      </c>
      <c r="G366" t="s">
        <v>29</v>
      </c>
      <c r="H366" t="s">
        <v>8</v>
      </c>
      <c r="I366" t="s">
        <v>9</v>
      </c>
      <c r="J366" t="s">
        <v>64</v>
      </c>
      <c r="K366" t="s">
        <v>65</v>
      </c>
      <c r="L366" s="2">
        <v>546</v>
      </c>
      <c r="M366" s="2">
        <v>54</v>
      </c>
      <c r="N366" s="2">
        <f>normalizar!$L366*normalizar!$M366</f>
        <v>29484</v>
      </c>
    </row>
    <row r="367" spans="1:14" x14ac:dyDescent="0.25">
      <c r="A367">
        <v>366</v>
      </c>
      <c r="B367" s="1">
        <v>43986</v>
      </c>
      <c r="C367">
        <v>8977261174</v>
      </c>
      <c r="D367" t="s">
        <v>36</v>
      </c>
      <c r="E367" t="s">
        <v>92</v>
      </c>
      <c r="F367" t="s">
        <v>99</v>
      </c>
      <c r="G367" t="s">
        <v>37</v>
      </c>
      <c r="H367" t="s">
        <v>25</v>
      </c>
      <c r="I367" t="s">
        <v>9</v>
      </c>
      <c r="J367" t="s">
        <v>18</v>
      </c>
      <c r="K367" t="s">
        <v>13</v>
      </c>
      <c r="L367" s="2">
        <v>420</v>
      </c>
      <c r="M367" s="2">
        <v>33</v>
      </c>
      <c r="N367" s="2">
        <f>normalizar!$L367*normalizar!$M367</f>
        <v>13860</v>
      </c>
    </row>
    <row r="368" spans="1:14" x14ac:dyDescent="0.25">
      <c r="A368">
        <v>367</v>
      </c>
      <c r="B368" s="1">
        <v>43939</v>
      </c>
      <c r="C368">
        <v>7770716054</v>
      </c>
      <c r="D368" t="s">
        <v>36</v>
      </c>
      <c r="E368" t="s">
        <v>92</v>
      </c>
      <c r="F368" t="s">
        <v>99</v>
      </c>
      <c r="G368" t="s">
        <v>37</v>
      </c>
      <c r="H368" t="s">
        <v>25</v>
      </c>
      <c r="I368" t="s">
        <v>9</v>
      </c>
      <c r="J368" t="s">
        <v>19</v>
      </c>
      <c r="K368" t="s">
        <v>13</v>
      </c>
      <c r="L368" s="2">
        <v>742</v>
      </c>
      <c r="M368" s="2">
        <v>34</v>
      </c>
      <c r="N368" s="2">
        <f>normalizar!$L368*normalizar!$M368</f>
        <v>25228</v>
      </c>
    </row>
    <row r="369" spans="1:14" x14ac:dyDescent="0.25">
      <c r="A369">
        <v>368</v>
      </c>
      <c r="B369" s="1">
        <v>44179</v>
      </c>
      <c r="C369">
        <v>2754807386</v>
      </c>
      <c r="D369" t="s">
        <v>14</v>
      </c>
      <c r="E369" t="s">
        <v>81</v>
      </c>
      <c r="F369" t="s">
        <v>94</v>
      </c>
      <c r="G369" t="s">
        <v>15</v>
      </c>
      <c r="H369" t="s">
        <v>127</v>
      </c>
      <c r="I369" t="s">
        <v>127</v>
      </c>
      <c r="J369" t="s">
        <v>66</v>
      </c>
      <c r="K369" t="s">
        <v>57</v>
      </c>
      <c r="L369" s="2">
        <v>532</v>
      </c>
      <c r="M369" s="2">
        <v>59</v>
      </c>
      <c r="N369" s="2">
        <f>normalizar!$L369*normalizar!$M369</f>
        <v>31388</v>
      </c>
    </row>
    <row r="370" spans="1:14" x14ac:dyDescent="0.25">
      <c r="A370">
        <v>369</v>
      </c>
      <c r="B370" s="1">
        <v>43987</v>
      </c>
      <c r="C370">
        <v>3873424489</v>
      </c>
      <c r="D370" t="s">
        <v>32</v>
      </c>
      <c r="E370" t="s">
        <v>93</v>
      </c>
      <c r="F370" t="s">
        <v>96</v>
      </c>
      <c r="G370" t="s">
        <v>7</v>
      </c>
      <c r="H370" t="s">
        <v>127</v>
      </c>
      <c r="I370" t="s">
        <v>127</v>
      </c>
      <c r="J370" t="s">
        <v>44</v>
      </c>
      <c r="K370" t="s">
        <v>11</v>
      </c>
      <c r="L370" s="2">
        <v>41.86</v>
      </c>
      <c r="M370" s="2">
        <v>24</v>
      </c>
      <c r="N370" s="2">
        <f>normalizar!$L370*normalizar!$M370</f>
        <v>1004.64</v>
      </c>
    </row>
    <row r="371" spans="1:14" x14ac:dyDescent="0.25">
      <c r="A371">
        <f>IF((ISBLANK(D371)*AND(ISBLANK(G371))),"",A370+1)</f>
        <v>370</v>
      </c>
      <c r="B371" s="1">
        <v>44018</v>
      </c>
      <c r="C371">
        <v>3823774876</v>
      </c>
      <c r="D371" t="s">
        <v>51</v>
      </c>
      <c r="E371" t="s">
        <v>80</v>
      </c>
      <c r="F371" t="s">
        <v>84</v>
      </c>
      <c r="G371" t="s">
        <v>43</v>
      </c>
      <c r="H371" t="s">
        <v>25</v>
      </c>
      <c r="I371" t="s">
        <v>17</v>
      </c>
      <c r="J371" t="s">
        <v>34</v>
      </c>
      <c r="K371" t="str">
        <f>IF(ISBLANK(J371),"",VLOOKUP(J371,Tabla1[[#All],[Producto]:[Ventas]],2,FALSE))</f>
        <v>Sopas</v>
      </c>
      <c r="L371" s="2">
        <v>12</v>
      </c>
      <c r="M371" s="2">
        <v>23</v>
      </c>
      <c r="N371" s="2">
        <f>normalizar!$L371*normalizar!$M371</f>
        <v>276</v>
      </c>
    </row>
    <row r="372" spans="1:14" x14ac:dyDescent="0.25">
      <c r="A372">
        <f>IF((ISBLANK(D372)*AND(ISBLANK(G372))),"",A371+1)</f>
        <v>371</v>
      </c>
      <c r="B372" s="1">
        <v>44019</v>
      </c>
      <c r="C372">
        <v>3823774877</v>
      </c>
      <c r="D372" t="s">
        <v>51</v>
      </c>
      <c r="E372" t="s">
        <v>80</v>
      </c>
      <c r="F372" t="s">
        <v>84</v>
      </c>
      <c r="G372" t="s">
        <v>43</v>
      </c>
      <c r="H372" t="s">
        <v>25</v>
      </c>
      <c r="I372" t="s">
        <v>17</v>
      </c>
      <c r="J372" t="s">
        <v>34</v>
      </c>
      <c r="K372" t="str">
        <f>IF(ISBLANK(J372),"",VLOOKUP(J372,Tabla1[[#All],[Producto]:[Ventas]],2,FALSE))</f>
        <v>Sopas</v>
      </c>
      <c r="L372" s="2">
        <v>12</v>
      </c>
      <c r="M372" s="2">
        <v>23</v>
      </c>
      <c r="N372" s="2">
        <f>normalizar!$L372*normalizar!$M372</f>
        <v>276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E47F4497-CF40-433D-926E-CB9EAFE63CB2}">
          <x14:formula1>
            <xm:f>Hoja3!$A$2:$A$16</xm:f>
          </x14:formula1>
          <xm:sqref>D371:D372</xm:sqref>
        </x14:dataValidation>
        <x14:dataValidation type="list" allowBlank="1" showInputMessage="1" showErrorMessage="1" xr:uid="{CE01B9D9-1BC3-43BC-9AB4-F9C8008A284F}">
          <x14:formula1>
            <xm:f>Hoja3!$C$2:$C$12</xm:f>
          </x14:formula1>
          <xm:sqref>E371:E372</xm:sqref>
        </x14:dataValidation>
        <x14:dataValidation type="list" allowBlank="1" showInputMessage="1" showErrorMessage="1" xr:uid="{915B1DEA-0A8E-4C4E-9324-0D364185ED84}">
          <x14:formula1>
            <xm:f>Hoja3!$E$2:$E$12</xm:f>
          </x14:formula1>
          <xm:sqref>F371:F372</xm:sqref>
        </x14:dataValidation>
        <x14:dataValidation type="list" allowBlank="1" showInputMessage="1" showErrorMessage="1" xr:uid="{12C83A45-1F83-46AB-A5C0-627837DC88F0}">
          <x14:formula1>
            <xm:f>Hoja3!$H$2:$H$9</xm:f>
          </x14:formula1>
          <xm:sqref>G371:G372</xm:sqref>
        </x14:dataValidation>
        <x14:dataValidation type="list" allowBlank="1" showInputMessage="1" showErrorMessage="1" xr:uid="{E425EF1D-1C38-4305-85B5-AE2F0256E398}">
          <x14:formula1>
            <xm:f>Hoja3!$J$2:$J$5</xm:f>
          </x14:formula1>
          <xm:sqref>H371:H372</xm:sqref>
        </x14:dataValidation>
        <x14:dataValidation type="list" allowBlank="1" showInputMessage="1" showErrorMessage="1" xr:uid="{CF2F5954-33A0-42A0-80F0-AC4A3B089890}">
          <x14:formula1>
            <xm:f>Hoja3!$L$2:$L$5</xm:f>
          </x14:formula1>
          <xm:sqref>I371:I372</xm:sqref>
        </x14:dataValidation>
        <x14:dataValidation type="list" allowBlank="1" showInputMessage="1" showErrorMessage="1" xr:uid="{A9A5D492-CE90-4D47-A968-0CABB759B2AD}">
          <x14:formula1>
            <xm:f>Hoja3!$N$2:$N$26</xm:f>
          </x14:formula1>
          <xm:sqref>J371:J372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E25BC-7626-4002-AD7C-4230A431744B}">
  <sheetPr codeName="Hoja1"/>
  <dimension ref="A1:S26"/>
  <sheetViews>
    <sheetView topLeftCell="A10" workbookViewId="0">
      <selection activeCell="L34" sqref="L34"/>
    </sheetView>
  </sheetViews>
  <sheetFormatPr baseColWidth="10" defaultRowHeight="15" x14ac:dyDescent="0.25"/>
  <cols>
    <col min="4" max="4" width="7.42578125" customWidth="1"/>
    <col min="6" max="7" width="6.42578125" customWidth="1"/>
    <col min="8" max="8" width="23.140625" bestFit="1" customWidth="1"/>
    <col min="9" max="9" width="8" customWidth="1"/>
    <col min="10" max="10" width="22.85546875" bestFit="1" customWidth="1"/>
    <col min="11" max="11" width="9.85546875" customWidth="1"/>
    <col min="12" max="12" width="23.85546875" customWidth="1"/>
    <col min="13" max="13" width="7.28515625" customWidth="1"/>
    <col min="14" max="16" width="22.85546875" customWidth="1"/>
  </cols>
  <sheetData>
    <row r="1" spans="1:19" x14ac:dyDescent="0.25">
      <c r="A1" s="3" t="s">
        <v>100</v>
      </c>
      <c r="B1" s="3"/>
      <c r="C1" s="3" t="s">
        <v>0</v>
      </c>
      <c r="D1" s="3"/>
      <c r="E1" s="3" t="s">
        <v>75</v>
      </c>
      <c r="F1" s="3"/>
      <c r="G1" s="3"/>
      <c r="H1" s="3" t="s">
        <v>1</v>
      </c>
      <c r="I1" s="3"/>
      <c r="J1" s="3" t="s">
        <v>76</v>
      </c>
      <c r="K1" s="3"/>
      <c r="L1" s="3" t="s">
        <v>2</v>
      </c>
      <c r="M1" s="3"/>
      <c r="N1" s="3" t="s">
        <v>77</v>
      </c>
      <c r="O1" s="3"/>
      <c r="P1" s="3" t="s">
        <v>3</v>
      </c>
      <c r="S1" t="s">
        <v>128</v>
      </c>
    </row>
    <row r="2" spans="1:19" x14ac:dyDescent="0.25">
      <c r="A2" t="s">
        <v>51</v>
      </c>
      <c r="C2" t="s">
        <v>90</v>
      </c>
      <c r="E2" t="s">
        <v>95</v>
      </c>
      <c r="H2" t="s">
        <v>41</v>
      </c>
      <c r="J2" t="s">
        <v>16</v>
      </c>
      <c r="L2" t="s">
        <v>9</v>
      </c>
      <c r="N2" t="s">
        <v>68</v>
      </c>
      <c r="P2" t="s">
        <v>69</v>
      </c>
    </row>
    <row r="3" spans="1:19" x14ac:dyDescent="0.25">
      <c r="A3" t="s">
        <v>6</v>
      </c>
      <c r="C3" t="s">
        <v>81</v>
      </c>
      <c r="E3" t="s">
        <v>94</v>
      </c>
      <c r="H3" t="s">
        <v>15</v>
      </c>
      <c r="J3" t="s">
        <v>8</v>
      </c>
      <c r="L3" t="s">
        <v>33</v>
      </c>
      <c r="N3" t="s">
        <v>34</v>
      </c>
      <c r="P3" t="s">
        <v>11</v>
      </c>
    </row>
    <row r="4" spans="1:19" x14ac:dyDescent="0.25">
      <c r="A4" t="s">
        <v>40</v>
      </c>
      <c r="C4" t="s">
        <v>80</v>
      </c>
      <c r="E4" t="s">
        <v>82</v>
      </c>
      <c r="H4" t="s">
        <v>29</v>
      </c>
      <c r="J4" t="s">
        <v>25</v>
      </c>
      <c r="L4" t="s">
        <v>127</v>
      </c>
      <c r="N4" t="s">
        <v>61</v>
      </c>
      <c r="P4" t="s">
        <v>53</v>
      </c>
    </row>
    <row r="5" spans="1:19" x14ac:dyDescent="0.25">
      <c r="A5" t="s">
        <v>32</v>
      </c>
      <c r="C5" t="s">
        <v>91</v>
      </c>
      <c r="E5" t="s">
        <v>96</v>
      </c>
      <c r="H5" t="s">
        <v>43</v>
      </c>
      <c r="J5" t="s">
        <v>127</v>
      </c>
      <c r="L5" t="s">
        <v>17</v>
      </c>
      <c r="N5" t="s">
        <v>71</v>
      </c>
      <c r="P5" t="s">
        <v>49</v>
      </c>
    </row>
    <row r="6" spans="1:19" x14ac:dyDescent="0.25">
      <c r="A6" t="s">
        <v>28</v>
      </c>
      <c r="C6" t="s">
        <v>87</v>
      </c>
      <c r="E6" t="s">
        <v>91</v>
      </c>
      <c r="H6" t="s">
        <v>37</v>
      </c>
      <c r="N6" t="s">
        <v>67</v>
      </c>
      <c r="P6" t="s">
        <v>31</v>
      </c>
    </row>
    <row r="7" spans="1:19" x14ac:dyDescent="0.25">
      <c r="A7" t="s">
        <v>14</v>
      </c>
      <c r="C7" t="s">
        <v>89</v>
      </c>
      <c r="E7" t="s">
        <v>87</v>
      </c>
      <c r="H7" t="s">
        <v>7</v>
      </c>
      <c r="N7" t="s">
        <v>22</v>
      </c>
      <c r="P7" t="s">
        <v>13</v>
      </c>
    </row>
    <row r="8" spans="1:19" x14ac:dyDescent="0.25">
      <c r="A8" t="s">
        <v>36</v>
      </c>
      <c r="C8" t="s">
        <v>92</v>
      </c>
      <c r="E8" t="s">
        <v>84</v>
      </c>
      <c r="H8" t="s">
        <v>24</v>
      </c>
      <c r="N8" t="s">
        <v>52</v>
      </c>
      <c r="P8" t="s">
        <v>65</v>
      </c>
    </row>
    <row r="9" spans="1:19" x14ac:dyDescent="0.25">
      <c r="A9" t="s">
        <v>45</v>
      </c>
      <c r="C9" t="s">
        <v>93</v>
      </c>
      <c r="E9" t="s">
        <v>99</v>
      </c>
      <c r="H9" t="s">
        <v>55</v>
      </c>
      <c r="N9" t="s">
        <v>10</v>
      </c>
      <c r="P9" t="s">
        <v>72</v>
      </c>
    </row>
    <row r="10" spans="1:19" x14ac:dyDescent="0.25">
      <c r="A10" t="s">
        <v>23</v>
      </c>
      <c r="C10" t="s">
        <v>97</v>
      </c>
      <c r="E10" t="s">
        <v>88</v>
      </c>
      <c r="N10" t="s">
        <v>30</v>
      </c>
      <c r="P10" t="s">
        <v>47</v>
      </c>
    </row>
    <row r="11" spans="1:19" x14ac:dyDescent="0.25">
      <c r="A11" t="s">
        <v>54</v>
      </c>
      <c r="C11" t="s">
        <v>85</v>
      </c>
      <c r="E11" t="s">
        <v>83</v>
      </c>
      <c r="N11" t="s">
        <v>12</v>
      </c>
      <c r="P11" t="s">
        <v>57</v>
      </c>
    </row>
    <row r="12" spans="1:19" x14ac:dyDescent="0.25">
      <c r="A12" t="s">
        <v>42</v>
      </c>
      <c r="C12" t="s">
        <v>86</v>
      </c>
      <c r="E12" t="s">
        <v>98</v>
      </c>
      <c r="N12" t="s">
        <v>64</v>
      </c>
      <c r="P12" t="s">
        <v>27</v>
      </c>
    </row>
    <row r="13" spans="1:19" x14ac:dyDescent="0.25">
      <c r="A13" t="s">
        <v>50</v>
      </c>
      <c r="N13" t="s">
        <v>48</v>
      </c>
      <c r="P13" t="s">
        <v>59</v>
      </c>
    </row>
    <row r="14" spans="1:19" x14ac:dyDescent="0.25">
      <c r="A14" t="s">
        <v>20</v>
      </c>
      <c r="N14" t="s">
        <v>127</v>
      </c>
      <c r="P14" t="s">
        <v>39</v>
      </c>
    </row>
    <row r="15" spans="1:19" x14ac:dyDescent="0.25">
      <c r="A15" t="s">
        <v>62</v>
      </c>
      <c r="N15" t="s">
        <v>26</v>
      </c>
      <c r="P15" t="s">
        <v>35</v>
      </c>
    </row>
    <row r="16" spans="1:19" x14ac:dyDescent="0.25">
      <c r="A16" t="s">
        <v>63</v>
      </c>
      <c r="N16" t="s">
        <v>46</v>
      </c>
      <c r="P16" t="s">
        <v>5</v>
      </c>
    </row>
    <row r="17" spans="14:14" x14ac:dyDescent="0.25">
      <c r="N17" t="s">
        <v>60</v>
      </c>
    </row>
    <row r="18" spans="14:14" x14ac:dyDescent="0.25">
      <c r="N18" t="s">
        <v>19</v>
      </c>
    </row>
    <row r="19" spans="14:14" x14ac:dyDescent="0.25">
      <c r="N19" t="s">
        <v>70</v>
      </c>
    </row>
    <row r="20" spans="14:14" x14ac:dyDescent="0.25">
      <c r="N20" t="s">
        <v>58</v>
      </c>
    </row>
    <row r="21" spans="14:14" x14ac:dyDescent="0.25">
      <c r="N21" t="s">
        <v>66</v>
      </c>
    </row>
    <row r="22" spans="14:14" x14ac:dyDescent="0.25">
      <c r="N22" t="s">
        <v>18</v>
      </c>
    </row>
    <row r="23" spans="14:14" x14ac:dyDescent="0.25">
      <c r="N23" t="s">
        <v>56</v>
      </c>
    </row>
    <row r="24" spans="14:14" x14ac:dyDescent="0.25">
      <c r="N24" t="s">
        <v>38</v>
      </c>
    </row>
    <row r="25" spans="14:14" x14ac:dyDescent="0.25">
      <c r="N25" t="s">
        <v>21</v>
      </c>
    </row>
    <row r="26" spans="14:14" x14ac:dyDescent="0.25">
      <c r="N26" t="s">
        <v>44</v>
      </c>
    </row>
  </sheetData>
  <sortState xmlns:xlrd2="http://schemas.microsoft.com/office/spreadsheetml/2017/richdata2" ref="P2:P16">
    <sortCondition ref="P2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C9367401-F858-450C-90AF-15404E070C39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13391F52-E742-40AB-908F-17BAC4B3CC9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26</vt:i4>
      </vt:variant>
    </vt:vector>
  </HeadingPairs>
  <TitlesOfParts>
    <vt:vector size="35" baseType="lpstr">
      <vt:lpstr>BaseDeDatos</vt:lpstr>
      <vt:lpstr>Hoja4</vt:lpstr>
      <vt:lpstr>Hoja5</vt:lpstr>
      <vt:lpstr>Hoja2</vt:lpstr>
      <vt:lpstr>GRAFICO</vt:lpstr>
      <vt:lpstr>Hoja1</vt:lpstr>
      <vt:lpstr>PANEL</vt:lpstr>
      <vt:lpstr>normalizar</vt:lpstr>
      <vt:lpstr>Hoja3</vt:lpstr>
      <vt:lpstr>BaseDeDatos!Área_de_extracción</vt:lpstr>
      <vt:lpstr>Hoja3!Área_de_extracción</vt:lpstr>
      <vt:lpstr>cat</vt:lpstr>
      <vt:lpstr>ciudad</vt:lpstr>
      <vt:lpstr>cli</vt:lpstr>
      <vt:lpstr>cliente</vt:lpstr>
      <vt:lpstr>clientes2</vt:lpstr>
      <vt:lpstr>BaseDeDatos!Criterios</vt:lpstr>
      <vt:lpstr>Hoja3!Criterios</vt:lpstr>
      <vt:lpstr>date</vt:lpstr>
      <vt:lpstr>datmes</vt:lpstr>
      <vt:lpstr>datos</vt:lpstr>
      <vt:lpstr>empresa</vt:lpstr>
      <vt:lpstr>fe</vt:lpstr>
      <vt:lpstr>forma</vt:lpstr>
      <vt:lpstr>maxmes</vt:lpstr>
      <vt:lpstr>mes</vt:lpstr>
      <vt:lpstr>meses</vt:lpstr>
      <vt:lpstr>normal</vt:lpstr>
      <vt:lpstr>orden</vt:lpstr>
      <vt:lpstr>pago</vt:lpstr>
      <vt:lpstr>periodo</vt:lpstr>
      <vt:lpstr>produc</vt:lpstr>
      <vt:lpstr>provincia</vt:lpstr>
      <vt:lpstr>titulo</vt:lpstr>
      <vt:lpstr>vendedor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Terán</dc:creator>
  <cp:lastModifiedBy>Alejandro romero</cp:lastModifiedBy>
  <dcterms:created xsi:type="dcterms:W3CDTF">2021-06-10T14:59:28Z</dcterms:created>
  <dcterms:modified xsi:type="dcterms:W3CDTF">2024-06-15T01:19:48Z</dcterms:modified>
</cp:coreProperties>
</file>