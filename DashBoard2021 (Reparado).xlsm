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el\Downloads\CURSOS\nuevosonline\Ofimatica\Excel\practica\"/>
    </mc:Choice>
  </mc:AlternateContent>
  <xr:revisionPtr revIDLastSave="0" documentId="13_ncr:1_{43FFC476-CFDD-4AE3-B996-DCAE39BA711E}" xr6:coauthVersionLast="45" xr6:coauthVersionMax="45" xr10:uidLastSave="{00000000-0000-0000-0000-000000000000}"/>
  <bookViews>
    <workbookView xWindow="45" yWindow="0" windowWidth="20445" windowHeight="11520" activeTab="3" xr2:uid="{6D599713-1989-43D3-A173-9FAFCAE4DAE7}"/>
  </bookViews>
  <sheets>
    <sheet name="BaseDeDatos" sheetId="1" r:id="rId1"/>
    <sheet name="Hoja4" sheetId="15" r:id="rId2"/>
    <sheet name="Hoja5" sheetId="16" r:id="rId3"/>
    <sheet name="Hoja2" sheetId="14" r:id="rId4"/>
    <sheet name="GRAFICO" sheetId="9" r:id="rId5"/>
    <sheet name="Hoja1" sheetId="11" r:id="rId6"/>
    <sheet name="PANEL" sheetId="10" r:id="rId7"/>
    <sheet name="normalizar" sheetId="12" r:id="rId8"/>
    <sheet name="Hoja3" sheetId="13" r:id="rId9"/>
  </sheets>
  <definedNames>
    <definedName name="_xlnm._FilterDatabase" localSheetId="0" hidden="1">Hoja4!$O$1:$O$370</definedName>
    <definedName name="_xlnm._FilterDatabase" localSheetId="7" hidden="1">normalizar!$A$1:$N$372</definedName>
    <definedName name="_xlchart.v5.0" hidden="1">GRAFICO!$D$64</definedName>
    <definedName name="_xlchart.v5.1" hidden="1">GRAFICO!$D$65:$D$75</definedName>
    <definedName name="_xlchart.v5.2" hidden="1">GRAFICO!$E$64</definedName>
    <definedName name="_xlchart.v5.3" hidden="1">GRAFICO!$E$65:$E$75</definedName>
    <definedName name="_xlchart.v5.4" hidden="1">GRAFICO!$D$64</definedName>
    <definedName name="_xlchart.v5.5" hidden="1">GRAFICO!$D$65:$D$75</definedName>
    <definedName name="_xlchart.v5.6" hidden="1">GRAFICO!$E$64</definedName>
    <definedName name="_xlchart.v5.7" hidden="1">GRAFICO!$E$65:$E$75</definedName>
    <definedName name="_xlnm.Extract" localSheetId="0">BaseDeDatos!$AE$4</definedName>
    <definedName name="_xlnm.Extract" localSheetId="8">Hoja3!$P$1</definedName>
    <definedName name="cat">normalizar!$K:$K</definedName>
    <definedName name="ciudad">normalizar!$E:$E</definedName>
    <definedName name="cli">Hoja3!$A$1:$A$16</definedName>
    <definedName name="cliente">Tabla1[Cliente]</definedName>
    <definedName name="clientes2">normalizar!$D:$D</definedName>
    <definedName name="_xlnm.Criteria" localSheetId="0">BaseDeDatos!$AE$1:$AE$2</definedName>
    <definedName name="_xlnm.Criteria" localSheetId="8">Hoja3!$S$1:$S$2</definedName>
    <definedName name="date">Tabla2[[#All],[mes]]</definedName>
    <definedName name="datmes">Hoja2!$N$2:$N$13</definedName>
    <definedName name="datos">Hoja4!$A$1:$P$370</definedName>
    <definedName name="empresa">normalizar!$H:$H</definedName>
    <definedName name="fe">Hoja4!$AR$7:$AR$13</definedName>
    <definedName name="forma">Tabla2[[#All],[Forma de pago]]</definedName>
    <definedName name="maxmes">Hoja2!$P$2:$P$13</definedName>
    <definedName name="mes">Hoja4!$BB$1:$BB$12</definedName>
    <definedName name="meses">Tabla2[mes]</definedName>
    <definedName name="NativeTimeline_Fecha">#N/A</definedName>
    <definedName name="normal">Tabla1[]</definedName>
    <definedName name="orden">Hoja2!$K$1:$K$2</definedName>
    <definedName name="pago">normalizar!$I:$I</definedName>
    <definedName name="periodo">Hoja2!$A$2:$A$13</definedName>
    <definedName name="produc">normalizar!$J:$J</definedName>
    <definedName name="provincia">normalizar!$F:$F</definedName>
    <definedName name="SegmentaciónDeDatos_Categoría">#N/A</definedName>
    <definedName name="SegmentaciónDeDatos_Fecha">#N/A</definedName>
    <definedName name="SegmentaciónDeDatos_Provincia">#N/A</definedName>
    <definedName name="SegmentaciónDeDatos_Vendedor">#N/A</definedName>
    <definedName name="titulo">Hoja4!$S$9:$AN$9</definedName>
    <definedName name="vendedor">normalizar!$G:$G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4" l="1" a="1"/>
  <c r="J1" i="14"/>
  <c r="A2" i="14" s="1" a="1"/>
  <c r="A2" i="14" s="1"/>
  <c r="G7" i="14" s="1" a="1"/>
  <c r="G7" i="14" s="1"/>
  <c r="G6" i="14" l="1"/>
  <c r="N2" i="14" a="1"/>
  <c r="N2" i="14" s="1"/>
  <c r="P2" i="14" a="1"/>
  <c r="X1" i="15"/>
  <c r="S10" i="15" s="1" a="1"/>
  <c r="S10" i="15" s="1"/>
  <c r="N4" i="14" l="1"/>
  <c r="N8" i="14"/>
  <c r="N12" i="14"/>
  <c r="N5" i="14"/>
  <c r="N9" i="14"/>
  <c r="N13" i="14"/>
  <c r="N6" i="14"/>
  <c r="N10" i="14"/>
  <c r="N3" i="14"/>
  <c r="N7" i="14"/>
  <c r="N11" i="14"/>
  <c r="P2" i="14"/>
  <c r="P4" i="14"/>
  <c r="P6" i="14"/>
  <c r="P8" i="14"/>
  <c r="P10" i="14"/>
  <c r="P12" i="14"/>
  <c r="P3" i="14"/>
  <c r="P5" i="14"/>
  <c r="P7" i="14"/>
  <c r="P9" i="14"/>
  <c r="P11" i="14"/>
  <c r="P13" i="14"/>
  <c r="N372" i="12"/>
  <c r="K372" i="12"/>
  <c r="A372" i="12"/>
  <c r="N371" i="12"/>
  <c r="K371" i="12"/>
  <c r="A371" i="12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N58" i="12"/>
  <c r="N57" i="12"/>
  <c r="N56" i="12"/>
  <c r="N55" i="12"/>
  <c r="N54" i="12"/>
  <c r="N53" i="12"/>
  <c r="N52" i="12"/>
  <c r="N51" i="12"/>
  <c r="N50" i="12"/>
  <c r="N49" i="12"/>
  <c r="N48" i="12"/>
  <c r="N47" i="12"/>
  <c r="N46" i="12"/>
  <c r="N45" i="12"/>
  <c r="N44" i="12"/>
  <c r="N43" i="12"/>
  <c r="N42" i="12"/>
  <c r="N41" i="12"/>
  <c r="N40" i="12"/>
  <c r="N39" i="12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5" i="12"/>
  <c r="N4" i="12"/>
  <c r="N3" i="12"/>
  <c r="N2" i="12"/>
  <c r="R1" i="12"/>
  <c r="E75" i="9"/>
  <c r="E74" i="9"/>
  <c r="E73" i="9"/>
  <c r="E72" i="9"/>
  <c r="E71" i="9"/>
  <c r="E70" i="9"/>
  <c r="E69" i="9"/>
  <c r="E68" i="9"/>
  <c r="E67" i="9"/>
  <c r="E66" i="9"/>
  <c r="E65" i="9"/>
  <c r="P370" i="15"/>
  <c r="O370" i="15"/>
  <c r="N370" i="15"/>
  <c r="P369" i="15"/>
  <c r="O369" i="15"/>
  <c r="N369" i="15"/>
  <c r="P368" i="15"/>
  <c r="O368" i="15"/>
  <c r="N368" i="15"/>
  <c r="P367" i="15"/>
  <c r="O367" i="15"/>
  <c r="N367" i="15"/>
  <c r="P366" i="15"/>
  <c r="O366" i="15"/>
  <c r="N366" i="15"/>
  <c r="P365" i="15"/>
  <c r="O365" i="15"/>
  <c r="N365" i="15"/>
  <c r="P364" i="15"/>
  <c r="O364" i="15"/>
  <c r="N364" i="15"/>
  <c r="P363" i="15"/>
  <c r="O363" i="15"/>
  <c r="N363" i="15"/>
  <c r="P362" i="15"/>
  <c r="O362" i="15"/>
  <c r="N362" i="15"/>
  <c r="P361" i="15"/>
  <c r="O361" i="15"/>
  <c r="N361" i="15"/>
  <c r="P360" i="15"/>
  <c r="O360" i="15"/>
  <c r="N360" i="15"/>
  <c r="P359" i="15"/>
  <c r="O359" i="15"/>
  <c r="N359" i="15"/>
  <c r="P358" i="15"/>
  <c r="O358" i="15"/>
  <c r="N358" i="15"/>
  <c r="P357" i="15"/>
  <c r="O357" i="15"/>
  <c r="N357" i="15"/>
  <c r="P356" i="15"/>
  <c r="O356" i="15"/>
  <c r="N356" i="15"/>
  <c r="P355" i="15"/>
  <c r="O355" i="15"/>
  <c r="N355" i="15"/>
  <c r="P354" i="15"/>
  <c r="O354" i="15"/>
  <c r="N354" i="15"/>
  <c r="P353" i="15"/>
  <c r="O353" i="15"/>
  <c r="N353" i="15"/>
  <c r="P352" i="15"/>
  <c r="O352" i="15"/>
  <c r="N352" i="15"/>
  <c r="P351" i="15"/>
  <c r="O351" i="15"/>
  <c r="N351" i="15"/>
  <c r="P350" i="15"/>
  <c r="O350" i="15"/>
  <c r="N350" i="15"/>
  <c r="P349" i="15"/>
  <c r="O349" i="15"/>
  <c r="N349" i="15"/>
  <c r="P348" i="15"/>
  <c r="O348" i="15"/>
  <c r="N348" i="15"/>
  <c r="P347" i="15"/>
  <c r="O347" i="15"/>
  <c r="N347" i="15"/>
  <c r="P346" i="15"/>
  <c r="O346" i="15"/>
  <c r="N346" i="15"/>
  <c r="P345" i="15"/>
  <c r="O345" i="15"/>
  <c r="N345" i="15"/>
  <c r="P344" i="15"/>
  <c r="O344" i="15"/>
  <c r="N344" i="15"/>
  <c r="P343" i="15"/>
  <c r="O343" i="15"/>
  <c r="N343" i="15"/>
  <c r="P342" i="15"/>
  <c r="O342" i="15"/>
  <c r="N342" i="15"/>
  <c r="P341" i="15"/>
  <c r="O341" i="15"/>
  <c r="N341" i="15"/>
  <c r="P340" i="15"/>
  <c r="O340" i="15"/>
  <c r="N340" i="15"/>
  <c r="P339" i="15"/>
  <c r="O339" i="15"/>
  <c r="N339" i="15"/>
  <c r="P338" i="15"/>
  <c r="O338" i="15"/>
  <c r="N338" i="15"/>
  <c r="P337" i="15"/>
  <c r="O337" i="15"/>
  <c r="N337" i="15"/>
  <c r="P336" i="15"/>
  <c r="O336" i="15"/>
  <c r="N336" i="15"/>
  <c r="P335" i="15"/>
  <c r="O335" i="15"/>
  <c r="N335" i="15"/>
  <c r="P334" i="15"/>
  <c r="O334" i="15"/>
  <c r="N334" i="15"/>
  <c r="P333" i="15"/>
  <c r="O333" i="15"/>
  <c r="N333" i="15"/>
  <c r="P332" i="15"/>
  <c r="O332" i="15"/>
  <c r="N332" i="15"/>
  <c r="P331" i="15"/>
  <c r="O331" i="15"/>
  <c r="N331" i="15"/>
  <c r="P330" i="15"/>
  <c r="O330" i="15"/>
  <c r="N330" i="15"/>
  <c r="P329" i="15"/>
  <c r="O329" i="15"/>
  <c r="N329" i="15"/>
  <c r="P328" i="15"/>
  <c r="O328" i="15"/>
  <c r="N328" i="15"/>
  <c r="P327" i="15"/>
  <c r="O327" i="15"/>
  <c r="N327" i="15"/>
  <c r="P326" i="15"/>
  <c r="O326" i="15"/>
  <c r="N326" i="15"/>
  <c r="P325" i="15"/>
  <c r="O325" i="15"/>
  <c r="N325" i="15"/>
  <c r="P324" i="15"/>
  <c r="O324" i="15"/>
  <c r="N324" i="15"/>
  <c r="P323" i="15"/>
  <c r="O323" i="15"/>
  <c r="N323" i="15"/>
  <c r="P322" i="15"/>
  <c r="O322" i="15"/>
  <c r="N322" i="15"/>
  <c r="P321" i="15"/>
  <c r="O321" i="15"/>
  <c r="N321" i="15"/>
  <c r="P320" i="15"/>
  <c r="O320" i="15"/>
  <c r="N320" i="15"/>
  <c r="P319" i="15"/>
  <c r="O319" i="15"/>
  <c r="N319" i="15"/>
  <c r="P318" i="15"/>
  <c r="O318" i="15"/>
  <c r="N318" i="15"/>
  <c r="P317" i="15"/>
  <c r="O317" i="15"/>
  <c r="N317" i="15"/>
  <c r="P316" i="15"/>
  <c r="O316" i="15"/>
  <c r="N316" i="15"/>
  <c r="P315" i="15"/>
  <c r="O315" i="15"/>
  <c r="N315" i="15"/>
  <c r="P314" i="15"/>
  <c r="O314" i="15"/>
  <c r="N314" i="15"/>
  <c r="P313" i="15"/>
  <c r="O313" i="15"/>
  <c r="N313" i="15"/>
  <c r="P312" i="15"/>
  <c r="O312" i="15"/>
  <c r="N312" i="15"/>
  <c r="P311" i="15"/>
  <c r="O311" i="15"/>
  <c r="N311" i="15"/>
  <c r="P310" i="15"/>
  <c r="O310" i="15"/>
  <c r="N310" i="15"/>
  <c r="P309" i="15"/>
  <c r="O309" i="15"/>
  <c r="N309" i="15"/>
  <c r="P308" i="15"/>
  <c r="O308" i="15"/>
  <c r="N308" i="15"/>
  <c r="P307" i="15"/>
  <c r="O307" i="15"/>
  <c r="N307" i="15"/>
  <c r="P306" i="15"/>
  <c r="O306" i="15"/>
  <c r="N306" i="15"/>
  <c r="P305" i="15"/>
  <c r="O305" i="15"/>
  <c r="N305" i="15"/>
  <c r="P304" i="15"/>
  <c r="O304" i="15"/>
  <c r="N304" i="15"/>
  <c r="P303" i="15"/>
  <c r="O303" i="15"/>
  <c r="N303" i="15"/>
  <c r="P302" i="15"/>
  <c r="O302" i="15"/>
  <c r="N302" i="15"/>
  <c r="P301" i="15"/>
  <c r="O301" i="15"/>
  <c r="N301" i="15"/>
  <c r="P300" i="15"/>
  <c r="O300" i="15"/>
  <c r="N300" i="15"/>
  <c r="P299" i="15"/>
  <c r="O299" i="15"/>
  <c r="N299" i="15"/>
  <c r="P298" i="15"/>
  <c r="O298" i="15"/>
  <c r="N298" i="15"/>
  <c r="P297" i="15"/>
  <c r="O297" i="15"/>
  <c r="N297" i="15"/>
  <c r="P296" i="15"/>
  <c r="O296" i="15"/>
  <c r="N296" i="15"/>
  <c r="P295" i="15"/>
  <c r="O295" i="15"/>
  <c r="N295" i="15"/>
  <c r="P294" i="15"/>
  <c r="O294" i="15"/>
  <c r="N294" i="15"/>
  <c r="P293" i="15"/>
  <c r="O293" i="15"/>
  <c r="N293" i="15"/>
  <c r="P292" i="15"/>
  <c r="O292" i="15"/>
  <c r="N292" i="15"/>
  <c r="P291" i="15"/>
  <c r="O291" i="15"/>
  <c r="N291" i="15"/>
  <c r="P290" i="15"/>
  <c r="O290" i="15"/>
  <c r="N290" i="15"/>
  <c r="P289" i="15"/>
  <c r="O289" i="15"/>
  <c r="N289" i="15"/>
  <c r="P288" i="15"/>
  <c r="O288" i="15"/>
  <c r="N288" i="15"/>
  <c r="P287" i="15"/>
  <c r="O287" i="15"/>
  <c r="N287" i="15"/>
  <c r="P286" i="15"/>
  <c r="O286" i="15"/>
  <c r="N286" i="15"/>
  <c r="P285" i="15"/>
  <c r="O285" i="15"/>
  <c r="N285" i="15"/>
  <c r="P284" i="15"/>
  <c r="O284" i="15"/>
  <c r="N284" i="15"/>
  <c r="P283" i="15"/>
  <c r="O283" i="15"/>
  <c r="N283" i="15"/>
  <c r="P282" i="15"/>
  <c r="O282" i="15"/>
  <c r="N282" i="15"/>
  <c r="P281" i="15"/>
  <c r="O281" i="15"/>
  <c r="N281" i="15"/>
  <c r="P280" i="15"/>
  <c r="O280" i="15"/>
  <c r="N280" i="15"/>
  <c r="P279" i="15"/>
  <c r="O279" i="15"/>
  <c r="N279" i="15"/>
  <c r="P278" i="15"/>
  <c r="O278" i="15"/>
  <c r="N278" i="15"/>
  <c r="P277" i="15"/>
  <c r="O277" i="15"/>
  <c r="N277" i="15"/>
  <c r="P276" i="15"/>
  <c r="O276" i="15"/>
  <c r="N276" i="15"/>
  <c r="P275" i="15"/>
  <c r="O275" i="15"/>
  <c r="N275" i="15"/>
  <c r="P274" i="15"/>
  <c r="O274" i="15"/>
  <c r="N274" i="15"/>
  <c r="P273" i="15"/>
  <c r="O273" i="15"/>
  <c r="N273" i="15"/>
  <c r="P272" i="15"/>
  <c r="O272" i="15"/>
  <c r="N272" i="15"/>
  <c r="P271" i="15"/>
  <c r="O271" i="15"/>
  <c r="N271" i="15"/>
  <c r="P270" i="15"/>
  <c r="O270" i="15"/>
  <c r="N270" i="15"/>
  <c r="P269" i="15"/>
  <c r="O269" i="15"/>
  <c r="N269" i="15"/>
  <c r="P268" i="15"/>
  <c r="O268" i="15"/>
  <c r="N268" i="15"/>
  <c r="P267" i="15"/>
  <c r="O267" i="15"/>
  <c r="N267" i="15"/>
  <c r="P266" i="15"/>
  <c r="O266" i="15"/>
  <c r="N266" i="15"/>
  <c r="P265" i="15"/>
  <c r="O265" i="15"/>
  <c r="N265" i="15"/>
  <c r="P264" i="15"/>
  <c r="O264" i="15"/>
  <c r="N264" i="15"/>
  <c r="P263" i="15"/>
  <c r="O263" i="15"/>
  <c r="N263" i="15"/>
  <c r="P262" i="15"/>
  <c r="O262" i="15"/>
  <c r="N262" i="15"/>
  <c r="P261" i="15"/>
  <c r="O261" i="15"/>
  <c r="N261" i="15"/>
  <c r="P260" i="15"/>
  <c r="O260" i="15"/>
  <c r="N260" i="15"/>
  <c r="P259" i="15"/>
  <c r="O259" i="15"/>
  <c r="N259" i="15"/>
  <c r="P258" i="15"/>
  <c r="O258" i="15"/>
  <c r="N258" i="15"/>
  <c r="P257" i="15"/>
  <c r="O257" i="15"/>
  <c r="N257" i="15"/>
  <c r="P256" i="15"/>
  <c r="O256" i="15"/>
  <c r="N256" i="15"/>
  <c r="P255" i="15"/>
  <c r="O255" i="15"/>
  <c r="N255" i="15"/>
  <c r="P254" i="15"/>
  <c r="O254" i="15"/>
  <c r="N254" i="15"/>
  <c r="P253" i="15"/>
  <c r="O253" i="15"/>
  <c r="N253" i="15"/>
  <c r="P252" i="15"/>
  <c r="O252" i="15"/>
  <c r="N252" i="15"/>
  <c r="P251" i="15"/>
  <c r="O251" i="15"/>
  <c r="N251" i="15"/>
  <c r="P250" i="15"/>
  <c r="O250" i="15"/>
  <c r="N250" i="15"/>
  <c r="P249" i="15"/>
  <c r="O249" i="15"/>
  <c r="N249" i="15"/>
  <c r="P248" i="15"/>
  <c r="O248" i="15"/>
  <c r="N248" i="15"/>
  <c r="P247" i="15"/>
  <c r="O247" i="15"/>
  <c r="N247" i="15"/>
  <c r="P246" i="15"/>
  <c r="O246" i="15"/>
  <c r="N246" i="15"/>
  <c r="P245" i="15"/>
  <c r="O245" i="15"/>
  <c r="N245" i="15"/>
  <c r="P244" i="15"/>
  <c r="O244" i="15"/>
  <c r="N244" i="15"/>
  <c r="P243" i="15"/>
  <c r="O243" i="15"/>
  <c r="N243" i="15"/>
  <c r="P242" i="15"/>
  <c r="O242" i="15"/>
  <c r="N242" i="15"/>
  <c r="P241" i="15"/>
  <c r="O241" i="15"/>
  <c r="N241" i="15"/>
  <c r="P240" i="15"/>
  <c r="O240" i="15"/>
  <c r="N240" i="15"/>
  <c r="P239" i="15"/>
  <c r="O239" i="15"/>
  <c r="N239" i="15"/>
  <c r="P238" i="15"/>
  <c r="O238" i="15"/>
  <c r="N238" i="15"/>
  <c r="P237" i="15"/>
  <c r="O237" i="15"/>
  <c r="N237" i="15"/>
  <c r="P236" i="15"/>
  <c r="O236" i="15"/>
  <c r="N236" i="15"/>
  <c r="P235" i="15"/>
  <c r="O235" i="15"/>
  <c r="N235" i="15"/>
  <c r="P234" i="15"/>
  <c r="O234" i="15"/>
  <c r="N234" i="15"/>
  <c r="P233" i="15"/>
  <c r="O233" i="15"/>
  <c r="N233" i="15"/>
  <c r="P232" i="15"/>
  <c r="O232" i="15"/>
  <c r="N232" i="15"/>
  <c r="P231" i="15"/>
  <c r="O231" i="15"/>
  <c r="N231" i="15"/>
  <c r="P230" i="15"/>
  <c r="O230" i="15"/>
  <c r="N230" i="15"/>
  <c r="P229" i="15"/>
  <c r="O229" i="15"/>
  <c r="N229" i="15"/>
  <c r="P228" i="15"/>
  <c r="O228" i="15"/>
  <c r="N228" i="15"/>
  <c r="P227" i="15"/>
  <c r="O227" i="15"/>
  <c r="N227" i="15"/>
  <c r="P226" i="15"/>
  <c r="O226" i="15"/>
  <c r="N226" i="15"/>
  <c r="P225" i="15"/>
  <c r="O225" i="15"/>
  <c r="N225" i="15"/>
  <c r="P224" i="15"/>
  <c r="O224" i="15"/>
  <c r="N224" i="15"/>
  <c r="P223" i="15"/>
  <c r="O223" i="15"/>
  <c r="N223" i="15"/>
  <c r="P222" i="15"/>
  <c r="O222" i="15"/>
  <c r="N222" i="15"/>
  <c r="P221" i="15"/>
  <c r="O221" i="15"/>
  <c r="N221" i="15"/>
  <c r="P220" i="15"/>
  <c r="O220" i="15"/>
  <c r="N220" i="15"/>
  <c r="P219" i="15"/>
  <c r="O219" i="15"/>
  <c r="N219" i="15"/>
  <c r="P218" i="15"/>
  <c r="O218" i="15"/>
  <c r="N218" i="15"/>
  <c r="P217" i="15"/>
  <c r="O217" i="15"/>
  <c r="N217" i="15"/>
  <c r="P216" i="15"/>
  <c r="O216" i="15"/>
  <c r="N216" i="15"/>
  <c r="P215" i="15"/>
  <c r="O215" i="15"/>
  <c r="N215" i="15"/>
  <c r="P214" i="15"/>
  <c r="O214" i="15"/>
  <c r="N214" i="15"/>
  <c r="P213" i="15"/>
  <c r="O213" i="15"/>
  <c r="N213" i="15"/>
  <c r="P212" i="15"/>
  <c r="O212" i="15"/>
  <c r="N212" i="15"/>
  <c r="P211" i="15"/>
  <c r="O211" i="15"/>
  <c r="N211" i="15"/>
  <c r="P210" i="15"/>
  <c r="O210" i="15"/>
  <c r="N210" i="15"/>
  <c r="P209" i="15"/>
  <c r="O209" i="15"/>
  <c r="N209" i="15"/>
  <c r="P208" i="15"/>
  <c r="O208" i="15"/>
  <c r="N208" i="15"/>
  <c r="P207" i="15"/>
  <c r="O207" i="15"/>
  <c r="N207" i="15"/>
  <c r="P206" i="15"/>
  <c r="O206" i="15"/>
  <c r="N206" i="15"/>
  <c r="P205" i="15"/>
  <c r="O205" i="15"/>
  <c r="N205" i="15"/>
  <c r="P204" i="15"/>
  <c r="O204" i="15"/>
  <c r="N204" i="15"/>
  <c r="P203" i="15"/>
  <c r="O203" i="15"/>
  <c r="N203" i="15"/>
  <c r="P202" i="15"/>
  <c r="O202" i="15"/>
  <c r="N202" i="15"/>
  <c r="P201" i="15"/>
  <c r="O201" i="15"/>
  <c r="N201" i="15"/>
  <c r="P200" i="15"/>
  <c r="O200" i="15"/>
  <c r="N200" i="15"/>
  <c r="P199" i="15"/>
  <c r="O199" i="15"/>
  <c r="N199" i="15"/>
  <c r="P198" i="15"/>
  <c r="O198" i="15"/>
  <c r="N198" i="15"/>
  <c r="P197" i="15"/>
  <c r="O197" i="15"/>
  <c r="N197" i="15"/>
  <c r="P196" i="15"/>
  <c r="O196" i="15"/>
  <c r="N196" i="15"/>
  <c r="P195" i="15"/>
  <c r="O195" i="15"/>
  <c r="N195" i="15"/>
  <c r="P194" i="15"/>
  <c r="O194" i="15"/>
  <c r="N194" i="15"/>
  <c r="P193" i="15"/>
  <c r="O193" i="15"/>
  <c r="N193" i="15"/>
  <c r="P192" i="15"/>
  <c r="O192" i="15"/>
  <c r="N192" i="15"/>
  <c r="P191" i="15"/>
  <c r="O191" i="15"/>
  <c r="N191" i="15"/>
  <c r="P190" i="15"/>
  <c r="O190" i="15"/>
  <c r="N190" i="15"/>
  <c r="P189" i="15"/>
  <c r="O189" i="15"/>
  <c r="N189" i="15"/>
  <c r="P188" i="15"/>
  <c r="O188" i="15"/>
  <c r="N188" i="15"/>
  <c r="P187" i="15"/>
  <c r="O187" i="15"/>
  <c r="N187" i="15"/>
  <c r="P186" i="15"/>
  <c r="O186" i="15"/>
  <c r="N186" i="15"/>
  <c r="P185" i="15"/>
  <c r="O185" i="15"/>
  <c r="N185" i="15"/>
  <c r="P184" i="15"/>
  <c r="O184" i="15"/>
  <c r="N184" i="15"/>
  <c r="P183" i="15"/>
  <c r="O183" i="15"/>
  <c r="N183" i="15"/>
  <c r="P182" i="15"/>
  <c r="O182" i="15"/>
  <c r="N182" i="15"/>
  <c r="P181" i="15"/>
  <c r="O181" i="15"/>
  <c r="N181" i="15"/>
  <c r="P180" i="15"/>
  <c r="O180" i="15"/>
  <c r="N180" i="15"/>
  <c r="P179" i="15"/>
  <c r="O179" i="15"/>
  <c r="N179" i="15"/>
  <c r="P178" i="15"/>
  <c r="O178" i="15"/>
  <c r="N178" i="15"/>
  <c r="P177" i="15"/>
  <c r="O177" i="15"/>
  <c r="N177" i="15"/>
  <c r="P176" i="15"/>
  <c r="O176" i="15"/>
  <c r="N176" i="15"/>
  <c r="P175" i="15"/>
  <c r="O175" i="15"/>
  <c r="N175" i="15"/>
  <c r="P174" i="15"/>
  <c r="O174" i="15"/>
  <c r="N174" i="15"/>
  <c r="P173" i="15"/>
  <c r="O173" i="15"/>
  <c r="N173" i="15"/>
  <c r="P172" i="15"/>
  <c r="O172" i="15"/>
  <c r="N172" i="15"/>
  <c r="P171" i="15"/>
  <c r="O171" i="15"/>
  <c r="N171" i="15"/>
  <c r="P170" i="15"/>
  <c r="O170" i="15"/>
  <c r="N170" i="15"/>
  <c r="P169" i="15"/>
  <c r="O169" i="15"/>
  <c r="N169" i="15"/>
  <c r="P168" i="15"/>
  <c r="O168" i="15"/>
  <c r="N168" i="15"/>
  <c r="P167" i="15"/>
  <c r="O167" i="15"/>
  <c r="N167" i="15"/>
  <c r="P166" i="15"/>
  <c r="O166" i="15"/>
  <c r="N166" i="15"/>
  <c r="P165" i="15"/>
  <c r="O165" i="15"/>
  <c r="N165" i="15"/>
  <c r="P164" i="15"/>
  <c r="O164" i="15"/>
  <c r="N164" i="15"/>
  <c r="P163" i="15"/>
  <c r="O163" i="15"/>
  <c r="N163" i="15"/>
  <c r="P162" i="15"/>
  <c r="O162" i="15"/>
  <c r="N162" i="15"/>
  <c r="P161" i="15"/>
  <c r="O161" i="15"/>
  <c r="N161" i="15"/>
  <c r="P160" i="15"/>
  <c r="O160" i="15"/>
  <c r="N160" i="15"/>
  <c r="P159" i="15"/>
  <c r="O159" i="15"/>
  <c r="N159" i="15"/>
  <c r="P158" i="15"/>
  <c r="O158" i="15"/>
  <c r="N158" i="15"/>
  <c r="P157" i="15"/>
  <c r="O157" i="15"/>
  <c r="N157" i="15"/>
  <c r="P156" i="15"/>
  <c r="O156" i="15"/>
  <c r="N156" i="15"/>
  <c r="P155" i="15"/>
  <c r="O155" i="15"/>
  <c r="N155" i="15"/>
  <c r="P154" i="15"/>
  <c r="O154" i="15"/>
  <c r="N154" i="15"/>
  <c r="P153" i="15"/>
  <c r="O153" i="15"/>
  <c r="N153" i="15"/>
  <c r="P152" i="15"/>
  <c r="O152" i="15"/>
  <c r="N152" i="15"/>
  <c r="P151" i="15"/>
  <c r="O151" i="15"/>
  <c r="N151" i="15"/>
  <c r="P150" i="15"/>
  <c r="O150" i="15"/>
  <c r="N150" i="15"/>
  <c r="P149" i="15"/>
  <c r="O149" i="15"/>
  <c r="N149" i="15"/>
  <c r="P148" i="15"/>
  <c r="O148" i="15"/>
  <c r="N148" i="15"/>
  <c r="P147" i="15"/>
  <c r="O147" i="15"/>
  <c r="N147" i="15"/>
  <c r="P146" i="15"/>
  <c r="O146" i="15"/>
  <c r="N146" i="15"/>
  <c r="P145" i="15"/>
  <c r="O145" i="15"/>
  <c r="N145" i="15"/>
  <c r="P144" i="15"/>
  <c r="O144" i="15"/>
  <c r="N144" i="15"/>
  <c r="P143" i="15"/>
  <c r="O143" i="15"/>
  <c r="N143" i="15"/>
  <c r="P142" i="15"/>
  <c r="O142" i="15"/>
  <c r="N142" i="15"/>
  <c r="P141" i="15"/>
  <c r="O141" i="15"/>
  <c r="N141" i="15"/>
  <c r="P140" i="15"/>
  <c r="O140" i="15"/>
  <c r="N140" i="15"/>
  <c r="P139" i="15"/>
  <c r="O139" i="15"/>
  <c r="N139" i="15"/>
  <c r="P138" i="15"/>
  <c r="O138" i="15"/>
  <c r="N138" i="15"/>
  <c r="P137" i="15"/>
  <c r="O137" i="15"/>
  <c r="N137" i="15"/>
  <c r="P136" i="15"/>
  <c r="O136" i="15"/>
  <c r="N136" i="15"/>
  <c r="P135" i="15"/>
  <c r="O135" i="15"/>
  <c r="N135" i="15"/>
  <c r="P134" i="15"/>
  <c r="O134" i="15"/>
  <c r="N134" i="15"/>
  <c r="P133" i="15"/>
  <c r="O133" i="15"/>
  <c r="N133" i="15"/>
  <c r="P132" i="15"/>
  <c r="O132" i="15"/>
  <c r="N132" i="15"/>
  <c r="P131" i="15"/>
  <c r="O131" i="15"/>
  <c r="N131" i="15"/>
  <c r="P130" i="15"/>
  <c r="O130" i="15"/>
  <c r="N130" i="15"/>
  <c r="P129" i="15"/>
  <c r="O129" i="15"/>
  <c r="N129" i="15"/>
  <c r="P128" i="15"/>
  <c r="O128" i="15"/>
  <c r="N128" i="15"/>
  <c r="P127" i="15"/>
  <c r="O127" i="15"/>
  <c r="N127" i="15"/>
  <c r="P126" i="15"/>
  <c r="O126" i="15"/>
  <c r="N126" i="15"/>
  <c r="P125" i="15"/>
  <c r="O125" i="15"/>
  <c r="N125" i="15"/>
  <c r="P124" i="15"/>
  <c r="O124" i="15"/>
  <c r="N124" i="15"/>
  <c r="P123" i="15"/>
  <c r="O123" i="15"/>
  <c r="N123" i="15"/>
  <c r="P122" i="15"/>
  <c r="O122" i="15"/>
  <c r="N122" i="15"/>
  <c r="P121" i="15"/>
  <c r="O121" i="15"/>
  <c r="N121" i="15"/>
  <c r="P120" i="15"/>
  <c r="O120" i="15"/>
  <c r="N120" i="15"/>
  <c r="P119" i="15"/>
  <c r="O119" i="15"/>
  <c r="N119" i="15"/>
  <c r="P118" i="15"/>
  <c r="O118" i="15"/>
  <c r="N118" i="15"/>
  <c r="P117" i="15"/>
  <c r="O117" i="15"/>
  <c r="N117" i="15"/>
  <c r="P116" i="15"/>
  <c r="O116" i="15"/>
  <c r="N116" i="15"/>
  <c r="P115" i="15"/>
  <c r="O115" i="15"/>
  <c r="N115" i="15"/>
  <c r="P114" i="15"/>
  <c r="O114" i="15"/>
  <c r="N114" i="15"/>
  <c r="P113" i="15"/>
  <c r="O113" i="15"/>
  <c r="N113" i="15"/>
  <c r="P112" i="15"/>
  <c r="O112" i="15"/>
  <c r="N112" i="15"/>
  <c r="P111" i="15"/>
  <c r="O111" i="15"/>
  <c r="N111" i="15"/>
  <c r="P110" i="15"/>
  <c r="O110" i="15"/>
  <c r="N110" i="15"/>
  <c r="P109" i="15"/>
  <c r="O109" i="15"/>
  <c r="N109" i="15"/>
  <c r="P108" i="15"/>
  <c r="O108" i="15"/>
  <c r="N108" i="15"/>
  <c r="P107" i="15"/>
  <c r="O107" i="15"/>
  <c r="N107" i="15"/>
  <c r="P106" i="15"/>
  <c r="O106" i="15"/>
  <c r="N106" i="15"/>
  <c r="P105" i="15"/>
  <c r="O105" i="15"/>
  <c r="N105" i="15"/>
  <c r="P104" i="15"/>
  <c r="O104" i="15"/>
  <c r="N104" i="15"/>
  <c r="P103" i="15"/>
  <c r="O103" i="15"/>
  <c r="N103" i="15"/>
  <c r="P102" i="15"/>
  <c r="O102" i="15"/>
  <c r="N102" i="15"/>
  <c r="P101" i="15"/>
  <c r="O101" i="15"/>
  <c r="N101" i="15"/>
  <c r="P100" i="15"/>
  <c r="O100" i="15"/>
  <c r="N100" i="15"/>
  <c r="P99" i="15"/>
  <c r="O99" i="15"/>
  <c r="N99" i="15"/>
  <c r="P98" i="15"/>
  <c r="O98" i="15"/>
  <c r="N98" i="15"/>
  <c r="P97" i="15"/>
  <c r="O97" i="15"/>
  <c r="N97" i="15"/>
  <c r="P96" i="15"/>
  <c r="O96" i="15"/>
  <c r="N96" i="15"/>
  <c r="P95" i="15"/>
  <c r="O95" i="15"/>
  <c r="N95" i="15"/>
  <c r="P94" i="15"/>
  <c r="O94" i="15"/>
  <c r="N94" i="15"/>
  <c r="P93" i="15"/>
  <c r="O93" i="15"/>
  <c r="N93" i="15"/>
  <c r="P92" i="15"/>
  <c r="O92" i="15"/>
  <c r="N92" i="15"/>
  <c r="P91" i="15"/>
  <c r="O91" i="15"/>
  <c r="N91" i="15"/>
  <c r="P90" i="15"/>
  <c r="O90" i="15"/>
  <c r="N90" i="15"/>
  <c r="P89" i="15"/>
  <c r="O89" i="15"/>
  <c r="N89" i="15"/>
  <c r="P88" i="15"/>
  <c r="O88" i="15"/>
  <c r="N88" i="15"/>
  <c r="P87" i="15"/>
  <c r="O87" i="15"/>
  <c r="N87" i="15"/>
  <c r="P86" i="15"/>
  <c r="O86" i="15"/>
  <c r="N86" i="15"/>
  <c r="P85" i="15"/>
  <c r="O85" i="15"/>
  <c r="N85" i="15"/>
  <c r="P84" i="15"/>
  <c r="O84" i="15"/>
  <c r="N84" i="15"/>
  <c r="P83" i="15"/>
  <c r="O83" i="15"/>
  <c r="N83" i="15"/>
  <c r="P82" i="15"/>
  <c r="O82" i="15"/>
  <c r="N82" i="15"/>
  <c r="P81" i="15"/>
  <c r="O81" i="15"/>
  <c r="N81" i="15"/>
  <c r="P80" i="15"/>
  <c r="O80" i="15"/>
  <c r="N80" i="15"/>
  <c r="P79" i="15"/>
  <c r="O79" i="15"/>
  <c r="N79" i="15"/>
  <c r="P78" i="15"/>
  <c r="O78" i="15"/>
  <c r="N78" i="15"/>
  <c r="P77" i="15"/>
  <c r="O77" i="15"/>
  <c r="N77" i="15"/>
  <c r="P76" i="15"/>
  <c r="O76" i="15"/>
  <c r="N76" i="15"/>
  <c r="P75" i="15"/>
  <c r="O75" i="15"/>
  <c r="N75" i="15"/>
  <c r="P74" i="15"/>
  <c r="O74" i="15"/>
  <c r="N74" i="15"/>
  <c r="P73" i="15"/>
  <c r="O73" i="15"/>
  <c r="N73" i="15"/>
  <c r="P72" i="15"/>
  <c r="O72" i="15"/>
  <c r="N72" i="15"/>
  <c r="P71" i="15"/>
  <c r="O71" i="15"/>
  <c r="N71" i="15"/>
  <c r="P70" i="15"/>
  <c r="O70" i="15"/>
  <c r="N70" i="15"/>
  <c r="P69" i="15"/>
  <c r="O69" i="15"/>
  <c r="N69" i="15"/>
  <c r="P68" i="15"/>
  <c r="O68" i="15"/>
  <c r="N68" i="15"/>
  <c r="P67" i="15"/>
  <c r="O67" i="15"/>
  <c r="N67" i="15"/>
  <c r="P66" i="15"/>
  <c r="O66" i="15"/>
  <c r="N66" i="15"/>
  <c r="P65" i="15"/>
  <c r="O65" i="15"/>
  <c r="N65" i="15"/>
  <c r="P64" i="15"/>
  <c r="O64" i="15"/>
  <c r="N64" i="15"/>
  <c r="P63" i="15"/>
  <c r="O63" i="15"/>
  <c r="N63" i="15"/>
  <c r="P62" i="15"/>
  <c r="O62" i="15"/>
  <c r="N62" i="15"/>
  <c r="P61" i="15"/>
  <c r="O61" i="15"/>
  <c r="N61" i="15"/>
  <c r="P60" i="15"/>
  <c r="O60" i="15"/>
  <c r="N60" i="15"/>
  <c r="P59" i="15"/>
  <c r="O59" i="15"/>
  <c r="N59" i="15"/>
  <c r="P58" i="15"/>
  <c r="O58" i="15"/>
  <c r="N58" i="15"/>
  <c r="P57" i="15"/>
  <c r="O57" i="15"/>
  <c r="N57" i="15"/>
  <c r="P56" i="15"/>
  <c r="O56" i="15"/>
  <c r="N56" i="15"/>
  <c r="P55" i="15"/>
  <c r="O55" i="15"/>
  <c r="N55" i="15"/>
  <c r="P54" i="15"/>
  <c r="O54" i="15"/>
  <c r="N54" i="15"/>
  <c r="P53" i="15"/>
  <c r="O53" i="15"/>
  <c r="N53" i="15"/>
  <c r="P52" i="15"/>
  <c r="O52" i="15"/>
  <c r="N52" i="15"/>
  <c r="P51" i="15"/>
  <c r="O51" i="15"/>
  <c r="N51" i="15"/>
  <c r="P50" i="15"/>
  <c r="O50" i="15"/>
  <c r="N50" i="15"/>
  <c r="P49" i="15"/>
  <c r="O49" i="15"/>
  <c r="N49" i="15"/>
  <c r="P48" i="15"/>
  <c r="O48" i="15"/>
  <c r="N48" i="15"/>
  <c r="P47" i="15"/>
  <c r="O47" i="15"/>
  <c r="N47" i="15"/>
  <c r="P46" i="15"/>
  <c r="O46" i="15"/>
  <c r="N46" i="15"/>
  <c r="P45" i="15"/>
  <c r="O45" i="15"/>
  <c r="N45" i="15"/>
  <c r="P44" i="15"/>
  <c r="O44" i="15"/>
  <c r="N44" i="15"/>
  <c r="P43" i="15"/>
  <c r="O43" i="15"/>
  <c r="N43" i="15"/>
  <c r="P42" i="15"/>
  <c r="O42" i="15"/>
  <c r="N42" i="15"/>
  <c r="P41" i="15"/>
  <c r="O41" i="15"/>
  <c r="N41" i="15"/>
  <c r="P40" i="15"/>
  <c r="O40" i="15"/>
  <c r="N40" i="15"/>
  <c r="P39" i="15"/>
  <c r="O39" i="15"/>
  <c r="N39" i="15"/>
  <c r="P38" i="15"/>
  <c r="O38" i="15"/>
  <c r="N38" i="15"/>
  <c r="P37" i="15"/>
  <c r="O37" i="15"/>
  <c r="N37" i="15"/>
  <c r="P36" i="15"/>
  <c r="O36" i="15"/>
  <c r="P35" i="15"/>
  <c r="O35" i="15"/>
  <c r="P34" i="15"/>
  <c r="O34" i="15"/>
  <c r="P33" i="15"/>
  <c r="O33" i="15"/>
  <c r="N33" i="15"/>
  <c r="P32" i="15"/>
  <c r="O32" i="15"/>
  <c r="N32" i="15"/>
  <c r="P31" i="15"/>
  <c r="O31" i="15"/>
  <c r="N31" i="15"/>
  <c r="P30" i="15"/>
  <c r="O30" i="15"/>
  <c r="N30" i="15"/>
  <c r="P29" i="15"/>
  <c r="O29" i="15"/>
  <c r="N29" i="15"/>
  <c r="P28" i="15"/>
  <c r="O28" i="15"/>
  <c r="N28" i="15"/>
  <c r="P27" i="15"/>
  <c r="O27" i="15"/>
  <c r="N27" i="15"/>
  <c r="P26" i="15"/>
  <c r="O26" i="15"/>
  <c r="N26" i="15"/>
  <c r="P25" i="15"/>
  <c r="O25" i="15"/>
  <c r="N25" i="15"/>
  <c r="P24" i="15"/>
  <c r="O24" i="15"/>
  <c r="N24" i="15"/>
  <c r="P23" i="15"/>
  <c r="O23" i="15"/>
  <c r="N23" i="15"/>
  <c r="P22" i="15"/>
  <c r="O22" i="15"/>
  <c r="N22" i="15"/>
  <c r="P21" i="15"/>
  <c r="O21" i="15"/>
  <c r="N21" i="15"/>
  <c r="P20" i="15"/>
  <c r="O20" i="15"/>
  <c r="N20" i="15"/>
  <c r="P19" i="15"/>
  <c r="O19" i="15"/>
  <c r="N19" i="15"/>
  <c r="P18" i="15"/>
  <c r="O18" i="15"/>
  <c r="N18" i="15"/>
  <c r="P17" i="15"/>
  <c r="O17" i="15"/>
  <c r="N17" i="15"/>
  <c r="P16" i="15"/>
  <c r="O16" i="15"/>
  <c r="N16" i="15"/>
  <c r="AS15" i="15"/>
  <c r="P15" i="15"/>
  <c r="O15" i="15"/>
  <c r="N15" i="15"/>
  <c r="AS14" i="15"/>
  <c r="P14" i="15"/>
  <c r="O14" i="15"/>
  <c r="N14" i="15"/>
  <c r="AS13" i="15"/>
  <c r="P13" i="15"/>
  <c r="O13" i="15"/>
  <c r="N13" i="15"/>
  <c r="AS12" i="15"/>
  <c r="P12" i="15"/>
  <c r="O12" i="15"/>
  <c r="N12" i="15"/>
  <c r="P11" i="15"/>
  <c r="O11" i="15"/>
  <c r="N11" i="15"/>
  <c r="P10" i="15"/>
  <c r="O10" i="15"/>
  <c r="S11" i="1" s="1"/>
  <c r="N10" i="15"/>
  <c r="S9" i="15" a="1"/>
  <c r="S9" i="15" s="1"/>
  <c r="U1" i="15" s="1" a="1"/>
  <c r="U1" i="15" s="1"/>
  <c r="P9" i="15"/>
  <c r="O9" i="15"/>
  <c r="N9" i="15"/>
  <c r="AQ8" i="15"/>
  <c r="P8" i="15"/>
  <c r="O8" i="15"/>
  <c r="N8" i="15"/>
  <c r="P7" i="15"/>
  <c r="O7" i="15"/>
  <c r="N7" i="15"/>
  <c r="P6" i="15"/>
  <c r="O6" i="15"/>
  <c r="N6" i="15"/>
  <c r="P5" i="15"/>
  <c r="O5" i="15"/>
  <c r="N5" i="15"/>
  <c r="P4" i="15"/>
  <c r="O4" i="15"/>
  <c r="N4" i="15"/>
  <c r="P3" i="15"/>
  <c r="O3" i="15"/>
  <c r="N3" i="15"/>
  <c r="P2" i="15"/>
  <c r="O2" i="15"/>
  <c r="N2" i="15"/>
  <c r="BC1" i="15" a="1"/>
  <c r="BC1" i="15" s="1"/>
  <c r="AT1" i="15" a="1"/>
  <c r="AT1" i="15" s="1"/>
  <c r="Z371" i="1"/>
  <c r="X371" i="1"/>
  <c r="V371" i="1"/>
  <c r="T371" i="1"/>
  <c r="S371" i="1"/>
  <c r="Z370" i="1"/>
  <c r="X370" i="1"/>
  <c r="V370" i="1"/>
  <c r="T370" i="1"/>
  <c r="S370" i="1"/>
  <c r="Z369" i="1"/>
  <c r="X369" i="1"/>
  <c r="V369" i="1"/>
  <c r="T369" i="1"/>
  <c r="S369" i="1"/>
  <c r="Z368" i="1"/>
  <c r="X368" i="1"/>
  <c r="V368" i="1"/>
  <c r="T368" i="1"/>
  <c r="S368" i="1"/>
  <c r="Z367" i="1"/>
  <c r="X367" i="1"/>
  <c r="V367" i="1"/>
  <c r="T367" i="1"/>
  <c r="S367" i="1"/>
  <c r="Z366" i="1"/>
  <c r="X366" i="1"/>
  <c r="V366" i="1"/>
  <c r="T366" i="1"/>
  <c r="S366" i="1"/>
  <c r="Z365" i="1"/>
  <c r="X365" i="1"/>
  <c r="V365" i="1"/>
  <c r="T365" i="1"/>
  <c r="S365" i="1"/>
  <c r="Z364" i="1"/>
  <c r="X364" i="1"/>
  <c r="V364" i="1"/>
  <c r="T364" i="1"/>
  <c r="S364" i="1"/>
  <c r="Z363" i="1"/>
  <c r="X363" i="1"/>
  <c r="V363" i="1"/>
  <c r="T363" i="1"/>
  <c r="S363" i="1"/>
  <c r="Z362" i="1"/>
  <c r="X362" i="1"/>
  <c r="V362" i="1"/>
  <c r="T362" i="1"/>
  <c r="S362" i="1"/>
  <c r="Z361" i="1"/>
  <c r="X361" i="1"/>
  <c r="V361" i="1"/>
  <c r="T361" i="1"/>
  <c r="S361" i="1"/>
  <c r="Z360" i="1"/>
  <c r="X360" i="1"/>
  <c r="V360" i="1"/>
  <c r="T360" i="1"/>
  <c r="S360" i="1"/>
  <c r="Z359" i="1"/>
  <c r="X359" i="1"/>
  <c r="V359" i="1"/>
  <c r="T359" i="1"/>
  <c r="S359" i="1"/>
  <c r="Z358" i="1"/>
  <c r="X358" i="1"/>
  <c r="V358" i="1"/>
  <c r="T358" i="1"/>
  <c r="S358" i="1"/>
  <c r="Z357" i="1"/>
  <c r="X357" i="1"/>
  <c r="V357" i="1"/>
  <c r="T357" i="1"/>
  <c r="S357" i="1"/>
  <c r="Z356" i="1"/>
  <c r="X356" i="1"/>
  <c r="V356" i="1"/>
  <c r="T356" i="1"/>
  <c r="S356" i="1"/>
  <c r="Z355" i="1"/>
  <c r="X355" i="1"/>
  <c r="V355" i="1"/>
  <c r="T355" i="1"/>
  <c r="S355" i="1"/>
  <c r="Z354" i="1"/>
  <c r="X354" i="1"/>
  <c r="V354" i="1"/>
  <c r="T354" i="1"/>
  <c r="S354" i="1"/>
  <c r="Z353" i="1"/>
  <c r="X353" i="1"/>
  <c r="V353" i="1"/>
  <c r="T353" i="1"/>
  <c r="S353" i="1"/>
  <c r="Z352" i="1"/>
  <c r="X352" i="1"/>
  <c r="V352" i="1"/>
  <c r="T352" i="1"/>
  <c r="S352" i="1"/>
  <c r="Z351" i="1"/>
  <c r="X351" i="1"/>
  <c r="V351" i="1"/>
  <c r="T351" i="1"/>
  <c r="S351" i="1"/>
  <c r="Z350" i="1"/>
  <c r="X350" i="1"/>
  <c r="V350" i="1"/>
  <c r="T350" i="1"/>
  <c r="S350" i="1"/>
  <c r="Z349" i="1"/>
  <c r="X349" i="1"/>
  <c r="V349" i="1"/>
  <c r="T349" i="1"/>
  <c r="S349" i="1"/>
  <c r="Z348" i="1"/>
  <c r="X348" i="1"/>
  <c r="V348" i="1"/>
  <c r="T348" i="1"/>
  <c r="S348" i="1"/>
  <c r="Z347" i="1"/>
  <c r="X347" i="1"/>
  <c r="V347" i="1"/>
  <c r="T347" i="1"/>
  <c r="S347" i="1"/>
  <c r="Z346" i="1"/>
  <c r="X346" i="1"/>
  <c r="V346" i="1"/>
  <c r="T346" i="1"/>
  <c r="S346" i="1"/>
  <c r="Z345" i="1"/>
  <c r="X345" i="1"/>
  <c r="V345" i="1"/>
  <c r="T345" i="1"/>
  <c r="S345" i="1"/>
  <c r="Z344" i="1"/>
  <c r="X344" i="1"/>
  <c r="V344" i="1"/>
  <c r="T344" i="1"/>
  <c r="S344" i="1"/>
  <c r="Z343" i="1"/>
  <c r="X343" i="1"/>
  <c r="V343" i="1"/>
  <c r="T343" i="1"/>
  <c r="S343" i="1"/>
  <c r="Z342" i="1"/>
  <c r="X342" i="1"/>
  <c r="V342" i="1"/>
  <c r="T342" i="1"/>
  <c r="S342" i="1"/>
  <c r="Z341" i="1"/>
  <c r="X341" i="1"/>
  <c r="V341" i="1"/>
  <c r="T341" i="1"/>
  <c r="S341" i="1"/>
  <c r="Z340" i="1"/>
  <c r="X340" i="1"/>
  <c r="V340" i="1"/>
  <c r="T340" i="1"/>
  <c r="S340" i="1"/>
  <c r="Z339" i="1"/>
  <c r="X339" i="1"/>
  <c r="V339" i="1"/>
  <c r="T339" i="1"/>
  <c r="S339" i="1"/>
  <c r="Z338" i="1"/>
  <c r="X338" i="1"/>
  <c r="V338" i="1"/>
  <c r="T338" i="1"/>
  <c r="S338" i="1"/>
  <c r="Z337" i="1"/>
  <c r="X337" i="1"/>
  <c r="V337" i="1"/>
  <c r="T337" i="1"/>
  <c r="S337" i="1"/>
  <c r="Z336" i="1"/>
  <c r="X336" i="1"/>
  <c r="V336" i="1"/>
  <c r="T336" i="1"/>
  <c r="S336" i="1"/>
  <c r="Z335" i="1"/>
  <c r="X335" i="1"/>
  <c r="V335" i="1"/>
  <c r="T335" i="1"/>
  <c r="S335" i="1"/>
  <c r="Z334" i="1"/>
  <c r="X334" i="1"/>
  <c r="V334" i="1"/>
  <c r="T334" i="1"/>
  <c r="S334" i="1"/>
  <c r="Z333" i="1"/>
  <c r="X333" i="1"/>
  <c r="V333" i="1"/>
  <c r="T333" i="1"/>
  <c r="S333" i="1"/>
  <c r="Z332" i="1"/>
  <c r="X332" i="1"/>
  <c r="V332" i="1"/>
  <c r="T332" i="1"/>
  <c r="S332" i="1"/>
  <c r="Z331" i="1"/>
  <c r="X331" i="1"/>
  <c r="V331" i="1"/>
  <c r="T331" i="1"/>
  <c r="S331" i="1"/>
  <c r="Z330" i="1"/>
  <c r="X330" i="1"/>
  <c r="V330" i="1"/>
  <c r="T330" i="1"/>
  <c r="S330" i="1"/>
  <c r="Z329" i="1"/>
  <c r="X329" i="1"/>
  <c r="V329" i="1"/>
  <c r="T329" i="1"/>
  <c r="S329" i="1"/>
  <c r="Z328" i="1"/>
  <c r="X328" i="1"/>
  <c r="V328" i="1"/>
  <c r="T328" i="1"/>
  <c r="S328" i="1"/>
  <c r="Z327" i="1"/>
  <c r="X327" i="1"/>
  <c r="V327" i="1"/>
  <c r="T327" i="1"/>
  <c r="S327" i="1"/>
  <c r="Z326" i="1"/>
  <c r="X326" i="1"/>
  <c r="V326" i="1"/>
  <c r="T326" i="1"/>
  <c r="S326" i="1"/>
  <c r="Z325" i="1"/>
  <c r="X325" i="1"/>
  <c r="V325" i="1"/>
  <c r="T325" i="1"/>
  <c r="S325" i="1"/>
  <c r="Z324" i="1"/>
  <c r="X324" i="1"/>
  <c r="V324" i="1"/>
  <c r="T324" i="1"/>
  <c r="S324" i="1"/>
  <c r="Z323" i="1"/>
  <c r="X323" i="1"/>
  <c r="V323" i="1"/>
  <c r="T323" i="1"/>
  <c r="S323" i="1"/>
  <c r="Z322" i="1"/>
  <c r="X322" i="1"/>
  <c r="V322" i="1"/>
  <c r="T322" i="1"/>
  <c r="S322" i="1"/>
  <c r="Z321" i="1"/>
  <c r="X321" i="1"/>
  <c r="V321" i="1"/>
  <c r="T321" i="1"/>
  <c r="S321" i="1"/>
  <c r="Z320" i="1"/>
  <c r="X320" i="1"/>
  <c r="V320" i="1"/>
  <c r="T320" i="1"/>
  <c r="S320" i="1"/>
  <c r="Z319" i="1"/>
  <c r="X319" i="1"/>
  <c r="V319" i="1"/>
  <c r="T319" i="1"/>
  <c r="S319" i="1"/>
  <c r="Z318" i="1"/>
  <c r="X318" i="1"/>
  <c r="V318" i="1"/>
  <c r="T318" i="1"/>
  <c r="S318" i="1"/>
  <c r="Z317" i="1"/>
  <c r="X317" i="1"/>
  <c r="V317" i="1"/>
  <c r="T317" i="1"/>
  <c r="S317" i="1"/>
  <c r="Z316" i="1"/>
  <c r="X316" i="1"/>
  <c r="V316" i="1"/>
  <c r="T316" i="1"/>
  <c r="S316" i="1"/>
  <c r="Z315" i="1"/>
  <c r="X315" i="1"/>
  <c r="V315" i="1"/>
  <c r="T315" i="1"/>
  <c r="S315" i="1"/>
  <c r="Z314" i="1"/>
  <c r="X314" i="1"/>
  <c r="V314" i="1"/>
  <c r="T314" i="1"/>
  <c r="S314" i="1"/>
  <c r="Z313" i="1"/>
  <c r="X313" i="1"/>
  <c r="V313" i="1"/>
  <c r="T313" i="1"/>
  <c r="S313" i="1"/>
  <c r="Z312" i="1"/>
  <c r="X312" i="1"/>
  <c r="V312" i="1"/>
  <c r="T312" i="1"/>
  <c r="S312" i="1"/>
  <c r="Z311" i="1"/>
  <c r="X311" i="1"/>
  <c r="V311" i="1"/>
  <c r="T311" i="1"/>
  <c r="S311" i="1"/>
  <c r="Z310" i="1"/>
  <c r="X310" i="1"/>
  <c r="V310" i="1"/>
  <c r="T310" i="1"/>
  <c r="S310" i="1"/>
  <c r="Z309" i="1"/>
  <c r="X309" i="1"/>
  <c r="V309" i="1"/>
  <c r="T309" i="1"/>
  <c r="S309" i="1"/>
  <c r="Z308" i="1"/>
  <c r="X308" i="1"/>
  <c r="V308" i="1"/>
  <c r="T308" i="1"/>
  <c r="S308" i="1"/>
  <c r="Z307" i="1"/>
  <c r="X307" i="1"/>
  <c r="V307" i="1"/>
  <c r="T307" i="1"/>
  <c r="S307" i="1"/>
  <c r="Z306" i="1"/>
  <c r="X306" i="1"/>
  <c r="V306" i="1"/>
  <c r="T306" i="1"/>
  <c r="S306" i="1"/>
  <c r="Z305" i="1"/>
  <c r="X305" i="1"/>
  <c r="V305" i="1"/>
  <c r="T305" i="1"/>
  <c r="S305" i="1"/>
  <c r="Z304" i="1"/>
  <c r="X304" i="1"/>
  <c r="V304" i="1"/>
  <c r="T304" i="1"/>
  <c r="S304" i="1"/>
  <c r="Z303" i="1"/>
  <c r="X303" i="1"/>
  <c r="V303" i="1"/>
  <c r="T303" i="1"/>
  <c r="S303" i="1"/>
  <c r="Z302" i="1"/>
  <c r="X302" i="1"/>
  <c r="V302" i="1"/>
  <c r="T302" i="1"/>
  <c r="S302" i="1"/>
  <c r="Z301" i="1"/>
  <c r="X301" i="1"/>
  <c r="V301" i="1"/>
  <c r="T301" i="1"/>
  <c r="S301" i="1"/>
  <c r="Z300" i="1"/>
  <c r="X300" i="1"/>
  <c r="V300" i="1"/>
  <c r="T300" i="1"/>
  <c r="S300" i="1"/>
  <c r="Z299" i="1"/>
  <c r="X299" i="1"/>
  <c r="V299" i="1"/>
  <c r="T299" i="1"/>
  <c r="S299" i="1"/>
  <c r="Z298" i="1"/>
  <c r="X298" i="1"/>
  <c r="V298" i="1"/>
  <c r="T298" i="1"/>
  <c r="S298" i="1"/>
  <c r="Z297" i="1"/>
  <c r="X297" i="1"/>
  <c r="V297" i="1"/>
  <c r="T297" i="1"/>
  <c r="S297" i="1"/>
  <c r="Z296" i="1"/>
  <c r="X296" i="1"/>
  <c r="V296" i="1"/>
  <c r="T296" i="1"/>
  <c r="S296" i="1"/>
  <c r="Z295" i="1"/>
  <c r="X295" i="1"/>
  <c r="V295" i="1"/>
  <c r="T295" i="1"/>
  <c r="S295" i="1"/>
  <c r="Z294" i="1"/>
  <c r="X294" i="1"/>
  <c r="V294" i="1"/>
  <c r="T294" i="1"/>
  <c r="S294" i="1"/>
  <c r="Z293" i="1"/>
  <c r="X293" i="1"/>
  <c r="V293" i="1"/>
  <c r="T293" i="1"/>
  <c r="S293" i="1"/>
  <c r="Z292" i="1"/>
  <c r="X292" i="1"/>
  <c r="V292" i="1"/>
  <c r="T292" i="1"/>
  <c r="S292" i="1"/>
  <c r="Z291" i="1"/>
  <c r="X291" i="1"/>
  <c r="V291" i="1"/>
  <c r="T291" i="1"/>
  <c r="S291" i="1"/>
  <c r="Z290" i="1"/>
  <c r="X290" i="1"/>
  <c r="V290" i="1"/>
  <c r="T290" i="1"/>
  <c r="S290" i="1"/>
  <c r="Z289" i="1"/>
  <c r="X289" i="1"/>
  <c r="V289" i="1"/>
  <c r="T289" i="1"/>
  <c r="S289" i="1"/>
  <c r="Z288" i="1"/>
  <c r="X288" i="1"/>
  <c r="V288" i="1"/>
  <c r="T288" i="1"/>
  <c r="S288" i="1"/>
  <c r="Z287" i="1"/>
  <c r="X287" i="1"/>
  <c r="V287" i="1"/>
  <c r="T287" i="1"/>
  <c r="S287" i="1"/>
  <c r="Z286" i="1"/>
  <c r="X286" i="1"/>
  <c r="V286" i="1"/>
  <c r="T286" i="1"/>
  <c r="S286" i="1"/>
  <c r="Z285" i="1"/>
  <c r="X285" i="1"/>
  <c r="V285" i="1"/>
  <c r="T285" i="1"/>
  <c r="S285" i="1"/>
  <c r="Z284" i="1"/>
  <c r="X284" i="1"/>
  <c r="V284" i="1"/>
  <c r="T284" i="1"/>
  <c r="S284" i="1"/>
  <c r="Z283" i="1"/>
  <c r="X283" i="1"/>
  <c r="V283" i="1"/>
  <c r="T283" i="1"/>
  <c r="S283" i="1"/>
  <c r="Z282" i="1"/>
  <c r="X282" i="1"/>
  <c r="V282" i="1"/>
  <c r="T282" i="1"/>
  <c r="S282" i="1"/>
  <c r="Z281" i="1"/>
  <c r="X281" i="1"/>
  <c r="V281" i="1"/>
  <c r="T281" i="1"/>
  <c r="S281" i="1"/>
  <c r="Z280" i="1"/>
  <c r="X280" i="1"/>
  <c r="V280" i="1"/>
  <c r="T280" i="1"/>
  <c r="S280" i="1"/>
  <c r="Z279" i="1"/>
  <c r="X279" i="1"/>
  <c r="V279" i="1"/>
  <c r="T279" i="1"/>
  <c r="S279" i="1"/>
  <c r="Z278" i="1"/>
  <c r="X278" i="1"/>
  <c r="V278" i="1"/>
  <c r="T278" i="1"/>
  <c r="S278" i="1"/>
  <c r="Z277" i="1"/>
  <c r="X277" i="1"/>
  <c r="V277" i="1"/>
  <c r="T277" i="1"/>
  <c r="S277" i="1"/>
  <c r="Z276" i="1"/>
  <c r="X276" i="1"/>
  <c r="V276" i="1"/>
  <c r="T276" i="1"/>
  <c r="S276" i="1"/>
  <c r="Z275" i="1"/>
  <c r="X275" i="1"/>
  <c r="V275" i="1"/>
  <c r="T275" i="1"/>
  <c r="S275" i="1"/>
  <c r="Z274" i="1"/>
  <c r="X274" i="1"/>
  <c r="V274" i="1"/>
  <c r="T274" i="1"/>
  <c r="S274" i="1"/>
  <c r="Z273" i="1"/>
  <c r="X273" i="1"/>
  <c r="V273" i="1"/>
  <c r="T273" i="1"/>
  <c r="S273" i="1"/>
  <c r="Z272" i="1"/>
  <c r="X272" i="1"/>
  <c r="V272" i="1"/>
  <c r="T272" i="1"/>
  <c r="S272" i="1"/>
  <c r="Z271" i="1"/>
  <c r="X271" i="1"/>
  <c r="V271" i="1"/>
  <c r="T271" i="1"/>
  <c r="S271" i="1"/>
  <c r="Z270" i="1"/>
  <c r="X270" i="1"/>
  <c r="V270" i="1"/>
  <c r="T270" i="1"/>
  <c r="S270" i="1"/>
  <c r="Z269" i="1"/>
  <c r="X269" i="1"/>
  <c r="V269" i="1"/>
  <c r="T269" i="1"/>
  <c r="S269" i="1"/>
  <c r="Z268" i="1"/>
  <c r="X268" i="1"/>
  <c r="V268" i="1"/>
  <c r="T268" i="1"/>
  <c r="S268" i="1"/>
  <c r="Z267" i="1"/>
  <c r="X267" i="1"/>
  <c r="V267" i="1"/>
  <c r="T267" i="1"/>
  <c r="S267" i="1"/>
  <c r="Z266" i="1"/>
  <c r="X266" i="1"/>
  <c r="V266" i="1"/>
  <c r="T266" i="1"/>
  <c r="S266" i="1"/>
  <c r="Z265" i="1"/>
  <c r="X265" i="1"/>
  <c r="V265" i="1"/>
  <c r="T265" i="1"/>
  <c r="S265" i="1"/>
  <c r="Z264" i="1"/>
  <c r="X264" i="1"/>
  <c r="V264" i="1"/>
  <c r="T264" i="1"/>
  <c r="S264" i="1"/>
  <c r="Z263" i="1"/>
  <c r="X263" i="1"/>
  <c r="V263" i="1"/>
  <c r="T263" i="1"/>
  <c r="S263" i="1"/>
  <c r="Z262" i="1"/>
  <c r="X262" i="1"/>
  <c r="V262" i="1"/>
  <c r="T262" i="1"/>
  <c r="S262" i="1"/>
  <c r="Z261" i="1"/>
  <c r="X261" i="1"/>
  <c r="V261" i="1"/>
  <c r="T261" i="1"/>
  <c r="S261" i="1"/>
  <c r="Z260" i="1"/>
  <c r="X260" i="1"/>
  <c r="V260" i="1"/>
  <c r="T260" i="1"/>
  <c r="S260" i="1"/>
  <c r="Z259" i="1"/>
  <c r="X259" i="1"/>
  <c r="V259" i="1"/>
  <c r="T259" i="1"/>
  <c r="S259" i="1"/>
  <c r="Z258" i="1"/>
  <c r="X258" i="1"/>
  <c r="V258" i="1"/>
  <c r="T258" i="1"/>
  <c r="S258" i="1"/>
  <c r="Z257" i="1"/>
  <c r="X257" i="1"/>
  <c r="V257" i="1"/>
  <c r="T257" i="1"/>
  <c r="S257" i="1"/>
  <c r="Z256" i="1"/>
  <c r="X256" i="1"/>
  <c r="V256" i="1"/>
  <c r="T256" i="1"/>
  <c r="S256" i="1"/>
  <c r="Z255" i="1"/>
  <c r="X255" i="1"/>
  <c r="V255" i="1"/>
  <c r="T255" i="1"/>
  <c r="S255" i="1"/>
  <c r="Z254" i="1"/>
  <c r="X254" i="1"/>
  <c r="V254" i="1"/>
  <c r="T254" i="1"/>
  <c r="S254" i="1"/>
  <c r="Z253" i="1"/>
  <c r="X253" i="1"/>
  <c r="V253" i="1"/>
  <c r="T253" i="1"/>
  <c r="S253" i="1"/>
  <c r="Z252" i="1"/>
  <c r="X252" i="1"/>
  <c r="V252" i="1"/>
  <c r="T252" i="1"/>
  <c r="S252" i="1"/>
  <c r="Z251" i="1"/>
  <c r="X251" i="1"/>
  <c r="V251" i="1"/>
  <c r="T251" i="1"/>
  <c r="S251" i="1"/>
  <c r="Z250" i="1"/>
  <c r="X250" i="1"/>
  <c r="V250" i="1"/>
  <c r="T250" i="1"/>
  <c r="S250" i="1"/>
  <c r="Z249" i="1"/>
  <c r="X249" i="1"/>
  <c r="V249" i="1"/>
  <c r="T249" i="1"/>
  <c r="S249" i="1"/>
  <c r="Z248" i="1"/>
  <c r="X248" i="1"/>
  <c r="V248" i="1"/>
  <c r="T248" i="1"/>
  <c r="S248" i="1"/>
  <c r="Z247" i="1"/>
  <c r="X247" i="1"/>
  <c r="V247" i="1"/>
  <c r="T247" i="1"/>
  <c r="S247" i="1"/>
  <c r="Z246" i="1"/>
  <c r="X246" i="1"/>
  <c r="V246" i="1"/>
  <c r="T246" i="1"/>
  <c r="S246" i="1"/>
  <c r="Z245" i="1"/>
  <c r="X245" i="1"/>
  <c r="V245" i="1"/>
  <c r="T245" i="1"/>
  <c r="S245" i="1"/>
  <c r="Z244" i="1"/>
  <c r="X244" i="1"/>
  <c r="V244" i="1"/>
  <c r="T244" i="1"/>
  <c r="S244" i="1"/>
  <c r="Z243" i="1"/>
  <c r="X243" i="1"/>
  <c r="V243" i="1"/>
  <c r="T243" i="1"/>
  <c r="S243" i="1"/>
  <c r="Z242" i="1"/>
  <c r="X242" i="1"/>
  <c r="V242" i="1"/>
  <c r="T242" i="1"/>
  <c r="S242" i="1"/>
  <c r="Z241" i="1"/>
  <c r="X241" i="1"/>
  <c r="V241" i="1"/>
  <c r="T241" i="1"/>
  <c r="S241" i="1"/>
  <c r="Z240" i="1"/>
  <c r="X240" i="1"/>
  <c r="V240" i="1"/>
  <c r="T240" i="1"/>
  <c r="S240" i="1"/>
  <c r="Z239" i="1"/>
  <c r="X239" i="1"/>
  <c r="V239" i="1"/>
  <c r="T239" i="1"/>
  <c r="S239" i="1"/>
  <c r="Z238" i="1"/>
  <c r="X238" i="1"/>
  <c r="V238" i="1"/>
  <c r="T238" i="1"/>
  <c r="S238" i="1"/>
  <c r="Z237" i="1"/>
  <c r="X237" i="1"/>
  <c r="V237" i="1"/>
  <c r="T237" i="1"/>
  <c r="S237" i="1"/>
  <c r="Z236" i="1"/>
  <c r="X236" i="1"/>
  <c r="V236" i="1"/>
  <c r="T236" i="1"/>
  <c r="S236" i="1"/>
  <c r="Z235" i="1"/>
  <c r="X235" i="1"/>
  <c r="V235" i="1"/>
  <c r="T235" i="1"/>
  <c r="S235" i="1"/>
  <c r="Z234" i="1"/>
  <c r="X234" i="1"/>
  <c r="V234" i="1"/>
  <c r="T234" i="1"/>
  <c r="S234" i="1"/>
  <c r="Z233" i="1"/>
  <c r="X233" i="1"/>
  <c r="V233" i="1"/>
  <c r="T233" i="1"/>
  <c r="S233" i="1"/>
  <c r="Z232" i="1"/>
  <c r="X232" i="1"/>
  <c r="V232" i="1"/>
  <c r="T232" i="1"/>
  <c r="S232" i="1"/>
  <c r="Z231" i="1"/>
  <c r="X231" i="1"/>
  <c r="V231" i="1"/>
  <c r="T231" i="1"/>
  <c r="S231" i="1"/>
  <c r="Z230" i="1"/>
  <c r="X230" i="1"/>
  <c r="V230" i="1"/>
  <c r="T230" i="1"/>
  <c r="S230" i="1"/>
  <c r="Z229" i="1"/>
  <c r="X229" i="1"/>
  <c r="V229" i="1"/>
  <c r="T229" i="1"/>
  <c r="S229" i="1"/>
  <c r="Z228" i="1"/>
  <c r="X228" i="1"/>
  <c r="V228" i="1"/>
  <c r="T228" i="1"/>
  <c r="S228" i="1"/>
  <c r="Z227" i="1"/>
  <c r="X227" i="1"/>
  <c r="V227" i="1"/>
  <c r="T227" i="1"/>
  <c r="S227" i="1"/>
  <c r="Z226" i="1"/>
  <c r="X226" i="1"/>
  <c r="V226" i="1"/>
  <c r="T226" i="1"/>
  <c r="S226" i="1"/>
  <c r="Z225" i="1"/>
  <c r="X225" i="1"/>
  <c r="V225" i="1"/>
  <c r="T225" i="1"/>
  <c r="S225" i="1"/>
  <c r="Z224" i="1"/>
  <c r="X224" i="1"/>
  <c r="V224" i="1"/>
  <c r="T224" i="1"/>
  <c r="S224" i="1"/>
  <c r="Z223" i="1"/>
  <c r="X223" i="1"/>
  <c r="V223" i="1"/>
  <c r="T223" i="1"/>
  <c r="S223" i="1"/>
  <c r="Z222" i="1"/>
  <c r="X222" i="1"/>
  <c r="V222" i="1"/>
  <c r="T222" i="1"/>
  <c r="S222" i="1"/>
  <c r="Z221" i="1"/>
  <c r="X221" i="1"/>
  <c r="V221" i="1"/>
  <c r="T221" i="1"/>
  <c r="S221" i="1"/>
  <c r="Z220" i="1"/>
  <c r="X220" i="1"/>
  <c r="V220" i="1"/>
  <c r="T220" i="1"/>
  <c r="S220" i="1"/>
  <c r="Z219" i="1"/>
  <c r="X219" i="1"/>
  <c r="V219" i="1"/>
  <c r="T219" i="1"/>
  <c r="S219" i="1"/>
  <c r="Z218" i="1"/>
  <c r="X218" i="1"/>
  <c r="V218" i="1"/>
  <c r="T218" i="1"/>
  <c r="S218" i="1"/>
  <c r="Z217" i="1"/>
  <c r="X217" i="1"/>
  <c r="V217" i="1"/>
  <c r="T217" i="1"/>
  <c r="S217" i="1"/>
  <c r="Z216" i="1"/>
  <c r="X216" i="1"/>
  <c r="V216" i="1"/>
  <c r="T216" i="1"/>
  <c r="S216" i="1"/>
  <c r="Z215" i="1"/>
  <c r="X215" i="1"/>
  <c r="V215" i="1"/>
  <c r="T215" i="1"/>
  <c r="S215" i="1"/>
  <c r="Z214" i="1"/>
  <c r="X214" i="1"/>
  <c r="V214" i="1"/>
  <c r="T214" i="1"/>
  <c r="S214" i="1"/>
  <c r="Z213" i="1"/>
  <c r="X213" i="1"/>
  <c r="V213" i="1"/>
  <c r="T213" i="1"/>
  <c r="S213" i="1"/>
  <c r="Z212" i="1"/>
  <c r="X212" i="1"/>
  <c r="V212" i="1"/>
  <c r="T212" i="1"/>
  <c r="S212" i="1"/>
  <c r="Z211" i="1"/>
  <c r="X211" i="1"/>
  <c r="V211" i="1"/>
  <c r="T211" i="1"/>
  <c r="S211" i="1"/>
  <c r="Z210" i="1"/>
  <c r="X210" i="1"/>
  <c r="V210" i="1"/>
  <c r="T210" i="1"/>
  <c r="S210" i="1"/>
  <c r="Z209" i="1"/>
  <c r="X209" i="1"/>
  <c r="V209" i="1"/>
  <c r="T209" i="1"/>
  <c r="S209" i="1"/>
  <c r="Z208" i="1"/>
  <c r="X208" i="1"/>
  <c r="V208" i="1"/>
  <c r="T208" i="1"/>
  <c r="S208" i="1"/>
  <c r="Z207" i="1"/>
  <c r="X207" i="1"/>
  <c r="V207" i="1"/>
  <c r="T207" i="1"/>
  <c r="S207" i="1"/>
  <c r="Z206" i="1"/>
  <c r="X206" i="1"/>
  <c r="V206" i="1"/>
  <c r="T206" i="1"/>
  <c r="S206" i="1"/>
  <c r="Z205" i="1"/>
  <c r="X205" i="1"/>
  <c r="V205" i="1"/>
  <c r="T205" i="1"/>
  <c r="S205" i="1"/>
  <c r="Z204" i="1"/>
  <c r="X204" i="1"/>
  <c r="V204" i="1"/>
  <c r="T204" i="1"/>
  <c r="S204" i="1"/>
  <c r="Z203" i="1"/>
  <c r="X203" i="1"/>
  <c r="V203" i="1"/>
  <c r="T203" i="1"/>
  <c r="S203" i="1"/>
  <c r="Z202" i="1"/>
  <c r="X202" i="1"/>
  <c r="V202" i="1"/>
  <c r="T202" i="1"/>
  <c r="S202" i="1"/>
  <c r="Z201" i="1"/>
  <c r="X201" i="1"/>
  <c r="V201" i="1"/>
  <c r="T201" i="1"/>
  <c r="S201" i="1"/>
  <c r="Z200" i="1"/>
  <c r="X200" i="1"/>
  <c r="V200" i="1"/>
  <c r="T200" i="1"/>
  <c r="S200" i="1"/>
  <c r="Z199" i="1"/>
  <c r="X199" i="1"/>
  <c r="V199" i="1"/>
  <c r="T199" i="1"/>
  <c r="S199" i="1"/>
  <c r="Z198" i="1"/>
  <c r="X198" i="1"/>
  <c r="V198" i="1"/>
  <c r="T198" i="1"/>
  <c r="S198" i="1"/>
  <c r="Z197" i="1"/>
  <c r="X197" i="1"/>
  <c r="V197" i="1"/>
  <c r="T197" i="1"/>
  <c r="S197" i="1"/>
  <c r="Z196" i="1"/>
  <c r="X196" i="1"/>
  <c r="V196" i="1"/>
  <c r="T196" i="1"/>
  <c r="S196" i="1"/>
  <c r="Z195" i="1"/>
  <c r="X195" i="1"/>
  <c r="V195" i="1"/>
  <c r="T195" i="1"/>
  <c r="S195" i="1"/>
  <c r="Z194" i="1"/>
  <c r="X194" i="1"/>
  <c r="V194" i="1"/>
  <c r="T194" i="1"/>
  <c r="S194" i="1"/>
  <c r="Z193" i="1"/>
  <c r="X193" i="1"/>
  <c r="V193" i="1"/>
  <c r="T193" i="1"/>
  <c r="S193" i="1"/>
  <c r="Z192" i="1"/>
  <c r="X192" i="1"/>
  <c r="V192" i="1"/>
  <c r="T192" i="1"/>
  <c r="S192" i="1"/>
  <c r="Z191" i="1"/>
  <c r="X191" i="1"/>
  <c r="V191" i="1"/>
  <c r="T191" i="1"/>
  <c r="S191" i="1"/>
  <c r="Z190" i="1"/>
  <c r="X190" i="1"/>
  <c r="V190" i="1"/>
  <c r="T190" i="1"/>
  <c r="S190" i="1"/>
  <c r="Z189" i="1"/>
  <c r="X189" i="1"/>
  <c r="V189" i="1"/>
  <c r="T189" i="1"/>
  <c r="S189" i="1"/>
  <c r="Z188" i="1"/>
  <c r="X188" i="1"/>
  <c r="V188" i="1"/>
  <c r="T188" i="1"/>
  <c r="S188" i="1"/>
  <c r="Z187" i="1"/>
  <c r="X187" i="1"/>
  <c r="V187" i="1"/>
  <c r="T187" i="1"/>
  <c r="S187" i="1"/>
  <c r="Z186" i="1"/>
  <c r="X186" i="1"/>
  <c r="V186" i="1"/>
  <c r="T186" i="1"/>
  <c r="S186" i="1"/>
  <c r="Z185" i="1"/>
  <c r="X185" i="1"/>
  <c r="V185" i="1"/>
  <c r="T185" i="1"/>
  <c r="S185" i="1"/>
  <c r="Z184" i="1"/>
  <c r="X184" i="1"/>
  <c r="V184" i="1"/>
  <c r="T184" i="1"/>
  <c r="S184" i="1"/>
  <c r="Z183" i="1"/>
  <c r="X183" i="1"/>
  <c r="V183" i="1"/>
  <c r="T183" i="1"/>
  <c r="S183" i="1"/>
  <c r="Z182" i="1"/>
  <c r="X182" i="1"/>
  <c r="V182" i="1"/>
  <c r="T182" i="1"/>
  <c r="S182" i="1"/>
  <c r="Z181" i="1"/>
  <c r="X181" i="1"/>
  <c r="V181" i="1"/>
  <c r="T181" i="1"/>
  <c r="S181" i="1"/>
  <c r="Z180" i="1"/>
  <c r="X180" i="1"/>
  <c r="V180" i="1"/>
  <c r="T180" i="1"/>
  <c r="S180" i="1"/>
  <c r="Z179" i="1"/>
  <c r="X179" i="1"/>
  <c r="V179" i="1"/>
  <c r="T179" i="1"/>
  <c r="S179" i="1"/>
  <c r="Z178" i="1"/>
  <c r="X178" i="1"/>
  <c r="V178" i="1"/>
  <c r="T178" i="1"/>
  <c r="S178" i="1"/>
  <c r="Z177" i="1"/>
  <c r="X177" i="1"/>
  <c r="V177" i="1"/>
  <c r="T177" i="1"/>
  <c r="S177" i="1"/>
  <c r="Z176" i="1"/>
  <c r="X176" i="1"/>
  <c r="V176" i="1"/>
  <c r="T176" i="1"/>
  <c r="S176" i="1"/>
  <c r="Z175" i="1"/>
  <c r="X175" i="1"/>
  <c r="V175" i="1"/>
  <c r="T175" i="1"/>
  <c r="S175" i="1"/>
  <c r="Z174" i="1"/>
  <c r="X174" i="1"/>
  <c r="V174" i="1"/>
  <c r="T174" i="1"/>
  <c r="S174" i="1"/>
  <c r="Z173" i="1"/>
  <c r="X173" i="1"/>
  <c r="V173" i="1"/>
  <c r="T173" i="1"/>
  <c r="S173" i="1"/>
  <c r="Z172" i="1"/>
  <c r="X172" i="1"/>
  <c r="V172" i="1"/>
  <c r="T172" i="1"/>
  <c r="S172" i="1"/>
  <c r="Z171" i="1"/>
  <c r="X171" i="1"/>
  <c r="V171" i="1"/>
  <c r="T171" i="1"/>
  <c r="S171" i="1"/>
  <c r="Z170" i="1"/>
  <c r="X170" i="1"/>
  <c r="V170" i="1"/>
  <c r="T170" i="1"/>
  <c r="S170" i="1"/>
  <c r="Z169" i="1"/>
  <c r="X169" i="1"/>
  <c r="V169" i="1"/>
  <c r="T169" i="1"/>
  <c r="S169" i="1"/>
  <c r="Z168" i="1"/>
  <c r="X168" i="1"/>
  <c r="V168" i="1"/>
  <c r="T168" i="1"/>
  <c r="S168" i="1"/>
  <c r="Z167" i="1"/>
  <c r="X167" i="1"/>
  <c r="V167" i="1"/>
  <c r="T167" i="1"/>
  <c r="S167" i="1"/>
  <c r="Z166" i="1"/>
  <c r="X166" i="1"/>
  <c r="V166" i="1"/>
  <c r="T166" i="1"/>
  <c r="S166" i="1"/>
  <c r="Z165" i="1"/>
  <c r="X165" i="1"/>
  <c r="V165" i="1"/>
  <c r="T165" i="1"/>
  <c r="S165" i="1"/>
  <c r="Z164" i="1"/>
  <c r="X164" i="1"/>
  <c r="V164" i="1"/>
  <c r="T164" i="1"/>
  <c r="S164" i="1"/>
  <c r="Z163" i="1"/>
  <c r="X163" i="1"/>
  <c r="V163" i="1"/>
  <c r="T163" i="1"/>
  <c r="S163" i="1"/>
  <c r="Z162" i="1"/>
  <c r="X162" i="1"/>
  <c r="V162" i="1"/>
  <c r="T162" i="1"/>
  <c r="S162" i="1"/>
  <c r="Z161" i="1"/>
  <c r="X161" i="1"/>
  <c r="V161" i="1"/>
  <c r="T161" i="1"/>
  <c r="S161" i="1"/>
  <c r="Z160" i="1"/>
  <c r="X160" i="1"/>
  <c r="V160" i="1"/>
  <c r="T160" i="1"/>
  <c r="S160" i="1"/>
  <c r="Z159" i="1"/>
  <c r="X159" i="1"/>
  <c r="V159" i="1"/>
  <c r="T159" i="1"/>
  <c r="S159" i="1"/>
  <c r="Z158" i="1"/>
  <c r="X158" i="1"/>
  <c r="V158" i="1"/>
  <c r="T158" i="1"/>
  <c r="S158" i="1"/>
  <c r="Z157" i="1"/>
  <c r="X157" i="1"/>
  <c r="V157" i="1"/>
  <c r="T157" i="1"/>
  <c r="S157" i="1"/>
  <c r="Z156" i="1"/>
  <c r="X156" i="1"/>
  <c r="V156" i="1"/>
  <c r="T156" i="1"/>
  <c r="S156" i="1"/>
  <c r="Z155" i="1"/>
  <c r="X155" i="1"/>
  <c r="V155" i="1"/>
  <c r="T155" i="1"/>
  <c r="S155" i="1"/>
  <c r="Z154" i="1"/>
  <c r="X154" i="1"/>
  <c r="V154" i="1"/>
  <c r="T154" i="1"/>
  <c r="S154" i="1"/>
  <c r="Z153" i="1"/>
  <c r="X153" i="1"/>
  <c r="V153" i="1"/>
  <c r="T153" i="1"/>
  <c r="S153" i="1"/>
  <c r="Z152" i="1"/>
  <c r="X152" i="1"/>
  <c r="V152" i="1"/>
  <c r="T152" i="1"/>
  <c r="S152" i="1"/>
  <c r="Z151" i="1"/>
  <c r="X151" i="1"/>
  <c r="V151" i="1"/>
  <c r="T151" i="1"/>
  <c r="S151" i="1"/>
  <c r="Z150" i="1"/>
  <c r="X150" i="1"/>
  <c r="V150" i="1"/>
  <c r="T150" i="1"/>
  <c r="S150" i="1"/>
  <c r="Z149" i="1"/>
  <c r="X149" i="1"/>
  <c r="V149" i="1"/>
  <c r="T149" i="1"/>
  <c r="S149" i="1"/>
  <c r="Z148" i="1"/>
  <c r="X148" i="1"/>
  <c r="V148" i="1"/>
  <c r="T148" i="1"/>
  <c r="S148" i="1"/>
  <c r="Z147" i="1"/>
  <c r="X147" i="1"/>
  <c r="V147" i="1"/>
  <c r="T147" i="1"/>
  <c r="S147" i="1"/>
  <c r="Z146" i="1"/>
  <c r="X146" i="1"/>
  <c r="V146" i="1"/>
  <c r="T146" i="1"/>
  <c r="S146" i="1"/>
  <c r="Z145" i="1"/>
  <c r="X145" i="1"/>
  <c r="V145" i="1"/>
  <c r="T145" i="1"/>
  <c r="S145" i="1"/>
  <c r="Z144" i="1"/>
  <c r="X144" i="1"/>
  <c r="V144" i="1"/>
  <c r="T144" i="1"/>
  <c r="S144" i="1"/>
  <c r="Z143" i="1"/>
  <c r="X143" i="1"/>
  <c r="V143" i="1"/>
  <c r="T143" i="1"/>
  <c r="S143" i="1"/>
  <c r="Z142" i="1"/>
  <c r="X142" i="1"/>
  <c r="V142" i="1"/>
  <c r="T142" i="1"/>
  <c r="S142" i="1"/>
  <c r="Z141" i="1"/>
  <c r="X141" i="1"/>
  <c r="V141" i="1"/>
  <c r="T141" i="1"/>
  <c r="S141" i="1"/>
  <c r="Z140" i="1"/>
  <c r="X140" i="1"/>
  <c r="V140" i="1"/>
  <c r="T140" i="1"/>
  <c r="S140" i="1"/>
  <c r="Z139" i="1"/>
  <c r="X139" i="1"/>
  <c r="V139" i="1"/>
  <c r="T139" i="1"/>
  <c r="S139" i="1"/>
  <c r="Z138" i="1"/>
  <c r="X138" i="1"/>
  <c r="V138" i="1"/>
  <c r="T138" i="1"/>
  <c r="S138" i="1"/>
  <c r="Z137" i="1"/>
  <c r="X137" i="1"/>
  <c r="V137" i="1"/>
  <c r="T137" i="1"/>
  <c r="S137" i="1"/>
  <c r="Z136" i="1"/>
  <c r="X136" i="1"/>
  <c r="V136" i="1"/>
  <c r="T136" i="1"/>
  <c r="S136" i="1"/>
  <c r="Z135" i="1"/>
  <c r="X135" i="1"/>
  <c r="V135" i="1"/>
  <c r="T135" i="1"/>
  <c r="S135" i="1"/>
  <c r="Z134" i="1"/>
  <c r="X134" i="1"/>
  <c r="V134" i="1"/>
  <c r="T134" i="1"/>
  <c r="S134" i="1"/>
  <c r="Z133" i="1"/>
  <c r="X133" i="1"/>
  <c r="V133" i="1"/>
  <c r="T133" i="1"/>
  <c r="S133" i="1"/>
  <c r="Z132" i="1"/>
  <c r="X132" i="1"/>
  <c r="V132" i="1"/>
  <c r="T132" i="1"/>
  <c r="S132" i="1"/>
  <c r="Z131" i="1"/>
  <c r="X131" i="1"/>
  <c r="V131" i="1"/>
  <c r="T131" i="1"/>
  <c r="S131" i="1"/>
  <c r="Z130" i="1"/>
  <c r="X130" i="1"/>
  <c r="V130" i="1"/>
  <c r="T130" i="1"/>
  <c r="S130" i="1"/>
  <c r="Z129" i="1"/>
  <c r="X129" i="1"/>
  <c r="V129" i="1"/>
  <c r="T129" i="1"/>
  <c r="S129" i="1"/>
  <c r="Z128" i="1"/>
  <c r="X128" i="1"/>
  <c r="V128" i="1"/>
  <c r="T128" i="1"/>
  <c r="S128" i="1"/>
  <c r="Z127" i="1"/>
  <c r="X127" i="1"/>
  <c r="V127" i="1"/>
  <c r="T127" i="1"/>
  <c r="S127" i="1"/>
  <c r="Z126" i="1"/>
  <c r="X126" i="1"/>
  <c r="V126" i="1"/>
  <c r="T126" i="1"/>
  <c r="S126" i="1"/>
  <c r="Z125" i="1"/>
  <c r="X125" i="1"/>
  <c r="V125" i="1"/>
  <c r="T125" i="1"/>
  <c r="S125" i="1"/>
  <c r="Z124" i="1"/>
  <c r="X124" i="1"/>
  <c r="V124" i="1"/>
  <c r="T124" i="1"/>
  <c r="S124" i="1"/>
  <c r="Z123" i="1"/>
  <c r="X123" i="1"/>
  <c r="V123" i="1"/>
  <c r="T123" i="1"/>
  <c r="S123" i="1"/>
  <c r="Z122" i="1"/>
  <c r="X122" i="1"/>
  <c r="V122" i="1"/>
  <c r="T122" i="1"/>
  <c r="S122" i="1"/>
  <c r="Z121" i="1"/>
  <c r="X121" i="1"/>
  <c r="V121" i="1"/>
  <c r="T121" i="1"/>
  <c r="S121" i="1"/>
  <c r="Z120" i="1"/>
  <c r="X120" i="1"/>
  <c r="V120" i="1"/>
  <c r="T120" i="1"/>
  <c r="S120" i="1"/>
  <c r="Z119" i="1"/>
  <c r="X119" i="1"/>
  <c r="V119" i="1"/>
  <c r="T119" i="1"/>
  <c r="S119" i="1"/>
  <c r="Z118" i="1"/>
  <c r="X118" i="1"/>
  <c r="V118" i="1"/>
  <c r="T118" i="1"/>
  <c r="S118" i="1"/>
  <c r="Z117" i="1"/>
  <c r="X117" i="1"/>
  <c r="V117" i="1"/>
  <c r="T117" i="1"/>
  <c r="S117" i="1"/>
  <c r="Z116" i="1"/>
  <c r="X116" i="1"/>
  <c r="V116" i="1"/>
  <c r="T116" i="1"/>
  <c r="S116" i="1"/>
  <c r="Z115" i="1"/>
  <c r="X115" i="1"/>
  <c r="V115" i="1"/>
  <c r="T115" i="1"/>
  <c r="S115" i="1"/>
  <c r="Z114" i="1"/>
  <c r="X114" i="1"/>
  <c r="V114" i="1"/>
  <c r="T114" i="1"/>
  <c r="S114" i="1"/>
  <c r="Z113" i="1"/>
  <c r="X113" i="1"/>
  <c r="V113" i="1"/>
  <c r="T113" i="1"/>
  <c r="S113" i="1"/>
  <c r="Z112" i="1"/>
  <c r="X112" i="1"/>
  <c r="V112" i="1"/>
  <c r="T112" i="1"/>
  <c r="S112" i="1"/>
  <c r="Z111" i="1"/>
  <c r="X111" i="1"/>
  <c r="V111" i="1"/>
  <c r="T111" i="1"/>
  <c r="S111" i="1"/>
  <c r="Z110" i="1"/>
  <c r="X110" i="1"/>
  <c r="V110" i="1"/>
  <c r="T110" i="1"/>
  <c r="S110" i="1"/>
  <c r="Z109" i="1"/>
  <c r="X109" i="1"/>
  <c r="V109" i="1"/>
  <c r="T109" i="1"/>
  <c r="S109" i="1"/>
  <c r="Z108" i="1"/>
  <c r="X108" i="1"/>
  <c r="V108" i="1"/>
  <c r="T108" i="1"/>
  <c r="S108" i="1"/>
  <c r="Z107" i="1"/>
  <c r="X107" i="1"/>
  <c r="V107" i="1"/>
  <c r="T107" i="1"/>
  <c r="S107" i="1"/>
  <c r="Z106" i="1"/>
  <c r="X106" i="1"/>
  <c r="V106" i="1"/>
  <c r="T106" i="1"/>
  <c r="S106" i="1"/>
  <c r="Z105" i="1"/>
  <c r="X105" i="1"/>
  <c r="V105" i="1"/>
  <c r="T105" i="1"/>
  <c r="S105" i="1"/>
  <c r="Z104" i="1"/>
  <c r="X104" i="1"/>
  <c r="V104" i="1"/>
  <c r="T104" i="1"/>
  <c r="S104" i="1"/>
  <c r="Z103" i="1"/>
  <c r="X103" i="1"/>
  <c r="V103" i="1"/>
  <c r="T103" i="1"/>
  <c r="S103" i="1"/>
  <c r="Z102" i="1"/>
  <c r="X102" i="1"/>
  <c r="V102" i="1"/>
  <c r="T102" i="1"/>
  <c r="S102" i="1"/>
  <c r="Z101" i="1"/>
  <c r="X101" i="1"/>
  <c r="V101" i="1"/>
  <c r="T101" i="1"/>
  <c r="S101" i="1"/>
  <c r="Z100" i="1"/>
  <c r="X100" i="1"/>
  <c r="V100" i="1"/>
  <c r="T100" i="1"/>
  <c r="S100" i="1"/>
  <c r="Z99" i="1"/>
  <c r="X99" i="1"/>
  <c r="V99" i="1"/>
  <c r="T99" i="1"/>
  <c r="S99" i="1"/>
  <c r="Z98" i="1"/>
  <c r="X98" i="1"/>
  <c r="V98" i="1"/>
  <c r="T98" i="1"/>
  <c r="S98" i="1"/>
  <c r="Z97" i="1"/>
  <c r="X97" i="1"/>
  <c r="V97" i="1"/>
  <c r="T97" i="1"/>
  <c r="S97" i="1"/>
  <c r="Z96" i="1"/>
  <c r="X96" i="1"/>
  <c r="V96" i="1"/>
  <c r="T96" i="1"/>
  <c r="S96" i="1"/>
  <c r="Z95" i="1"/>
  <c r="X95" i="1"/>
  <c r="V95" i="1"/>
  <c r="T95" i="1"/>
  <c r="S95" i="1"/>
  <c r="Z94" i="1"/>
  <c r="X94" i="1"/>
  <c r="V94" i="1"/>
  <c r="T94" i="1"/>
  <c r="S94" i="1"/>
  <c r="Z93" i="1"/>
  <c r="X93" i="1"/>
  <c r="V93" i="1"/>
  <c r="T93" i="1"/>
  <c r="S93" i="1"/>
  <c r="Z92" i="1"/>
  <c r="X92" i="1"/>
  <c r="V92" i="1"/>
  <c r="T92" i="1"/>
  <c r="S92" i="1"/>
  <c r="Z91" i="1"/>
  <c r="X91" i="1"/>
  <c r="V91" i="1"/>
  <c r="T91" i="1"/>
  <c r="S91" i="1"/>
  <c r="Z90" i="1"/>
  <c r="X90" i="1"/>
  <c r="V90" i="1"/>
  <c r="T90" i="1"/>
  <c r="S90" i="1"/>
  <c r="Z89" i="1"/>
  <c r="X89" i="1"/>
  <c r="V89" i="1"/>
  <c r="T89" i="1"/>
  <c r="S89" i="1"/>
  <c r="Z88" i="1"/>
  <c r="X88" i="1"/>
  <c r="V88" i="1"/>
  <c r="T88" i="1"/>
  <c r="S88" i="1"/>
  <c r="Z87" i="1"/>
  <c r="X87" i="1"/>
  <c r="V87" i="1"/>
  <c r="T87" i="1"/>
  <c r="S87" i="1"/>
  <c r="Z86" i="1"/>
  <c r="X86" i="1"/>
  <c r="V86" i="1"/>
  <c r="T86" i="1"/>
  <c r="S86" i="1"/>
  <c r="Z85" i="1"/>
  <c r="X85" i="1"/>
  <c r="V85" i="1"/>
  <c r="T85" i="1"/>
  <c r="S85" i="1"/>
  <c r="Z84" i="1"/>
  <c r="X84" i="1"/>
  <c r="V84" i="1"/>
  <c r="T84" i="1"/>
  <c r="S84" i="1"/>
  <c r="Z83" i="1"/>
  <c r="X83" i="1"/>
  <c r="V83" i="1"/>
  <c r="T83" i="1"/>
  <c r="S83" i="1"/>
  <c r="Z82" i="1"/>
  <c r="X82" i="1"/>
  <c r="V82" i="1"/>
  <c r="T82" i="1"/>
  <c r="S82" i="1"/>
  <c r="Z81" i="1"/>
  <c r="X81" i="1"/>
  <c r="V81" i="1"/>
  <c r="T81" i="1"/>
  <c r="S81" i="1"/>
  <c r="Z80" i="1"/>
  <c r="X80" i="1"/>
  <c r="V80" i="1"/>
  <c r="T80" i="1"/>
  <c r="S80" i="1"/>
  <c r="Z79" i="1"/>
  <c r="X79" i="1"/>
  <c r="V79" i="1"/>
  <c r="T79" i="1"/>
  <c r="S79" i="1"/>
  <c r="Z78" i="1"/>
  <c r="X78" i="1"/>
  <c r="V78" i="1"/>
  <c r="T78" i="1"/>
  <c r="S78" i="1"/>
  <c r="Z77" i="1"/>
  <c r="X77" i="1"/>
  <c r="V77" i="1"/>
  <c r="T77" i="1"/>
  <c r="S77" i="1"/>
  <c r="Z76" i="1"/>
  <c r="X76" i="1"/>
  <c r="V76" i="1"/>
  <c r="T76" i="1"/>
  <c r="S76" i="1"/>
  <c r="Z75" i="1"/>
  <c r="X75" i="1"/>
  <c r="V75" i="1"/>
  <c r="T75" i="1"/>
  <c r="S75" i="1"/>
  <c r="Z74" i="1"/>
  <c r="X74" i="1"/>
  <c r="V74" i="1"/>
  <c r="T74" i="1"/>
  <c r="S74" i="1"/>
  <c r="Z73" i="1"/>
  <c r="X73" i="1"/>
  <c r="V73" i="1"/>
  <c r="T73" i="1"/>
  <c r="S73" i="1"/>
  <c r="Z72" i="1"/>
  <c r="X72" i="1"/>
  <c r="V72" i="1"/>
  <c r="T72" i="1"/>
  <c r="S72" i="1"/>
  <c r="Z71" i="1"/>
  <c r="X71" i="1"/>
  <c r="V71" i="1"/>
  <c r="T71" i="1"/>
  <c r="S71" i="1"/>
  <c r="Z70" i="1"/>
  <c r="X70" i="1"/>
  <c r="V70" i="1"/>
  <c r="T70" i="1"/>
  <c r="S70" i="1"/>
  <c r="Z69" i="1"/>
  <c r="X69" i="1"/>
  <c r="V69" i="1"/>
  <c r="T69" i="1"/>
  <c r="S69" i="1"/>
  <c r="Z68" i="1"/>
  <c r="X68" i="1"/>
  <c r="V68" i="1"/>
  <c r="T68" i="1"/>
  <c r="S68" i="1"/>
  <c r="Z67" i="1"/>
  <c r="X67" i="1"/>
  <c r="V67" i="1"/>
  <c r="T67" i="1"/>
  <c r="S67" i="1"/>
  <c r="Z66" i="1"/>
  <c r="X66" i="1"/>
  <c r="V66" i="1"/>
  <c r="T66" i="1"/>
  <c r="S66" i="1"/>
  <c r="Z65" i="1"/>
  <c r="X65" i="1"/>
  <c r="V65" i="1"/>
  <c r="T65" i="1"/>
  <c r="S65" i="1"/>
  <c r="Z64" i="1"/>
  <c r="X64" i="1"/>
  <c r="V64" i="1"/>
  <c r="T64" i="1"/>
  <c r="S64" i="1"/>
  <c r="Z63" i="1"/>
  <c r="X63" i="1"/>
  <c r="V63" i="1"/>
  <c r="T63" i="1"/>
  <c r="S63" i="1"/>
  <c r="Z62" i="1"/>
  <c r="X62" i="1"/>
  <c r="V62" i="1"/>
  <c r="T62" i="1"/>
  <c r="S62" i="1"/>
  <c r="Z61" i="1"/>
  <c r="X61" i="1"/>
  <c r="V61" i="1"/>
  <c r="T61" i="1"/>
  <c r="S61" i="1"/>
  <c r="Z60" i="1"/>
  <c r="X60" i="1"/>
  <c r="V60" i="1"/>
  <c r="T60" i="1"/>
  <c r="S60" i="1"/>
  <c r="Z59" i="1"/>
  <c r="X59" i="1"/>
  <c r="V59" i="1"/>
  <c r="T59" i="1"/>
  <c r="S59" i="1"/>
  <c r="Z58" i="1"/>
  <c r="X58" i="1"/>
  <c r="V58" i="1"/>
  <c r="T58" i="1"/>
  <c r="S58" i="1"/>
  <c r="Z57" i="1"/>
  <c r="X57" i="1"/>
  <c r="V57" i="1"/>
  <c r="T57" i="1"/>
  <c r="S57" i="1"/>
  <c r="Z56" i="1"/>
  <c r="X56" i="1"/>
  <c r="V56" i="1"/>
  <c r="T56" i="1"/>
  <c r="S56" i="1"/>
  <c r="Z55" i="1"/>
  <c r="X55" i="1"/>
  <c r="V55" i="1"/>
  <c r="T55" i="1"/>
  <c r="S55" i="1"/>
  <c r="Z54" i="1"/>
  <c r="X54" i="1"/>
  <c r="V54" i="1"/>
  <c r="T54" i="1"/>
  <c r="S54" i="1"/>
  <c r="Z53" i="1"/>
  <c r="X53" i="1"/>
  <c r="V53" i="1"/>
  <c r="T53" i="1"/>
  <c r="S53" i="1"/>
  <c r="Z52" i="1"/>
  <c r="X52" i="1"/>
  <c r="V52" i="1"/>
  <c r="T52" i="1"/>
  <c r="S52" i="1"/>
  <c r="Z51" i="1"/>
  <c r="X51" i="1"/>
  <c r="V51" i="1"/>
  <c r="T51" i="1"/>
  <c r="S51" i="1"/>
  <c r="Z50" i="1"/>
  <c r="X50" i="1"/>
  <c r="V50" i="1"/>
  <c r="T50" i="1"/>
  <c r="S50" i="1"/>
  <c r="Z49" i="1"/>
  <c r="X49" i="1"/>
  <c r="V49" i="1"/>
  <c r="T49" i="1"/>
  <c r="S49" i="1"/>
  <c r="Z48" i="1"/>
  <c r="X48" i="1"/>
  <c r="V48" i="1"/>
  <c r="T48" i="1"/>
  <c r="S48" i="1"/>
  <c r="Z47" i="1"/>
  <c r="X47" i="1"/>
  <c r="V47" i="1"/>
  <c r="T47" i="1"/>
  <c r="S47" i="1"/>
  <c r="Z46" i="1"/>
  <c r="X46" i="1"/>
  <c r="V46" i="1"/>
  <c r="T46" i="1"/>
  <c r="S46" i="1"/>
  <c r="Z45" i="1"/>
  <c r="X45" i="1"/>
  <c r="V45" i="1"/>
  <c r="T45" i="1"/>
  <c r="S45" i="1"/>
  <c r="Z44" i="1"/>
  <c r="X44" i="1"/>
  <c r="V44" i="1"/>
  <c r="T44" i="1"/>
  <c r="S44" i="1"/>
  <c r="Z43" i="1"/>
  <c r="X43" i="1"/>
  <c r="V43" i="1"/>
  <c r="T43" i="1"/>
  <c r="S43" i="1"/>
  <c r="Z42" i="1"/>
  <c r="X42" i="1"/>
  <c r="V42" i="1"/>
  <c r="T42" i="1"/>
  <c r="S42" i="1"/>
  <c r="Z41" i="1"/>
  <c r="X41" i="1"/>
  <c r="V41" i="1"/>
  <c r="T41" i="1"/>
  <c r="S41" i="1"/>
  <c r="Z40" i="1"/>
  <c r="X40" i="1"/>
  <c r="V40" i="1"/>
  <c r="T40" i="1"/>
  <c r="S40" i="1"/>
  <c r="Z39" i="1"/>
  <c r="X39" i="1"/>
  <c r="V39" i="1"/>
  <c r="T39" i="1"/>
  <c r="S39" i="1"/>
  <c r="Z38" i="1"/>
  <c r="X38" i="1"/>
  <c r="V38" i="1"/>
  <c r="T38" i="1"/>
  <c r="S38" i="1"/>
  <c r="Z37" i="1"/>
  <c r="X37" i="1"/>
  <c r="V37" i="1"/>
  <c r="T37" i="1"/>
  <c r="S37" i="1"/>
  <c r="Z36" i="1"/>
  <c r="X36" i="1"/>
  <c r="V36" i="1"/>
  <c r="T36" i="1"/>
  <c r="S36" i="1"/>
  <c r="Z35" i="1"/>
  <c r="X35" i="1"/>
  <c r="V35" i="1"/>
  <c r="T35" i="1"/>
  <c r="S35" i="1"/>
  <c r="Z34" i="1"/>
  <c r="X34" i="1"/>
  <c r="V34" i="1"/>
  <c r="T34" i="1"/>
  <c r="S34" i="1"/>
  <c r="Z33" i="1"/>
  <c r="X33" i="1"/>
  <c r="V33" i="1"/>
  <c r="T33" i="1"/>
  <c r="S33" i="1"/>
  <c r="Z32" i="1"/>
  <c r="X32" i="1"/>
  <c r="V32" i="1"/>
  <c r="T32" i="1"/>
  <c r="S32" i="1"/>
  <c r="Z31" i="1"/>
  <c r="X31" i="1"/>
  <c r="V31" i="1"/>
  <c r="T31" i="1"/>
  <c r="S31" i="1"/>
  <c r="Z30" i="1"/>
  <c r="X30" i="1"/>
  <c r="V30" i="1"/>
  <c r="T30" i="1"/>
  <c r="S30" i="1"/>
  <c r="Z29" i="1"/>
  <c r="X29" i="1"/>
  <c r="V29" i="1"/>
  <c r="T29" i="1"/>
  <c r="S29" i="1"/>
  <c r="Z28" i="1"/>
  <c r="X28" i="1"/>
  <c r="V28" i="1"/>
  <c r="T28" i="1"/>
  <c r="S28" i="1"/>
  <c r="Z27" i="1"/>
  <c r="X27" i="1"/>
  <c r="V27" i="1"/>
  <c r="T27" i="1"/>
  <c r="S27" i="1"/>
  <c r="Z26" i="1"/>
  <c r="X26" i="1"/>
  <c r="V26" i="1"/>
  <c r="T26" i="1"/>
  <c r="S26" i="1"/>
  <c r="Z25" i="1"/>
  <c r="X25" i="1"/>
  <c r="V25" i="1"/>
  <c r="T25" i="1"/>
  <c r="S25" i="1"/>
  <c r="Z24" i="1"/>
  <c r="X24" i="1"/>
  <c r="V24" i="1"/>
  <c r="T24" i="1"/>
  <c r="S24" i="1"/>
  <c r="Z23" i="1"/>
  <c r="X23" i="1"/>
  <c r="V23" i="1"/>
  <c r="T23" i="1"/>
  <c r="S23" i="1"/>
  <c r="Z22" i="1"/>
  <c r="X22" i="1"/>
  <c r="V22" i="1"/>
  <c r="T22" i="1"/>
  <c r="S22" i="1"/>
  <c r="Z21" i="1"/>
  <c r="X21" i="1"/>
  <c r="V21" i="1"/>
  <c r="T21" i="1"/>
  <c r="S21" i="1"/>
  <c r="Z20" i="1"/>
  <c r="X20" i="1"/>
  <c r="V20" i="1"/>
  <c r="T20" i="1"/>
  <c r="S20" i="1"/>
  <c r="Z19" i="1"/>
  <c r="X19" i="1"/>
  <c r="V19" i="1"/>
  <c r="T19" i="1"/>
  <c r="S19" i="1"/>
  <c r="Z18" i="1"/>
  <c r="X18" i="1"/>
  <c r="V18" i="1"/>
  <c r="T18" i="1"/>
  <c r="S18" i="1"/>
  <c r="Z17" i="1"/>
  <c r="X17" i="1"/>
  <c r="V17" i="1"/>
  <c r="T17" i="1"/>
  <c r="S17" i="1"/>
  <c r="Z16" i="1"/>
  <c r="X16" i="1"/>
  <c r="V16" i="1"/>
  <c r="T16" i="1"/>
  <c r="S16" i="1"/>
  <c r="Z15" i="1"/>
  <c r="X15" i="1"/>
  <c r="V15" i="1"/>
  <c r="T15" i="1"/>
  <c r="S15" i="1"/>
  <c r="Z14" i="1"/>
  <c r="X14" i="1"/>
  <c r="V14" i="1"/>
  <c r="T14" i="1"/>
  <c r="S14" i="1"/>
  <c r="Z13" i="1"/>
  <c r="X13" i="1"/>
  <c r="V13" i="1"/>
  <c r="T13" i="1"/>
  <c r="S13" i="1"/>
  <c r="Z12" i="1"/>
  <c r="X12" i="1"/>
  <c r="V12" i="1"/>
  <c r="T12" i="1"/>
  <c r="S12" i="1"/>
  <c r="Z11" i="1"/>
  <c r="X11" i="1"/>
  <c r="V11" i="1"/>
  <c r="T11" i="1"/>
  <c r="Z10" i="1"/>
  <c r="X10" i="1"/>
  <c r="V10" i="1"/>
  <c r="T10" i="1"/>
  <c r="S10" i="1"/>
  <c r="Z9" i="1"/>
  <c r="X9" i="1"/>
  <c r="V9" i="1"/>
  <c r="T9" i="1"/>
  <c r="Z8" i="1"/>
  <c r="X8" i="1"/>
  <c r="V8" i="1"/>
  <c r="T8" i="1"/>
  <c r="S8" i="1"/>
  <c r="Z7" i="1"/>
  <c r="X7" i="1"/>
  <c r="V7" i="1"/>
  <c r="T7" i="1"/>
  <c r="Z6" i="1"/>
  <c r="X6" i="1"/>
  <c r="V6" i="1"/>
  <c r="T6" i="1"/>
  <c r="S6" i="1"/>
  <c r="Z5" i="1"/>
  <c r="X5" i="1"/>
  <c r="V5" i="1"/>
  <c r="T5" i="1"/>
  <c r="Z4" i="1"/>
  <c r="X4" i="1"/>
  <c r="V4" i="1"/>
  <c r="T4" i="1"/>
  <c r="S4" i="1"/>
  <c r="Z3" i="1"/>
  <c r="X3" i="1"/>
  <c r="V3" i="1"/>
  <c r="T3" i="1"/>
  <c r="H6" i="14" l="1"/>
  <c r="I6" i="14" s="1" a="1"/>
  <c r="I6" i="14" s="1"/>
  <c r="H7" i="14"/>
  <c r="I7" i="14" s="1" a="1"/>
  <c r="I7" i="14" s="1"/>
  <c r="S3" i="1"/>
  <c r="S5" i="1"/>
  <c r="S7" i="1"/>
  <c r="S9" i="1"/>
  <c r="AI12" i="15" l="1"/>
  <c r="AI14" i="15"/>
  <c r="AI16" i="15"/>
  <c r="AI11" i="15"/>
  <c r="AI13" i="15"/>
  <c r="AI15" i="15"/>
  <c r="AI10" i="15"/>
  <c r="AK44" i="15" a="1"/>
  <c r="AK44" i="15" s="1"/>
  <c r="AK42" i="15" a="1"/>
  <c r="AK42" i="15" s="1"/>
  <c r="AK40" i="15" a="1"/>
  <c r="AK40" i="15" s="1"/>
  <c r="AK38" i="15" a="1"/>
  <c r="AK38" i="15" s="1"/>
  <c r="AK36" i="15" a="1"/>
  <c r="AK36" i="15" s="1"/>
  <c r="AK35" i="15" a="1"/>
  <c r="AK35" i="15" s="1"/>
  <c r="AK34" i="15" a="1"/>
  <c r="AK34" i="15" s="1"/>
  <c r="AK33" i="15" a="1"/>
  <c r="AK33" i="15" s="1"/>
  <c r="AK31" i="15" a="1"/>
  <c r="AK31" i="15" s="1"/>
  <c r="AK29" i="15" a="1"/>
  <c r="AK29" i="15" s="1"/>
  <c r="AK27" i="15" a="1"/>
  <c r="AK27" i="15" s="1"/>
  <c r="AK25" i="15" a="1"/>
  <c r="AK25" i="15" s="1"/>
  <c r="AK23" i="15" a="1"/>
  <c r="AK23" i="15" s="1"/>
  <c r="AK21" i="15" a="1"/>
  <c r="AK21" i="15" s="1"/>
  <c r="AM19" i="15" a="1"/>
  <c r="AM19" i="15" s="1"/>
  <c r="AK19" i="15" a="1"/>
  <c r="AK19" i="15" s="1"/>
  <c r="AK17" i="15" a="1"/>
  <c r="AK17" i="15" s="1"/>
  <c r="AK11" i="15" a="1"/>
  <c r="AK11" i="15" s="1"/>
  <c r="AP10" i="15"/>
  <c r="AK45" i="15" a="1"/>
  <c r="AK45" i="15" s="1"/>
  <c r="AK43" i="15" a="1"/>
  <c r="AK43" i="15" s="1"/>
  <c r="AK41" i="15" a="1"/>
  <c r="AK41" i="15" s="1"/>
  <c r="AK39" i="15" a="1"/>
  <c r="AK39" i="15" s="1"/>
  <c r="AK37" i="15" a="1"/>
  <c r="AK37" i="15" s="1"/>
  <c r="AK32" i="15" a="1"/>
  <c r="AK32" i="15" s="1"/>
  <c r="AK30" i="15" a="1"/>
  <c r="AK30" i="15" s="1"/>
  <c r="AK28" i="15" a="1"/>
  <c r="AK28" i="15" s="1"/>
  <c r="AK26" i="15" a="1"/>
  <c r="AK26" i="15" s="1"/>
  <c r="AK24" i="15" a="1"/>
  <c r="AK24" i="15" s="1"/>
  <c r="AK22" i="15" a="1"/>
  <c r="AK22" i="15" s="1"/>
  <c r="AK20" i="15" a="1"/>
  <c r="AK20" i="15" s="1"/>
  <c r="AK18" i="15" a="1"/>
  <c r="AK18" i="15" s="1"/>
  <c r="AK16" i="15" a="1"/>
  <c r="AK16" i="15" s="1"/>
  <c r="AK15" i="15" a="1"/>
  <c r="AK15" i="15" s="1"/>
  <c r="AK14" i="15" a="1"/>
  <c r="AK14" i="15" s="1"/>
  <c r="AK13" i="15" a="1"/>
  <c r="AK13" i="15" s="1"/>
  <c r="AK12" i="15" a="1"/>
  <c r="AK12" i="15" s="1"/>
  <c r="AK10" i="15" a="1"/>
  <c r="AK10" i="15" s="1"/>
  <c r="AO10" i="15" l="1" a="1"/>
  <c r="AO10" i="15" s="1"/>
  <c r="AJ10" i="15" a="1"/>
  <c r="AJ10" i="15" s="1"/>
  <c r="AJ12" i="15" a="1"/>
  <c r="AJ12" i="15" s="1"/>
  <c r="AJ14" i="15" a="1"/>
  <c r="AJ14" i="15" s="1"/>
  <c r="AJ16" i="15" a="1"/>
  <c r="AJ16" i="15" s="1"/>
  <c r="AJ11" i="15" a="1"/>
  <c r="AJ11" i="15" s="1"/>
  <c r="AJ13" i="15" a="1"/>
  <c r="AJ13" i="15" s="1"/>
  <c r="AJ15" i="15" a="1"/>
  <c r="AJ15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<sst xmlns="http://schemas.openxmlformats.org/spreadsheetml/2006/main" count="6050" uniqueCount="175">
  <si>
    <t>Ciudad</t>
  </si>
  <si>
    <t>Vendedor</t>
  </si>
  <si>
    <t>Forma de pago</t>
  </si>
  <si>
    <t>Categoría</t>
  </si>
  <si>
    <t>Cantidad</t>
  </si>
  <si>
    <t>Tarifa de envío</t>
  </si>
  <si>
    <t>Empresa AA</t>
  </si>
  <si>
    <t>Mayra Aguilar Sepúlveda</t>
  </si>
  <si>
    <t>Empresa de embarque B</t>
  </si>
  <si>
    <t>Cheque</t>
  </si>
  <si>
    <t>Cerveza</t>
  </si>
  <si>
    <t>Bebidas</t>
  </si>
  <si>
    <t>Ciruelas secas</t>
  </si>
  <si>
    <t>Frutas secas</t>
  </si>
  <si>
    <t>Empresa D</t>
  </si>
  <si>
    <t>Andrés González Rico</t>
  </si>
  <si>
    <t>Empresa de embarque A</t>
  </si>
  <si>
    <t>Tarjeta de crédito</t>
  </si>
  <si>
    <t>Peras secas</t>
  </si>
  <si>
    <t>Manzanas secas</t>
  </si>
  <si>
    <t>Empresa L</t>
  </si>
  <si>
    <t>Té chai</t>
  </si>
  <si>
    <t>Café</t>
  </si>
  <si>
    <t>Empresa H</t>
  </si>
  <si>
    <t>Nancy Gil de la Peña</t>
  </si>
  <si>
    <t>Empresa de embarque C</t>
  </si>
  <si>
    <t>Galletas de chocolate</t>
  </si>
  <si>
    <t>Productos horneados</t>
  </si>
  <si>
    <t>Empresa CC</t>
  </si>
  <si>
    <t>José de Jesús Morales</t>
  </si>
  <si>
    <t>Chocolate</t>
  </si>
  <si>
    <t>Dulces</t>
  </si>
  <si>
    <t>Empresa C</t>
  </si>
  <si>
    <t>Efectivo</t>
  </si>
  <si>
    <t>Almejas</t>
  </si>
  <si>
    <t>Sopas</t>
  </si>
  <si>
    <t>Empresa F</t>
  </si>
  <si>
    <t>Luis Miguel Valdés Garza</t>
  </si>
  <si>
    <t>Salsa curry</t>
  </si>
  <si>
    <t>Salsas</t>
  </si>
  <si>
    <t>Empresa BB</t>
  </si>
  <si>
    <t>Ana del Valle Hinojosa</t>
  </si>
  <si>
    <t>Empresa J</t>
  </si>
  <si>
    <t>Laura Gutiérrez Saenz</t>
  </si>
  <si>
    <t>Té verde</t>
  </si>
  <si>
    <t>Empresa G</t>
  </si>
  <si>
    <t>Jalea de fresa</t>
  </si>
  <si>
    <t>Mermeladas y jaleas</t>
  </si>
  <si>
    <t>Condimento cajún</t>
  </si>
  <si>
    <t>Condimentos</t>
  </si>
  <si>
    <t>Empresa K</t>
  </si>
  <si>
    <t>Empresa A</t>
  </si>
  <si>
    <t>Carne de cangrejo</t>
  </si>
  <si>
    <t>Carne enlatada</t>
  </si>
  <si>
    <t>Empresa I</t>
  </si>
  <si>
    <t>Robert Zárate Carrillo</t>
  </si>
  <si>
    <t>Ravioli</t>
  </si>
  <si>
    <t>Pasta</t>
  </si>
  <si>
    <t>Mozzarella</t>
  </si>
  <si>
    <t>Productos lácteos</t>
  </si>
  <si>
    <t>Jarabe</t>
  </si>
  <si>
    <t>Almendras</t>
  </si>
  <si>
    <t>Empresa Y</t>
  </si>
  <si>
    <t>Empresa Z</t>
  </si>
  <si>
    <t>Cóctel de frutas</t>
  </si>
  <si>
    <t>Frutas y vegetales</t>
  </si>
  <si>
    <t>Pasta penne</t>
  </si>
  <si>
    <t>Bolillos</t>
  </si>
  <si>
    <t>Aceite de oliva</t>
  </si>
  <si>
    <t>Aceite</t>
  </si>
  <si>
    <t>Mermelada de zarzamora</t>
  </si>
  <si>
    <t>Arroz de grano largo</t>
  </si>
  <si>
    <t>Granos</t>
  </si>
  <si>
    <t>Documento</t>
  </si>
  <si>
    <t>Fecha</t>
  </si>
  <si>
    <t>Provincia</t>
  </si>
  <si>
    <t>Empresa</t>
  </si>
  <si>
    <t>Producto</t>
  </si>
  <si>
    <t>Precio</t>
  </si>
  <si>
    <t>Id Cliente</t>
  </si>
  <si>
    <t>Cuenca</t>
  </si>
  <si>
    <t>Azogues</t>
  </si>
  <si>
    <t>Chimborazo</t>
  </si>
  <si>
    <t>Pichincha</t>
  </si>
  <si>
    <t>Guayas</t>
  </si>
  <si>
    <t>Quito</t>
  </si>
  <si>
    <t>Riobamba</t>
  </si>
  <si>
    <t>Guaranda</t>
  </si>
  <si>
    <t>Manabi</t>
  </si>
  <si>
    <t>Guayaquil</t>
  </si>
  <si>
    <t>Ambato</t>
  </si>
  <si>
    <t>Esmeraldas</t>
  </si>
  <si>
    <t>Ibarra</t>
  </si>
  <si>
    <t>Machala</t>
  </si>
  <si>
    <t>Canar</t>
  </si>
  <si>
    <t>Azuay</t>
  </si>
  <si>
    <t>El Oro</t>
  </si>
  <si>
    <t>Manta</t>
  </si>
  <si>
    <t>Tungurahua</t>
  </si>
  <si>
    <t>Imbabura</t>
  </si>
  <si>
    <t>Cliente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</si>
  <si>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</si>
  <si>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</si>
  <si>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</si>
  <si>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</si>
  <si>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</si>
  <si>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</si>
  <si>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</si>
  <si>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</si>
  <si>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</si>
  <si>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</si>
  <si>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</si>
  <si>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</si>
  <si>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</si>
  <si>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</si>
  <si>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Ventas</t>
  </si>
  <si>
    <t>0-20000</t>
  </si>
  <si>
    <t>20000-40000</t>
  </si>
  <si>
    <t>40000-60000</t>
  </si>
  <si>
    <t>Suma de Ventas</t>
  </si>
  <si>
    <t>60000-80000</t>
  </si>
  <si>
    <t>Cuenta de Ventas</t>
  </si>
  <si>
    <t>CONTROL DE VENTAS</t>
  </si>
  <si>
    <t>PROVINCIAS</t>
  </si>
  <si>
    <t>VENTAS</t>
  </si>
  <si>
    <t>PANEL DEL CONTROL</t>
  </si>
  <si>
    <t>Etiquetas de columna</t>
  </si>
  <si>
    <t>Empresa de embarque D</t>
  </si>
  <si>
    <t>ciudad</t>
  </si>
  <si>
    <t>Trim.1</t>
  </si>
  <si>
    <t>Trim.2</t>
  </si>
  <si>
    <t>Trim.3</t>
  </si>
  <si>
    <t>Trim.4</t>
  </si>
  <si>
    <t>mes</t>
  </si>
  <si>
    <t>Abril</t>
  </si>
  <si>
    <t>Agosto</t>
  </si>
  <si>
    <t>Marzo</t>
  </si>
  <si>
    <t>Mayo</t>
  </si>
  <si>
    <t>Diciembre</t>
  </si>
  <si>
    <t>Octubre</t>
  </si>
  <si>
    <t>Febrero</t>
  </si>
  <si>
    <t>Noviembre</t>
  </si>
  <si>
    <t>Junio</t>
  </si>
  <si>
    <t>Enero</t>
  </si>
  <si>
    <t>Julio</t>
  </si>
  <si>
    <t>Septiembre</t>
  </si>
  <si>
    <t>dias</t>
  </si>
  <si>
    <t>Dom.</t>
  </si>
  <si>
    <t>Jue.</t>
  </si>
  <si>
    <t>Mié.</t>
  </si>
  <si>
    <t>Vie.</t>
  </si>
  <si>
    <t>Sáb.</t>
  </si>
  <si>
    <t>Lun.</t>
  </si>
  <si>
    <t>Mar.</t>
  </si>
  <si>
    <t>fecha</t>
  </si>
  <si>
    <t>abril</t>
  </si>
  <si>
    <t>enero</t>
  </si>
  <si>
    <t>febrero</t>
  </si>
  <si>
    <t>marzo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</si>
  <si>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</si>
  <si>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</si>
  <si>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</si>
  <si>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</si>
  <si>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</si>
  <si>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</si>
  <si>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</si>
  <si>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</si>
  <si>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salsas</t>
  </si>
  <si>
    <t>Ascendente</t>
  </si>
  <si>
    <t>Descendente</t>
  </si>
  <si>
    <t>Orden:</t>
  </si>
  <si>
    <t>Max:</t>
  </si>
  <si>
    <t>Min:</t>
  </si>
  <si>
    <t>Carácteres</t>
  </si>
  <si>
    <t>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</si>
</sst>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dd/mm/yyyy;@"/>
    <numFmt numFmtId="16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/>
      <name val="Arial Black"/>
      <family val="2"/>
    </font>
    <font>
      <sz val="18"/>
      <color theme="0"/>
      <name val="Arial Black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">
    <xf numFmtId="0" fontId="0" fillId="0" borderId="0" xfId="0"/>
    <xf numFmtId="165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43" fontId="0" fillId="0" borderId="0" xfId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2" borderId="0" xfId="0" applyFill="1" applyBorder="1"/>
    <xf numFmtId="0" fontId="0" fillId="0" borderId="0" xfId="0" applyAlignment="1">
      <alignment horizontal="left" indent="1"/>
    </xf>
    <xf numFmtId="0" fontId="0" fillId="3" borderId="0" xfId="0" applyFill="1"/>
    <xf numFmtId="166" fontId="0" fillId="0" borderId="2" xfId="0" applyNumberFormat="1" applyFont="1" applyBorder="1"/>
    <xf numFmtId="166" fontId="0" fillId="4" borderId="2" xfId="0" applyNumberFormat="1" applyFont="1" applyFill="1" applyBorder="1"/>
    <xf numFmtId="14" fontId="0" fillId="0" borderId="0" xfId="0" applyNumberFormat="1"/>
    <xf numFmtId="0" fontId="0" fillId="5" borderId="0" xfId="0" applyFill="1"/>
    <xf numFmtId="0" fontId="0" fillId="6" borderId="0" xfId="0" applyFill="1"/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3">
    <cellStyle name="Currency 2" xfId="2" xr:uid="{5EF3C318-5459-4240-BB8C-48CE0D3E99BE}"/>
    <cellStyle name="Millares" xfId="1" builtinId="3"/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dd/mm/yy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theme="1"/>
        </patternFill>
      </fill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3" defaultTableStyle="TableStyleMedium2" defaultPivotStyle="PivotStyleLight16">
    <tableStyle name="Estilo de escala de tiempo 1" pivot="0" table="0" count="8" xr9:uid="{337E04D6-1D63-4330-B4E9-A562A8FC72AC}">
      <tableStyleElement type="wholeTable" dxfId="15"/>
      <tableStyleElement type="headerRow" dxfId="14"/>
    </tableStyle>
    <tableStyle name="Estilo de escala de tiempo 2" pivot="0" table="0" count="8" xr9:uid="{544DDC3D-0CAD-43A5-B480-25C435EBBFB1}">
      <tableStyleElement type="wholeTable" dxfId="13"/>
      <tableStyleElement type="headerRow" dxfId="12"/>
    </tableStyle>
    <tableStyle name="MiEstilo" pivot="0" table="0" count="8" xr9:uid="{E2F0BFB5-8166-4901-9388-6C1EFBAE23A6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8">
        <dxf>
          <fill>
            <patternFill patternType="none">
              <fgColor indexed="64"/>
              <bgColor auto="1"/>
            </patternFill>
          </fill>
        </dxf>
        <dxf>
          <fill>
            <patternFill patternType="none">
              <fgColor indexed="64"/>
              <bgColor auto="1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MiEstilo">
        <x15:timelineStyle name="Estilo de escala de tiempo 1">
          <x15:timelineStyleElements>
            <x15:timelineStyleElement type="selectionLabel" dxfId="17"/>
            <x15:timelineStyleElement type="timeLevel" dxfId="16"/>
            <x15:timelineStyleElement type="periodLabel1" dxfId="15"/>
            <x15:timelineStyleElement type="periodLabel2" dxfId="14"/>
            <x15:timelineStyleElement type="selectedTimeBlock" dxfId="13"/>
            <x15:timelineStyleElement type="unselectedTimeBlock" dxfId="12"/>
          </x15:timelineStyleElements>
        </x15:timelineStyle>
        <x15:timelineStyle name="Estilo de escala de tiempo 2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MiEstilo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openxmlformats.org/officeDocument/2006/relationships/customXml" Target="../customXml/item2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GRAFICO!$B$2:$B$14</c:f>
              <c:numCache>
                <c:formatCode>General</c:formatCode>
                <c:ptCount val="12"/>
                <c:pt idx="0">
                  <c:v>136478.99999999997</c:v>
                </c:pt>
                <c:pt idx="1">
                  <c:v>93438.8</c:v>
                </c:pt>
                <c:pt idx="2">
                  <c:v>35119</c:v>
                </c:pt>
                <c:pt idx="3">
                  <c:v>75152.98</c:v>
                </c:pt>
                <c:pt idx="4">
                  <c:v>127651.3</c:v>
                </c:pt>
                <c:pt idx="5">
                  <c:v>52267.459999999992</c:v>
                </c:pt>
                <c:pt idx="6">
                  <c:v>51023.280000000006</c:v>
                </c:pt>
                <c:pt idx="7">
                  <c:v>96993.4</c:v>
                </c:pt>
                <c:pt idx="8">
                  <c:v>200744.6</c:v>
                </c:pt>
                <c:pt idx="9">
                  <c:v>190532.16</c:v>
                </c:pt>
                <c:pt idx="10">
                  <c:v>130488.79999999999</c:v>
                </c:pt>
                <c:pt idx="11">
                  <c:v>61275.9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B-4BFA-92E4-EE2270FEF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4453487"/>
        <c:axId val="1298745855"/>
      </c:barChart>
      <c:catAx>
        <c:axId val="135445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8745855"/>
        <c:crosses val="autoZero"/>
        <c:auto val="1"/>
        <c:lblAlgn val="ctr"/>
        <c:lblOffset val="100"/>
        <c:noMultiLvlLbl val="0"/>
      </c:catAx>
      <c:valAx>
        <c:axId val="129874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445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GRAFICO!$A$19:$A$20</c:f>
              <c:strCache>
                <c:ptCount val="1"/>
                <c:pt idx="0">
                  <c:v>Ana del Valle Hinojosa</c:v>
                </c:pt>
              </c:strCache>
            </c:strRef>
          </c:cat>
          <c:val>
            <c:numRef>
              <c:f>GRAFICO!$B$19:$B$20</c:f>
              <c:numCache>
                <c:formatCode>General</c:formatCode>
                <c:ptCount val="1"/>
                <c:pt idx="0">
                  <c:v>1251166.6799999997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8CC-BE8C-99B1C2A9D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9915487"/>
        <c:axId val="1295922847"/>
      </c:barChart>
      <c:catAx>
        <c:axId val="1299915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2847"/>
        <c:crosses val="autoZero"/>
        <c:auto val="1"/>
        <c:lblAlgn val="ctr"/>
        <c:lblOffset val="100"/>
        <c:noMultiLvlLbl val="0"/>
      </c:catAx>
      <c:valAx>
        <c:axId val="129592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991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GRAFICO!$A$32:$A$40</c:f>
              <c:strCache>
                <c:ptCount val="8"/>
                <c:pt idx="0">
                  <c:v>Aceite</c:v>
                </c:pt>
                <c:pt idx="1">
                  <c:v>Bebidas</c:v>
                </c:pt>
                <c:pt idx="2">
                  <c:v>Carne enlatada</c:v>
                </c:pt>
                <c:pt idx="3">
                  <c:v>Frutas secas</c:v>
                </c:pt>
                <c:pt idx="4">
                  <c:v>Mermeladas y jaleas</c:v>
                </c:pt>
                <c:pt idx="5">
                  <c:v>Salsas</c:v>
                </c:pt>
                <c:pt idx="6">
                  <c:v>Sopas</c:v>
                </c:pt>
                <c:pt idx="7">
                  <c:v>Tarifa de envío</c:v>
                </c:pt>
              </c:strCache>
            </c:strRef>
          </c:cat>
          <c:val>
            <c:numRef>
              <c:f>GRAFICO!$B$32:$B$40</c:f>
              <c:numCache>
                <c:formatCode>General</c:formatCode>
                <c:ptCount val="8"/>
                <c:pt idx="0">
                  <c:v>186513.6</c:v>
                </c:pt>
                <c:pt idx="1">
                  <c:v>375437.97999999992</c:v>
                </c:pt>
                <c:pt idx="2">
                  <c:v>252236.59999999998</c:v>
                </c:pt>
                <c:pt idx="3">
                  <c:v>23009</c:v>
                </c:pt>
                <c:pt idx="4">
                  <c:v>18200</c:v>
                </c:pt>
                <c:pt idx="5">
                  <c:v>258720</c:v>
                </c:pt>
                <c:pt idx="6">
                  <c:v>137049.5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8-4D22-9351-686579BE8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7408271"/>
        <c:axId val="1295921183"/>
      </c:barChart>
      <c:catAx>
        <c:axId val="12974082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1183"/>
        <c:crosses val="autoZero"/>
        <c:auto val="1"/>
        <c:lblAlgn val="ctr"/>
        <c:lblOffset val="100"/>
        <c:noMultiLvlLbl val="0"/>
      </c:catAx>
      <c:valAx>
        <c:axId val="129592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740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GRAFICO!$B$51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FFB-45C6-B1D8-CE0CA46261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FFB-45C6-B1D8-CE0CA46261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FFB-45C6-B1D8-CE0CA46261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FFB-45C6-B1D8-CE0CA46261CA}"/>
              </c:ext>
            </c:extLst>
          </c:dPt>
          <c:cat>
            <c:strRef>
              <c:f>GRAFICO!$A$52:$A$56</c:f>
              <c:strCache>
                <c:ptCount val="4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</c:strCache>
            </c:strRef>
          </c:cat>
          <c:val>
            <c:numRef>
              <c:f>GRAFICO!$B$52:$B$56</c:f>
              <c:numCache>
                <c:formatCode>General</c:formatCode>
                <c:ptCount val="4"/>
                <c:pt idx="0">
                  <c:v>467858.9800000001</c:v>
                </c:pt>
                <c:pt idx="1">
                  <c:v>480123.7</c:v>
                </c:pt>
                <c:pt idx="2">
                  <c:v>241360</c:v>
                </c:pt>
                <c:pt idx="3">
                  <c:v>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02-4634-87EA-E2AC44939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GRAFICO!$B$2:$B$14</c:f>
              <c:numCache>
                <c:formatCode>General</c:formatCode>
                <c:ptCount val="12"/>
                <c:pt idx="0">
                  <c:v>136478.99999999997</c:v>
                </c:pt>
                <c:pt idx="1">
                  <c:v>93438.8</c:v>
                </c:pt>
                <c:pt idx="2">
                  <c:v>35119</c:v>
                </c:pt>
                <c:pt idx="3">
                  <c:v>75152.98</c:v>
                </c:pt>
                <c:pt idx="4">
                  <c:v>127651.3</c:v>
                </c:pt>
                <c:pt idx="5">
                  <c:v>52267.459999999992</c:v>
                </c:pt>
                <c:pt idx="6">
                  <c:v>51023.280000000006</c:v>
                </c:pt>
                <c:pt idx="7">
                  <c:v>96993.4</c:v>
                </c:pt>
                <c:pt idx="8">
                  <c:v>200744.6</c:v>
                </c:pt>
                <c:pt idx="9">
                  <c:v>190532.16</c:v>
                </c:pt>
                <c:pt idx="10">
                  <c:v>130488.79999999999</c:v>
                </c:pt>
                <c:pt idx="11">
                  <c:v>61275.9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7-4CFC-BE0B-6AA61D7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1354453487"/>
        <c:axId val="1298745855"/>
      </c:barChart>
      <c:catAx>
        <c:axId val="135445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8745855"/>
        <c:crosses val="autoZero"/>
        <c:auto val="1"/>
        <c:lblAlgn val="ctr"/>
        <c:lblOffset val="100"/>
        <c:noMultiLvlLbl val="0"/>
      </c:catAx>
      <c:valAx>
        <c:axId val="1298745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4453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GRAFICO!$A$19:$A$20</c:f>
              <c:strCache>
                <c:ptCount val="1"/>
                <c:pt idx="0">
                  <c:v>Ana del Valle Hinojosa</c:v>
                </c:pt>
              </c:strCache>
            </c:strRef>
          </c:cat>
          <c:val>
            <c:numRef>
              <c:f>GRAFICO!$B$19:$B$20</c:f>
              <c:numCache>
                <c:formatCode>General</c:formatCode>
                <c:ptCount val="1"/>
                <c:pt idx="0">
                  <c:v>1251166.6799999997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7-4363-82BC-C8D25AF98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9915487"/>
        <c:axId val="1295922847"/>
      </c:barChart>
      <c:catAx>
        <c:axId val="1299915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2847"/>
        <c:crosses val="autoZero"/>
        <c:auto val="1"/>
        <c:lblAlgn val="ctr"/>
        <c:lblOffset val="100"/>
        <c:noMultiLvlLbl val="0"/>
      </c:catAx>
      <c:valAx>
        <c:axId val="129592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991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CATEGORIAS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GRAFICO!$A$32:$A$40</c:f>
              <c:strCache>
                <c:ptCount val="8"/>
                <c:pt idx="0">
                  <c:v>Aceite</c:v>
                </c:pt>
                <c:pt idx="1">
                  <c:v>Bebidas</c:v>
                </c:pt>
                <c:pt idx="2">
                  <c:v>Carne enlatada</c:v>
                </c:pt>
                <c:pt idx="3">
                  <c:v>Frutas secas</c:v>
                </c:pt>
                <c:pt idx="4">
                  <c:v>Mermeladas y jaleas</c:v>
                </c:pt>
                <c:pt idx="5">
                  <c:v>Salsas</c:v>
                </c:pt>
                <c:pt idx="6">
                  <c:v>Sopas</c:v>
                </c:pt>
                <c:pt idx="7">
                  <c:v>Tarifa de envío</c:v>
                </c:pt>
              </c:strCache>
            </c:strRef>
          </c:cat>
          <c:val>
            <c:numRef>
              <c:f>GRAFICO!$B$32:$B$40</c:f>
              <c:numCache>
                <c:formatCode>General</c:formatCode>
                <c:ptCount val="8"/>
                <c:pt idx="0">
                  <c:v>186513.6</c:v>
                </c:pt>
                <c:pt idx="1">
                  <c:v>375437.97999999992</c:v>
                </c:pt>
                <c:pt idx="2">
                  <c:v>252236.59999999998</c:v>
                </c:pt>
                <c:pt idx="3">
                  <c:v>23009</c:v>
                </c:pt>
                <c:pt idx="4">
                  <c:v>18200</c:v>
                </c:pt>
                <c:pt idx="5">
                  <c:v>258720</c:v>
                </c:pt>
                <c:pt idx="6">
                  <c:v>137049.5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8-42A8-A345-F536F1C53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7408271"/>
        <c:axId val="1295921183"/>
      </c:barChart>
      <c:catAx>
        <c:axId val="12974082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1183"/>
        <c:crosses val="autoZero"/>
        <c:auto val="1"/>
        <c:lblAlgn val="ctr"/>
        <c:lblOffset val="100"/>
        <c:noMultiLvlLbl val="0"/>
      </c:catAx>
      <c:valAx>
        <c:axId val="129592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7408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 (Reparado).xlsm]GRAFICO!TablaDinámica4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"/>
      </c:pivotFmt>
      <c:pivotFmt>
        <c:idx val="14"/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GRAFICO!$B$51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6D8-4A2F-A5E0-B0576FEFD9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6D8-4A2F-A5E0-B0576FEFD9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6D8-4A2F-A5E0-B0576FEFD9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6D8-4A2F-A5E0-B0576FEFD9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C6D8-4A2F-A5E0-B0576FEFD9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C6D8-4A2F-A5E0-B0576FEFD9D9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GRAFICO!$A$52:$A$56</c:f>
              <c:strCache>
                <c:ptCount val="4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</c:strCache>
            </c:strRef>
          </c:cat>
          <c:val>
            <c:numRef>
              <c:f>GRAFICO!$B$52:$B$56</c:f>
              <c:numCache>
                <c:formatCode>General</c:formatCode>
                <c:ptCount val="4"/>
                <c:pt idx="0">
                  <c:v>467858.9800000001</c:v>
                </c:pt>
                <c:pt idx="1">
                  <c:v>480123.7</c:v>
                </c:pt>
                <c:pt idx="2">
                  <c:v>241360</c:v>
                </c:pt>
                <c:pt idx="3">
                  <c:v>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D8-4A2F-A5E0-B0576FEFD9D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series layoutId="regionMap" uniqueId="{982369BB-274D-40E0-B409-C872D1C9BD3C}">
          <cx:dataId val="0"/>
          <cx:layoutPr>
            <cx:geography cultureLanguage="es-ES" cultureRegion="AR" attribution="Con tecnología de Bing">
              <cx:geoCache provider="{E9337A44-BEBE-4D9F-B70C-5C5E7DAFC167}">
                <cx:binary>1HvZctzGtuWvKPTckHNO5InjE9EJoKpYnMRBJKUXBEVSGBJAIpGY/+k+9DfcH+tNybJJSpbs6Hs7
7gk7qKgCUDnsIddae+Ofd/M/7qqH2+7VXFeN/8fd/OvrvO/bf/zyi7/LH+pb/6Yu7jrr7af+zZ2t
f7GfPhV3D7/cd7dT0WS/EITZL3f5bdc/zK//9U/4tezBHtm7276wzdnw0C3nD36oev+Da9+99Or2
vi6auPB9V9z1+NfXx7fN7cfi9auHpi/65XJpH359/eye169+eflL34z6qoKJ9cM9PBugN5KHIcJK
CYmkwoKI168q22RfbwjRGyQwwUhQQgkjWH0d/eS2hl/4PKP//I+vX35vSp8ndHt/3z14Dyv6/O+T
B5/N/8n3d3Zo+sety2AXf32d3A2397Z7/arwNvpyKbKPa0iiz4v+5fm2/+ufL76AbXjxzRPLvNyz
n136xjCJrx+62+r+1v9oJx6N8984if+9DrfLz8Z/vk0/dA76BnHCGFOUhfAXHOS5b0j1hlDFsSQY
K8yQIF8H/+IbP53P9z3jt8de+MVv3/57eUX16rSzXzfle7HxN8OVvuEUY6SQYgIryfE3BgkppQQi
VgrJZQjXv6SKLwZJfjqf71vk63MvTPL1638rm0SQQiGL/JdlUPKGSwbxAVYJZcjZC4uEb1SImAgl
/zrmF1NEt//5f348j++b4utzL0zx9et/L1PkRf3Rdrfrf2WI4DeKwClGlGSSKgR/v7GIhIshHGmQ
0wgOwxeG+UuT+hPjPHn2pYGeXPofbaQ/m9zTgHl2z9+FHPgNpUoKoSTsvuRE0RcGUm+ogMuPtnkZ
Nb+DgD+fzfct8/uDz6b+Px1VbIfb7ra5v/3qoX92gvw3YgqYwvJzUPM3QAVghOf48uvivuTFn4/3
fQN/fe5F2H39+t/K7Af1x9uPQ/dTs//1XUdvqORUEITCECPEACQ8N4MM31DORUiopN87rv7KlL5v
mD+efGGaPy78WxnnbXGXFw2wva9++2dB+detAywM8ZCFoVIhByMBsGNAs56GyaN9SMioDBHg7W+R
3V+a1fcN9OTRFxZ6cuXfykSXQ5NB+OTDf6WN8BsiBX80kRICDi70LdJjYDdBQyG/Pbj+2pS+b6Cn
z76w0NNL/39N9OdHzu+UMr7tb5PPQsUTOv3jq583AMSTF4/+CK1/QQIH97++BrDHIUKe4JHHn3lG
gJ4x0mfPPNz6HvQQiDNGKAchBFMpFLCt16+mhy+X1BspqFAM/uIQ7gEHaGzX5/AYkAAORBkhgjlm
ISDQ16+8HT5fo28ECalUgDillJTR8HeN6K2tlsw2v+/Jb59fNUP91hZN7399LTAM036573HCgjJO
uKKUYQmUQ2H4uVft3e05CFFwO/5fvgwcEekYxiX5VE8q02koi9i0lY0nxZoo7ZXTXlVCN7lotFEz
01KpIhqkOqhtzyM5yG2bubOqHd6VK7rug3rUKa/rDSa0PMSyVRtHmdKmWjYs6Pstb2R/nfVojogZ
co0D01xY665zVxpdBmjRPF0qHdBOXBQBC48rtvKY+oUfNqR4Z4el12RQ6kAqU8fjWmUbbprlrDHj
WTe4SXNnKz10uN5Muc+SNvCz9txvXVAddYY3W1OIeduRrNNdSNMon7CMOald3M/o0A3ze+E6ug1l
l+pBze/Xtc0TPIxKW7LMieJFHQ8mVYehX8XW2L6PO5R3m8k5q8VSC93y9X045DZytXG7LEybozL0
Y6sD7zK98KndqFRl0STTm6nmD2hQR2ppfGTpkDSG5XHD+nIb0ADpYfLuHS8CF6fF+C5YrLqbgnQ4
LNTQJmry7a6v0jFRLOMbNIgHU4V0P3bpdc6d0cL1RldDd7bSMNWrWvqIKYO2LWrWg3Gs7+dJFdui
D6ttx/pD+fisVzKSbZDpVRTvjOinU0fDIJm8HyNVYhH7olvPgpIWh11VPZRllu2y0g27ds4Grfha
aO9ZnrA+kMdLuJ7VTWs3LmP4iKWm1FOXXWd5NsdDsT7UosquSMZGPZT5HA2rqSKpULXv+pq/Q3Zc
E5N5H1V4cTf5BDZbu/7CYVNGI5M3hWiXOzuxLDFomiLPRhv7cDGbxmbBBuBJo9GY2sSSZj4YK/BI
N61BLHkXbrCfh6id0m6DncsjOrolbssFHaUBUVoyc4a6eTjpebGbh+FIqvls5eRDH+Jeg8aVRk7V
RxUi7b3rbKNV076fjcmu2zoskjpl3S4wQm3HnM0bk1azHoTBUe7DIWlNulOLsne27Iu3/eTGC2e9
OK2cyuM8JJ8GjtNNkdpJp6bJomXmWWxM39xQYVgy+irbBk2HY7SWN6StWz0Zc5p3bjcuHazTmb2y
E4rW0mxWXrDdmrWghJbj23QpbgPV9TrN0+Eit+NyHdaSRkVjjszMYadaOWqH5iVeeqGicey8xty2
mklXRQHHpzRvbkheXIRL8y6f14t8Ltuoti3SbFD1NuwmETXTBB7lBrU1oT8PlJyisQ9vl8HTfU7R
x3wd9mYN3K4siIo6g+kllXWlw44suuuqWneZOOl7ULTrjp0Nuck1KeScpGmY6To1U1Qrlzi3dJe4
UXlSktrrQvIj3KLgrB9rt++yLN1bn38qTH3Nh6qOmvrRTpmrtV+QebcUpYuIGAONa2LPFs5lEpDs
oK5SpINctnEdGKJDbtdI4uDSdDA2RuuJ8FUV0wYVEaOi07b0TivMTdI0lG7M3Nxjn58yTNVWdivW
gtP+aFjyMpopLLLu0w9h7u98512UW2oiGEEcgip6Tazt4xBAweGQisuqQPx0mFXSl6bVuUI3fWlX
3eLGRWsYlhErFhZTQwtdKXFD+3I/zf1DlmXjPszNTa9Kspe0Idp367sxcB/mET84UnxCk810ZqTd
FF5McVv4KiorPCS2r9XhuKYfK1lwPeZldjLM2duS2COPndrhFZ+vlT2oJhScELvYK+uqajssKT3K
Srybi6aNnVvbKA/CIaqWRcaTbagGrGPjPk/HaKjsyuBAcfMGD8hbraRUkWnHTV+Sdm+X1WmimsM5
ZF6PqbroZzLrVIr3remjrpmPprTdD2ZYdcrWDa4eB5tzo4tJqiPMWMznItOSTknJu5vJBttgYhg8
yr21HUW6bLsdNUsRlZRYPS7j8QApDbJxdz/L/HRiXhwTh8k2zYOYrivVHRluxQwhzPLDqrtGPdgU
Badpt3yYFppD7K9XbC2IpjTvNHJdfTTXozwUdCS6KpfDfqRGt2N2M/QDjlpqSVykzUbkwRyZMMAR
r4WPZNpN4H3Ea95yGZma3PfpcBp0ftKmtujAjZzvWZWSCBf9vk0ro8245q0uS1hxnU923zTobmLT
FXJLu83Vku6atWPa9Z3aFRXbe4W9NgiZbchIrnsjc40WOsccVzyq19wla7C44z4t3s8SL8lU+1UX
zh36IfCbvk3PO+Wv3EIhadTiruczve2awemhbhvtlrU7VEtHtGDYR+m69AlDg99InJEP2biqZF3Z
WWoN07mZlK4m3yeuHO+DMTsrp7qLRl4dp8p1UVuUfktzuuzcpJaEyIm9b1XgLmccXFE2Xxaoukhz
ow5laoJoFE1Y6LVXpwCu70cT7DIRVJrWy60hOIinsHC6HIJdGcpYhe6iZcONF+1lvQznxRwcpba4
YZm7blB4v1IV6KzHbtcGBsUqWGBtJbqjBhy2Ru48mzsWK9Wqy2Ch95Wq+EYgNCQZLC9qbDNv2Npn
usNBrdc8VxpX4JA5ZCZdte4iq0Jw/Exe86w4XE0OB/1S3IyqKSJvylLLPEiTeha9blPmdjOBO1iO
qRbhxKLeVihpwAZJWrRvi3A+Yo62AIuGMx9OF91ibCwNZzpb0l4vtrsafH6LQ9ZrNLR3a1bMurfu
Ropxv8pAbAdj8qii6kwt9nZ6DEVV79YaQoxldCcr/7YflvNMoUmTyQR6DYqrkPNTG9bbrC8OcWs2
hTNXtVyvWRemG1N1py5EN6ycWUTX+bLzdl9W9tShBWBVzx9MO4+atsRuqXIowll/M6DhfY54n/TM
FXoI8W3B21ln7XiqyHiOvSSa1wxg6uI7nQq240utNmHL3vuSWW3MeOdTvGzwKGud+/ajh5wY1YGA
vL3YEg49McJhGtaR8szGmUN3qewvOmQf0rUpY5rygzUYT3mGkqVntS5d6qKKsBzwKLlmZXuDsiKP
n1YRnwHzO9suXZHlv9Vvf//4r+OvReHPRb0/vn+sAP/x6bR9aC767uGhP75tX975SKN+vxV4wG+0
6pG4PPvwDY/6E6b0pdD8Jxef0ahndPGrlvGZYQB3+b2I/A2D+l1I/YN3CXjgK33ib7AiUCok/JGg
KAEyxm/0SeE3IRAXqJUj9rkkApd+o0/4DXAaCmRGCBQCQ8IgTn1lT/wNwvAU/FKogGAp/LfYExRd
nnAnDrwcipjwR4ISJoCuwUBPudNou3RxpZdxOpvxiC5TuWlRvW6nEdDLk235DlEjjzzsD572OJZC
lHJEJBZQJeWwS0/HYiuZbM4qHBPrhsNl7PmeVKbT9Wc4sLijNRetVlN+PmPAQYOQn9o5fG9danUp
pktVVYcoyBrdp5PQZT5kOlDlslfUfygKc5f6edFFXcyRnLr0LA+pj3NFDNaIpKUOavRQ4mo4//Gy
gE6/XBX0AgjQqoAkY8XQ81UVqcjBVo8AYUJ8VyxqTpDjAbBAnNa6X4P+gfswP/rxqN/YLUQwYIgQ
f+TdmLwY1WaT47JvwG49BnRsax5NHSWJtSJMfjwUBkH66Qq5hJJ3yBGHAwdcVcoX/HqpHMrnboAV
pqbbjAUZksAs686PtThaFlXGmZzZbmZ+uC6qpdpA90a7n6zKb0lZQA778XxebDh/1G0xKBGPogLl
gj9O9wndn4gphpkEKO6oxAdk8mOMuHDvXdHZ/YCH6nRuKrP5W4MqLqB+DBoICBeEhZi+GHSZgKPw
fJZxKCbxsHa4P7LMuljki1n0XIah7qqfWvnl1n8ZVkAfClchE5Arnq9V9ssUAtIkCQgX04aN3ieD
AFyde+J2wwJ6QMnHT2OJ8EHd8myjAhJsvTIgSyA/rX9v5x9nI6GQCN6ABQvh/+ezWaCiBxzHAO4A
yLn1oJZE3of3+SPgS9d0m+fky6HyRQn+Ts6AFPjU9T6PKBEhnISQ9OTLEfuAjVMIdD02wzK9lSqj
mxVgbpyBcsLGLvhoGjd+HLwqdd+t6OrHRn8RZF9Gf6ybIgERLtSL3a8knSs4esM4HWpZ6dZN0wGI
CylJuiacfztA/3StL/z6cbQQg3NJCStVcCo8312Ex7bkdSvjLnXraWdyelSXwJMar1di648EUtlP
vPp7/hXCkBDiggtEBIh7T2NpMYXlaw0WDRAuHhhf8L7mTbkPBjbeNe0a7kZVu8NhGruDbiLVoSTg
gm5su8uVZuL4x/uN2Xd2/Nl8XoRZVazWrFig2E8AOHFzZIGWRjSY4ECa49w2SnfeF5qSi6Ih+2Ho
9FQDulenbXHQLFfNsMXmpm3RSR0CMWnyg3KxXqsgv+mzQhfdnDRAQyaIHhOgRPr1EwM1sGhv5+pi
6Hud4zGu8C1DO4BgkUU28biMbFrfiSKNXaOOrcq2Bb1sUL7JhjQaJ9AkmKx3QT7GQFk3rHRJOOB9
0VUHI7NRsPpzYUXiYG7O+EOE/WHG7F2O5lV3+XJl2vSWFv1B3lRj0nYk0LzLT6ld7+cZxCSPSK9L
1nPYk7SL7BqaJEVL1GSLLqvw0MAXcZ5/qqnUy1puy6XY9iw9hTN/W5Z2j2t7gPpZTw5vWXUGHFg3
wZCUc52sco7msd4UEm2c8kmfXw9Bqjm+HNolmrs5bkZQCUej12bc8HTVfvVx6uwp+C+IJeYINI64
aIOkteQ8zcJTW1ZHI0oBnVYuNlV5aMcqIh3SBPxZu1UmjfVR0IHkaeyuM3JbrEOCoLyjF9lGXdZd
TRS/FWn6IevumvkdzR780upuyc4GQ095j64DuAEW9j4cMxPJqk6sGd4PFG+qYdFeZHkMx+/5TzwT
vQAvn6MTggTK84//ATR7Hiksb+xUBKCxeme3jqhdk9f3iyeH69CImLejJllwXxJ0KBuuscq3fcri
ImcA85ukAtbI+qgoGi1dEfGxiRgYYBrPgz47TG2+KcbLfri2NN1M4P7FSPZ9VmvR35XqUKi4nIaI
KxTb/Cidj0yW1G7ctFImnTsM2bGQZSTGD91Sg1zoDoNOacKKiBYmEU08tVfpvLMki7PWH4yt2fLC
bMZBbdAkP5XznqzkXZY53RQhOyxSbrdyMW2CwvphmfCdwTmcceFwOfL8LrPuZFhUbO37vMsOhgCk
LlHGXdNEJWi1ZTicGu80btlRN1WbZQh0J5XVFe6OaVvmep3To9UuQA6HLfCdBIJ+X4GiWoO/hX46
coUBElSKe0DVIEq0/Waeroc5TSbw2ajNm12T2WMxz1bnodN1kb4tenLmUPUQqHY3l8H2x8anjx0w
L48hRSAtkxC6yQh5afxSonAAdwth/wTVtcM+LvDstWgnAK3NcR+Yg6JHcVgE25S2N9b7uymVFykt
33WmCRLgwaeWBlxbPmk5ATBs2/SM1D34gENYE5AucmCwuGGX+RgmFQqrZPA1aLV2u1bTdqDjBOFO
zsnEtUfrDq3oHCRuyDDJ4i7bTGhqIcH1x3gCnaSLV2/iZQa9SOCoU31UWqzr8LAVhcYkiCRzB9KB
ikm3KUfapdVFi/vz0j1QeVqNBWgxuxbyYQMnq6nednJD033ZDZr3Z6u4ZqAB96a9KBZxY+tPqcwO
PJxXadiBFxe7hdfHPQ6Oa8U3mSmi0EDg1wukkzyCygMoDlI3JeTGOtBS+LhaBlCzyVvR9LFZs31G
+KJHLvYgj0VoTk+qvowl7U8K5cEBp2PC+i1Kh6Rai+sgW25Ik+1ATt1Y32zWOt9BPeO8gDNryVqg
0Gl6Bz8Ec8fTWTVU56xP500OioieFP449fzIV/kR5LkL1feThjap83AQyTq7KS6LYo0aPqVRxrKL
YDFXYj0Myl2vQKxJm/VT3gcfDL/H00FeXysRaF8vR3ag8dofgdxwiENYT881dRAoQRsVpNsJVL7l
xn0AHLVZVZosfNmT1B916YGdr1h+ymEv6buw6U+a0gzxVLRYL8EVSZMyuCprfjIRmdBUXLfpavU8
dLmmc3+zQvWl7Jzmo9BjG+aRW/k5lxI8h++6ctzOrNxhiHuf+l1RwwE3x7XYiibYZGy46txlxujR
ks3JkleXRerh9El6frqq4GRBPMrxcuBDrtNW7ObKAxcAAaO6NU2oiwqKGikAh7O8O17lJ1Jdpjjf
MpZvxVRDghQ7EfZxZpzOhkGvtD9gBTuZCnfT0CFybaCFOAGEV+q1BHl5zT7xAo4kBJMO3vFhjrs2
1Kyqdq3qoqylcRWqXQ4a7BjMWpaZrpY06tLswHZVVPhgj9droDPb1N+X9Q3smXbBtMH4Q+P4hjhQ
Z1tyzh20qy/4uJpFnEORj9dgZyhtDOKSY7eZyVVAsLZuiQZGtpk6r1sfz5mLsgodlpgnc2Dfeudj
hdMjbqhmtYlmLKIsNwc5F289OMQaHI+K6kG+D8R9MRQbE47JJBIPwmEvSAz6cZwTGq1DHk8Zn6Kq
8g92fV9XQzRkl91y7CHXQN+Y7uiox36NJs7f13KOVXHCebBZG4CJYw5C8rBtQa4LRXahuI8nqAVV
CpR+E0Z0AAggb2uBdF6JiFVSZwhcZ75fsbnOUL4rMg7JQ8SkNie0SHWYT0m6gCPNNBm6btei7DxF
HExj6mShIL2vkm8BE+9FWt8EfDlJ6w7yRpCMA9fhUsTzwjvYdWDhrEooHoGvk/aBlX7HygmMNNpk
WkDyrhToZD7cEDaclLl4aNbxaIZ9KJdjPvod7/M9p+27EqO4rbttO0lwXJHkUGuCgHyoXHog5mxb
eQURPWXgtS3/MLVlH6UiOGrAtiWWERv6aJbDRZoFhW74fLkU+Wbuui0Q36sRSpoYTpRwrQ/96qB2
OQUsNqIDodOpnzHq78BcFQKhAB2EUszDF0rI0Lt5MhWoLn05jqcZWcgOlOAcSpRQXkBudduxXE0y
YbyCwhlyqL5Sual4Pyd1pjCJRF+IU1PJPu4HxqIfn3efWeUToeYR6yjFCEdARSSHxsPnWGcGzaGQ
Ywk8L0PD4QB10A3Ez5pAsZlGYZM2+1LWc0RtT88HQmgsV1ps0n58yHPUHS9rJTaSB/Igg6IVhHhG
9utKhq2ZKihDpOUwXfi6X3/CHr7DFZ/MWqIX/KmVSw+9CcCf0npO9/3IOxOFrl9uxyUFEbQtWHlQ
VrlnWplMAIfriuAnhPHbKcCbI9AHQAAjwKsh6pHiPZEmchdmpppCEatyaE+9YX2S88zGNGNoLzGp
zrCj1U1Qzn5Lirbd/9hwz2EKNEJgTKAN51HOg4Y2aIp/Pryq2jAQc/co5qk17nsUnuestIeukYsO
8CeUlWmEg9Dt/va4LITSF5YMhArow38+bh2kjGU2EHFVkPDEhXz8IKEvSA/ZCknCh2zfrtBHMK58
uvl/GvmlPhIWBQvsAPx1XUJ7IEjQJHgVeD8Gym1FD8oZANEpv6OyMNc/GfpxN/+Iks+7zYmE+hLB
DERU8hjkT4xdZ0EwidCgRK0UMkWRBO1lRWGjs35TSbHnBKpW/XoA9cXTqiuhv8XASzPq7eI/FrmD
clV/Oju/GQB349ZFhTDHVKbQhREmfYqhbGe3aXdCh2Zjmj0Uujei3kMzQzRDOwhwoe2aiqOwnTcC
sNGar9d+ZBtV+A3lwaEKfBLgZTvN92VxZgPQ5ApyourlQJVCI6pOlrSIaji3V+yPsJ+SAroKpjHQ
ZdNtcvqJ58Vj38xhb/12GliUc7wBSF5ad0DcGmpqCgBgUIgJN13Bt6ZkR8gdia7SVVHvTQedBoX8
IGYGYii+hvL4nnOsV9RG/SAvfmyJz8rIDyzxUpyjA2iSS1aD3zvqva4ZnXeLWsgeSeTuBc3Uls/B
GEO/BN/5avYJaFfm3Y9n8Tynf3YHiUCSfMzpRKHP6vcTdzCyFk0ZgCJraOAiIAxdFOSEgErX8uTH
Q31nwZRDYyQoggxkdHix5bnriYBOdITmqrhlvntbNk0FXI/xnkRuJF25m5qGgbXpJxA5/LwPq0yS
SIlq8T9RBB8Pqmc7zwi8EUUZ9AGCSokf34d6GgO2At/IQDiLQXanx+XS91e+4o0eQ1sf47JqfpJp
oLjxzYDQBS9AhYa3feA1q8frT3a5WmuSAoAjgJ8mklR9azRM0Wym1qUPvuxkDqAcmeO8LKHynQ1l
EKHAjCzhvrY3qE9EdtxJx6HOu54TjgEBdUlHofD7YxPB6xXfTpUiCm/CgCtwBIrpC22tD2snbT1k
yUyr+QCaJxjSyPRGJdCQ01ysS7XeA8gMt3Yuy9jKlp92jFkQWybLSYSKqULaVut4iYpxLiI3dbYD
lqeaqxqlyxKNbeqvfUfKRARtdR8OTg46H0rVajikAG11c61SrRRtSqAFlH4UfWYuGyi93xV+5Vtg
VOQ8dHJ9VzYZPmxsWjTQ3GGl0cqCYxVLNl2brC72dJD+GnRJvJmgITcHMj/ZuwDajnI9FIx1Giq3
VEV930Fm66csH4FslV0ig7a5CFUL9RoOJ989m1uT6THD62EWYLtbyik98WmLPzIfmGTxtLwN25C9
IyVfzvuW0sOFhdD9VbpOnS+UmXcCpU3iMgrtX/BK2MFYFPO1dYYdLWloTz1m7XZI8ywR1IWf3DKr
KE1hAzRqYJ8jNTXpKXTk2Ju8rZvjDrL40WQaGzcGl5sQh+1Zz5Rl0OSWd42uPSl1ucr+rC/mhu3k
AB1GuJnktFlhdBQB8wovMjujbd2m0FKVzgjdu4p26JDx1iczQdUmU3l1lhLf/V+KzmtJUhwKol9E
hPDwiivbVdXevBBtZoWRAYGQ4Os3620idrqnCmTuzTx596KDRv9MYcjPge7FYRA8foidfjxJB/2e
ZhY7dIintTJ+Exb4/q1fREMim0fHeFMexqkr5kPcjNuUay+Yhv5BABLcCtI3kzDok93afvb+toBf
C1c7z/XZq/3oG/YG9T88ClgzLVE3QvHjbVqbg/AbYGPclc5fI8kmMqeT2i38oaW/qauHL+IQZ8na
yTcrRIso/DfrbfxWSxR0ubJhfZHKtm8+C+5yZrKNBevnAOswXdJ9hHVTeErSaiaTe6qZJKVipt8z
rsl+m3zvweGDc9zCeDowVAtl4wX02AyqKZJa9S9R4E3fbiNoNkyOQgml2l04ag5CzKdlHXrLsY4i
/ZguQ5wtY6w+au25pyZOW55RZ6qrcAu7Rz+GCLWsv0HoROvBuiH5ChPweNyOg5fHiwVkkBogTLZN
8TV128ef2pvcisZLcrIxlcdodBK/GFHRFk7kLJXwmLfrwIXtdWDnCr6fOfuMeXh9YQTvckAlwlAS
bW3Kv8DTSPCJEf2b0nl9njpPAPRx5qHNEoMrlWszFJvd5ipuV1bg6o8ORHH90llpbq3F42B9W7/x
vvZO3Sj9XA1GnYWXQHFrlN5etEmHH+vQZM5QHLIGciqJ+0Jv/npaNcUCJwPZ1mydIBGC801Ao4Rd
1a8ef2Ic6yzTgxtngB2DV7K4/odap+Q89gnogz6uYUHMTuNnpB3i06aU+7JM+AuZlot80TRxdzyO
9KuPWuQcKy8+MmyOJ7mQ6WluoWFlPmXrzQjp7sNtjC9ASSaasyCxzwFe9JkvY39upo0fsauwgIO7
bkOiZX4e1nm6Ms+ty7iBUNg2wkGz2/QRWMt6AMYiVeN8Lcpj1+X+r0dLwgodL3NhPBeXAZ3Q2bfW
3QfcCd5N39FPqPDLgwCjG2ZihlrvGW2O2xjxT7XEUE5HPzTLuW786ETqkaOUMMtOirkpXEARFZOc
50BNwJa6WrCTiR3XZi6toQFPRE49iqJaPvV9Ct07DS35DDffPzckEeeGO+ELqzt6ANAl/hT66j5P
E387S7yYJznx7g2spC6oSFhf9HVDQNEMo/hhITd417WMK7XBbxs3i5KrJeFZ+i3kgbmh4c8CfOvF
hCvuHDsND/Dip5sKZvfYQW6HOE6W5S30iXMggninsQfnmyX1phlscxEeeyBpNxsLe41HqR/RJaUm
T4mC1btF8i0Sw7VOBo4eNJwLYJLqaeKJL0EGRQIXKxhmJ0T1fwIRAdCo9/z22wR+/DVCmqMZLCU1
ZEsXRP/FoV52s081y6MA5eM2rDGktiGy7YEt9bZk1AjgLsrfggvcnPnNxx/XDEajexw6tb3NLj5l
F24M+joECwPRaK0vorbSZqMIu9819jYYhvVmzxBuZz9zg8WleQteExpkHarCjbq0sngrz8QR4y2x
Zr6OzbC9Tf6aApOeXMi1wjU3nTRrl3mop/C0Bo7GgroOzskAzg/VS7JLW7d/IE7Niy2h46HzqMF9
HsS5anWz69mgoEikyQQpIUjOEZVu3qciPC9zm+zayY0fk81Vx350RY47LizbsI7+NmCGT3GCw3NZ
hvSYkrXLyeb1r00kh1fwmf3V7e1Y1rNcoQfO9h3bGB5PV5NS+32Qb0uSHDwdxfkqtuAjVMPw5BHl
AFlexMUEbY394QZ3MYh6bwm+T+7NEZ6MUkPwpScseC+e0Do3Q6shBVvoWwxvoLSGPNgJykrIviOe
XGkEHnoUt4A4pbvgqvVaiHlPS0DyCWK2SfdomaukE6cmxK/AaT7jRuq/7s6O43pFEAIdhBc1tkei
HwZ53QIvF/NT3FVkeANgny/O2e+uxD+I4JxON+hyhL14pJzsDYoVWf/68dmSKmoLoU+CHgc4BzXX
OXX2AXA7/5VO/8YhZ3MLmOxa61vAjo54ioDIxu45dOfCD5t8wyql7tnd/vXhr9xOY3zomh9UirmZ
7EGPXj5FpHSjoWAUdkQ0vdMA1cPV+HMO6WY3OwJYCgg2uxccYiWu+EKk8VQKnEoXM/mPThvk7diV
jc8eSbzmDSyyllx6+tXXfoGFXcR8BsLmZMF83Ri2dc3zSeS0O050KaXwCmKPneeWSdDioHJzz4Ma
rxQe54fHXhncPXa3T4O9SS+6C/ECAOb2ONmtBrOPp2Kc3w0lNPjbf41vAY76/7ygKzqLW2utS+o9
muan7l9wdC8o3/DrktJ3RBU74VvqoKk3ywnQya2NZOaB4I7Ex9BEVd/rB39WD1bEucZ2cTuem6HU
esB3CHA8PRDTPwMqL5poyzy8G0X4+1qvueey8+qQE1fqEk7sKYXhPZvpsYOat9Xm6jv21E817vcN
EQg8aRTr66jPg4zBk37xdnrhXL13SZotgdgFZMaPvalu8rPVqjPdYGU2/7FtvIh5wdrEgWq7HSEX
r4Y22/vPLNW7tEPn2jSZ3WQRBqoE1bLziFc4cqwG/tOpG+VvLmoDNrWV0D+oRMsk+tM9fQBuPoUo
4GdzgJL3L+hvK7k2EobFCgB/jCBaq6OubdZRaK8G/oIbHepwm6EUXKhkOzbi+hBTxVn/2ExzNo/i
EnXNi8tpnHfYZ3473tbBzzvhXMh24mhlN4dXopWFDMNiqJ2dZaF5CHADMeqXwdT/NiOvtDNXtOsO
CJRkI0uyesMxhqOwTW9uOu3qFEqpO0Kv/oiHx0mkOwL5O4Rcmsgwi3xRdoTksh/zQMWXTZPMt0kG
DPw0Q8Efhu8UPUbv41SycYbOONfLVRKa9+1yw0fOnPG97f5i8mdbtnO3Bg9grExi4QCy22KhrFqz
gxtYbulw9e8C9rTSzGuuTaBs1jjBrrXDA1czhMcFHfyUB7TP/GAtWqYz39yrileIEI/zBtVexgUh
K8jSZW8cwKMmm3qS476HVUbLSbygToIyjkyQ3CPBs4/JjvU2U1uzl/WWu2rb+WbOWoCv3ZQWce3i
IR/75t/mXuZU7vsEbu5/un2L4yOHaK3x4rzT0J0BqudB/8FXtL6vvqmrKSpTgdPvs52DSkIPB8wk
sgB+He6FJOF9NhONTbOeY4dUTCio/t7LHPMKw2Yyak9eYDJnwSOux5LLJReRzdX9tCAAgce31Dx6
WFpNx3LudyVVj+Pywuc328YFC9MSk20yU8P2Ddi58dz9CI6Z91PuLTSvWVAZ1PdoKsppUX7mORBs
Obiu9M6DezaphmhC9Q5QeLpRJQqGD9K5wPGvEVJVckAqiYfVio4KVWS+sv/4sGUJOSny7iaPKZdZ
qEVuFqzWvwQxFP0d+lUkHww9OaPO3GQXd7yK1JINXVl7Lb40Lciyb9w2w82Veh8JLx0IhwpcOFzL
ysY3lKp7zT8Wv3TrY23f4COWrni07dcoD4hMYam1BR/LVn8I62S9XDLTXcf01Kd7ivMA/Xcfnrpu
unhjkXQtiN9rF71483oeyRNhnxK2KGlOVDyvuOSpSQsz9zuKXrVH6AOKW7HFXunD13bquTRNmymc
v9LFXRfiiyh4LnBMYo+XbTpjDaqiQX+jlyzqPkXs5ing+BQelcdpHtELY/IECR8GLTIns87jQWLX
j3nUxHndPsfNC2VPsfvEyE0yyBojqIMeiTJSIpmAbWxymV5i582Z1zJy1alxX4xA2kwQVDB/xv/H
qZfDDsnkhhNkfnFJnwn6Oi7/gemP4e4qmQLwHzKA3zpsT/BDkTT4YOqt9nTVpQ/Ed46AyItlBFfI
TZY2XsW3JJ+pfxjktg8ABKTqcUVAKoqb50ADRmjD0nOSMqW/gp9sGh5q6AiWvTD9T3emdNv2mbdn
i21rB1jCk9hNdDouJsXz/R1pkluzlo4i4ByQgbJ/zWDQZX0jKYUC8xx4FwIPz6y/nOxprTPJRWZr
mgk4SZp8b+i6BhwRkiD3Vad52G5lEL4yFWZpkCBn0+984DMJ0gJOchvh7FLXrSbh7RB32fEoBfyA
lIwMbnw6+j7KVzBtcFo03nVkujKJ/9kUrv8HMQlwhTGX3sEGDDwO8PXkv1Y5mZSv8/ARJP9M/SMN
z9FzZ24fFmx7gAsx2uR1cb8wZis3BFLr/T36+7aLAaa+hPLdbxh4grUIIdAuUu7cLi0GdBCt1QVi
KY3509F/dy8WCqdXf1uO5RI/jd5/Q/0BSSZfY7iUnD9qjYUY06vH1jIeepx1YeYYP0cVfGzaty75
UX5aTBrpizjJXdAomgS5u2i8aHE/cioHzwyeGk7X+qzsf7QNq8V5aTjgWtRPgfMXyK+6e+LLY9/3
Gbj0DOXMPvFUGSCVRtytEsigBPuucXcwoAvX3zvAM+G6dfZ1nrfdjAYlmray0xFwidPC0MXFlQZ0
JVMcVeEvib+C9rxZisgPyJMUwTgXZRE+TpNr++AJr0SttNvIZxz+JgrNa5oWNQ4QD8dS20Sl1E9s
e3MmWMO6G4pIodK0yAghOZGqe23iVikUNDo+dQQyj+LR473TGrf1OEY37nRVEDmVRbxvoy9sEoWX
kMu4LehR4tz4sgBD8er3FguClZ78jKd/iiE/ykY42zzvHHXYUKHw9BAleKgBWDF6btAvgemDfMXm
n8GjOQ/MvuueUkbzeFur3o3fLfuiYVKI7TnU3nVJ52JcUD1BzeiWtJIc9lkEZMbbSgRYM2A/RwE/
iW8PVOCKMW96vKIbqQB7lwMpm+FPjP57I9XHOhw0Hr0I53yb0tyb+ENHdCGds22eLVBq3sCMffHl
kaLCQPY03SyKcgGXmOGpmWx2uxNtlwfaPmu24pEjphSmv2FtC4sAk67TzAwQnR+dLdwjCnZoupua
DgGtId7BvPTIW2q7yzLLSobuZWTy5lovV1H8arogcycQLLxGsmNCGa8zTyFYtXoZ5aqA5Vixhu6Q
e0AqSj2iia6ohzO+nU9sDcoUZEDfIhcW2qolQVgspH2L+vrXHd9Xe3XvZe/8a8XRiL8YnKpJnCLw
WqzHJf5yge5I883T+SjNtoN+mA1b9IDIyaHb3JM0IQr6tt5pxSsoAXsnis6Q1zNDcGeyuBjbBZ75
vB0hQR3HZjmk9CbUVIV9cvZDmXutvDAl74U3CuzkBQDcjkXdPnHdoy/rggXrwXACo36tnEnuiXuO
pwX/ucnjBNkSB1lggLasAWMVbAXDVTmpn7Gv8Xb7PfUfoMyXC7moDe+ox652VE5AT8Y4TcGOHscJ
vOCCAs3d9mHDijA8sxXKFopdGaDqRfCI8ScKWUymRxbEpQ5whTFCQFe4esxdTatONBQBwbEw6bZl
m/6ch7/IQV+SSg6dcSZ9XgMJmz10K1RFOZEIayL/03o3x/2d5h0s9WrrRLkuYyXWCGeuxfGz7TrY
ggAY8wAXugeGvffjHei9XQrFSUlZweOEiu1lMlrKNm53TreVq4sbWSNQNq8XHg4g4P2qSfFzXnSY
g6VA73vWsXkP6HYbk9oHteKeyWrfVvcf+BGE9AKRFumgH+JkvECyzOPoy2fYAffQ85Jcl5n+aWl2
SAc+LUmEUwGvwepq6N4jloQ5NR0ASdyA7Tx982mYM391/m1oE1O8oFrFrwsPPShCC8tCgeN4jZN3
KpsXZ/tT8Vu3ArSbr63b7cwcl179yxV59dwlyRiXAUiT2i1RR34jABJeExHhXY6x3QO5/69zAKY4
CLxNn04ACzv6ZegHwQ+wfFQ6RDlGznxKd0zGjwOSfunUA8DyDz05hfe2akhvDZZobfE11BxOGZjS
0yraF+iXu3Rys7SNIUgx4NSRrIzqchgun6Hwf4xw8ckg+0xIiqOUufEmPKZuT/aO++WH8c1BHWG3
9jBFtiJqbksDAWZstlsP8oTRKJc0zRBWzRZ3ONZL9xEN7Wcwo2gDWLuliJv0oSxW3ISugZRM2ylH
xjsb2/2k/b92Bj7V0hnLCzk+pctmMw/h4AA42f5alE3hnB7FJOFQtgBCv6LYYhFF+5GSQqj6Etjx
QQELMOY2Cf+xQ2h39M8WB546WWsgoqKfWoMqQqqqHxHapT+J5qU3/gH8OUfxkntyygKgQV2Y7In5
tuAhBGrFDQc3LpXHBnV07FwDMR7ljOu5SzLolYeR6j9eD/sVLZJn1amr24d2jPYDa47JmpxTKxWq
+Hk4CqlRfyy6zZXcwMSYCPHUtkLBUtXYmf1IlgMy6Bkyesc+drp8dbZKxe41TVwMD9BodWXjN7s4
MWfRxQecM5kXLqUI1lMCX6FyaPTRELGfZzjamY1bKDWimbGoufjBKEP32ecpz6QfHMceWDOU1XEs
wBOtqLHU1Y97+efaGYHJJv0GuthdtlWyP13jMXcI5YHmg0UR9fOfDB1cuY16nKL5sKrUA3uzzebV
E5FfAZXFNuN+AOESpwHxV73zaOvgx5vmtXfEa4/u/p8NW6nR34fyTJnxLwGQ32dB6/Smeyf59PpB
gh71wjlzx/B7rL03HY1VPPBrvZKq1i52SVqjdF1W5+AMKFx8toCQbO66P9z8yxowga/eqWcaLf51
ikMMehiSOifpePNau2a0C9LcFfK5CSAOYbuMAF3ai6L1Z48kH0NLBxueqm7OuBt/L2ma5o3fYhPe
k3Y9pJip0wh7aw/1wkaCs+/FNQRP8bKOojTBjFuv306NiESF41M8rSBGshY8buibax8lp6nVQdnD
3/lBYhTaEu2P7RK/RYvAbqEDnHuRLM+Mpv6roahMvEYjrTouaT51uGrNCGEX8sjgsencMrbuNHBG
TBWw5yjRz75VX4Jvf9O2RAjZz/s+pg+0k9c2joqxm8fHwLQrNLYGKvBG+iJsApoPUXdYWcOLEZLr
xz2zkFnayEz1dY+9DbBmiTp0fOkQVWAEe8w0GAfkm4Mi8bXMfZxkdbRVnauik7EKvd6K1Bdhy9MY
Ng89bk5l6mceRO9GRhe+NqXtgoPqvE/XZ0nFKe7ScYpxQvnJgaX1ayQmsh/QyjuC/VsIZiqAupih
kqP9J9H6qh0vLJvVmwur0WKr6bRELY4ut8TYj8uQDDcSOKxcBwdZ6mRQWeLMuB+sdXfG6K3oZ/XX
Y7YEHqVaMFuB/80jeU0Qcy5BAg7FgKfPOxrvkxFUqkyDj1HIc9rgL6cti6uBto9xgwkgOIpaAilm
7ukpiGEiOC3zCy06A8Yqgri/duQ5UZ098QRoHlGLd9hWPlwdcMb5jC6zCJMYIrOQAOfEfen0cH4z
JKv3FJ0gHAoXMVPQyZC1cPLDtFvBW3Xe2soSyjOp+sBti2QQEPAkz1ag4hgsIeZfX2+iDImfxQyd
oGUdJmp4Qu6blQRvYVozSHlAjx5lY9IxH+XSfikxDoinm8BjhVVbslZ+xCcIXBEVa+EuEbo0HnT/
FLEhRI2Gjc+xSQKB0QbW3wfGTR9d1SwDel+Ks0awxCTf6YAuAZVWSuOSgauH8DslyxW5f10ICqO7
8xfxado0/AOODqR9w0wODzI0qWK1uDg1CbqgYsMVCJVrniEWRw5/DsgwdKeku9962I1u97UggAtn
HO7X3ib3ntogWw8+JEYDWfusWDQqJRhfpz5gGiXZ+KbYcFy9EBGQ/tkNlcF6j+bT0KfYCHX/vC76
v0gEhbuGFe+jwzba0va41FohLoESZzS2F6e3tz7SZ7gk34MZbiF1Lo6VJ9hmfWZ0U8I33rXSVnjN
/3Wu96JbtEbzSD8SZkOocISi64YYwdPlkybbfnHY+0LofbFWoTeVAflrYCtFYXMKOIIkDm0Oc0yd
rCEer0gPVhhHbVpE/VbJGLHyiPcUp6E4DhO7ScrRwfhliPkkaw1WdllOyfqfG3KEZdxb3/lowRDb
ptH81unQnJfRW/d+mvx2c/jdIj3iDcgsyAkigPJOcImywKL8aqfPuQ++7ayPduovSJ/o775r2Y0i
LOlmSbx4aB8wcUegT+qV/QB2pVQ5xQl+mxOqFat7TvYdxOGjs2IWgfFkmAMuPfnrWrWbYBD2YY61
0n1ep8HJByt+MdQhB2GAXxrFG8LPKRLWVF8FBE/w0jPwGBxTl5GP3oA5KNvw3EF+gDzcpc5xSpOH
bVRINPb/JZ2qAsTqKqduz6SbomfoIBLDVnRU6BqlCwsjHOoQqUCt6BKHBbs6BlEGf1h3KvG+4nks
HD8uEzQXMWiQgSSonRp8Sk1+MFKkyfqaf6KsuiHRv2aIq64g85PLHGC8z/qvU9CS7ji5UcNZqPQS
yOUyr80hAF1axGRYCj65RV3D9e7rS2qwruc1fh6d7joZAK7e8JVgVNKNu10IJrlWMFXI9O1EZOwg
pw8NYlL0eZjdN6pqgQgRXQpZK4RxhklnmNFi7z+0ffndOoEAb6FaInr7Lvph32iDGRphr8qa1yFy
vJimoNL+6ixLRSXHg0i4rbwoKEgCaRpWD8jIOug+STtBP48g3QcnP224wRQldW1qs7353NN/yh+I
B9tJl2joDzLxHzDEYapSIM90iff1HMDZZq8GhQ+328l4j65+rCGkYdbQk6EWqpxfxmDuoDjuxzh5
JiNQ6uUqKMEgiQnXuD5ZgfuKuRT6jrPcq3+4N1VogvC5IbgbetADuPWAs1gZgcuGLV0muE83zIxx
gC/k4NlAaPS0MKvznQgdv/YJfVxC8TS0gIlTzMvRbg1TRleRdcup8cvFY1nc47Iz+jo78gstJc5f
fmhgAgv7hXg0cDyDlhjqp+4OjuSPgXjF0ZibTl7oAiylCdv0QDoM3gkEyZa2v6phPLXBgjxRdEht
skPF+SggM65sKQy355Y4x3sLhQhf7kQ1bjFoKJ26TnUK4Uq+TbatGsSjucJQEBgVs/ekm+Fk+YZa
c6hPrWUZmeaKTNt5sgGOWLuPkOpykvBT10vGh3OIwLgYnZx3mFqCAJ2HSHDXbghSeMU60MrInRN9
kaT/kNg6XQRbCIOz4v7V9NMlgJctXmd54hpzP2RSdWC61m4FOrMX6J/DOSlc852Qzy4t2+2dqc/Z
e0n9/YjJKeyY4q4264EaD/zHXqMuDhAlUFGfz7y7j1LCWJw86eDBqR8p1gzB+3zEhHlur718XXDU
8fRfEAFhRJeXIv2WmIOZALygQ+3u0kf6tQxeRVD5+Ok1iS9xcNZq1+gn1zs4cDRxaBh2RlAdqdgT
7KoUel2jPsbkE/OlFkQFMDVl7ywDIhUfE4bghGrno8hAKDNLxj9vXLBdHyV5tWgoiZnQZmM4ilRH
B89aTYhar8/p9oKpH4Xq7gGfQz+jQFTfQfoSGpH70E7mPszdBpuVo15lU4kpGCN/Dv1X4qOjq4sU
8gx7DuNjpB9Ge0juObnxBjy9oAZDd/wKlyZ6T5s7ASIhIobv3qBOxY56nto6lzOmwcBT7t+Nd52l
qZh/XDisE4Sem+4DU0sKNv8xlAO+9rFOHoZ270CN5/AdpMLLrMV+3b5TcoNBs3MsuugDhSCXNMcI
9l7wn0wPKST0afkvnnZAuPcCYIyLp9Ijl4h6kmG6DBYaIcjYi3KAlJNcOrrcf3mR0AOGbSVmLAIH
khY0M1RYeLnS/EkLwCz5bLqfJUJJD6+X9WfOkL50IBTCCEDcZXmGGJ2xBFI3zDbUu7kGDSGMW7QA
jGKuoctMZQwfbMY3gZqA9NeDHD8VsgJIxRQDdF6/hVoE9Q1DUbZ7oyDYGbGObOm/vCU5YiZVSVdb
THcdO91g8O9VdGnDN9/Zo8guHBi9KcXoq5cpevP7CwMWFr0l605sWGIoY6xA441Hh+xbarJgU9mk
2/9GSPoztvvcHEz/IdafDYeIK0Uejju/O2JmlYy+Wyc6RsTFNti7Rhee/9oEJx1BP8AgFkffeiet
oA1DPsUInvtgp/Xa+P13p3apKoeIv4XjA4qeyuUkFz0r24VAZ+5QK1f95OMYcLPRAeM+/7gjvtnm
QVv0cx6pimH6zdofdPKWpD6Ykqomz0AE8i4Kjmn4OdAXf3AfiZeHghbD5l2mZSldjmCH90skz+NY
7DvS7eY4970x84G4eeAdCzHbBySZKYplHKqCQbKWy/JARuQltwUx+bscOx18VOjAHB/Q0RRrY/bM
wDu2ODrGTZ6WYD4GRmBIkRqfPeAgIU6cUd43ucKT+ULhlK7+ocH/diGBW+n1O29F/x//dgaDdJLM
WVESTsjF1ci4AhppG3cq0y7BrB8IIPfqpLrnwBrY92uvbnyUR4ZD1CAAPCB6p5u1xFYugXyU/aKK
KQRhkfzcpW93ek9wiqvpgSI8kZC9kd8QJI9BcvRwkvWokbzwxtqdaGIgdd+x/XKNePbjtYDiVKk7
5qXoLmjjyq3XwkEJ7/LPFIsTNFnO2gXzMOadm6wF4rg7UIC4ruOcM6xM9hpO72lqbwOOBTycaw/k
ytNdYTmwB/gL0wAfAmlDzNaAu7jmNVTk2oH/w8KbXn8U8obS1phXM+3d1q9qC4PQTpdmuMLMUOY2
x48h+0wCjpE/SPwl6KCe5Qo1Doesgr7t2jTj4A+lERXkioJykUvmZoN39mb0I2+GPPZ1kqEbzZzg
0E8gGAMfHwP47vfUgR5ZAWEaXIrkd9KYWvcZbWcL50w8YyfyeTlIjgDS+q77tznC7MLJyWmLCVH/
U3Qe240jSxD9IpwDb7YESNBLoii7wVHLoGAK3n99X+zem+nWdJNAVWZkxM1+EyF31yPEvn+D8s9b
329m0uWbUrg7S+mDJX0aGXxP1gvoNhPLlGGkhL4+NV36goQj45zaCCeE8M4QW3Vagta5mVAE62In
mkPdN0GR78oyRsL8HLW3Om+uKadsxEkwPy4Sl5jySRLXH7W7UH6M5q/B/dYmobM85TRW+WDviwlh
Qm+A/ZRBVfbHFo916R4xcgSq82PFB5pDxvxhzTi9ZATaYe4z6rDpGRt6V5Hs1PpWo3hb03eCq6V5
K3IwcRPz6OYnWtxTg3xrESfCa0NDtimVXZEihFfM3mEXancUYMx/InA47zTBRxBdhtwFz7ROP8uN
ZmeHoS8e58RAMzP9Buuy2X/UTBhsxToW6knjDxVZN1swdWfI+1cIDBFyr7dvWfYUaVfRIWJ1/1zy
3Yhs0eI9SolmJeNoL+3xKGmyS7V9N8bsEQoJnXfk55QHm1kSJCt13jRnrxn2M2QpjaEttSKzuzK7
FSLdzYyA3FwJx3mEYaLg0OeUf26Kq2u8ihZKX7MrhschOUot3tj1R7u8OMYtt167/B/2BVNctPXU
7T6Bp13j7Jv0UyhLAJugaLCt6ZhyDHtj095wQ4/ZuezCIUKd1Dbj9DIWGHWkCEHr8Hk+eMszN4nf
9NeqBi+meXcjbjdYSo+AETE4HHAr+IPjCy7oZpvwXbQ6NnCABYRpGVhcM5Ik5vcCr82SvmUQOeQr
WYThx6qNJsLNXG6ttCGvrQdrTVEBmTJIXpojh/pPob4O3aO0r0P/MCjfMtsnza/pzX7VPAyOu1WH
z8W8lNXNXW4jc16UYJMBFLq7n37T3fm2O+8RNOmoOJlgYlgcPV2waBpz5ifbOUb0+RavzMlsyPlW
wyPUoaB1QWPNVwoFLT3nTuhquyKv/VRequw42U+DjsVqyWhndn3241QvtXrUR1TCyC+q5lXOn7nS
73T9CeHDZorX1qeiSYMeGFYR/Sj1JVOdTSuObaQ8V82p7D2eNR1qwb4E6eWuTTRXVWvlxOyYlPZf
rS43U9K9LcwPpHEmnboxvYfGmPwhiwJRe8GEKNGmJUfeKUpkWMhPV1e2rbG6MdAcKZhJG4bA0U6l
o/IMpLtoSba6fV8dQVrYalhwCWFJCtkcTsGoBsAaAynQKIf2KCQQAOvRTS+T/dOCLZwdxRcF1spe
p0NsKBF+PH3aTViRhuqA45bq9rlGPQci6SO7+zZe/ILSzU1vpvFqOkhU9o70FQ5+joGkZihsAEgF
z+qKsFNpld8SLz6kyUBI9uQwtCiqIzIsseaHAk4mlw59CCXoipwkvyIKf4DRxrFOoX63Y9AYOezV
6polV1yS+8Eu9no8+aYVGklOqE8wF+Gy7K4tKqvtHXqFGPdblO9q95zw2xv1c82k9vpLTXe1fFKH
NyV/uhdO2JQm055+erEbvHgv4iOpRrTEZ8eBKwNzs/N1rD3N8uHATpwwgirllmDbTroXnQF7PFBP
6xkjbjBr9d4GiOngaObV3pvVhGj0rNi0mFFQquSsqvd+ZQRG0YPd6O9ZeVlUue00Y9fXpJQSe6fq
2675VGpO3NE6WQM/RcHhaEXWiGMDizcmZEZ7w+J3BZ6OpilOmP93Qm/3QqG8yPuvVE6nul2KsFDL
3i9IfkmTJDUaq4WT0EZLyg3joLrjD2i2td2JwlwQTgeaMJJfw20deUGRpAV2p/JjLEydmnQsuaJI
uKWeNVILti9WJPgFnjjUzRxFgdlIqoqk/nZZAuJ703KTUmBpEH+pqV0nuyifsLcp+6Vwz5GT32yJ
fCIJeU8YAia92Kl2Xqy2vNtSKJcZrEWRl7cR5M8hWey9Zzc+eMV9wjsgShm0i/c6zt4Z1dVtOd8S
XFZ2QT60e1AEvtYB1gOmLfxWyy6e5FHBjcigjOHgGE4j2VdypEXnblR5ynMoEjWwWKfQckow79dp
2rD15C7Ku0sDK69p62tS5ntEqEPLe5KU5huZpJuV8+608tFbGYdec2GcTJoeh00b0f3SwseTwQW/
VHRbxhz0lnOXCeekzqeO6wWPlfdrtOWxU0eOmuWzy8abNkA7LLCYLe6/hZgccMidy1to8BfwKlgr
cmMNoSy4ph+67MOSmDcrP+V7iPoee+eC60zf9IPB9O/Qid08HecxD+QSh6OwA7M0v9RUYmVKtp19
MvWGZpOyBZgDQxCqvCZFPfA5YUhypWYRuEMUIPDl+i5XyfGgfC9M6zcTE5o1b9DeF9TwcWJWlsGH
iQgodH/cjAxolOmx1Ik2NJz+TCndT9zuA648bq0Z7DV0zqp6bMjUlOHECJcEoLFRunwjtK0+SL/m
RAYgs5zj9hM/ozpf8aNY7pdV+CL+a+ujHF+TjvP02loXkCaluIzLAVtmnd0rJM459AYU4bYOcxQm
7BVN/5B371G7y7p10LRDBeuKo8ipz28Fx1d864e9Hr3CPy7lgx1d1B+JT21+GnXAjJvR3ifuuW1P
AgMNVIM2JawfcL601pMLkYY/mjtvKHliJiuYTpf5jC+Eyd5iHxEXIrmL8yeQBSMY0OwwDzd1/FfX
1xh2SrWjKfS+cyVI8PXbUAqS5afScBBnt8F44pFlbKrrdwc2AKVQxpvZlYGuBdUn/wiiSk/YnM47
/ZzGl8I4qiIcwWrTAYPhxunGQ02hf2+8g46U1gcG1WvzpgzPRv9lyO9eXJeSH0Cj022XNACSGcx/
o3XXvJdlCBebApXzvtdRow42rifP+9PNfVnuC+OZFl1KmqiddKxtx/UQf7T6tWI/W4uI9lF4uHxV
xddNTDWHIvqCh6mnP8Q7cvN5foryaKsmmEXHRwWrYo7a+WWAF4cewR9pUJeNhcXTIu6fTH9uMmNH
xhQw+Z5hbRK8dYZxM2lttVpn2KlRPW51g6t6mwI3NvHNzQVY5m9T8tLkF806kjeN0qB9xYzlTTgL
vkqYSR0slQ5ANWjA65zuF+Vg5fxe+quJG3iTYvAfupPXa/4c77Dr0pOCXYuxfRQ/tFCjWgVas8+V
nRi2av0GUwigiUA3GGnMyoAxg5p9Oo7vddcRau0gP1Nj9Sg/ufFeUy/w1rPqRySgl6Z96/7w19LT
JyUNqvxglwev/jTaa69e1Tawcv5T6batHp3qAtk90O1PVBq3eydwUeITg8xqXRouVGYGpPYERwFU
Du4InAfD4mLJO1spNAT67we7eOLCYB6DUddwHVjcl4gC/Jcxxslg5NoXWxcU76J6CM73WjA4pa5w
l4Mpj33Kkal/okOALFmcPTaSZb2lqydLCzSdscG+ho+AHAy5RTolrMSX1v4w0A0a6zjF27HHLHNL
YR40GHWaTUxXMp51+R5z9M3u0WXwPJ4W9XOx7kv3kOLiQJTL9p0Mc6yZCbP3Lr/k3nMOjbihmuP/
o5Gk+iVLEWKaAKATQ66433stah98JntvmTvGsWp+1rIjVY4TnSWGvDI9Rygz7qbQAjGFRfRXMRut
MLtjRfXs78HFCU6LHn2UswyBRPld7gPiIJkYpN17WX2k2OmW6KwN/4AkY7M5ZziarOFDatu82jmk
5NajxvPt+W+Jd6K4FN1mNH5S2pSpOpSqG+TN1nB3xGeipNsgfvp6/aTOz2Lm0U6gjqP46tkvr/3U
EIL4MSnMRXOfcId2+YDr/5QhLycfCZQx5IE2/6ydLTPJYm1Wt9ZZLRDsXku3Io9A7AhdJ/MIUe8V
vdjoOLNljRpYhfZEmGBvRnsMHVqxBZCFlHltknfgsc4n4Ju0u/WwvTJ701SnxA7x3mZcHmXznBnb
lBGts3HkBXtbOW5XoyBYeAM3zLVqL6S6oK/rNCP7bvzreWrqy0DzmZEldFtnC4N+bhVumxJieBk0
8czYfq93VCaXtkI8yyFufJq5FSC/WDal4sw5xXvJlfDmpUdmLdZwlibvpQ1T45Fe2CSkuoQu1pER
a5p1KC0+Ee0iIGwjpNJJO9aboD6aq72VYjXG4zx2j9n8L8JW1IL9zPp+N07w12v4SHIAgltiQAS5
4o5BLa2nxh3fFgSyKs25B0jW4iMaOoTrgRloYREOVhzMzMbWjcwHu1tD7Zaxd/P66KQ56XhIxxMQ
9KY4EvlhAgtK16nHU25VF0+KwOpPBFLG6idllox5AQLSFtcKZqI7+bV9i/pvMooH3b8x6n1uK4fM
cwADL5Kkf78TcXRvcU7pGrY9LnIY78yemr0k9KvmBmPsFQtsY51Vke9hRvfgChr7lX0cv5HUN+l8
FhaZnATEwMhEQHvOU7FdSFwzu0XNTcegy7kfe6IB3lFH2K8sBIjY3nVWwWTkzXGjIOH8yzi9XTu7
OM54ZPC4KwotLLL+NqcfkfqO4esBbDoQboFtuqJkaaGbqRcb0VrLD8Y4YkhAey9vatQGmctMLPKr
aPSpZfHJv6tRGC9HReUc1ifmC9fYBvVkuNu4ZXwCRjLyF+OXNjBr5Snh/JS857aVB7H6qcqfRXW3
FuLijA93Uu5jMm6Sfgmlu5wa3qYeXLJMs1BVyLTY6T8hs9CsTrH6vVA8eo7NfQMXBgqYvdKkVAu7
pYOH9ThqHH06vALnd0irFzeXuzSzDhQ+Wx1WlzF+6I22XZDNlBELI3PQjJ4nkb6JygRxcV+ZWHpU
pkq5kTxb6fhNVnW/gFvxVGRHr84DaJsjHUdHD4ORy9Nvlene3Kl6a932OAG/KXr10sZLMDgE9Ivz
2OLNg7BUY+zxyD5kY2ixd4Ik8m6upD9BJqoJjqoEQFoj+52YIaUdxemohiW9qaLdrCrfJdG5rp+S
6iY1/PRzyWineBCiB7gnIER8Cbf3l+TTbO1zVowA2DmsWWRQFzMhhuUg6Ua8nm7JG7ZRthat6t6o
Ft+NvHDCU5FlxikfGxqfnMSuds4ADyVqvAaeyfBZ27JeAyJi22EM9KYqKFSDjFux9kc3Y6Azy7X0
nxT91oBgocjuIbNeW4EntFXPyRIdhrK7W9b7PJDgjJdfVoywcUJBXiN+QKS0y6JNq0GNG5ngdtNT
WZcsN+l9V/ZISjC3rNfJIRAhNP2fwI7OvpJ91sA+LJhdIUAWBCaYVnfePXL82LkXfJs45kNWJJ1y
UTzZWcuNh6cJyI+Wi2Ci0NHHj7HfzuphqaptXoeuywzB8XazG/tKRO1Vcc+n1xl8lyIdQEPVPh4x
9xkvZnOarf3EUWbS7WUmSoHKYGJKEc6YrWRMN0Z8WjHTICK+baruVZXZKVJN5b6bdfQoZL4nH48x
F6lV63Zmz7zHHq7RaoIHrOB5zDeJWg2x+mqVtu+iFmXRl1LfyvzV6ZudHoEk11ig0PJMV81Wt9go
QR8mTOOjKJxn3WOaNXJ+xc6XndBFl9TwsYmamIUjh26GaV4MK4cuDjM1CXNFXEyDIUhKW5zV4rVS
zePagNr5xdDvxDB57LvQ1BmVRcRJ549k6YIE9dZEUhoS3PfnYkwP/QBgYCUS1FG3N/DXO8KeNlYy
bu0S6S+rgoHylEUC4aK/uAn/zrase1ZR5qMngBo+wLvZ4w1HwkCkLkk0zLXxOJbGu2oiMWC7Cadu
2OeCM4NIA5uM/Kb+1GdxrDjuHGoDBHpq03jvCDWYCuserygeEJ4iTXZuApZKa/lCxz3haWpd7wJo
17dG/EOYOtKxmfl3MxOL7GD3GiT1YS9zFa2buZxtozB0IBdZByQ7VAPxsWQO/jTnWbOdva1wOrNq
hV8wgNhC0Jt6suUaSP3qabQiPDgK7mb+BFFGtyU+zFx9j8foBcqMnzTJwdPix8Wli19q1syY7UNr
9eecwYTL2Cuu5aWp7LPGwdKy36KwsETyrc4ivihqehjRhOxouWhG9yxQE8nphDrgGDUSoS60h76M
wrZnUNrqhzQegcSJ01Ax02T9j9YmH7mbUgF9R5DERgHX2G4uSdFcI6dZvbp31eUFS/vNGFMG9B8e
USTMfntLY7DnxruKodwknY1lsmWpf0xJPJZyvsxpc7Rt8ZIUyblhS4TWjiGKGWOnfMWlBrFCYiVb
zpK7Uvb7puMaTG7GXAPBgUFKot2aw4UB7tzwfo3d1iWoFY1z6Awi4OZ6tIooNLvubJFbm4qPeBHI
8ZKSRR5U1rHo7KQZGHgUTGLsdL7yy8+dmd01V7/2oFNLz+KcV3eamLbtolCwZ8iX8dEprk2fboQd
7YoKquvS0ieaGD/NkalBl6QHM3P+wfy5jCOVYzl0d1Prw6VWbmaNUjJa7btucXDMBVsRLJOErp7z
v1C4sB9UrDBo5+G76uohUMyKWtgo/vpsgOmds1eKsTMil1vh1sHI7BRm8muUQ3VEJtSORIiVZzWb
tafWWa8wC3kfztHFMZDDSjymunMxFGXZKgNzTCWZvwoDhwwteWV8t+oaNFWt1zzLHxKV/TidB1pd
Vxghjj3tXUlgMldqz68Kg8hw33y4truSPwcEP8oJr/r2yhlX68DimnxR/5xIUX1SLATPZkZXykT/
r4jMOXaMg/JyYKHEgPpqL1hewHe7K/zMZW4V/bOm+rt17b2RKo85tVEj+iO2UXsTt+5bmmZXxDpf
dESIneQjzrVQMAJvbeXukv1mp4qWbbsxvc1Vy4CHcKTT5ufRCJ3oteuqbVT8GDXT+zZQScIbcRwM
SgPw2OO5g/iAGcCqKRzm9DI6CxkE8bk+vvMElqm01xxCUJMLnlLMM4W3lenvMOmBnBp2H931qn7U
sv6prb+Ec8+0iT4CdwMxRcdOnhd+fzVg/XePVn2cU8QV+0/T9yq+V0/sTetTggoayv6uY9zVrHur
zZStWzH9JQsHMHHcrgr1dOBdnUTt9y2V37JAgaH6fMySZt8Ww3YiRk1lN//ha0ds+WJDyLPULqZ5
lCruTWq0EnvmYnSnZWAUnKdbKK9P0nv2PHK+yTYmoTK7DvbJt7rBfdy8lM0Ty7hYVaUIllOQUVjy
U64TTAWXU6l+MkMKKPzFVIfdCl0s8KbhvPbkl1E969Y33FbMGSZTw/o2aKCMHfPS2aQhuvZtmk45
LafV5aGpFTs2gvmK9RAlHI/8tTT1Q2PEOLUNw0kMDRD9t5FnHVfjjbXKFk12IR9FBuhtVhM0KWy0
eGr6UvhQMY6jg8LpMU5kMFNofHeR5S/Ts03phIOZAB5DSOZ0YWu/4zkNpoHHfP504t0M/tb+cuuT
pad+1igb1gxgLnkFrMgo46AtFFQ0uVFUBqJzXj3uv2pIzjNiZe8gbAiTf865NthETBsDX+JzPC4B
+st+KpiiRNG9l9gIOKxlrkCVKCjaFZyhMQTe4rwk9jEh89IMmKI4vuZFeZD0BRrJ6+GkUAQL/TlX
3iPzbVgDP0/JoiPyInAkfi6JPQMn78ner6e1RkVmIPZ19dc8Fu8NfgcNq4nafGSl+ECjPsWsqlkJ
OKtVFU9Tbz9P1rjtyEsBFfrqsulv8jqCX8aB3mjLD3mMMFPv5NyghlXR2zzY/zIu+k1vdH8jTZmT
q1yHhZFt1QbTuW2Mb0LnO712vc7qFYuEMc4mIEYXj/ZN9PJBx+fcNMqxcrsqUAjB4t/YKAKDPYk6
UsKb1UNayDOkyUtXms8KWsPkrVAZ1uEN9aUryqsc2nO6LmKiYp+VDwXEcJ0xoXsc1d+co3kYfjMy
6JKdRoj3vXOxMuupYwNZqyvo/eibG2EmdErZpQVJq7UCqehbxzQ0jpRztsgZKTfybiApFi6J8GE6
qGSBePUCaqydQ+UyUM/3yDcpKuVcTkeYDzsv1rldcfyURDv5OcmjY00PRdc8r2u1tDHC8Uhna8NI
6CG31Zp1bkrUcSqkGRUBNJXZ9Ec8R8d48DBNFbu6w33AC5qM6ckw1XdYSO8xY+qBQIUuqi2bC061
m4Qjbn9HAGxJ4zCisq1L+0nBtVWmgrdmP9K5lFINY6keVHSDktWGfpWNAI9i5FrlTlz5fbLRKvWF
cRYOWc4Wa3kvnfSt9OqnqOGvVNv9a+1whTA8EAzZ3DtW2WuVrJ2H0Ue7yKrTsKUFXTvIK8xSkude
9j0t8r2PdCqz5T55mQ9PZAz6Niv9OeuNC2wO9TrK5mZ37uuiGNfRqeN9D1lo22Yj23SK1Wizc4vi
Ny5aVOUFKVGhxs1hkqtiZIgAauhBY2lEqNWIRsZU/ct6r9sMDb25tmQ31Zve5GjeJnvFDzRGqED+
7GW2NRR9ulaTfIw68q3C8F57TfUencJ+MTP5naWoHQBGWobFTPANFrP42vhSImhzvGkTORdk9f5f
mk3XriUT1uXOHkskQWJxjEyieNjuAUgzz0/I1L1gXT1rDJs6Fb3e5ImfTyV/GdzashluJpu0YmZj
CKmqlfgaY4u225PyhjWzcLgpOSJC6Xt9+dF2xTXOv0Z0025OjxObnibtSaYsRJFjFCYuGQSGIbXC
bjfK+H0ySbxMVtiYaIFuJsk5wOFgu9WMpVvFAu0xc/NYHFdV2ZbtaqFWeae2UW8FElglxvfIK3at
95UN4MWijlRreWgKJulIToY+8SPWLX3oVRM4qTH6W5r5O1HDeZGXFVU/0KIZNQtdHmaeOxKFBVG1
DpFK3uUA9lXB5dOAjh7aH2zIdc6JLLNgdJpdUphMRvDwKuODJsn1i0g5u6Z3Xlp4ixpuvpzCP90N
afSatcke5ro/kpZweEi6YqVeuPQy6kmQ4i2wEsyuS6CKRVHABpKkpP2PT4P6sDLOR4jWCLAt38ZK
/7KZDeEynLg/pGi2PeexjAUjC9KYSDySvRwWE394czzYDOMBTbXGXZYok9pvqeYBw/LQlN+11Ydl
1H023jsUhV3fXXKmPdM6foleFxtiAjolG9OwysZ+h9JpGU9VGh9hvK8rC8hJi4fM6XcDijZIVkpJ
DH6Wemi59/qEekN0FFnfEscGjnj20wFITvi2K/WCfF8P0X5YKcYEQnX4lCCP0IK5OSrPV4xdgr8n
5SHTNOtxZMykKdi8+eirKToUUj0iC9xc1X1oMgzyBLOyasbZZx0yjHcVjJ6FIrvDyNpCbiYq/sBA
E1MkfzLRPVjqRWdOs0Ter4cqWhi8mbysqaKEXZc+piSWs/J95OKd9JPJxRCrTLQN/TQnE5FbOLc1
AjCrtGZ5j6ubwuYPMXWbmr0LKnYkt3eOQncDl/1wFlIek4A8nk8TelAKO3maId+4JsUNsloOAs+S
oUd5TzV8Hnr35HR/2vQr6F3KkbsUcjhWeslqQlfE3NlMHorB75T0rBpMj9lIFDfakRjQm55Q4JkO
9Qr9yLrBSPduTcK8I3aIINcMa9xlUokVKoepqQ9AOFvxGcEgK83hueXxU7v2OWZjQc2vt/VrCUMp
ypmHt8ObWH8c6b2U+IgjrSBd6Ddi7WHy1Ie4wOfZV34WwQ3zuu3gMWlgYSOrKvYa3DAXp0hcRIFB
KJl9aBvWUe0qJdtH5BBspHhPG7dDjxbJfBOu9W7G42BG43PjenAa2KpSvznxF7QfZhOvGen1juWb
GQNnjFMNH6a+tl7E0GDcUt/Gvgtcrx35poBeWK6+dVDCGz4W8k88WQuBg2jHxJePl7pc3Fq9pgpH
eRCz34F5aOtdNMB/UX8nDAiaom01p6LmA5+KHqFjt1hGnSOACSOzjiW5OQwz6ubqKSwyqOcwX8bj
SAAHahTibMNg4kyU8V/ctOe4HEi8GICU8kPtinfSebGv4wJeXNDzesIIb0SSt2ggwKi/5pSzlsoS
WtvaxAu+tlbzDVw6AmVjgsuwZEC2TQI7sfunmOov+4GvtqXfWfh1VcfklrvRC6s2fQN/taOTqje1
FyUpPthFGXQN6zBm86Aq3xUJWjI69B7MFxtzOltYQsDjwu5MWNLQ4wxP510tUCFiBN80tZ4WSCsk
2DsacwoWwgiAe6C1xuZ0sxHoBUN3OWSHUV1d5vYln1fwmVffE4PPxiLHy9wxyuxtyqbFbFYv1pp6
hSAFjxufoPsm+4nQ4WdX4M5SnK0Y9uxW5Rz8693nZrwzu8UZ15ILwqYMESfRziiC8ep6QEWtkiAq
96P+uPpnWxyLaU8O+MMrS3+SDQ07YvmD6nnI8QJdjnWTgsuYRiLX2FHA7j0+juGfCcnbTcCTYr7R
PjRXwfdDf4kFTvQ7UgvYHs8sdmDm+gm6Iqh1XMVltktlchkhBEzpaznUWA+opV1W9QhkIPzGJo+o
B6b9RbhPTs9hiJ0QM0297rlE52W1ysbFhMNapT3m4AptM3G5Qk4qMASOFwoJtnhtbZORqP2W51+t
fTX5BnFFxd0t4iWsIWRQlszfYmTJxbr+Q30hMHtb6u8CF7rFnllbIYSbhTPgrhqT8qAtocJb4u4y
eUtc3k1sR6orWPqSPOryCyHFyA9qTEVd5ieF1mwGoizcGcfdUSenqv4m7FrgwzFW3kPG84m8tBiM
ix15GkfFpwHdmtrdiiKWnt46ey+i32L4IL2y0NJr5pWDhiWfKYMg4P3yQ3NQLVhS1t3t5rUGJZbc
rPFG9GJob6we6hSSu80LGSvP5MrG98BNN9CNyj+WoDDFTty9U+DIQYNCip6ruxSvKQEddFWclpT+
Xws84nnfO2f0papItxCuVvKRtlxU3YS+/gIHL94MOZ7rIaKTQOTm0FG5yUgJVNjxmvbBNS1fZf2r
aZG6j+92/qzENz26JqvN459FCF6+WBxagx0HTv9iOIHB9zPTgRKV9iV9Q2ayFgjgPXWIoW5rTKKe
fZckRE0MrMyYgkl5JPOyzyiLtDkNG37a3OGl+OC43MvsPW6YEAJBqIY3yjk7JaRAWLe/2pVvMAhp
+1s2fZrzdzQfBgML935OXjyBs7jbSczFcr6taSuhHNLokhPkHy8ZZ+C0lwtx9Q1LC4BILd7dFLcs
ORnjF4AMY74Z3lvJC1mdXQ5fqdxywJnqg4v25oEyTw4qtoyYoSYYqzwYF6SEifam+kx672xj90vx
uxnIG64SqviyyfUzHDp1VPhJurPtp7rEmcpVtjB4b1eDlbIpcFFaNNjzobZC9qhtcmbnM8VveVVn
oEdgbGzcgK+dp2FGJE63QLWrbk78S8ypweBMZ6dhSePYUumaCbPyFB2V9QjHDdk9a8MtItdKpghO
Gpo78J4DMxsAOWMgsjdWeuCZcZZvc7zUJitFrUCvUFsM1h3tolRlOTiCD5oOC41WbzxIpxnTqgOw
Vt33tNfuaB7meW/pr5Z2nqvnPL+aZAFTSTuwm+UvhnsveZXjY9VcY9cFFHI0ZkpdSnxwi8utdz8n
0NoORYp+YP1yYZQ7ZTqWGN68d2deEacg0QYGHdu5/+mHPxxfO9ZZH1wcdWwapRZx8EeuZod8o+vp
s9Gy9r1uX4bG3NrCOU8pqJfROK6WEZ6HUi7vjW09FGAumDy/NYbFYhX9c0X7m0p2mt2V3NI9TgnA
oojX5yb5wmyMEjp5dthkmPkZ+BL78hVF4a0/10YczAnH+PssSL70lIBPC9JgjDmu6Z5y1LcF0p/k
tSuz01KsdcqT4Y3ERx+n7K5QOa8LeDQafCFTXtGNsbyYKH6DgO2qbWOWoCXxWWEqVCzvXfVv0AgS
pc8lGcas+RDDV6scEuZhVs3wz1pRMw/L8K64RCA0kBLVRacWA5qKp3naqk4btOV5KH8KDD7eYgeN
ePPymtb+bVg2s15dy4Ln0SJ37T4S/HGYRKsZLIdzweUsFvaQsDCD72u2X2VxmAQBaHlIp3tnvNu9
8pSyl0TibujNz2Lhdud1y/SYlVcIXhnsqKOBgGX+2uOHwb4m1DG4VRnW7HPRfcUxHy55rWRoL7oN
/ky5EDqNx73R2EwcocM+JrGGews12H0QGFgzj53Q5Xusc50kOm0A7RX7LxwVBcLqnmuz2poMeXU2
ZXVYI5L5ZKyacs6F/r0u9igwdImK9Uzs/Yo+XPezScMkezbAOJdozqp1q3H6snU6QC4L4gw3C0qH
ciKQTaNJf4ZjyfFejDnzS4Pt0mPIgvFNTVljAms3a0m+gnXBLh96TBiDz7IsPX82nwzMLpLoELD6
o55hTySU4OS/jawOoo7OMNOPmX5VlD/VuLYMFG26E63coWw4Ucw/8cgpHdmfHI4rahl9Q50HPIWc
9nOoLm+1t4uqeNs4j1OHJ6bbudMhN3AzpTutyXDwv8Te+9jWgaw4w/mbsgrR16chTG1vJ1YEXoE/
Vu8+UuM/YWfWG7fRbdFfRIBFFlnkq3qe1S3JkvxCaLA4zzN//V30fUmUD3aAJEDkqAeSVafO2Xtt
RWo0q2HfL2x9oD9K0QJfoWYlrRBCJ3a6tMNL4bSHjuodQNVmiqhdJIGjRc4kDRoHNdaQB3eieABn
dfCbjUkIORwA23HxfuPAolvlJiM0LnMH/ukwwOfTgmbFbIW1dpZxo5bAJ0oXLb4n/mlBGr0QgCxc
GkDOIsDa5GpXH3ulZZSngf5R0V4LkHw0F03NWuSWvYJ2mRGKFKFfK0J3FePg0pjkliiP++nAlGDZ
OtVmLntSZqMTS7ZE+S8YktizdYakGuuLog9aVIlHcw6QJtuCoKAo2o8la7gRHIM2WZtC2zumvZJk
xMkZLlWKJWbqLWZX5nkT6G0UYTEK+dZY15V2AgdFjDVLcestPTJMK3SaxBEJEaLhRcjU6ke9ecno
FOjRUyh2WoKigUx6h2ZKbb33WO9kXRIPesoVX5iJDxqCFdNuMUWrHNtmz2/qVbRhqntoS/bz0fgs
y/4CURsdIaVyOFzT0YESgyUNnP/BT7SVMotFDc/Q7y8Jt5b0tR2V0T6EX8JytfWEs5feEaDudvR3
mGmZCAhAjc1CauPV6PV1k7mLigtXppzSdD/OV56tNrZHPee+G/Hwa4roY6HISXKme6GpwDhN6IPC
zNNuQFYZqJi2gbTX8yjlfLIG+4yhg0+89kFrQ8zqxajt3divXhNOfocqd7xzR2b9rY3ziMQE6f2A
9da963mpYJ3qKmAAwFNc6JFYSFCHl3QKEyouyYVxCYdkLcyZpCQj3YAxsMB9ZsW6SsZPwcr5mHXY
/ht9OkEy+nTUBGfVkbsu5k7XOuIRo2Ce1xOnHt8JTSOSKNRc+4xtDF2cFUoGvhr+LQprioq0Gi2k
tqh1mgnFeRRWPeLkznt0Mj3dNO2M1cqiiFWir/KTEmbImC3wFi3hmAj5vXA/NiVcfUC/G1tnF3Vx
MKzNNATAF83oZyOrq3VhGP5Fp/V654Wl5s0OdHcZKF9uJB7EV/ImMwQog0UPZojKW6g567xMzoUo
wYHDGcGiWhb3AMsPgqgiN0BL5NsYMuIvFbGsrWunsRdFanTvTtoAatVMfzw7RdFZCAOSemuGzLWQ
V+OwLvzRB3zDgQEu6ITawCIwG6G+6W/RIaTgpJp6vA3uOGywNqa3sm7bQ45t9qKlYp6xFWz5UV3q
Z2onjBOAQ1Zak03IYfJgX5VJeBL2CIQB33C2NgK+qyxy/CW8o+KhzEyukVWhEc4868onhuUXw4vC
FubOA9ZO9vfeMMybYY6KEhcHiUtjlzO2jNrJ/qCjqro75UgbBxAgaUmXIEYtQU8WRWTVDOE+0nQA
sbmf+4+RRfOV24Ip4//D0AqT02bpFM+4VoKlTFtvMzg589bQ1c++JD5hGmV6C7TGYZRRFy5Lf2ed
zEDToEGCZiZmK2IrbL0Grmrj1g34GgfeP0LZQD0XNBbdu9pJox2XwX/UvcIhrVIl+CuUQw3v6rVq
1qPuat3Kd1N6ooCS7aMMDLxLXRZvKuJ17kmSz/6SjWP8J65FEsfgCvoQytD561scgxR4+eKJfA45
eC+Z4saso/pzbNudT2Szm1RrZaJZwVJZN+k6rQOYPVifUJMArT0page9po4m97gZigfYmT8G5G5/
SY34T7qF1BF3zfEWtiFN49t7TDNvUnkHM99r6EZ4vYvBjFWK5GoElDBs/pKm8Z/IEkvH/Wm6pk6U
uDDFtxgqb0r9yWEFWqKkCq4J6/Au0+fhNcKO9Z8/mZDfP9r8WqYQQle2aQrrW2RJpo8qxXhJum3Y
zg4e/NXrfMIOkAG75kGEnEWWYbxOjTlVOOtwtFka+TNBmK6kmnvOeessbJH7f/kS5JxR8q8Mk9/v
TLncGDT2yfHm5/+IFDEnx+lV4nIurDilU0c2NbsuSU42hWNbZbsw6ZyjXziIQiZctFNNUl8hE+ee
HK0G33Bj/cw1K33uRJge7DIUb4UaOo40EShtE1W47tTpKiqm9DUXNSSimS6Cnk9ZRscMwOgJidJn
chJZQmYJXAAaziDmdkGwzcaq3jcj199qEdjRJDMeE50WbIugI5UxRlsbCaRjM4bsmaze64YLJ0mz
vGgLtpIyIgmHraI5tc6NpPpFmiFDbwYPiDf+fIX/EwXDrqXbjqLEsQ1e5du9K9Bg6I0ifivNIWIy
agfx09zixMfxihboLxllwvjvVfvXy80//+dVmz9NHNKTBovvwLTKemh3rOvYyJhvl1eWeizs/S2G
GWGaDtuQlGi9M0Yvf/7cyPj+/VYgBenSUNY8XeJBUsa3GyiHMtmWre4tWw0R4cTJl856OyN/tXY3
5uEWLD0q3esgLtjlNmPDcJh6DtYMUVy4tT6iIAHGjMsuo1JtTjGtZpPpmtDewVCjTNo51UWnyRnj
VisCd9Xm06Jglo9JrE/oQp0jj6gzsoYFn9NEWOqitid76M1qqx/mSF4lx0Pw92w8X5Z6EuOxkqc+
+gUeZuXUSCu8nrEN7SQNBtNhsobhrugb0jFA+wRsy1GNRBeCQnYooTwHwdoZYT8/m9RiFbYJDW9q
aN6beC2wPSgKixwzRtWRtRzfPKNjY2yBI/CfOagvGvxIZGdAqOJ9kpqVcaDOnJXjbmYHMy0cwTTU
H4+E+hBeUmjaQSHPSOv4KOFv5hP7bEc+XvgrRmnDJlXOqbv72Fn7oOXjq66dhuA5hA8+WdSmc0lP
oyBh6joWlwQcTlsdKuq7gD6fMt2NcpkEiY9Be5lhE2Rc0PXXHilclrL5UAgMaMSvEozVLcfc2eoa
Gt0mSBAsI3nssHjS5yNp9HOqjRswxPvR5dhWYcjst15rLwg5wGMdHFJ6r5SwS/hFvwcbWf2kxM+y
+Sw6e93Z3C/GQ0ZXGuQBftenmvpnyi1Co19Mbh5BwsiI7cJCEu8YV9sJV2n9gKN0EdTn3H1y3HVS
3kfiM3AnlCwnB/FusG8ZqTVIXQym953Xn+rxXKsvDS6ZqSPF3oZIf/VypdyfY/aVGiNtWLn0Oa5o
joDgYyMpDFYpLHePPR1SiFvSysh8PD5vpik3HY4x7PjLbg6D4OwKcHNV0hen8eHSPzICKOYmAyIZ
X8caPRhFPyL0aNNR+OVX9DWk8/20IOIgt1oSM3ya3TDVz2o+djiboVtpNjwW0C0wzzhN43VGQ3ke
1Qci9Z5gN/CCnrbVpSBGFYduVaxrGOMEOS6pAGjuopxuN1XypCYExKjUVVgyMaMuc32iqkhlbSdo
OuNXNqCPLLJLK1/G6kGbzEU/WCuhRydbdvtavVo+RpJs2/mzopBkXQbPSPfy4rklvrdhzmIXYuGP
ZKyRWEukWofig+GvUTSLWiWnNjQ2TO7WtObnc9Jfll0pvu1fv5cfkzgVF+CMdNzvy080GIGUyKiQ
NeW4z/JFJRCyX8uR2lcAXMvoP/Q83MNL0rp0KO7ReN0NuBAgUyzsSltH0CUQVKZBs8hquplNHF31
XFxlYdYrFHgHpwLT2Tq/tUrewmzI/DY+W/wJYZrTWDnbBttz9GiE7xEnaQ/Q76D2pBYv++FqtfVd
VOuofDhfz1CMH+WYkdtaQFYhkVgHvaUkh1tSU+gk06g3G/7/kIfVr/SrIettNPKHk6LYNBygrDll
3SQdyHzqyn4dYw/1jZVN+wGOD0NPhC7gD9774FctQOeZz5KEiOrR1159GtIJq5Szaf2HHPVupi5u
TVbSKWTameNlZpjtMS4kJQBAECQVmrnafOfPigN32A31F4TDbR3gbyuno7LKx9ThbY/VR5VGpzSj
1wvUVvYVmlTmWqaqX+mkAYl5kxYixNw6DHVwjE0W/5y8gzzg7lEPMQSmZExuepzedUTy1gPEE1+s
wsFAvYm3rOEEHeev8Sytddu9lzcczVuIgphvQVIbubOZSA2YdVJG4zxVrXjNumTX0FxSZk1KGEe3
jjOFfSvsGo5utDTSZ1U4ZKHQ+s1/jiM4FOfZNj49x+Ne3rmARKOME0S/0fI3q/6RlPWhHXAwUanZ
6NZHMMx2zOyPMc5Yh/eVTtpxV9KgIXwlNAC53NJm2PUSxXOz7kjHAY9bQZE2wTJA9s/YX/LxQKbh
QvgvxBPdwSrdJAJ0mphBw8Qp0V1J4keLg01QMINDs+F01YHERZpwPSytdsP4bNBHtL1bumkOf6CX
M+crWobqokOjatRvppEDyb5pbMCmu9z+1RMPPLHgN89qfBdcXL16ioA2j/2e4PKVK7CCbQImLw4k
/iz9KDpw5xz5J8zy4MBX5fjpUmTkuEXV9KZgRWuEfiV03kbrwvvWrEOKaZoOInZB8obG+OiOH6CN
43FT6Dxj2KQ9ibmQmY2Lw+nBhKdvBldsp4skYmyPZaVPmejjp8qxHSl8A0AP582+Dr5GEmbMniv+
qPT0GDPwX/QknpClXe6hqd6JGqa6eDTlr1A7T85tgiDgzjptOCtMD2n/a/Uhg9Hh7xo6dHG1tMLX
lgQBDLa1AVz7Qg2hD7eQoYEEjll8FfJrtMQlxBfaePalASLga6sBJdGY7CaNHjYVR6F/9BGLdhm/
0ydeChAUbpe9hMCFJ6qhCvAOlaw5zyXKZe7WuBGbxymJCAIIyXO/70rzZdSOsUeGwGMhNpoH07I5
Bup1GFFrVAvbfoM6skhnLHT/QboUGvxyPJR4Md0rnpoyv1Z2As17rfjtE34A5CIjywjwvru2shZ2
VKLHQelMCIbtYd19UcOmTab1KHG6Trcp9wlmSHB+vI6yWjbYEJDyc/ZCE9Z4Cy3HHYWCvh7nkVBN
Z8oqCSsY1ln9oP0aFYp8cylS1L/h+4SOeGDYJZwDT918szThCxOEgJxf9vXyOhbniBoPabBs6AoP
mPufMcZsvWi6au50jBR26GXVZCRMuNzUdN5Ht9qkIE+Cv5Su385//79zOGI+9rgkx5nf0hvHSkNq
Vs6+eDsTB1hVIKQ0osdlFeu7P1fJyvmfL0bbVjiucKUhvxXs2uhEeTwFsKIia0ccyqXvzKM9LGPt
R8HhmsIlMq9Gu4uosTSJPW+gu2cWMJPYKZhYJWjb2YAxupViq3JnV1OZAN/XmpLv/VkzfujGjvyq
xhgXbrWDOrg1sARmFX3bd12QkTq+u/D8UOeILN2AVMCNjs58Rgl5d5XvYv6j98MCr+3NdEfQl2se
B7Qc8NGs7Jxj0GOqWfPvrtt1NOQz6pAm09c+vwlKJaLqd605yzphqE3+cWXSjenvrPqiCbU2w3cP
tegsJ4qNbDGPQNSsT2j1fTLuGkoQA99AZos7S1/PrqJibj/RrZz9D+VMALEA9AdyzedC2zncs+51
yXtFAKM+ZMuucpd5ez/m7HHJ7BK4OuPR7KBmTjR8+UPJ7NdDFBHZisrlIGiPz0TrIdgrtAg9IJ2+
Zso6S9o9vDB3AUJOB4dvCobA24lxg7zWtG506RZyelCczoNsm/qvxeCuSsgU6lLjXw37LxszQk4h
a3o/nbQ4aBHJy4F8iqS65ehwetvctqazH7ITGrLAnM7Y2TjIvkPQANVoMj1xD3oUEStE6BH3RUtr
MTkZ/TofrtqgtkX7w0GW6lsDxqMtfs60dVZKMI9XO5ShFVByp7CAcRBJH1AGThhhlr590CxaUMy6
KfCdaTm6VLdzuTxbveC14/PI26ffOYO25OkeQbkw7USzXhjhNSh/xhRuiTrn2kHE2zb4KZlFqpyE
IecnQOyF1MWuttQtyG7FOCJCyDiXeruivhRF9cQVmRPSE846195tDpTrFd+4A4C5se89FA8wlzJ1
dH8laOjyGD1FsILRhzEMSpDOh6Xjx7bVDrcZ0FY8Cwaik8S/A/rcifFMsWyTvkyt7d4iA73heHEJ
dqgHjZCipwZwG0dycxshuSjKfWGjmutJDvMpKdp8gOajxdadJXBfDlxjOzi0ulg0tb+zoXDbPWoi
E3BAkHzRgwLvdUts/D9UeRUaI1I0pIZkJnk11E5yPuG0xYFcAHrARZuMZHYMPC/RhYYF99tdaj5Q
tOn+lxOvLUpOswM7W9/c6XVCzCDoyGGMdPSlru8yDP6m9WnKTwiDOxtDiSV3OIjumBTdhWiFhJ9T
C3gvbl0vJRHkEXwCeIJ+a53yhhE3YFzSySf7UCeI95EV99UuVNsQ8qNeMywmiYuuIGDQjctITPdY
U567JkB5wxPDaT37BNe3wKFXjSvf2+jomIIItlzOoft+AGNlUQBmxKJJdya9IowoHofyIU26xWC8
tilUuZadSHiXCstHhsHO4m61kI0gIPYRzVnx26TfS2gOnokNpWUfRHi1rvs3Spuuvgig8MwyUoBd
eL/m8J2sflTo/DkY5nh5BXogDbIA4DRw0cq79PVtBlwKjvAmVnFfMsrq1n2LcSG0l7Glb4zivXJi
kDCCeSyKT0LgQFU8BelrHN8bLhSHWFFHNdsAcIFVgTXAt4RuFIyTnuICN48UX33nwGV7VdkHc3lo
XFgeY3QNPtjQEpNkRZObznTVwyU/+EY8oz9RF7zJAqz/cKDhihYnXHQ6UqngyaRMIR8nSLEEbPzm
PDK2zBXqSf1tFO+CYsptT3FI6sJeDNcpw2BicOOKfaIl2yotX23JSGCSu2AYXrzyd5DGUzhU50Q8
ztpNpIcrnKvIDeg7jsyNJPoNxqKGj/XIqNBFfNUGX1JXgrFZF/HZisWdLrhxrZ7Hz1nG0IX4OL5+
Nm3GbdVjgGYcDbRKNll/MMAUhxNm+3WgvY4+Buw8puJOiDf5HKMDqvaQZ85C/bEY/EMJ35hULtrM
QbYBLYrk3Ya5sks1ojLO2vRUoM0I5Q3siwc3oC4njizmLmgRLgA2hyxdlbuKOf9oB6fEYCwfwqYt
yGHzX6Mh2VJ01e0d+DjaRoxAAIeuLcPfl4WxgmI8oUyy5VPBYSnIdg7RMDVnpqw/Tbj9/WSretgL
AhzGGQ8zHUicJiBmyg6mSAtZzwmRoH2kGK5DoBLSYybhcTaLPslOgh5MeatYrNCOclQWPSe1AThl
dPE4dGsMsgz/o+uafVi9RLMhWQUUY49yFhokH05gbCWilQRWWSSoeieYZeh/Yupkeo48sze/3kKa
XuT2h5cWC8u4KgseSl+th5qqT7qbbDRmaRnb0MJ3cYrl7GpIHQVjMQOMrq7WJQxDEk7aW43MUudw
WTS/yvIpwERSBr8M3906U8Vk9FWk5Ec8avoXmObevm/iFyRLfdvCEaEZQX2K7oVwwbzHZUYsKSXr
ovOINd0JuCp+v2eL84LPIV119YOqHwnGRm5wCrleUjevrVsQvvwB6xhyvLHk/siifQgzsqJnkMTP
HZOIAKx+yB1gY8gZCQPJyueuezL5vifTxbeH+xDeqf8lnUPofWF8S5O3AH3uhJS7FWx00ZPPyapB
/84uomgGxAo2TttzyLoSC4bQ8pbn5uOQAPNKoTjNRSasAlrZbL5vAk4Kdecq8e5FhyMXkE9SnGuu
iOHQuPShYs21xjHI6bOEaEpCqEVMkjsz3AGf22IJuNP0ZFfNpnVCOjg8DUjre8T3rlo1A5jIFD8y
Z6FIGnsdHDkZFTX1D6diOYh9EI2LyX50sb7O5jZzpE2IFGhlpWTyaM+p3mLHreZDOjdEv8qLvU3/
LpYB8/ThjoxsmuwY/dBkjre21VdOfGytDzeC08W5H3OfiN8RHdc1Ub75YRofbcr4ujnrSbRu8+bA
QG83Bg6qClybItyVsfbudSFrdf/W592nQcqCgyZBflaoFiagByW3tH9fiVPIhjCMO+bsHECyOyeo
IOkp572PixUdg9X0+efa+vec5h8TjN91vNQtZkaOYHQkzH/3wv3BF0ka4fXHs6yQuMpuXY3YFjxM
SO9VEmor10EMWbVkdxpo247CudJ6Tj/TIhKwKCOgEBpgSDD4TPYC5a3+8gb/V4ecdcwlrl4nCv17
i8oOw9Snb8obTMdshdBULvwmjvlyB7lqRIwheNBdcRGRzgGtdGpzJTDlwc4NkKiUEXjjP7+j/9Uz
k7auWDpdWzAE+/c3Fvpdp+oQRhS+NP0sqBrvdb20f3TdgMCkdyUgtXjsxr98EeY8Cvh2pSyTSTia
C2UYQn07cSVaKGqZEj8zVE71YARQfTtv0I65TYhg41nuxSvdpoJIWfSrUIu1xeRGNqB1z7jG5NoC
bcOZocpGUc+w2Fr5MK61iM6iqzt4repq3HTSLFGRUt4HcYSEVXP6SxYYSLYcWR/qvmOND2LgaY3S
yBKIyF0q5vntvEQY/YSbOpPlzwKFFKHE5a+6tCHiDfNAbhzHlVGkyV+mnt9nOfP9a2ECJJFa8r3Q
w/z31chbjnN0xdylCLwJdACcpyBQ77Zm1Q+RpL4thowzU93ITTRAR4oFgGmUT4y8tK56+vOt4f6v
aySF5TIsNgzl6vNB9h+TJZwdjhX5tbucgLVOnnlnU5WUVKOWRxQ0CG673Fl2/64l5AM71q7yWESH
Zj/504VH8UW04ToOW8jU7bokkwG55JYoePo6VxSHj46eraU3sSO3r9bwIDLM2xGKWGtdG3M2Ed0e
zmlEeC44Ly/boiTa0l+W6GNCY1wzOMbuh3OJ5BEhJhCrGi0V3D+kXrLQw5yq8wfo+2vVPDQAj2J8
KaVRrCyOPnlyVe7S6fNLlzw2DOARhvNE4vARt7K9R/e5171tPaNF6bgG7mXAItAx9aT6jAiziLAD
JfdtdhC5viLRrevvQ6wmQ16sBs1Z2kW7M72DziQ3BM5oq+jU5rvAPmDaYatoc0o3YzHolO0YzoVB
y5kN/OZiYu7M7pgzbf/zlfw2kfx9W/3zQs4//8eFdIBTMAdFUYUdX2I1UMYGDKSNkS7OyEYCK9f/
paHyP5YVSwK0nMeBtsWK/O9XlEMpxy7kFQ1H708ZKIgnq0/6g+mE4IfqgtaaH8vbnz/mfD9+X1NY
9ZVj2xZWzu+L6xhr+ej0ibscRUtUa67aWxRReehR0/6li+P8+aXMbz0cw7EB/tWxu3RBqAmNOF0x
6afJTN4aurZL38KEGUXT258/4P9cH6Tj6GwfyjSRD/z7a9WJp3aY6RK/mBm4fnQwPoDbo9VQZMlK
k4TpyL6MDp0aqBlIyF4O9QDzxHRhHyRd87flyv3vZTYQS9hCuS4TLP7x7f3gSXSdZqaZDuyyoqPW
1Jg+Qr8Bzv6h0NFFbQqoFRtM3jS/6rEi5cA/dom9sjmweZ1cSZ8BV8sZVFW0fTp5JkZhlkqhS2wj
MGNdz3wy80GxNkS2+VigU3hosIQmYBHph8A7NlktDJAP24bd4VkAaf05Mav7sCexIKgRsky+sYN6
6abVutdzcBEYEBlcCcy0mvkI3J4V5Vwxhu1Z/uuWAw7+d1CdO0pqtzeYJGMKtEsysR5jTLzEJ246
QXHHwQfFWVS9YKyC0o9IBsCqnmLoDzCHM2ysQWNmLilvxqmrZtD/sz7XeYa3DUhPHtIXxU4mh5qk
LezCM6jPAtJJNkLBjDj6kIXFeJMKjcRBDdKODU3NHO5DN2CwOa7FfG5w0RVaxDNhQcPICvomgoBH
Q7DuvI0jtXXoaKvW+2XOkamwpNKe13cwmAygk8hY0z2220hbDgwJiuqnDAYWzGAZesNOmw4WQ1uD
MLKuuRhASFY6JB3pKaxIaPkr2sZk+gHORAJu5c7CjQJvXcXlNvI4rpjmygdvMYTpp44zzlBHnYGr
PlU/8kjHdoVMwMHLO/PJcJ4ChglXogfxNTY0t5v0mpXDxRAjlyie+Zgp+mICUh4nJsvhW9a5W7Jn
sGOkx1oP1nlSkjfX8zHVfao7D03SvCXoi8ssXFZdtEL0HLS4hLjGBp7GJm3PenNu+mbn2qxM2rIL
eE6yF6SCS6PFypqS1MRXZTrGOhrFMsEAgpcV2zeMSuJoq63GLRhLLlMB7WvWAYOT+8vTPj/N/17P
5qeLsowtWFnoKv/9dAXg1fXE4+I4kYaEwBgbhJaqXAWxiTNsxIhZhLV8UVoZfiVDED1GUYXbyKiL
eou6ffZ4NKI6/fldfZMvsZfwplzTtpWyJIqp7yv7aPlxIXNt6YdOj1Wj0SDPFv3PP7+KmOvO/3z2
f7zMvAD/Y8vCVDdRGBZcGBvlP0TaDElJpaVtvBmkCG6VbudXNZre0dY1B2IVkxo9Tfx3V4XGX4RR
/91XDBOlnGW6Sjd0W31bdcfesvK24zoIOCOcKTFckaxV01ZrKv35zx/csL7LsOZvmI3TNQzL4BUt
Nev3/vHRsb+NKaorb6nPqvVwWk/BU1LBkeRppm2oxYy/2p0kDxAHcnnXosEyrFeOOXubRTMdIVd4
uwZcDOkXRgRtEIGpn+7mqFI/G7aFQ7IlnDU7BvkHjSeHmukF2NAmRv0g8PU7J8TVnh+b8D4BhCIw
ihWw8336UCJfBRKAZmgc7Bl1yTAdRM4oH3K8B3XARBNydsl0gCeeBskvoZ362t0QREdnxwX1ArmJ
zkmMjFSXdGQ9+BKY7MxZmY8oh9GzNF6CgCxOYBOu/RXTfmwSbD6d/lR6TJuYVrsJ+6t3yxnW96a5
aPRNWVb7mi5nqQdLO0dbkM9UPdjARy95slGtQG1YKHHwmACOGNA1Nhg/o6MDPjYC8hphKqLX5KOh
MQDxyIHj4MvsqjesIxTZY0lCrYmrJZktzwWU1icOcDqt3oSGdTAKNLUZR2XYJCExhktU7ELfC5yb
QhfrjsEvrCIYxvUiMSm2Mn2V1c7OxAoUYQsogr1uHcP8l0OfOgU+59N3r8CHD8fCfxPJk4A02thv
fdzgXHmGNl72p8QuubQmvWfmKuaTTQZDaffHQdyG5qswn5yopzEbg1kXm4KKzxoXGfoXGX3MOO6Y
6baLv0JlGBkZS9QITUwbC9OcpXlxUnC9pMY45Me16LDMEPcgHhff14hleckYX1va2gQW5g00nRVD
RbnOnGELrgJE99sIssN67wg9HVFZtMY5S9lAdNpyc2d4HfG9luIW+C+he2p0ZEslBk+skLRmwZN+
Tem9yWV1RpiNw0eZXeMqmAPdIHf9NJQJC8IgQXaNdoJ2JVh21E6fSfAr899kzx0Ws39uLGtHv9GO
avYE3NBIFXU+soNmtxneRufJG8jjJOy4w2E5soRjCbR4B/Rgltp4oe0PkJICI/tl4EvyZprne6M/
J/YetXVhX8PuYkEfie0FBgqiK1Fv3qVeyTbwHiIYGT8ECuzsoRavA9tGoECLvJn2k8tsJUXewR40
QbWMGujIxYopnBZBT2SsQvYNPLyDKi46jSroQJA/BLDeTZuvou6Hou/uPCSYdPGgOvSmZXhK659V
8YQJsrL5dThYZjdSbRXkJFHd01d3Umz7pJjkX2O5NawzcWQ6LIJw3A086XX17vWMQiAxfQX+OQ8Y
Y6CEA1gYASXw79Pqh2Yhe4pMeN+4zufWGVdL0mVMXsZJZ/0nwJokvpjhuWMN/Gdu3HWdv+HDi5yt
SQkKwV4RWGQkHhNOehjuMUeLFlknlTyMbNsJvqS+f27znPzVCw7fpd12i7zvVp15qNM1YlB6rx7n
QoCERKwkZ6Mt91N5c3DY9e6poIAoh3Rd4Jq2X/DgZOwHJU9aZu3p4IMcfgxB4HgYGpF5jDKDIvgu
jZ8BOnsjB1TA8GAOzkVIVTXjrjcORnhC2broEo5icNKYuycpqrlqW5rvOcoDT7MXRgGwNYPsY2Ag
m4eUD7W+0q13aZ7V7KmOVszpEwAcjYU6lilLThZTQcNeeyZ51GJvxsVl1T91jJMq+FHTTMXtRt9i
M7ZfMfO6YA5HYWH0UnJqXqN6YgWBku3dxc2Xx33TkkteTD98BISzmz8+Nf7RJLUpwU5oZuR9bciR
0Z2z4nfkGO21N93emYwFqudU4ce6uDJEFMd4Z+zoF9+XzovJNIDi09dIKtdamqXdnYev39QE13IX
CrkP6/sY+2CHVr+t3YOFncAVa2WQ3czjigCkJxFUe+2iL5PM0hLxHR7/YngYhjMsEwB7TA/U0u7u
oUjACWTZhbQMnXQhCCmoc4wdkCwRje6LDmNXiJeNGZespnXTNbtOxytOEtoQSuQEpOKRItneDMxx
kX6IknfElSvcUL8kg7cuuE59f550qNsEbrazYxO7sJyZ4ToJeu57jaOI6pAuNOJJBsWu9iRs46lF
2BRQgSoGOJ564Y43gnGBlmcxyMcKFHjFYCjQMGx13MQ8M5P4Irb0VJkw4gbm3yXPXGGd9AZur4F+
ClO3COKDOWErEZx0SkzPMVmfWG/CKnkUQ7rtrXpPGHXOb6equeMy6B3tbgyBvvGjpi2iUDUZzamd
9T5vYM1x6smMuj2HoT2HgdxJm8gifz/SI8xJDnT5OReStwbJbjm5ir/pfjCl1zZT+q465qZElNbc
1HiCWevN/sscjr71EQ4kj12Fx5lg5yD0sALC6Y2NCdVOssNjXc0rgc0UdSvadT896hwz0BnJdNfX
4UKiPhqaaOVqH1nzIhpwE0C8OCd1FN1R96UPJklbeIjYhRDIJAjW7Hc3Z0x2r82FwUhwFCMnh71y
1D41sWkNXPG3uCYtLMRdfSWve5q2dvEjFheLJ9a0USMetLksKh8H/Vmhqez8szUi3kumi+d/emz2
plWDhEJ659X3psg49PF0gMTS6aiJloQGVgsDyjlLfdzrO3+6+ZJ9DP1y+9zY9cqm2Y8TncGweT+a
41MP3Vv/OfqPNTlFhd3cK4YghTHt/einKIodezqaPwCPrgArSSBmIFi5nAo3bCHjg+HFpy7nPOdl
7a8IPlFTmEuLzMzSBa/VPWrCu29TzjAZgiTI/5hyARe3KG0sSC0RSM9+U+n3IyC8hPE3kBBAlem9
rNFd7iPWjTJETa0BJ8EHi1bGe8OWCOPiiyT5ihmp/dogqnZChnOE0zNKI7bEXfX4X2Nm289ErLLJ
bwJcqyy70n91iytwonVvwOWGKBIwiwkSFg3vrSdXoJawV+tw3/hPSQ6pgmWFw+AuFY8qq+Dz5YsI
+k2VMeCqQOF32rbIcdWyh8U19V/8HKqzxTy5AZdTqG1s7NAset7LIN/N5FTlHIp7NiQxiyNWAVV4
PAscgXxl/8feeS1HjmTZ9lfG6vmixyEcYmy6Hxg6ggwGRVDkC4wqobVD/tX9hvtjs5DVM1XJLMuc
fr8PbW1ZmSRCAO7Hz9l7bf1edpixOYSBTd/i7EL0uYzSJ33cW+HrzDgEWXoYzaUlu51wtqb21COC
Dzln6zR7k4Jy0IIUk68U5paSWhe32h4JcIe03BorrI1EGyGGQok8BcsYtxZgMIeyl9hs9HcdNWo0
rWR68DgnjyPkAEZIGYJCeyDFHdl2QLgDepSxWsYda4p2sty3nsF3hA/JQPExrGjx4suCglWi3+pw
MD4H0XOkfdWYtMbZ4+hd59VJqg+/PkfBqZ2fKPZDvWFChRaBDEIIdG+dt2u8ozmh5sRN6RTLHO2y
C0NRDJdx9JW5TKXviurSHyqeqN3Iwi6JjAcSGFH+oHfW2HbiEHf5zo/9VYdpN2nlC965iyT6MPGL
46o3N76RbwkxgxaNPX4Itub4gar7MKn8Jg4Aoetx/6AXPXJ9RmsonBDCofJhE1wF9RacJDPnCdTY
+1Ru7aTfjYG6NNgrZ5FLg/0zmd1GRnJJLlGdoZFBthG+t+k5S++ZIPrlnNh4igb0+vKB/tshr9KH
hDrDm7FMHZwA+zEY7+LqnNd3obpJki+jUZCoPa1SQdEr/TU62Qn3L3M3+NA0BhiF6uJLNk4bhlwU
0sYKK8pKGfyu4qXM4C+mYlWy4NBHJgoCoDIN+UgrSmSSs9E+ekJbjKweOEMPwBMeR43fWLZAarHH
RWF/qafNIW12ottC+zS9G78npGfa6eTJ16N7tKnORAiqIG2ukzDnrd4OJMtlNMnF8Ja6RyN6USG3
WXtPoB7+g5dOvDRhua5aCAgwQEw7vJ04lakKEZfuofi9le6XnsxeTfBVI0++1SVrwToxTnGJrG9Z
oNM7sgoMzOOatQ51zttgn60lzexTgxLFAZ2OR/QlKe9Nd6GRD2YuAWE5BkJlmFgkSbB4SHDydNvs
RfoaVg+N845/KcK7KReJcfD6I3m+lX8HFiTQ10Oslpl9Gc3k/MuYu7Kctj2yUWypMkX18iTsSwO5
rv+SikOeXGKL4xEKO1IGm8fW3iv1NDm3RAfh75izo1DXm8VzBIhWPLvdualOYLRK53XM79LkWgIz
ZmFjLdQeQPuxc8r2oshOhnVv6+jm9zwamC/QCvjJZm6UTQZe70u32lruTmBlzIZVaj2HPCPiHmN3
D+O1JFjrNnJe63HXILQJvA0hwkCZhblXc3YaIVW0oND6UKeHOOVhJaePxP6k8ilFVlc7NyNCMmPj
01E0CBSf2RqAVrmHylEu++bBrJdVtCuhNZLH3vuPZrvxqyNiFLM/JYhpp1NDMzHD/i8WPcRy+8Mw
n9MU3QIpcICgP7izTZrBJrIBljJF58rIl/BaiKLmmHOHCWtOPWw45F9pJKPmy9y6Bv1a3HNJBIjl
eKGDQ6gQ+RIRW3J/S2bPJDesrJzMQ9iAVy6kdxbY4QqfLh4SNNqTOiLJ89nOZ5cBIr9pS5ZebxEt
9dgaW7pmOVKKHk3f1zAi/P2FvuNFjf7Q9Z5pL6FleVb+PsgoI8GcbRTShnhjtmxKF03yYKur+uSU
VzxIY3nZsJ/Xe83gCsuwoUw5JM2eU7ipEW63Y4HWHmNw1oX27vcrOR39+osYnznjcSxqTXKmD/Zw
h2LAl8cu2Tqov5N9g0xnumkEEoJXlO1s6sOXfrrTzXsz2s8U4fxQpl8mAG+Ykj5a7iRiXeAFATsj
0FTvnqlNR3eHCKDsbpp47+ozqpv9kPgJTndrHy9K+JTMBp/dSNVhSg7+APxXSLumrZ88Bt25SOeB
5cGAf9+lDyTHpCEb8batF6O8I6OjVCiuLqf2oZ5lZ2u3QDn2TVHNNwXArV9OQARw6Zs2KqQnjyQT
/9IiGMhaV7D9lxKbP9G8Yba0koluJomp0G0fecB7FJmkrwf2wm6B1s/OgRtiYQYAb/iAw0tbf3KA
CDDASTaxex9Ud260Rgkh9G05gthZaWh98r0wbgicwNQC1RNGxcYxUEXCIrhoz9bcRl+NEWlPydYg
lEpPsDgQR2/fZD0Js7SSUhDZxsIFzsKqkoKXGBYJ5VpXHpGCgnXrsoNPmztdIcijohvrHbET0j2i
Sh3ZCbPpup5PdsmjC+wO6sYw3Ilpw+GpNBZ9f5HhSKF7H3l8tme/qFZSv/WKJaWZDRwuVTdGvokk
JqLLAHiUts97egDBobHe6S3q3YuGVkV5r8p8iPOF1xwoWgvveSi+EQ2MFHEI6bd8XcR4cLToLnUS
FLMIRDhcugcnPtcdBQlnzGsEFZVFbBAcdo4H3XBgLWesOZeiQrvhnO/aV2V1LvIrM7jW0qOPDc5L
3jE08vCuYiCy5XxYuMjFsdJOFOhh9GH5Gy89xgHN9n2g3UMvUXa81Hv6k8Fl7K5i3Eeqf8Szgclp
yVKPToa0rrZb2+3MCJ8I+DEbbVXJx44T3bgiMAGtTmDx/DMgXUQMBBIgRP2BDh29vqzeZTy+fLVx
+CGqO+YpTfZArIY7zjrShsw7hNkJBNkVTwClRU8/2uZ/3ByV2rvtMmg52W/DHnRyeYF1BUQ0kdSc
IFFtbUoiUajyMPxm28p/lAG30sri9I61Ht25uAz0jQlHhNOyhUbxwiDi9K02j4UYacgvCMurn3vQ
0ReqOWEVJGcVykufHgZ3iyWlpkuJzind981qqB/y9N2DLsChYMDUvg69Pfs4M48FSFx7vLGsewYZ
+fhERam7+HKfUPKRie31W2HuIu88wA80LmX/AofJLnTSZpGYYCZlHlReZclVz9kSdZVt3Nve/ViA
xthjje+0L7p1KaOzVdyxc2TRNuYNsXfUV173ak4QruAvtdtSu26ia1ndVCWaOerK9YB/ilqtXtQU
RU67CNu7CPqJa+9jZErNInOunHpfOleuR/vfOeTZk0zWOjsYAFHak0AG3a0LoLEV11AUKcqsZC/Z
xidkpSipid2jzB68k2W/qZiV++QSRuOiSUQ3ZyGzXA0zIjJ7rb2HHl8kmRTZxudgYT11wx3WTWO4
GVP4a1sXsggaJB2YCUF3+RdXLhtakWrDl29VRy3h0Ny/FXS2qL2H1zS7TMdnPX8po/do/EIljm+u
mG9eXI/7mszFrP3AClVaW1/s9IacIFYnuR7rvVU99uNSGK8ZI5kYy1nzgDUOpVFh72L3gMJ0Ruf5
20nHJEH3clyj9UXSUjNp6zjt2F/8gBS9pTk9Sf3Ohyik87xsI9IYkbqH+quPWc1ekJfAdEgOe2wv
g/aFVAhCDHhFXvnU2IfOvnWQOoZvmDJnnoAJ0WVT60fHWJM479t77AMT1hNtL/nb9jiZS2PYcBSp
X+sQetzGknzASxip0zVoV3DXLV4KcFmiv1PyNnPWML6wtYHjWHvFS4cpwNuNGb3tL6GHEeisnGOt
PxX2ldEcBQ18+NZRcM+tTmi3wSqTYy3L89tMrsUAkXHOD4xKbNfbonow5+hG7gU9+NLM7P1jT98n
LZYqM2lbbAa0hF4Go0+3dh73v90sc1SMRb2pC1Sr5Wbi3kttBJ4L20d5et2Lfc9FnGmfIg7x+mf8
mtlwTry11T0E8pA7r604m8PBKV56lSwDr2cgh7Zt0w3XFiNDEZ0L+yvrAWW72dFWAtIz3rWcrR1x
bduUFk+iq/Zy6Fc+fPCcmplA+OFsaJeGN2cxLLTHoKci2QX6uVGvWXAXUvkTo1Zld0kGhPdBESQw
rCXCD4+kVJOAU+K0pQlIkhuzObL6w6egjeOX54az+Xin2VvEaoG1VaRPFDQg1UXT3wLD8/qDRWjl
9DQB2ymsdWtwdsdZV9rAarZKUk3MMxHuJfweFyYHkW5P37sznosYfD+c/xjF/9qHXpwvq2ZRcSg2
+EYquaNxN1u7GhAUkCxchzwuaL+Hhglp3CGa/UjjWxyLSAwYALfqyp+wHW1Le2eITZzufHUYhvOU
nAACpsDbyvgYlG/WtM3EhKjttR2+6kzGRbUo9cuyuuf8MdHJVGj4scHN3b0dpJPUvTSjQ2YvPWyk
xiYb1jZe2OrKI0+y9DldXxMww77Yy6PC+w+Psrzs0xuMooohNIxbHEeC4teob13MWvG6L3D9LYcE
eMgCK1rSrzU6EGVxraJ9CEeEYSIjVQ0xA/cV55RmE+HLIEMoxDZ+1dkrJicXkYCGu3faY2CyA238
YGujAgN/O5x4Sw6gQDp8dfMUy/coYwtZtmKpdwdXf26Cm757mUZElRz003ZdVDdZti6g0Q3l1xhB
uaNtAqzFPc1lOGfxM+cGDsITZq/w0BQntz0Fwb5AIS84PlvEQy1pwZr5Q0GHddb6OECIYNxbFoky
LObJY8XNj9LWPtQufhdCzDZxt6LFMTXWRQAplxMoFVC2F+UG33dIFmE/Ev0GVQ9y1JdKQo7eZ/W9
x73ouxfzp6WwY6A3pulc6ldt+9gHwx0YfCyV8BLuoTARXo9p6mF2vNPcM++VvWfLnMHLGqMuBPfU
dtyi17T8w2iDuIkvIxA7szlIe6vJjwkXHbd7cBGkewBz+XiwEVVjcMkPzPLrnBX0Fcm1RreXxHnK
VJj76OopeFYeQRkkKfTyxiRGu+gZiyxUcCoBLev4X7cw2KRLDPTWKg7K3OWMHAtuSEKYEBwAi8cw
BCiAMUjiXmGetSDd5+kZOXrSoVa3v0ZFQXnKqWGraZeWVS1yY2+4V7W+lfT8+rXIr2nQlGyULStT
bh7QZ9WN+Ryj9hCI0Xz8HCWb+RnobVZsA1OujYkD83UU3IR0pImCK8JDAslNY5EGS0DL0u13WBwQ
N6CEXhK86TZkj6wHrH1YOUGjdpylypNPDdot43afOiDd8DJYuwpI5mBeBPKuJajVKXEMrGboKX2Y
Pr5LGYX1dEVL90pknNQ/upZ/9+xyjs3VOSc7s8CIWIlD5rNssNkAyQoYiOVBRdugXXrhV6Gf/elo
iaeElGenw/PihssA8VkRhSs9aAGh3rXRnd467JwcWOKPtoJPGRTHtO2OIS2KOnc33BJTQroAvGCn
IsTxyiSCuvrqAGYcz6N5XQe3BVoxfx9XD9zWwn0J2r2cj/DwczkVB6+Kw25gs8K1JZU3nmmNbct/
DJqTMG4H+WQaN60KGIdNkDHjpdawWE7XYFwJ3cujLwE9OF87TBVPuwrAbppXffSkqqsYAbG6S3Rs
Al+Vc6sIqnOZuvQvg/1B4+TbRscYHkw4O42/Cm1iycj8EcV9UF+lzXvlvbBEjGjodT+AZ2gxhD3T
PzInLpivSyAE5j0JC+QzR+NHGb9q+mVcQ3QqOe44wEIkmz5toeuIk3qJ/03/oNCAgrN0jK+xv81J
ZYTtfAGUmJwMCFWrxLrW0UhC9d8O8qPo/Jes8W4c074rxp2ww2NSWJtS7XsDUG/KPiKCBoMP1Uzk
Zd05s3r2tJKv8S3zdXiTZQeEGTHM62j7uCprw8su9TAgN8voKRrteSwLToVRWVFU2kLqgSAdpbLJ
BE/7pDu5WoeHeNS9Yl93nX1oOWegYmDGjML9JCqeaz81uR0torhzBjOSvrq5QIBKd4sDvlNVH4Ti
tHsoYGxiCnEnlHmLrF2Q4aRZ3DtRxxg/GpdDbFrsXYVz6iq1HuzxaJV0SfPrxtiI8KwxoMvzGb29
cL10JTnRO5G9FSmjCfk1Td9Cd2lhFMpijIVgoFNOLBGDNnHXey2tJ4VnN6VRBl9qaTeEm2izuAgr
6+vgHEbWSr32DmbrCs5HMMugh2qtXBHJ0NIkC3SajcygGQzLEYEvoTUp79J1H30AOjL28IK9RVqz
5S5dZZO28XizYBQ4fKPoKtaFKV9VRPkUHB2k+a6ptsp/YNCWL/4PHEo87A4CWV2SNwlbWK66m6l5
8bSt9yvp+I+KQ7SUprB1C+qZZbqfpHZZ102VIypMi3bCr49199QEaYNhII8vo3oiCjLQi21RauYv
gFE/ivwsEwEwUiQh0Gubn6Q4VV/XoRxzvqS+RNwXq9hdx0iNHquAvBWjCOvbsoFn9HMhzPx+vhcA
cVVarkhgHAP1wScVTIvoHFZhCdNcSMY74ByQgjQpoSaaGc3UF0qKn1/RED9qm7imbSLJsT1SRuUn
oQ/rPwJ7dLFLl4Tv3J72Jem4IgTY4LgHWnbQEOQ2ifw3lYZbOx4f7ODGS7vnwKYokpp+NEW1tAJz
7Q8dOpvg3TQkcFFI3zkPR9+qm066t2XU4WTm4baskX46GFmzduDFVq8NM6CkKa4GMqyDNiWz1MHV
ZK0anApeUK5ybaZFZ4tcqrcoZF8P2k1IKJTrkNCVT6xVHdgPxmsaxzUdWLCWafeziLzu+f+6H8g0
pvQI5hLpVhUMsron1bKZZ779mifUPliqJjvaApC3gVYSbjsN0VvIWY5PAnd5yIE03TaD9WBGCEds
4kTTE+zljTHNRHHnlJfqOlNHVss68GHRxDuMB9um63ct08bCsohyGJO1A1xhimGhJQZ7ZXvsjOEO
LvVj00D5nDxsmyMBHpxJ1dQeHDteiSZ5dysETV1H0ZF606YS6THDwlgRU5/IAps5FmFJQQ3hsKk/
fCNdpqw0Bri4juG6751iGNEGaV+OgNTTPEhUP4ZIQSKuk+ohrJxXf+KQmCZLm1PUyIA087elrn2x
9HhLjt19iELKT5jo9GjCe++yrp/89tVhQIYofCOCq0JDmANREWzGhDjExyhmE1xL3NkapNVdy4kN
S034Nc3sAzaQhZ46mz58Ey7ln7clou4ywk1dkhOmFY9TnLxFac2wZlto1aHX33x0UH4jtkYe3WhU
6KXTrWpvp/iu2+ZjJHm7n02O9Ldr0Eb6sJ0QSTamwWDeRib8lIFVN/N2IctzoB77xKHep0lhg6+k
xeO1znPrIAspwWCnDG9yo3xCn3OouMk8tLdJBodSe/r5M/erJ27++z9p3fB1TEGTsbbkOCLRlAmb
aiNnwPfzy+izVPLzamLoOrpwE0X6D1aGDmO9WeL9WTq6bGuMNG6zjOuRQ7QZRRWeKMb0Gv4OEgQ0
az/ac0dPhUH4RMprQK2j6PL8/CX9aK6wTAZNUs6CQonv4/t33saDwoKJlpZ9PYjXaRunz5bEtN2l
mJW7wKFCyCFkHOLYqq/D+bb/+Qsw/uqzx4oERpDl1USk//0ryIPMqNuscxB3uBzsu4GGUGjF9eXY
+/29Dgxmy/neu0ry2cBgzOTexGjXra1rDBiNfmFlzoDEzOvXTaJXV8Voxy/uGPAVjn58bY2i5d5T
yQiceJS49Mayay5kZ7n7EpTi6udv56/ejTQcxxagFXCAfTIyTVoxGUhiwerJoVkVU4e5MGCK/vOr
/IUu1TKl6QqEK5YhXPvTh+a4ZWx4I/BEG64SomjHPA8c9LdeVIDfyEwX6rpKV5Wy4AN5SPGGuG5P
lVnLm5+/kr/aH2FLWNKFtoYX4NP7jVXXtNwuDqlRcXbTV2lLomyGt80WPhb+ov3V7jhvfp8foT9f
8NOjOuBOdL1kcpYJKxRfu5Sb1CIfMAVfcSV8xZqWcdYVFTMFB80sehPB2SGDhtrOus2cLEz6BACU
ytIFsFQ29PVrjTCUZk48bIRaxpGuZsFdcQloVnuorEn/xbv4q0/NRV1rWrOa17A+Gaw6v61A31Ks
jHXPYENgTJfw4bB3e+m2iE37F9f7i6rNdF2XO0Z3TMv6bK/TksmWKqOiiFM5rlOdyVuk/GRlmfG4
MXP6bmkkiqU063j7r94fNiBPSkaqKJvH4VPV1oEz8XTLcSHRJfbGHzg+9kp/jYUpd1HYvf38avNt
//3NMV/NRq2um0KykH6/loRAuKOq5Gooiz0SD6eJuI9MLFI+k1+t5T8+6WAVLYuK1DMczJDzjfqn
PYPDaudGZesu69J3aWTG+E2hljAXm5H0atIVLQ2iRis5itskh1LeKZuv2IKxgDsmWXsjBurSsZKH
f/lDMFh95h3GFiwRn9YG0DLs4wMvrGtgMnWm10DfyMsN8kn5C+vNj/exa/IJcGNBLcWA86k6FgTK
BA1dtqUVkh9bSjNiZlXOTpGaPmdlm7/S4/9wQdyIhmERlGOxfQr3kxeh6whP6k1AfI2W9khWw0pe
GWUsTv0YJs9m7VsujXlOvMxgtQA9sDlgvh8jYx+lSccmJ+gqp17vPpPxTRtKl2mFaxAT5y+cWdYP
j5zzbUObn2+HZCT56RHPuwIYWx+ZK1mo4EakAJ6CqGh2MCNi6Nq07bq4oFYakPD4Ht1506phFhdp
a2zavHXixRhqHaTJkmT1xLS23uAWT1PUykNhqPjBMcL8UUap/ZEXRQr1xhJw4MYefMhC8SDeluyB
C2GJ4TCYvbrVMsaVRZsjyi1ahRZHa5nHpg6E1TaxukNZttPBLaryHIZFe5W2CodlKeuTAvn8QZk/
+UvDdmjDunnFHM7MxNbVFERrTkjlTdOWHgqKNH/3xzr7hdnjh6MfME8UijYmFHB73G7fP2pm7pmd
FcMWanw/u+WEY9z6wTjeSrtEg1m7yZU2aNr7zx+jbzfvd4vJN4Qo350rnNlq8umqnhRVpFhRVyoL
/SPxQ9pbkcMhXmU8fkiuSOc1qImRRSPEjQvDfzMDqR9//ip+vOElng8LGy6fLU7cT6uMlkmFIJXb
yLB97QrHr0G3TLvlUBpej1Wh/6sPNIzb+Xgt5lqMY+Gny5Vl5dAjm/SVpYpN5afRvrejYcWRnHho
XVv9/M2Zf/HFGkJ3oRBLHmzT/rR+pDMqmwOswRhj6L5Uqp5pGbpTP0kXHXbXNzZWsWLweyifGk1t
Z1A9arNx6lpaz7mxy2OvfpNezhMGVQSqhd0hq8urMloEaNfWOKm929oeMw2FZaiuRxNOU11nkHE6
5rg2+yISTF+sEz2LXqea7NEw7lPm2zg/AOyQC0rO6coIXH6DgwWERNciM4EATt156JX3gEpNJYuf
fy7G/DF/uvUMm3XVojQXGHE+LXMNwczgWwJ7FU0ZnitVgQPhkRvN95688Ru999DqVSNWjTqTDFvR
ntESbNCEes3IZLGQvQ9TKRgIvMYgjlgvrV6tbh4FFXExt7U1sh45pKl0HxR6dqOXZkkKpAotg+QU
nNyHn7+j729j18ItallS4oi1LcvEr/X9E6yJqg3cmjIxkEyMtalaZ2OhNknt00jUouEXm/P3e/OP
l/tUJJZhPbRkBRDArmXOrZ4J5FuZHz3//E391VWkx35qU/9arvxU+wLL95xKQ/+tFS5aP3g14DyU
84uH5BOp+/c342AoxtpIwfGD72tIXbfrEkDOpZt2W82JXvn2wf1kQEj6wq+2WcnTydWPNG852Ug8
hFWgZZs6chw8FvCHU26mf6mw+/aqpDUDAoC4Q7j47HLWA53shKpDXUVY8NlOMZFcxAWqrNQhWhFJ
v+f8Yhf4fkf95xWlhNcgAKRb7qePe3D6xq9LyRXZ+mC0xF84DfYED1N6RKbrr1KnlUsFKPwXN68u
56X+j+fR5dt1Zk49vAxiE2zOdt/fvrFyep2Nwl4NXR0xxSC4TFSNeyxNma/wL6lFFXvRqhgTYu3G
lBwfT9TGrqG3BI6HfshLEg7EYJUllM4pRJCnJ67JJIOkgPNUNuXDaNvDuy+VuGwdU1s7Q4+EpmRX
OgIFQ0dX48GBlkN3RXm2ulajYx501RlMk2lHuYKGUIicaE3UVH8Ejd0+M6Hz8NkWzd4NGF9ZSaxv
Kw2hUpYYCcMkmkAkcuprV5fx2iCEo0R6Ab+UVDoETh0HpNhRjIAnFaP1rCyKOpwwHFigoqWQQ4kS
8B6LeiJ4xs6DB1czygd6mfEZSlC1kXk/8WvqumyOkY4gWqt0bWdmQ3uY9Loetp7nzrErsh4ES7nv
ItAffYfgk3E82VWlthjQ4nAbs3iD5hJevunycnhKArPZBjGTqBSbAfA7w7cOQ17H7iYVxCxFkcNK
qDuAKDbJAA43tnLfJNJIaP7OGqfgKvVDJHp0qhPgxLF8qoc3MzTqHQL4iLgLo2asily7Npg+9LmT
oawzamPhx0bxQNo6NB/hGCSXVjoqosyYfc/FALhtaDPJqNEfK7TMBWG7RecJemBZuupdH8kDvoyO
sb0YSHsKTBgxjNGDiZDOuEoOVWxSt6XRuFYAuYk1TfotUNF2Vxmhe1unQK6LADSZdAe5b9wRlqzy
iOxNg1kQyLZHBxbTIzyg7L1MW/HFN2JSXDSH0J20iHt4gaHcOAPBv4vQ1GlWJnM+RTmp9poYT3Ie
+gD85pjXiENJJ2VwPmg2PsnKPwdpykSjp/ZQDJr0QgFssNxHg3gVZxFPoV5ttMbzH7M4Mu6ioXB+
sdR86nZ8e/xsjloAYjwPMIn3aTmP2rHL0RBi/EZg3YGYckY+LC2WJXL/XtEd8zGs2KM0vvaWbz2U
tuUwShrIGSkc8jR/vuzPD/unxcB2bQ/6gYMVRzc+FS1ZgiknqSH4JQHk1y7OuvJCwmOxYGSN054F
vLquQZZc932LnqNJfcSXP38J38AO378GV1jSNqTOYd41xaeDbh9rMgoqzVvlvovXwdtrEYsusdzI
CjOokOJmSoZNMraohh2CxYlNhxnsO2RAfaMGFCsvQouWAmdEoFbG8GUJJiGQAwkaZG/bPpQYyUnO
ZWkh+YQZcleQsJkR7T4tHJgJVKW7b+/p39+G/wg+itPvr775x3/y57eiHOsoCNWnP/7jKnqri6b4
qv5z/rH/+Wff/9A/rsuP/E7VHx/q6qX8/C+/+0F+/z+vv3xRL9/9AbNmpMab9qMebz+aNlXfLsIr
nf/l//Yv/+3j22+5H8uPv//28p5F7DuNqqM39ds//2r3/vffdEHIhmeyqfz7ny/yz39xfMn44cXL
//u/L/Vf/9THS6P+/pvmuH+jhQIGh73InIt0NsD+4/e/8v5G0xG+wgzskRQKPCF5UauQHzP+RmMd
Izc3rPSYGs0n1YYj3u9/R9FN5hswIoO9DWjJb//9Cr/7wv74Av8tb7NTEeEr//tvdK++ezRs/oPu
2XQcSLsBpyQ/dwOnKTFbkj4Rk/dJvvGdBs+kzJnQD5hCDPMhz6J15qCqUdUjMc/XYATSRVWBqUYU
hHBWAd4vxTAuA8vvWIFIYWTCyPZe4h833PHRJ4L5LvCZBBlJ+lJEw0kEJQp4QpS2gp5K6ApIGMSt
7XtkusqoiRBKrtseLbkI4FyQVA4oIxwRhvBjhp1YqzhRsJE7xvPkkNKuUQ1RIIbrY8Q2vg7kDC3L
orFh7xjdnRVZ0akUTfmmBm0bNW676uxEZ0tH4w3aJ9/UU+hvfKYJ25pT+iYA6YdSHOG77SQxD+TU
bsw4ZZzYVHddwOkjrOBq14P51SiyflnoKbLdsiMfLyu6ZWj5qM9lVqFgw6swBsaznyhCf7Hm30zO
vFVNSHCCnjDhrmgwMxLeggWkGfcGHl48LZHOKR3r4ABqSitCmvlt+DL03rQmKzxbhZHlXhJpAzPf
bFqQeWOB1Booh6M0JM9Bk1/2HSZJUc68MheMt8kMAu1URnSwXs+WEwNyclmjoMT9tLCLSJAfzphi
tF1tl9E0BrGhnowgvBrzmGDzRvX7yCm/NImgf++hg4i14DFAI9WDl9q3AuOo0TgEfkmUZ3nQveaK
pQ3uC1JCSgqLmAE9hKMudf858IylKPmiU3moDXfbN8zDhuwk2hawsPOemCFy8wF+QVqcw5Q4vIKa
aSdU3r1JXcULrUrUns+n3zhVTxjm3Cu0SaaSnWHcFyH5zIWGtV+VKMCoiWZhWpicsyL+OohuPKZm
/M72Z+5DWweOVunYdmjy7KusQjRjm4cOauxFF8oKBVWQs6PrcutY2R0QdW83ZE20MQqH0ydgB4Sy
guhRd3ofDYannoBFOVZBcRCk2G6LEfhVZlrcm7UqlnXOjNVGmSvGFPIkmVyhhvMq2Lbj8KYPyMv9
QtIjio6jp21sh8A+HwFo6z7EjA+H2rqnynsdo/LRMpK7FPuUGAwDMmd0XcTDbRnEd00J6kRzkf6a
DaLULrc6HJ84kQnDA3qSgZS3p5NDkBfxNcjr+wGHci7lORt15J9i8k5pm+FutmMffndn4NtoAWIR
RNURcTBepzV6ByNyX9QYE9vm1NN9IPQ3U4nlMCkMpsEj0d1yIQWQAIvy68KGvMXOM50yHfVFaITn
Ke8wbZDGl3g8XdFkr/20wnBcokp0sdtpsj+IaLhrhbZXbg612x8xUtBSy1OA+3hfNr1AJm2UBKa6
uO6Jc5AXthZ6D1Ulk12iJa+F1PeJZz/FMd2IfjSt5ehyhC50VHoMCOw1kUL4arJSXodxd5d3A0C/
glQAmm+PVgHtNiio9WnsXeoqenUwjrg9NhdpZO84IIkmlqa6tOsJHylt1o3stWM85O9tOBIiSQom
Hu4ONAWJYRgOZ9S/qmAQdfoxrl14o154Jj0LtK+Gc9sPnXKJ5BYXeQIkMQzclcjwl+s2lIEh4gmE
RJicQ1xu2JEKnCktcYFxkj2WAO1Nr/DRiM/qVl/TbkIHJISR4QLLPVKRq7G+950SBGXSLyA1M9yP
nGHVppiN0tq6CWsPGVliHasa+RkDI6ppyt+LKsHMQgkf8xIh3dZW+CUwxatogysjYGZOE+bF95x+
wTj0tqpab4N/Ot04Ncau/19jAAOgxvA4iqON+WmJQTTXa1G/TMWfy4z/+cE/qgxT0tBndslBl6EN
vac/qgxDMimBTS849Yv5r/67ytD/RieAR5huyDxP1nWq5j+qDOoW/qsLoPwbrUf+K1XG7wf9P4pf
qgymLpLGmGDGYfM75yrkT5MXigyL9o5uYmHzc/QeOs7zyqxuAiz6j0Kl2mMXyGed/QbUMyTy2nY/
tMq/H1NcS31LXECZUgkzD1frKXPKLdjuefDMtGiyyxstNEDSGClQDKtFU5nW6FA71e9SO4hh4QcQ
TRKSnf6LvfPabSRLs/WrnBfYjfDmlhH0pChSXjcBKZUK7+2Op58vumdOV2bNqZ4BzmUDBVShkClD
Mvb+zVrferYC6Wzi0iSAobBRHucqMZxWxAWaQOLQusdiyr+h56B3ACKwscOY69fISGhFQgFM/SuM
wt1MXFDZmMwz7dQ9ZKDVwHngGlJiwh8FMSjISXDit84DuSxkxDAvBVdIA5oY/VkL9C1RaQGRm2qx
bxxxMTltD5pVXXSNAAoHMiOObRb7DZhDntSZoker2I4QHoaPbJbLuYzO3zU5u9sgJMepP+M9/HJS
jD5B1t/mwgp2TWlO+PsSoF2x9tng9Y0N/dRH2lOVjz+DsD5RssDonV7LydgMY7DLivpHnyRwD2aB
xITtIyMhpQQqTZXG3uqt6Pp7pwHPENtY96YxIP+3shZpKsHEjgQqGddEtSNKAJ2AaYox01M1x+/Z
GMd3HZhjBk/2Z4ROZK3aDlyFgjNST/OSBT/GQJVYkaNm6CFxEspMrTJ94YzPOacSxbdszFjY20tf
OB1+HB2FIpEuybaf411Zyk1Y0T8aZne2dCFwvMCHaRs3QD+MHCIZptoTLlHXRFSiCe5Nko4K62kM
puAsy4LqtWaVrKTKezWB3jAWv0JM4eElWVesi7FAns7hySr7PS65u/JWsTwntra5ExGlrakKMbL6
tcxVssQNfQA3oce4PCWG977EPEyUzIUhVrKyeyfaZ2IiRzkJQVeMTb+LcxbJiVYvn9SGj14O1LhW
EB2xXmKO1Cu8E/X40SLgQ3YNQmJwa3VDUfEwGPldpyZIhyKReWMPj6ecy/tYkR9FibUvkd0+BLYR
1ASEq9Le4yaDl60Pz5ZAdjD33RdShbchnu4Ch1FHmIGNH+LOfOHTNL/KSGl/lmLukeDanzF5Ba20
Ha9XgysheMGqY4B/GVPSiFhggqHN5jcUxIDeYeT7nYQRRS2DkW3QDJKUDUSd89j5jkBtBAWJJw6t
qMdvK4Hnjq5f646xkxS/nrSDEtpjLHw9dE3SNHR8jS1hU30gF9AI4P627ep1ZUXK2aa88cmn48KN
ney+dCPuJQVAOiiwU24DNutUrV2TyJj5tQkAqYg4JIyqRyobkQruSBABjHOLd/ZC3RYxb3c21eKH
VZF/ZHUWAx5t5AQpCk3xAwT6bJlXVrEDrrrKDcc4Ee16VzGs3qQFidVJ3sfnqBlsZKCwJ+LJWvIv
xZlEUazdOnAOuFqD73RCPXQW2rlUlq+j2wDhyD+VcEQsBWNwnTKn9oiehW9odId8cdpG9vyZliAl
lCjDIC5+WhZSe1zkbxnTRajNJvOwasvh58qZhoVxxMklCzmgiuQVRoFbg9SqK3Tebv3dx9gQKyi5
IMthSkstfgc46gKljPpNXLVbBMGwPtLgg7BslSJ2iXOoh0c5GdYq60bAOqBNPSuHGBYiwyWzujtW
rHvw4ourmzgPEHJQizc2j+LM8HMQrEByE0ezFje3pM/uhwVqUSBp3taktXhEI4Te6JjNiq3hfTuw
qWPA+FOP5gOnceZLGjUUfFc2pBiNozDxKghiPAfPc+swTsfB0bvs6l1nGs6Brd0HWVgjhzakl6oh
lX2M5VkL+3U9OnvVTLv7rrHdrV5m9mkGAAlftt+5WMaseNDJFAqcE28/LHejWagjFV49FM0Ms6v2
GoIRw9ppoKKD9ZgWffGQZuYpStx5ndspGbsGnIoOf87EzOlCWlZyyVWbJkPgYZGkdV3CzsAgHw/f
jqIpe2NpbiAiDABQaHjCpfXJ6IE0eqFkaYraMPia6ZJAFt0PdE1DZe8ixj4z3VQZqL6bOW/K0mbp
S79F3wUYEHIkerBVTk8ml+ZMXdq0bmnYhqV1I07Ej+nl8qWpI7FGkCdcvTuJNpIuQuGp0gPORfOa
LU2h1aMcznp9PjXSwAYtK1C7NJBuWAI6o6V0jCrHqNIrm8Gh+9eWtrPQYpwwSys6LE1pNKrFCdnR
vMmFYhGBS/MqM86J8O8NrQEvzU6rBA029NVx6Xlzmt9g6YJH2mFnzMGTLh2yuvTKCU1zaFVoEPul
kw4XhauxdNdy6bOLpePO53FY8Q68aRFOcEEwMocHHXq39OqmCVOErER6C7r5NIiztxrLxtqm0+c4
drgVEHOPOu77PFevTlG9VQ0FuEzVaxvCfyvnzFj/u979v/WurjoUoP/vkdo6+z+X5vda9x9/6b9q
XfdvjMsoaNndLfXzUrT+Z63rKBS0SIlYWS5DXoa9/6x19b8pjH6pZy1mZkgmF97sf9W6+t8c0sB1
12GrTbix5uj/m1r3z/O0JcPVNRFtUTn/SZ0ZaGTsih7lhbDsi13lN47mje7+qwWXvoysf6moKff+
+H2W9e0fKup/4telKo99hym/nIuditp/peZUDUoaPhrF/MTd+B5qYbqrHRHvapTQ9KapuivqcpMB
i2Qpg6o5sov9UHVnh/UAa7UjR8RPR48uvVZ57DrerTYGp2SAxGtJpBnqEeZPK2B7dTDh/vCO/+eI
8o8jSfU3hQGv26JmUFFLsoFeJDm//mZAVIk+M6fA58o+pLlPOI6X+ahW3Dvbs/FdrbDRYU70hB/8
qyH9f/eq/vF7/7a2+CdlvyMmvUubN6jTqOx1Ik3FL8R9Rro1LiWGlROlmIDm2RbB26TgQmsCcu1J
E9DB2sDi70Nz9JvZIfPIjogkK9QuIy4WJIetEoXZ2AOHpmSMKd3xOuYWEKbe+Gygnf0PoP1/Str9
x6urIrjj08lSf+k///i5+XfS7r+Tdv+dtPvvpN3/P0m7v2qKlmUTRztrUEtHesFi+LcdKLC0pHIV
jvbK+jJxUzTL+FP/dON/Kf/gFPv9dvzjN1qEKX+4Hc2xETIQ4O47315t/HO3b7fDEcLWVl0X19Dv
V399af351leZsjmOyrgMdfTv860gq2yriSXjBn4jEwzx1KdrRlb/4n5S//wCYgywWRwiT9UUPG6/
/l4lCYFdOujL3WivGFg8EwdBWnHrqe/Wq/vMvS9XydO4g4r3178govNfxTzos1mKLv+gnLLdZY39
6/fuVYtuv8Xs2MzGtHYLAiIRgawUp3oDMXYkBZ21mbzvwe+4KssABfBLDECR9M4+8lIFAklSmfu2
6p9yF/GL3rtYyw1c5prIky2rqp2pkwdFq97PKZb1jPDFMajhfxhElqsqLhOrJSVOCuctTCEvTk79
lLjZDHRBw7ta9N8WvrpW5uS49uXjrCImqFlSjuSwBHF3QtW+azDiJX313Y6lTqHPVB5uQxVHn3Zv
0XcS9OHNTpyRQ6T8INfzNovpEw0K/yPr0wNvcr/CKf5omVHv9Vla7WoZvbRNcQoG80Wp84y8k/p5
ipV+M0mCwaYhecWhcxc18aFH3kcfCQ9N9vTntVNOd2kQwGJqZux/yCXBp4ab2ahLzJroXFR7R695
JFG6RpMEXyntG4lnK/kR2SUGimkRj0254RdSjelWGvLglRlUXq1trU7cdRNZ2smshOuhbvczIbtr
bKlkLeOW1d28J+cxAhNcAPCxTPQjkX6H4OBgavzg6ehAI3AuYgSoiraUPKbknWiMcza0qFKAJ0zV
+yAXbLwKm6hMQoINdBJq0cIIEuLlFOo+bpjSj1LnGBX0nNYEkkwnIhlTA3FhXd5imBrX7TQ/Opq+
z4LpiBX7h2FMlzwzq3WyaG2ULnrVJtIOSkfrVxNCJr/SWIHK1Iw8oyWzTFQIJyZCZ5iPNql7p7qj
QvKCCm61GJ5qy2UeMov2rsE28dTUVuOjsDfvXK2HCdSVNWgwQIEKw7kyMU8a6U2wBVTzNAXlG70f
82TpgvstbCy0KZaBycaQPCbVqVEHuOMRAmvE+ylTBXkpdHDfU5UWnhozzK5nhQkgnl/mHviNk5xI
Cru1+nU6gMzIp4yYHtV8oT93fCahb0ZEnai2KUCjUQc/LvFA9WJ2FhpzctVTl6jAKj+nfZpvMteG
gaODKyjZQjL2pCSfrkGb57thVgXhv9VboNr3hiBkODVd0nBEDF2p19/MGb5GWRbTJppnfiJFAYDr
ZuaG2KVndZ7vog6cS1h0DfTT5eOl1LdEwBlhFPsD9yChFlLMftSp9U7XTQGPwfliu/YCi/U1IYyp
kP0tVYrH2uhfA6d+SDHQiTDYGYqoVm0EGMfI5UdkwdBodAIZbPNraMTFajNeUUsR2WttFA98EB6l
Kp67pm0e8yAwaM+TeR3XIWHxoW3DoiSbT7ggDLXYvQgdkGwTGocwaMtTTMLISpSgnpWZRdcAqNRR
Q+3dVPoWLh6RCLahth7a9wW+ODfHPAas2hY9YHxz0j+S3PrR8PJ6bY48t7fzXcgE2QunyoK6oEnf
HSu/D4M7DhD0NczlmbxunM7aZfBDrYZ3lglXodcnrVomuTCHIY8XQM5qxuUhDRTBJn4YfujA802w
LTNPZ15BJ5EpMIF0F7NLtPryhs/wbGvBOUxdnj1IJ2poNd5M9pY3ZvNVFu+mE8HTr0KogCxG+55T
QZ+qTzszPk3g7m6vXEtl2qlzeosdImAssKSjcavq/DPkLtEafSsaApHyFLl+PflJCAzJTW+lOIHL
YUrKxMkV2I17zUyhZA/JTrEBfHf53maKjtl6N5bmNk3Afubp2N7Nsb6KW8HZSAxTbC/U1WwzLRD7
wEq36vhUhg8Vnyl1ilHavSf9Z5JOd12rNJsus3fkZTxInZPJUMk3A0ECer+N49XN6R610jypqr6h
8QSNxqheHsvszCMDZ2wArwPvYn43+YAgMPFUMiPbbpfrCa/aXF4nkRHFUHpuX761XXEXZh+jhS9f
JtBRWLaq1zxJJMNW0MTIt2nh17XgWkjraBdPeC8I8aQzY1GdQlzmXOn4BEkXjQQaQ7eHXaQBuoR5
WRMxplYuaU9EQy2U0Wh8Ddxi07ofRC+Q7AsbEPoKgg4uEayk2sSXSEFGAq624NWOwffcyB8xwPU5
PxdAv7UpJfI45nrvufPVjmMzR7bR3yVCW3YEMVmnX2HOal0DdJMStNJsYoByAznemRgvJEiNUHnF
yTHc0wz3BqgVG3WvqQkcTILntEWJGRmkPYKSnLNzV/QrydQvUZRjBJS8sEaCxJ2VDcMhwzgck9+C
Hug4KBcVcc5YPcRB77W8D1HDitr9qQOIWqJDAXavmRyijyQDoci5jvJ1DgnRhCpWwOqqiNcyOdug
aiBe80P1Z6kQGOHILSE9tdlv0Sa/N+7rzFyx73gCbHDOYFiD55lXKs3VdQ5ZReO/O656U79WCfrW
mohJgGVtGF1SGzIRxEA3VKDNRF5NgdKWRLbGsNCj7tDFpMBDroPs10U84DHvM5QPCDM4l2BPqJiN
wLbpkhxOomJdgjUrcPn6hrWNl/DxomS6H6dpowqwyrz01RTsi1w5OIF7cxTnwrgFJMi8SisJWdnc
p+GezB1iAlDz4HVjsIuiNB8vdVAfI9AgoMAupnLGsrqaA/cnLoldofNIj7wbAiJbl9wnNSNttgZO
fZy0o9Hnl1Ahx1iH6BxPPsU3yZZAuMxuLfPHsALAH8MI61Z1H3hKRQBUbx8ijRWBpOhiqgPGJQsl
tiOFq7n3Jhzu0jEAULGWI2c7WUDx0bQeIOAMvYOQ9VudfkZNRHrnA5aLDSWGn5czQY3hzggmP0DD
itrzpJAYv6gRwkY9NGyVNMK7VobdwPggzwzamIbXIx69POSQ0NCOkDaNuti2YKZBFBinrzZ6D2wu
GGN4aPn4KV37EOroqvnz0DlKvWTlqVEBDy/R8uVK+5o0LIpz008grLjg6idXuYQF6y+ue2a8qBy6
9eCa58ZcjjtGyTCKHTY6YQEVFGSkzcQHN9umEukuQBVhodRykRUNPVofslCFRqYbG2IDmWrjuKeg
X0qvFzv8iNjfip70YYsZOwiuYp2Ajm8WXADz6FIZ9mk2rkio8ZwJ1sDIOzUGG+Zta5v1ScPLkpF3
JfR5g0tvo8slHBWwVXRrNbRbwCAUZGGd9ooSjSw2CYTg54TyThUEGNggSgkMyRZ2nQZMG1zsaHee
ZK89xzfbYNnd3Lki5EeV22weD2MNTWYij8Zqdl1+kkX8GTbtKSQ5r15i1c1sXzvRayTQx2vJAmlw
aTniJaJAKT5MJ9DWOokSI8orpdp1FgvNmQxr2Eb4rrwI+ulU17wIgno2J+3U+RaG8rMTOaJU7ZFg
sDtljG+ZEzyJiIhR8gmwkXmqoT6JuHjL1N7vmgCGobFXxI+FgNRFKsQjotYbPJKmkvqtAxrPiH1y
b9AKkqhRR2QqlPbHbJIhkZhXtiVk7oAMUtuBPVmCCLZqR5hs080KyXSKAbcMKcCjfmNN1pk8g84f
3fox1nl5ALNk5FkR8LdO4u6Axv5s9mfbeYoguerhFjl13k+g9N67gnByYa+jYRcQlTNW373z0IyP
UctGkrt4eXMRFmqxespU2H18JMw1u34EX7tRI6m89lt7HyY9xcibW5beRFFtSjKaLqirgWSBVCgR
ZUXQx9FzE8/LovOZv9UNDGXXEY2Vy6ZnUN9U8ggqPnIOBiKWeLmKyio/CYqCNHm3oT7XLJrLMt0Q
RHQep2Wh/VzigWmtcEN3S+i6A6prhx6UJ8ALs6fIudowCyFskDa9rkFvorj0pgnsFgwlqxh3Vn1f
sQ9ELDEkR2xxHieM6WyVmthMYHeQhLPsowVqxZs438awuwU8h7UgZcav5I9oxD8AXSNUntDM3eb6
R0G+sonG1BLXKkNOIKmi04zfbt4KHhRCEHKqGB7PyqL3ROPUxPda/iG5RTMyOwcP3v5RpADdLJhK
jvTU6KA1x0n5GeffAS+OTuiJpL+MGJXPeuIbdn4cR8GKcFob6qMZBMj/btRxUfCzGN5IGJuJeVGN
O86aYn5OdEgrmyF/U+3zSCRk1z1a8NtrEFQ3c7wpbOfbW0JgDICprHmq4C8aVP5Rzkj+MCwYpe8a
SmHvxw5bc8haJJKq3LXVYx49JwOZIqQgCYmW4WNuOQQYG5+qZlsVCY23T+VOJcMu2dhMzdNYCtRk
8FqLIfDsDOgq547CZWZV64o9cdNeWAJ7SoEaD+LoSN+aPYjwpgV3cXiXtZ8mnKP8yeTcGqwQDh0M
AvryCpKyQU0aeTkpD6mxVUF+hBQhukKTg0DYeszJ/zBEtE57yKPiHuv9jnAKJAY08nw14IFl8MaJ
ucvT17Bx/Kwn6mR4oZhDDJNUYJ/7O6BqOtyvllZhejfkj0DuB/0u4/MXP7mgLNH65KTF5RJUJphJ
sU+CMwnpzXhOOQYn0Pr+ciSHe1Z2sJuM6JbGR338kFDY5U3H6sIDWZ0czt9c3DK458rFQcfjJvsk
3ivtexmi1hBEz/jjXBNsB06d/rV3Twju3QS4MNFgpiO2Sqt7BreGEh47xB8kPlnWtS4bv+A2m6fe
b2HJNqDt7R3qLK+X+9rcTpC4MlBnsr1zSsIGWJ4TAm/BKXzuYGsmA7FJACqz6mYjZKz9pofks+QL
3AyOLWWGkpzAXBYH4p5kgrGlQ+x6C5xjO+0jmumxXxfpsFcRP2rdzhUjffZL0EPq29vzD2M818Zx
Tk1fqzQ/15HlboJE2SgIBgIUK+CcNWp0FDGyI5VjYdLv+tiEW2fspdwBvDTVk6wesuyODQ2N6yc5
DjL/CZHdjZ/z8b5q7ohiXZf9QZeUutT9KbC0W++8T/p2tilVtH1OKLdOgwYUsdoN7qsNoHtx2mfD
jeZW9l/98B2JcqNbKRZG1tT9TEVi7/IAFB6fak1L0BCYvl63T0ODFiOyT1NSvuijfqjSbc9Hoszn
18YyL0Xe+Ix4XhrdJMpJe8/sjoFKeiQCDvRmvSqg/SH1ALzFU3TDq8M629e0czPVG0QkKzs/uyP4
HLRDUAprHYBazGmOAib3nJ5i8DrDBAqZ3zTdlYi81YwlKOfpwzg2g1C2ravujpgU7qf0UVBDI05a
qUsue57wpK70ZRPHsxoRW6TS3I/7mDRhzeVEee2qz0F110HyUMJhZOkUDR+t2Mc94cR1vcIM4Lf9
ZR5eBY1jqzIxqKAFkrFlTLtimtYKkhIa3qH8KqBGu7PlN9GLm9WnJHgh40Zq1V1Z8LE04zuigzrt
0a4UDqNnqZ4Krulo3i0u04z3TFrPebGfEBAH+T6ZHjv91erFNSFoKWfBThZiMXPP89SlWrjBq0gi
2r5ID8TKFMZPa2RcYhBJQMGIXCbQT0X3EYa8uBjV4qE9axZzGXHupx1oBWS4zN02oX0fo1qO6QwM
5xLNfIpgwBblawhCM0ZOEy4tlmh9e8HImN1DbVRroyeBybmUHQzKWB519RDPGff6j6EjNhPtcVRt
TZjgbfDmOO8NaKj0QYeQVBIup5i3GkMrmhYf9oQfpnfEICOHOMoM7S61bKv2nu0+4UjwSh3ZElJ0
d4mZI28TVbtRwyHU+tcWDlAbFow0Sc4hPksaV10kfp61hAKg5U8rIP45d//PJq/2UR2csqk9pNqd
EN+KftdCiUIDnpMTYE7IC0P+j7sW8sD8YTsWjL0CNFKwpQkH9U2JcOqldjdBxfTVvp862O2Ew037
DEjTlMBMTol8egrd17ElSr3iKOc3BXfjadOwTSwXUjN68oKwda17S4AZIwOmyxw9S8GrXFG7BNWO
1S6HK+x2K/et+FI5/XGgjpdGtJ0TShijP8oKTDOlGmXlBujZSq0eulA/ht1WR1+dNA+WA6sK1XMJ
Wt7NpGdF+r6P4uNUgxCLurVQEo7ckdiF1l4nrliDHoVyXXhEc6pqvY7dA3YYL5LVyhV/x6WzaD1P
oKmq/lqlPyIN8LQwvXJxIhJZkvJVSACpiM5LU7BlEpM1Y39ET4sorHea7VL95CmnPCf3MlhVEfpZ
4aNeuRvT/Kb2Q7mHuCbLHoJoT/Pjj0lykODFVS06McKB/iwOeHLWhpP6RiV9s1bZ5/a7ZBpBDs53
bRDzDCTUMdqmJbhWreN1nXAc96S+IMhrxgW2cVHV+MTsFzeHcsJeUTAtUBIIWnvBAGBC0e0wgmnN
zxGdvNHWa5GeS5sXTN/PGBbjER7lnKzLzvBHvtJoJ9uyLo99vdj8tK+6xjqIHlv2FM3xdM2lU28K
dLNBzduTLZEv1RIxRazCJeOjZYRiT4F0iJnPc1yhRnUORnAq+U8Z7oP8LUAwvMpI2jCEvGqjAu0M
OwlvHBSc0cN7iubQsrdWQFnnfmrp9HNOHoceTHeZZ4cCC0OqzwdXlWhTU19krQdHGuVQfkx1RPmW
/Z5lKKtwA7tZcoxs6Y+1QhLdPL6oVrjvY/kpFUC2lJvKTMAreOGm6J7DQdnoBKwXjkmvY99Kvbnk
ibsmQKhdTZa1d3na6fTuayx2PocvYd7KDRrHsSb6HG0SgWO0YhoJlVH5Vkc4jVL5MMXZxs5h2pJY
G2HTUNWOpJDRm2vJR0u/LyJzDYJnO0Fim+hPsUesq8k9OTmayUTRNnnrbDR3iVyQXsXMELTEzR4y
nnvnXoiK04pep8/J0V4ys+ziCfQm129GaKSZyw3I2oNsjTtFGLcMUOSQhqdK0b/SoP0Q5BIFmTx1
syV5hBZhE/M5xkeTcqz7+DZXLmMItwB4WUylx/zggdkMoQlgLhHbxYQEAtzTC6fbVYkAeJtPbwk2
Ato2RCOQy+rtDEbxbCXEC7WOuHbopvyaIYPrMKQPdesttshQ0PAB84jBmnYZtEs43w6IGl4OIoVr
eOtFxgHfNC+9LV41Irw3RtOTXlcj3WqM8h7J6+SbjfpiNlq27gweHgHB1GI2t7Id+tIipR+xhHzP
4vI8aJAaO2O2SHvICh98BNAS3oS0DM+Ko9wNAygRe9rbadwQt0i/WFD9/PXK67ed3rLvQoNiIstE
f7fYfH7ddyHPtitDQYJaURE/4+8jqKYzFHAw1udff6ffFC9/+k6/aXl6WSiZEvCdFNJTxCB+ZEpG
MFJ4QlB9nC3jXyB5jN8lNv/4hnCXXNKBFR0R+q+/WgIY3jByM/AHUXoAMj3cQlF9ZVxrIsP22JP4
9kiHNL1mPfZy914T7H8WLTv0cKsRmIHuFWLXcsSWaNCJWEmJryzVq1HpLcV3fXQa3OgooSirS3hm
cG5i7asn0w3EDnXEncUSTE0etfgz4eIIkPBN9mHG5TNOVxMqSNISugY+06GdSp9rWeyiGVoBhXOu
EAZiG5zlfLron2hP9Y6/H8vqEjbKVTPaXSL5w1lV4QIbPs1o8AmN8B39CeHSJg1mUklJLVmLJQ6M
TZfSICr6JDusRe+b6i/GdD82j6F4C2nDMv1ed7Z9+ICCkwL/4rZvqX4Gcecj9F8xvw2Yk6HYhPDp
eiotjMi5AYlrcd1pP7XfgljAlo0SgVYn26wfc4TvimzYwSXnvKDDycp7Y2x2WcRAB3HwG4XjXhQf
hpkD5zYhn0enVOfcLYVyLCMmhvZDWkWkOGc3hSydIVdZ+2hw/9R1PGkP0dyDOuHCSMu3FI+77faH
AGdTIHpfncHvwwvQSmc7tx06Y/OgdQQo9epbwWmFSP1oIyAdmG/K4T6YrFtlkXgTEW2dv9hkK8UE
Yc7lu5SC+uvF0r5Y5tFsEjNlUvOp63LcivLDbJ8zvMv9VBwzM/Asd9zKxQQFSYGXeCXb+L5RdH8e
auoRpO4xOvgBc9q0H42KQJDNACS7mw8ExkItECmArgLLcymPQRQgSn2VgIGrbNpmqsmQY2QM38FC
Fmt8mWaPmo0o0IlAQWdojmLJW1ug+GO/ZW40KXIHT4bi0eEPjAbDcS3xySFUkP92Nsr+5ugg0O1Y
+7nxvrR+juEeY4KXdS+2/FR5c5XmKclYtI+HBDOpq57rcRsxb0BduCryHxUBOyT61vNlEPtAXdfy
yw0piJTRs+cPu7buhcoQh0JTmhd+bhKGcoOpC4NzzG/Gi0zJyfrRQjiV20rhGUsQLRs1XadvuKuq
eNAhzuvRtUup2RPm1SYL7pxRdlOTyFx6ts2A2tlUA5+LiMBnHo+Rd/wRNMEpZdLtjZDabYA7B4tG
XW2Lbas+6sbPWNzNzm228BySdsyR6DEzo+kV7ZHojCjcswJW0sY34zciW0Mw4612aqKLgZd3usW0
ykbxYlXflfEtTfUSj/qqC0DgG+M2xG5jYJLN9jOryN4pV5VC8AClUZ1+0hb56hSsEf29xsCEZtwG
TaCs5minL9147ZcuwRtK9zhnydZOYq+KwEXrr1Kc0uDYKI9EFYtgeMg6Vp5vk2RN0XiW9YFJxctZ
12vjD80mymNbSy7Mde+SlweR9tpYmRfWG5uvPpc7eKK0GaR6kj7QN0QTJzU7qNGrM5TPwTYvXu1p
ixtnI0mz1+bbXILVcoj4C96k0fgdfsmUOWdkRWu3I3emtNcVMZitXAYhLYWYSQojCbdF+0COmt1C
ovbVHBAEDCPX9CZGPKpz5KlbPixd/ErTHA2X0Hpq66us7pLunCKxNjqaoGk/Ny9pm++CZL4Kdz4l
Nuh+HwX9alkmjUujKd0G5+SeDMe/vqp+Azv8XQWCylYz8RehHoTt8OvVIRvBvY4wgqkrDRajbsa4
DLWHsO5XM5MehqZ2vnah+Kvh9GTnANDa8umvfwjb+W9vTFeDjYgOxYXa+etPIUjGKMkJFH6WmPs+
mC6gJE/WRE7wM8BWemCMPleN0JMGT42BeHyizNWr1UxYh8sEJzsLJSZs4iGt1Z1N6GS75Lnpa8Go
oIxfhPasaPugolmWnovQJcb2OgenoqGB+VTA0c/y000xLLfsE/Pt3BCiJ3cNW3WQKAtTcDNDX3Y5
+sUBiFsYkYV3mlhvTPHGLO6wqjhM+Vr+PQz7gc4UlKXfFTDh+EqtM6wq/VN0BBtkDHmtjY2wo6Fa
M9uLUEFkxZ+ByiHAhi0lSniZBUAZWMe9ciD+qpuYp1r2rrDUlalsNA7ASk7bgLI9I3atZtVRYl4b
I/J7Yj5r9XTPiThkn01ApOJU+HZwaN0Q5ty9LLkAM4EY5urIk44ep5hpfvhzGcWowqoggVBZVkeV
VnEidGOKDjYT+tHQvbFl8Ehn3QVvI17bsgWBjl/GxQS2VyVwk4Nugr2ABzM/2OG+wVyUh29U1eu6
fqjtC1InLx6/LXMmZ5Nc7eDdyasj3gGWqcZTYlD7s50aLX3Xkz41FWd2qpFONKbB/tT4TDRKUibA
Rekel5xIq/Dw75mrvltb2VkbN+V0FZO9q/pnZ2J2YE6oHHaW/M4pg20siLW9H+pzA1eXVF5wjA6x
jIwtZy8insw6ChMLEePfSF9CrKRrsTv6irDY8hTcF6S5lf1TVHBNWQaPPukbHHf9YHgGkdwT0KOo
fk8RC2f2XSmOKuLg6N1gPmfTFkjnvQU+A0Zk35r2LSpulZTM5gufvfC+ai9V1TzxrgT5q8jWhXMd
3Y5La9PwqjsDOcXWfcAiwAW7ZJ9A/6SbuUxZM0RrrO27iuo9UPiFB/a8bEGnm6F6ZUWwL4mw+Kpw
Vm6c1Fl1nOuEQ5BP5t4SjSU8TmvoZS2MYcd66tIXcCqBDgSfFPD6UFnsk8epZpUYez1EQy7d1FyZ
5K+NE++zFR172D9dG+4thAvWyJ5NX5Lpsm9cP15u3TJra2iUgQ3bNxXNNxFaQfamgX3TKN1Ildl1
qvAU5OeZxKkz8dgkF4vbgGVErj9Q1Snht4NTkZpUx75jtzd3fiOlZyY1j4lVjbNNAZDYMkAwv3Tj
y8znPeizJXTDjMcVkxOMjVSl5DQ6Y/Dqtq1v6PEmaRTe6H3Ym+eyY/LbcBRQu1jHlvauwE4yInOz
d3FAXfcf3J1XkuTYtWWnwgmgDFr8usO1CA8tfmCh8kJrPZs3ljexXggWWZGe2RGWn900o7FoZCYc
wMUV5+y9NqHPdkGeud0TGkHYWEVyG1PLfUtOSRjy1SgXefpW49wUgrPiQhDMTofPD/sL0kL09NQX
FRVnrGYR0bTOFHtPvyC/6YvrhJyDXn1s4M62DUuV4l2UKd074qoMRqxBN8WAukQ72YieoQ7piU8F
7thoDQslLcll1T2z92mrCwWRAWf7ZHDLzOTNs4utbiw9JdT6IUO+qNAmkwj7TVCx0Or1LrrqKh2Z
6MhQmeKXBe49pyWGw1kkgQlCXV6p+QtIx1UtK9QnUUF4jKtWu/WTxyg6qeReZ5HFRqte+2ASjLKe
eySvoaWQjK2cEO6p7dmdIX7AuvRopa/UqiUdnvg9RD1XlHyLxKiVuCoFiVfd0mh2QsUJqSDckZ7B
f8/KfgfGlRZVMG9lmoj+rcY+RlLwrq50ZSXq40AZL8O7ZcrPg/KisNtymkMU7NN0q/SXnCDdTmXg
KttYitdlUhBL5a+dUd/4PcnnxQBt0LoN+vIYKzeTqoGm/EL2IOPS16gG6ig6bQ3KhKqIF7Za0i74
UYHwAvE288JlHh2NSJlxxiS9BXioTGYtbl5uR8hHzaT8VN740aFqyYGLV2m3U03K/+O6MJc+KWHC
IkSaaNI2XoTN20C5pJoFfHMGTRHsZSSdrJqa2Dp75aerHgiFrpvzUt4k0kYXR2m8zWlZBPqVnj16
RDBXxciZRtv4DcX8gRTnbF8Wm5K692D6hxhCSEvIqZSLlSkewz5eT4hH7M/WBsmKINgN0ZWhim2R
qwuluBtp2Jn6bc5pyk830FPQ6hAA1B0gIC5FjLtwDYJqbubHBpJVqwDKAL1StFSF4NyrNh358DXp
03kAiVf34hlO4Vkcvsn+LhMJ+1+LyQpVhQhcpeMo1wP3Dy88LOQSVQFVvLZtvQ3KhxDShG2hESUv
eiq8x6+2r651ejkxYS6hwrZ4DJagztioOTPLIjXUu4L60pcwXE0iiPK5oV5yYIZWVS6nEDNKSATc
q1PHlaVoLnCsDhkrGyIAhYIo1Q4XYGURL4JsK5orsLozmdNnXr8Xxa1P8aTw31XhrO2xpFKI2fpe
FzeS/KPLT515qqMHOnld02wbYgYCNrC0g8TU8yfXOxi37Gmhuxx9f6PUxlx0W5Y54owxxrXVNclV
A8ZmioQB7wv83mXj5CtLe43wDicK+b30XsJtAL64zOt5HN23WkOVlxRiRoBZlrcDLMK0uG/bW43n
PWrOJiTo0SzWjfih27vA+1HX+yR+9lGujMibGoXFLrwVHL3qTp+xilhUCyLLopGD5VO59FHKeNUV
ha2bnjTrODGIi2EXKpHKJRkswM8KxRo2ptAoTgq5X1WPFTY/AkDjMFkhEdh56JvieO9nBoI+eiyB
Qqo7+iQt2NQGQWXociU53pTKdRzmrsfpqnfuGsyr8A0Wda/Nk2RYRxyWQl0l3wQRq7yr2AZxbNZ7
ZeuHuAfNGwfymEW/TBvoRdEeWxhJ747SfSI3x0Eqp1M8AwKOTL41jQyTo08RkLSg9K5tGF4haoXh
qmlk4P/7xnh1wnDpURhIgShHL8hxqqrlm9qNw43JPr+qj3JMekNW78iK3gy+TZdBmacKrI9IevHa
gLm6e+6y9k3t9qlNjV5/A/aboCgUqE1tcSqVQ8CC0A8b6s6cUAhg9sucGAf7pSNjjpLCYnz7eot9
rjT/KBHpcKGIjVFkxOYTUu2Tgj7WK7VTDcBPZHDTdQSz7lbz5kAqiT6zr0dEgTQgdvnc2WTfsOMm
ytZn8f75pT+sb58uLXqBeypEJcxxs0fa47/2CrsVtJ4UocJ+TYoIlZj2JAdtN4eGAYUqJixeRBSL
TMgybhx4l6luu7XCxrF06rskK26AdPn8HclF5qNOjKJeXQqx0ZxhF5hi3Xujd61Ew0uXMaOXYajS
shPviolMQZdi6BIeDSPdb3YJJbCvn/V393tmyQoiNe6pz3qgAXvW4l1lUPD65n3+emBS/x3FI5ML
A/bjzBABssqnGBgSUBZEVAMw5neCk82LJ71Qt/vjG/r5Ymdjx47SDk5tRE6sk5A/+h5TNS7oH/7p
Y/vpKufDxGuTYJBSriKXxQWSlauAjWwpZd+EGJ1ZLhiN02UcnKs2mRfWOSDNwPcn2zB9XUkr11WV
M1t75GX79k5P5W/e0mSh+GRb+fe1QMLhU+U1OebZg5ODLlNHO5VcOFFLDK7zpvqGyPrbu/nnCtYZ
CbFATKl6dia5SeK9KQh8ZRNRg5dsw3j45sH9Oqx5cJ8udTasHd8LvCrOqZ9jCXFr3VDXTcpmPdSq
/JuqxDfPzVJ/nqyCrs0sGK6S65ghbm+DRaT+ZrT99sGZYAFxFyvYmM7qHgh469RL+IAQvc88axJI
Eczne5zov7uUMv3cX4YB6HRCM+D/2R+Y808TICDKujDaWHK7OTb65+oQraDRzZQ7895bfGdd+vDt
fHW1s/ekJ0IbchA8XA1BYrqoA5dsozV4VKRlO3VWH4QbfjNDKM5vJ6RP93j2yohl+nuOUHpU40rL
3koS2qxT+01Uv1r0UcMmOUYhgkh08u/VUO40R+zb2FyYHFC8Vl/oom8XDWcuq6Ta0erH2EB0oab0
pZtQroh2RI6WCp1zGzYfYWzthMBSBPSj/4i2GIfsfDSaqyx+NU1oA56xSjIBzyBqX00yQYM6WBki
W5l+5TpJuezkjJoWeUcDZyGppJ50E8rEXavHMuSH+y1Kpim5fMTiA5G1JPWZRYTF2jGLpWnfREYx
rz5Qnmxm2OiPbDTLByS2cELGRRRTXk1Ys3x5Hkj+sgJ7mDrmKlUPLaugFd3L076GXGK/CpY9YEQs
MXpfzSOEviYE9dFYhKBRrFzDxvKq58YiqaZYh3An4Wswy8HV+lPg0K2TwQRO+2RnAuHqzhwxMh1R
sldD8pKpg1Wtt7J1aRnY0qLx3jWqBT2WqgQTUmijM4Q1OGSIUT0k13wQPVXzvHzS/X7K4yQMuyfp
eGdoyEZpp7Y1WTdTyVSPDqRuEF+A8kFm85Aq0TLxkAEZkLGdkNzsMirIJGd7rmkLQWhoHyRvMhpp
1drLgETksbzLQlg4kuxRerUwQyHmQ54niLdVOvNYknmIFiq5TIv+QlUGXlHkpds0QV9iW+3NGJxQ
GaRkWxmcIh092Veyv8xIu/fKjtu0TolsX9dx/RyjLylSUlbbcIHoxW8Qi/KOVdTtddIc5fpYd/XG
MW8Bv7kTYzBIH8aQLkmDnyHJlwqPiiLqMhwUl8YnR3JO/Hk5C5SruFxLDMFI5zXhCzEmHQjc1q+X
xt/Oh58+rrPJauwGeG5Ib90O0pU9Lg36vl9f4cPR+MusYck6YXCaJitgSH/aH/rS0Mixx+u3Q3D3
SJDeUqJ7yZf74STptqRJZIBC9sLgQFbVwRjbRR3R7Vbo8Xs2dZ5Bzq6rbLiie32Zyj0ho7zR0ZPz
g533FLMV6y6KrLdBT8mdy5yl1WZzyZyCW1tkyBq5k+DL0R16NJUhP0VJjABaD/eVNewc9Chd5SzC
3tjlZfNo436bGWZDcqbOPGNbARlDg7FT8vi2GYiDqCrGS7d1bISEvfk0iuhRRo66El0O/FHRM1qM
SvnNUqxMb+GXR2hbhoN1VFV5hj8/wswwtF4S7Cxql9rX3JwD/ty8RhtzWc6po26+fmPfXu5sC6h5
ogmskM1FBsJmYy1hPHWzVxLc2wVqWmpO829n+e/u8Gw/Q3SRatTkMLiWOq8WwwJsmT6T5khYyyWY
HFdyq2+cv78d+TxQE7MxYULn7QlDq5yADTATROOfZD09hLn/zXvTf7t0fbrG9Bs+Lc/o98eSkBd2
hJR58aJJAI8gjfW1jJRPu7LjWkVPiCO1MAXixbhk8PnViLcMjFvpkIQS5CczKXBTxs9Gp/LqW3TJ
kj3W5MD0MXW+7LIbHW2aCq2iRnPN+TSA/oy/1nOtFnW3SMaV2ld7X1Q0VIN6J/tkL2eN0y8sPrh9
bcJaUmi2z7vRX2ktT7+JwLyNNCXgRtGGS73spvGUy9wJgVENfbJ1rED95iz3213Tp0c17RE/PSp9
MESU62zMRGB3C61GS+ORnT3a3ngyMep+M+997IzOPym+JKJGOfGzdp1dj/AwAy4rs1IbWJfs6v1F
3CvhfVS2K7us0G/XFeWERO6XraU/BDhRvtnY/G5sEJ2FJhaZmqKef9PEDrB5Cxkbgz++GaLfjtrU
D1HxleqoRe28vPj6s/7dE1ZJHeV+geGAgfz5CbdqOUQ1XjvXBvaFrX4ChoeUbHTMdl9f6bcbReg4
8FFYWrDwn23ZHE/uhrH4mK9wLHLW9rdiG2LDc/tFdsIPErhGtvzzOFcVWsA/Vz1by7CPWSXUKF4p
oYbw+JJ7szNguFOWD2HrfXOTv31/n6529m1rYKmiYBqwyVCslaC9K+VhUyn1LnSqV8scv5Hi/Pbt
fbrc2dvLyRCyYSVycBmvdekdfw64naUDCezrd/fddab//dN3OIq819WBV1cQM0CDrPUdd/JdZGX/
8PWVfjcBf35dZ4uaHvlhKUruSG09FxTiM1/bNw9teijnHzk0dYBNpOPZyvmJfDTUvNITwtblzgWG
PS/sbUU79M/v4/NFzgZ7QViUTiuJSR7Irxw8D/rt1xf43Sv5fIGzcd1YlKs8eWr72hVO1mNVZItC
6emr2Iuvr/S7V/L5Smdj2quMyskGrhRRJRtxKCErcf/8EpC1ppl+mn4/lsxP4ysvRqVQpxMrXIZi
blvjlZ0qNx/X+Jv2f/r3Gz6LFzj7r/+/pg2Y7J8NVeVb+b+z0a6f0zr7l5uRWCCyf729/yvOqn/d
VP/7P69+gIPqMyCYT+I/f99/sGn2X6SxgfIk+8KUDd7Uf7FplvPXxEtTTXIAVEhoJiP9b0Sw/Jes
Tvso/kXhg0oqFr9/uGnyX+bfdSqLP8oJ31D+CJxmTiP+03cNJFi2p1Ibw8jkH/SzLwLRc5CFPixx
EIlvoV0/BbL05gmUYzYqxk1oF6+ZPDwaRpCsWAjhf4xouJJGflAT/T4MWJJY+rHuceilWk8adOrg
PvBUeSUlVG3iNnhWVYEnN05Xaog+T7HChZ/S9LbxNRysokyouJn1rK0Vf2Flgb1HZVbNk9QSC6yZ
1zTu46cu1sND64/9GjTFZRVSZQYN6tzGugboMhJ3pZqbrpzQUySLhkTZzGSjJZMiL8ZLEsEAeJhA
zKB7vfoaXqVhQm/7SuhzAJflGTkcd3E4NU16w3BLSUkWstSBjM9oNw3DSLUhgvuqQpUbkWPVRUBi
ZogOC4c2zQZNLBUzy8npQhXipahJYmepRvWw7lXOPoWRX7JR3Wg5CHv8LxWZJW4S6iNqXO+2APGK
1Ko8VDqxUIZOtU6KrWImN4T96kV6XWrRQegaM2Ia7aUoPNU1/TE7iy7NEbkV+BMNSMBI0AINhJnS
aw+spdhI9HLNQmpuejAUSxUzztxqMKCJ7GTayG5EqDSrAQXxrFQomqRq2j0FVoPzompXqdbiulF1
cy0rukznnw6j7nTDKeyV58RATeAEcbwEDnyZd+XKHOkxd53yUAdiFfl4WQJ4lXO+gGNo1uwHxzs1
6xZ6qW6dsR+Wjdzubae8NL0e5H2qYV6u4eobkUAnU2U3GXkDtCOl41CyCUlq2O5GeBIJs/ZgWCdD
JeQukK1TS8suGzLed1Lt5Tw76p21q00awGHbyEQukmAuWca1KhdHklxy+qntlWUh9q6VRY4PW4nI
j2qNkcCS1kMvjZPQ6QwOaN2dmZHZ3rTwY4tEXchJfZ8WGibqsMI1k3T7Liq3SmleqmNwOYT5nRNK
T6qv3XeiuJa77sbPvA4ckb0lZ3PEnx4+BrBs5/ngPzSVjF3QKl7RbvULBu3KDvu3qBsnMD1COa3y
bgBux/jPtA75C5SUZII3O/xOR0ZpNir5vZPEd4ZX9Ygc+M5E3b6XflkuM91+rMv6gbljn+iUiTo/
5nSjoakRaVLv2krFstjhTlCG3MUZ9tal0qUexg+lhr1A7u5It3WVEo6CaA5NFrw7XnDdYmrz1O5N
ISJHKbp1Q8u1dFJ0UA4O91xDqSgZpyhibjC79BE86KsI6LwnFmTP3rzQ2/o0KvyO9lly2uuumMaT
x+0WzrotrSdRD/swz9TZiNck7lBBSc6uDMILYiu7WV+ZiwLihIOTQVOTi1gZb0KpmoQ+MgfaqHtm
jCeHJDZ/BJK1kex0jcp0hFHNDGDYS0eyGcwk8khQaXMoAgo4HdsT6zjE3xMOskuUBqgR60Sb6qYe
iq2I02cnqw+DibnFNjvWby8mkisBFqCsWxAbOb+DvuI+LulzF/Kh6eoneNmu4gcOMSKGK+u02JXe
XMm6d+nHYk0JZkXI/bhsFPlO8fVDqLTr0VKvctXbRk26Ss1+Fzst4VwS8YrRfaFYdH+TJ0biJPGr
76IRDUmfOvlc1wm3Vw6NTT+7S59yn5Ib4oOmLdZG0mJ5Gm/VBk9JOFyadU92o70p5LvMvFLtS618
ZswePA0hzGgs8UYfKb/z4dn1zrKwS1SQKHBLB85wP4TRPlOg6FQqrzauc28livQlIlNnhjBgh8Z7
3VfSrtX7H1FmX1hscOeOFm4lBBSvtWMdFRmZB/k1s0FJD5wqjp7Pn7UdcUx1/9iP6VYNUH0r9AeH
Vu0o0slrOhjrslfkLaIGmokB/lFzsMkckXEyNXybRdIhV4cIcwj0bq3qOmVHmCFo0Chlqk5wFdqg
lTAS3AzwStxM1HtyFzFPaksxVKssNE/ZhC7SiTdbphKyQL8bXsY02IZ4rd2+LdAudNgSZe9WDisM
TEH6SsjXve33zVpNMmdRC/nS7/yGjny2y1FnxLKBIqtGpBxkBfk4OWSQ5sJM+iPdayRbfA2AxzEH
1cmAya5a24Gza2LtCK+4mbELRc0mFxub6I9WJs4kUZ4CCdWcWqxtpbiScAVQBkeR2+Lh7Vhb50nv
7yh/38rR+BQN2pUJn2tuNMpdEkvrfEA/UAQS2m5dFxs0hqgU41y/ZIlLeqy8Y94htggfc6d+o3WD
MpDafCj5CNMIlJcbb82oYAUatMs0Hl+SPL6Qmi5zU/4vVBL7tamrJykF6t7Hq8FM3qvQN2fwKWDh
p3soWbu67m+6AjWosPRThkgH0ehlCNofzPv0XhUU7SPG18BktCF9EquSpLfZQKI4UY1HqyZGYLTz
fcwnnOjhTeckp0gOhmOaFCRtNVD6k9RcZAUVlkAKdmGQu8gOr3MDJMsw7mBJXwlBBRJTYIqMvX9F
NQcnBtj2SsLIluUlQIPRvi7GZKOJeKulrbkWvcT3VaDs9m3lUs6rfJa1/rCySvKICANK5oNs18Sm
TB5JG854hZ2HkSSKmWEMaE+QC48iHVEV5Xecpq5zMWJkCo5RasqLupXuJMdOZ30jLosExecQPg+N
dRFL6UtRoUzNWukiGtUHiKz5yk6msUkqgSsqoMoirZBQ9OIdLa6N0d5rl3++3/9/LTeMaA4VPfJX
+/hV8zz8vF3/7x/6z2bd+YvDLfnkCtkdJLHbdOT+YRwb5lRvZytPosZHoNh/8jzkv6ZkMHbrBhsw
4j5gAPyzWQeAzB8g9Bf2MdptlXr9H8SGfVT3f96qEyJqgeUi45NDgHN2OtYaFGKDSCy39Kt7rYKY
UlXDKiq0xyoIt8TRXguDzSWZRLhq555nuCymi1QX2zzhbDgmVxoOSi9WZhZGA6Nkn9Gi8Spa/0aw
4bYQVBGctMmFTO1UYMhl8j/UnroLaFx5RXgA5CWF2EbhKqyC2iPptyMaSo+X2bgzy+whV4kK7pFl
pc2+Cqt1lAFhGEZjHzPbD9Jw5wsVU/OQriRZOWkigUswuJkl9jUa9qh0LnVQyE7f0RsiFiFwTopD
Iai08BCWe09A0EpgGQXaXR6+ZXrhdpLkhgWCsHJctUO56QyT9T1jhvbkQ6KkPBzEQwo7dgur86cB
9PfB+DMy+UPq8NXrODs5OXFuS2ZPqHvfGm7RMPmTFYFbWl4VQY7DgYOB77AnpztuaulrU2KXCQS4
hNiVHP16tIZVRfZkokQbPaRUGrK59nxjHuvqTJVk9ifVvE6wAMu4RjN5azTaEmDWorY5aSmSXXxT
NmZJ/+UsyAAjnvUjq9bQz/Uqup+SxI7W3aUssipUZ536ydtQqbuxSU3XoHOmCuktVOXd1AdVHH9V
Yz2nZgOsL13E6pPQ63nAsmOhWTZa8CUTUL69kmpUZpm/DNqburnPNG/ZmZDZWpVYSlA/9SsBCKbj
hl0zJ83ezfy91+8jODFFu8zRupVY2/QDOQnU7J9wsy5ZJ3cS41dle68F0cJki5HfeT0cS1g7eQVW
O8KLTu29cZZyZ/0I+606wuhijp6M55KJ0yPwyFSyBrRcsp28D53yGk1Qrd5ublrDfxVZcSTH1M2y
R7/EG4strTQBYbDnBc5NU7a5iFAvK7m+L7sYI7IETIg4rZieVRqqW73yVmPv7Ufk/JbfrEI9W8hd
vxW8PdI3SLbr9gWGMVpq5huKDigvNGj77r7Bl9OFxNOzqVtTljiYfZ8x1xNuF3inoFYvCzl+x2G9
7kNp9fWgVqZ+1C+D+tMQOGse2UGgS1kDKHQc7GxjqlK60OSuZpuPK7mF+rfqJP/aCejzKrX6ngbp
k2kDFQAg08/7VLupMtwFXSXyjSpZV+SfDWsY29/pJ9TfDlXq70hmmXZ/UcrpCnLvaCQoW++9h5Rc
rxkTDpLzZoMmeeHE5dJCeqmhzq3qBKewvx56+v3ZlAoC2Q9PAlXAlTyM67rPr6u2vOuN9s9C4imt
aI7ukNfO0kF7wjwrAVpeWQUKuaJundnsu/MrPUBM19nQLQqjN76Zj1R5+vvO3p3DUkS4JKYOzZlW
os/1ZtAAod6SbOnaMd4Wc2RCijayj6HTsnfk0OCWNNZR4L3Wsb9m5r2D2+rE7aMwNRzRknLks3J1
oS29vl3ntngj+J72FgisNLNOXVNftoZ9RXYGTifQY7o+rBFUQWpngs6j4qVKdSg92aGnPywadou6
hahZX1R5sHdEvkiliaGUEH5XvwacrWPRkMabuLY1zKV0vAgwgbfUETTODjNa4HNid278zlyXHf9Z
dsAMavrSIpyV1VWdDbdd+1A3WNCJEHxJyXTpUFSPZrAWLSOyV5V+PvbBq89awpPAfeaj4Y4nJeOd
FmBpMaNDGp8gEq3UcUJtWac0ry+S+tgr76XgSGaHG8bfumq7TVMp4NCYbqCDLi3MlyOZ1RiB9E3R
HFu1v4bWdF9VQC+ogIXDsLD8DMn02OwsM1wgvHmzSQEgj6Mp56SprPiEjwkOhiIiYph5SLExChn6
0sPwX5Xvnhq7HBUBEELJQKjsOacQcpLaYDoiOUCq7gwAOyqAxzpdRsWdX1gv3kh1Ko5c089mAwqH
xFvnivSkK6Qi9uGNT6Chx4dddzmHHfIfywevebF08Viy+sjikEkHMh2h1LTuGJlzD5242aSLPlCW
ZhRdc/ogCrvxf8SJuUsETyK2Vp3/Ktur1GapwPYS4KnKA4Au2f0YRq9BXG4Ay2RSsWNyncK8vEpe
q2lwKVFUgWi6KJ1NzbtuqveBxG7yv2cO0InSulWUfj22zrrSWAsVc96KhwTemJayQuS3or7vgCMN
UbY1TWgOOAidxnpsrAH/AnCoeATepeYPtdzsCgaZgxQp4tDlSd/0XT4+qa8+ubNW0tDJY2hMkeXM
PshyJQnvU4FDqqmQd9ujZFBobDcgAuDqDLg3Bx/x2qBapxqRoXCU56HgMFzZ5ovTWk+IpzGhed5V
N9bKIWnlKy+2n5QAPo6pwSUiUujPGpkfUxQpdRrWNBO7/XlguxK1vlxbTFEJYGZPrhWOvfVVFAtp
3jTAkr5ZXX4tNiP4JfUOkYAyWeCn1edTxyK2NHikdWgDimMS6UxDLMYxsA6xneBU40zownSQ50mB
NouZoMr4Vkxz3k2eKU1u+kVn5vXd1z/qrCXEI9DZtU96UtDo/POZEm/s8y70HB5BahE4pPmZPcOK
sLJzccwz8DxfX0377eV0nLz8WyYW5WwTP0QE4Y1EcFGr1vZxm6VLAJzaKsi0+6pFcKW2ujf34Cdj
9yGIXlNOdkoIRpX4RxspF2QQeTeSce8VyVHy5CNRGOCCw+ugwJLgT8tKmo/2uokbPooOq5Rfe090
O5eV365qSv0UxLxlEIoXOaOAa6lVtTCqst/UuBvnyCYwuzfAVb++7XN15b+f8qfbPtssZ6IrDKtm
vVbLGn5JcNHoGHfGLDHIc6rd1Fep0jjA3iqlwg5iv5t1fG2Tu/3175gaoT9/r6h+NAa6pqGxh7r6
8wDsBjX1Ij2w3aZmoWGZmMKX1DmgnnBBqjrjTRjfNE5/3VUbdH80SuWmZsL0mA6Wnwd9ZCVmGkrc
eqRBZpBtVoBczl5HyVpZVsb60c553Vem5Q9QzJAQfn3L6jQH/XTPZ9c/G3F9bNttGzHAi964MJvy
Ka5IAZCs4MVJUQFqCZ4UAuOumApsV7YHogYrmzjj4pjoVNkMA6mdryvtPA6M5xL+1GoI6Dho1OmK
Keori7EG+JMt06uDJ2P0HoSUX35zE7+8uI+bwPzMfo/v5lziMcSF7PdlY7mdrezqsD9AZ6DzFKjN
Aj7wzWjoFdXB5OSFhNsFuS9gGDqYEigl802TTRf3MPCc2gSZmDgvvWUenAaMZ29j+o8rB8eOFcGJ
I/J3F8mg1fswvDJ9bGTpB9kpAav49S399rXobNgYFGQXnO/WpKbp5ULjNB9n1m5sWegCqXzTiv7m
6+uov8w4Bvw7G+g7MxwxTOenOlOC3NbSu3RLawL7qXK0KbJsikuIymTBT1Co9vrUTUdZ0sLFKJne
AS/GW6QJtHEtWN1u2HeFfnAS7QfnaXNDhw+0V++J3B0LObhSTenBl7uTVSmUEApNnpsWAFOthW/l
2XL3zSHl1yenmKxY6BgcDGPqh1v+0yoS4J/Rw4gPKhTJoxbrN0Rqr9Qo+WbMOeeTFrUg2dDYTrOX
ttjBy9MP+XShWAoUNA+p41qkhjpW1Mxa/TlQgkWrWRddek3lhRhIRKewAcFv7yLzAXd4EB8Ha/JS
0VPTFm33HhePRXTvW6tMv7YxZ0QyMdT4Xex4lrQD7CNzJtSLwsKZSxiUcY30cR5F7TZQr8Oops/4
0FfqLKrsVQzctQ3ThVGfnBqeE6Skth/YP7BAVBs1zzCZ/5DGJ+nOo8mjwNUtIVhb2tzPUBYXt6UC
Ns6Kcbc2aN2w5Ld0n9jK2y8jkD2DdhKHBwCR/SzqAUVb6byF1ZkFIb5hY1Z4FCAQbGIBLQybRvDe
klG6zYein3cAD61kRi3GeknFStA1GX3D5f8aOXs5uPaAZlgpgDhvF3LvIrD4wtI5+0yCCOYBtFWE
3zm31gxAf4mm9kARKuML8umQGEq6zHJ9SpOnxJuThpBiy49afRcrL40+wUd7t5h4xSPO6k3Z/Wj8
jeguo+gV/EMljgaOJKmGl10vkpruCybsZoWnXscdSaX7Dj4HCvcmy2gXu0n6KKW7WgLO28668V5D
32za9dy4LJ46YBtoCsF4hNSntDsJFqQGGsdKXgfzR2esVGNr9ndSfvQaV4RH7cHTLnrVlYKlCVwt
ineJtu2oA5gQBvuFyH60DajJhZRusu5WA1eqhztAPIYPp/POoBiEHrrByluGHFgnehQAU4nqwI5d
dtHhZ7sv0Y5PBuTBuQurfWG4OKm8CKD0MgxcHSCcbZB16TbSstYvDNpn5VoB6J0sqfRh8tXCZaxf
DMW+rqGnlmCMl2l8mVkbJwIJyRNIIpoqK9Tnnbo38u0IJ7baN91Wbq9lMP1QHFXZwam68PMlxy9/
PA7Fj9xhjTAIaT+KYFkFT+nwSkaHx/jUhotRvqTEZEdXWg++6KosWEbmFdhk0bH+XZs1Ab00DiWH
rNr7MN1A/YnHzeTPwaEa+St0lKw0myB8TGhLcbhCgwmCs6FeaV41DG7jzYrXjrYS3m2uIVrQ5mZz
8pUf/Y1jg7rfmyCKxmNXrUW5kUuAgvtG0PS+9snmCCI+DNnVAnmuJMsMBEBLZWaErautCgO/7r0d
LMsEHzwgYtYM1w+2lgLP9Ya0t/IQeReNdINMvQ2PXb0TJV5cfj0iUm+DQzw4lBhX6KeH1pLBiBsx
aRe2fsTnGoF7wSgp3dnjVQDDUENJ6y3qj7PPghGL4CBStrDlIelhG500C9oWGrLHwfXOIAJZmytM
Slsf9huHWe+OTrr5wF/MUIPKYFuvtnPTS+820QRb2myi2njGc1fe8J3V1msuJs7GqN1qfUsG2ion
SyTYe1Ras1WrXwL4xIOrEKyG4CDO1rK3zXHC9uUSYWnQrIilDesnUaxUvXZzYHoBrmoD1gs8HVG6
JsMEM4Oks7XHDziAO7QvM35FrW3Bs6jDrZQcRuwAA1DmaGZXWIXFY4KiHFAqkOGhWqexKxvdQa5H
eLE4WrN8bhoHnj6AY095Y9KbcnGMcJEb7019pbEiVEc1j+YFObMBFBm5nJX+jZ5vpQphQLapK86G
APE3mv7UW8C01nThmnIV7fvkkHEUiJONX5FO0x5Awwohr5xobZl8T8+R8+hASCbFBE/9IsKzr/T7
ZCQrgA+mHAEw3NZWd1LhLRRtR3QO0J0U5m5BFzczXaUZ9+L/cHZmu41bW9d9IgLsm1uJEiWqtyRb
9g1hl232fc+n/wdzLr5KpVAF/AcIEJwkRYki995rrTnH9CZ37M/iJVRcdlxXCp8yn0yaUl4F0iwy
yNdy5PqwWzPrKRhO2fx36dcgZfA2LpmnbVUkixwarBCr12kg1nXwF368ysblQIKsSZQ962+iuz5g
Xks9y2BuiRLYN4pj+vDboXSMeW7jlP4e6Kj2uFgiXV4D0FoIIEeqIL7Vo7ALYaWrsFZIvP4ko8SZ
FOlSWsRaFMvwiyjr3IeCIy3iYGMGmxnRmugPUaKl2gW2mLXb3CIeW7mKbtSeCgV3N//fKJxFAzhp
6a/HbAdrelFA/y3xKEgwaDNQ6HW3NUnLmSgHyKiOhY1c78ORSSXOVJZHhQyaYaHjoGfLSX23LfaT
p9v6g3b6mDpzYQXGQTBuavqh9gzGnaH58NOH3F0opXzl1dQAeYDRDlLXfykayZVYNzskGclNRq/Q
bYLk6OnyMmYRS4o9XWAhWYtIysPJqeJbdjaDV0Nee72yLJHr5IMHNpfU4fqJlI9KXHtBuFKj5xjD
UkgJJvfPuLCXZgYVyjwgrF20ROnQPVFtEm/M8VJKJ2DDqcBWelIGrFO8DMs8dfLqhbiHjSy7bbIl
WOLsVdkriykH14oNqglW4bwZS2eNjl8+viRXfTplECmnllUJ6UtOgnOIG8VnQSnPxoGt16P+GBs4
iD67yvxqLar+EgQwnbNdAVoNHrygn9JpVRQ2Fm2mFSzSYwt2g4XLtTqOO8ZSBYsECmsaVwn8cO2c
jd4yBrsVbT2QxuJ27A8EE4zKfe7aqFwj4LWQL61w7RWH4T5aFjQ1jGgzoml6KA7mSg5vXvZDkD9p
kSxN88VS7lHGNp8AKgGdlWpnyUOW4mjpWj8K+lEur7HU2Xr/ZfL6QnomT0gtjypOW5CRdltigeLy
izbes4eBXlTSq6as9cCnwQaPhmgNBSw1OiLsVRAvWXVseMYAW8DTw0Z5NvP2IndkTKMSPYnqt8I0
N/nOzftATIzUboRURtNwjEPzKU21RTRHQnx5BG9wgiKQm/nIYFevXniOxkfcxyuR/zC32wzeawCP
5wP8eyTc0pYiZKLNCg24HDYRt4T859TFeYNSX6pw+4tbOpZR8oQgOpfXpvmsqofpUVfvHl+AvIIh
W2cyWo4K1AeNbUPPTlnRsy+TBh998hjLUNwzEG9IbqY1nc0FBhEIHFBpqoWHYGsG0w/sMRbPazDd
VM8RpINSnLvGtFPzR8Y2M37xVkzGc5cDxxBsWgiFuWVOuSjlA3zdQWKmg/VovnVJVy27fHyuwmtq
1fkq7bXrYBKLrk10ljclAHNmk1C5wcMAQFHkD3LDqby+NYS4KrttNYHwRQDXFyL94PcMdJlh7iUw
o3qzNPWHFhL64C+Ti8rkqSuYj7dPfUY2DA6DHOSYUH7mQWvr4rEIQ1vJ25UwhHYYyQ5fcEn08N96
Or803v9XJxi6OA/ONJT6c/H6U52Qt8CsqEctsMnyXelDZiYqstwsL9dQ/8a13PY81cZHISqE9rQw
lSm43MropkVRFd+Srv2QFN8VBfQlPfCf2Ai2nW46ssehVQq8I/bYPewtxHdTZHsFS6VAR7WwmAmp
jfWqVuzro/EJJrnHpdjcVNRtVqDKf+me/FJ4/e97mjr9E1pliEZ/6WSUvTKGsTRrnIYXAdpHQ4tA
+4vRR5r/kJ/aFf9chPpetlS8Faaq/NIpGlMdCkFcQrjqUBlCKt0aCuSDyLAARzLb0WoQLNrUIxGp
hCVatG2YBH/pCf46BvvPh/hllGJaQ4E0E6Yx5sJd2hRnLQwOsjjBbiXUaeWBSyAHoYMT7/XqGh+P
ssI9bkEL9gHK8HGngchqk6R124ApyiobMuPQkr9MmKy5X/Wnm/VLhUqsD75lv7aY9Atk4JFIBnin
BLikeYzdaMvo5ZY0qg8hmaPcOL96cEKGxp386cR3eEhtuI7D1rWadl1mtKKFaKPB9unTC6D5mylm
a5WTSlm0r9pwlRC1hFQ+ACBrGQurCvEQHJlak3KWx3ZblEsfQl/JBoRSYW1wWuoMIq5ixZEkhIED
NjiL0KcOdR7OVh1M8NWqZBys18YwyNZhMCYXK60n2S65oEQz+/zUJbdGoB6MdezzBDtJT2V7puPh
ih5kAMSbUEcD6zSQD9OlNnoCxhm2Fe3qKjm32U5CAiiUr11/DskZGvJiNQgmpUS7VbydqE52iNqR
0TJKx22g70hsgobS5tCJ5OWASlOagp0kg12FUfNkacK1U7p9zizxz12a31g7Z4U4Yztmd/zP+uXd
UodShd/LEzflYQCQVX1H3vxaVd49HMdDzsRJ94R7Mw4onXTbiDMC9ZLpTdQMu5sm20CZTRPnBezx
lvw1u8BgW4rR2oAsW2UvrafQeSQaUMkYx7Urwj3gHTPFIq9vKEAQ67ltwpwWQ8khxcwedc/O8AtC
euak0axH3MpFraxTo6Me89dNN6K68z8LKy+gCkWcq4Q3L8W1LqfpKmomKM9kA1AMxPp4ahLiIoz0
/8MbxT0zLEmVZzQiX/Xf664odQUhSXQ2Q3xDntbpDhFNGQGngbJPSQMpMhiWcXhQZj5S1higHKvh
xa+1apFhA1xKkyL8ZS/4B1D8nzfyp8/0y4iDhEolYAYJDX0JNmkTPWCU2lShrr9Ud5DA7b+Nwn9j
Mf33Xfilpx1YY18aGlckG3MVP0FNtfMv7Uj1sjNf2t3fXE2/2wR+uun6LzALKG2RVhGKiNnzKSpe
ACUq4V+W319ECP9bff/vHv7qNZLR245WzSWsvtxJQgMbfBIPk5K8N41EfJ/GqS2Kpvc/v4L/NEL/
8NPNnoyft/ExFvKR/deyyxqo8iDf83YiwSzAMC5Aoy/Vm5iKKJoFUMH0l6fIUQV1jfyWAjq/T8SZ
wKUobei6F5SZd1z1rtT6ODy7oxipr6EYMvcH2zuV6wprgohqSpXj1z9/i7/du1+2T79EdBmE3Dtw
0wsLE7WF3V4s7vSkguZNLLvLn6+n/u7wo5qoDjj3yOp/jGFi4kMTM1m4BC+8WHl8Sv3+oYcMndQQ
j1Wjv5VTcxNjiqahugaN/BZE4lEgnTZQoqM/9dhGErrRSi1v+xSlj+ZfcknZiFq9sgSROslcTZwM
OyI4BUWBwRrS2dNWqlfldqlE95hDgQxnN9LTrV6JxMBGrmggDIPEN9QD4R5t9dVmndP5pHCALu0y
HO0esu0/34nf7sWWbOL3oaf/H0mK4WvS1FgNpyPCsGKD5g/senKQzIgISY1Ehkndy3OF++fL/v79
/7/r/qNT++n0mSly3yQxyPCh1lqWuZzInfBZmWp6iuraKp913GeGV7y1Rf0eomnuYLt3gMX+/Dl+
mdD876X9x6GK3YlRwy+LsZW0o9KFFYIpucLrTpAmOv4edaG5EXv8DwJAuz9f8bcrkYUFCtkmLXr9
l8PPQNxHNmKXoH4q18zgVgEItSko7D9f5vdL+k/XmQcsP93gkDnESCTNnGst+CvyNGgMbEi22fxg
0h9aTvipbwpHOv/5svOf+p/V6Ker/nI/Z/l7LHhcNUK0VJVk2xrhGs/RgsSJvzy5v32Ff7rUL3uW
GJYF9iVuZCoaC6+aEzL/8lP97sswwaNAYnaHIPaX04026H1LKhEV0li4lexRAeXFF7kah0CW/3Io
/t23+fla8r9/rnHqDVVqWJCq9grnvftrvfffLyOroiby2GEiNgks+PcFiOhqoriA7qEn4UZhNBEQ
QpQOwHOKxPnzQyDr5vxx//0c/Ptqvzzl5OwRDWH6M5gNaxbukSm4J5W8ioDFzFaxGNx4Szcw3BBy
SoxuvS9k7RWBlottBLEt6bzetikdD/mRHEnrZOJXSLcJi4Kf0QMwjVVLt1uPwa0NLTRz5AfU1aiF
iMhNgbCZIZ3kfN+Q3uFnC4k4uiJ9tehr61LOKyfMky7kv5QFhBeYCH7V69zMqINhEbB2A0FbAJRB
PPQlCYe+thxvFJeVaC2b9lnjYG3G7S4XVQC33kJEytMrc/CPRLeYnGf5EbA3xFNE8f8d8/Q3CTqi
TryXHnRv0gGshAOB95QTjtCTAdKgvi0rtwYay8TY1nM6BvlmMI6W1u+95K5X3Qr5/9KQdh7E9dEQ
uYMYFDIAmUxAooZKE2UV6E7fhGsDPEUdPtPiIQlYnbR97sV7hBbLOXA6mbNVCzdI7piuRci5Cfzf
2R2khBnkwWipInujgWZxI12JiEhy3tcdoH3T71gfmVczZ6sycZXV5lYhcCwidYhocFHbh/mXiYQ2
pbPqgzKuDLrk+8J/l5K7RCHZ6O89/jjff0nk97JHtlXy0yqgfKFVK3e9JjCGCOJBehqa70K5m1EP
55agYqDtBRozbVxmQmWr0Y8atGxMmoBFfJOREZeILK6mXa3oBKXVr4J6MlOFRn68NGOcN7S3FdxN
PhFavi8sxP6RERegCWvFRHA+wPBl8Kmr68ykk+UzzyzeR+GUah8dDqKRLaqV8W7AJxKhnM6gXTpg
GR36p8DH7nBAr0VkQ08rDXg4/3ZXfE/pWeFnNWkhysOPMrvEVbCaC9U+fkNz6fodHrJ+zbEf+usG
KbqvfCbBV+a/qz1PWAyeydG0LfhWPaqRlRO72reoHIDtewy8hvfRvHvDuaS7WXXkOI4Qggge1PgE
IC1tYTxBUV4oMdPx7Esm+syraN58NOILrfVA2xb6JexOWuRmjDLJZxrNfQ5DMsURoqUfIQEd4w9m
OEV2raXXASpRYKzM9l3R75gpmYYgJFbwvCXLiBieqFjBNhcitJVVRXjBvezDnVGcRJxKE4DSLJUI
jneAWUfds0HHz7wmpIGSdGmC+lXDQ1q/VcWdqMWKTllMQNYcdlZrSOsiYxEyJSTRnKGNY+XfVEyy
dqzknUjccYhwjje9Bk3YQ5Z25OQ78I85dh4jAKyMVZT0Y/+cVs8CVkQvUuxxIN52JpHya6m09ZPH
OIkEAvor3UjxvMNjpiKdknm8U+fvpP1F5kaRcRuIrkF0kJygexTAWFj7nPSqCCNwgm2BoDZiz3pE
0Hm+G7NTRKiEjkAm7zuG7rs6XcesU1Du6EGkS7VZ0aiX29KdyieTAUdvHQr4VOWQrgviWfUHEV+Z
AKyANy3TXIDIiyK6hRLp8sQmEqsB6cht+g+VQ2lGXhCB80zaJWDcCF4WVTNue3knh4caKX6XUPbD
JCLnIEkxQFWIsz5yLyXkQ1/KxT4FCl/jq0j/Qb9faw742oeqHI05vDVazXMzHfC7duZtWog5avEC
1brwImYbjZRHQuK0+k3E2mUEzzWSTwL1FmrtjO13HLDFBOOqYmH00l2rv0YYSrNw1bBixs23x3PT
lkgvp2efWN45Nhjfhr9XBG+REFqoZGehdLoOnfvR4M9A4SYK76K+VaAsVy9IUHzpZOGObsiXJI8V
/O65NB+Mhme2mS8wxhda6h5kqAQIK4LEb7kNJdUNaxyf5DxrDG5ra6fVG8WSkJQR98TrSuBG773G
wmsXfdOEXeCR1E1zUQzXYTgKyjEeIO+qhq13Z3gjtKZZdgVhlWnEKLGp1jkD5YaPWlhu0YE7CYnK
C/uFWk20H5iwioTS0soYQpX4hlVtMBtvn2R6qpG4i5IPjZk0YWtf6LNJALxMfX+cmJoGiWq3cy4k
8B+14hwimpvI+qgJLAM+xojjprKMm5Zwx79/bwmSCRAAGIzKPePBEy8zpSU7BYfnrerSJR7YZSCQ
B9fxEPPOTNJ3pmeHCoxQP+ADR0lkFhpjS3VRyJ0NL2AlBfFOmQJmu4D0SqJV45TcsXwVVslNGtJN
r9WuxlbDny4CzeVnEDvoweQN+vJzPfvK6gbiGoZTkOnvzPoJAlQzsHD5FtdnjnlH1SMI1e5I/xzX
RWzxz/kh+WgBTZnJQtyPCqUEgiE4U/phdGDomTmgcB4ttA5kZfXfyrD3tR/h4GYMEj2Qc1uTYA0t
mFa00fF8aio7PDOrvJJIsgwcAx+8n+5FKHbkuqjptq/DpYpldGgiyrgfGYZkXMpkEQUaXX3k2FH3
LQ6KDcl9obALEUiSEBCEEDaHOn4W5oMBA5AJgrfJXjkKn4LktPKHqj/F9aohZ37QLqO0xuWLVCIa
1uwSGi+tom86fyfMJ6PyNogvRsc+ggRkJC8pmU6e/+mx3ysUlz3QP8GrzwooAUHhBWEoIcLgl1pr
27JgyNNnwWof9+LWn558la2MiND2pdHrlQ4+mchbJr3KeVRQouOtF99G/4Z88QUT6NkAK13Ik+tH
b1JRbNnWE7gpPck1mR137TdesQ/EaaheKypC+sQ72YsPnFUzXrL2K0rAUReKrSGpL612OXU3rPbn
Nr02SUYOTLr2pGLRGscWhQuMg0UknZveqcTzSKcvIVRA3o3BQU3Par2uNTdi+SjDctkKhKFTAhJR
4r3XqbUe++9qWDOQqvXXZsSXG4I8n7YBgPKGx2TVk7IZkxjwUqA2qTQnIBuT1RfVuFVcRl7+XjZY
XkU7gHAdJKwd3nsvgDtXGYDVIQafO6Sd1cTqAnJwm0o3I6vcFCZKFIpOlYENr8r3osOvijdCYiuL
a46B8UtoHDUo/TQzloWxiekNBF+e9xjUDyU5VGjrp559idl+qq4C2FMxJHRfZPmQbhr9lhHUn9rU
m5BzGT0Z4tyk0VWDj64x+NGT3ajYqtZtRWOjCI/eGOwAmqMUIenPORWqWD5hclJ4FRx5c9Nzx+wb
fM9KHUsCFN8kNmzkj+kEpFMgcHAcDU6/FzgYWOo4qobTSkt2sMSI0iamGDB3WphLfQhWcrxufET4
lMljaeNgBop9Vs0fM4AGNRYP3XECAdpDe4QlphfE5nTkJL764WsofAvUZ1H6MlqnrDxrzZdX3UP/
3M4vFtuiVMP9Rqm1SEQ37n901ra2jsp0zXsGnAbGXbT1JuMycdhH4Te061La5iVeK2B8Mkp9+lzj
McVVH3IKkseVwO4DICNVsJF7q07m5rTaewA5NA6/FJJpifBVHE/OsIEoTj+QxTv4G2X8goexm5qM
NLUk5qYy/c57HGsAy4mPIX8IkRx74cpHikSRUCNtgL49FRs97rcjVm2ZLXOOD6kJmYxn+44c7z3B
rtKnnNjtOvhsk3ua3OCye4WHlfocDoc+0p7pG+6yMsEmn8DYx/XRoX3QX/zxGpX3bG4+0Tl6G+Xc
kWdLrsjZl0Em8WQTGaOwvpaFFtoVxA9JfEvHyQEdznlaXrWGtmpk/qz8vUhNp0rEVcG6w+gChIi2
KLCohAKN8LGfI33DB5FuCxM5dgU2AN7HAloYtuwczgSJaQEhPUm9S+qt2G2ycK9YF6//FMppK1XR
shrNo84hDbIcma71KQ4yvurT0FGLMZcRhx+JeZTD9ybgMWvRvfIdovdOfK/RX5UtccsEjis6HmyK
MzTOS+xTBK09aeYbHAgbW2ELpl5+kjTWAmAk5wivs2fnxCMdWQWGeQy+lgpbsBxCOitwjfm5Jt/D
sDGHV/17XNwUBAIF2hO7iFeGTD6cvy1G4rMCVsNVguFPXyYfQflcA5IkvU/l/L+M5Z3VH33hWHpX
4N6+tB4INU71fdiQRAH5gaJy2vSkdWEz0xKkow9R38ukpHnvichIfG80TJyJD5/VQS+t7jbNYzKe
/Jit7zjSQ4w9fp7XUFqNIujJe12eyTgsjI8xuybxSQvAxJMKva6F5zB32EBpleXpWVZvuvRa9S6v
hhEztVp7sTPjWCeZRNk9HkvVRGtF0TLAonkNeEfEG/Gxfcc9YE9e5Ro5Zh8VLlUSTHzLkdP1SIaL
4jYCKbnGMoB1SogKJ/aASF5/KSQvrUBI7SMhtqgyLqitA9lBztbLtjgdZfkZo9Yi50EqRs3ua2Ac
dhluixKRoXzsvReldbzy2CHU6s8xQWbTuYZbm5I0jBZTAiHxJSuvSUIkxIKl09O+eLyVAJskiQys
Z02PHCVDkPWi6Cklz3XolhREMp3a6SCYTgk/Bz3gUctvXJKIp4IJNLKekoA18yoWPOS0XgfbKldq
tkYi12gHE2Edq+wAzwIJD1TQxdQcCT3y2NoNQDXEKE0bhHu9ulHUl1beAGjNSKnoSU36Rinjte8g
bsEBRLZpveq6gZvntfFcP+VIeSkTpyE1IiK9nZ0J1s+z3hyqs1EceJvGYl+zsVeuIHMFO6g5suzi
2qUiV4RXfdqySgsvUUwUHFSjfqVNR696g2dEvUeJ1Cp7kuD04erxGNdOB4QIjRfhe7Fbz2BZ2/PX
tUhGwwfZguzxw1s/XSXlpoRujogMwUzyRphzkjjeV8tDlQcHPVnlMnHXF6l75bQ6opKol0UHssg1
JYHYWLbG7QRxrll7Fil/jxhKZ7QFjsGhhFYAluUV2TnTxmMPRJ5R7/OkWVriTq4HUuefcdUmAdvy
ZpbxaFerORZzAup+ap+rOdpnbeak8/wTa8dP1iMyg2K5DBCCKjpJLw8LYom3V5VtPY8uwO97cxMl
o8Cth/K7zsaPQOsRUkm7yQ+eMmM8SyWmssZ6YQHoZ92tv/N1FJWOzzuis3il62FYph6i1b0uPQy0
fYzNYycyb4BwUEvyLUQJHMWu71cCCsvMFeVLly1qg0M4PB/ZwYGhTiQiL9q7OsOcV2MIKCHeyDKl
AMqcvllX+iXtUajQcUqWhicvTZLiWXUA0M6JaBzpuuJIDpcmbrt05wFbTlbEIHHqwxYeZQvNPBIJ
NrJTptOpmgvAGCXnJiT7exiu4uRQYxXysu9RYc1aV/q63O27l5crTXqycpvjmz4VdtJc5MwJtYtu
7lHWpYKb9bQK/F2tfuoclcHboItsrI9GeUbfbNU7zra59Trk/+QqywmRHE7Q8gNumZws1G4vedRW
4azsHLNnI7pXHQcWStGTMRPqIsKMOGAROTnsWOuZtM/HVVG40A4w9UNR3vPsoPgnAcFakFD4fSac
xGlygRwpi7mmWGTisRTOnONNrsd5y3Os5BgxmuQNI9NXpJ0E74cpVuvv0WFFsyC0fzGZnXKsYzcg
oCTI9m231rEUCcZEwoCW7r2Jvym1l476b1xpwYqgFF9lhWB0vwR5i4IckcqOfh6dwbTaMv2t+IWj
4Essr8C96/RZrtbmOAd51c1FJzYvXo/yireDE0gf3SKdv3hGysY1EVOj52k3yNfM0cEkg/ia29pt
SIxWLFJznELfaJwHDdtLN6X3ovk8VCuVcj/BR79kjOQz2CbXnPJadSwTm9Uq+FEpR9hmAKKXbfxZ
vfZlZy+a+mxRPRkk+yz6ZDeYGzJDK9qaMblhbl+vhuo5Sz6tfmFRQgxPZb0OLJcdHwb3cvAcfbyo
6g2wdjY+OHtKJhLuB0lKQgaafANRLbTug4jOeq/175pKZ1VCkoSCGaUqfPLikMaHnmIUGIMu33Tr
NuZEdbsIWzvhTVL3WnhXc6TXbhpuIr4QW0x1sLoPZVLQQdnQaQrhVIcnrbyUBX5XTqDroSEQgv7P
suL4ZLTLoL2GpLGbuhtBPENkYwDmcQvjAJJrIRu7LH1o8RpBmKgce/qZgtOYGzMKF614qgaH45sa
uxobPmpwhUA7cMYcyAfrrOo/mojl/WwyfDTJhCK3SCXmajVQooTpR2U999oOGWmaOh4liProhqtJ
83K4jAm6u41J0jkZMNJa4qmpsjdTs2t6l43D74+4T4ipsvsf+ayfW4zDR5Luk/FVyt6L8DMc3ziz
44rL52d4L8YuMDZAdV9k1RbqxhO3Un3S+e8IQB4rVy1f+tEWZbg21QK1fF0/h6E7cSrQgd7tSPii
Ywv4fZJIsaTdibdWWpLhXkG17qiL9DfPfzUovqeHJl09b1VJvDbgHsoliYOB9OHJTqcvpx7DvK0N
Lrmkg/CGVUSA/5TaVvGo9V2nPxlETQU/6nivqEtK2KBxKumItrTn9ugu2r+JbFDB1fin7XFSbHlw
KFqqjyrY+wygNW6wXV3H6QRmKRi+W8IuA4jP/bXRnlJjrSfXeRCM/8/K3zuyGa3tmNIMfwuw83bI
lI+V9Mj1g1wfRTr+WIdD/8ajng20u3HRWhKYvadUW4sYQmQC8uSwgLyzyctnhSlOzbMg+W813zg4
9jSKktxuUoU+hzPU9cJKJVuQ1C2sAkGv7WxQaRg4VU5qWOFMPHuJTsDWUvdedfXUi27PRYzJTVAu
Wf2rR6jSwHh3rXbPvrbLjI9WRJ++M/L3volt3+oBxJMt5HTDaeY+ieE9179ZDzjgKx19qBS4zrWl
EjfEk65z/niIXelqQ7/ypJHQl1NsEpR3l4W9zPhaRlX34vccW7a+dK+bj9S/BtQIsgdu6hqnR01+
blQs5WsNVZKF+FN5rSccEpqCep8Hsz6yD5i+Td/HK+41Vfx4FfQNgAlf3TTTrs/pWDZAoJ4wk1n9
DqLhMD2mno+prluZKh/GRKE7grVpNA4b8xCFZwnUz0KhZOlcGuWd/JpHzpRJs71kopdfHhjnlvUS
SxeflMY/8+1uNWfv1sFyiqn4jM8g/PKzXQ2xH6d323yh2SVPBxEFYsu2OXjTj56cJ30LszFKtl6z
G4b7FJ+H6DkZm2XBlL74oU6bVJwWbfDRDt8SSQ1iuSykfVHeqFQmWp9IimmrkRjfaVvs3Ym5V5DO
6bbl27LspMNaR5NYHixYA4VHHX4S0cxmy147No1NMFVZ7HsknZ3bEIpQGYiwsPwA86qeTNJ0o3Wf
74baHuKTkC4t2PP9WqBXUeSnJnSDfB31qzllAh/nwHNFRVM7IdmYHp94k3mHTl8xaoEZePdT12iP
vsIm5ECA00OHWK9kgE4HAQe79kwXeETaZ5iyhditaEvdzpRea//Sd+/TSKgVLYGkXeflBe9DLuCj
K76Z/FHIO34GhIBu9ODm0SsVBiXzRBovlK78bLZn33dzEgpFCm3VNvFZePRmn3NasrMQzWhtDayh
qsbLjsUc/BsPP0ln+g44joIwHIYI2DljM0Ef92O3oFblLJS6YoEDn7k0Od4AJ1ugOtFCfCs18C1u
Wt0snkXPXMx3qxlR3w0LutQF7LgWVOFwnciXE/OVUt4aDkNJip7/WZbfNbqByq3BPwCogSBKgdkY
gYec8nhET8wIgtBBeceP4QO2rHeavhG0r4mYYx53nAiJ26LlH3d4CgRCRrMd2RIVImzjg8g7mA2M
AmYn7FCPGJ05+qyslDS4hufhopAjQ5Qtbq7GPxcaCyJ6uA3UDDBgQbVR812jbDNmlDkPZA9qZ+bJ
VeS2olBnbhKbB9LNVYhzWXInDjDuIPEABsxzDqqUFhtBAAZXLmcVCGp8aaPRIezXYnailVOwUSLU
WGXKDvFgVSuvEekjIkpJ70mlOZ+FaMr3ab7xFW2NrloNT6F/CWhhay4Ajl08PcAXy0NE755Std8S
MUnYBs4CoDpHs94n8nrwSQih7yEtOwqu4uxxGoUf3rqJcZDBkmpAJfSjOigLX7u2cbM0Clck9yb6
p2PTR9eE2VlPG7UwDzP+UPzqWv69V5OKN2vuGU6oHNZAKe5Sj2WDzQbWGdi7ReaXNBha2wq+Renu
TUdVRJkODqojc9QMbB9lJOrDFer1bS9e2/AqtQY7J/VM9NWiOh78/Ji03XFGgFeZ6fBITLgivQ7b
X2nLiMbji1d+G2ByxvuonCr/KZeBBLlR+cxjLZrvfutqc7GPyQ8Hif/RUBP7OitcW3AGJ9ReYNvy
0OidRflp0B4KpoHGZ36G/YX6UKhZLKcToJy+XWfhm0+3zhN2U8nb3vgrL1QOffhoykPkn6sGgwAx
jd+N8dRkhwwJugwoUoeddvxno0vpUDORs3pvFejiMisqNFk3vzok9WdpvbNEjGQYSp5vx6y0pn+n
06RMXDBbF+KhVm4QfSaseONXEX0IKLSr0GFfi0yDUDGNTZ8GElATDqHEEEtfHDQA0NiG/B152Jl8
e2Q+PwmLNHjLaerG6klCwBu06WbQvvLOe09r62Io+jUft6IeHKFpOUXj9nKB8IB9RPRrFPScZnyv
e4yDCCJOKWfvNe1U7SZJ0oceXLWC81pNlEo4SY8iFU7RGOPUZFyatkzItHrdVz5qSIUjVaVtG53A
W4u/lJL2gN7IrtS0GCvVGjdOL19NIXXNgZlSbGlbRfZvVf6tpQyJ6rfWp4E6mHZVkhoXFDsjjTaJ
NrVgz+lYdfLekOHd+mtPTOwOQEj65nf6UW8/ZIOerGLRbpB0p9SF89CxmcN2XITwcoUcpx9GTCE7
+tWjsS7Q/EnqnM8l0yGKSPqRBIE5X7EJzDMH6WUX0nOUoqXvMaFrLz67rljSoAvPejdtu5GEHLYn
Kv/BuKURoNDYcGL9MtF5h0mwYHWag5uFOVR7pICUfFfjyVfjPqA6TMt1EJScxVS2Jj+UKSeBCNtp
bD2mOTMylcpL4dEKhFdHfqfauKOfLJuyPBUqZihf36QSec70q4qK8VetWMycLetTHNuEy5eYg+Hw
5Ag4LH6eoKVE9kukuS16g7Eo10LgHXgJbT9IcXb2hqMwwVzWE9wWK+WM7SsTWZNECkkj88Ec1tS6
9uSrJY+SG8+eubLVJ1toqC46H7fYKFm5W3WdvmspKNuO4NuEAMmzWLJse4my7SP1BHWWQZ3GnEVZ
YnSgzUmTxyjLr4hZuhtiKF6MDcLyIPHUO6p5MDdScDPCDllHiLslUlSOJiCEuhLAlT4e1YJ2eXaq
Zef/UXYeS7IjV5D9oYEZVEBsK7UWpWsDK/EKIqBlAF8/B9wM2U1r2my4a+arTIgb192P69GzhmCb
58G250zvpytA0w9uDHY4RaoSv2n6HXlLmx5ewp5zJsyBV0wVdxHoj4PfsYNsTaRZNqalKyCX3kfC
h3QZUSX/pdzDyKvQqP2D1Xk6B2GbAJf/pHViZbW/HdvS0GDrjCcBo4Aghg1U7yHlryR+FBThViQ+
3M7vWGu2PIRW2aRtfP5Y34KA1VIgVeCPFl9tzHQcnl18Rp7VbtvgBeE1X/yfxAmkNbiY8w3R4sRf
JWLV36bms/Ofmvx/WLj+mycJ0qDhAhIwPWH/xSVUEwMXuo1nQmuipcnKRQimKr3f2VFy/mdP0t9t
d3zEv33U/E/5Nztca7oi9We/oclDQQ95mHsUnHvl/yiV+W/NF3yOBWTUnLsv/uV7/LfPaWynF6pF
KdE3BAHV0VlUCxJyGEmu0wKnz63+4/yPP+2/eCnnv+3/feZfrF1KRZFu8Nxdhi/cvwMR5k257l99
omgbNsCUbUT/I+/yd9fof37iX3641szJyTfzX7nHwbVvt5S2rs1ts/3nH+3v7sz//Ji//GihrxV+
K/iYuP20cSQ15MPsvRrEyii//vmj/u6/+8+P+otx0eypnW8rvsPEu6fpb86r+58/4L9fGS5eAi4K
z/xb3opGd19FIVZTew6m2i85aT+S8w9HLKYxFXSEC+Xi//8btKm4oYNFmGBvxb9yS/92OTIKZNKw
APeQukVBSMsO5oL3E1FjtqPHdBNF5vKf/07779Y/PhLRGm/1bHH9602dh/QZdRkU+ATaHVE3xcol
spP6OA4QegOP1CxYYVBp6hO+zI4GnG/CIv1q6kMdNUQC1jcJm3XS7NZuYPN2b3Ykm+jNM/yLJcYV
D/4OlrmrsIb5w7rvC3/XV97d8BTiUMCe1y2LX28MnU07BskFKHC5k43Ins1Wjku7Ld0Pv4AD0Nta
t3JtTEy9keLNqLXfzq855/S2ty8BZK7+x1cD9/RvvkgbbIrjOfRNudbfwh95UsUGE4S3HCr8AXHK
K7+aeFJbuXksBDaQ0TUov2rT956c3AkmGJKFkQqWUuDmNen9UIiEdZ+U9qYpBBHVdHa0TD6ybg26
DTviltxISfx9eMly/Ttlib6Pkzik0wCXMTgM1E0GnH3oxrxvqph1zcBel1wfB46guzS+/ZMmrG9J
QMLl77VqV8C5m32CnDUjTS0SRsnKKsxl33bGourDt663uHqT8eBaONtGfvyDQUPCUVBW+9AGOLJo
TXgZekxpkFU+nDG6NjGQjfo1HVZNeAp8/aHjjQrF9lhEEx6/niAdtnCjXo25v0ExX6kw3mnRbP+A
oU0ZYM8rzrTO5kCIH5eflVo302CfZzfOSRPsTRvy9oQwy+G3ASuSA1Ocdx6uUkuVyoXy2rPwsSOS
1bcAmE0ZoGeOdTG/gWSrYEQdC3UPnAhqYNltpIm3sI63UCFXjTp6wyXhqDVPcg6TeGn4zIFAVV3a
AFlK4S312N3UpOt1k6EXIqFuYN+Bq6+Hcjd6b6nlL/r6JvxmUzMkOLJeCYsSh1Zf+PxzPDi1Wmru
qsx/mMZoKeDxZUHKWq67wMEFXTocmwojQ+vtC/GooTfodkk/IxhwpIVYfhdkEOsIK/1ALri/2xgY
U2OgBp47IGQFMtroRMjvKL0+R2IWX0ggaDau8y5dsbaRgeriw28qTFkA3XHe10HMif4X5RyWXsEa
IIv/pLpHjXe9IGWIU0VHQ8ABUxgQSocdR6a1UeSfcipf4XFz6Ir3OgXgCfJjLgfsZPSyaxoa3qdm
UTeDdKDJap0J99Cnza8x+1gLCP9zgH7wOECIKTw6TsV6/Lnp5XMQp1fbLu9l5sPPtbut1ZorlZuP
JBreUtto9oFbrdQQE/kOof6gMexCWgXCKF6OLAU8Lot+JChDGvGRU2S3KKuJvUEQnmB9zS32wcro
6I2PSqw7+TUssZZUFjzrumHepMHhJRt0jc7u2cNk3KU+UgsQ5kevyTjFucTwuyn4ytvMP3Cnk1+L
2TmHfQWwKzYsBA0u+7FPf4fe+JMA4m/r6dlq0ec7HxRrn8cvBE/wAPQG2l3ZPFtl+EfprNmdHFJs
naceR8yeiQYATOflLKcDkAzqMcn6g49PxCDo9mCXA60d6aMZ2fdYN5YlfZyaE53aWK1YlFKWacSb
0cVaymDuWRN3Q3uzGSv9KFxJ2JoS0ExfpE+9261iKnsmVneCNUERFKxmAjxT/UNSJoDm535KLLl+
OL14wt87+AQC4b8UiLw5W5Qe7IRNZ4td2t+hV09PlLvskxq9w49nJW6UB9D0K+HCgR4y23jocWEl
mrYzx2EdG9XKD2eQYkPWL9i0CMjUHoB1QD/K2KQZlKJwJLNVSAWAeKjFT5XosxPPnv+x2uBPX1kz
zqwh8awUfsjYJWTpWHGxCMZUv9oYNazYAMKMX7LL7fl7ZTsO7I0VUBmyJ5fpY56oO2r+ZVL0foCa
OoRu9qji8rUquq+htp96HJRe573USM2BDI5lVt6LMsADrQnAA9qvObG9k90FytR+GulqsfJDlWO9
KHhBLaBMt4t8nGOxlEpuVRUWB08vHPQkvN7UQH0SLUY59PSek46qlnroJPsWuwSx9uzRUr7YBuXk
PLlkzh4ma47KZ9I+1ESUurjAojfgCokdo1q0rOv2qgWVrPfjOS2wO8pOcrFhMO1KVpBDYegbO3IH
FuyJ9VRGLanLuNaxOWBNKcWwiRKGliIPtEUlQ3nJNTacJFGrQzmkyYU3QHFpIr6+MvH6h9SVh5R8
zxqb7SbJu/wxkhZaGtJZEaAj6k7LzqrxxmQlWsdYOGNfrbKytW+eLuH8D2W7KnOvIVEgjJPTlNNp
mrh2LAdPcGj/cdKOlBoavJexGMKzCcbVGU62BffTxlcFuDte1XZTLXu71FehRfTGjCqNzQwKKa1x
yB5GSzZYoWW2k1IboZfWerKAdmhtcNUbs39QxgADJ0Yf41GRQk22frVQ+4qMstrEDfAfGTstp6/q
1+cltzFm74wtfDqEBlgUSn8eJWgRKdObKOtXwN8YKYzmKTF6QscBoKkG00vWbUVkgEYJVnEzYBuV
j3ZWXzkln2KruOfB8GU4OWzOTKG3Q601m7sr2kdf2VfocGu3ttesRl70WuztrHrMRLjT0vjWpeMy
duxD6U17Lw+RMY19b2IIAWWos3Rq5paBQW6LkBW03178POXlgyuzqKKN9KYrkYn95MGgzoiJZyFo
J4CpR49uVLZL7YX7gPcIHBqDZAmPX2YABkwUP4od9wLrEGUw/kPdAYyKWnkcOzbfThPVmz7nl7cq
hRk40OujJ8fXWsqlTu0DieyN3rgNlTbFPbXMhevhfYwJG1veuC+6jrfk7B8Z0J2alQUJp23Ijs1F
PPQrHI1uwKDkH3TNPLm5fczn7mQiw0jHHelpOxYfZZ18Z6p2sO+F2Ndl+ub4iVrm0/CYN2TFc9eN
aOad59nCwb+pqn0Usi1yUu9LYacX+CA4L9+zOrkRaLuWZncpsypduj7KmSKWoBn+q10acFhM99Gl
PPpBG+OrzMV9qIfvaBQInVl0q4T5ZVjALGyewKQVXDbRNgfVvibZnPSPvg4MOTX0Q5RRmMEZ3lg2
0k7WpF2unhPhpGRAywTCJHnrIwAwqOBcIkdfs7eFMYy8x2S4sYJWB8navGRZ8TKZdriGAXl2UpE/
tnUSMAmbtMtOTcAHT41BnXUCXiMS3sK04E2VxrNfRFxHEbOU2RZz4IV/vxtU+iqz2mcjYk1vDfUt
6BCh4EsgZXTuY5oYH8IB249bk3W66i/ZYP+xNPPuQjd8sKgoNSznMzf9dAcIlERBgKjnd8Fh0ru7
HDWNp6J70VPtbNf6uc4og/EgItExCXEjMStmNpuRVTMOWVms6EhadzRrhbXxrBDAKD5izZcX7wlb
VN+msUt5yIWRj1jv9deGQExlF18I5kfg0Xs9tcDxRPTUYGg1gxh7ZwDOzVPWzg+8ly6Bx2MpA4e2
Dj/HUf0d4uke2/OX6/G9hUb74jUYIWtoLa6XfoftOKJ5j68ymx4z/mM/JfA9iPgnV8PBsou3FGCh
UWU7E9RGZyF2VEZ/jNPylkZTjUVZfDNEBKji1atyADgNTnkWEeJ/h10GZZpbaT1W3jWTmJYl8eO8
/kqcHAcrqkTmjE+Ug21BSN0nO984pXkqTG/TGtUuq6NnY+rOhWa+lnXzmbgssUrtYFl4ciz/mMjo
MrkAuesEfL6+sZJ8GcTxRJc4VYq+sUrqbjuggilT21I3weGAjUcgz4Xb7XKSEW7l4xd3f42ivkUs
u7RQUJ+jYRgWt75z0B9J50APyqhPzxF8KyPakgMWqjhO2CMyp4MDFB9My3vUmmnTDFg+HDU+TTpi
r9DdH6usLm5UbfKIhI4GiSqQ+oG+k1sd5CtOGzTTB5D1/XOFFarWKMXRsUAnZGsiql6tNJkXeQYo
234pFfbHoE95hTqYn/PtqEVnw9NoZBoP1ig2WtkD4jQObqfvi6E++LAf9NJZR0H/k9DrW40k6KPg
j3JQdZrCOplUdCZjti3b5rkT2E3bdi305OryM0QB8DvPOkUt/l/Zf4UAzPwB/F7W70Q+7TBXYsri
AfQvr03I9nVIKJMKmGEiSuYiR2wrgFsznAk6w6a2cI/TnvPj+vbzQGyoUfXHhAtLBfxjpb/wjBAB
tXhl9bm3reKkPEtnW4x+59qnkXqpHlCg1gcfbV/gHihPdtd+B1I7xVPNAN5ouMcKYkSIC4l/HDTn
kA/2i8XWt3KTkbbzaEtqezvAokrLvoNdqt0iYZ7toDgxZz55Pde1ZbKKLKNkFY7JJnPi47yAaEf8
KmG5n5OJmjnsqhRNlpXGUz/Zp8EbTh5SUFbaG5kYb5afQ6kaDzJMHqce5h59Od81q1Zey9e+65/t
EoNK0lJaN8VbWwRnI0WVD0fU9W5rR+PaKdxtLt2rqWtE3ZInKwkvpm/QXVQddWbUYnBOMk52FZZD
6I9LOTiYpRjmwlE9tZG5Ls2cb9G4qKRbgb5d1GpORGXtxbWtwzj030Xl/bZ5vg1IsEg1YcPit+m6
aTG19Yluv7UHzjJQ3ScH7WXvG1/Sc964m3AIjeiqUW3+aAlhq1C9pplk9i1Wamqepy6DKF0a+0b3
DmNlLAtngsrXBr9DUr7KCXdBIPh1yEQkCZV+pv7otXAm5oSMzQPaixpQWPZdBAiOIQErLbYOsyJm
WcSEg/6iVDD3NzwnbrwLxvJ1MBvYTsWFkegnUsnaibV7UI0LD2Gv7eDilfNoLec0QXFLne45cJN3
t1Jrg0e9DzmpLcf9aFS/LDTWqXBWo2UcFJsDpwV9UQbnjEdlVZR7P9CoWR74snAK+o19b1J7Aww9
XrZWBUcsA6FO+SL/MwW8UXLzJRqg96V+/TMWaEmD1BaJNoUrdvdESBsM263ZQZ90EDL8HMygWfk/
HqfAtV86KFodRoACrbE2gSz5Wm8vrVqtKjM5O2bzqgZd8gYeFAeBIKK4m/iM5w1Peo7F1RlZ8MPv
8wrqGSpxLiYG4FhMWPcsI1s0SFPXEBTKJrVZRYVkWcZ08Lb4as2lygjzZFF/FrNhjw2XvxBWfHd7
ExKZmmXBRn1H1YyV1kAaEvpgnzsQp0jjEGVpYt5OEhQTTWBiKoPqUnX1hWyEtDjGGRxvbfaLojVu
avRArDVENYrM3rOnI93XmDlfMgJ1aPlntkUJIY2RRVyiEH1KBIs+1j6z0g/XaW9/l3o0rX2DDYo/
5u927A5PPcXYy7wZd47DDE+03SKlwZ8weCPGbJqtLvPcsLFVe2j1eG5zMN6yPP5lu78vHR7X9kxr
nLyNmyDah618yqryXBfxthH5sh87MFDdSlTq0MT9KfSmtTlbbN1OrgiKouN3r5DWL11oHg0jeuWZ
dTGi/t4U3tuQlb+9FT6NkXMpvPQiHSN4Ncrpjwz7r3igumDEchu3aFN5E1erUFnesS9YKLdyePPp
ecGkUTL5kB8d9OHT5jYZOzptRsPkNNqRurFHbcXAbq/oLR5Q8K1foyXpYDIZ0E++RcTngGp8pDqn
RruNWwSfUW4Cz0DWHd7MnJ+gqfqrNFrtQcR4Ui3d3jZTmDyIKtmPLsAQmXW3vuCW0I0c/xurhjxl
HMtHrCFMVux02O/3fnmluKfifGOl07Fs4uASz1aecYoeQyX0lRL1Y99hr7E0Bx1xDuRGeXko3bSm
1JIePrcxn/RYviWK+WyM0mkZEZFESw6oQMNGY+sDG0fhoh3TVIaAxeO994allsfTOSUFvG39WuUL
PQdjE1b0qPpcrSUJw8PYIt1jWDNY/2CBqCs1/tDT9sOYHB7sseNJCkLkVqVevAwm51b21pPnaQS8
FWkJZz3ZcIO8EF1RMftG6djgWbesZTG0dIKmOLOV3q7irG0euhg0L7PFt2uAFPOBl3H712Q+fbw5
vCYunaVftKJlcedWtHPajPWNV4lV1XGwE0SAWo2YZSTVr5d6w3saFBsoRI/phCsInSzZBGh6WHEK
4Eq2Pi4pkPny8U/5WZgtYx2MXh338TkvQjrVZ3tvz8JhoWvqtddpXQvNmfpYxCeUvhiTGearxGTF
2IfkQ6eyyQ+ZyQ3dcOR+0Os0xYuZn1Kz1xb1xAsQfwJmojJ9zwf1lch42WjuWyoHGJFJ9KFLuO+J
JijDpB6SkYg/h1IhypraXWomazPjZBdKANqhSbakF7dhZHtWMDVpNmDojAIfFixdsLd08Iug3d5E
JZ9IpPNG8aw/emluJqTPvRn2d1FEm7JUz94IN6IMnqTls1/FA2dIgiqpde/dkAVTZy1inqUPeW0j
oDvNC+M5VVs+9kUj1G4QyTZhy6A790GNFU72mPByoHHkqcKUojncGJUdfE920cJKxG5mB5TKZfp7
V47nqcFT7/WVvBZR8V7zr166WvWizGq+09AqYTBf3KJ9SgoMTko/hQ4jkx2O0AXY5KdGhaWD2bvr
auxwGqVfestBwNKrkTCDpq+7Jo6OY5gnZLZzmvIqUj5j7LAgiOgMSzrU71Azd5zml0lM+lHoGKVa
3f5yOA/TNKkDJLYhCjt4eEIN1gFVyPAdvalcS/4ZIJ1NXDw9i6GsCrxL28WXMvR/XDl9DZ1z6/UM
63i8HAJ2YT1W+XDSD1CL1o2Kn7h+ecoIhU8thg4JN/R55OZ9CBWPKUB8SQuv1uihVw4mDJkcZnHQ
mfjc3Gd+7GJhNNHZ9KJ841a8Ka28wYdCaAWgqrZN25rfLcPqPJJVsdWcGm/cGVLsvE/0SLliMi+F
E/7h932SDsNFQX0xNmkNIqhlBPTFOOm2ACD3ONj8Cz2Lm9ytJ0wTXhNwRUwEnbU/9H8e4eTvZI7e
FbrWQdPkp8g9li3eVTbkGKTYT1G/g4/JAWnOs0W/AcWKDNSHpqmfhRzOdsz2pFMnD45jmBQHLAJY
X/NTUztbLshd3KY82smeCeYSZ+SD4ixfdBNoYtezt53K/gjHcCk5JMuDd8cMuEDNNqqOmiFm+q6s
L/h5phcrM7uf2ipZtUfEdWUCpadzTwE1yWvHxLTSYzFqCeVOKTHKcJ0pnJLmzehuQdvx3NXvuNTI
kZgri2JEreKXD7XHCU8zPrScTri262g26g6Kagf2SOykIdjiraesPl+LwRa4OA1jJUNiiT4q0IMq
HAhrjqFWHhfYFMWPWgr6WQgosK0McdFpn5ya/efG867mGN0rH1eYb6t1ZwRvJt4/RxmrJgLubmL7
kyUghO7SasVHR8Re7yFv1XKRqw+T1MVkDIvaAfDZJYDZspudP8/b5iEpzmGPazqC3LXTcQT5Nv5E
zCuXuqzAe8MqUxAvKbCqwu6WUxQ5pv1yYAsR69q+VubDAGcTVj/5t2jRJfWlCSgljfJTy2KGK52j
1Fw0dkjret+15r3Dk6My9Am/DA4xg4oOikJvpiN9SCQG1dbp04XmifcuwNNaHgWbhJylHj3VSwFo
1aROIYlJptnmcixD/JgbzfnQPflWeMUabaeIGfJ0tXDl8yAbmph3Vf7cFgfCnqSIvXVC+8CYjPgm
trkoFgK4qDF8evp74q/i6TWt31vzybe2WIqDFCIhB8ARjDstD9W203D04eyoSSe3XGiNDRMsW3hJ
s+J8XhBLt4W5ILwUZ+oii+eeBVTm/7EdsZFYdH2S8Hjx5v16zGM74d1PirMvzbVuA/PwL557du0j
O6+ouxsmfC9qfjEdpcdSeQi+h2C4+EBlo/qt8t4J9/Q46dre4iFUruhzbvjmRb2xsJLbnKO86sdk
r9WOtwLoazRyfTA9JuwQC5JKfN012XRtfPSnJ49wao2znneNbNVe1KjzT2Jgs5OgQUpmB9SzJiNI
kDaMSyRBHiF86JbxwCHZx0qePgp373SnSu089lTk3rBSkKrGgWutXZ7IKWWvvKcg4LoPNeRkx+bG
emTUWRQtyRx91UlOJ5e2GNapte/nnAYp/Sh548BK3OUnLcMHi+pBvTmVHCozHrroKgWM6THgXD99
+vpV18cN72on3cH3efCivTNcLPsXNdnHXdb0v26zaaNym5fxg8G3IvU16wWuN8k6m0F+yWS+Kttv
5RFMYYFPLasX7mS68AYayWCDJ+aFMQw7+KUYfsAwbEfvPUq+eqe6UvUIFv6YpYfQ1si2VUuvegoJ
tvFZqceOmoiEPcS8rTCEDsYytsKVm3XLlPwGRTGEx/BpYrzLqlNRvdeKW9bXliWubCs+8SeS0SHQ
JmBq5OmxdbgcIY/03j7OJUdv5iCSCpNPC4K1rZ1zLHD/sE0AFdVeJp8kCxxt58WSDHvAQl6Ir+QT
lxj8Zaa+zuaro+iPNInNdqrp4t9Kl4SeWSlFu0G+EceioZiACOz/ipXRvvM3hQPFy9nj0OE22Bpz
es96jmy4EBzVIng23VVqhGIGWuF96Gd45NV4iSz5mUD+qFelk72I6jSaHHAz9CSJrYV46egmHMHX
srF4EqC9UksQtV9GxV82mYupsRaZU6/T9BSMcocuQ+b3Skxm9mEBp0oce++L9zJ84lR9Y3Mp8nBZ
Tua5wY1uQEgvzG/qrRaum28TPdnMlj92jZYxLc2+BDbZqpNwiBZHI8/WnDY14j39SefI2k5kdYjV
mUWzsyr92U6Dk3SxT0YDxPFJPSgeHdVUHHrsdvaQD6ziqkcTyI/giVOBTNZtoC3Rh6lxALOAuhcc
QYlay43J4GW638lQwUFil9xtddg5MkCqG9pLjKCw8hMErlIhoLKOWfsOiB8caKOsr1lV7FOeo0Pe
bUp0po6MPbcysDpOxThiUaGYWb4KhlWgAB4P87o5he4u9PTtUHwadrnHHGHyJJPI1Ka4pjGrN3fd
6p+u+iCQ9Wi54zIT5rrOCypOcbrELnbUkcNDsTVgMHFx6jV5u7hfRn67MUhTwb7czH7KmjRzxsaS
l6poXks08Yb9VMmjgS/oIo1gRZcch2jCh+BiQIIC64R8TmJzCEbQP/4igNPMMvvajV91I5cz4zxq
mi093eueU2R7dVRzjspLUWzq4dq6N5G+o5yt8qrBTPzsufhWYcTyqKWZTxMvzKpk7/hZBw5kIzAL
xomC81SZL7SG/78fNbzoA8uTrRQ3ksKKsJdGKqzR15ltLfzPHlK59dkg2tnl80ilG5Ixe+PvholA
kvU8IuI1OU31HyU+70zehoaMGJgPw+NNtOzkS+uUa4/xQHVX0BU1Zy+ydwGLAao0XP+r174IKCDH
r6biVcu9tdC65ZTcBkXZiXh2FfF/gni04Cn97Lp/mgoQAByZbEXgnGaRTcy22drEkh6hbt9a0Upn
Y9W4dxsaeJXjXafsqV7m6bo3iXaYW8qIQGkMxmuV1ueE53PAMwR3WwbiRvvQBwKXxlOk/ZBw6M1T
TbVdQ1phuqUwpVOaqnOWTLoJobVfEhQhC9HtZyBu4e0DHoNsdJGr6nBZd9UGSYhKlVVtgqDfpCwK
RbKGeVEjygv/jM1Zr+5VDKRBfcc4ierX2Y5cUFfx3dPWoAEtqn+U9UcQjq1Zzcr0avTIqB0GIdjl
2jpwV8q4lyiL6rHExWrgsnwm6KCjL7k8SxVdIeOzRRAj/qNhoXElTXc0g7cxhm7Hw+6bX8fYWpmY
a8nXP9jde0UA3dHEPtcPBmyBQNDHtEnlyjd/cw4UCUN+8yoxnBuQLcO1aL88/XVMjj789WDyrwX8
+u6P00MCycKA/fewz4DKA0h5swZ5DbgnVBgsUoYRjDaEFgt2FLSeIJ88CnKKadmANln7pFO7Qt7z
KFmPSUm5prYZSNUOEAmktbC8VZ5t6/zsWS9Rg7WjXuf9tY/3GYgQpyIh9Oxa91S81IIULvvXK29t
OzoZ8/O+/VCpOofyO3GpLSjeHUzQxDiS+UhlOQ9Ot1fMBoM8Fi14kpMoDagyzwOcmiqLNpGxdAO+
cwy6KE6SaoRzWZkgoP0nK8RwZBJnIXIpUZspgI/72yiuPXlBRoR6FfO7cdJ6KMxqm6HyJ/1ZJtfC
/p5IVqKfCwuAxvwSFJcm+RPqHNCsfa54X6QbkdTU5LKDY7QpMQfB16VqZkNNLyuBXH/pW5gBq8pd
9Kjz2ncmMVkTO9vas7ukvkyY2Elk6wkEhA/20kVJOTWdh+C7OGb2NqfyaZF8lyFBH95p5OCVNpAw
xlBi8thkduNAACgj4+xvGCSpbw6AtOoRTQQ7vssmXIfmVvZXx9ZZU9DkMp6ZZYzkSGOlZ6wRUxZJ
dirlXnFYNCc6jMB0c2yVP7m8wivV54KUkqohIgEv2fiRat3aNG/0AzkO1q7qkMOMhvD2kAeAG04S
Kgd7uSbQHvGmF53PtWrCC9sWpVx7TONx+YcDeSOILNvRYuw+G5ORwm7ufnKY2DtQWCFKB8/4Belh
0SNER+ALFUWdTVLwYD4EhJEoP/JMbdXQvJCzRTfm9J2PNZZu5QL2UcKmIpjilek8yfCEa2tGu43+
hGOFkgY4CYO+HHW5zKJq7fbNHjWZE8/VI4Pm/DS4aSx2CxjjopxOMCDc9Qd8dSaaH99Ua2XX5DWI
ItKZVz1WMZ7CiAAZSAWn4vucoZQiZxq/29aL7f74hBsC+2J655gZBz2/Ct48a1PqIQvOaNOiKo2v
sR/ukhi0ZQDirH3IS+LDp85hcW9fcsWKqG44RzE7V/uaaVvkJ+XvJPgrF3Mzz0mi0K58CpOrV8Pg
Cx6m8mzhLso2FYNmRSWnYd286dXx7jZyk/bNoilIIkqGuHbacwNfyIHzo7FUX+rNJUjXlXeMw5bn
yjKcMP00y858rjg3Th8cLeoCjyOrNRLs1I6pnaN+umjd++E2CkmsYc40Hl0XI+iin0OSpIqnkHIe
/B+o5dwt0/ig0fvEuAO6NvNOphScfKnhIx5D+rfnig4rSnmrhUtAjgfJNvU2gihcYpEhHBYmIxKQ
LPhJcflGuoTbIbg4tfkmi9M0awiGtS6nfaJgvQm4RLGzJrbT1h9axTuC0K3PyAtWx9aoIxeBGCC4
YTCKSXZbmCUXbY56V9cs0spgTRnjNtIYqFLIDJk6VM2Ub3K9QDSgbDuzCecnGJUbvoa03KeWtdO9
4acK0G7GJNhglLyl1GIPExTHqQ18WGVE8FFn31nA04o2kMlA089B6YAOK/2G1ABABsuPdlU90h6M
g4g5Kq6+PX3WeNVEwwYaeBH9JrZxVg5hdjUV2nbKvWPgpncHr8w6A9KmkF8Uy3ndoTqy1rP7lGun
kfJyBNH7gH93F0/O1ndoFDPSbcy9FBXZEtPnC8TpY57+ITUJDg+cmMP1jBNDi7xN3HOBC8KHQzER
C8/2WiIWFmwTvRg2aoDmE+T7fDZIzeE5MpwVbRhubpCjj/w/bt1sGh9gU9qeamJZNTmwuEi3MoHB
wM0WF/ar8Jy7wE83NtnVNxhG/fpUQxcZRXgOqLiKqrJZsGhnWploP/AsXGqC+Ao7VWxtHBhQwMiR
/LGaYt/qkJrK6YNt/B3PKdYHkpST9zUF8aKlKKqHPqBapDoqOMplhIVE9Jss/63LSyvfRfYhedAm
/BQBObKY8V9StIgt9UHkuxYFRoGUYPbCeD1EztIu7E89gW2J2tc6B9usOWEzlvHs1xYsMCV5St9e
8LDChJWAfqFQcKnUmhhcqi+SGcA2IeOQoYQbAIKheZpYmA0KMqCsF+A2OUf98oJuk7OmroVJMBhw
5cCi0vtI4F1Ur+z/lyObafAUZXmt5bNTbCi9C5IDByANnmdkrAjBYaxausXeoHqp+fi/hJ3HcuvI
skW/CBGwVcBU9BRJ0chPEDqSDrwpeODr3+KdvG61Qoo76+4rEiBQlZW599oFWAV4N0RUuTTOZmHw
t1bbrH+MGlbnQ+3gqaVXue+nTQGAILkvQVSNK68DH1erVRpcSoy2VXuXNs8+MqyGvAKQgRpvEUsR
h5JzjoY/OLcdGrjHrpgX2R2hivpHBml/PPXmEsJDL9aRu6vr21C/7SU7CJYld84iVDsn14O15r4B
paE+CxBcAKeaoF148ypbTmJLRwXsRpCeMHqASCfme+zOev9HqUMQz6hyOQl770SQRBpFSKKYd32U
RksX+9xZJ55amoMmMGxS00AtJbycDVFQKBpf+UcIIluymGg3xK9D/5BbWx12i1glHPuFqiAo8lyz
m91XHmLNV6udW5ToFQPviwXZMntvCUNECkjH3sAfGM9tCpWRdLx7w3uYuhU9Tt6QZd4ygCBiHq+X
5/01UdYU69y60JfIMOxPRA0AXWKTCV5qkxCezwoyY/iSM/nudJiz9qsdbYCNteQKxR81VBP7Mp78
1F/oUbZs+yMoQZEube/NypFc4YVmBccv6lgk2LHiRowqImAsOHbJCfeIN4x0nirrbHOeN5S5UQEi
7XJhWmz9i5j6w8bnjG8uyt/tjJcm3RvO1qh3fjyvH/2KVWoZ529FtwQ7hnMOI+7cLA5jvJ60jcOG
OHGoHNgW0Vj3jAtuPRTfY7D02hUHcXzagXuT5B+cG3sdEV21TrVlCLJRPU0tlfsF7EkCPo56AOOk
nrxKOYP90l+149lrjPPTiAF8rA19D0A1KfF8Mxsb1jgUuCwzPmkxU6WNKDaeerXqQ6sf9HrupHxU
TCLEEZFCpNlzU7zSmnKb57rcFzA8tTVkzorNWD1WAxgZlgI4b2wTKZrrySVxcQeZgm4UYmqRn9gz
yvyWvIhrRpTy9j7nA4TNktRB7Ms5Y/PqZtK9paHuFVL2khLFhdGTbVtkD8p8pfnCNG+Sa3uEkYNp
qjyhzTJMkmbWShAoT4nio6gobjS6s+LFolmCNA+hKnbQSD8TxulWx4qSNOBA1e/M7Dlg9RvdrQtO
oUcC9ToRFntlTq1qOpHJmnohRcYfMTlp0n3qXVKkHBX14RXzyoiYdKOY7hP+VhhueJ3btVfT4gSj
DHCE5BcNjMuOVE1qJenDAOXEGe+ABGfo3Y15OMDD+4vyklMuo3qACOK9cxFb0ZfwX4oxW1VBhdp7
xlEDUeU8bp6L8iUGjjP5O6P7o/U2w5hdchX0dy8ZeC3czqTWX5caD13nX0YDdHyZsfTWR8yxaSg3
BSm+TCctdzmRqMXwlKYvM3tAtJcQJpqBSreg220mn7z2A1CT6sPmLBBW94O8MhKRIGNj7u5yiHOI
CemJ1OmrkosEhOr1RL5wdnpOl/KxcMu1bROsQTMLNaKVoDjJbxD6+yjJXFWuBPgoa237a2h5FC5V
QgNSMOh7Lrs7+Vr0+7g5t/6d5LxclbeRWJUYBtg8iuqSWIs4QU5zI7M9YdcF3gYs49XSsHZAD8t6
3xnWPEkYzGfrhrxPnhpACJybk6meubVEt/Y+1swSWXwzlEpVMM6QtZsNxcm+houZpouwfrWx6dJz
cgRlJmJ+hHqAwYgei7fF1buyy5gH4n1x7COHeXvkkV+5uYEP9LF1NgWA29zYh5Dg6R7TGZDOU0iJ
NJZrB21XKkd4Scdk/OMTfVj7BadlXAaDt0oUZXaGo1FDU67BV2MerDLnVLn900RXsIxT9gFvUXUh
ibA07Ol8TGBR+Y+xD3jWwqW4Fg1QL59C2E0VRF38DANs4yFFfZFvR4/GX6j0d6n629Qpie7F+NDe
6u2+Lz9iSJ65sBCML8roRUeKw3xjXTP5sHN2Mp45S61ToW0SDzF7O2WLOmuXYeDf1+hMTdR6Phu5
kXs0Uqp1pgjHTHEiw6cKUHCVwMRtEBhdiyCiEo+m5Xz6RKXF4448U7OJFh4xSm1sIGUMkdUFoA7R
UYmY3k/K/sjoM/a2JkONEqoQqmwQY4SkD08oAgnxKuYJq7crkr2U/bbE/n/VnOVJex7jF19/xsN7
F9NWItkelVdJyUJ2ZKjvBZ16I91Yfb91LAYOxVn3Od+7f12kmiXGc8pZjtPPug/YaquRC9qbA7OV
QyDGec4pP6gZHQkbmtBkfXKwTOoMLwKHN95z4aTzQH/Vs49JdxcOHdUxt1YDSaB4P6IW3o073Va8
TS1T9yxOVjpK0l7Ef8IswTJ+G+jvE/UjjhH2G31eRv5RZIxKQWQgxlxq1bZnOkjDdGPKzy4uHyra
SeMkAFo5tM7IK+1fzMpYTPQKtX4+MNQgcAMrNIxk0A+TWaxLu9pLnYlaakW0N/p3DSjRZFNd6/Ra
PVS2mgm+kvwQHLlyYXrmubTdszuUT7VbbxFC3OStvq+DiURUcHL5rq+rmW5bOyDVWGNWE3h6JwjW
ZcZXowU0KGepypwdLD/UVvI5MD+LG+rTXl8VHHM14+yU6TLyd0qdovKMMZrZQMFYK78LIRklabid
xFuImWSKXu1a7BIyNBNItRGOLYT+a4TUm4wDiddCzPCuEVHXolVfW+U0cwH4IEzZJIl1m6IvdLr0
1k+NXQIQO9IDxBHIEWxnUSgx51yBBoutmOCjnJzXBCsSR6Qz80YEeEb8J6NktkLmXVlzlziPdehw
+NF30YQckjG54zyPXYdTe/p02/BlSDTahdCka5cJjg/nAQd9P2LxGE4FjhX0VjOX0bPdarzAj0SR
D7PQMP+EgbVRqlhf4SdjzsyOjmsOsk8zjo13j40skPc5v6YPU6jNyd0M85Ogj+JySM4VgEMktgOF
jtkjZgWDuJnKcpGqlYukA4QRaHLwgz61V8k+Hx9GAIYaaXlpXa6DniOj9WBXt6OzJg6UaQRFE7mf
OS28AlTjwmSglDDS6cEXBYzA+nJex/pa15/yhN5Q6T7byj+GGcG7Zb/KHXrLRrO0W4Zcojv4oHpo
Vsw9j9kuTGP8iY9OASeypaHQvWnqXKSPsq2W2MS3sYGErOaZhpdgOmqhOIqFtvWS5/Jieozwetav
QL4JtDQVGD4nwPJAM79n0YUpDSMSBqUKVokerVINCK7F5CfmjJyo8LHUbVBrFLLp3jLvrYlmOpuC
TRSA63ePzvgSwfOLaFXbtK46aFn+Drf+Bt0DA39JG9dv1phEIeeIgVN2vxAFrciknHeUp5j4VpP5
4Eb8O+E490lJmc+cvfcTUmaNdZfCJ+jpzBeBSdSndewL61m3aUWUAFSHplunIWsGyXqadGeVemX4
vC1Z7iS1AVMJatNgLUMdTKdzH4ABsHJvH8bR0sX1yrCCH7Rft3Dvp4LImYIhTI8UySMVra+In+tH
xjQJ03cgmXzWVe3ejgwjBTZPq5mJbiTqtdkSdfdCfs0lD+QFJ95aaKzOEueY4CEfBggLQzsbgKbl
RXnqHZ/EcG1p0NEP/eTKgXqxU/056P0HidEvqqKNBzp+cjnITyp4Cuz6DqkbHBQo28z6ApXR2RY7
g4WlxueVO2TMXeGKYbDXaBH2dJWEP+0Nq7mEcBOFRy4i7gEdeZwZGndt4a/qlukw8UGow/CAhrdd
ySA3pFqoo5cUtsgAWgZeQx+6XGy1j/Lq4MtqlkzuvY5qQosxKMKscVpifb0bUYG3JuFQuMGyZBI5
QN93bBvx3DEmdrvIxv0YV1shwocIX1YF2AY79YrmG7O2FM8S41fNnKXJtMvYK/GgVA3bYHS2RlI4
qgw4CO2EEYjTCEWe94skaHfijNyPK0lsLjvX0cn9ld00O4e8tiF/CSZw0FZGyZJtdIQaphdiGZVo
DNIbEUPrzP1dYyf3hmseWgt+qOewzutL8LqLekIFlSMiLYOtzA8V6ptQgKdD/BpN8A48TBJ0epmC
NCh17UT+0YJm3/dUjkVHlKRBVLrSzjZ2PVpL9bPpsHCMeU770CYtzkTERpKHjfSiZP6BlOm9bADp
aTaYl8LK/7ZJlyyntAXpi0Uic91yWUgf+2huQxEuunKbtaax9XKy9fRkNE61vG5h2H0cGbHLW8zU
CwJ2TLm3NI0GXEcnS4vGt9wyLiNH8tJ6r3V8HqnuPKZJehfpBPU2HpQmU2Nu2hPn4BWTOqSa8nD5
Wdoc4dKLK9xDO3ro1plGuF757hWQWszOCxfppP+VvoY9K0xB9I/M67SB878WJnLbMP8CpGrP8o5e
riCWgY+h5G7ijrBUx//jDOq9dhHRxNoxpTaqwnY7Vp6AkeI+xXFyoHMH5s1EuRy9BFhuQub+tdDu
XZ+usC+NZNH0MRwLNCeaBjK+TndglqX/2DTlws8/LIVkAfMWscVWEKDUr0AAeTx3WHGZczmKwmGM
972ccIOEr9fHdxzUjYH3zayGuYKqPcTJhuCkRRZ/dsTTY9pZe+O9WaqjkbSnWr2F8j4xBs4RJAsE
yY0U0WXi/1/Cp/JdgCjbMaa5InCWrvWOIOoQefhrpinsje29aeHXcu5rGGsTvPfhb4TBKx5JMydZ
IoYxYg8hKPKayg/4FK36OjgmUbVGvreAB0XHVI5/E6Jhw/qtd6NLZuxte5vpI4eAYY5mDTteczt1
zL/TeBG59inzLp73x0+iReDmHPfkjZY/qYrom+oBtwQe51E9a6G9dpB/TultipO4wbBZ6rNoxLWN
/crGB5iOtPwHZ1YXH172ZpUX03m3PUCavJ01AzKwJncWEv8G+KfVIG4eblOOnE6TrtCGLSOuX3Pu
MLySM0mvVn8xmKkOdcVEFhUHguSF7znbq+jIubYtqmTvxIB7h6dRj+hJ5YsePVFbhLOY0XIvaXJi
caPU45jBb+djexwugtIp72k3xMxcV9g3a/E8inI+dDzm46vEvWI+BOLNVbeOGc8SaO86TSA/fZxI
HiZHB48KFSzOJb+Yh4189Nj/yi7ajfQrW5xSTmjzz1nXrmwAt7LWxXQJCPCi/0LSMEMa37+H27q4
mnKzFH+Ll4FWIw84CJZ6n+8mfPARnt+KKbFg+RonEmA4FxguAq5bjSI4NC8pyB77qSM2hR7WZNLn
pcEREawBgAdbQwvI/bpaG1RkFs2+Rr2Nff5cIfIw0Nfo1UtShC+0qW+Dulk04GxWBfos3gFxGZx+
Aen/ESj7W4MgdfCaXYXfiLPRgj9y9In/WWZjRTes9J/GTvxJ2OjR3zV/ew5lMtXZDnOLvOYKV7Ww
+qfQ5Dc9NC38IttRswFVl46qGqTGDbSmu2uyelVp29Jt4GYjf0S0cqOFxDDYxLoEinAhThDZbkqy
fVPYl6tKcyBoIaQp3Hdq3+TFIevqHVb8WUvFPmovGm5jlTAcPPb6Z8rS3HWfCOdm2fRItgM/095h
SN44MMJNjeY//c0b4vY4KSX7Goa5UYe0it5NlFJ9TzknwnSYqSqD3U2t6IIC6IaN7nC0rKHzOUyE
qFw66vmW9k1Ml3Ishq3k5OEFJrsrMqdiltHlFNGRoNG7vKkuuWUxGqVl6wpsRCY3sEEFbzi7qqBB
ToU00kVQJE5X7RahFUE9HmIxcAcNkgte0KiP8Wvpz7GqngPG7l3g/c8eLoW8VW606p1uIcPyD2Ln
lU9lqwpxwra0K+KQt2bdc3IpMn0VZIB06RsUJn29MulPjR3QrtXuo8Z+HgS9SnNiMuZkNmuLMz0X
Mn4qPHXyKy5JifZRSbYQ5gchQzv3vqN3WZInvJ2s1icoCSNRzRH0eoIE/+gRTOUl78OUPbe+SWU2
3Q8epJFJ9PO2TkjsTlprb9idfuiz6iwa93Ei6KSXKli3Ba6IOulfQkCdqIuWbp5DZazpKk+0EolB
ooBGwpbZE0VKvIcXf45MftJY44Tj2wgz2Wp0v1pmlto1dX40M5ISvPjaGLTMcKP1pfj8mbLxX2iM
bToA7j3Ps4mHk19ILnrs6ZWuw35XFto7q2FJ7husFZgnHsypk0AY7V/iK41vmCfkNhkeZ1tCJQG8
/JsuFPki9ISHP7PvdWcdjYQ7Shc8k0/M8UxTUblKHKkYV1OYk+BFKihontRW5iqe6vPP12+5/03T
hKZk2tI2XDxcrn2l9/wD+hJLHQt6R1+ezsZVImbU88gA3CXKfjddtZZaglIWTHKkrXyrfC7q+r33
5cW3ADknubYINf+usDTSl53+BscqWR+lfzJ5mTij6BwSryNXTayMHGhw5xJK4F7pGdlpcorVlHLS
s6CJxKl5NqER1fq01if9zBGiY2sZ1X3JJoowHv3g3qBxo4BmIdZBQ8VDhEkPDEWMszRzb0uB9A6V
krTVRmK8tUhuACEIxORSGs05Vp+WvCM8AFcMHjvmsR5CqPRYySUdV6yJ7HKnSTzZiUGqVnmJRvFc
ZH99GWwQwu58t7pHhr0eHdY4Yt5QFCyDJCI1TCKPYPnrwpnHwsRTdpPHBQdPihSIsFfTHEiroyBt
JJmCbWA6qPodSCpYvPTBP6SsKhxODpFXvwe0DE1YwLrfUqNFT1owYgYJcG73ywKi1oRvLimac9RV
xEiglgl9/50/xHc3mEi26dlmUMacJtFJijL+9I2zq9MQtHUCz4sWom7bZ7aQxTQoRBhXb2bu9P4s
sIOLNsKdn26Jx268hHN7PuHE0l4T5wOvUJg9XYVhdTbuitaaT80OyzA7FdfTODTTOKdSM0dmtRY4
Fp1EvcIQWk6ez4BvJIq03hHRVwyPdnjncC+tByaPhzxO2nkfIfkYtUfTB9/wGGfgfk25sHzxVPpX
KFZbEU42EIVAVz6uyBy7ut9LmgBqcs4OU6U4ddYV1NfBjtdG60GDIxMlQw06zDMBi1xbBvaVHH8f
0MkZgwE1a3ofMUmFvtA4KBi1w6ijXDHGTc3Oi51zPaQ12nlwCOlbkrs3EYFdk7/V2lNY7Sf51ySY
w8C6ZIcr0WdzhA3onMjoYwoVYDKndNvYkX3oI/WcI35XrCxCHKSHe2eKQQlOwV8nqheNzpfWHpx2
mFdo8+w0vU5F2bMt1GXeOpwYuWvowhlbX8u2yg82BThU0AHM+J4IbVz59UecPXPP0DL2S8N4zelI
mQq2emmeHZWf2tHYp4OYhwS3O6g9SPxbtOLeMdRyMB814H4FDj2sS6vAO2PQmw/oEALiKGLDIUWc
xi1SN8/wdw6mMRvk1GDgUgsprR1xpKIH7rjvPFSY8kUTH9E1at3tIEcv6t67QUmKc57cHJOwnhY9
esAoPE3rz2J6yVKinIP7atzXrDXsOwjfOnrTKFUc5wVcE/6Zg0PsHiUdNTlbl40EkROuK4LLVbnQ
qxF963QQAI6tFpC5fMvENftKzOxUkpPDozN8TEbyFOAzjQKHxUPMzSw5WJjN3BBA8siDNFiLtqrW
6DbOvo6qgAoG3yH9iEk6K0UnVfjZs+aMBz+DoR1riw6joDtG82GkXag0WgJ2ynSo4yRjlp92XK/t
uOdH6opFP4YcGWHctLWLcb49xKH4zKduR/1GkN7e6eq10wA+t8qH2KAnmlWrsqd1MgiOwcyCxuQz
VT5CjIAWFviXvmeDqEvntS/BUGHH2OX8trGB+pdx5iDbix9Ao8+d4X6MwuVQVfT15WOnEAgyd3Kn
7LaeaKPlPXOwRFTZTYrh+ucN5RtmFbWN6dp4CYSr61821KE3rRFhu6BaR6jLy8TEB8FbaWD3/vmT
vtu4PMfgwzzD0dG5/3vjGvoqK6qpgo4FE0qPaOyUc2ZsNb6UOB2XTeX/AmX7L/XNNtmYdcxerk2T
+ssHijgkQm1KATcl1a4J1C7Xiu3P1/Td3fvnR3xh2IW0iUqZ5+68DaULDHtUO2GVLzbD9p8/6PqH
/h25alu65yGUk56um96XiPPURveqT6DFkKcQ9JThAG5IUFvUUf0kg/EX0KF5/XNfPw7Ft5CG0KGp
fP2tMs237aDQBEFurVirLn/vYtpEumISPSI/ZAUIXqVNARLGCh1G0L4Onv0njFBPwSXaocVYj3G7
D/LgWNfmkVMY2Ud5wRFmgGv78735Br5nW//8tl9+BdVXVeiM/AqVpqOXxhW0MAzcbKF/FbXH4LNw
TJMqaFNS1zL96E0VzaXRR2QK2Q4ateyY6dpvTMBvHr9/fasvb1Yvsly1Nt+qtH3qpZGJngHB6+dr
/+65MExp6NfIaWlaX2rTyccNXZQF7BAwCYzv5Dau8Y7jg54PhXX5+cO+eYO5ov//sOsV/6P0NAj+
xS6C+VHTkGkGnvmQ9O6ddK13GG7vQy8O8ZD98uN+e4E2Ja+0Kfh1+eUC67oliFAUGHNKQFhCattJ
glJLpkGQApQ6v6wZ37zQFkub4zmWNGzj6/nCDYpWuDX3EzEAvLimJOUJUErCO7n4+WZ+d6z410dd
7/Y/7mabjF1jtyXroeMNhzq9iioC+5jbzaU0yUntiWxrpizZVDRSbrwEtIuVJ1dPbbz8+av8dtFf
jhSOMIWAN8WQPqVBlERrtA+LagCL9fPnfPv8CDjDnN/4n/slcltLMPHXGW9Ebpf1bR2201KU2iol
iEAOqOJVpnOOhLv8y+f+b7n6upwxBNZ14XEp9te3pCsn9mwPCLYru+tNjf5G2d9ywFadhRmOTeoI
FOS1234GIenMyCmu0UZZzumlQ1CcghEwkApIq8cUqwTpd/is6xYHW9rvAtntQ7pKNQY/NRhLq35O
gW9OONyZeK+6Jfa8OxGVuEawl3dlyyFGEdigrWi30XY3CBcz+oSWNtgn3CcnvRxxDXnkY46+2FcN
5B+mV0zZ7DI9jJjy5nLUGYW7islt1NdLzLnZZmjMAiezsS6SV6MMGP2gMZxiwh1cZoyqxb6EU3Yo
yapENOHCDvn5x/12zzA9dGDCZIwivt7kNh6aerR8ObejSu0ir+iOUmYBHWgjnecU3XPZjMfW8ZMF
zB9rAboth9hov4chKQddm4Rb+M/+AWffQeH5pd68cpit8D4BT7ENO9j8v3zl7x583nMdV6hpIaL/
8kCWcmwqTGDA0QPZUAbTm/E8nBq0UPsHLEfDsnDMlUPcZDMxZPYCtc3N8Zp27TNBaeB/GBBvysgm
+a6vD7h8n5lMls+EwpCJmo/GzIkzukKh598pXaZvDXE3ay+lR/zzlXzTFoHFquuuZ/Ccu9aXC5m0
YmIwV3Eh44AOp8Q43hnMIQeS3ixwTjcNP/gvofbGd3fPhltpOrrnmIb3ZdmIm65u+Q3lvA5gyEwM
YnRXMAEsjLemM+mzSbSREQ3UmahKm6OscYxF+0QxelPhcO1r/QEj+OfPd8L6bsOwhSS2nu3CEV9X
8ByQVtbZkFH8nuCaVO1Nnjr36mfu7OwYdlOEHSYnWzyxz4DWXqMBA2eajHdW0AFy9vin2nAyYYuZ
+oBFl3AdUIYnFdBZTwZsTMAD6RUwNB0XWQrQhRlBsAH8TehaQcaYoT+P5fCEFiZbSFHcAWOHG1me
Bmb6MwEOfv3zBf92vV+2EU1XLbxFfoXAIUBJm2BsjngzkgoBoK4x//r546T5TWl4bYKZ+lXpTCPq
39tW1nWTkroCOoxjSHdL0Og0oY10VaFTUf2LE5IVHZKz8UjUGyhLpKwPfZMRwNLOK39Jp/JWVn8C
U91044ONegcaz2OtH3PcGnCsIJit68g+JXqCrsrflNBiR4UpMuqrbRVdM54utcTmWnQnN6O/H2L/
i1FQmPeesOaVrObspPNwOsn+jwunKxYcp+NxHTDFlR1+I2ei7YDgC6s8EbBDzhqDGTByz5GRbFId
2KL/4enGpsoBbWrpbdzWGxNnWG1XywSRgeS4DAzgRfft9RXgo9zh9PM9vr44X7cr27MlT68LkU3/
8mJluT/Jomt5hBu9XPu9l6E2CN5cOS21DDuz4fpcrIOeD2fkzx9tX+up/362a3imdHiv3S/1Vqjc
IIFoI+ZVxaS+LOHi2xkyiaI8jpkLOd+5Lw1wDyWiBFflt77CPlrJrRbqGdoSmW9G3nVRWie9iPeJ
66xN3SAZoUNDPQkNUWhAqmXsB9D2DPngTcld1kI16IgBSsQaRDM9Gmxw2fQesfDexIQTtJ4ku51U
r2S403JyiXk5E7KECoRnPUkkFllEyoNQ+su9+N/h96eb8aXgbRs19ElakzSaIHl0nTs5Xbr43glv
Y4+Oq7I2rAab0BV3oTnuguRoT7Nrb3NcS9ASGXl1ukB2RNhVeuoJKe2yiX4jrBxzDyQbCjA6d9XT
DdtaDKN7Yu46tORdQEu3wiMC9yQggRipjnPdxk8h5UKH+0o/1PJZ0D1tcNl1AyrO29FmUNs8uCLe
6UzbG5qYOL9c9VkOR8ckBGn4QN2PLATRHR2LaSFrpj73pQZbF4EdtBFrEdC8urqFwkWcLTXrmLnt
DdAui7ANUqqdRVy0V1N4LrFQIrgmH8HfuGKVNZsG4eQ0LgTnerIOtyaoQpSqHtEuwb4le2P463vN
XMW0gNFABMTwGPW08RBWwlAGKrfKmYpPfL/AQU2AsOFKZMTblONByW1oLvjBUL8aD2WAoOyi5W+l
zzkPU2AwkxhVCSJnYhRXpzrlyzUMyA+995G69LJvNBcmZIhPexWNtyUiTvjQLSFpihz7vRFg46y4
E89mt69ANHr3aiA1cRM5dxE3Ju03bYHTNcPtgwyjvK2shYUhx9ogHJAZyTIEq0KsviHRKp37+tnV
57nB2JV2zSPtLTtkhMTvAeYagTZsBU1nS8EftgHERMeMI7NxxxBldJd+tPa7N5VGRNXv8vHTsjdW
ecO4Je/uwMLg6aiZ0oREtKxyAs8c93Wis5pa2IQvob0pOxgZC15KEwdExr0mXmfGhMl87PVzwH9P
BMljjGDC+yxImMsglRFXskRWpHcp93sZ4c3gb5aL3mIaflOrmUpPvndSsLzJtI7lo+8sadwhHorA
nAA/08b9gFnJXdC5McodtqDEfc7LF4H1qWaTTE4k8+G3sxByh3cDrjtyOHB7F/1b2V700d6CRNlM
4GTyvJpfW2Ro89wI2uB9Zt27I7HzpGXhDSrXtcaRz9i17Us/HpW21Y2jZW7zamajFhuXpZHPTDJ4
pmPc/0Virwvk66vBuA0cmhPREesaImI3q5YMCm6i5HECuP2mxnYhHCZG/KCIayVuA2cHjwgMxZ0R
PwXtvixvdVSexA8bq8BBSz2DrevENknbh4mwLO8hI+mUieNYE1q4RyAJSuKlJOmqvljToo3OY41e
kgIIHOiLjUoEX3oWrRi3ujHNz/56lF7YfyJuTA5npooBP8Y3BUxls17gQXW9rY0PZYifHKIcKTzT
ASfwJ/Z0fNwYfuLNNBLqq9+19odtHhqKTSDXffjeN1t2s9LcuNo+H5NFW5LhySzZuFqYsZGE2nIc
//TYbenlRCg3bpAIBi9FgR0xZ92RR7g4dUqQ17x4zqJz4rRLCx0l55/XuERuzppddMRtWnACACtG
qPNsQm/r3LlKb37rHRrXAvbrSkyhSYeSw7lkc/p31dEVlT+qmJXY1tJzq+CT050ab6yxj69Cr1vR
J+/6GK2SzASbH+gP01D/sjWa10rqP9/B8qh5bNswLO/L1ijdMjbBpcl5VpK5oBv6MC+Vz0CjSwjL
c8S93ZEPGAkCyK7nzRul0uVEpLptTS/gl4DLeTkaVc3obmwxEjFpoIZ3aJB1CpDwyPAkSrpT5Hp7
R8HC1fuLbkCaGxh1HbvcH/ZRLH7pX35XPDo0VwTFN7IR8eW2Wo1bAzfPcCZWMe6K6NDhWUxKJJYT
fNRf9lPnt0/7UqoOnCUi2cXAdlOeq2gqAyQ3hP4yEOFU7vhHfHvgkXDWmmzr8LLxHg5xcOkstbfC
5gkI5sLJiG7yiFerNf+U2MND0OsnMwpwY+s1kYUmSY+TFS39pvts0Q+gTWXUMtJTKIRx6kfjlnMy
eyDBzi1LoHQ0SUaShejqynxuY53YDjytXRCDFdSLLeKAJ8JD3vwmfBEOmhnG67T9QwZ2uCjlcqzZ
1nP54lay3PRDN839olDzeJgOnRcRFi/1jUqKTW3+Wp8Y/6u1vz6RElmYQfdeWq53PaH9o4U0xPy0
XjJJKgDEHp0HgLUlh4CtEngr+rCemSwIM42SewrZRrPPuMseLRRfHV1S5iKMWD13ndYMeJvpQzPU
S2y4D2UbvdSVugvR+EVNuAriYAfaijBklIuNhNwWKqCtEdMP5Dz+K4VP2ZKVBPXT81GC1/JSQpJi
1PvaZoAZZAL3RJ0nnw1i3+LTx72RU08EE9tzAGoWHLxssEhmYH/wsXcxKVcpBiBILNmfnggGZ8BA
S8qeF7PdF7K6bZoBJgnArxrTgHYZE6zHZfMZ8bGgQl+6pt7rjHewBY/je6e62VDjf3eupUy5QC54
I92QygqeEKeXtKQ7baCFqxDRe61+CjVA9gYofVyqnc08WNwqbQJ4kXC57m4KwHdKKMdoPiEMYdzF
hoTUQl5EwJ0kqqFLKdoSgkhRYiq/xnJzYAXgb0fkTZzatiAAmlkZEqT+VfPbv7V0l0HXbMskW48o
mlp/2qQ4a4ThziZTnRsuW2EVs0P9Oq+8s60P1ZO/WzoLGN4rKxHzRi+OBi4ci5lK3p6nRgNwVsMF
ThKmeeUhH3WwBtaiccNbM4BkhGPIQsD2c838bVfTpXHKCQlHFb3ffz+Snc/inEVXMKlRFpD+20+z
TE90p0+uso+j7pHK4WTnrhmnBaPngMlfuk2UbfzSGP+fKuPru+G69KMsSZ+BfuO/v4iWTMJpMnFd
bBzYFMaVxNTQe1JtBGGkUSAac0JiRy3dT+F4UUH2N2rdgzYOx64P7F/Wvu/2DtcTUjiS8474OlAh
fKhRDv+eDiTFaB5Vt8EYHP2wIagPR1kDwTwc7n75Lf7bFeL5EDpcBu+6OIgvt0Bqfqxqnezzbllt
7FlzccetZgAfJNNwRuzAJphVK40je/nW/x97Z7IduZFl21+ppTlUgAEwGN4q5cD7hnQ6+yAnWGzR
9z3+6X1F/VhtSMp6EaEoxct55Si1GCQc7nAzu/ees8+j869/AN9c3fluZOUpDCdGw9Wt6+JCX2qL
FgX0It7G+/Tc3wbrn13wr7sL11OWDvzftlkS559/tRh2bcng0XLUSg9iufUAuiANMl4j3bT3YdC9
/f2b+9fm17dX+27nNKykpePq0jP3T6NVs/LGEIPcn/TYfvgJcj+0WRhl2r/3XL+6pwDRZlgW3JOK
mIKDVUTqzrQL5SU4iKaClZRYlv6TZ9X668MK5W7eUmjrSYPDzrfvJGzKThGLw1W15qZJ024NvAAK
e5wBLCj9myJsNl3nH1uvefCzfFpJSECaHb4RELJyYzjhAeczQT52YF6PKYP3Amtl17iIcdoXz672
VZ1vPcN7cqNp1RTweBO/uop1MGcwq7KpOkmCTXvdAiSULgAEL8ScDEjFW/ctqytKBfTvtOoJI4IR
DT3J1nCdSgTSpWiPfLHdrWUbG0vi2nFyo978/YcvfvCsCeKvJJ1W2yXu5LtVDs1QpqCvqZVnuK9p
zNDEQFhTbAayzHqow2xj2dm21MMISKieVfO6cSucEtqzdXRUe4Wy6KPy2j1lwHaEAz4iM4W7B95U
WxcuoKB8Qj6edl+gf+3//sX/4JnitTvGHFXGyvB909vn7F/HKXN4M5HTYpD1bSVR17D1HNFgomMT
+dPvV/z3t+H/+B/5+Y9Vt/7Hf/Dfb3kxViFTku/+8x+X4Rvi1Pyz+Y/51/77n337S/+4Kj7mKIKP
j+bypfj+X37zi/z9P6+/emlevvmPdQaAd7xuP6rx5qNuk+b3i/BK53/5//vDf/v4/a/cjcXHb7+8
vKch20MN//yt+eXPH+3ff/vF4JT/RzXy719f5M9/cXpJ+eV9+vry2lYvP/69j5e6+e0XzXF+VYZu
KnYGh8Gjsmg19R9//Mj9lV4czUBA72xmLERZzlTit1/0X5Uj6Q66/CarvFA6X+Q6b//4mSFY7nT+
xzhA4R80fvnnK/zmA/t/H+C/ZW16zsOsqX/7xXa5/lfFzx8LKg8ML1AyAjbl/POvVqJ+clzXV6Jb
AYkh/FrhyZ44bS91d+DYqQUvg6GjTPKpe6p6OkXSmXGX3rDSBabF0rOtRey0Amsh3qx0cu0Tclt0
wtP4bHl1fZgij25azeZoZ/W9hbm/M3HT5xHZu5m+lCSrraqyedYLEwafHpFCHeknTaEyI/Xr1hz5
BwvLg59YZZOG3QXFs3JbfxVVEq25Hp70obCPBHIzJImgfuamSPelQMxmTk1KXmrHobDRP2NMxJjT
sHpXQX4ypF1dxC7qpMjUg6M7eeMl2ii5lz3tQBNJe+lr0d5ukYpTwYilNye2TkSNxyJs1g4ZIZuw
wKY9mYLopvA6C+kjuN1x9EoaSuF4Z7kUk1Gt9pyprCWUzQs2A4OujIw3jcTFaqeVeRJtTp527jxH
nri0KofURL2udh14X7imw11m2a/jmD71VfLF9LW3oMBN2IRiutFSTN5jXOoYEP1TCM91MTTyfYgd
samt4L0NHfEQ+oDaarPAT1GLcdW1ebo1U5hLZaeLrdukN4Xu7DvLyVdkCWMSCsL3kjAsYA5HXsjZ
LJg7NtU+VAqIjUaiG18oAIGNM7sa4nfP8h56zb2JhxBLb+SdlGyYgwqHc+IgcSZphLgq+C8rEbvj
SghMT2WlPzN2u6aednDTqWtjThmKJ6xzta3t+gLPfZ+H9BuM+hN63g4ycrItYgBqLiGE895QLpLG
z2mtETEyZtAwEQcLRbcT8ip5iYhVGGTclwDx+VK9YyB5nEIDO4/zobCajC3M+jF36dsZYmOD5sZB
IJ7VMELz6vk8qm48lhOdbE8gCfQM/K8xjYcBlAfjiGhKdgHOw1j4NNJ5aZMeb4oC54Mqw20H2ntp
ltjxbNO7bgSuqywYP8sBpMmcXipRp+hD8zHK6gCt/ZHWwXOcqj2jzIMXGZdaKM5JXJwxNkET07zL
qivTRTiat4biWCv6+ijIoTA45etdyjDbma5KQ0DxtOoewlx/Dq1gg4qiXqeArrcyFketT8BKd+lO
A1tYDurgYM1utfGY1mgBSmbdaZifC6F2fSgf8CVddFFNi06dddsn8L3Ad+iYW702DshvFCFAOf1a
Tc/ACea3cUrvyTDUyiaJvnHHHMyneeiYsKR6RF0NR93p+KaE+vBFId+no4biL/Ljh8J2TloUIuCv
XRJYvJg9dbDEBTN0ZkpWUGy8tFVIkYnAtVFi7RrJH+OM+IDznWjJhsGeCvyjYC5LR76DqaVXV7z3
2R2BM2yEktubCJLkXY8NCoMRIyi043YLfBaNVQ40ZMhzfCJcjLSiCSIj1Vh9b/TuLe12c2Z3MDgS
FhKVpEXJEHvE0Bk8uA+TwihZ5IBBiTlYNwFWFvKCXbK742HTJ3639KcsWXc1ndis6cFr9sndGNBj
5EG16a5WHt6b8a5L9IvKCKqV4E2gFV/X+6Rk4KWK1r2wcvXB14i/ZVrtIg8Qc+aePd0nsjK3Y+rE
WMowKJJ7GgNOpdpuMU3eAxmPVp3gQDc1cUYcAPOHdGzNU5O0SC8HL3+kx4Wg37btU+1COSC8JvHx
TAb+ahQ13O3Kqo+Oh8GqLvOIT84H4s2CzhkDjdq4NtPkobe6h0ZT8BNrzpPVW8HiEDhYVsFClmjT
rZpRAbyuB9snoXtsTq4R3lYRoJjMvmCa7l8ojTmQgGuK1o74MO25t8Q+jWoIM+4awuBjE7uHfFQX
xphuXLBnsxEk8+nmSvOkp/V7J4tLT0OVPUBCqgcBZFnuGkBaqV8flIg7/I89a1hv0Le2bnQSuVem
mJifp6BbawHtwqJ7IQ5Rg34ZNdLKsEcCglLHJK2PoUyhQz5Nc6yVBSXKWgsndMnMuRYFeV+bptE+
mX5iknHzPZbi11LhrOdcCf/EKPWnJqvjI43ZOQ66BeSH9NO2iNhOfRtncaeCKxITzKWd5GdpW++1
qF8drTnkIXYnUqRvNJuep6lYxFTckTtJGzRsQHZ1UqdJEmYnh3oTwN90KSucN34GWrUviO9xp/Ci
Huk7WyQLaZ7Jwd2vyDByH6PYfHBHuidUAMhmK/81zPIGCh6MAMcK91oINabtDai8TvoEe+ELyZe0
0JIBDbbScEx12Y4E8Zd8mi13A/NwKe9a2a+DIr+0p2qnhWB4+6QCMdD2+Tpk/95EA03trCDAa4SJ
swpk99QUg7UKMXvhuAzjlUWVbqF0WEHZ7teKbOsJQPcSb9RNYXr4ycZ3acL2aQoa+2bgdofalZ9+
CQWkjo3bfMofREQFnIBb5AFjnY1S/UlrQCR05WhdlF703vb6oxyRAXtZ/N7ToBkmA1aPX5/ttr8b
I1mAI1HQFQgkO1qhT5tMnrkysWvuelBTtVI9y3pezbR0Y8fkFrh8Q5VmtTzxQbZGh4I3G0mvX8tt
n9dnPLuwtCr2VZ/EnYVjmEBs8/hBNZiuMiUBR8+LiuUnL+Dz522AwJmhvINUD7ais4s9exO2ndpg
eBRrT1aJKrkMrHivOoyAuWWBiTAxwKUG/08VlQUWI8GAYYBLtgO+GUPKbMqj7hBZ/EpcmFwSokhe
beld5qOBwAjTtTaEzKD4hh4ySOnrsGqMpWkWHAjhVTUJFtCwbJ99o3SOtQnYfBCqvW0tH4aJG/ZP
Y6q/zi50OPfIUSQkrCSW96afuUtR1DzocsLB2rSvoG2Oups8VqgF2ApXlRho9PsqWlfNAM6ur3BV
N4yLI727dEpsvpEZg4kZ/A39rT+ysP+3dPln6UJP6H8uXS5fspfX//y/P6hc+LV/Vi7ur5ZuuIxD
XCQh7teVizJ+xaBE980SSAiRVNJI+O/aBVeqjYsLWwk9atS71DV/1i6a8Ss6cTwEaJ1nz5WBcvtf
qF14aV9VLtKkAWIIm0rNVVzFsL6r1R2fwUepwaMsorRY9C27dTDANR97BvF+PS2lDrKPXAAOS931
V2/Xn3XU13XTX68tkJ+bJveBYYs25LdVUxFUQxtmnr4KMTCttYGwEb3mmJT2bcn4lQZ26uYJ3uui
PlSTW6/+/vK/j8W+aoJy74JiEk0ebUeB9PG7HpzftS4aJeHA0Cw4FREwhZlpPqU4IjtKZ3jsU+OA
8xSVTLgcSQ4hDHUlVL9sGUo3knWCU7zJAQ51MeC82wajh9bftbAnhwojOg6lofxs2wcbb9Pfv/bv
5WXza0ezLyg2laH4CL977XnSs3gg718R6RUt6MbYS30qHplWwV2ShD35HS+qZrVaQEx9JCf2rAfy
tpH5my9bpoCVb62n+mftEyZ9P+j9IRDGXED/BInO9/2xoGFp6gYkCqOqT3KG8VnRF6dN9Kt+zlxJ
vVQyX3AzVAQI4waiWfTGvA5E8pBxS9BDwN8GY7iJUFNYxLp0gXOdmWziU25vcyMoFjj1waDNKTCy
yN/SgN1Ib7wvPU19ZeWfhHI+eQrrUj1nycQCLVNAvIxOisqqmRNnsjl7Rv89hcbNXktZv5pZDxlX
+bMGpAqhT8WX5JbUcDzoBE2Q8qt2VMRUMfaa4AmDOrHDkwxd44TKKl0NoXzywvF1iGAPeSN8F8/g
Lgm0iYgzaOAvka0Tk7HjzGE7nG0/bZtYOsIiltUcyNMoOLxYx/AJzXE9wK+o20jwEST5cGzHjFX0
TJDmmB+TYLVF63tvLaGvW5LXEOAxXx/neKCiJygospW5CufwIAy+HL7mQCGdZCGRKmLhhouYk2Uj
7DuNBCLU6mTrRO4IaTh4z/g67Cxp4Kcv5+giE/g+oAoD8SzBRoBcjCM5dt3KssBW2wiwAsLv+KzY
XXd+TjxS2wHGis1kXMi8kWs79O5tnTilkVwlYv9yCmKilsqmBKo6xy9Ren3hAHlnS9T55RzR1Ejg
iLQk4cRoOTEcLew6hf8RqOkymtKHgZynMKTZm9QRJTXqtn4OghqzDgZPSzpUbyMM1smLitLWW6Vz
hFSiZLfQbP8pyAhJt1K0Hr2V30hS7hEpRYd4jDAd68jVxh5LoQ66mkXozOwZHkMzfqHBdBlFdrzN
bfjs1EZESo3ms03olfSHXS5MePNtdT0U5icRRXSefcNagxtd5wEt6NJkYZkwpTFckzcDAVt20z2N
c+IWEmpr65j4RfMicC/yOiToOaOvoIX5p413O2LZpQh6FaR5KU79jxn5XiGkb6zst+QYoIgqw32t
hRd+2O7Ifr7SCQdLTfMiISzMmPpHA+VSh67PmNPEfE6RhapOhRx36BHXOoCZZBzXRYB5RVMzpOhE
9/Oui3u+H5PaGkZDshciCo+6ofWTz5RYM3BDJCQn3bGrAOC3hT1d+UwRkD1NHFYmH8ieNEg4JJMm
ioCwWmM23Hlj9lQoDPgEn+S8CBvEkR4Fm5bcNd1BOici0ChD8/vCOqzTAFMZr/vg+k1P1msFm7GP
OP6m1qGo+5qhJN/VpGPdmGPfELsiRapmqllFKpwra4yQ+Ms7D1hchPt5pkiKhe8TWyPSilyJOWIu
FxR8I2fxRdvKEQ42dHaLSDrVcyNRZpSrpsMrI83fvWrmakD5t/Nrglp6fHmc9Ell7IR/RjxNXd6Q
Mq9PwBlZfm7rgbebkuccBU2wDLTqzp+G66rNbuKojPAVk5lS++EpDP3rUZMOTkrnViOXmokFOndF
yJFmhPxltJs+B8BFkmm8mvgqFtOrb2bvTRyeU9nepRnp83YJoqklA5rK6iZpGuOiNMabIg3gVgiJ
QrSLicFKz7oKP3PD2cUh3wFW7nBlGxMCq/aGAcNGVtULM5tqGdXpa2VrF2JsH33qd+a0DSHFRXfB
8f1EzfMQFdmVGTq3XWO8FblukGri0TizLUYVnkkUQWUUzJSH1wnklJFWd7oElRNSbyT0Y/zIZdjc
XHFOmVGy07Vw9O2Qep+ljkkAsnsJjU2/JBmd0JTIOoF2uSwk892o6a6twN6iJD/nCIwjPcd/2297
q7lzO8CE0nnxOXJAOWvvprQB9IrGqhWkUerNmdIPxV5VMmYtHvXCetSJ0SyV/px6yV1sq003VhfZ
RMGX68WpJBip7lgC9DgMtpGsbJbeaafpQoP0ACqnK+BeIGm5rvu9lYacFZKZqTDcJXF7BLdzgRP6
hhUYu/eUPZqxf1NajHj9aedM4O6m0cjRO6VXlW285rp9LUlbxmDq7fxkujNHLL/RBEOsEO3BKYtk
mSpkdjCCRuqlwWY9bEE2X9OvGfcNdrQ98SZkiJGCukC5MTOjHuAivJueTlMHL21tynvGvKtG4G9w
axg6YU+Wizc2d1NOsxWK8U1bFbuIia9ujM+k417KSOyntNhXBsZMQvVakJvmyQ1dou6andakI08q
UKQ4NKCxmvbOSYdTXtRXVVO8T2EOM0ZHzWhr+sEAfwvbEY91jAbD16/NNHfXbjC0u0avHwWQ1jgj
fb7XvXuaTNrCKIk2cWOyEU3/MPrNA2UyhCHCVcBmQ8gpInnuZbMNlLnJdeeUl9XFVDJqtPXwDjGq
A506vMksb6ZkaxWNPYtzHOnLg4hQTIj6JQ34FFFFd+yWxWVryLeo0+dTRsnmS+8VazJdCWyvPEq0
tODgIPVz0600PB1MSweH1sz8NZKQnpt3QPGNhmDvUScjsh8s0R2JJyVOXJBr04hyX7U2EKWeIs80
eXSkgA5EOPO060dQZJprExxXV+U2HyqWVp/RbPfogFykn8tJzowgwXm5s45s4rShKeyCprymmciV
QmhmiTmntalr3U93KmDFsDuiP6upB+GjpbdDWT+ao0CggrEcr6F8T52Mk5Bv3emE9LStc2ANhDRF
8qVdT491H+7jMXvBHwKbJ7J3XQZ9NDHklTU/Yio3ABm72p2Lwqts0vuyGsFCkdwbTDeeNpLmmahD
SzximwCbhRZO9e6ggutI6QZeRdqPMVFumOJUsqPSsTMhoxTsDPQqN/GQfFqBysAdNcTjNPIyTB0q
XvMyLmZli5DXLL7U/R6Gy9ghPyfvBqacIzeg6vhMrDeTZ6d66OpI3IS9368rfUhg1+jhTnCWoHki
tXUq2XlLobJDTv9zY2gFXAi+zZkKYALYJJj2qftpWiVZRIS8L5NInlo3vHU1Z8M7rC7cqHgskgRf
QZLeuW7+4Ev7gsw277LPsFaGGqlryZ55IMy/ouoXQPjuCDIF51Ry3NCnZGPEmrPQI7AvmJlwjMf9
hdXKQ6nN5vvBuTaRclqciiFC8mmVhvYaVM3ZjOSjPZL5Q2v2XgZoIkkpvB+6klyMCgGuG0bvfWzu
gpppC3Tju6DWDEJoko/MQ43bEU62rSagfCzL960m7HUwimY1tOlGVPWxk+HBJYDNoadZqOKsoyok
aUgLlxG3MTe93BU+IGPb9y0nuaZ6jzHQcL8VQZhR+t6Q+UMm5JzWURYrSHn3aeQ7OxQuzUz9+VJy
EnRJoMYUnzhgiMJrJ1CXiU8dqFP4keh2tBxa3VqYmKTQRv2xrSVmsTHSbzkFDcdUMXHSmTag70yL
Kw24x7IpCE4RtYU+qrPrV0QOyJi0ipNpw9beBCif4sAkomtwqrewHhFXRWIM83VpKfKSLZpDCpaO
1+QI9T2gA0PgFW9DTqO0MagIE8SLQwK4WnPhBETkArQwyhZTMfIIt3jl2hCOaq9zLGmSmqCjJvF3
HH4vRQ3LzRtmv4nnnj01nfFdg/9h1FezNIcOSDfkZZ8NxNFWj9Gym6AVAHTyxBW+7V5UWQnut9Zl
sMsYHm1b3xDHkEn+Milycc3oo7hhcShfSoiDm2oCpeN4wOsyDp+wYkHuDvDGayGDJxUjdm8KSD1d
7wWXY00QpTKqezuATevUNc84MSFfREQaFud10rw8k+u5jb3K2bU0KF3qGuFBiCbepuXminJnDjlq
rjogQykS/jKd472qpMqvhKaC/TTQ7APCSopp0e81Ict8nWpYinubfMdwYo6v2qE4moPtHErrA4rE
oq9Etcx8OCwDswI9WFWIrOn00uPVmewVlboy3dvBKfBUeC7vru2SIeRErCMx2MiFQWD1DmgHWC5s
UGvT1ay7BubXxhnefUgVQLQuu1Ec9IEMgw72mQ1MXndZ0dwCjJXnbBISo3VFYpwmjm5YHBtIzgao
FYMAOM5+B2C/D2N6gch2mbPWKVMuzdxMlzJDM8SuUtlQF7V5xRxbpAs5OORSCzjROsllrUByDU+c
jtZw6BZ9gUzbio9SJPt56FjEyYozzWXrsJkUrAVGWm/pn6zFZF6biKn7OLYOWtHcS61l/NkaG5Iq
EdfXK+ahK8mqmoNWtRpzxWAAd394lmpo94aoD62yV9XoJksRVHs71B/rHI1g7C271tqXEchgS6zz
ON70OoyPiWiLaYJoymiBOD3Ng606FodcRM8JfIe+hxLuE9WHgNsgQZ711l/5QdKvCsVJvZ8UjxrR
g6704I45r83gLnXT2uTacz6xB401T4GvMVSly+Gtjdx1l9aYvNp9fA/NtAVobFekAkBCXgQESBhQ
s2zWyNbpRgoT0gka27KeB9+NT35g9vXK9AsoJx3oKOpDUiWXVhhSFRLAdVK2hKXcbaIWFGbfo6ez
K6cmrsBMGOdiTqhj5xijWtpFUXeLpoVMo+LQG/gs4u7GsOfFO5bNsYiBc5ZeDMew/ZSEUxujvUlj
uZ/KATp5kqKY0y7hiR61ivl7PJxj2V7EgfccF+bZJiWLLtfRlGRAm20I/oyslXzYCNl8ytK9y1sk
uZwM71UC1Y7pG6j9CuIXI/EnMqF3jAMfO92fV1/0qvXaIqEg7F+7qLm0Ug6mIzBdvGPLMCIYs+0+
A12kGz1GOy380F3JeALlqHH2SLFZ6E5GLZWccz+9ZhNb236FpRbwStcd1fhp2OkuBmWLMYZDPfo4
X3Lwb+3+oivFuEMZ+2Zk+guYmAcrtEmt6K2DWxf7GCdZjM49N7KrYqz1LQCyD7dSF4Mmj6MTbgRI
LE8f74i+xDTaHGcXSAXZv3TSzTBvJhN1QjoPqPLxSwaM1kSonzn+ziqTo2baJ0CIF2Oh76KRDGQW
NKbNV0SHbKap2JE8w6SbaZsNpsNwIOWG6mnqiSUHwFA29PE8P9lkZV0sjEpdlwLHCg9emEe7AWzY
KPyVQnybwmTlnYdlB31H1QfTxQKi4y3RIaMGwU5O4khJf1m5zqaviPMkG84drC9ZYzymYXdlaOrZ
tkeOkN2sdO8PelJfjml7wdyMSAFrLZR56RX9Ux6L68RUsJq1knQ/jlYR0Y2uKPBMVbvcDg6DDu7e
wQ9dFiD3E5BEUu4UlP2pUNc0ZXaGE+4IUNrnYXXnBIQT9nVE8rHlX6Yw0baMNkEZGgHhDb3+zL44
7WzG9mTK8zdtgk9czfY2rWMfwjZA9BCn0NeCqXjOx4n1d2BSh8HEmZ6nwbjXpyH9hOTCSqvl4boq
E7FMB9te/qS7+QMVlkJV49BsMm2dbuC3nWGbaRPtAQoiTJTLcdsni/yGLfyGmCGxb9YMRG7WY0y/
dmnuf3LpWb73VVOYg438+tLfs0R8X8MbHHPp7K7rN1isFszyVvoqb5b6DgTj31/uB81S5dCC5hit
aEZ/3yztTVnnNqU0gQ131my3IYYebsjfX8T4gSDvm6uIb9/O0q361JZYC7oNPrQXTSysdXeVrqNV
eFmt+1UwJ7dsaLn+5HP8vQv9/Zv59e19N10YrWIcpMOFxVZtO0QcK/jF6RoMNwpbKOv3xVotzKVx
nz+R4rTBePSTO//Z+/udMCtyjNYdZ0MKpPFtvCuu1JkUGWQ3XBf3w6PWrLyf3fT8N7+9aQctGFMV
Uzc5Noj5NX0lBvOTxC39eLJX5RpO3Mbf9dt6m25h2C/Jnl4s5AJawYLMlOURl9Mh2do/eaisvwJq
lGkxG1CWyYtw7O/edl2PPZ+mmbOafKJ4PIOIiEFsA9NbuzE8PviUbcBsH9AuSOClSQU0aOweguIq
JfciRovqIL/X+w6ndLqJYDAoC3WNg2VHbx6sdroexAhzHihB+4W4bZpZfKI+Dq7YeFBVshlM/1Ub
kouoDlZpT8s0L/wd29IxCZGiWtZRTsNPPutvP2oma8ibHQsNOWAdwIDiu5tGThPhSWe8jcAcEVSQ
XBsdIvuJE+ffP1Q/vNB8ZoUpQNa6/Z24OWLaWlp+zAaFdolJdo0dOGloSbSO/OOb+78D1j8HrCZP
7v88YD29FPlfp6vz7/xzuur8qkPcYYiHy0daumRh+6cuVP1qQdqQzKf4Is7Yja+mqzozR3rCUDIt
E9QKWvWvx6uCPwdGiq8u+i+BGeFfGK/Og9RvlwP2L7SJs1ndZqILSuy7vUxU1uTP8I9Vl8/6rChY
mXH1hGwTgWXpZCtBpZN0CUEgUbtHkkV6c1CHbPFMG7oiBCLlOV841d1ptaY2QWnWbPnuyaIxwSRL
nERY3/W99lh0nLAjgoRLKOK0EuilJiFWXxi0SW7WdL/rnRloD2Ven7yOHkaK0qyYK3dp1uTlJMFL
GNFQMUMddYxAYxXqwt7ajc35wYd7HE3IUbKMbkJ10HjrV6Sojxw9rH6jR1NJZiQ0wDCABsEAEGkN
xYOW1s6Oxs2VVc+buWtkhM0UD8iU+LqU0+cQxBd2wMiSrsgp8/phgxfhqoQpwLn7UUyIWro2e5Ce
cxPoyTrLaxQZ424c/OCycmgWhAFoGiU1epute0tdHqzNhD8jbLfY0jrYU/4/+RLkgpd0MI4bn208
GodFEFJLwTskVZsGzyYwcUlrNpFbqQ6cOCxCWsCdRc/dRwVTZfWV6zQRiEJti3tph039QPLpY1hH
Bf3I7DO3yEQeW2YJpue/ugHY5qw6D3R9J9d4d8D+LJGdzG7Iaq3H4H2Ilsoy7x4CPzZvmVzUk7mt
Gvdkp8E7QuOLrDV3tTW9D4bxwEmyILoy2oU1Ykk+nlXYk0U8dAfJ6Mch690bk6c6F5+TIiqnGGQA
prA8GT5ZeGl5VRkoz0L6h42RvRqpf2b0Bcoy0t7U2PpLe6izbe4n72NPjDDeJeDfeUSuVEynYxhe
anf2j8nwsYwo5jPbv+TWsXTyIZO2/hqa0bM/FAAiCIepLrQGJVEw2dvQrfBdedmXoas/OtK7iWnM
wSSXxpbQQQ7hEaBtSTg1SVq+s7ElpzpXeQcdJPdogRFt9fTo9uWmTe3kvrDMq8Y09kXMwCrTxUvZ
oHB1XPI1kjG6tidilSeEeLl2gZuXEoR4DNBf5baLcuRNRvMUO9FVJ8ANAL4+dH7+mVbsS8VIzI2U
7qoZiKx3EZVyUzhly/AUjDmy27Ld5lF54fbxxk3IRnOLG70mOuCP50Gzz1Vu77Q2uZp8nL+dTB8c
gA+jZSA7Gs+No529rL0aCPNppM1XYOphwBCbMIX7fOpPg1Wdw8p+ZLpHFrp7tB3aFq261hqx74Pm
huYhTh1r0g6Mcm5tyK/TxCxOCx9k3L/57fiRKvTOdUFISJLq8UlNgcV036auZisHoTUH4qLSjJu1
T5MGQxnERIazrAYVx9mC9MtIT66svP+SE9XQ0CdN4Iqh0tbOqR94j6DtjIM2QZVG6U0Uu5zXD7vz
tmrC4hflLjk9OuWF8sjziEoInn3xVE0JIULme1tU4WIKoGHE+Uc8Gauhdj5CGV9FTnPWxvqUg2hZ
MBVdevPFhXtvxTqkAxTPz7JMSKPRy51FbNg+AzFu9u492iziPTLbwF7vmis7cpmiDXPgJhJK0E/Q
NPSBAPLW1vY0XgagnrjazRZ4tgXMQEdYl1ryxBD6obWZ2mbjvo3F3hpz4t0KGpoNULVlD4MD0wdt
WDJI5btUPIY5a3Tpd0/DSFOeZsGuNiIszMO6r+ubLE3Phl49C63Klh7x0KKDZBlH40aG4Ys+xZfM
Ae5ty/9MRQXi0g+36NdgxQ7djZWMt5U5XbRRQspfuO8yvLdu5V3bGYQad4gvu4BBYBaGbyTPIxSQ
+ywmo0pv2QKmeHpFBfdkaMk5KvTryoo+pr58JAvi6JT9RYCpV1PiIYIMHpfJLXvHbZ212LRJ3MRr
CfeR5HRacotekw9xVl3nvNiiGXe1Lsp1FtRf/Lr+aAJnm3v+h8gxM8jmJmvMG+S3WGRMRnpKmjel
io+tZCaNaPjR47gI9ec2mCHHkS7vaZ99uEnxFkTmA4Duh8awn8ec4F7PfAabzFAI0chSRDX7QfXo
E5K1GCWV79S1b81QbTSECItYDdsBA06l0Nl11jSQoUNADw1ab6VRuiPFPRJcgtauyTAoCwj5qC7G
E6VsuahK7b53PBA8dCw8Z28SQRWFAuktY0uta0ndU9GuLdEIa52Qm7rtCS9QxhMKG4KNnehCJeGJ
iIoDxJ1TXxDdZijTX9F7iklnQw9APCIQ3akmaEt38Te4IbAAM1CEVMIfhuJiJJs6VLcNX6klBGqx
tkySVYFEf1hg1ta2Y+zpythryDNvVYa+26nznqUifQA3FDOcHsSV67PUqT7iOcAVs2J43OH7AgBb
680ry1a2MCafrxSxXis8xnCIFfJdOvRk12Zz8GeqolNLHDXaDmZ3mkavk1gbtlJBxqBMiEGOaMvi
DA6OQ9VA4IVhvkthGBHfW48bpRk9Md8odUzUGjuv1e4psg4D/KjrKijfqX7WgZYSAGZsc606m1DO
0EvmYg1O0rnUK430JKVImARnixxDVZDq+chakuSOhL8Q6BaRihwa5n+xd15NjiNnFv0v+46JTJgE
8EpfZFWR5c0LolzDe49fvydnpNWMNqQIvUsKKSS1uqtJgmnud++5VC1jtfT5Fu4wRGRQi4rnNETA
C8nG74VIznMf3FR0+K2nIuKcVMy2/sAOIojPEuQAG6pxmUAjwOnF39NZw4DEaBonVLuXKMAalcf4
xtviuSx8WjE7/CF9mj4Jn5OOk5bHxivpNOBt2kt/ONvxeIhCZvB28ilbWlRCk2qL0u2sfUJI4KYa
UdFUPvImIrv1gsTByKAiyxc69KyLgS/2OKXApY1FvMVG8b3k2YPy+TMi6C7bvhfXeMc5tdnTRx3F
j27gk2osjWyteOc2xmwCbWnuKagGG0NVaxsXyLBF+1kywVsm3MUWvDURCLpikKpQ+BkdVkwmCucU
pZBmAlscorS7g0h2zOL0kMRlsxtE/d37xXbJixuZQBmg1QkvwWkY+PILvhV4jC9xGmJCzt5K1d6M
88Ja1NdPDq65STRrN3KQdrsFz0eudhMwPbD514tw3+kFIgJv2Z/8dHM1LKJghy1ey4kTo+FT65lS
v+wJZsngkK6CMA0pOs2ehry+NSkFRCNOsnXrdQqMCBkR4nhesAs74Dr22DICkpwH+1Lkt35g1RyK
gkeji14i2/oFTPUbZ84hsAr7yCyyOSwy/k6t8r7GGnPIKMIZVXNreZBPMEEsKyIGeCgWrGR8ZvKU
ptlJ8ARwAr43C3Er6Q5b+wulIUYGwrvsPdjOcf0B6f6SVcb7JOQro8sUEwT/ViXWcQhc+Awhd+xB
NhXH3kHSnVRAYlBDu/Ztg7kFR9i1ATh6xqHDEIPeBimKg58ir89AkHehRVNpEn9SJfHTleJDjM05
a0MWw4qveSD2FXMA/gpcGSZsS3ZZMHEw+p1TdZcpMejvYyjRYFTYYQxw18pdnsY2+OyC7MWuoTJM
7WfSwRmKEkArjG+TFcdF2opG6zzG7Iceg9TLHNfdQeX61eRxsi6zodiHhJf1gNLfmAPDeiaUYFi8
Gqa5ofRhkLasuBfbWET5nsSYWLWmeMtBtq/b1H9Kq+Wrg7PApIyOhSbBOy8mAY9AmJvAot3IDIse
jpV9GFAIwVGMP7m94S2+SdBq5xDGEjMja8MdpyI61mOfWepfgzt/t9B1jQC3SsKIZhUuy2VB3VwZ
83xulE8JaMj6uHjtXZl1nPwrPnh36V/ysNKHUtJyVhuMG44B4/vMa19PWSFvl4Cmu6pwt3YeHEO/
p/qweYt0ZMFJp2jDzaPfDZO8T/ThMa4AaGRT9LrMziuDLGuLTU0f8TGF22N0HrFHELmxV17H+mNZ
ExegLj/3EtjUbBVci4KZxhVAbpw1WLQw/ryHcdJhHx/mVW/a4yr1qWkNxtS/sq3orq/mO3uszFXi
GFgSwqLeovvSEOJG92oSx04QOhzoht9ORNZ2Zubat2ZBxQuGvSV1rrOyL7fmhEZkcGRivERVkvBx
58nCvc8yWR7w7t41Bt2WDEMf7QL7fW5q4kLYmFuw/e9DQRlJrYJo7Sqj2VPL+5p44cT8gn0Ixh5U
BydutgMFuvvUb4geTDTtuR4jAH8gs1KTE1fQSLjZJP15LFM0+dxueaDEFU6XnV+SnDF6yOR1BiLN
VnTZipkcR1943cpzpx4LPq4pOFT91o4GBLdAJZfQ88Rn05vMDWvCRYAjpr1ikoTBuU9ywITLxZsY
UoErDK7k5HPkikaD+nifs15FM65BVaDp5dGeM6xuuOu9tcliQ71n7b9xfHJWIE/Cc9On9skaYHVN
Y0ZaoVhha40iSt2G6rlqUHNnw/lqw8ilz2GB7MlEC84WObuo7D6rjllzpk1oYcLC6eIMScseA6lv
pe9iTF9tPNkYGXuOOWXyEJMXXDVW9NUuw6V0hpgpef7OVHzj1t/Kf8xzP3ryasu8wXto3bUB02o7
Jm1q9XmAuTmPn/tcUfMWDowqfbO/4gHLjr3jwlB3SaxQWEzWIWZZFFb9UZaRtoHn0Vpq1hRjI7WC
M3cfR1iK4GxP+9o134WVvfhG8kY3o79zycJskqostkGUf5AYVEdBhZdpOOWhMyXlbrYwD3OaOhxd
o8tgUjZbhlXBUKZOD27n/CL8Zq1aF7vP4g0zQy6rW/M0u6SJpNw0o1/eSEH1pT1EVMIEyXWRA2ma
ud4FkXzHWU9USE6SnTAzqbgduw8qdvQ9YDq1TM+4o5nhjufgl1szh19KK+ZGhtc4ksPOrWu+9Q21
qtwHf5GGYg9t6BDKcz0287kwFjIZd3WYpA+OL99cEvdEE9PXvjc3ThzDRfMexoma2qljxauGr9Ai
kjsl5U44+DMUpWM+lYa/y2L/lQn/B+EO2iJS7r9WCS/xV4Q9LPpLhPz/ft8/lEKPnAGmdOELzxQ6
bPF3pdD/zXLJZjgEwV0SAbpT5h85DDREBoC+MC3793T531MY4jeIZwJFz6UWwMOhCAXhP9AJPflP
cyf8Z4LGGt/hLwmGw/f+ydDfJXGNE8cDmMPYnofV+fLjgBid0zwXJaIOyw3kZUWlj98XF1uvN4XV
2ae5bcNzpn/ZWWzWpZb9c8kXby31fNrS61dYdY8kROv1YnAKAHnT7CJ6qLZsuu67yOWFvYyuKErM
MBrpZVJWXb8dSjotQ7uRn2OQpZdxMmkr10uspRdbXy+7g16AHUFCczQlbPvWWRAEAqqamdfu6ZbZ
yca8cicEvrKrrS2OOmDPispniYtw0+vl30rkY9KPBFTNwcFTxiYBBxahImHjGJeEZIXeTOZoJPfK
9kLXFP+73nKC0qdRsqUXJ+U0bOmNqSysx0EiAir2rMrxyoNgF1v0djbojc3tWQ9ZGwa9yJbcYKxr
qSiUYOo53TEjY4icq2bb6j1zTsyj4Sf3lJ7UO6H3VY4szdrRe+3Apuuw+eZG61+1TTLgGGRnVu7M
6T5it4a/8RHPC/u3ZUWbUu/pi97dzQlxgTvr2dQ7vzfTfjfo00CZ92ikybmQabklykbRjz47MGp4
jYLkVWGKB7PO+WLkoDGVst8pffagty1Zqbl7M7z+WDrGseaYYjQotplgBVSz4a3V7I3vLv7qTT00
7Zqps9xbxvhSevSjOQFFo3FVvtUlXaAiqjF+CO8DiSLHrSKuKWIs1g1a5qNhJ9eAekAWqPLX0jkv
lqIjmHPYxrM58kzCO6VO+ysxylvHrZ7LsH1jKFQ9xVO/SQoKV4OAlLuaKWJuiBeS3HiJUixKfUhR
Y7AkmzZKn+aZ04uJCA05DpC3614HuUCSNvWR2eTJjDS5gK3bAOOYmDuRVRVWCnrp+qDlFJFHDQ8v
C67l1O9zNoabQvMRkjy6HwEmhIVDhU771GqSgmFJ62qs0vY4xeO7Mn30ZU1esDSDwRsLc99oLoOX
LRPmLmcCWsk+2oJvGDTHIUtxzze98U6pjL8RPbQH18/5dphwYCifuqlktEstsndMi1LIpGK4sZxs
2JuO3Vy1hPVsndprzWleRRUKHoE+SbCvKPMPirwuk078OSGpcDhF3hqTyRMJUW65kwF50+1w5orP
3p5uloa/ZTCY1Yucxv6h0+nC0ljck1LjuwygXScye0ja8Yy6L9euzRPW6aBiyJ1gY0WEFytSjPHk
3fg0pK1yfevuRfRp+jF8Go4DSocgZWQVHKxc9+TriCRZihrkO96CSgcosZfDONahSqrEcS0L7y3q
CekTh20Z/BLCTHUcE4LKY6YDmrzK93CIP7hzUOdiwjtOzBGEmhE9ezrgCT/aWWVkNEj0IMoP5ECB
Geyxclm47I1NQ1J0LMJ9raOjnaMTQI04VKRK2xS/bbj4pn5Ht4LkabfYF4ckqr1kzSnV4dS4gVbA
wfdRkFvFTEMeO+3fged+1wKMzkDGtSHrOurQa9gTf7XM6Q1XtLsKOBswqOEQNlb5c6dTsygmqzSx
OU2I4ehotLerQ7b85O+a1G1J+tYY8IP55HFJJo9b2+4QX3RWt/Sp4OtavoZOY2MB6IDoke9dKtRv
vt58d5UrdpFghFlWVDeFIF1XXVkf+Mbe9PBLe3LDgvxwtRAkbsP2IynL4mDokDHHt5xenqZYxYSQ
qdWm9FCgJfNxlcdldA4tztftnBNSY3UiAROOD63VfqaEnKGm+LskYZmc8+o46TR0KGBkuL8npKvp
BhJBskNfu+W6Fq5taCE3ZJ4pCiVnHSqyWnBF7isdwVZksRuz/SSjHSFnDZ9FF9DOMus/0rRfl5rC
E6MZrmYBE6BsmFMtTcfQqWXLo1HrVOsMODnJZNPoXHjhlp9MWa48v643BgDivaGT5EvF3uHzihgR
SWtV2JF6oEkTgHXcv9WTfSw5+K9qTnlmY24UD/ZQzzup2ovbMjYysAVrsm1W7lCeya9knNS0YF5H
H75urvKD8hbj9a7snSszDB97xwPZ3oobEYQkq6aTLPof34tus4r4yaje8wiHkYqtq3Q07roIaArp
LlBQqXzDEEczVYqBDT1O7JtaPUtmKdtAVej5CaMLhgbcRSZKq/sFsJNB24LTQlss+TQ3gTFOp1Lw
1uLoMK/aCYszxmfrkQMMaYUifspDe7mySm7jcesb3GGpqxvLJFzLbryKa3FTDejWkSYCAGDP4y3u
rKssh/04FScXtMZqDmlL8MruhoXuo53ro93zUMzuvcU4z0/0Gp5QTVbFhwpuSGmQYBtI+kjR1Yd8
tvdJWR1U7wPpU7/o78hvaHz7KJXIN/i58HTKBf5HefZmoEojzbet2noNNvohSM+UN5zSsb8IylB5
zDE8JuK6b9x3v/YPKnzLl7MvNkNNUVtlUuYHplbgdA+n5qImdc5VsTUi8ggwF77Sof5sLdoGIOTS
lKuJOay2/uJvUjMCOxh+ev6yHaf2irsmVfLjil7J14HqpSjJHroy/vHsAcnSp7yWLjwxPg92xTEg
ex2rCMG7+mY0gYktcrc9C/maZEt76kZdYkzsDlcYPkdgU9dRUL+OpXozBo5etmh/ih6yTtezvAWh
urNG97t0q68Rvs2qTFJERV9RilMU0WqR4RM9vf6KLJju7ly+84Fie7DqW1Enb4PNRYhb8WtUmGIN
kP3NzttlA5/1GJbBuG0t4Bhh/cDq/TLJ6EM5+XOwpHeiUXejxNiWj9emfsKnEp8lmZmXGAq02WHx
xVNercUwP6eK+d/AwIg4qf9CEcdbI4rnxlUNX2h3G441SmK6rbL5esgQe/naHwPXeUAS5uo/9JAi
YvR3XuVpqcrbIm+vywm1I6YzKRHiGAn3Ir2ZijPHvfArFLFa2SUf6eNoiD1N4XAxlOKa1ZaPLGrA
I9ySDG5BE6MTTCgJfnOHb/jaqex5Fypx5Kz4Qx7/gLGUMrxOE9cAk1Qu2mEln42IJa8cG41Yu+MD
q3YEbGn7myhmsBr77GhPzCLZV2qCBAeXAzFxw2EfuRBvcrMY32s54qr2sfUbMW3bjsetPg/Li9eH
t8FCcieWdbIbRo+i3t4AiE5ds1XyHxL5GisyJkFAL3idUfjMMA0BtaS4xsJF4+bRxZndmzFB60nF
cGsniBQeFRxMO2midG0mUcE+8VjHqTm91DntTWk2QYoDhgHpiNtyPj3WoBSKNr73yQZwc17iA6DB
XU9iJWuyZG2qstp3ncUluPbIxoY0eRQ1iRLJcfz3q7Ka7TfXjy96p3W4ZVO2K+69eYSwP/bJDqDP
bd1JGK8lDXy2FLd2nkE8CpOtVRfBRnX2DavOGsjTTZ4E38qOX/3QvXSx/02E+kaq4KmuuLKP8JVz
IqGxT1NjmlyKxudl2An+tNG9QrV5oGaEiIcNRzQJZXLdGuKbNg/7QCsdOk5nZ6uqW4bdUrdvbtvj
kp5Daxs0wX3HjW4fSqs+1hWsd57jfaSyq94X70m3cIjoWG9YCH85XX/V0cSwMYv5lzUmT0wp4bt0
NTWEEQkpeu6/YjX4zDxNuVaD8ZAVpbmjM8ZaJ6gYEIyc6TgKwWm+wmFgY9rF0phBOcaMmRKwkXEb
XTk+ryoCn4VJnG/5rLoZ0Pm8hcSIq9FUz4P0XoHjUUXtMwEcKSKv3eXF6Nsno61vplY0m7Q3xtex
D1v480VxjFuVHZrWynZ+MeYbaKIAY6eOvs1R0YucusGqjkPye7WYs13l9DNU6zImzlWOZzJb9dN/
VYhu1iA71AQHx9C/UyEeCceCsYv6f5Yh/viNf5chvN/k76wFn/o3Qvku3rK/yxDeb/x37v3KkViF
bM0j/ZsMYYjffCZiDp6k31EF0Cf5xb8rEfI3GAos6AgYuJ3ojTL/EyECA9v/8ytZnCrx01FDKHXc
+6/2RZFDrgv6CMavRyiZIb6xU6r/qQS5uLkqzEMinGZrQPtZmy7VQxxirx1JkqQuJ/yBHZD0xCfZ
bgvYl+lATUKVjF/uxBUfHefDSrpkO9W2xaHK4/jTFS9OrCewflTvx8Ssn43FDNZ1w111MelBCFmy
BhzdVeJvwQlQQoR3YF06XXcbZmWw5bvJLUHiqRgE7X8ip+VgLnEu5XFaHgIFRoLglM9qA59aRC6d
yDPRV6tVcm97ds+WEZibomqCCzsJAp+W+jot+jnhTFW2tD5kmeq6CK5hNrb6XaOaK6FlQ08LiC5K
YpPRWNBpcVGgMnZabgwthEeRBPLAZE3eYl2kQHKc3xd0ylILltwwrsPSh82vxcxGYuL36nSBlUqW
1i5IxhBsmregpZgHeDSWMjH4VWqRtByGYpd4imtunFxmIuOrWYuqEUvnytJCq7DC7RD4iuKR/KNI
+oJS37bkzhzRMdPnbxLFtkG5dbSEm6UlZ/NCa7t1KbI9oYEPaWKpIICFc9Syq4M3GW/NBANbe1zS
FqdOnI+0eXCFW5fN/IpF7wNYyXtR1elRehMOFIdy9aoPPrO5/Jl7PmCAjC28nvgrba1qbWPlAB10
Zqz1EA3FOVyCHkdELg62P+2FhJGVqfwKHttrZ1U3JqFmKKAvpdlCC1Tcb6xC70/9bdlRJzY2s7np
LAIAPdkTuSARBU1/aaR37cLbW8XeWG/Sym32RWg+1RMuBVJW/YZuOQ8SVBVA/4JDUkvnvhbTPjD9
a1Tyl3YpvueeBd2TA8kSCqL3ccZI0u/rc+8kj5Y5+sDQtbXNpWq2GkrvYZkLJoVuT6CGSiMwD5zu
I2fj2KgtUNSXkyOtl7BEymnTxD33qlEretJheDVVcDOk+bDvKtqHiRaXPPcR9+2ZoXDR2tPJRABf
BQ3DYmJRHwpiGTXr1mHMJkpNmhD7eARp0UvR1qp4fBjoxFwPhm0e4zx/8wxawypzQsKyQOpnWfrZ
1FW3x6HRrmrFAX0hCZfN5uPYOY9lBHis7nTjRZVd2y5lY3GKn2IZREYujZ7asHTcG8X8fyW57Wf2
/Dim3tlsnOI2MvjSMWvwtpQ7frYDs9pyzA5hQJ22WYuXgAixDTdh208A5TjfXDw3f8zn1njzwEtv
PSMvf4gtPS8uRYYqYbCVhvSkVYzu4OLVDZ2ay7WRkhoZ23xcjwTRHnK0BU4aclOqiPQ4XfRXg1nA
XTAmb9hYDZgG18rVddtSQMI6QkKd6pO1Ygh2qIyREoyGy4HZ88O8KeIalnsl6VLZbbqUSmGzNuzj
nCfgekOyd4Zb1RuB/4pmu+XN6mJnOxCYPTiV057niVTYwPFStKHPLKg4uKHzWRg0W08Rx383bZbX
PkZEM1IuHgE421WN7wUy+vjtGEAVw3h+NhBp0CuGJwuaW14SMovE/FEs5WVp7fIP1/p/Rwhs3sj+
uhnzX48Qtm3+03xk3x/tn+3G//cb/7F521CC4DHZwEZ9Uzt9/7Z5e+I3iRVAe4YdByaPTSbgb5u3
/E23wMGhNRU2YP3Pf2zd4jdh+SiL/APcsfT5f1j/yebNieRPyQPHwenPX0vQBipQaYX4p7RDBga3
UCOYfuPAumZfES88R9vsj0flL7ziP2Ob/ppv+NtP4bDLWYQZuP274flP+QZOq6Y0Sy6+hejWIapd
Jw9/evcvf2Ql/v1P4E/VxctApB2XN/WvRxATSXwYYpOy7erNbwkhhdEfxvp/+Rp+P8X8KaShxy2O
j45ls9zqt/2fTPyybQ0rcRyxcXCwrYN9c8k2hEjv6y8G11/YGfLd/InM++9fmIk9/S+fESYDSUu1
4gdbFuc8HqS/vrbJWehYcsC4YmsI9oJa+NVokiNYkvQaH+NLD2miNfMnm/YgrO+A8ZCV0s7e5XF4
wKaHWQTrSeBdWQ5RDiN66CODyNvypPLhmKfVoWzElT9hXRmL985LXwPfvAmNLZ6EGgs3G0hlDc9c
7r1Vt5TvDfl+SoBfktgg1A7ORk2n1KQxzAyOagyAnpi4xps7aCGvgWE+FzYdelg9rkLyzdIO7ibX
3S+2l3wRx9wssSZ4aMFJlZplq0WooArFVTukT/hisQvWRnFrZ4BQoXTS4DQx6pBZa15VWtIKMn58
KMdi04V+eYxH/JueFsECLYcRsjBQAOVPZpI+juMKtRf1LCw1JlwLaoGW1mphvfFKOHsaDEfCrHmF
Qsn6OfCZGvZ32tjX8RxdonD6MdV8WlDwJEpePrN/SrQ921egqSQXpvrW09JIhAroogbGYYVVS+uD
sCnMSHzP6IbDbDzg+bmM6IlxkN4x8Nooxupl7hfaOnUcUSAzLUXGado+pcYcr52YbvYkYLrX8uHu
M785V0m8E5O6d+Fp4gVkmg91pus5cXpsrG6wIBdh4xNGRdIWLmfUmVsXTidmWfTkmWPa4Bx6SJ7W
OP9ERn3rtxZjF3/rQe4xIX+OVXCN9+aYifFlggwaiBpiMWE64NQO5FALgmgaGejaGioaB+q6Tgw4
CekD46VbJeLTADGWoABFPXH9qeJmTyvooWPWVkftuClZdaYfNVYvJljTsFqYXXGG80L5HmHfaDQB
VWkWKu9/e1LezH4Jh2DjziWSUYsB4Zazo7pFycZ6oumqk7lwD8fCdDtZJJZmTWFlylhzGHa6Fwzf
3iXMKiSkkgzokgVU5uWwXKMMJ32h+a6FJr1yJumhJ0J/tSPjx63gwaaaDOv2QbxrrSK7MlTewG2W
18YoHmN7DNZt3PtHr6HQagm87NFV8+vY8vzZTZdt7QWMqCdrogrx4u+cEWsS8Z9+K93ss3Chhzm5
cDFsQraNKtIcOZ/5hkGcfyX8BpSDAItbCfi45gx510jydq0BLvHKy6lZTUxgC45XVJswKJyd+zty
t7AZ3tqaw+tgrt00FWzeEm7GWYLrtTS31wfgS3qYONJcgV3lo+o15Vf1mveryb+GZgAPZUlcYWBA
IyQlKGXxFWa4S0a3pk8LEAPoTuLqvvAZguXPRIoZhE1eDGhnek3KHFdpM3b4qwESc8w9DRCKidcx
TrKyt0pygtIQ4wyasdBYY5X0kK6V+xK2/beC3LqZGucpdLMHJkuQmtyhvYnAka0FWLggTfttPPnN
ofFQPJO0Xs9Okq8ZzyN7IkatcCeRmossax+lxsuglXIpOWsG6o6xec0zWp1jt+CU6b7gRPmVYPyF
nsP50gZwTVX7HcAaqCWInKsub1/lnBJs6f2bqTLOQkQPY8PwMTLunTj/VEt3KabhURlcLp1WYhab
+HLYvXUVMVAMsfMXrlGQ/vol2mrdQSdoHHMbR+Z9blq3ecKZOnLrqz5IL9TCv2RLc+krdY39i+Fd
tGlysWu4M7I0PUKheGIU/sDt5yeJ7W0HpUrDfLDy4CdccMflkkJEd4G7I+cTI0tdPP/cRiM6Us/S
p8QvmXk3XZFOK4Orredl35Urt3Bq7bVKcK+O3rorgFZ1o387L86D30cbP4SUrNLjmGR3ptPrjCA/
r03IRxr6mDug0VY5l0zy1tTj2eGzn9nbAPsSLHJdHNE8pMq5MZrmzirUNqiLX53fP9ctqjXplftw
IUeUefnWBq8T9Do8BFk9CRKa4NQBTfu5n4IbO0rvysKhDXBK+7tG9nwDAjYI/Z2OXYdIKCd4a2x+
GZ78zCPciWmD8Mqc5YIJ8rUEsoU4OiLKkXJHnTVW0zyB7cEky/sHeKNfd07FLDTdiYbcpfLOhoRa
LfgbF94vGaYPhujusVTtMwe2nQXnre8eC+zbKehsKDlo4036NjU5KPnk0Sit85R3N/iwdsr3zmSW
jktGl6VL6nFMxoNK2NqmcTXm1M3VvfcVw6BjMLJ3S+b/Qe6d68LjLUi3CyVSLgs6F3DeU679q5km
1y4hCVUZIElM3FDkt+uOW8MokACN68LJPhR/RKh4iTU2EEIRklVEmIDl1f1gi3U7eNvR5xZt7ryk
OLF+4iFkaqg+VPreEiQyJLEQh/Jld1rX8VH0N1V5XmwTvOy9m+xE9WymTFyNays5C+uqsK/99jKZ
zyJ7NAVo8ctI8mv+TuuHSRBu2GDVLMJjRfEVBth1aBxs+62ynsL2p67WGV7McD4H/cXOjkZxr6CD
uBK9qNtYDly8kYojeS2Xn9T5KpdT7V4l0Wefc8Jpp6u+potIia1UFZteQAV1+xLa12N6HrGE1Zba
d3wFE4iQ5nQock68mMiZCuKRgdW157Z8sgziZIXxCAMBN6b91Q8NKKdQeCBLrDsjJuRWJ9vIyu6E
O6+jLAHYf5uG72nA9tksGzeHiWLhoevOS9ZChsnX9HKHyRFvw7YkYCOmY2LKLcejVW1JMgfqxQak
ptJXM3uCRMAQW2xawND+bZ9AVhxSNAFu61O/grmIImR8LQExgUr+RBaxvdn6QcWhIU2t+jnYhubd
GH0G6aNo7wceFv44ptFGsXMN59k3LDDTA9AaLDwg4MwsxN7wSp3MjtX0xuqam0l7ZcEiSZbSscJj
zmk9gIIT3eAtfMjBP0bUnJh8cBAUXuZgXhOauJ4NcSIddeu02b3Ps92NLZMSXKxwQCwErrQF+zQw
F4EYU5PCm+v+uipdrszvOWnEPG9eEs+nUpraQ+wbS/DcJC0+yKm5DqEJTtGvbKlviw6TIUgqRETc
/LcEeHAEWg+Z3+99zN4ZfUisfignzXb2kz1n7Y1R1rsq/0yaS5g/S22PBcdX9J+WnW499d2n4Y1T
MsNIiOuT/TPnHzu9zOIcwXJ3aU3gyLSyswa3CDD+UHdMQnyU6orjAvzu8DYss31WT3hf212epXdR
y15RF7cqiR4JzrnrhC+hFcOQq1D/C+NWLKfcoPaDwEMRl5vScTZVYOwxAI43djXAIeF81qZfUU0i
wMDRnSSAwGpADqxF+K1N4KCxf5F+uw/8dt3SoDnJV7e6I0SyF6QTHdBroO7JaBZsw5SUsTHScHG7
MFazuOQhXJ+6Ho21+vD1aBXqoUAN4ja67oczztl1Gg8X/soro36BC+WK7ynO9nKJeAPq3ehhjJyy
yzBhKmGavkzBdvErWklJ9bTEkMzoDGKRvKRh7+OpusmbbmuGw57QICEmvDf2DD+tZ4kuiR88iaC7
Q5BDHKIDUgAC9YbDaDw084jcBTYtCeFehduWFGnTM86E+FYeDGhyIAApEF81S3Qog2Utm2WPgEpz
JtM7/DVuAPDCOKbRzyJvCU4dUm8TR7/6+Nl1jzn7Vs8HZ54qJFUCm3b6ms/PbfZkjcGO4bJfsDS+
xVyiysTYwmIuVra498ORrTLHhi5ovI5mpEL0L8pWx9B8ZN7GaRMhBtUNZxf5IJzZnA/KYV2oaQ2O
HDUGFbF+9sc7XcjBxHidW8k2bO7q4THvnjUQPHOA3Cl3NQbggO3sOjLlodZDr7Rdmzhwg8zejb3E
DeUBtWisFfExOCFMiX3RSZY1b1cpThLcJer2EjL+1ynWRP6E4Vm5GCYqovy5s5sLbGC+Ry/gL7qn
V544NeJFwgeBZuj0jKMHntZvT1wH/Ydj7VR5M4Yno+5X0tsDV90pCjaqZBtQqGtSJSOGQyRBvIut
b76ygxsLFD3CWEkpd5N7gd106PPXwdpKDm7Tc4E3XBZ3U/xelyTTcJLX8Savt3H/WkwGVjuYTsm5
9k+pfwhZD7LpKnVOSdLemjQIJPG59M6JejS7+boW90LHTPDzRKeweJhxM4Zoc2OX7omHoMeNgCXD
zUKm0Wp5qINuO0a6egImFeZiwRy0wiRD3HXlmvk2plFPec0mEoeFI45K3rg/MifnXxiPTK4eKrzN
svIE4nIzT9Rqdv3a5Z6HLXutIncdxA9u9Bhm9668zwTaxk+b1Ju2BinK2zMRJ4C5vi79W9d4Npjn
KdmcIvk4YpE0CnGuo+/R+slDSlxaQFALK0j3CF8E8t5TPfxq8msXrlSD4ifqalX5OEviE8VAeIhe
s+Y5MPtd4t9goD7aYY3rwYFJN3LaN3fa4tmF1hWWrYMd4Wpo7mYb46MbPdjMKCoESQhcWz/8KvLT
5DtXAT6ZKXvM+p+e8JiM44ecNmG+tkTF1h4RYPxDxwHwzdR+1SEu6HHGSijWjk9qY/qmrGVXmB+4
c8hzXlOnK5jEj/MXin1IqUxJDRmsmFXBCKYXHwv504olAjTjmhwTV95laztPGe5/38bN5tOHABLN
w19teBcIOZtQyl2L6a4orH2udNqRc39pX/6XvfNIkhw5t/VWrt05aHAohw/uJAKhIyO1nMCyKjOh
tcae3irext6HIvuxutjsNs7vgGZtbJFZEYD7L875ToZIwWTLPRx8Yaw7vmuHbEdXfpKsFIkXfXCP
KWdiYRxGCyU5q3jf/YpqsiyLx7Z8sdzPwf9WDMC5pAMazPbS+aqd3glweezpTbG/DvppQH/vzyaE
CmiH2YNdPJvAU1m/4C8lm60odiJmpk5pvMgZffMcDh+d89Xa1zOreMN/HzMeF6ZHxlfpv7h6SNxl
NaEav+06HkQZXBvptJFlwllnrzRCpPvAPYbRU+x+q03EfwSEQoghQBlGCMFuogdTxSfKkbNFzrlK
ifQ1A/9cj19BZG977SEEvhlRXFnaB6EHPkFQ/W1Cim6modA3071r1LSqmqeLeZvXHyMr8xCXBlQS
Ye616rViIhGPj20779op2DjNvIk7ggHNU4/4qZDbDrNYoZb9/HdUwlZ0XmhADWjrUQUbnaKcAijl
NwJ+NF4ZubGhXCLE51Xa3108v51SxL9FeJoxFYXOpuju0vkJhAFiyrj0yNrAMdQsKhdC7ZfyRGzV
RFpzhY0GzVqdObchOerVPB0r5ybTYuLqtO0YjDBNHlLCvg1Xv1TETMelXA8moSOG9mjiqo+o7rGI
yuazTivAVjhkMUHFWn2YKVIydXDQ3Jak+wTBOazvGvNMhNYmbb+VC73OGiCA3SlyXOQ8bRMhn8f0
LbBdL5/v7c64BliFjJYCKsoYuahtkQH3diCjGfNG0aQCuwEz+aJl8xVw+JU1PLEqUnCXdRqOUt+E
5Udemc9hUb9MJblKRKyylZnx3bPYuor1zsPAPob3I/sWbCLD9GAWx4AigwmImvFisL7Ews2nNjB2
jU8BvsMguu9SBMadVGdbfUcT443WvF2ghEN5UdmtNtt7u5gPYXxTN8hOfexRQO4M/UmN8aVvi21h
i0tFgooYjXXtyMchtlaiAV0L6lnvGsr8bmXUI2HSfO+MS9zc36ZhsMvczhumFh20vQ0MjvmoPaWT
tVGlCxW2ehttxiSssz0SdTGs+99F9UxEMWzrld9+H/PjkH/IZX/nIug1Ih7JXr4RzR2Rgp4pUlyW
3AGLg3F2ria/PTC/PBWDvSS/+7sONM2khj3ioHNOmzboXJspWpmoXwQc8xFE77EKe1bIKEuarZ24
Z9Mu1kZUXAAULrU3Nbb7AFVilzrx3hXiaBY+CfPTYch0L1XTVmtYpoqzhLPlknMiEYSgnV7ZJfTF
EE2iNXspt2VDbE3i8+0m+8C8InV00+sX4KvALHmxwc/qA4tiDtQyb45Vwzyzp0YToLhgz9mYsBDg
BtS7hUXhm6hTmt0F02EsmNdZaMssbrFodrk9a64l0QXbOA8DpGKVB1BgXs0dUTAfjkZrogqM4XaL
W9iHjNEaNCxBTQNaWPsZzjm5WJr43rS7hjHuHCMA7astTmOO3ZETaN7FeGoSrhbMNRsjg+ptyl1l
a0QXN1xTuFhoA+oRmLnTbyJJWHs8bybBpYyyn/vvktkovVtzGyr+PcOBTUx+kJmcOzk8W8F8U7m+
uQ6FOIOmfJrEp4VfeJ1YOUjRsruSbnWpsVZK581kkoyfFI2Oe923wUdXDLt00O96lzX1zNeA/6CM
n50UWF8wxA8dFRwnIlzfpkQxPmmfuCDwWRI5XUsspbbBQzMBBiKVHOq3yw42BIL/UcuneAJrgQke
avnQoiHyv2e1/siskRq9h4PCFJ1qY/DfgcrY127u8F1Wctwn04ze3XmwUZO3zSuL1k3tfEd5z8QV
V1MF8ZeKTD9nBG6mhbwtseiqJtkGCbpQ/USU36ot1U3II4qODeZga6PrGvzTlEcP0aSWzJqVimSy
hjxBB1/AmovXc2a82rn5bcgFCsPWsxoCAqhmboCmw21NdFykbyZSOo1SYgQz0Tgjs482wqTB5x/O
N0mHog28bREQGob0txflkT/oi1NGr1ZL3Rb53qyAGSZ2QdhQ8SyGcWYliQY/QRUX7ZvO/IhaZjER
OJUACEBUd5twHq7sUoOyPH9EVE52q45I9j5iQHFF8kaeBg+Rs6/gvOY1I56xuqpH/zgMN01u3rLj
3VfmeeTAq08j85OQtxtD99ZxUVFVABsQa3bZxsCtbBlnXO+Y8VAKIkAj8WAPVp/NyiZfzC8c3Fwq
t1DXr6R2beXVsWi5oeNFfzIfqqD7yPwShszixqhPsR9dRUzS03pYTwZqfaKyWJ/gSjfb8pgXyPLc
nmTqGizCKh2cQzpEW+oWMogUzoGmPzBfWqnUPkIihuOrzdtaimsRILINmyY/FyGzJemis5xtEJ+U
C/BXc2s6EZWHkitwXkJMv23LVm01AkmP8ZO1PNhZ/g2qkbg3M6ZDhWkdq6Rn2VZwBEDtCCZKrfra
lEnxIcbWXEehejeyNr7MU5F+dD4fdexa4FUdyjAh+w/sIVy7rHIapz1MeP/W6VB2X10BM3sUY8wl
7phbu+x55zLTOhcmR4NuTt0OeCRiPrcNH3MzfUzo9j9HOyo6+n27OAfpYCJUjIt7mK0KyOXovub5
UOyY3Nkkh1f2e+UbzKPxpJbZtT/pW78TvDLKp5Rlf3KAZgpfPu2LRejSNJAp0W1aac5nENf3gdOb
142045MoXR9vanVjRGzqgxiojsiL+9BiksS7w9Zkji514L8myuhTWrwECWAdL/NT+d6zhF2HJkEu
KZlLGjsuZp3duIFeRvEw69bZNKS/GKwepgpzgdVyBSbzKcydfMtZmt9NTWKxKxuPtol+znFP7Ams
TVKL+VuplkFUkByjXj45LDZWSVA256Athns/HszHIaBMMULyLPyqV+sm5t4dqgWa3DyURtqcozSd
CG2KGGcU49lxu3tzrN/ybP7A6ems57jdJzK4CuKCIbfjVXFbYfuNkB+MgGUV6YmeTZjWunTiw5SG
UErneHrpy5j9ZoCCs058TCjCMTY9E0pGlyVW/ZSbKKHx2IrU8lwTj6nJseY78zYWtXMaGHputAnp
rZ72dwgUrhKu0Xrw7yGoPCNoviCX3oyxdahjY9EUudss4GKtGiJpWhNRufIfhySaj36b4h5QXKR2
PKPVtvalnRJG5mBoWrDVFvzqKUDbRXTNo7OgrWvTfFZlj4RH+6YZtFtkpdGwLTzsSWFHXgDZ8BQG
SANV60MWrJ1q3Ue85AKutspcRm61Ylnk6FdygW8jnOIGs9XnkBfalcala+c0WJC74bqY67Gvn9PQ
QBSvu1daAFx8GWj1C/c7lrz+Y6a++pERuqxy1KNyPBDLhUYuK4JtuTDEjfLHdb+AxBfCeLawxtES
pcdw4Y/L3hR3IEOeUNy5ngRSjmyVN33hlscSgnm6sMydhWoOqfk2LkHx9YmNixfwOfPiDgf3ghLJ
iXWLvtI6ID4tw1QaAU5HJ4u72jQubcf5EDTtPU42lj2RcRQsVb3SwmA9mkx8mkY9dmEPnT2c7zKl
H0qw7ZUoHl1fkjOhHoheqbk76WoTUO9zTQviA383wFcScF2912DhlSWeAzDxvk2/3XbyOIOfkC3M
7XhpwkHLc5zwTS60eeWXz51M7qsZDr1KCb9GltOwZs32ObD6OEJ/bBrw6+dGPAU80hEy5LwjeUeB
uq+zMOMrg36PjC1cRQDxO8D4Oac2oNxqFzcY4fuFnt8Zw7wHplZuarLHgZqQqsvkTHrA8rFMJc6A
7I0pUWmPt1nDxBMSCmhgSTcyksGxAS3brZ0iTdZBk5xFnC4jG+vJarT7cEkBaJY8AL5+e11GWPzK
OOD+yyn0SA8QeXpD1jAp3ItWXod4AVxFMFpnS6b7kMeqUehs46t9WZq7ynGwybQQKtrofZjzYzzF
F6mCiwrbkHp7umgp8NeO83EkDwG0xsWfAknMRnp0AIzhr3SvnYK+ORyzy+RY+zEZTzi7ONPK/Nuf
yxV+SDn+qZL4wVSkMbFIL9PJ1gO28HuxwmAkUTeCqfZMBDEeXN10HTgcycyFrbll1Gg71WvY4yed
21e91Rj7ZOniOzF5yEnA5e2F5B0sGB7jWPSEG/b9fT52f8XcROP6s/LlH7+osl3HIBWNV/QX0aqR
4BnNSxQjQJGPxpM8tafue/IgNukmvcqe//xjMX7P1/zXn7ZIaH9SwJiFkdb42YQHSKnynED7jLGN
ej13v8QCbxNwPKXmVZ23ly6X+wEBQ+RWt6UFg8Ma7hI5eiAsGdiz9yVxqb7Wsj6j8Xcf//wXtf/o
FxWQEaXrWLow3F9ULtZsDEVopYKFTfvaacgvdMuBtxYR1qsaH99UgkVSIv2P8lvOkxkeWnWeQ458
NYTcePKVUK5158gvUG+vTp94rds8xc7woFIIKVoAToNCp7IByYLBi0P6Vkyz0zHpnIttVIBHfEq4
kNmUvm2Cls0sXihHtbsIr6KPaZIt5rOa1J6N6Rb6PoG7fUjBaze3I1fiKvANeVUnaXjQDQgEWqZ/
ogFVK4Av9l+ojgSasJ/kU3//Wg1dGRZ+MpNIuOXv//S11jObSpiQiyaI15oWQ/fESW1wa5EfsWar
FG2l9+ff0O/F1v/6I39RAwUKjS8aMfDCjfFYF8FO9gUD6TB9pOXe/fnP+gUD/PcfhtjJ1C3+Zwj7
l7d57sPBxcjEJN0pXnChbyGZ8QgPqGQaTD9W9yAGhjHsPa+5/nfCLrYqKA+6SxxAhwBpJBujwsX5
57/W8mr+esYAZRASMyOs4F+fUWg4lDGLEitKn6PkZg6u/Oj1z3/EH3zKFp4LdiEGSVT2r6eDK3yX
u5P3FfD3DkTczlFBgUnUQOsc5v+RPO7Hp2xbMKslgFgQI/ovnzKLkLoAp617Bq4irQMJ37qbP//z
/KJe+9efsRyHPz2pIhA6SvAe1q1q6t1UxyRJpwSkN4NJ4h0K1oolrY325woVBDy6bNzXUXzQ6njX
TUm5yRGykjus5N8DQf+9rO4PXiHbgr7L4yVMFG5IJH/+xXA/BaiIY0FhxHgr5q5kiBHDC3KIuQkJ
a16SBvzsnfcMTlCtbwrNuGtsKPA6jtC/+JT+4FL4+Zf5cYz/9Cnlg5S9z1zZy8jN8KqUfsG0K9RY
6R3iwAP1+n2jhO81wNw7QJhWGWO/6Z3LX/we1h884rZlk1m8pGzawv7lYEmjGdKVWBbBjIGASJ2L
IoY1pBFd1RNGUwCMq5El43O/j3Lj2HXIVAiIHtR1iWdxIhhxJ5KXstQvmZujGQkP8UTzq7TwpUW1
E0FRyhskB8RxJJq+kc38ZY30KuX7mN53bbsKYYSm4p2RbuMLhvLsSAUoJz/77tDrV7m6KlSwi8yH
XGcwyvVMp1msLUnYedh7QdBvrbgirkAcozpFN1asAULeOYWzofjcUVmfdNGcAqv4HuqMCuqQSqj0
300iHIFF9JuyJp3ArsNrswBpOoYj0DujXcUWySIMPMCPExeBJm2iWphWMem7zKASLwy/MhMMGGix
GN5Pa5HxhdyQXvMosuKgUyQP4ESt9Damncs1ZgFjtkE0zreYbSO805VqiBV/7pAO2YIZEcvnGvIq
eYYdqXBz3m9tBJjN3Hg+UAbYpwRVJ+c6zcgZ0TbYT+/8wL2m7jn3uk+QIQ9pgkig6AnRYBtg1ORb
V7NcyLTYmDOvx3JSJ3IXzdhSbekyaSrXdVA/Daa4cXz/Lai/5+OjGXwuUox6Cm6Jeb9mXvcMjuCG
PxgC+CBZyzRjZtK9dibMKmhAjRPAg7K1u794Mv/gYPzdg/nL9TNKcGB1SZiAtMeL2y825Sp+Y3fB
Pm98gVWK6yQd8ebIXY/i2Jv0hKwpnQS9njUYSqaORJGQFNQw7uRfnKPmH54l4FAQ6C5Ifrm8VT+9
vq1m9YOrOEuSbhpu6hYDka0H31Hjb+euibxAqYPIhk0fV98ijYwAbPcUDA2QYbMcTpHL7Ni1Hwn4
2cfN+EVuIvJN1rpmamU7xPWf+ERf4aPsjakNUDV2V0ZNdF6QfZPs94hPKY/KBappukdVDpe2n/6O
7fn3p+UfHlA//Ql/qSNj1yjl3LiCmAM2BFezvupXsEAOYj1/5rv55s+/7d+rw39cGspCFC7hXks6
/V/OZrfXUvyAXEw5+L3gcHTLPRwuf/2Pn/O/VoL/xrqnS6QTP33u3nv7/l+fNGvMtt+zz//57/V7
DY/oZx/BP/+t34wEEsseFY2N10/BW12sfv90AdqWwjUOy16gS//JBSj+JpSkfVjMAjqwoEU5/g8P
oP430+Yd+WEPpIJa6Eb/AYsI5NDvSjIKJIE8DN29ZShX6s4PVtFPb17TO7mazaRHdqEbLIDdaQOj
OcTS030TmeiJCAvYQIs+PI8OGzDIGiz+a/etiPzv4LfpXQfG+mNeXXCFXfzANtZVYlxNQfVck+hz
GBClMx/MXxLkmEBCiInpCmJh846pWx5UKYcpDsGOCCMGikXIearUKesWU3dkYW1vmqeodACaxbbx
NNkQRejL5QqTG/a7souOMCV60uwsYnlqFd5UDYgRJuUGYU8ms+lxeNXiNNrWAYwYFzLPpnWdE65B
ZJA+Qc9t8+GH3CcG6opNE8YFDMGU4YpTNl5fOy+FFQEXScW0K3UWeLjrgBJlJGFFFkAMXLb3kyFZ
PeghNE2JRbcsog5YWX5GUwUtKLeeepVe5SOSVjqyTNz7EfPfuCSZs4gLNqI90z7QBTiftPbdhDi9
b4r4ivEybuUJKmZmHw2Zf5O5+Ynnt2LeYk7s3Qy10Qd72o+DCrfhaLyESQ2dR1qbRrLa8Y0G7YGt
31dxcHC1fq1p4gV0K0nL/W3N4HmFHmGr6f11KIqNQ4kCI9h+C/1olcACnYGyNVV+mg2FKRysAewP
NGfwy03LOaAjf7Oq/iac2DIW5FsKVw6HDg3IKR3E1grUW9i4BK/N2Kt8hzuwxIhWTB0hvRKqu63e
CP/cObF9MFudbUNM7JYzXZE/gVuC8W0sIjYW4PUgTX3iTt10AL3wPpb7dA4Omt24JNmZl4Fczfeh
SxDjdOK7m6fMZXUHMZYRsnMo8bK66W3ojhBEE83ftE7fntHWkE82J8/aQBazhtW9qAEuYKS8aRnP
MzenVIC/AsmRuVaK/X2txfLONFk2hBMG82w+tQEsTS1vzy15Oyt7qmK0BaPJrozyA+sGcEDrhRUX
xomKANgUJbynLIKUMbs0JPEiOyGx7EZUMxsqALP33UQlCICaZwg9IzgRgC9yeVz3UYhSZ0DF0ueX
vMY+kmhsn4faHiDYoue1NKbeUIZVQpq2QwbQxnRLEmat9airUz6OtLgDWweNkZc/ORumXDtcwc2W
UNGtr9lnox7YouCfJT2VohMeSiDIf8NTYvcogFR675aEW3dEqAm7f8bBf8uge9yI8Q6R3lPbQzBw
2woWSy2/+eWMvA6w/tZvcv4KF55P3dZ0al/w36/q8qwH2qmLGXATTND11r20CcrEK3I1EfILm+EM
DOa+S6Ld1MbTyk9AcPu+8Vx12JBDn5cbWyBjJnTBLMjCoylmhpu+FzuLYGS0T36Zf6TxiC025aMv
+VWw1terhewfdi2SzxLma7uTyHlZmNwObX0oZfGo9Oqu74tj1ui3FmZA1kCIoauqPZBmjNBqQHLv
gq8pRhbq8cLzmLVzIh3DC8fxwDmFNmfYQgNBDsB56kTNMW3D21nIBz/SkEUiPG2Qac5ASpLMkitb
S892or+XnbZz3ZzFttF4U6RdN2F31Eje9iMGxYkN71i6zJ7FBFTVnvIOsu4E28FAVFg7DLXn4M2s
7cQbuuy6IFAJwXbzROjeLp3DRy3UeMzcRyKnP6bRvuPNeTDZ70yEQ0BSGh77lmG8bEkdb1PtbKfJ
ky+tz4YAY7Yg+zhA462wqHilCUm3FYRtNUX5qDRc0HZzKuv4FS/Ac51BZhkaEF2BZixLLITIKccU
VyAqlRkZF1p0GvfL2LOO1GPrqm8na12gXW/m4sNHy0564rgqG+dqROU+onavoMdveAffHPTwRrBE
6P2QyCumQ2BmPvvS0tYGFA2P9N6ta87EyNboaxHhZ0F8A+8DQpG094npH2IG9xy3wX1AgCjZh3g/
nI7nLkP5H4n6pu3jb51y73qcAYygni0nu1I4BphGky6PhwDrET7exVYgVYNaFMVzNeFXz9vhkuNB
oHB+joZsb+NNaCeuw9a1GIVll26xL7AiYeeAoaFdrA2wmrwWHSDv1HWHYRccCqLdkPBHLxvJIXRd
jRVv4TLnxjgBQA9BLdB4a8YLhcyac1ANx9T3b7qYJU0RnPvIeWpLCey4uCnTgUxwDCRdPZ6cofyI
NOfoW0DAHNKRBzi6EzKoFIz1jsQmMhIRyKhiuIkLFLKlMEDFW+J67rNxpUuxFSh7M1WddLdJlzT0
+35qCWPU0PO3sVpFebmF+XrxXePKFvKo83a1klABzQ/3o1MfxVRL/E7arm1go2VVPMJ88W/lhKSv
K7lLmyneFaXGMNEiJVXS/xlEX1ACHdLZQTo9jjHLzOix8gV1yIQzOIjWMNYIjCjcjRwnvojeeLN6
BTfGEsaWhlmtHPBriT55qC8+89RgdWU+t234EabZsQHURKA5A/ZAo28Az2oMFjIp9hYR/pGkDYpt
2ssK0WqM6T1B85YYccpmdyQIoPlie2mvUZywarO1fSJGcHqpTLgq3dsoh7soeu0yW7Qpmd0pVotY
ACUNpdfmBWimCNFrkhjSkw56f9J+L40OvKnX1J2y/KdGJB9WK9FOAphd23jaN0DUI2QL9QFMMEot
vNhjdIpL/y5keWhpLr1nUkQeMqAd+tFLiTpwj6IDS03fQ2VujMkjYBk1Rzv6XhtJ46m2UCsuIZQD
Ro2wneHP+8FlMjudCRIy1CYy5rugpF7hvftO/PsLDPXXzLK/iWR8kMlcHew0zvduVTIXiE9hGNw2
IkRVjain43uxstq8QC0x0bgQw5d1mliFVn9ORySbP4ru/21CfmtC6O7+vaH5vvveZd/+7/8pmj9o
RPg3f2tE7L8x5V7mwZaLSVnYdDa/NSLybwq/sqmbWGUJ81n+1v+nojoOY3K6DdOCVWvx3/uNRaL/
jX+QCTl9Eg0J9lTrP/IzE9b0+9GZg3OagTU9EnleLr+pWlron1oRN6tzgT6p8OYwJWFncGKPP8a7
M1EoG6I5NFpOSVp3D93cvNSztjHuxro7Ysh+7TXtdtTZ8JmttxSwIaG9ThvuzBo2lzsUd34+fJVy
ujad7jLBmjMJ5aBsvCPR8ARvgcgMlERVaLzqVsVJKAkuJUg86M/cRxT01pXB9GyVjw3QwX5duxmx
vN11M5SvMPrzfd5mp4yh+jQ1XiL8S1JH1D/2TRM1N5GaHkI3O+hCHSVegUyv74QGLaPlRyZuusGd
4M1GcG+VbPZss9yNhDan8NVarAmGzF6IL7+kdntMK7EB/XY1t/auzPrTHMVMnrPxHGnyTtn1wWT1
zr4aj4R6iJz5KizkxSxqdHjaTdyGn4TpnLOquFSOex8mBhPCdgseHW14yHVd9tomSqJXFOY7A0kO
1/d+TrlyXCM/ulF4wh4K/Mw6ieWGj2Ui1jn2BXswtkrN75VtnAuYY6Gf7UwhrnUjvTCW9eo43Fp1
/K2X5iNNwGOZIu7s0CA36SF2skdOUxfyHfqyYdgicAIoH2fXYzkwqdJPccPYrXeKb8VMFMCClxgA
vOi5e4BQfegCiK5Bxgeum6emTolVdsB6+4AhxlPQJ5+4Uz+rmrOu9Lfoe96LxnphkOyZo7hRiAQJ
43rQSnzPCJJclyolKHe+S6rsnGlbhqt0PS4HcBNr+8rSkPUG92JuL2oEp4lDWSexoeJ5q6dNS+OL
lpd2eH6KWwC4pbMPumHrNs5Tbw+fRELOmyxFF9lSTLVp8TBD2uf75kFzY8vxrCB+RzH3EXZMHDEi
s+0FjVsUQEXKS277RFiMI3Y7LdgkUr11ucF8ubg4c39yw/HgEoqzirP0FcvrxTT82yixc6+z+3od
Jb5/mDWeIi3uCQ+upmyjWB9QfWEYCCwJBlDl5SrWuHWCKL2LpPsydcmlDMabKaCtycqh242N9dEZ
DfxQS2OBp+rPhvhqb+5tSLIVMT6Adog7ddI7glWuLQFifMzNvZqIZRXRc4muKRmLnaRKlj9INxiu
Y6HxBFJlyB+k0ltFDsKKNdlWn6cDHfCFlcJDTYnAol/t68ynBViwaPgymmq4lMq6q8L0EqLDJzkM
d23zQte9yUY03TbX/qDKz9KkHvCn7BhY/iZt3BdNBftY9Lu4LZG3GG+OS+2OQ9+ck13ViQ1b69MM
rCvvkgeSyjxcMQ6phkiL5/4Ry9WB+HkkzYF78u3i0Wi0vR+7S2jTTkFiXtmV5XEWA5qXR56G+7pw
+3VoG3vHbA49U4vKmY9g3repIuhltp+Jg+g9hBeEy6uLNohjGTf7TsdqZrdYQ9lqJyE7leB2svOT
4xP8FFhLXMWRKLWbQi+J3kLZ1RMtNAvzzU7FKVfVbRcBQ2srfZ8byZWQBtpYuQkzChIfw10c1d/6
IDtrldmtQ61nApPl1z28cvbHTyaRZMpB5QLN9M7HXbmSCCqRQ+NsbgjmsLruqSRUFkv3S12icy/i
4W0ekgelkgO8532NrRoWzmFs1D6bkyejxlmuTdtSDN8wiz82BjCAaKxDz22GNxfO0LolzI6AZd84
acxJV4FtnVID2302Q2tK1GvOUOxQQvLYhHU3P7jLRz05o3ubR/a0caOieZHSSmkWTSy+Kz0Ognuz
zl9qbWChiZQImrDv15zN2pdM6AbyxC8ZjgwPBmqKqcE5H5RAlKlrCKnQlqow6O8D6bzmFsOk0FI5
Gg1/3Otp6h4LywnXiJVuyAH+msu09CpXfBfO+BjpLOYw+Q6wLf1jPTUIjYTxZduTe6dUXKLZdKEZ
jDlS6dGN1lnTkEueQMeReXrngCVZt2aSH1Td3Pc5q4tmcKqzmQkdV/lQb5gJDhSB7oTvJuYYdZld
TEXFhmJExRraoO3n3HgkmfRuMixzZybmF11pdxhFc68mbe/YfBGZhaqYa4vwKL25i0BtryoZRccQ
pdzWr96qzEXZHC5nfFuj/rdnL7DTK3DdZDPlCxLUsJsdZ6JxKYwAl25R3egDnzH7l2SPu/IhjZOX
ecEnZj6Km7oAzJAVLra4+T0kEPw4mTK4I5ABb2PqMq1qsQWUMMdJwjI8MxrDfTm1zXVqCJ/Qisr2
FL3ZihBDY1uE6bhJRQYwSfJek+diAqAwWDD5YtwN2AtRSzk8lVPorsoEBlXchYuZsppORdEeeqeN
z05WPgwGrtRC2AfMqhZwTehL5QiJOiDoM2QUse9lne97jPqkNMxfLo/SboyxSuRD8iUIcFvVQ5p4
mU5msSSUz68BCuYtCzSzYCtXx3CRw1m8uGgcdxkuwXXslsQP8XVfiVmjtKg798Za/hR70YTRvs2c
K6cuWNNXsmMNb8FVKBEcFTkgYREF4TYtsmztz4G8pt2fPNHl6clIEyQXSTHsfRs3qwh8/IiVTQI3
OtrA66KeN9kcYAo03auqXMCdMN25JGVCQZ7W3uxbBRrvAItvE74kEromU6a3NO/1jWsUeFwVMJEO
goUettITiY8Hz2euSE6c/ugW6iV3WtLnkmyjzwXpbblvXZVT9Oq0luahTT02NeMG1+3JMwMciVF7
RiqY/AgnY1jCkYDBk7KrVW5JwTYEz4qEQewtKIqdYjT3sqZy6kEuWAVmOsePMriOmnUZpcBq6asz
bna2Vz2eGDEmX12fmV47I4cfbT/09Ei3z/zjGP06FJIzQNG1z9R+bdYzji/mGZoz3qoY2plj5J9t
kpE47Rp3MTNJxPsGXZOBb30hOUe9XqHeRLKes6At3NneSGpaNrCTse+6NIde7JBFuHha59k/dWqI
zrDoS6/u5C7AuxV15ilflrlaTUwgw+J41ZG5C2dBQ7zXVV+W1Mn2JkxnhUP8q1vWp5lJsYgO4GAA
Z1hZk83EjHQO1MEjDhoXGZQfP3WhoOUrGoiQyv3Ktey+IWGd5TPY4FK7nfvhiyEXQ6OmRE4781Dj
Wsa2VGBDA9Ta4UQyEoRLWRh8H4PhYLpMJ/s83nPfcT90ChZfZb5JmKbrDvue6hKPd+8ULF58Jy+v
nTa/SXg0V64aqnUQDa/lWBhrk9yulWFW10Gn40GrHG3nq/B1okCuAoaICYxN8s0g5uIGnq99Y3g0
I6xJuoY5zIE+gzFqeo1cimurJ7zTDgEG8rKO7TY0ohpKnbkByHmn+/JVyuwzTPAR+12BcC8k6JHM
dc9Ie0gVODTKyjprdcCEWCePWebtcZ7Hq2EGJw41hE0icsqKOBE43+1Hb+BbDgLz7ATU6AUQZC4V
ZxuJzFhFKdY+y4cZMQdIo4o5/iZBK+w6LlP8PLlDBhcAY5hHrtel/H8y7p9lIGOvjC3BODF8j+f0
oVvO2VS1d05lnIXf3mk2e4e6iUp6A5TGRhHg7ovsbtOwqAD+eSiXzYVN0Jdadhk5nHAvSNhvOCw6
nGXjMUSZwWQdDu+07EOUNo6boGFHYltpdBxY2njG1F36KMKyLhjvOQYSxHRq0Yz1i8g21hG3FSbw
DCdnhNxGYbjLtP/H3nnsSI6kXfZV/hdgwWjUwGAW4VqE8tCxISJDUCujND79HFZ1TXf1dA+mlwP8
myxkZmVmhLvT7BP3njtmd1HLpib18nyVytomRA+GoTXkguFwzxqdJU8kpNwFXgI1x7F/TIPdimKv
NDiM6pmJ5RJI2jT32F9aD+uFv4xtysO4bJZ6sMTnAJXLOu6DCkqg+mV4bKJYquJOrJlP9nl0iyeE
6X+mr6q4eAP8d9/ArGCQ1J+Uss5JkdwPWjwkaUKoAUUpbAU4chqVXoC1hrvAlSu7h5xXRwb27Lo+
aTE5t0bsOFR1Ql+XtopPRsDnlDO73HRwKTHBZAoAHNp/vxM/RUDGV5R4y9MjQmjpfXEY0rrfkLXp
rlver1MbGndjX/4MDQ9msyQxuBic0USdydDB2Es1hFQUBSs5CAp0EQgkvQNshwOTrAShTLJwl/iE
gByFki+SCXO/5kNbP5VR+2Z79bNHXt2+h/JzNS65DJKABg1jDrXXDyEF0xpC+7lZshxwfI8r16pP
CLCRveTOg9HMNt8merxwic9S5GjN2vwqu+6H+Q8SjFCIxZzlXnWe+eQu8yyLiCMcQ9fIASJ8VCWs
l8Tau7ORnhXTsiVHmChxZ/oGhMiQdIn6akXzFTnU7ZzST3nH5NrPLWo4tM2z2zB/THjb4iU+DB/q
e1eR+tAt0WLmgFXLGIkbMwqCx1CUlDuzLlDaTmidJhAZex9yzd2whJYVvXMbLzFm+RJoJlQPMrBq
MfRN7S+r8d5a0s9ob37VDv7noS9MbsGYpBKDyIuR0DSzGu6SfNwiR16inNh6iIpG2JyGJ0nkGkKd
Em5AvDWxX8Se/Mi86jsgpM2Q7fO0pLYhPBbA7dka2RTx+2YsNqQtPQaO0a8cJ8vXZFqgFqk5H4Ml
Fa5f8uHGJSkuFRZOVsLjxiVFri+ALY3CfHVcAFQdESxj+YG0b17yRRkKZFBAxZJLJ1t9M0vn0uLj
SQmuizr4DeGSZNAvqXZBMoJ48GF5DkTeTUrudCrQRBCGZ6j8K8hJx+PYsI8lgXnIX74iAvTCJUiP
QL06C5o1oJbihrVAux/lgDsUHs7etFJja7UuhjXhmO4+SGDKDHWXHSyNI73pkmFj2LaloURbwa7y
jehMceKsDbRg/Yw9TvPxB51CUFbEsilWFiGWpvfjJJmLgrghqDeO+k0WNYu9pIRwgk0HcP1seOCf
03E9mU4ArkQx6q1COORh+QY+tlmpETF4KVnkpIR6MTG/LQyQG9o1voWgkkDvz1lVxME6tVDPQ8y5
SvnpKu6nl4ai5ro1mwzfg3NtS7cG+xXKx8ZEWl84xkc2SdD0/cFq3HM61WoduQbe6PbQwzQhgoGb
Jw37TbDMtYVhnYfUe/QLUa5nPDZsQJxVN0bxccbWiVOPNnycH0UVfSulro04PHjw6nf1sstieftY
+ViqdTK+dCw5NiNl7ypaypB+5PLkw4bj0iEEB6efbXDztEn8Qg2398NiHXjkPwazfsMuuJtM2pRg
+kSZ+9yFeIDTYWPV5l3Mlo7IsWPHg68KCdksxka97Fey77ltXguNZC5nrTWgF8RqvXKK/pA26piQ
DgeTon42onln4CO58lwBhjbx3yXkb+Z6FKbBx1ybG+F18NuJd3TDE1LP59DNj8Yk7vMGYX/p0cvU
Q7+ZyHaRaznVZ3N4S/UL4aS0l6igWIz5ggdVfPcTn4mRsIYrl82eRyiGPfvpVV17/VWcG5tS8nbY
VnUzYO3KZ5wMBfcONTwqsQiMhCbmOyABIbGf0hn/mCYRejGRaKqmFnGD8l6tiOWRpTBL6xVchNss
IJY5dYOz3TobbMDPo+SOrULCK7s5YZJSW2wbbF1fezbTq2BwWBThATpMPB0k4YXNTSWskooXHkNh
5eq2BTV+zHPDXvdun+zi2Z/vR8hDR0bzHMUtjqJxrKPz7I1AagNyY5+TkOGIlr14JcgoP1W5sXhS
ZmNb+srdW8DCmHHWeXAyqjK8mULgCxw+1bMzgwtgGaq2JotYcuv8wrhTiS5eZOyyN7cRf6+Iy01O
EibYuBo6Cw4ucZuYNILnJvbVFTLsBJI4rZwmP4+acgQMkKqKUzcPia8FYx+jEsab86N6wAchZR7R
cmBqgumEC4X3to2LTWmi3UJxDf9XjJcGhnTuRb+Gej7TozD7QdsgnVXvm9shw6ZSjuzRCFXAASLq
TajDQxzlt5PVemzCsFFY870Ry5tobM7E1ZGRVakaPV/crmWdP7tmKTYZIvFVOFkAvfq7uAqqA/Xf
d5FXLPXK7HpUpkXXGC86ciYd5kIttGNUFTBeAeBNR94/PJCKEQ+YyEvsZKcgdp5mFoT1wHI8mp+S
ZoQznUenvsNxq/qEfwHHdAT4baVLXoLE1VhjnXZjCLZ77dyvOEl2Mz7sbmLjC0EXCgjO6+k9nJhh
U9aQDKXY9mVSKfQvUbvK8v5WGHjdsqK+t3DP6iZ/GtwcnJ8FHtEaWe6bbfqR9y0uZwjAcK8Mupux
s8/wiYuXNPTUldv3DbrKEqW/ijdxBrPajhj5iXrewYLx8EfZt2g9h1uixYc7xzKgUQweWH7FuE15
XOxK4SXWIX91G/qrvAQ/VbFUXuX98GTMKiF2kTekZ7LCRQ7lNqzCPbPIBlWLmA+sH3ChxY19Sdsq
PpW1fipcOj/O1NeGnN4NWUoZm3O0CGY7vY2DcU8Cyf1/L4T+oNP/oS+z/q8LofePolIf/7WCsI46
rf7+P9dCy5//cy3k/4ZNwLUZTvJfRDosZf5cCwW/IU4DYmuxHfobA/dPSr31m2WbPpgZazHgSG79
vy+GnN8Et7FEz4ZuzYbo6v8nCjVQ+X9RqLkWamob3RkoVengTpL/JFzt/KLxyEyLNo4K5YrhDoeT
A7asYDDI4RMfcBz0qI0FYRtoUwCNLF4SjXUJAwr8FDdFSuPvnDEGRAMNAhMMctGs8Rm5E5+x9Ro7
3VRiRIi9OBrbPDzAxfh2xupRaiAYxLU4ty30h42NrOpgTON3JfRlMEnki9KaHDmkXHhIFoydZQGM
bJnhp+ZXUPMvGORVrSlofGzZDBDoOu5ESIacWUrjOtScIhPhVNvKZaOCBZP615whP2nqL3LGi91U
EXAPh1JfWTMWYqaG3u3AmJ1ioj14s0y4wrx8MTuoVask32qbd2zHPTKDWtiufs8c6Sr2FtRNSUxv
7Ucz6BPqIGwF74Eswyt7WM5uE8S5F//UAjR971xcsxMrayBafWiJDteNfR9Z1Wc0WxK6u37D7Uai
SUQxiMYvvPIjb9zj5c3pVy1mgOyYhgCI5Fg5Hwms9lUnyXzyDYl1tYs/GpUwMOj9x7Kncs1xZuyS
dnZ2cxyYK3Nsod2bRGrzNmigPVEPIcaOYJxG5skktAqZNysjqtL5ym6YoXeyHDEaokXsg5qZCK/m
VTNY9QE5pLf3PVTCVQKrKLIFh1Cf7fsu+3BTljWIfz/Iy/pFauQTp+9XPKo34I7elUK0tK1Dke3Z
mT4TgVRvjY6uQTkFaok48tY186/bmg4Uz2FLmHiyGDqtLn2P0s5EQ+nLq3EqvCPEKRp4y1QfjJTd
q9xDMxI3TrAe7NC/Y9nzWEzzzRiRD506qjpVBhVWC5FnxYHO224MOXngxXMW9FSPDfqBxnvgOV2g
WLO7tyeudqKF5v3kBHdZXNzGGkRiV9xEBoG+bhRQ/eg6prKak1UHqOfghWgooefs/QAoi2zF+0z1
WhvpxSrlwxA6P0UX38C2J7DXZdC07MnQEj5NRZicpQ86DAUdlvJwYrZU1SOZO+AxPHqESNYAyzXw
DiXh/ht0GzHDNVZMYHvY6n67bZ6sXQGFxYHfvjJGMu8JQbmvqIO25cQqzFUepFvCAslWcq9SySWf
5i995Vo7HfoV42Aab7IiKWa77lrq/MbtuqOJXPAKLTQwJZtMOCPNivUsiuupGx8dIucJKcvO6Ujc
UjrQipDAiXqJcISw5xWoW0RfSXSg3bs1sbA+enZo+XQw1bavy7OEPMaUlYwYwwdsI3sOF6YnSx6e
Dx0tzZLX+HdPwtQXzNqcO0YUWHK5Y0Xj3RoJR0Ia0/8lPvhTm4FgJ6+xlwMay6lMJk8dMmmb8OAA
jtQulEXDm/NDzCBlWXOeIxMiiC24Q+sav2sR+E88Wmw9sXmvTLu41FGs140TZpAGWBIGM37pyvBe
6SvtTTOCdAqnDPpT96maHiQhcUGrkgLxSrcmBXcLF0AV7CBrmgjENtVeS6NcJ0Vdb+3cQKiEAnTN
DjUhZnRB+uTp88h0bjXoub0a/Rrm2kzp0dQep+3I4xFrRKtIEDoeR0pjY9avs0HshpuelAFjQ1M2
bhK23Tu3dfqVcAMSeVRITFTVH2a7fRgFRQeH1GtqBA+wrWGotqwdzEw/m9BQo4RlhR2mb5NnfEjh
ImjK9GPVFhE8qJ69dZ3D/ugbkjZSEHUsxO/HmSFi6Rv5uuD1PGA7ph/to6dsIsGUADd3R/6buqjB
cB7sEHRIYkC0ixqCy22/fGFyWD6YqLX4fhf1GB+9F2ZW3S7NWWmxbUcpVdOgSis9BU5RbNEskZsx
i5es7p+qqLl3mf2GnIZYSfxDk2Kzi0qPEOg0QRGcuzjcqeMZkUTV2qBMX7PHRuoFwvTKypyvui+t
TcsCfc0RQjiUhhbITuLTNJWF78zcepP1k+fEZmst+GEUAcsOljEpxC0aXgaz9UMSmsTcFTTspkcM
YrWo3zwSRNZFV3zamfrQIaJEkhx7rlD3pY0mHEeju02ptu8n0japgr+busxRz4klASN96ErEiPlk
TztCtP0DyjTj6MpoOsSmAHxRc82UuUeLEHNeGGMa713brCDUTHKdMkZiaL44i43xscnsYVVIe6JL
KbMlCfIzBrq4zTQLFag2Ax9i88FJmnZdlfR8EIjmc9uZ/mEcNd+ntpujCIaULks4myxjdeP1wbwe
a6+7Z/BwGHOrZEwZQXDmQVtnRJKt2tYxjz1XP5anKeP88D8osw8KssEqbHniBhXMBzXQUHV9+G56
3VsQk+EdMPJbsZEJmOvl0EFaYvqijkAW6cGrHafO3/rKfNN+SvC32+BFRNkB3Kj9FVb5mzt3rwRn
M9SDBLPWhQLcO/JBm1vC6tKOXHKGKs4lqyrSSQya0XqK8p2jZ4viIPdAiWmO3HyRHLh8of3gxHdT
OhN/7UPQtMJFrZ3EyOU9601Yot/zfY1HgaIL01kxsQLmr/Mc8sIcp7kttMkLIUBqmxN63W5Z4WnS
rXcFZIc7ZTUdESk1sgbX2rMag8+kQS4pqWc6mLA5cRXGNyGmdGYtBlQwP3O3cPfu9YhIU4cGvnaf
iQxeYzJXCiteFVP+DfrDeGjG5po0D4VdAKiQTHJ5XcfzSxDOPvlmJaBUJWe1kHKnn8kcOmCaYbWZ
epZjPSC8ROPrdPrC3jG8h9zEqHtTWPqiUi6AxCouPZv1fiHQxTMjlryhJQUfcd1V5hMBezd1HRJN
2zIQb+nBKvjGq5CRsNPj9SJ85NOXqXuOE8s7tGP+UeuSe981ulPlQ9JIGo5i1nEcSlbRXGLtHHMT
dGYJIAPp+R5Wy60ekmV0nF5Mh07anIPHLrZcFnbwxOJyvOvd2l6MZPu0bD9jp4HkrwiVBOsbDZda
QKweFbSLpOzfppZk4ZJY2KkJQUQKk4idIgRl6iarbIm5N2MIfcKf8JlxGt25CU7QZEZBH4/263/e
XN3W3+VDp76/u+uP+n8sQr3PqtaK9WP3P//60/aPn0ff1eKe+ctPNr87ae77b6UvyIlz/ugfdqrl
//x//c2/+XEedY0f5+OrYBCTtJ1KPrt/0fbQpPx7Hd2q6ipMkv/CzoPF5h/bJR9lGjv2AFeP5/Nb
f2+XLGvJHHcD9Gu/Z3P9qaIj1As9m7+EiyNYCxwTKd3f+yXzN+CixI7TNQnyQaiS/5N+yV6+un8w
WdMv2SyeUfn5tkNpa8p/8tLJaawnY4jMNa3HvSyTLYn0d0ZQcoQm1YMVIaFyGmwGwn/GDoBTRYu7
Mm8+oyR+z/3mumiBEs+cpavSJ493tg2cgTVWcgsS2VfMsYfUvnoY5bLjIeIgiiGG1GQTMceb136e
fciRYElUVKBddKxPE1tMlpuNd/IKWa3amsgjr+lYlU1zeO11NE6dy/hFLSFJRjktylf3RS4BSoEC
4OHUSCVs0pXqJWZpajBvdO1S+wj/gQEvlaWOfJCx+GF6I3+cFDr/JbpJdarceUucU9JYUE1JeJKF
/0Lres5difzPftQudwQPImLwJR5qzgv2LEtkVBXJJ9ERaJwucVL+EixlVOMNWuCLG7f6aiB7Km69
el82hfvU9uONk1bAsXNYzjZkS0l2VeK6L1g+z2RgXUuESXXvbQvcNCuL2KsJqe2+clApR0RiTZ18
wJvw4Nr1i2My+6QO3KZT/ikrOGENp+qqjsOnYYD/k8SfXaC5PpBkMorV2dEnjmuqvA8Mf682j/2q
scW8al3nMvVdRbq7/PJI9Rocz15PTolgImCsraM5Wg1kX62qMXu2+yLUkFAYo7dhHLGMMax7wYl1
XSL/eWrZFKF5oBNzyAFr9XTHkfRJpwNotF2Mx7pCsk0hR9DtQgbNAHGh2aa3xRsSsE5lDLVGd1KC
MsTBlFTdryxHYkNiLPA5CcozX1IKW5O8QqhWyaFxyDBUgjRDjh2CDRmywic0QsSXluiQSPb8mp2l
eHfgAQ6puTdn4IPoje7T3CiOUBXbbWZN46tuhVp7orpmEPZELslLbNkpBGLzRgfhXUGkmSrdVxYz
7nPYQ+yA7Dq5RDY2jhjQT/FGywxQhBhS1GOR/QgdjlOZEDcqNTiZvBXcjmRCtgsfHi4ntoslMLIo
iY7UJuA5h1G+C27iZjL972RkFWx1RE4uG9bNUBTXFmmU/RJLiRz80JBTaS6BldkSXdm3+j0hyxKR
507V6LnGaGiOKAIAp1b+pVOGATJw1pu5a54GK/e23UB/lI1MOZE+2nuFa2qN47rbetni/R2oypN2
fHAI3ewXCWG15HB6hJGmBHOGrMt1MdA9ozaRRHcaU3juifKsY+eOfO9XwuK/cqI+AUKuk9K9thkM
AOgFM+AQC+qY4sZfckJVR5gNYJ6b0RowoEryN6QrL+6SL7owoS0juvO0/dYt6XmSKNLcD39/cPSW
kvth0vMNWDZSMKcyPzcLopMOQ2+kWeJAGZONcN1ozQgbvSb+bW6/LtrozvwcaCppUNh08GnS9x3Y
3rJyH2HutNSE3B1Dnrlr1JNPmW0BVw55dGsPeQ1LyjtSDqb92PQpJYLK34OZjmpKqXOIRjs5RLiu
jVxJVG5som3dEcjiGmIv8UVc+eWsjszDCkhxjKGmQr3mtMesdBUVCx+OK9tuoiOGKNrVvmlPaSz4
+CbTfUNayZDZKExz28JeVrQ3LZG3RPhkP6kJITXMT4SIJmu87ART8CrQ7JQ3RKH/CBW+GYHLpoBu
sC1lvnXcPrudu/Ihz7un2GPsUHkpRGeGXEPap3ubCdBe+OGL5/knR7dHKRAJ9LX7FpQR2YFJeZyn
cp8DTNoM7gBXN6Kua6x22IJbM3eZrhC+5faLZVJz06CmW+5DlDSKpbbErz17mGVEgQvRcxpy+zAe
rFgLI8ZyCryerbWSTnwMnQChtH/wesB4Juvalu3PKnfc58JiN8GN9h5E8YtVVMA/W+9r6OebRNg/
gznDk5zKC0RPbP98IXfGFIDj6n2G6CIFCpYvSbeBSc0a8MliAcKzTW/LjWzshjb6NfbezZgxf7Ml
MMugdUkC4ZpqyRPEpTjjl65ZWSPRGtE5BsEmWRKlPR7lq24Q3qrxAVYaxrg4Zyx2Tl26s0ODrr9F
nlbXc7GaRvdNlNN7Dya/z6YfA/ssMLbCzVbxMO5UJN7RMOOP0sjGjDj6aqwZbHbYLADPoNkPmOL2
Ipuf0O2etdv8gTP6b6vE36wSFp6Bf1/i3X203cf88S8qQ/7YnwNx5zfQUi7ea/nXaThxrghMyXxz
yXGzsdj/b5OEYf4mBOPwICBsh3k3n/m/V3fyN3fxbzMLB/6OMxZMyp917t0faBxK5H+LESAo85+q
O0Rpgc/fIvkqcUn87uf+B5NEYxpG1Eytxj8NjXAtshiqz03emeH0llnzMGMNxe9t1kQJeHmzDH8q
zAqlMdFHOtaatB510gFTIXZx+ovplIbzZH5EgdeeVF+geq3cbo39qlwGFrg3rZhaaYCIWwjDBNlU
jc+qL9ubLLTrnes36mWyQujjZjI/YzcyDi7Loe0cWf3eZka7nVz/l5zgfSCA0ju7BGvMmfCSUNjY
Q/lUzW60d41KvGeRkRxtrvsN2c/dIaKo2Mkx8DciG4f7vJitWz0iwAxjrGsYvN1Dw1hnHSSF2IW9
pw9R64yPdNCQy/rSOOCBq57aaI7Jk23UJWTX9sA6U6w0cRtrgyitxwFQ4SWLKusUsFo+96gIQKaY
Yg3FP/vwRjDpSqU91cSE+pvwmlszd9AJe3EDOi4FEB1rIttyg0z0wEXZY/fRmvnX8DijFz6niTc/
tGkXHn0t4uvILtX9TLgQRvXC2LGeyJbRQLVFLgeUOirHh8RmN2HNYjzICRFbNxELYGphH3qVT/AQ
E+srN4jWApuKDrfyWeV6cXmKnDIkOE22R9bkGVR4bhTHT8a1WXP4Z8hsTi1XyroYe7VnqdNQKWOy
nvnAnJiBY8vypuKkDbbRiYY8aLTxRJKoP659Uqke80zZpzbISABu0Wd1qoYbjQzlFPFAENkblRUL
V2F6B9uyRkRliUusSj3ueou3Ss4uew5sL861pNkm+o0B/SGtzeAd2zFijyUjM6b7bghEAiAAgnPs
n1tXQLtHdXUp2MAMG+FEJjNLBmrrgSnjYzAgKAS8R/MSaFKXhpLJTE6KyOuUuv3BM6f5F2oFClTG
P+67j14bYTWH9xleAWbsroo56UOMnRo3fp7U0zaaUDV1/jyt7d5P9sGQlzs6owRgjJF/+CXrc5Xj
4LOLwF7jXHVXo+PpeM8CP8WrFBtiQplK28XmYpCnQTcEvJJt9uwEWYBPL0Jh53ZEXPiikndIEoNt
6cTUazIY8GFWo0TZW/rjic6D703Y4zawsuKFQBA23z40Gy3F+GopwznS4as1VXD6pBgmHTtHdbt8
mKY7BW/hlE62v+0sUpH5u0e2KBGdV76LRGGj7WqT6lDUtobUkHoGA5BCPHutan7Yq7CczbESe5Fl
XVc5QSdMUiu87hWWxFvVFLV5LLpqemebP3z7UVTpXVxyQx9QxS9CJi1KfEoC/kAfZON+dCuxKhUa
vxnf/8Wwa+Mcl06Pt1uK1zCxuv0QpsaDJAP35EQOu54YZQTD/ATWIcaMFFBZnfNwoBzO/MLb2UWm
0QshW7sEyC/e2zEGsMRaMG7WMRrDZ5HUzUs5RGILVhwlFNoB4nDMMEGl2RLJyLC8lMCI/NrszUOh
BjgUgaOZNCVpjYYYWnXOMdXanDGNByg+YZdRCzFcyiox3mvV+t92kQ5fviKbTTZ2t2BFg6uI3fp9
nZqqIWhokXUYhfdYF479EGQyvuldYeHoqG1cOBXoy6Idh8/YdoYnGH36nMTdSAygmgaQAs1w+s+H
NtfJp6ra6qf764Tm99vn7+Ob/09HOwCF/v29f67a/7r8a4fkQiL68+YPfhM+97sv5RKuCnD5H2c7
MN74dRyUvs+enAv+z1W4+M3h1xaLJHMXX0gh+HN/miTlb6DRBJBBwJpYL1mV/ye3P7v1v+Jafh/u
gKVxTRecEYZNwSb/Hz2SaWlDgQ5puiqLjB03GBg/M+IcyOJpIT/kOewLj3xx7EoK0QhXEo9sjIJJ
juixrUc5WXqVFyHgIbw+p0jHF3Sh8sqsEWelM/aiuHsBX6Zoy8YKrjlJM7PpnyUCN9hQjvXFjIN9
L83SBrLzTueOCZ0gU/u5JxyZTZP6leC5Jt8paJ7LkWUbQnNWyuSQsF4HLVt1Rx/NLCMSjuY4JoHJ
N9LnIhyDDQzSvQlVa1LDbStIe0ut8oW57Vpp8ez0HfvLnNyLQc7DQY48zfmrlEca3oqlKAF8Q/o5
B53YOH1yajQU7YakrMLsEdiF9a/UQCqP1GlGigmTnmN2nKNu4/VMIDDgDYfSkO7JlTrZjDH9f2/J
/jrIgErEHnA7G0jIyglR5Pmjl/0kVdAvXXdxygk8wK3lYpkpeXZzm1cn590IDkjugGsKt9gi2f0W
iDVQhw7zceLNaK1kJWY60sY+ObP48YLK3AwKqXrnMqaBDQGDJkGCvB8nOghVme4W28hXVUzuogL9
ycvUWgdB027jlIXAZKCOigz3jSEM2Tlh/Kk4uM6+qXpkdtnD7LHcaRiBjai7VlEY3RZDgmPAXlOV
3br1dKz8rCMogXwwgyfhyk6qXxS93EXZ2YlZvIfFucqTdFXz6iwEXLp2l9T5PHgkeqjhtswqqOqA
2LMc583o2VxAdUGkR5bDaPMUC5AIoUVHSyxblhkUdN5BKTS/VRRmGNEhA3lhCQQ3wm/m9D6ZqSJB
rNf3ciNT/8Gb8G8Q7SNxzysCGEkxEhgOetNmuyP5UAo2xrNTp0y9yyWmJr6Fk40IYYweuDT2ykC6
urzPChpPjqm/G8pLNSqIM6N98UZt7bwlS3Y0b2Nn/IhnC9ub1s7WbpOTEY7ZqjTyZxjh9SrJZ0Tn
kh+8MsQz6YfpZopcva5s+TjZ3aGSNXWMmX0g4CDbOI29qyrLt+nCvBG18xCZtKvW0rhGWC+PcNxt
RlG0tXxaL+PS6Da99zPS+eKI+wI9jfacnljSG8tiHFcF3XIbl1BflgbaSMSpScJDH0dPZO0dPZPY
mXRpuv1Q8+XThnPn0mc2Y7UuKzK8+jr9pGZGq5qTrB4oZVGEgj2NHPNFoI8+QlMwd2pp/aNuIDhn
GQdMTUt6LMJztLc4gpkZAJ9+KxCuXwUUyQzGTm0dvzrLmIEWJOUVhzFoLkMIVpmbqUNBNtUPOYKT
W9bd+XawCU0NmWEIL3rvmWkQG3sztmgf8lJCkLQE4pmpPDEavEyETmKyqFdW0n4ndThum8T57H4f
m8D43NRMUrx0vh8oQZEwzu3JZyB2M0JHOcI8x7zDbnsTd7DXAzZwNBwoHdu03IIpVcfQwD0rRGnu
oxFRiyMnuPc8JSgHGyzMTID0MgrK/MjZlyU6uWUzd4XljF2O73a8UoRoFJFFHEXGu5JltXNtDrz/
uh/ToymjyxQY76muSXmQKMuRT145joLXYLrvyQzDzlImcGvXfOkjzeKVgUSgQFubtkfdlsOwKqrP
tm+tgzQQMKfC+BqUeq9zjIyOOdkbHUX+ol9lQk9Grx1gZUoUifNBgSUyDYYaGox8rbr4TuEFORRG
+atpg9tSpx8JXY/uo/s0ZaU2J8MbRvsAH3tyYyZiIx3rwRrUs4iQhYYGKHPX0d+jBxRwDPgUp6ZZ
olhqsZ5XFUiMoClWZdj4a3Ll9E6M6CNpE+5tMTRMb5j92+Xg7hUvi84BTBo9Wczp5N75U5Ztemv+
5HIu2CvCoOpc96I0awA7uwdA/JCBD2/a+ISyiwAIkki5sKsVabUM08KcWI+cYwbm+2Mylf22NHS0
VlV0L4qOJa1+SM3SpRfsf/WifiON9BoU0AYx+yXypk0virsRFK5jz9c6oSXgiLjO7O5s9/WIY0xc
awghC3v1a8a3cQUaYdcn5n1gQrjCnX8bp8Exi8w319NA/eX7gH1et9MvSZYe/+ocgO0hq0WCBUdR
KVjaW/pTBfYDxh3mUe5yVj97s7qZ5+4sCCnD6c5HOSzaF9TiULfSX7Fy1Mojc5IN9dYO4QjY0y2L
oGTddVOLUwkRm0qmXcsEsemrs9kBA+UczK8aPV5iOzXP8exc+qg6uMvdGAoCxuXcPrZZcmfI8itL
pl/1nNxmpbE2zJoAC9eAG2gmd3DkGJoSdTb23UT+kZ4QIC4vbXTjjmCWMkyhV3gMLpEe7k27fqSg
paer5rsxtbHP6ekF4hBImXR+bKac67VOEACZmJFy00aWItuXZsxvJN4RYGXE4poyoQ03T9PYauLP
uDy9KCK/oOEjHiIjQZSRr5xBL0o3lMQ249iDVaMTjFgTMB50tlNRf5msTK+6Uj4r4RLP1USExBao
FlqrkcdC1qjSPLmjQb6k0wD6xht37NC3dVUfkcI+1+RTIAk66EoSxCBOsUQc3uXbxC9/QIweGxzQ
V6XRPWVu/8TWGdd9ej9WFhx5YNoZYgyZzasE5VAku82cuj91LG4Gib+7LF8yLzl0Tvakme1OcX+b
2j4UJH9HX3TCDLPiLVbsV+QFXQELFZPjC6eWFgJOZvxgKDg4viMY9xd7v3VWDckWY1vh6y/oJWaE
BzjoTjYt24CHa8WZiDm53BRFto3N/iVioUyk0BdQnwbADbVK7rvYuedfBYpoaaiPwMtXZqe3olPX
kgnO784teuy1hFLBN7CvG/9npo8ZMnnKiu4WaBgLodpB0t1tXGe+DZr8hQn7Fg/ao48T2k85IpfI
a+0Q5w2nOLLsa3qzDZCOc1+Lk0yjWyT6j5YwznPm3GHII5Reb8egO4XVsJlk9xaF/o2o4n3Wia1F
5u6VTyNm2f13EvqfgpcE6xze71Sf8GxvWlO/IkXZtQlDY3+8Vq68dmbrsc71UlcNB5q8fR7Vxyn3
9gnOhNxNzmOT7BgQoEpn0f+/2DuP5LqxNetOpaL6yADOgW1U53pLb0R2EKRIwgMH3symBvCPoib2
Lygz40nMTCle/3UUmaGgLi+Je8y3917b9XHB+UZxZ2b5ObLEheq864wow7I3clC24U4bY9pz4WXH
uXyqY/c5m7SDUajzADE9J0wW2N5B+gPAKzGe5QBTX1PPikcw6P3nOE0fseBtjEieR4AgsBlo7ST7
GErnUCTFo2MEwHg45uNjTTqA5bThocUzzBP3Q5S/QTXhqCIttiH7HFH83TTmLmCXCi0yPMA3zn7Q
wMzKiEExONpUHJIxy+2L1jpiG7nFMLJt8H2zDl82yodgL8/p5Dy4sJ8MEV51DQtoJ7ZlU9/nebqT
cbmpO+OckpxfdKH/HjFQizzCcH73ZlA3ooZ0SWcNHILxEFOMY4N/JrTK2jweud9TTyYuTdqqMTbs
Ta066Kmie0fkO8ukpCiqum00AhWaZiMXFpKqN5ZO41zEib/3yEvWGAgFjXuZZRwrh8YmYFkr+r62
VVZfNp751iXxgKe9v3Mrzqp+PW2z0b4l33yss+osDfdQ2StlMLoJ8g2mq22sdQAXG6IBKca2c9Oy
rVbJuKeQZy276BgW6hpM2IRZq1wxe9zjHmECai/xLXPq1XZdqU6dVu8aj0u+tA/Z4I1Lskwr6VPK
XcVHreERKbQLRxIxkeFmUtpRy91daqkXbh6PoVWD9wvvVa4AX4RbFJILnZ+/o8abqB/3ZUi3KlwX
GC4XrQCeFYM7qYf6jSHvlQujs5jw+LeEA8biabDVBaMXpHH6vzRi2/C6Fh7P3hJK8rsBwotJWn6t
jO4U5VhYjfnxN/M9V4Bjmqh7+O9HYGlvbopi6xsWGarpNuj6R60ex1nj/Vra/WHAbceJsfji+sTX
OPe8KmkcrIECmY4eFTHgbxS1MJeu7z54bnGEEgihvNcQiaqIY7epTlMqt0Jp+9IlkZ9kr1WjDonb
XaUyvOu5Vy6sqA/XDCUvBlE+yaynqscV73kdXKGxrORgbjRX3wYaObA29ZdE98kJpehQfkHWsMyq
F7MfL/Kus3CJQfca9fYmpNEn9xEjUUZJYU4GCqu0X0RGR585wLwiMZ325rsYuIiOYONNm5kYWJJn
SlBuHQ66i2zEbhz34G9qLiR+W93bfqnTmQ4i1MBjhAXJk0u3wJuJ9HtvyGAbhBamgT6rFgCMWJsn
hHYSgdT3KnR3ZnEod3TGXGh05W5RXymt8hsddTMJtsRqENI1E3HOo16qmUHR43BKLbeEBE/HKci4
y5TW0iox402QAkEPMkLuYTgdXR1CHobE26koCaej8GuGgwRVRc1Sl7R4KUu8jnp173s+rSjh9DXO
rRt/jK4kBL5FKJxbU6fk3u2cG5jdBLS66EUm4k0UzQOX6nOcmteGdM9ks2+MlLQbmUErdV/Tlvh0
P5QHDUYOZz/DWUGwi1ZxoVEfNDHtLrBrR1760tXUz4AGwx8dZF9lZD3rrROfGTrEqwyjAEFk86Rn
xlmvPI6G3V7108kqubCWvvamimGDKE+ZGVWMPUHkOt7TMBiC6GmvhkGCHCd5Bx9hGTXDdmJMJ4N0
5STjY+Hr1alSho+BJahwv2nFBqu2t5AVngXbJV+bIkVosToYfbwbAtKNUXW0UFMwd58bVXPBp0/O
MWjnhSt1ErkJITsr8oVLe5Tf64fYna6CONhqA5ODnDkhI5rLwKk3qk92gDXXU2IcSzI6DtGdogqe
prK45pay8tPo2q+0HQazW92ShyJMHuzK3HBCwl9qX+VGdasZ9Y2XwL4MQi7g9Btj8X0FmnBT+ITa
0+aq5uqPor8h1rlOQ3kF1nfHdfamIhsQGfR/GW151yEcExGrHt04vh4SL100xXhv9EQfLS/f6p0V
gcIbwWk59QeO1WYHOtznatKXWz/QXhNDfnAihxQeGS57Yu9sppqKSKGXD01fc+5Jxup3wvV/lMw/
lUz0xX+eaC6K9P/+X/dS/Y2Uydf9OdB0f0Om1AWLkysYLosfsj0sP1ykTIFHTAeB8K+BJvBpS2e0
qBsYdmgzcn9QM+d/aLarUa9B+oe/+6Re/kzNhC73Sc00MauZpIv4t+YeFvsvVPRmjKGlmCuV+eWe
/uvLbl5yiLo7J8ui+DP0uuYqCvy9MDLmbR1X39QIjl7A7ir4ykXrmFf44Lqzr7KGOVNF0xYKS93A
zZL27Zgk8dLSMUZmYGun0N+6VhWvcimPk++8w6GptrUfXNPJyMe/oSR6HId8KVFpNjkQhyPxlysZ
VTdthvG/13ACJG6CGFY5LcMhizsUkylgOjfl0IAvGzvON4gOTtaU29DCEZA17BbTAEmxoyyc7485
q2iMxSSDV6qoEjz3De5eQkAYyr1jbzuHcWr6G5GExVbJ5sMPGC14ur8tC+e+tUcXdsREkokK2InU
4qp4jS6avuI0zDJfp/ETn+aMyurwI5HZCdIqRvJOvNIAONI61hx0TcMrGhNKFI5Zr+txGumlL147
rzrUWvmltQlrECrleoQLcBVxdFxNYu4Ih+/oFiLZ2LFOvWHW4gOaWT0luZBNlzsXlR22HPUyrMQr
fa7RGSmg0GKsETKk6saOqRIbO/jU5Da/aqpuzl2hNVv46PnziCq54NpC3KTrA1pLau3Jc7I7XZH1
H4AjWUJWay3yjrLUH0Pfxwbfp7vIMFeRGO/McUIj0kusWxQGy8rKLwCUXyLJ3Q2J9lT6o7YwOZif
Patwl3qnw23LONoHEgtXoGWnSFmKaCO/D1N37rJR3PVlzEnZ7l9wWwLELMkrMIB8tdkUae3Bt+xp
7PXswO6VU5toixlPj5tGcDEai2AH/sgIn6Q3UXjKQTAkEIaJUp/tlFU7tHTLzw2ftIatdCe+CEb/
qS/Kt7Iun4RNmqvDnznp7po0KQ1jFX2vIz5OAz+n4QXXMBQePYsENVYRmuusXZWPza4o83E1ynRf
JvpHWfRvLThhqLwYTmqcJ54EjjRbUbD1z64U/CkdPhX6H55HfCum3qullTBWhpmQLUUabe0cJSAI
hm6LWXlaMmNzlu5sh7FjjJl6LOm8n80yCLTxImtbfWULnvl+sNLnyUPMo4XvpcmEtq1nH47Uuy+Z
RQy3iWtSG/NoNEvoRnMpuk7LGrSyfpcaUFuLxIrXICgYSJsdHPCcP7BS09nOBBY5mbdg02pvVnyd
APYVMK91x+nS5m6KSwvMbiNuii5LVwz8bqDuYfaKKXGbp781Z26mwb0e3ZrzeLiI4su+koxbekIb
kD8YzyTMCjrmykmtrkaVrGHNizXMWbG05yG0wWdezmPpevKRg+dRdeZzM7fn8bUpJn1LP2ay0RLQ
6ZZZYrUzAKz1Y1qsIZenmx4m1Lo0YFO284jcFLq5iSr8ee48RHfncbrPXD0srIMxz9nhHs4RNg5R
Si9ONtN4KxzOfsJUk14t6oXnqX0+z++ZR9DEql82DPaFmTwEdnTZzRN/xehf03SHuG9y68yqACwr
4xQjFDizYqD59pNRgGsNZjUh7CFdMtGBodRRkNIzqlyVswQBD44Vy4cnnjpTwui+Fi6CU4EwLitO
yP0tSQlQY1jzBJq+oVcQ7jz7UGcuGf44f1eZnm0wI1M0Wbp7BgzXQ8ZHhvrBUxabz8kspsh2YgA4
CyxJWaUf5iy6mBzOlx6TbGrG6YiPZQa8cZZp6KWN1gxW5UE6VXNg7QvX3Szs6D32MpQeNUs+0Sz+
gMV65VCcLtQ8/IKSe+BsfZQ85Gthgzxyiz2x6GKpEGCcFtQ39wjWg1l40qjmUShRskof684rVhBf
7nS0KmKfu5aZ1LoW4UMwy1nZLGw5s8SVyOrQzaKXCw5uHdoe7WY09MipAJI5a2TkvsrXcRbOOGpW
u7I3WAMrn6FpXi9Ns70oHEZr/iy7Cd8mi+nbJ5Rv0gSzOAd2nOsRep2m0c82C3j0nwDOg248F0/w
jAh0/mBC/Xd0oKmoTmoWA52JfFdh14euDCCQzpJhg3bYoiHOcYmRtOAmn+VFuFvYDXGjbvScrLkp
TQqfvVZbFiQ/8Z1Sct55A3cKSSw8NWED8Zw+qMIH4cUUYOV67ZPZw+0M/ZraZPYoTfIEjpU2nuuI
+QFj7no1cQRY6yUpPhJK1slJp695r+/+I4D/EAn/aVHJmR6y/OW/bl/mpsmg+JtTI1/+56nR/o0E
A5FwgeAtbOt7Gdz9jUdN4I2zXLDt+lxL8qcMbvwGHZgSMI/ToWVTiYZx7U8VXGKpczhM8sfv9jnr
3zk1oi98OjVaBko8n41vsvp8SP1RBIdFUkFHi6lHCKZEXwAQwGzqG1pON3BoYozC71ythzqc5cBO
2DdDl7U6q2TuX475jK8i4qWd+iRHDUuMeOMarrpuTK8wFzifIBtkNc0PkEOIDyIlmGTJcrpC897p
NxMeP33ZVqFLwHzQt5kiV7fwMfm+layB+tEE4MWYUk836JjpNTUc1UXLyeK1tqwMNQG0o8ozUAwU
25L29eV9mw7UoCqnZswpQws0vIzkylZMD661HroFjRhG3uxxnU2Q18gSqOScM29dhzqaWvzNOgKk
ARDw7CfhM959DdRcrxqp4ugldbtS/jDc6lNIq4U/u1HsyOwvhy7yluCv1Nn2NO1YGxUbZlK2xiUJ
So/y6qS982aTizXbXaRtVOwMhoY7h2MfR4Vv9hjypObWmD0zcTzbZ/xvVpr8m63Gqsoo3SXwuh4m
ZAVtAfYP/w1+cLw44TdfTv7No4N1f2L8qcpHZdnufVi5ZrtiDEJXhj+bfPAhFDdJFOkfbYirvZky
GwcAviBndgjVZusfEt+l3dD+ZiGSs5uIABq+IstvdlOD1yj30IayRMgLzvXTjYWWfahoujxm39xK
yrdI7XWx9sZ0q1l10reyfY3o1m0hd2LpymfXkxYOJei3oQAzTGt6SYdTq7ie14V+ipssPoROqd+N
/TQxX6Ev53LQ9H4XJDRXgPDRv0S26h97mGQMmDMOP0aEs9uPCNS5A+j1pq7iDXXe0ZvW6OGeu9uk
CDN76dad6vjsVSBetkzqXYC3WvxuFipAQBwGVvM8PE2STr7ZZj2daGTzb5Mq5iXA2+HpnMz2EcJR
+Bi3PRMfTOA2mu3U7yw9i99MF+MBvzkIsJyY8104VsUrs1ofryBPVcENaatljXuThMl0VeINXVNt
Qo7NJk19R9krE27aT2wmAKNF7q/xHfeQV4R7qbGoHrTeMs5l1MQHLHDFvion+RAbbvGQd2bKZL1J
/AeSfjpnM5haXSNNfBp5+Wx3KtgXDFPyPZ31EfHoyqAunIhBufDLwL4Iwiy5YeZdvEp74KHGZnJl
WxWQUdzvL+jNzmPXYmCAnOjFb/GUgAMth9jwln2HzApgKYSGpNyIT3xeuq9TntQfxuS2j0AV2nMJ
E9/Z6+OUnBK/CC6oJxqPXqmNcK/SnjdDgK+pNI65jPbF4+AmalcOVvK1qi33q4J1ty2V7D6wQEQP
o9HXVKR6BeeZigO31wZg2vTGex0J3cQELIPqSo/1/tQg+V+Hcoj2QSMpYDJipS24CIPlDzt6TRaZ
LEt8Fcq8LykMeEwyIdBMtOY9s5361DiFia0kwg6pi9y51vvUNVde2n9VqWE/VI0kvfuf3fWH3ZW5
xT8PY05F/Heecr7mzy3V+w1wCxiTuWFLt8zvSsBc/Te85LipDcciTTiPaP7cUWGsCEKG6BnMYjzg
/N/5yszf5oAfPUg6aUL8ZzjO/405DP7xTzuqyfdmMYURgC4QIAQb+/e2ssSOYmm0brBuGuORYS3N
24ZWcUOrzw0otFu65Pwlmdxil0q60scI3vHYczjOiPpqorKBq+PCFj1WkTRPowuUTjovEu8d10Wz
auCorsrBUZDZJEFlElNd1GkbA9zr1TSnjZXF+HWKfZOxduBveAeoyYSrl0aWp9tJ1sOaNAQ9l7Rf
HAY80zsi080r3rsvqY/668/h554UtKA46CpMUy6b2TCu8Q6LJQHI2ZSKmO4RKNoCjrHWetcN25HD
700uhbbWNJNbOsy/jGD02lKl2sRzRrsMe6wi6RN77msxp7ibvKdUd0521+SreXPuxk/TGl8bkNWy
Fef5u96oORyuoPqC+mhK8pb9U0uCXBtJ7/uUtex6k0sPSE3u+Umx90me1yYZ+YGellVTE0tPvwXU
56g6SzXXsAG6OEl8/467BClL3zR2DXSONVG+eCshfx1AhkC4Zty0p2InP5d1+1aHNaWNzIDRH0nO
1bFjr6I5Vq+35lfNLTH7ZuR30Az4y2y6o4s+Xmo1TP3IrDC3F41ctrlfbC2jEgS8+QVOuKAX0Rzv
d+ag/xBo2qGcw/+wiodZE+ZyP6W3ahL6uurITnqqRrMEIdDOMIEGqgDQvy+xxAhS2i4AfMgDWaS+
EvArVoUGT1VhqQCFDqhgMioaqhHCS3A+CRwDjc6bqQh5VHoQB2Nlp2vle+nahn/gw0FQFcYnoRdf
jabyKXj3aOvyyfyXM0Ahdp03f2hntQttIBiqL4EpHoEOhBij6Dfj0/gRBYI82/jYmO2DgQsTZwfN
NCLob8NS/+rXZrEqzWAWsfh5ipEsuo/5iHoffnB8Yl4ZkAAL8I1xkybd1yamh9JT5pPXNt5Go8Fd
G2vmjJCWEcYcQZS7uQlVdxlbM3iPGEZrMl2KCequGQC8qKn84nBQwG9WBzs3GFCCozc3qd+TOc5V
Wk9AGYn8dewBDje3diR3Vl2areETwp8exyB6ECoBLxQclZttaWQDMhY9yD6ZdxQd+Mqg37hpfVUg
GOtZOy1aL9sh9OHBL15CS7vukgRsiaPZ27wegCWUX2TPnm206quyuFO7RfIxjs1D7yO5eaUIKLHz
COe5/TwhubZKSa+AOxCGyq+KcpQAOlN9XRIyXuIqxAUYw3MCO8jEI5mtASEtbXrKfth7OfaGMfqS
D2SwbKRbNuNHE1A1bQTlbdTANhMpIEk9hO02dP0ZjBUPhsR5gPmwOVDHeIUn+6mdDO1ET020Lurw
3pIaxa8DbafJyBA48ZxT3CYE91R2diwRbHQnj6/9qHdh7GqcrHoATFYCC8fsoAHFgrqroHNXoh2v
EmKSB+yTyUJC+UFRp03XGbX3QIPDUuZ9vdTtcdziSSFlPfWXnPGSNSzVYNVNlCkxQjhh+uaDpdXB
woESAJ1EqesYquhCjMM1CYs7h0qDh7b22cxNLVlmsdOchzwbzlPShOuhHAksg1/YG5S/n8C2Mc3M
u/uKCQ0sWdRD6FruRVp5qbPwVTJsYUd52yGxmKP7LVRcV+Ny4H6bbbN8RFAUCErLuwLy/ioqSFLG
fJoyjtN6LqDZTXej2a3brD4kKbQnEEZ0CmseJlTW6YXWamdUhYJFxhGroKuOqRni6VLPAW7mvRjz
bFEp7iCQCp4Lj6oOT+yswjljT3kezaZYcOClKSy/RC1nlMgJU5TtIQvlBSKHQ5tczihchQfTY+CF
QHUV9DAYlANaJ2qml8jp4jUoK2jco3dBdfY2nIGoAbzvBWjcjI1IjStGLT24xZjuMBl81d18pNeK
dpdEsFRnojyWhoPrVt12Nk4bfGdQvksmPllbrjL46IdQNDMCdl9GeEKndnJXNlzIBZ9x/l07OMQR
mcBx5LtPu6YlI4kWUWYUXXbWI5n0E6n4x4xp0w4KB09GHdw5FTQhDzUAGnUAZVUbXtH/b7xA/5pz
TySGzH1LY57Ev+i/GEDMaONixk5NYNKqD5nx6TWdnV9XpwHKcI+2uNCNmt2wuKOjG4ymTdQ5bz/o
OqnW2AymZaMXZK8m8NWa+yQ5+S7SmgtUn2EJ60XKU8FkF9QiFcVtJS7MwFl2FXzAIKALcDYnOS29
H4Uzt26U6g2xaZ/q1BkQkBLMD8GMtx2aDpfjl7acyGbxeWlobrHCI7ftp5RD0cLPq71o8YpwCMLg
6oA+i/ToQIMcRaNQYTJ9bDdI1BtRQOx2+latnJg7ae9+jFjgFiLW41VaD8l2GtnTk1w/yIz1hBPG
JijVMY/FzghIcOeWi1+3LFedyG/VaKDdRJRSUW2VuxlEs6p47kwur3HjPDSRSYJjiLJNXGvJlrYu
klZVB/hY9E++Tc1oLYhmm0ZaboxK9xchn0ZXdwhIyXAduKBJiG91cT0tKdnoDzAHLjsoHvzYqRGs
YvMrEWhMJF1zWTO3PYUdU7h60orlIFK8AWF3wGLl7oZGXWU19zJUKQv6AJ4Cs6FXvXJyY1FqDB2I
pZu4uXoG5E2J38qUDu7iJCHaMtoL5Q6MfXu2WDNyHqMIOx39Sq9ZGN0JpqcLUwbhyaJDaKFLBv9d
4W/gkt5VRjbH3v17IUPsejVt3n5Uav7KTuDTdIWa1uQAIKSZmEvbgPFvI2xGs7HvPjVTH9GcjTsn
VugDdi6gd3qvQVU1Rzxwm6JML0ynONLk/WXAGYo/kEqH1vYUDv1SXYnaOmKsWBtYqoBw7s0JgG3A
6OJAHLqaovaijcO1USuFmNYv+0btmiLABtpjs1IZHuapGjdgTe0l9YfxwWvVXesO71RfHmy0P63z
0xWCwTIN0PCwhYaHrutPYwlh07dpOgIQfKmPs9Mtd7DoNN1hJMq1S0T0QuqI5NAYnkynAvZA62cw
YVEVcmyYhGjRRjdR9bxiuCQOcvAofqrH/IJepZuwnnUFHzXFsi6K2H4WKHkrrzddOpDCoy757CcT
WClzeiho38CUubZk9G5rwVYU7JFk1G/o+3SXRTDckeOiFz4yGWMw7M1iGew62+moVCIwAJjQ3iAb
wM4pJ1ZTnLor7G0YzwmB07KQPNrGNC0N3NiOz4OSG8XJMbMHtjs2Ky16zzlvg7YH66EZoOQzqXP1
jcy1U8eYz9t3yyVmoNk5DsiIhLWiCAEaj32pTWA2cMBjaTRvXY/uA00CJ8xyxQPRjTeZ2eAs0Iit
NTz51pfKCE7elG6ahA+W1iBQjIEEu9HKt7IozyGWpcY1P3KhiFXUuLtdLgltSVbbjN1H15Q4AQfa
IIIatkbIpyKPaW+CUa5u+8i84/rxSPjkWlr0l1tB+eyWpbYyVAyqoyQHb9zGgvhfWiMP+ukrB8lr
mHGcIOYKqNhlbwZtvyvdolxMSt7inCTQ0jcvTq1f9G7KxK6T23rUi61WkyxNU/yemrLWgLajLRuj
v00s3ZsdV2Ld1ClXi8iSKADBCMOJYQmHaP9OC+lozVyb4KFU0QH5sjm64FZWPBDOso4moLyNPmz0
yOlX3wzBOcXeOF7MbpvjEs399hj5tH5RWrwUYaatJxltkZ+2kcl5YVAe3RVh82H3/c5jtlgOJVnX
OjlR/s63xRwA70p8Lwf3mZjoEXftG+IC6QGH57YZT1OJQ8ruoYdV5btvV7c+RsVlRDRy3ZfebQMd
fZl1w2maq4RMZoNpl5Klt/R0FTkZP8OAjaePvI8h4LfesiVsVZ9/FWK8scrxEgznLkjlkjg+GaC2
v8z66Q6YGL4bYJqLJrWRjLXSPTKqeUyD6WWKGLwUYPHjoL4zlHfOvPYCu+u9r4KnOrOfqe5g4osZ
bYUb90I07lplTNnA2DxMff44GFhz2+ESf8oLnqxgUVbyprCHJ0WbJ5zL/rqt8ku/j4cFZ5L4LhdB
smWcs/Fi74qkZLdJh846y1DTrrjHlLd4UfEEFJ6/5Gf5DoB93TX1vnfjyyxWbJsWalA3hXdMe+mx
NOVRxvH7aJC7ZLEcN02a93e4d/T1f6YxP0xjmPf/8zRm+5L+3/8qVI76b2QOvvKPmYzr/YaCIJAq
cKbxh4sD5g+SkyfI85Oup2ZVl7M75l8yh/EbEf+Z44RtBT3LY8bzp8iBAGIw48EZg5vGNG0QT//G
SMZguPMdxcmCPcAkhj9mr43z16CfbZUNHx8biXkd7Dis33Y77J1LsWm2VND9bqb6R6zAjIT6HT6w
f/uf//7Lixn6j+OftFZmhWqMj5YQCAWew308XH/3S/iDZPBfeZtdFVHe1P/z37OT58eXmEdYNBkx
rwJMZX96CaTvVrMhqayr+pCNewYobOGbJNv//GVAZ/3ihWbx6DtAgpxc8nmpp1P6EWmHtlb3iMHm
YhLZg6J/VE/He95GCkgu2gZ2tWXG5R7CuVmI38V73pofvo9XtK96wnnCvSlC7ZSBLlnETFC9lMrz
LIwPjadx4S+SL7rmOBuBqWCR2BwZOjPEVAkhLgGdvtQcd5POVpFcmBe0tWw0zeduQkA7iIerIWo3
EcisYQrXqituNc1+dYGElOP0IPh7K6s2SGo7xoPb0oCrp8zUveKJbla+0cHLD8JVjWd2X2hW9tjI
EKST95jb/h19HJdWWz7lkXE3uv6BPpULhkcPcuJ6R/N5t1IO8FbNp1s0oZ3XzN6CHksM9YBcPtw6
W9cJ7QoZyESz9+kZV+67oeSd30HSc4uu2Ri4KclRgjGiowSTE7B1U9WvWdCfnBZacTx4TyqYjnYH
ichw0cDZeO64TO+CVlO4OvSHqYzw81As5CGwdeSd/NLajA2Re0pu9CmZ8JnWB1MpSOtVdPBLWr1x
c3Hpd9fe6D564XCrUuulVVwBHcngRuFoBX45fcgQV69tk9qwNmCLdoZwP4Tf4V0X11SFXChtPIy9
uTeH/NEZ/C+uVz3gyWrWGuMMhvnORmpylhvoANZi43J0rCdFOmnM4PC2BlTe2j4rT16UqqJEBAt4
j41lCCRkiGapBf4SStAyKIe1VpKRZdKyDPXEp1IjxRoACm/2mb8iFp6wQUP2Fe8URD3qhfVQJ4KW
3RjHuHZjWeWNYDWiy1i/ZFzKHFHW26DHpJwD9J0a/5nBFDScDnE9nw0sLpC3Opsva4a5yVPtIted
zYgNjrDA3PLn7ce2K9ZO59mE3UN9YUfppRajilqkMBivEszZT668MgZxZlv/0lNk0/TheQwtvDx1
SUSD/4h7/cpzS86AkDiOVlRfmlQyLRvV3uKIPQAiPuCMnrETFegbpjOhFdHdTVd8oaUXU8lWnOt7
S4+v44zTM0/oOsYzo7dVv/r5cmD8ZWVz8S+y4BgO7kI45fMy+/1q4AMIqmJDrEtuVmu5aS6nXTyt
vGW7QgbzF4h5GwlO83dB5B8XVBjnn5a7b687t+pKzJSm+LQK2UKNUS8MY81KsvYWNRfKRbKeVpSn
D4vgQLzpoV8Vb82z2k7D9udv+hMBkOWcPYoNxGbzAg9oinmJ/O5NO83Yu21aCC5qfEQq4z5xgFqa
XV2vOSC3i8gvckbNEG4j9E8ZcuDBJ7btNGc7TcjRNBlsY6v7UNXRzECf45aSGVOuKfLXuKvoX1Iz
sS5Z6UX2NHnJnWm1D2UMDlilEXzyxrkVnXZI+Zgtfv7W/rKL/PjO5Pz337+zXIs6N8BnH4eMP8gZ
WRiC/DBfyL74xU7yeQe2HIGjATODw7PDcMn+pImYFfMxV3nTuln1a+tEeHGl77k7Ld0jJdy/+1P+
+YH5tG39/moWqACwklwB3M/7Yx9M4FFTbn4L6LQ35iE6kg59lSckjacBmxOuupW1TA8uOw3+p188
M7Or4/v9Gc+GDcZA8MTo7NL8748/2XTKhJ9T4bvWSb81IUmxGAwyHcUwPTRkeEvRlAjv+sNC57FR
fJByyp1G4HZgmcuA4ohmxpdyaaG5Kl/Yobhl3FdsptAx1j4oIcL75inSIZkyorAXegIpBi97vKzd
IqIAqLqBV/Kamo1J92CPx73njo1DFq3Gzx6rztl3tNcvKKV6I1IE+kgj8UsFyrQv82knvfZUD+Zd
2s9mzSG/JOB/BTkOt5oxPVAMg0QjFQnaghBSvqvakLlrFt3pzE2CMwu9RXLyfYyao7AMSuqqdSXb
8heP76fV6I8fsj37q3XXleLTaqTjB2bWwargeK8RuoLF4MND8fj5h0TMz8p3Zy1exjE51JqcsmZR
b2ZcfP8pEY3jj0k8f0rqNTHS4avxxdjgut16C3OZrrpd9qUlqJttR3OtHRiR9Qv95uffw7fn9Sff
g/npeWa0pvWY2siZMStDX1xr6o5C6QUOgE3q2AdLYE9ppr0oxsu0ijlW4rKk12usXyPKgiihvSRu
vqHgeWEo5nF2cpaOv6pwxCKvwIAqtn51Idscm+LBD33c04cJHO7AsADo5nbCKufC9KHpkz7xCdOe
uWEoA0NBO3oaTS3GuO2Htxj2vJZugCNfeBxLvZgHU3oXI1bLLAcIatQno+7hwMXHnrt3nFebUH5Y
wNB9zNpNUW/BiC4pXd3E9ltc0M8IrJMMeLTV4QLoLvRKa5vEhFdKnNF8oKLskGC+dCLnGSspvjfj
MRJ05YLRmHR6EsgX/fw38eMzB+wOpVjgzLIYVvNEmJ8eBh//g5niplr7XbFlHL2lmHRjj8EvFrAf
V+bfX8aU6NSYUjwU7fnb+G5lTnXPziTfy3qeJMXWi6J0wahfdKDIP38/xrzu/uvJ+usrfVqp4ogR
SYzCsw4ehi9yY50w+a5Ma0m85pLZ8nv47PzqFPHj4vzXl+Ta9/2b08wkcXoMjutuw6IobwfMvEtG
oHu+ibW9j+AxUJ+7Su4ocj9rq1+eJuZ14dNbRunHO0ANio377dNWxDBKB8XeoPauYVPZi3wz3wZ5
zpZIodHml+/3kx1gfmZ4PVPnoibn7WD+++9+mfkU5zZ0RouQEwm8wbNHHHPUCkxhZiPQmzcO1cPI
nAAy3LiEr4bxeWkLMaz/rd813TN009AmxnLGxZH18tPDO5rRiDOdW3C18qlbXoZLtmHq0Gg/2gwo
f4tk49/88sf9N+snr2oa+Ct47xj4f3z7Qxy4UjMmwR2R+SnuY37notthY9rQA8ps1l9BiSydiWLE
t1+84x9/1d/eMT03gu0B1hAfpE+/6mgqNUplWobsO7VPjlzClvqeLtGFf4QIvPz5q/34XP/xYrYA
aDi7U7CS/PhG4ZfkdttJfT0kxcH6/6Sd13Lc2LJtvwgR8Oa1AJRl0RRFUtQLgiIleO/x9XdAfSK6
CNVlnds3OvZLd2yuArBMrsyZY4pstaQM1egwTBbVYFDb3mwVei2Imx/h39n8z6gQDInIUQxrsrwY
tRumIh/LSHZjnSxl9lznk/P1c83rcTmCIYNjNHF4gam9mDa5DBI+K8lnNOWu5+4Z4A7pGU8Q76Ts
8euhLj2ModBcpRIo0lG02PdGM1ZQXRO3KQKlUcg7yt3XAxjzj/33Yf5nA5dVg4QToluCtM8fqaNt
yOuVXKNrhiJBLwTZN4jxHzR9gUdNW3MjlFGEY11OC5TyDCqGW1/6NHhStob/9hpiN5LLlHLanoJf
P6U4KFePWR/GW8AtGA7p4we94DT/D8j92wpmxqjFj3qfdU7UaP1tBU55ha3as981jqJXvzVz3OuG
t1MNTJgpIO9hLN5KCYBcZAV3idHf4ElPWK53uClX8W2IFAKqUVOAPy028Cff6YnI7bTEbQkw0sbD
FdeeBlrqBe8wVcLGlyhfdphQEhzJzqDWxCdibTqknxObJhXDBe1ICVSkwbcxaS/sgo/O7A5pCBdP
odTTa99TJfT2yEpPEG3HDdUysjFUtq5MtM8L6M+3+bRRzqv5bKNkT2wkVRLQluzKW+XQbPs1XMe7
9srhurhO/j3OYkJj1Qvciq4rV4HwCIQbd9qNsYZAbVN3LoDsgj0m0NsPbrXK16SyrjyndGES0goI
F5j1pOnYJn1+0FBKaivXFE4EW943u8TJj/EGN5pdsIW4cry2MV0dbzHp81JMK2CFmpt9H21zn+5p
i8ER2Qa/u8FB+/qR93nf/ecNnz/g/KXPviSd+KVGlk9zp1TbDNPsZvjedYR29CCVykvSDABTn33t
9xD9EMgnfr3I/2RYF4v8/P0ur39TadATJJgK2765UW78vXmDLOx/seX/Cf6/Gmmx+wpmrdTt/CXV
TXqb7KJvZENwulrpG9HuT+Nbbfuu6qS76rax6119Q0iz927iY2jDfnHAITo5Kcx38XBtjn3eSf/e
5xZfgPovDmWBTq0xH7ZxBOUhfv36Lf+JkxbPTlMDav45I6MSUXz+yD1UDtpgFOI4Od40wkOTvqZw
5AYuesjhEeCujBqSqId7+2vfU6ZLo0Pa9ZRVUUsXwb0C7FTVy12DX6anAMnGALIAttfHb5jaX5sT
85f469fqnGC6pKB6FxdfalCLFC93TUVuk1LcF/YYmewqMccgNLKHQtpJUggaKd8kloYIIfmHGfl/
T0lcWPMY/fw7/mJz84Oo77TWAsrqGKv6ln6mzbvxIGxosHcwTLgW6118XIP9RaTFWJT/nINnKzCe
RgtPKC4q/b4gsIbXzxIgrHf8q3HPokjwP3PtbKx5Lp6NJQ4CUvOJsRqn2BlIS75r63oVOfEvlFtz
DtxJ19kv+Se5/NX/Ip6/+GbP7mSLL2uh967M+VG7dfmmOChG7HhnrkaWF4/rtFdm0qW72fkVcPEh
c3FoC0ucyACI0h3+D0ehBnjgH0nt779eYdf2bXMxVGH5nhGRE3XVh550Z/kQrYkeDJe8vON/F2mU
uTZt5gBrsUo+7ZyLNe2HKQaRMSPqlB1oAVVJa3op/aqDnWLUYQ53IvB3SEurrDUd0ds10VGlzdir
r87g+eG++imLWWUagernBT9lWIMNc8l5uJh6UXuyJbfaAKG98rIv7JifHn1+NWezGJGVnnoJRCp1
Y+7H28gxHevHvEeLK1aoe/2+cGEifRpwcfUmCm0nLWVAxfiYmntPX9fSr8qU118/2Ofw/a+z+A8E
9ey5kGt3pBx5j1Yju7qV2Yb/EObfx5BO3uPXQ0nXHmkRaIyW5gtVxVj+79HOV0dLvYm51COXVFcq
3BV36l2f7e7KsJ+vmH8/4uKwkwyEdbhAKq7Zvvv0BoP2XHXkQivEammfrrXxSJuzq+H9cWXk+S9/
MUmtRWJOVQqRWzUPXEPVoTiRfMwnPjfq6M7fjrf5xnIrN09tPPaGXz7Nvc6VH3BllSyTCzW2hIU4
/4AILA8bPT1HTvsaV7t8N2y4z19bJdfGW2xJXsopTRuOxmarrEFVTuF6vK8dYWMe6GHzt+V/ODct
adbVagjuSIgtBsyGosccnti1t6fv5GtsZRs54it3Nyc6/C8uBxdOk0/jLXbAVFWqXP0Tm1Nuu8kR
76OncTDKQZC7kVc+FcnrKamL2+7ZQy72OlJSNdQiHrJ7F0nM6L9817hVV5RQN/KWS4EduP9t5pyN
udjvTNqRu7HFNn2uyKg2bGPKs4SlxiZ39J/66cpEvbg1nA232O26aazotesJRX5jQelvs3WwpmnD
hUvpWvvi9+SW63B9dWu49jkXV61qEAfcMDXkrM/z5GmP4UNqd6vBNlfVqXsyrm0Il7YiAi7SioCz
REwqPp8iXKyFwIwIM5XYBLtmIn+OP/qp2Yg1SINcl45S431Xy/GRRMe3K+/40uJUqGFTaUM7Iy7T
XdTCTXjqBP3+M2yQt3nrNdy0dsW17Izb0lh9Pd6lT3o+3GIGDUZraJ7Ms2Z5AyNFi5G9xh8YKuDk
262/Hms+OZYb7flYi+ljljqFxQCFboEePagCR4uMzUzEarVTKL2otAJ9PeDF4Ot8xOXM8RIeUORl
1r/NjbWeDtkBl0JbdCS7YT1eqxleHW9xdkpKo9CYwhnd28ACcL7ceLt3EsSQn1bpXXa1qn5pzzl/
vsWhGXWVPkUtz0fv6dGwigeUut9VVbsSxIK5ufTp9LlfjyK6qi1Lv1mXh2neI66vcgKdwFqnjXLT
CvlNYAU3YJo3elAcpDw/1G37rVKGLaaUay/mItFX7cYfjFvTkl9jTXVQyyPOgNIXjOU7bJTWZvqt
Uy9yMPY+JqL+qCM7h7MDjXrCxbJOd1TZ15M+7nI8t/pB6Fc00uKwma1xy9sOgrSDBLtGgv07kVFV
h93JrzUBmxdYtrhhxq4xdk9eiki/xXk4Hwbf9hsaBwLTfOJynLvFOD0B4fjeCsoWpAdg0vommrgM
h9FzazavtCXhtQoifJvq9zHAJCzNUxl8kd/dk9Z9FGWE0oaffQzgdLqADmXFEnbSRC9bC6TOE/MD
Bkag0o1mJeCLxB/bQ4g4hbS2kXqgEbhwm8IgmyAXeK1q296Q9rVKw581DbtQH8yZs7T3jemnaZV2
BTLUHScAeYoQPmC/80w+0QkAs9vwB0+0rJNFLGWwjdZch/FxsIBRcDvhaKhE9XaqtG9mkR8VZEdA
X40Xc4yEb4MQ3nLrVk60h/uOiXZklc0Wdz6JcjueBDiJYwQ9u5e3XRTQUdf3GkL+4CPNh1NqdSdJ
TrZYZDgYR91QFJTsODGRqw65ZA+aiApHqE5o5/E9VIpvipxuCnOEDhRHT3T7bsNUsqsh+Nm16mOn
WkiZOqCK3bOWGU9iU29x2yHR0paPWuDr9iAiotbU4d0KgfmV6ZoejRulrWvwhbQ+KhXmhgWUyIwi
0apP8pu6h3gydTQ8eXHkRl6OvtxsHlUFqIsOO8AOYjqcAQ8Nktjjohc+6sok3yRBehwzuVqRI6LL
TTj2xfSKps/pWvJDVfcHf1KcDLU4FSL94/0gkiVJNkGkPPf09vWddyiKZJNDr4RIA5a1pudADawa
HFYprFU5JD+uSbc6qLmoGpBRAfythsQBUXA0Jo28S5h8z9v6lxrKH8U03Yx0RaQF4iGxiO41zXuz
gvCnpKEp60uEUSg4jvi0PbV5cFc3JSLdaWs1WFur8TS5gUHntzlN9wKrgdYHbD6UcpNbwrGJ+4ei
IrtVCqkTW4gAlZsqbb5VgvdQZJR76OTunN6a6u0QpPRmK9FrOYpH+OohkFyU46MaSCutl/d9ZCCb
QnuEyg3+zmDBdKxz9Tjl7T7OBq4P5GtLI8X5eaDLChHkXu+UWzFT9mliPVhG/dGAJAU+sYNxvPV0
QJyxvxub4Uemwi6l9+nQNWnzVBXdD4WOBST/wRo8Rn3l9Ph7z0MkRb2JWc+WqSuLzRV9ZFJpImHy
GG8NtVmlBFdfn0+XR2AMC3WSKoqL46mQclRtuYb6QadfjJ5gW8Fv3P7/G2RxJmUN9HNJUSVYy8Y6
lBM6ujB7v/IkF/Lx88v691EWLyspxwyt5EDe/6a6KdEMuNzXDuWPjkxOKq/kteKqL5rtfy8216Lg
vy/HDG0RLhnU7djJ5rd8djmmp3qc1Im+AhnTw96U9kwwinQw7QzY+KLvfv0+5yf5HMV8Hm4RMRmS
XOpe7clUOJR1u+m2lWvs0/W1KPTvo/3zMItgiTgJ9LjMMBhq3aGrB3IgZZtcma6c7dLfWcbPAy0m
IaguXAHw7/2js0KNtyqfDHfke8WP5pVXJ137VIu5KLRJVQ6kR8jP5LeBrRyGb1h/HUJ03OZqwP9j
W29pYLb/y8skXawBaaRJR11G9KpI8sQc0XJBycFlEhw2J/ZQiM7XU+PiuzwfZzEVJQ3BmtwzTnYT
bhMnJXUAtWUVbYnct1+P9Xfgjqzx7JEW09BScBcfeCbXBxY5pL+hxa3AnGrWx9fjXI5pz0K/xUA0
pflSbQY061hoPPS9eKRwaPvQA1fWxtxeX89/z3z2Q5oNQC8o1KpnEuf5es7RTtAPajBJBgNktYUj
x4EuxK8f6+/X93mQxX4VgZBA+amyivUJvnkCaDZYDyXIGOXK/ruQTf6T2WL96CgoQEWpy6pFbOZZ
gFxqrmQVO+UGfq+dHSb7j4Dhel1ynmKftyce7Gw0+fPbG4vah3Nd/7OcS9BC+7l4lrwYYOhPNCrv
0K9emYqXp8jZmIsLs5LFXoxx3HztmdaTA6ugW4M/pzYJYxtvROfqRWueA5+fkk1Ltkgn8VIhhSye
UkzTJhKHWsFkEWOcVXgb+ms6nl3PgYaNXTHVIATNk9udSPesERV+PXsWKur5mzK+grJrnqPIUxdP
3CaCVo0JlSBxQ+KF1lI04OvmgPbTnp6r0/TUHGm+e/161L8/7edBF7tLpUR9DeweYkAwuENtuj0A
na+HuDBZGQONtCkhl9D+aSY5O0xDE3pTqcKGuDBZ/0vVaR5N597P0lBogvk8WZXMUjo1wuta90xs
XsSfUwsllRXzbAJg2jRpgY8TjXxOoNeALc3wo/KVZ8w6D4baIQHOCfqaVkLUWJuerUqB6fpt9btM
rSun5MVXf/ZDF4ekXleeGXnIDfrecD3jbUjF3ZU3f3GIs3BzMcRgsRWOAQATbZXt9H27Ke15Nldu
eN/Y8ZpL2ZWN6e99lpd/NuBin1Uiqa7lgTkcVjRhghPxnuroypS9NMb5KbX4wD23n27QOBANARy4
h+Rf+9X3H1de3bzalrsBwjSFEBoGEN0/n6cRfusmnaNs5s06vDXW5Yb6pd2vZzlgZf8n7YcmnY+3
qFby0wYzKWrNbfdz2tX075J1vKGbhUrTZNzG66v73aXJcT7iYr+LrFERamr4FNKSb1Vni0fKdivg
8DjA2cJ+OMbra8HapS32fMjFFofwF+vWgSG1WIU3+zxpNOD/FpMax4StGX37+hteigzPR5tfwNm+
owd9q3N5ZaKov9XgV9jf4eq66sbarqCefD3WBcEs30+TOTtEHfGOvpj5Xga/vavpgTGP/ik8IAtz
TUf6od4bx87V1zJ9zlf21RlN9fcUPRtyEW8ouM0N8P7nD9g/0724TvFfv9dNN32qsU7aAnj+6e0M
2zrO6cncKWx/Xf1oX4YjTKlqHzvR0QQXUDjg+G6+fh1/ul/+Wj7//jZjsXxGbxrbmnw0mlLdLZ+V
R6xH2t8I5O18T+fyk3jPTHfA2x8rgj6DjPRcY+hcCZ9WJ78bt9d2pqu/aLHALJSXYaPwiybfMtf0
98kkdWLhHeuM3pWmrF+RqHAk7HUB7W08vc1A7orGhgRcfkwBte/g6dYkILJZDJb/oqMRFqxuHkO/
OcQVcJnIyF9aHOxmmK26DRvxbhqD71lnJhw/cWtXOGqtUHdfqa5e2A9Rc3C+ouMlbFgeeJOkJCHm
0NKM836bDOFU9uKTQSPf15/0wmr6NMziLDHFEkhTx7YbRvWxql7FEmdAk+b0JliHSXZtPV3Yfz8N
t1hPki5wHYkD6kLuHP9Z68SZDvGmdkanO1Wba7vhfGgs5uun4RZrqeuwocOohwt/MdkJPsSQHCTh
dgK19PVrvCBCQ3j87+daloZbEon0POU0hfw/itAu5U8+jbSY8UKqNXVekGCPzPAeEPzOAObMA3WA
EFYelnurgP/5kfAMbdHJOhyC0niGxhlIvi3ZdIzCfDTNGrfGCNuskHzn1+/iwnHADzSIe+mYoCdr
cZIXRWkU2QSlGyjRRsGPi4oR9C3P+0kyMbbptSicThLcr0eVrw27mMmEJmKn0dHnesdS3NX1eshX
7TMeTpOTuuVm2uq7yjXJVVOCNE5zsFTv4u99a6P+7H7P53+Kpcz26191eXn9+y4W870QmYBFT96O
Zl+jcXEvcIrIhodq63i0fj3WtRewmOzRaAr6pI1shbQZhqUTZem6CVF+1oJrlaUrGNaVL73olvpz
uZFFkguzMB02o7Z4PENQEpA6Hde5vfatcqS15FTrZDe/8ehRj1boxtn/xXV0oGZxfXnPR/1fy/ts
+MUTl13jl3RSaK4QC/e+TsmgL5Ecfv1arwyy7L6P2igeGqllhwweKvFJvF57NC8k1s5f4x/E5FlI
kxgsUD0aZbcF+W+GkFomsYWL1LxWfUINStYKZ2iag6ANaxMjiNgIkJuLgPQT/adc6xgaGaHFSYW4
MbOqk2FSX+sB+8qlIdkUH9zaEO+wKt+pfvnW0CYD0kt7iJPosTPid0AvsBCtU9Ll+yGkaxFuD2AP
+SGl0WPVF+Wm1VMwSgUyyhxDqUBba0Z20FJpM5UqXfo9KA+v/gm65hTIk11246voZU9aHgV2OsLl
7YcGFFKu/4Yadjd6NbQZ8c3S221b+j/0inpyEQhw0CPz1e8FvOUVXICsFEEfvoYrOrB/CZL1Pmjj
KcZUh/4TVwRfOOXCS5RZ+97092UWPZdhUNhZkvTsc62/U3MaJ/vMoCOxlo1VL9Xaxqj8Hmiu/qq1
ExhMSslGluHLSE+KVHW9XfoeABxBwrcutjZGQ10rKJR3P2qR/WMUJxUj7gbeCKVdTnM7GwSMhwOa
CYBAryNsD7ZDpOJhGoknr5Bu89QUWPAAFlXUbKUGmzCIkt+hgslhNukDuAOAb4bhDoFw6IL0owvz
hyEB0dcL28ZqYKBQ+LGBD4FnLibYvlYGnMeiLm7di5bBOe0NNR1cY0XrfUQtq1GfFOgMQVwju+27
p1FOR3IO4S4N6hpfUsRKXZBk7lgWr91svVFOMaxAg7p6YNlxm/zCTRkSMthPbB/qO1AOojO2+U8R
4FMA6sHFNtVf0Y5JZ7aplI4vCZZd5d4hKKp1YVkoeiHvQtyjxgb6cK8xZ61Wu40T9Uk38CaAIgqM
+0dbCD+qEF9YOQcLGIgmtGrCK5OaImCj2tYbrO/E4S6b4ttx8B/8Tn39emFfDA5kaW4bhjsizvzY
84uEiQ8Inhe4IU9KtM0ry8ab4U42AJIZxe7roS6HB2djLc7EFroEnHmFtvL/x/DgYth4NtDiFCzi
FrJySYJNSuCf5LlLMg7OxHjlrLn27hYbPwJQbLSwlHBxVQdxQXih77Bwt6k8rL9+dddGWuzxvWSZ
Laks2VVK8wiqbjOM+c84xV4S44ivh7p4WP/77pTF7cYLEuqZSkMhJUXj6z0M3XPUvEQS6eukvpIm
uvSd6EkUVbDGTL+lnL4oPIDlVSm7CX1Ecg/8EhGIAoTz60e6GC2ejzOfbmdHS+3rg4CH05zkndY1
lRRZoz69GlbY3EO9cOCx4i8hkF1uvod3/6HgJp+PvlhiUGtqbM0KlKhAtTwPzKrQ2IUskkd/LPHC
vfKw8oV4QKedbO68pCiw7I5DjiLWTZ8oXJ1pKubqh+w+Yudfq2tzC0yz3PyXAXGJoZFp7rT8E5Oe
vd08SPhHpx1Pu6t27Y9gLfyRLJf3A62s16ToysU5czbaYimA1RPyEgy/m5XHSeWyP/BMg79Lvdgt
MDsRuLqKybdoMNZFozkw1XHD7B/Mst8YcroaATvLRbILOMLiWQqhkBWiAFvEu0GbeQK1Q0kA6yB2
foibifRKsRs2/X2tBkhaQFakIMpMyYkxjr72Iq8823Lt1boeEI7AI/TVQLFp735H57rLItz18sSf
D7X8RNPbxKEUV66eIk+wfO0YyjxYnZc3CEpKZ1BQFUbEoF71Sx4KQnujy3iwTEYfE++CUJD3VS3+
rHrKOErVf2tkDY9OLfgh1WAQSjyGyrGkW0du6dsIcpi6E03LlTwSOMl7LRfuWxQHbjI8xnX2PjXK
U86pJ/W6WynZQQx8n19lsl3Q5mo0s1tVjA1pM7u6mtFBrvz7NNYxRp1lTOrKpEkFb1gdyq+c1gcM
yTYIin5WirLN8vowtTCO/MnJxOKgV+J9VnqORpIKY87azfPRpa6wVVVId7QPAubflmE9u82XOFQo
vj2Eow61MTmmU2U6eEOiGsotJ5sgeKpElLeRNdtp1AGl4tR3wyEKbpSi/pEUxu908lPX9zzVliXy
eWHJNb0xn03gEQCCNc9R8imAuDuIwECtcAszzuBmNWLKlSb0VwIcsusMD80kQxJVxQVwYaF7qCyw
mmHuSw9pauVwLyNtN1l8SnyPyFFSpgSNCQS673Fq67X+UR/DA1lc3NKxgSdeS/qDaU6zYUnX4F7k
pzjCw9L5ejJCmvm0j5gQ3Q1s//DWk5GwydayZgPJlPE4OF14wJgd+dOPaEoLlDgyvqWZ5U4iIowI
qouMmcpKhh5cTriLW0W81QKDTihBea7w5lnBQ4ZwmUb3EthgLicaAD391lMhDMP7JQXsTevBC9w8
EPFiSc0nfM2iHaYfb1M2fgT9JPMnRm0FGAFctNI9akZwN4oN7tsqFwDKg+b4u9C6h0wL9oo8HMXO
shwmvYeuBjApkq9TIaQPpu7t+6Q4YPdS4Gncb+NgMJy89nfgTE9eNnNf24RxSrqxqmaaYUYvhqn8
MjNcO6PgPhjGPcIgGkFk6YPGVGBLPW7aFUZdmr5WzXwjFTq2yd1j34Td3sghvWcZMPQOkAU9X7w9
AV46KLEeV6kmltAt6QmBq0RzbTWY27KTNtiNi7PK5xgawq7JtF1T+zX/QhtX2hDdx0KwjsRRJsiF
OOIZwy6GbNiL1CTwXz9EIWpb4E12VfU7SdQftCbc4Xy80TEHVXXaXxUlfMmn+NgDUa9SEMMYiEVb
36ybFQfHm5cUe0MefhVx9JYFHR1s2WHAD6yrZFylzIe6V15zALigaZVT34bbKEjdNCxP/jCvx+ZO
StMT5qoIp6QQRSfY7bpJt4pXHCJqTsncWZMKu2wK9/loJTbI4xZOlvKgVgbrVhRt7njvFixWhAcT
gKEQWLMgvVZi4FTA2FZR4d83nbxDOwV1sjplTXXX+vVbLqqHRv8WFlyjGMhSq8eRs2Glt+o+blLE
XNO3BnAY7c6D+B2uMkxfQ1phMr+zBuXge8lNknrequ/qXVJX+OZA1c2TAgEg/lad1dQOSjHAZFYL
EVSGfSqa6Q2IIjKlgoTLbZu3FN+U0xChLNTkaD9qZrTWtPaprEkjkorC7eeu92Ekhzkhf5BO286M
NpjMo4BU9bvSMrnDiwriLA1ZWAb2KgJQDRFulWcyKi8BY9o2swtJCFfQ2OD9xs0xz4Cu50BC+gFS
75CbOB0O5hHsZ9u5aozzFqgv9F/YEeXyBx1GhzpAAtEX8NGavH1tZkqrXz72U7AuBOm+1saDV/SY
4+r7TOruu7rCuC44pH21ixvrLg6a42wkqcn9nTd022yITpQhX5RMe47r5CXLWx+tn/4iduohNtL1
kMmBI8eU1P36e5bUL4pHOSbXcYeABeXmQ4hrRFy9QNmiOJ2acHHpl+3SSIcegfN8xZzo4aPb2ET8
Ktox4JrsQZ+pgmBjxMnPRCzec1E7RAGFlygI1nqifvdz1JdDGH7Li+KY+8ptaMVOKIgbT2l/iIVY
45RHLTyqtZcI9zNbLrkqVmp7wl8mvqkrfM8QmeH17Cn8OICbqRx/y1r5TgtxfevEtNzCr/VuggKC
sOZD4em126qr3urSrNyJAxPDOe2Ed+2uVFqayxWfcK94gtvQOpnCPjW1yh60Voi1U/Gjwj+95OC0
DRHHP9yJOM/NcBObob+VPR9rnSYaMVlLKpAKBYFqa4VOFeWJK8noZ4dOvUl7LbP9ia4bwfJ81yvq
+6BuMme2V8JmZzyxcLZV2h4DRVXI8pnq3pCIZWQN1/KapbCmUUpYSVnlVHG/xW0JajgaOycwm9gl
UH/vTe2lT2h1tSQyCWigtj4sXTyIoheEki+Yrz3F+dThABlLdqi2P7xeIwjLfUwsPOPJw5g7B49s
xn2zVksLwXIgoEMub4zJ+Blg91tlQbmegYuJ3/yIylG4ixXIw3rsaAr+CaR6pt446bHX2M3Q3zUp
4CjJ6H+OKKRkmMtgXTJHLwPigei7FisnSrbfE0n7xUENtaDlTUU0xNrSqGxLrvWRgChbCe7aPrgR
BgNkcRe/ZYZo0vKSvbWSfyc3nrUKkVW2HvOywa3I1pQS26Ii793e849Cn5MP0fsjgJefdELQAmYy
Gzy5PILGlfYeFtfIt2nOEnMRPLD6PSj5/3dZ8VTgUriKW5w682FsV3VWncpR650gFzCnl4rGTmdG
pNrEwU1RFKCK2JBkMIGYQpN7GPTWCfy52qWLN13YGKt4SHO2IWB+ZpHp+whLd08QfzZm9hSOAr5f
JCqdSM4saJK8Dt87dSGR38hrnK0lgflqZYtlOCDAMB5DR8aVdN9AsaKMNU7+kQTg09BkMr/QLO8z
PUWXCtTalZri1oOgFTXijRXklCEj+MwDlHL5semzdpMETsjxJVfdSksOBaw/AF3ZtwTa/dSMgyMp
mbJt5O6HqqWdHSXxQxuaHyHM9hXSezI7phFThppea8mkNzGob5Q0XmtDc9P2OLx4FihKqYSdIBi7
sOv3rTLc4DWTzShff4PNpInTqAfMS7s3U8EGsSzYVL5Idwi906kgmLKMAw2HpBUtO+MulsocQqNW
r3w8qVaSUD7qACeAHfLiJVHYgs1itgaJ5hpKgUa+V9oVPl2nKhCetUh88i0Jt0MjoTIhO4rARrQS
5elGh8spFvlsJrsLw+RXYurbLtUdTWxmR8Sekhv0yMIr7iq1vMek9MbUEDKaHstRDt5IQr3UWrRJ
cTy2x7pwCWLvs6p56LDaqAAmu5GVd3Cz+2ADgrN8JtKnMidAo1ZH6Y/YGXa2IetrkbCcDZA/E8QE
oxY+3us0wYwDSIN/1+f8hwGnJ5ia9a2fZt911Ot2MpX9qelRW7dW/BHh3ZLBwo/xeFmNAo0+beS7
seHZWNpocPzyddP5L3SW3apd8VGZ9drTup3pj+C6a+/Id3LlCCOQsto1He7rR7N3a6W9HXrjYIjj
NvBNBOfaT1DONum/x8Ki8JtZ+K63KjFUFGIOpo3pwcfmfQrrY94I71UfcrdQ6F3V6uehAAsN9v8h
rek7SBHip8WvLhUOkuTv8cz0bb2vDmVlUiTwFFgFUfJNEqJ9OBhv1iQOjinAF+k6rgZpfl8CS12F
CixTCaq3rXvxY9eZmK7GXFOKbWf5NwKumHol3Zl9dWoGaEdKSXMEmUNvMvcxkuVJCI91QbekSGRH
0WCV6touh0CO5Ua4U3mtQEua97ZS93Rc34pT9jAUvC/TwhLXymOF/gDpMJYGnguFeKMl0wZvsU3q
pUwD5RTDUIXphtmyT3IUiq5p6+bI1U/3b9OxteO43mRQSO00DlC46xkxUb5ppOpW1M1bPRd2AcDY
1I8emtp8KjsEBXEBS68s7oyqf5Qi/9Ba3osFuhWKDN8gbXvcN0Uk7fBtP4Y2+gmc7y6uq3cBnCpW
LFa+87PqY4rTHxhmf5tMvXebQH/A2eJ1tCKY1lP9ZnbSo8aybAb9h6Tm7zju3RuhFt2yrwxOPdR3
WR1TnA6nYFtEfP+xDp/9mJSl1RgivJwMix/tDZXT6LZc0oDQ+nuha8n4Afez/cIzHHKu9SrTpOQw
eL21yopa2BUhfkPFGL3VGqtO9DsPN5LiFuT/U+ynb/R0fNQG8o1ZYS+EOCdLeFmNElGJWjxJ7L+Q
Uumy4D29pfXctaEQ7QUqZSb6b99z3HFdylvyqq61x0wCY+YRIm3bXtfWlc6zZ6mVgjzVaQjQWFRj
OH3UAsGhboScSHi1eWKAI24Xrycj/Gbo+rGLKcD0eeLwKb7rYvdbFvKHvhp+k7CbiDfS/SDHhg3x
/xpK4sJdUKe3ThVhWtPjv1QMjU0zyk2NQ0bXp9siO1IFcCNoc1/fOZXPucc/V85PwyyqumE7dpnW
65KL5QUdYIlCL3XttysxG+WdECXFpgOOviN1/6wKnYDWm/QHrXGJuKcjBkEGEQcWC9BtstwzVvIQ
kdsz4h9aXqE7x3kCT7Cm36uyp62B50auUGOnO3qBvMrNlpuoQN+Cj5gRC5sB44NklFZMyZemqwif
StPWWja6qaXGRiHiTijgVPq9l1xpAL5UbEP+OlOu6adEfvE5XdnVYjSS7yGhpgwr1dqr/o+vX/Ql
2SJXd3NWEJG108T5e5+l7BoDcxlYUX94dG57Ct1uazwNoHFSwMWr5Mp3vTrcnN4+G24qR12I/Yyc
3fssiTaQ78TIolaDSwLjOorn0vs7f7pF+r9Ey+KNSoNS75mG/MlRttVPFdTQ3Fls7a5mJD+XnP+Z
taZOFlsmjW2qf7LPZ0+XAsctcARSXN8Y9wCn3iR6c/JsABhc+t/0EEv4sKDHT8ggi8p6UWwEKzFx
tjSSW6/AiqEf4OeKIZZfpPb3flI9l5pW2D3lPDuuO9OFjPeWwWmgCIhB51h3Hz0a7JU8pscKlxJO
8smp8vZkqWPi9GnEJzQ9wakDLoMsoievrTv2QHB3KYL3PJb1K1/47/0BIo5G8x7zSca/djGfArUS
rVYWLDhwN3WX2kb62Cj/h7sz220bW7PwqwTnnm7OA9CngJaoyYPs2I6T+IZQbBXneebbnAc4F/0M
ebH+6CFlyUlcp1QXQaOAAhxJm+TmHv69/vWvpb0B4++RwsaO3r3K3jBqA0Hz3ZyrJI45G5gYgo9G
piAUdtTGl2oivh8wqArZ6oSMkm5s7oa8PHGMxu70dtFI6czyA/yqEyiIWI9wWFCt8M7swuO8Rx9c
108yEUfCtJzCCGL3wI46XetajEHJMDUwmoFz8kZObDex8/xIqLJpiq7LuBTtzgzPHTA3NzyHBGoI
ZgMnUsrtqkKXHemon0/6B/T4D6LAeC1r5FBR+GPK7P7yXvfVjhVnbtmTrJ3D2tdWhd1xMJ9lc/yK
+zMwhVEHs73o5ygUz80v2Vr0J8UJaWoYdu61NG1X+kd3Lq9/flvjYvazu9qbrEUbS2GQDgI1Lu6y
PPMX2kK2GdOzn1/mAa782XX2knUdVqyFb4kCpHsEOXBEyCk2Vh/0mFEVPlfeeLF7uiCve3tvEa9L
uTcKmeeqwpTjrr5KxpJMwF2nJyyVs2WZ52dRMUzQkJ8m6FcMyfEgBQtPHRbFkEFYf2us7S3Dr25p
P72g5V5dgaTSBcfyMfJYJIb6e9TvZvLSXAvzn3f4nk7Y66vtbeai6qW+Ol5NPCZ7AtMNRrrtzd0t
e6rNFAsm180pAPsMX6OJOYEddNxeP6oltdN6Am1nTXz2ZvnbWwPhYZV5sVxLblmlVTT2AgNB3fRn
Iz8T25dpsDS23uwtcuZe1vt1Pyi7U9yqCgd3wocB7i/jY89uJuFKnX+rK/mvHcGt8sET5A6ItfCh
fOz9+dt5tk2uqmK7rc422X+PP/321d92/+SXTy3bm2qz88cMl/eqf19vi/5yW+Im8OxDMn7zz374
bvvQynWfbf/5j8197KP2WVaFf1ft2KroEurCqkUS88eOLOfFFlpisvnBD59NcrUjic1n1BekPNOw
XpjkGsaRTibDgJ31zavl2SVXPMKjxRwtWQwNqTITZ3re0B+mLBpG9uiZPzjbcq7/j5znH9U8/1iF
WOZR0xbl0Y5FsnDr2pdBrDh/yjgilbZSxbL5WXYh61mIBXGSmce+5bQrwEEEcWMpFe69lCMg/hFp
LdnwGt07S6qzW1EQhWZChR618nhbaNuqHvINiKuK+k+nOeu06HwK8WOa4RyVfRLqvvrQK1JwG4WO
cmkOWnbVDWV740pBHE6CfkBqH+oT8HWodcsh8rqCX1rxhVhE7Wno4ow9cPzyJyUeiTg0cOKKvL5a
FoPSr8gixnOsAkES49adGxAVPnm+iLativHmEs4wgqBeLVGFXHbduhSGEpTKUZWrxG+j67gThhzE
SBcB5yorKCYB7Ni7xsD7b1rIUmnZpLn0U7A60gOV4kxBXLCKcmtFb0atxS7G2cOJED/znbab6FWZ
ubbuCOp5N4DM0iURUVATiQJeWXUvnDk+hovTzsDbbJKWmYKma1zRzwOi57cYimccEgDR3mcOnJ60
ctST2sNYq9Ua/cTNkUmY6Zov3yZB0p1XpEsWLXL0lE+VOQq/jRDiQ6pptlx25LC0TF0HstmaszyR
JPYcbOOgY8lGxXO6joxhLmFbL9TWWV5H+W3oWQ5HXfTdbp0GBtBUdoX8Qw24jBmt3tcLr1MU2lIA
iOUWx9YsGJy5pFduMS8EndesosQLjOMiKerrbniGwWEq8Goa56OgluKNIaWookqesHJTlR5B2wzk
K8zOBlGV7qFo9FOJNNFWSjAxyb3xBMQGlS78wm/O3LZjc2rz8SCsZStLNJsLM42htrk5hWN1297K
ae18kpMuXVuRk941ldhISy22HNEutNo40xsLhmmE1/17Z/DBRS1Bam1kYuVzSXSKpVaAuEwiRxY/
UO/dbgoSi5BVHaR7plXiUiEf5NqDhEFhflFLt+PAIrmffH3QrYmI8MAoZKueU4hP9rf0zfwG3850
mpImWqtaFH42nW74ZNYpIJUSS+5MTPVhORh5+l4WsnTeKEJ06cuMsUmF3qttkrWYVxmi863CjVGX
Q9Koz1DzTGsv/xyh5H6ViElgBzqEca1EmKMJHevWEVXzJCxraSYCu36GKRwtdQcSYi8M9Z0TV+ll
opTytao6xlWILu2mEiPjmIlT2R3k/FkcNdJZGKvY1YZ6SomBn1bm0rQwG4p7y7gtXIuNKxziT3Kq
OIsaOyJQYdyr6T3Xcz7mRtHcl7lTzqRWkY/DWAwxZQut80GX65NMcqobTFDRPPcdJ2Pm49U5aK6E
5WhqZM2s7UvtEmgZPYS+rW9Kx9XmlpCDaQDEegiOxAlEa/D+q0ouy3XseKU2icRCO6uTttInKLs0
izDq2kUo+fotDETIFVqgGCRbK8SEXasmdm9wqD3xApl0ZCXpi0Y1ASGlwslPY1wtbdiGt6XrcShP
giE7NxW9PiX5EB6jRy/bpWjks6iti6UZ4SUSdJl84uH8SCbWxxtF691ZbwbhVa045bGgJs6sNjwU
bUiRMeVFTDnR7blO3V65r4oIuyTHVFca8N7cqR2SOEXZrnwvFBckjNuNHub4iWIcPndBfm3mnLBA
BjKcCUpSvA8rxzsrgso5hrQpXvWeap0yyZrrkKogu3LdFPFhvpynprcWgwABKohPmEnhe5GEvXaO
r1w8zYugRnzYLY/TSg4BfFscMkPPm3ZKV2OdY3onfaqLV3A+m+uu7h077RtxaslFcVWZUnFpEWSu
DKnHhllqLcqA43pu5CVCAmbUXVu10a9ICuEG1eaurZWVvkIPo1mYProWgdf450PYAphqgTXDo6Vf
FIJYrWD8kHnscFhjre8/D05qYpcav2cZw6Ez/Oj5mjJxU8uf6kHTA09r/TQwhhsWSypKs6Ze4uPT
z4uqT09ICg83Ee8ZbEwl52cV0DuEQT6HdtvexBgNzKTOlyeJnriLOO31Ux0O5EIL2DJ13C+mrhdV
J/BvNrkv9bYyeJkdBK112qpdDZ3cjU5SkDhbB1ObqX4HTeIh8vj/HmRBvpfHA9+Pg6yrTVJt3s2i
7as46/m3z8Z3InGWZXKWVEbbO4Oz/pPvnSkdccCURXgjImViqsgFn8MsjO/00RLP4pgrUkc5ito9
B1nykcZvCMFojF+BpfwnznccnXeOlLBVVFkyLYmqeCitVKztHSldzJYrRW0tO3by/NTximCKEs1C
KOQ52AVlIXn8qS+sk1gx44mA8fTU0WE4yXoAEh8oFLiXhXKW8aQg/qCcaQ5pT8iiHtkmbOeUwP89
sIbjWu2cqVkMFEwrMHewr6/nRSDEi7o00g+oXDqTIQ4Yy6oC+N60eMFL2rXbB1tGsnzeKDmHPhMC
soNrcpmAKYYWrIAY90gfF3pLF5YBaymMdkyMhTgTppLpJfAFgrUiJdjhDNYHL5BOjAZNsFbG49Qv
ySgSC9gQ2+9aUb/0h1GfJ7E+tD7ZOkPjDhWJjGPV+ddWoM3hFZy0rbhUzdyZ4Ldq5565IG67FFTp
S+5a93Xtn8tJxq5RBgXWPla9RP+nn+BSnM3hA4aTdKTs+zq+bnrm1LNCpjSs85JZ1ehIPhlZPJN0
PO9dQV7piQ52Y8q/+2Fxr3TJmDgi2mpK3zv1ZUGcq2KO4GpgeDOhMmVkgwoVtoM7Mmqh35fqTHPx
GPd0UPKsE8/CNJ6baXVdN/05/qg0J+fgQVJ6k8SNbqtBegrXO7I1nC/mYplHizoU16Ikf1ZND2t3
sHpRTat1oTp3cLRyO6drBfAk1Hl4d7mO6JkZuHO1zNkDvHUV5Oddo4RztWk/gtDfpDAGpoFFOK54
tTIdFOfSi5TLTFU+cvJNZ1ohXeuhdInjyfsyS8t54mnxVMrkBTD77/g0XCZU+065M3lK/aY/cxHB
omAPfQqxkz5UgjHc9rjWL5HcgrOuo5V1W0H7nQe4D83hqx87guYgHAZDoPZL+OJ9ak0tyxOXEnEk
tvDA9ACQk0SpnYUnq+5Z3pYYo+vZrS8WK9Hwl74BuxBNH1vP6iszxW1OxGMug0rVpvGykqjxFPGC
qz3EILt2wDlY+YDA3+Uo+FcGxAudn3+ESyhCsNdvE785D3DLcTr1k5Ipp6VlzHUvj6dp1sS4wxfH
aouruOCeIOe/7F19GaTBEmBm2g8k8QvzfRFAh5FhzvQ5/r9qKn8RW/ci7bXPUqCcxxDlpyYm9jjr
BJfwQBa6JC39xDrFdW4NefFE75PfU71ZR0bzqcTTxja9+tiS0/u6LWY9h5yqztG70UbvbRg7jdds
i5wkXxJj9dRV9XFXhuus78Prvk2VG7e3OgohjIb+JsJHydudh0X3ifrQoqCixIR+N4obLN2K8CzQ
yuhY6BuZ+Zhq067XTpS+n/tDApW0onzST6UrUrfCNOuSu7QfPQVI2WKWQmUePhRz061Jd0nYWlBn
ubYaPVjnMd7tE1PFmTjo2p6qAkbccWlBBM+LZaeGv5tBMVctQZ4Ljn8apWl84ZsWtS+BEU9rx3fs
SNPR2+6MC4QS65nhydG5zDrDoZIt3pRveS+2hRw5p7CFUbOQiOZFYkUCWenui2VAcgud+LNaVhd+
ruIJXFn9ysjNdUUGrei3AT/3cF4mpslO28ZYD5qIaYO70smD21Ug1FAlkbITpBMvdNZWy+yqeuMq
FwIczNERwaTZ9BN4oVKgwVB1KJYR4aIJOoWYk7LKCOn64bIMPMo+sBSGjNDYqVNk0yIrYU5E5KJ9
0epve6OstKnn96dG4NUfkzBberhWrCKNaeXEjjbaXVPkZoXnQtPM3TTGvdCMuzk6JNC5MpLnkqzb
lqMGn9HAQQsv7/yqegMZ26ejj/sTG5SB2xH2eohW7qHlTmWaMdWmll3Zjf0gfjodVU7Ua2iGtrCa
oldsv9jKLx4BhpfmqdJeSmS8pCUaChKdBp61r0RVuqrwEsvkkqPtkDj1l/k0ncqrdg4Z4OStgtPX
ukVULmE+CwXdwLMVkaldyMuJDUd0OJDZ4nF0wTKxiBdQKxbdcb6K58GZf/X0fL9EVPYCJXuFfT3C
b+42HZGxB+fa6/SvfeklxPa6oR0w7S6tOa0Czbl+mrzExPT9AO+hoQcc72cNcLT0q/oemE6Qjnhd
pJItw2KkMAQJraI0cZ8/N6wj8hQ6aNhj4Ec4+aJ7Xt/3a/jwr31n5/Z/CCYywjUkbl5MjW+v5XUn
7LXyohOUI2w+SXYjkIHcB+bJtLjXCSinaQjqSJKF3eFohfjLdQSYJbmknXD/B6Phxx3Bc7187jE5
9Ws9pwQVwbAU1s8DH/RIwx2J1C3+aCDALJ4vn9swj0jMqfrDUedX7AD50CEvHimcvziYoQcDuUNV
xmTOXhco1LBjKUahwS/ZE8x9LFnYaA4bCdKRJev8BxPTgBrB/191BDpaYwIVOsy4CpJG/LWGxMM2
P9pmHNYRypGmYCM7mlONVmujs9vOgLCOTEYJ9BS0qAwyyo89/wttBo9rwyiVclhHiEfAGWgygVyw
ExCwjjDKy64wySBRb0cxBZpcMtDD4yV/oa7A+JF0E1P60J4QSY6ZYDiYSMJKYrPlUV92BSslIm9s
weA/hA+/4KigKwCaHiftY171L4UI0pFMemjsiRHPItp9vWVQPfWcbRwhsj+7SPyJYfMt6OQkE90/
hJv+tnyRrn3zC8/B5usGngKt1f0//0E0ufO9MZP72PL2W2b3t53g4SEWfPHhc2z4cJmnnz893+sr
71zr+aGe/3Hpb4tNcef1Dx/0T3e53sQErdd1gkjdxqs3L2Phby/6j/t5lYb+Nh1+1vyFf+f5yZ23
3/rjjDq09UW9wRFt98bxDR9jt0Obxu2YTovuXzePc+bf0Hz07rxIn9sZB8y3nefQO2dwxF/SYjPs
N/+4wx/a/P8MdPrejT+eGw5teTqOUf9l00+7EFvGoW2v4i+bL4zz55bGHn9qnRjl0Nav6rs6/vL1
3+nOWHxqn+Xy0PbPoG/Q/HNDL26eLeTQxtebbGekPN72SG86tGXy+2m26b7zSsdQ89DWLzZltRm+
80ZHTtKhjZ+m5bvL77/QMbo/tHlKH7/+u9kUzy398UYV9sJDW59uvv7vd9tmJz207TM0RpLNuzHf
5W/c7w2cv2G2nqbB997r3zBTbzcxS+M71kg2JT/bPnfIixfwN8zXxSb6+q+M7vnOejAq+x/6Et6i
dH2LMP7apv0imfnuokgb+mq3ozi2PGVED32S8VLpOzuF4Oam7+63BMTlu+vy6794O9Hu3is9XfXN
UfC9IOkb0sab/27U9+YXCN7Ghu+i7ab47f8AAAD//w==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s-AR">
              <a:solidFill>
                <a:schemeClr val="bg1"/>
              </a:solidFill>
            </a:rPr>
            <a:t>Título del gráfico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regionMap" uniqueId="{982369BB-274D-40E0-B409-C872D1C9BD3C}">
          <cx:dataId val="0"/>
          <cx:layoutPr>
            <cx:geography cultureLanguage="es-ES" cultureRegion="AR" attribution="Con tecnología de Bing">
              <cx:geoCache provider="{E9337A44-BEBE-4D9F-B70C-5C5E7DAFC167}">
                <cx:binary>1HvZctzGtuWvKPTckHNO5InjE9EJoKpYnMRBJKUXBEVSGBJAIpGY/+k+9DfcH+tNybJJSpbs6Hs7
7gk7qKgCUDnsIddae+Ofd/M/7qqH2+7VXFeN/8fd/OvrvO/bf/zyi7/LH+pb/6Yu7jrr7af+zZ2t
f7GfPhV3D7/cd7dT0WS/EITZL3f5bdc/zK//9U/4tezBHtm7276wzdnw0C3nD36oev+Da9+99Or2
vi6auPB9V9z1+NfXx7fN7cfi9auHpi/65XJpH359/eye169+eflL34z6qoKJ9cM9PBugN5KHIcJK
CYmkwoKI168q22RfbwjRGyQwwUhQQgkjWH0d/eS2hl/4PKP//I+vX35vSp8ndHt/3z14Dyv6/O+T
B5/N/8n3d3Zo+sety2AXf32d3A2397Z7/arwNvpyKbKPa0iiz4v+5fm2/+ufL76AbXjxzRPLvNyz
n136xjCJrx+62+r+1v9oJx6N8984if+9DrfLz8Z/vk0/dA76BnHCGFOUhfAXHOS5b0j1hlDFsSQY
K8yQIF8H/+IbP53P9z3jt8de+MVv3/57eUX16rSzXzfle7HxN8OVvuEUY6SQYgIryfE3BgkppQQi
VgrJZQjXv6SKLwZJfjqf71vk63MvTPL1638rm0SQQiGL/JdlUPKGSwbxAVYJZcjZC4uEb1SImAgl
/zrmF1NEt//5f348j++b4utzL0zx9et/L1PkRf3Rdrfrf2WI4DeKwClGlGSSKgR/v7GIhIshHGmQ
0wgOwxeG+UuT+hPjPHn2pYGeXPofbaQ/m9zTgHl2z9+FHPgNpUoKoSTsvuRE0RcGUm+ogMuPtnkZ
Nb+DgD+fzfct8/uDz6b+Px1VbIfb7ra5v/3qoX92gvw3YgqYwvJzUPM3QAVghOf48uvivuTFn4/3
fQN/fe5F2H39+t/K7Af1x9uPQ/dTs//1XUdvqORUEITCECPEACQ8N4MM31DORUiopN87rv7KlL5v
mD+efGGaPy78WxnnbXGXFw2wva9++2dB+detAywM8ZCFoVIhByMBsGNAs56GyaN9SMioDBHg7W+R
3V+a1fcN9OTRFxZ6cuXfykSXQ5NB+OTDf6WN8BsiBX80kRICDi70LdJjYDdBQyG/Pbj+2pS+b6Cn
z76w0NNL/39N9OdHzu+UMr7tb5PPQsUTOv3jq583AMSTF4/+CK1/QQIH97++BrDHIUKe4JHHn3lG
gJ4x0mfPPNz6HvQQiDNGKAchBFMpFLCt16+mhy+X1BspqFAM/uIQ7gEHaGzX5/AYkAAORBkhgjlm
ISDQ16+8HT5fo28ECalUgDillJTR8HeN6K2tlsw2v+/Jb59fNUP91hZN7399LTAM036573HCgjJO
uKKUYQmUQ2H4uVft3e05CFFwO/5fvgwcEekYxiX5VE8q02koi9i0lY0nxZoo7ZXTXlVCN7lotFEz
01KpIhqkOqhtzyM5yG2bubOqHd6VK7rug3rUKa/rDSa0PMSyVRtHmdKmWjYs6Pstb2R/nfVojogZ
co0D01xY665zVxpdBmjRPF0qHdBOXBQBC48rtvKY+oUfNqR4Z4el12RQ6kAqU8fjWmUbbprlrDHj
WTe4SXNnKz10uN5Muc+SNvCz9txvXVAddYY3W1OIeduRrNNdSNMon7CMOald3M/o0A3ze+E6ug1l
l+pBze/Xtc0TPIxKW7LMieJFHQ8mVYehX8XW2L6PO5R3m8k5q8VSC93y9X045DZytXG7LEybozL0
Y6sD7zK98KndqFRl0STTm6nmD2hQR2ppfGTpkDSG5XHD+nIb0ADpYfLuHS8CF6fF+C5YrLqbgnQ4
LNTQJmry7a6v0jFRLOMbNIgHU4V0P3bpdc6d0cL1RldDd7bSMNWrWvqIKYO2LWrWg3Gs7+dJFdui
D6ttx/pD+fisVzKSbZDpVRTvjOinU0fDIJm8HyNVYhH7olvPgpIWh11VPZRllu2y0g27ds4Grfha
aO9ZnrA+kMdLuJ7VTWs3LmP4iKWm1FOXXWd5NsdDsT7UosquSMZGPZT5HA2rqSKpULXv+pq/Q3Zc
E5N5H1V4cTf5BDZbu/7CYVNGI5M3hWiXOzuxLDFomiLPRhv7cDGbxmbBBuBJo9GY2sSSZj4YK/BI
N61BLHkXbrCfh6id0m6DncsjOrolbssFHaUBUVoyc4a6eTjpebGbh+FIqvls5eRDH+Jeg8aVRk7V
RxUi7b3rbKNV076fjcmu2zoskjpl3S4wQm3HnM0bk1azHoTBUe7DIWlNulOLsne27Iu3/eTGC2e9
OK2cyuM8JJ8GjtNNkdpJp6bJomXmWWxM39xQYVgy+irbBk2HY7SWN6StWz0Zc5p3bjcuHazTmb2y
E4rW0mxWXrDdmrWghJbj23QpbgPV9TrN0+Eit+NyHdaSRkVjjszMYadaOWqH5iVeeqGicey8xty2
mklXRQHHpzRvbkheXIRL8y6f14t8Ltuoti3SbFD1NuwmETXTBB7lBrU1oT8PlJyisQ9vl8HTfU7R
x3wd9mYN3K4siIo6g+kllXWlw44suuuqWneZOOl7ULTrjp0Nuck1KeScpGmY6To1U1Qrlzi3dJe4
UXlSktrrQvIj3KLgrB9rt++yLN1bn38qTH3Nh6qOmvrRTpmrtV+QebcUpYuIGAONa2LPFs5lEpDs
oK5SpINctnEdGKJDbtdI4uDSdDA2RuuJ8FUV0wYVEaOi07b0TivMTdI0lG7M3Nxjn58yTNVWdivW
gtP+aFjyMpopLLLu0w9h7u98512UW2oiGEEcgip6Tazt4xBAweGQisuqQPx0mFXSl6bVuUI3fWlX
3eLGRWsYlhErFhZTQwtdKXFD+3I/zf1DlmXjPszNTa9Kspe0Idp367sxcB/mET84UnxCk810ZqTd
FF5McVv4KiorPCS2r9XhuKYfK1lwPeZldjLM2duS2COPndrhFZ+vlT2oJhScELvYK+uqajssKT3K
Srybi6aNnVvbKA/CIaqWRcaTbagGrGPjPk/HaKjsyuBAcfMGD8hbraRUkWnHTV+Sdm+X1WmimsM5
ZF6PqbroZzLrVIr3remjrpmPprTdD2ZYdcrWDa4eB5tzo4tJqiPMWMznItOSTknJu5vJBttgYhg8
yr21HUW6bLsdNUsRlZRYPS7j8QApDbJxdz/L/HRiXhwTh8k2zYOYrivVHRluxQwhzPLDqrtGPdgU
Badpt3yYFppD7K9XbC2IpjTvNHJdfTTXozwUdCS6KpfDfqRGt2N2M/QDjlpqSVykzUbkwRyZMMAR
r4WPZNpN4H3Ea95yGZma3PfpcBp0ftKmtujAjZzvWZWSCBf9vk0ro8245q0uS1hxnU923zTobmLT
FXJLu83Vku6atWPa9Z3aFRXbe4W9NgiZbchIrnsjc40WOsccVzyq19wla7C44z4t3s8SL8lU+1UX
zh36IfCbvk3PO+Wv3EIhadTiruczve2awemhbhvtlrU7VEtHtGDYR+m69AlDg99InJEP2biqZF3Z
WWoN07mZlK4m3yeuHO+DMTsrp7qLRl4dp8p1UVuUfktzuuzcpJaEyIm9b1XgLmccXFE2Xxaoukhz
ow5laoJoFE1Y6LVXpwCu70cT7DIRVJrWy60hOIinsHC6HIJdGcpYhe6iZcONF+1lvQznxRwcpba4
YZm7blB4v1IV6KzHbtcGBsUqWGBtJbqjBhy2Ru48mzsWK9Wqy2Ch95Wq+EYgNCQZLC9qbDNv2Npn
usNBrdc8VxpX4JA5ZCZdte4iq0Jw/Exe86w4XE0OB/1S3IyqKSJvylLLPEiTeha9blPmdjOBO1iO
qRbhxKLeVihpwAZJWrRvi3A+Yo62AIuGMx9OF91ibCwNZzpb0l4vtrsafH6LQ9ZrNLR3a1bMurfu
Ropxv8pAbAdj8qii6kwt9nZ6DEVV79YaQoxldCcr/7YflvNMoUmTyQR6DYqrkPNTG9bbrC8OcWs2
hTNXtVyvWRemG1N1py5EN6ycWUTX+bLzdl9W9tShBWBVzx9MO4+atsRuqXIowll/M6DhfY54n/TM
FXoI8W3B21ln7XiqyHiOvSSa1wxg6uI7nQq240utNmHL3vuSWW3MeOdTvGzwKGud+/ajh5wY1YGA
vL3YEg49McJhGtaR8szGmUN3qewvOmQf0rUpY5rygzUYT3mGkqVntS5d6qKKsBzwKLlmZXuDsiKP
n1YRnwHzO9suXZHlv9Vvf//4r+OvReHPRb0/vn+sAP/x6bR9aC767uGhP75tX975SKN+vxV4wG+0
6pG4PPvwDY/6E6b0pdD8Jxef0ahndPGrlvGZYQB3+b2I/A2D+l1I/YN3CXjgK33ib7AiUCok/JGg
KAEyxm/0SeE3IRAXqJUj9rkkApd+o0/4DXAaCmRGCBQCQ8IgTn1lT/wNwvAU/FKogGAp/LfYExRd
nnAnDrwcipjwR4ISJoCuwUBPudNou3RxpZdxOpvxiC5TuWlRvW6nEdDLk235DlEjjzzsD572OJZC
lHJEJBZQJeWwS0/HYiuZbM4qHBPrhsNl7PmeVKbT9Wc4sLijNRetVlN+PmPAQYOQn9o5fG9danUp
pktVVYcoyBrdp5PQZT5kOlDlslfUfygKc5f6edFFXcyRnLr0LA+pj3NFDNaIpKUOavRQ4mo4//Gy
gE6/XBX0AgjQqoAkY8XQ81UVqcjBVo8AYUJ8VyxqTpDjAbBAnNa6X4P+gfswP/rxqN/YLUQwYIgQ
f+TdmLwY1WaT47JvwG49BnRsax5NHSWJtSJMfjwUBkH66Qq5hJJ3yBGHAwdcVcoX/HqpHMrnboAV
pqbbjAUZksAs686PtThaFlXGmZzZbmZ+uC6qpdpA90a7n6zKb0lZQA778XxebDh/1G0xKBGPogLl
gj9O9wndn4gphpkEKO6oxAdk8mOMuHDvXdHZ/YCH6nRuKrP5W4MqLqB+DBoICBeEhZi+GHSZgKPw
fJZxKCbxsHa4P7LMuljki1n0XIah7qqfWvnl1n8ZVkAfClchE5Arnq9V9ssUAtIkCQgX04aN3ieD
AFyde+J2wwJ6QMnHT2OJ8EHd8myjAhJsvTIgSyA/rX9v5x9nI6GQCN6ABQvh/+ezWaCiBxzHAO4A
yLn1oJZE3of3+SPgS9d0m+fky6HyRQn+Ts6AFPjU9T6PKBEhnISQ9OTLEfuAjVMIdD02wzK9lSqj
mxVgbpyBcsLGLvhoGjd+HLwqdd+t6OrHRn8RZF9Gf6ybIgERLtSL3a8knSs4esM4HWpZ6dZN0wGI
CylJuiacfztA/3StL/z6cbQQg3NJCStVcCo8312Ex7bkdSvjLnXraWdyelSXwJMar1di648EUtlP
vPp7/hXCkBDiggtEBIh7T2NpMYXlaw0WDRAuHhhf8L7mTbkPBjbeNe0a7kZVu8NhGruDbiLVoSTg
gm5su8uVZuL4x/uN2Xd2/Nl8XoRZVazWrFig2E8AOHFzZIGWRjSY4ECa49w2SnfeF5qSi6Ih+2Ho
9FQDulenbXHQLFfNsMXmpm3RSR0CMWnyg3KxXqsgv+mzQhfdnDRAQyaIHhOgRPr1EwM1sGhv5+pi
6Hud4zGu8C1DO4BgkUU28biMbFrfiSKNXaOOrcq2Bb1sUL7JhjQaJ9AkmKx3QT7GQFk3rHRJOOB9
0VUHI7NRsPpzYUXiYG7O+EOE/WHG7F2O5lV3+XJl2vSWFv1B3lRj0nYk0LzLT6ld7+cZxCSPSK9L
1nPYk7SL7BqaJEVL1GSLLqvw0MAXcZ5/qqnUy1puy6XY9iw9hTN/W5Z2j2t7gPpZTw5vWXUGHFg3
wZCUc52sco7msd4UEm2c8kmfXw9Bqjm+HNolmrs5bkZQCUej12bc8HTVfvVx6uwp+C+IJeYINI64
aIOkteQ8zcJTW1ZHI0oBnVYuNlV5aMcqIh3SBPxZu1UmjfVR0IHkaeyuM3JbrEOCoLyjF9lGXdZd
TRS/FWn6IevumvkdzR780upuyc4GQ095j64DuAEW9j4cMxPJqk6sGd4PFG+qYdFeZHkMx+/5TzwT
vQAvn6MTggTK84//ATR7Hiksb+xUBKCxeme3jqhdk9f3iyeH69CImLejJllwXxJ0KBuuscq3fcri
ImcA85ukAtbI+qgoGi1dEfGxiRgYYBrPgz47TG2+KcbLfri2NN1M4P7FSPZ9VmvR35XqUKi4nIaI
KxTb/Cidj0yW1G7ctFImnTsM2bGQZSTGD91Sg1zoDoNOacKKiBYmEU08tVfpvLMki7PWH4yt2fLC
bMZBbdAkP5XznqzkXZY53RQhOyxSbrdyMW2CwvphmfCdwTmcceFwOfL8LrPuZFhUbO37vMsOhgCk
LlHGXdNEJWi1ZTicGu80btlRN1WbZQh0J5XVFe6OaVvmep3To9UuQA6HLfCdBIJ+X4GiWoO/hX46
coUBElSKe0DVIEq0/Waeroc5TSbw2ajNm12T2WMxz1bnodN1kb4tenLmUPUQqHY3l8H2x8anjx0w
L48hRSAtkxC6yQh5afxSonAAdwth/wTVtcM+LvDstWgnAK3NcR+Yg6JHcVgE25S2N9b7uymVFykt
33WmCRLgwaeWBlxbPmk5ATBs2/SM1D34gENYE5AucmCwuGGX+RgmFQqrZPA1aLV2u1bTdqDjBOFO
zsnEtUfrDq3oHCRuyDDJ4i7bTGhqIcH1x3gCnaSLV2/iZQa9SOCoU31UWqzr8LAVhcYkiCRzB9KB
ikm3KUfapdVFi/vz0j1QeVqNBWgxuxbyYQMnq6nednJD033ZDZr3Z6u4ZqAB96a9KBZxY+tPqcwO
PJxXadiBFxe7hdfHPQ6Oa8U3mSmi0EDg1wukkzyCygMoDlI3JeTGOtBS+LhaBlCzyVvR9LFZs31G
+KJHLvYgj0VoTk+qvowl7U8K5cEBp2PC+i1Kh6Rai+sgW25Ik+1ATt1Y32zWOt9BPeO8gDNryVqg
0Gl6Bz8Ec8fTWTVU56xP500OioieFP449fzIV/kR5LkL1feThjap83AQyTq7KS6LYo0aPqVRxrKL
YDFXYj0Myl2vQKxJm/VT3gcfDL/H00FeXysRaF8vR3ag8dofgdxwiENYT881dRAoQRsVpNsJVL7l
xn0AHLVZVZosfNmT1B916YGdr1h+ymEv6buw6U+a0gzxVLRYL8EVSZMyuCprfjIRmdBUXLfpavU8
dLmmc3+zQvWl7Jzmo9BjG+aRW/k5lxI8h++6ctzOrNxhiHuf+l1RwwE3x7XYiibYZGy46txlxujR
ks3JkleXRerh9El6frqq4GRBPMrxcuBDrtNW7ObKAxcAAaO6NU2oiwqKGikAh7O8O17lJ1Jdpjjf
MpZvxVRDghQ7EfZxZpzOhkGvtD9gBTuZCnfT0CFybaCFOAGEV+q1BHl5zT7xAo4kBJMO3vFhjrs2
1Kyqdq3qoqylcRWqXQ4a7BjMWpaZrpY06tLswHZVVPhgj9droDPb1N+X9Q3smXbBtMH4Q+P4hjhQ
Z1tyzh20qy/4uJpFnEORj9dgZyhtDOKSY7eZyVVAsLZuiQZGtpk6r1sfz5mLsgodlpgnc2Dfeudj
hdMjbqhmtYlmLKIsNwc5F289OMQaHI+K6kG+D8R9MRQbE47JJBIPwmEvSAz6cZwTGq1DHk8Zn6Kq
8g92fV9XQzRkl91y7CHXQN+Y7uiox36NJs7f13KOVXHCebBZG4CJYw5C8rBtQa4LRXahuI8nqAVV
CpR+E0Z0AAggb2uBdF6JiFVSZwhcZ75fsbnOUL4rMg7JQ8SkNie0SHWYT0m6gCPNNBm6btei7DxF
HExj6mShIL2vkm8BE+9FWt8EfDlJ6w7yRpCMA9fhUsTzwjvYdWDhrEooHoGvk/aBlX7HygmMNNpk
WkDyrhToZD7cEDaclLl4aNbxaIZ9KJdjPvod7/M9p+27EqO4rbttO0lwXJHkUGuCgHyoXHog5mxb
eQURPWXgtS3/MLVlH6UiOGrAtiWWERv6aJbDRZoFhW74fLkU+Wbuui0Q36sRSpoYTpRwrQ/96qB2
OQUsNqIDodOpnzHq78BcFQKhAB2EUszDF0rI0Lt5MhWoLn05jqcZWcgOlOAcSpRQXkBudduxXE0y
YbyCwhlyqL5Sual4Pyd1pjCJRF+IU1PJPu4HxqIfn3efWeUToeYR6yjFCEdARSSHxsPnWGcGzaGQ
Ywk8L0PD4QB10A3Ez5pAsZlGYZM2+1LWc0RtT88HQmgsV1ps0n58yHPUHS9rJTaSB/Igg6IVhHhG
9utKhq2ZKihDpOUwXfi6X3/CHr7DFZ/MWqIX/KmVSw+9CcCf0npO9/3IOxOFrl9uxyUFEbQtWHlQ
VrlnWplMAIfriuAnhPHbKcCbI9AHQAAjwKsh6pHiPZEmchdmpppCEatyaE+9YX2S88zGNGNoLzGp
zrCj1U1Qzn5Lirbd/9hwz2EKNEJgTKAN51HOg4Y2aIp/Pryq2jAQc/co5qk17nsUnuestIeukYsO
8CeUlWmEg9Dt/va4LITSF5YMhArow38+bh2kjGU2EHFVkPDEhXz8IKEvSA/ZCknCh2zfrtBHMK58
uvl/GvmlPhIWBQvsAPx1XUJ7IEjQJHgVeD8Gym1FD8oZANEpv6OyMNc/GfpxN/+Iks+7zYmE+hLB
DERU8hjkT4xdZ0EwidCgRK0UMkWRBO1lRWGjs35TSbHnBKpW/XoA9cXTqiuhv8XASzPq7eI/FrmD
clV/Oju/GQB349ZFhTDHVKbQhREmfYqhbGe3aXdCh2Zjmj0Uujei3kMzQzRDOwhwoe2aiqOwnTcC
sNGar9d+ZBtV+A3lwaEKfBLgZTvN92VxZgPQ5ApyourlQJVCI6pOlrSIaji3V+yPsJ+SAroKpjHQ
ZdNtcvqJ58Vj38xhb/12GliUc7wBSF5ad0DcGmpqCgBgUIgJN13Bt6ZkR8gdia7SVVHvTQedBoX8
IGYGYii+hvL4nnOsV9RG/SAvfmyJz8rIDyzxUpyjA2iSS1aD3zvqva4ZnXeLWsgeSeTuBc3Uls/B
GEO/BN/5avYJaFfm3Y9n8Tynf3YHiUCSfMzpRKHP6vcTdzCyFk0ZgCJraOAiIAxdFOSEgErX8uTH
Q31nwZRDYyQoggxkdHix5bnriYBOdITmqrhlvntbNk0FXI/xnkRuJF25m5qGgbXpJxA5/LwPq0yS
SIlq8T9RBB8Pqmc7zwi8EUUZ9AGCSokf34d6GgO2At/IQDiLQXanx+XS91e+4o0eQ1sf47JqfpJp
oLjxzYDQBS9AhYa3feA1q8frT3a5WmuSAoAjgJ8mklR9azRM0Wym1qUPvuxkDqAcmeO8LKHynQ1l
EKHAjCzhvrY3qE9EdtxJx6HOu54TjgEBdUlHofD7YxPB6xXfTpUiCm/CgCtwBIrpC22tD2snbT1k
yUyr+QCaJxjSyPRGJdCQ01ysS7XeA8gMt3Yuy9jKlp92jFkQWybLSYSKqULaVut4iYpxLiI3dbYD
lqeaqxqlyxKNbeqvfUfKRARtdR8OTg46H0rVajikAG11c61SrRRtSqAFlH4UfWYuGyi93xV+5Vtg
VOQ8dHJ9VzYZPmxsWjTQ3GGl0cqCYxVLNl2brC72dJD+GnRJvJmgITcHMj/ZuwDajnI9FIx1Giq3
VEV930Fm66csH4FslV0ig7a5CFUL9RoOJ989m1uT6THD62EWYLtbyik98WmLPzIfmGTxtLwN25C9
IyVfzvuW0sOFhdD9VbpOnS+UmXcCpU3iMgrtX/BK2MFYFPO1dYYdLWloTz1m7XZI8ywR1IWf3DKr
KE1hAzRqYJ8jNTXpKXTk2Ju8rZvjDrL40WQaGzcGl5sQh+1Zz5Rl0OSWd42uPSl1ucr+rC/mhu3k
AB1GuJnktFlhdBQB8wovMjujbd2m0FKVzgjdu4p26JDx1iczQdUmU3l1lhLf/V+KzmtJUhwKol9E
hPDwiivbVdXevBBtZoWRAYGQ4Os3620idrqnCmTuzTx596KDRv9MYcjPge7FYRA8foidfjxJB/2e
ZhY7dIintTJ+Exb4/q1fREMim0fHeFMexqkr5kPcjNuUay+Yhv5BABLcCtI3kzDok93afvb+toBf
C1c7z/XZq/3oG/YG9T88ClgzLVE3QvHjbVqbg/AbYGPclc5fI8kmMqeT2i38oaW/qauHL+IQZ8na
yTcrRIso/DfrbfxWSxR0ubJhfZHKtm8+C+5yZrKNBevnAOswXdJ9hHVTeErSaiaTe6qZJKVipt8z
rsl+m3zvweGDc9zCeDowVAtl4wX02AyqKZJa9S9R4E3fbiNoNkyOQgml2l04ag5CzKdlHXrLsY4i
/ZguQ5wtY6w+au25pyZOW55RZ6qrcAu7Rz+GCLWsv0HoROvBuiH5ChPweNyOg5fHiwVkkBogTLZN
8TV128ef2pvcisZLcrIxlcdodBK/GFHRFk7kLJXwmLfrwIXtdWDnCr6fOfuMeXh9YQTvckAlwlAS
bW3Kv8DTSPCJEf2b0nl9njpPAPRx5qHNEoMrlWszFJvd5ipuV1bg6o8ORHH90llpbq3F42B9W7/x
vvZO3Sj9XA1GnYWXQHFrlN5etEmHH+vQZM5QHLIGciqJ+0Jv/npaNcUCJwPZ1mydIBGC801Ao4Rd
1a8ef2Ic6yzTgxtngB2DV7K4/odap+Q89gnogz6uYUHMTuNnpB3i06aU+7JM+AuZlot80TRxdzyO
9KuPWuQcKy8+MmyOJ7mQ6WluoWFlPmXrzQjp7sNtjC9ASSaasyCxzwFe9JkvY39upo0fsauwgIO7
bkOiZX4e1nm6Ms+ty7iBUNg2wkGz2/QRWMt6AMYiVeN8Lcpj1+X+r0dLwgodL3NhPBeXAZ3Q2bfW
3QfcCd5N39FPqPDLgwCjG2ZihlrvGW2O2xjxT7XEUE5HPzTLuW786ETqkaOUMMtOirkpXEARFZOc
50BNwJa6WrCTiR3XZi6toQFPRE49iqJaPvV9Ct07DS35DDffPzckEeeGO+ELqzt6ANAl/hT66j5P
E387S7yYJznx7g2spC6oSFhf9HVDQNEMo/hhITd417WMK7XBbxs3i5KrJeFZ+i3kgbmh4c8CfOvF
hCvuHDsND/Dip5sKZvfYQW6HOE6W5S30iXMggninsQfnmyX1phlscxEeeyBpNxsLe41HqR/RJaUm
T4mC1btF8i0Sw7VOBo4eNJwLYJLqaeKJL0EGRQIXKxhmJ0T1fwIRAdCo9/z22wR+/DVCmqMZLCU1
ZEsXRP/FoV52s081y6MA5eM2rDGktiGy7YEt9bZk1AjgLsrfggvcnPnNxx/XDEajexw6tb3NLj5l
F24M+joECwPRaK0vorbSZqMIu9819jYYhvVmzxBuZz9zg8WleQteExpkHarCjbq0sngrz8QR4y2x
Zr6OzbC9Tf6aApOeXMi1wjU3nTRrl3mop/C0Bo7GgroOzskAzg/VS7JLW7d/IE7Niy2h46HzqMF9
HsS5anWz69mgoEikyQQpIUjOEZVu3qciPC9zm+zayY0fk81Vx350RY47LizbsI7+NmCGT3GCw3NZ
hvSYkrXLyeb1r00kh1fwmf3V7e1Y1rNcoQfO9h3bGB5PV5NS+32Qb0uSHDwdxfkqtuAjVMPw5BHl
AFlexMUEbY394QZ3MYh6bwm+T+7NEZ6MUkPwpScseC+e0Do3Q6shBVvoWwxvoLSGPNgJykrIviOe
XGkEHnoUt4A4pbvgqvVaiHlPS0DyCWK2SfdomaukE6cmxK/AaT7jRuq/7s6O43pFEAIdhBc1tkei
HwZ53QIvF/NT3FVkeANgny/O2e+uxD+I4JxON+hyhL14pJzsDYoVWf/68dmSKmoLoU+CHgc4BzXX
OXX2AXA7/5VO/8YhZ3MLmOxa61vAjo54ioDIxu45dOfCD5t8wyql7tnd/vXhr9xOY3zomh9UirmZ
7EGPXj5FpHSjoWAUdkQ0vdMA1cPV+HMO6WY3OwJYCgg2uxccYiWu+EKk8VQKnEoXM/mPThvk7diV
jc8eSbzmDSyyllx6+tXXfoGFXcR8BsLmZMF83Ri2dc3zSeS0O050KaXwCmKPneeWSdDioHJzz4Ma
rxQe54fHXhncPXa3T4O9SS+6C/ECAOb2ONmtBrOPp2Kc3w0lNPjbf41vAY76/7ygKzqLW2utS+o9
muan7l9wdC8o3/DrktJ3RBU74VvqoKk3ywnQya2NZOaB4I7Ex9BEVd/rB39WD1bEucZ2cTuem6HU
esB3CHA8PRDTPwMqL5poyzy8G0X4+1qvueey8+qQE1fqEk7sKYXhPZvpsYOat9Xm6jv21E817vcN
EQg8aRTr66jPg4zBk37xdnrhXL13SZotgdgFZMaPvalu8rPVqjPdYGU2/7FtvIh5wdrEgWq7HSEX
r4Y22/vPLNW7tEPn2jSZ3WQRBqoE1bLziFc4cqwG/tOpG+VvLmoDNrWV0D+oRMsk+tM9fQBuPoUo
4GdzgJL3L+hvK7k2EobFCgB/jCBaq6OubdZRaK8G/oIbHepwm6EUXKhkOzbi+hBTxVn/2ExzNo/i
EnXNi8tpnHfYZ3473tbBzzvhXMh24mhlN4dXopWFDMNiqJ2dZaF5CHADMeqXwdT/NiOvtDNXtOsO
CJRkI0uyesMxhqOwTW9uOu3qFEqpO0Kv/oiHx0mkOwL5O4Rcmsgwi3xRdoTksh/zQMWXTZPMt0kG
DPw0Q8Efhu8UPUbv41SycYbOONfLVRKa9+1yw0fOnPG97f5i8mdbtnO3Bg9grExi4QCy22KhrFqz
gxtYbulw9e8C9rTSzGuuTaBs1jjBrrXDA1czhMcFHfyUB7TP/GAtWqYz39yrileIEI/zBtVexgUh
K8jSZW8cwKMmm3qS476HVUbLSbygToIyjkyQ3CPBs4/JjvU2U1uzl/WWu2rb+WbOWoCv3ZQWce3i
IR/75t/mXuZU7vsEbu5/un2L4yOHaK3x4rzT0J0BqudB/8FXtL6vvqmrKSpTgdPvs52DSkIPB8wk
sgB+He6FJOF9NhONTbOeY4dUTCio/t7LHPMKw2Yyak9eYDJnwSOux5LLJReRzdX9tCAAgce31Dx6
WFpNx3LudyVVj+Pywuc328YFC9MSk20yU8P2Ddi58dz9CI6Z91PuLTSvWVAZ1PdoKsppUX7mORBs
Obiu9M6DezaphmhC9Q5QeLpRJQqGD9K5wPGvEVJVckAqiYfVio4KVWS+sv/4sGUJOSny7iaPKZdZ
qEVuFqzWvwQxFP0d+lUkHww9OaPO3GQXd7yK1JINXVl7Lb40Lciyb9w2w82Veh8JLx0IhwpcOFzL
ysY3lKp7zT8Wv3TrY23f4COWrni07dcoD4hMYam1BR/LVn8I62S9XDLTXcf01Kd7ivMA/Xcfnrpu
unhjkXQtiN9rF71483oeyRNhnxK2KGlOVDyvuOSpSQsz9zuKXrVH6AOKW7HFXunD13bquTRNmymc
v9LFXRfiiyh4LnBMYo+XbTpjDaqiQX+jlyzqPkXs5ing+BQelcdpHtELY/IECR8GLTIns87jQWLX
j3nUxHndPsfNC2VPsfvEyE0yyBojqIMeiTJSIpmAbWxymV5i582Z1zJy1alxX4xA2kwQVDB/xv/H
qZfDDsnkhhNkfnFJnwn6Oi7/gemP4e4qmQLwHzKA3zpsT/BDkTT4YOqt9nTVpQ/Ed46AyItlBFfI
TZY2XsW3JJ+pfxjktg8ABKTqcUVAKoqb50ADRmjD0nOSMqW/gp9sGh5q6AiWvTD9T3emdNv2mbdn
i21rB1jCk9hNdDouJsXz/R1pkluzlo4i4ByQgbJ/zWDQZX0jKYUC8xx4FwIPz6y/nOxprTPJRWZr
mgk4SZp8b+i6BhwRkiD3Vad52G5lEL4yFWZpkCBn0+984DMJ0gJOchvh7FLXrSbh7RB32fEoBfyA
lIwMbnw6+j7KVzBtcFo03nVkujKJ/9kUrv8HMQlwhTGX3sEGDDwO8PXkv1Y5mZSv8/ARJP9M/SMN
z9FzZ24fFmx7gAsx2uR1cb8wZis3BFLr/T36+7aLAaa+hPLdbxh4grUIIdAuUu7cLi0GdBCt1QVi
KY3509F/dy8WCqdXf1uO5RI/jd5/Q/0BSSZfY7iUnD9qjYUY06vH1jIeepx1YeYYP0cVfGzaty75
UX5aTBrpizjJXdAomgS5u2i8aHE/cioHzwyeGk7X+qzsf7QNq8V5aTjgWtRPgfMXyK+6e+LLY9/3
Gbj0DOXMPvFUGSCVRtytEsigBPuucXcwoAvX3zvAM+G6dfZ1nrfdjAYlmray0xFwidPC0MXFlQZ0
JVMcVeEvib+C9rxZisgPyJMUwTgXZRE+TpNr++AJr0SttNvIZxz+JgrNa5oWNQ4QD8dS20Sl1E9s
e3MmWMO6G4pIodK0yAghOZGqe23iVikUNDo+dQQyj+LR473TGrf1OEY37nRVEDmVRbxvoy9sEoWX
kMu4LehR4tz4sgBD8er3FguClZ78jKd/iiE/ykY42zzvHHXYUKHw9BAleKgBWDF6btAvgemDfMXm
n8GjOQ/MvuueUkbzeFur3o3fLfuiYVKI7TnU3nVJ52JcUD1BzeiWtJIc9lkEZMbbSgRYM2A/RwE/
iW8PVOCKMW96vKIbqQB7lwMpm+FPjP57I9XHOhw0Hr0I53yb0tyb+ENHdCGds22eLVBq3sCMffHl
kaLCQPY03SyKcgGXmOGpmWx2uxNtlwfaPmu24pEjphSmv2FtC4sAk67TzAwQnR+dLdwjCnZoupua
DgGtId7BvPTIW2q7yzLLSobuZWTy5lovV1H8arogcycQLLxGsmNCGa8zTyFYtXoZ5aqA5Vixhu6Q
e0AqSj2iia6ohzO+nU9sDcoUZEDfIhcW2qolQVgspH2L+vrXHd9Xe3XvZe/8a8XRiL8YnKpJnCLw
WqzHJf5yge5I883T+SjNtoN+mA1b9IDIyaHb3JM0IQr6tt5pxSsoAXsnis6Q1zNDcGeyuBjbBZ75
vB0hQR3HZjmk9CbUVIV9cvZDmXutvDAl74U3CuzkBQDcjkXdPnHdoy/rggXrwXACo36tnEnuiXuO
pwX/ucnjBNkSB1lggLasAWMVbAXDVTmpn7Gv8Xb7PfUfoMyXC7moDe+ox652VE5AT8Y4TcGOHscJ
vOCCAs3d9mHDijA8sxXKFopdGaDqRfCI8ScKWUymRxbEpQ5whTFCQFe4esxdTatONBQBwbEw6bZl
m/6ch7/IQV+SSg6dcSZ9XgMJmz10K1RFOZEIayL/03o3x/2d5h0s9WrrRLkuYyXWCGeuxfGz7TrY
ggAY8wAXugeGvffjHei9XQrFSUlZweOEiu1lMlrKNm53TreVq4sbWSNQNq8XHg4g4P2qSfFzXnSY
g6VA73vWsXkP6HYbk9oHteKeyWrfVvcf+BGE9AKRFumgH+JkvECyzOPoy2fYAffQ85Jcl5n+aWl2
SAc+LUmEUwGvwepq6N4jloQ5NR0ASdyA7Tx982mYM391/m1oE1O8oFrFrwsPPShCC8tCgeN4jZN3
KpsXZ/tT8Vu3ArSbr63b7cwcl179yxV59dwlyRiXAUiT2i1RR34jABJeExHhXY6x3QO5/69zAKY4
CLxNn04ACzv6ZegHwQ+wfFQ6RDlGznxKd0zGjwOSfunUA8DyDz05hfe2akhvDZZobfE11BxOGZjS
0yraF+iXu3Rys7SNIUgx4NSRrIzqchgun6Hwf4xw8ckg+0xIiqOUufEmPKZuT/aO++WH8c1BHWG3
9jBFtiJqbksDAWZstlsP8oTRKJc0zRBWzRZ3ONZL9xEN7Wcwo2gDWLuliJv0oSxW3ISugZRM2ylH
xjsb2/2k/b92Bj7V0hnLCzk+pctmMw/h4AA42f5alE3hnB7FJOFQtgBCv6LYYhFF+5GSQqj6Etjx
QQELMOY2Cf+xQ2h39M8WB546WWsgoqKfWoMqQqqqHxHapT+J5qU3/gH8OUfxkntyygKgQV2Y7In5
tuAhBGrFDQc3LpXHBnV07FwDMR7ljOu5SzLolYeR6j9eD/sVLZJn1amr24d2jPYDa47JmpxTKxWq
+Hk4CqlRfyy6zZXcwMSYCPHUtkLBUtXYmf1IlgMy6Bkyesc+drp8dbZKxe41TVwMD9BodWXjN7s4
MWfRxQecM5kXLqUI1lMCX6FyaPTRELGfZzjamY1bKDWimbGoufjBKEP32ecpz6QfHMceWDOU1XEs
wBOtqLHU1Y97+efaGYHJJv0GuthdtlWyP13jMXcI5YHmg0UR9fOfDB1cuY16nKL5sKrUA3uzzebV
E5FfAZXFNuN+AOESpwHxV73zaOvgx5vmtXfEa4/u/p8NW6nR34fyTJnxLwGQ32dB6/Smeyf59PpB
gh71wjlzx/B7rL03HY1VPPBrvZKq1i52SVqjdF1W5+AMKFx8toCQbO66P9z8yxowga/eqWcaLf51
ikMMehiSOifpePNau2a0C9LcFfK5CSAOYbuMAF3ai6L1Z48kH0NLBxueqm7OuBt/L2ma5o3fYhPe
k3Y9pJip0wh7aw/1wkaCs+/FNQRP8bKOojTBjFuv306NiESF41M8rSBGshY8buibax8lp6nVQdnD
3/lBYhTaEu2P7RK/RYvAbqEDnHuRLM+Mpv6roahMvEYjrTouaT51uGrNCGEX8sjgsencMrbuNHBG
TBWw5yjRz75VX4Jvf9O2RAjZz/s+pg+0k9c2joqxm8fHwLQrNLYGKvBG+iJsApoPUXdYWcOLEZLr
xz2zkFnayEz1dY+9DbBmiTp0fOkQVWAEe8w0GAfkm4Mi8bXMfZxkdbRVnauik7EKvd6K1Bdhy9MY
Ng89bk5l6mceRO9GRhe+NqXtgoPqvE/XZ0nFKe7ScYpxQvnJgaX1ayQmsh/QyjuC/VsIZiqAupih
kqP9J9H6qh0vLJvVmwur0WKr6bRELY4ut8TYj8uQDDcSOKxcBwdZ6mRQWeLMuB+sdXfG6K3oZ/XX
Y7YEHqVaMFuB/80jeU0Qcy5BAg7FgKfPOxrvkxFUqkyDj1HIc9rgL6cti6uBto9xgwkgOIpaAilm
7ukpiGEiOC3zCy06A8Yqgri/duQ5UZ098QRoHlGLd9hWPlwdcMb5jC6zCJMYIrOQAOfEfen0cH4z
JKv3FJ0gHAoXMVPQyZC1cPLDtFvBW3Xe2soSyjOp+sBti2QQEPAkz1ag4hgsIeZfX2+iDImfxQyd
oGUdJmp4Qu6blQRvYVozSHlAjx5lY9IxH+XSfikxDoinm8BjhVVbslZ+xCcIXBEVa+EuEbo0HnT/
FLEhRI2Gjc+xSQKB0QbW3wfGTR9d1SwDel+Ks0awxCTf6YAuAZVWSuOSgauH8DslyxW5f10ICqO7
8xfxado0/AOODqR9w0wODzI0qWK1uDg1CbqgYsMVCJVrniEWRw5/DsgwdKeku9962I1u97UggAtn
HO7X3ib3ntogWw8+JEYDWfusWDQqJRhfpz5gGiXZ+KbYcFy9EBGQ/tkNlcF6j+bT0KfYCHX/vC76
v0gEhbuGFe+jwzba0va41FohLoESZzS2F6e3tz7SZ7gk34MZbiF1Lo6VJ9hmfWZ0U8I33rXSVnjN
/3Wu96JbtEbzSD8SZkOocISi64YYwdPlkybbfnHY+0LofbFWoTeVAflrYCtFYXMKOIIkDm0Oc0yd
rCEer0gPVhhHbVpE/VbJGLHyiPcUp6E4DhO7ScrRwfhliPkkaw1WdllOyfqfG3KEZdxb3/lowRDb
ptH81unQnJfRW/d+mvx2c/jdIj3iDcgsyAkigPJOcImywKL8aqfPuQ++7ayPduovSJ/o775r2Y0i
LOlmSbx4aB8wcUegT+qV/QB2pVQ5xQl+mxOqFat7TvYdxOGjs2IWgfFkmAMuPfnrWrWbYBD2YY61
0n1ep8HJByt+MdQhB2GAXxrFG8LPKRLWVF8FBE/w0jPwGBxTl5GP3oA5KNvw3EF+gDzcpc5xSpOH
bVRINPb/JZ2qAsTqKqduz6SbomfoIBLDVnRU6BqlCwsjHOoQqUCt6BKHBbs6BlEGf1h3KvG+4nks
HD8uEzQXMWiQgSSonRp8Sk1+MFKkyfqaf6KsuiHRv2aIq64g85PLHGC8z/qvU9CS7ji5UcNZqPQS
yOUyr80hAF1axGRYCj65RV3D9e7rS2qwruc1fh6d7joZAK7e8JVgVNKNu10IJrlWMFXI9O1EZOwg
pw8NYlL0eZjdN6pqgQgRXQpZK4RxhklnmNFi7z+0ffndOoEAb6FaInr7Lvph32iDGRphr8qa1yFy
vJimoNL+6ixLRSXHg0i4rbwoKEgCaRpWD8jIOug+STtBP48g3QcnP224wRQldW1qs7353NN/yh+I
B9tJl2joDzLxHzDEYapSIM90iff1HMDZZq8GhQ+328l4j65+rCGkYdbQk6EWqpxfxmDuoDjuxzh5
JiNQ6uUqKMEgiQnXuD5ZgfuKuRT6jrPcq3+4N1VogvC5IbgbetADuPWAs1gZgcuGLV0muE83zIxx
gC/k4NlAaPS0MKvznQgdv/YJfVxC8TS0gIlTzMvRbg1TRleRdcup8cvFY1nc47Iz+jo78gstJc5f
fmhgAgv7hXg0cDyDlhjqp+4OjuSPgXjF0ZibTl7oAiylCdv0QDoM3gkEyZa2v6phPLXBgjxRdEht
skPF+SggM65sKQy355Y4x3sLhQhf7kQ1bjFoKJ26TnUK4Uq+TbatGsSjucJQEBgVs/ekm+Fk+YZa
c6hPrWUZmeaKTNt5sgGOWLuPkOpykvBT10vGh3OIwLgYnZx3mFqCAJ2HSHDXbghSeMU60MrInRN9
kaT/kNg6XQRbCIOz4v7V9NMlgJctXmd54hpzP2RSdWC61m4FOrMX6J/DOSlc852Qzy4t2+2dqc/Z
e0n9/YjJKeyY4q4264EaD/zHXqMuDhAlUFGfz7y7j1LCWJw86eDBqR8p1gzB+3zEhHlur718XXDU
8fRfEAFhRJeXIv2WmIOZALygQ+3u0kf6tQxeRVD5+Ok1iS9xcNZq1+gn1zs4cDRxaBh2RlAdqdgT
7KoUel2jPsbkE/OlFkQFMDVl7ywDIhUfE4bghGrno8hAKDNLxj9vXLBdHyV5tWgoiZnQZmM4ilRH
B89aTYhar8/p9oKpH4Xq7gGfQz+jQFTfQfoSGpH70E7mPszdBpuVo15lU4kpGCN/Dv1X4qOjq4sU
8gx7DuNjpB9Ge0juObnxBjy9oAZDd/wKlyZ6T5s7ASIhIobv3qBOxY56nto6lzOmwcBT7t+Nd52l
qZh/XDisE4Sem+4DU0sKNv8xlAO+9rFOHoZ270CN5/AdpMLLrMV+3b5TcoNBs3MsuugDhSCXNMcI
9l7wn0wPKST0afkvnnZAuPcCYIyLp9Ijl4h6kmG6DBYaIcjYi3KAlJNcOrrcf3mR0AOGbSVmLAIH
khY0M1RYeLnS/EkLwCz5bLqfJUJJD6+X9WfOkL50IBTCCEDcZXmGGJ2xBFI3zDbUu7kGDSGMW7QA
jGKuoctMZQwfbMY3gZqA9NeDHD8VsgJIxRQDdF6/hVoE9Q1DUbZ7oyDYGbGObOm/vCU5YiZVSVdb
THcdO91g8O9VdGnDN9/Zo8guHBi9KcXoq5cpevP7CwMWFr0l605sWGIoY6xA441Hh+xbarJgU9mk
2/9GSPoztvvcHEz/IdafDYeIK0Uejju/O2JmlYy+Wyc6RsTFNti7Rhee/9oEJx1BP8AgFkffeiet
oA1DPsUInvtgp/Xa+P13p3apKoeIv4XjA4qeyuUkFz0r24VAZ+5QK1f95OMYcLPRAeM+/7gjvtnm
QVv0cx6pimH6zdofdPKWpD6Ykqomz0AE8i4Kjmn4OdAXf3AfiZeHghbD5l2mZSldjmCH90skz+NY
7DvS7eY4970x84G4eeAdCzHbBySZKYplHKqCQbKWy/JARuQltwUx+bscOx18VOjAHB/Q0RRrY/bM
wDu2ODrGTZ6WYD4GRmBIkRqfPeAgIU6cUd43ucKT+ULhlK7+ocH/diGBW+n1O29F/x//dgaDdJLM
WVESTsjF1ci4AhppG3cq0y7BrB8IIPfqpLrnwBrY92uvbnyUR4ZD1CAAPCB6p5u1xFYugXyU/aKK
KQRhkfzcpW93ek9wiqvpgSI8kZC9kd8QJI9BcvRwkvWokbzwxtqdaGIgdd+x/XKNePbjtYDiVKk7
5qXoLmjjyq3XwkEJ7/LPFIsTNFnO2gXzMOadm6wF4rg7UIC4ruOcM6xM9hpO72lqbwOOBTycaw/k
ytNdYTmwB/gL0wAfAmlDzNaAu7jmNVTk2oH/w8KbXn8U8obS1phXM+3d1q9qC4PQTpdmuMLMUOY2
x48h+0wCjpE/SPwl6KCe5Qo1Doesgr7t2jTj4A+lERXkioJykUvmZoN39mb0I2+GPPZ1kqEbzZzg
0E8gGAMfHwP47vfUgR5ZAWEaXIrkd9KYWvcZbWcL50w8YyfyeTlIjgDS+q77tznC7MLJyWmLCVH/
U3Qe240jSxD9IpwDb7YESNBLoii7wVHLoGAK3n99X+zem+nWdJNAVWZkxM1+EyF31yPEvn+D8s9b
329m0uWbUrg7S+mDJX0aGXxP1gvoNhPLlGGkhL4+NV36goQj45zaCCeE8M4QW3Vagta5mVAE62In
mkPdN0GR78oyRsL8HLW3Om+uKadsxEkwPy4Sl5jySRLXH7W7UH6M5q/B/dYmobM85TRW+WDviwlh
Qm+A/ZRBVfbHFo916R4xcgSq82PFB5pDxvxhzTi9ZATaYe4z6rDpGRt6V5Hs1PpWo3hb03eCq6V5
K3IwcRPz6OYnWtxTg3xrESfCa0NDtimVXZEihFfM3mEXancUYMx/InA47zTBRxBdhtwFz7ROP8uN
ZmeHoS8e58RAMzP9Buuy2X/UTBhsxToW6knjDxVZN1swdWfI+1cIDBFyr7dvWfYUaVfRIWJ1/1zy
3Yhs0eI9SolmJeNoL+3xKGmyS7V9N8bsEQoJnXfk55QHm1kSJCt13jRnrxn2M2QpjaEttSKzuzK7
FSLdzYyA3FwJx3mEYaLg0OeUf26Kq2u8ihZKX7MrhschOUot3tj1R7u8OMYtt167/B/2BVNctPXU
7T6Bp13j7Jv0UyhLAJugaLCt6ZhyDHtj095wQ4/ZuezCIUKd1Dbj9DIWGHWkCEHr8Hk+eMszN4nf
9NeqBi+meXcjbjdYSo+AETE4HHAr+IPjCy7oZpvwXbQ6NnCABYRpGVhcM5Ik5vcCr82SvmUQOeQr
WYThx6qNJsLNXG6ttCGvrQdrTVEBmTJIXpojh/pPob4O3aO0r0P/MCjfMtsnza/pzX7VPAyOu1WH
z8W8lNXNXW4jc16UYJMBFLq7n37T3fm2O+8RNOmoOJlgYlgcPV2waBpz5ifbOUb0+RavzMlsyPlW
wyPUoaB1QWPNVwoFLT3nTuhquyKv/VRequw42U+DjsVqyWhndn3241QvtXrUR1TCyC+q5lXOn7nS
73T9CeHDZorX1qeiSYMeGFYR/Sj1JVOdTSuObaQ8V82p7D2eNR1qwb4E6eWuTTRXVWvlxOyYlPZf
rS43U9K9LcwPpHEmnboxvYfGmPwhiwJRe8GEKNGmJUfeKUpkWMhPV1e2rbG6MdAcKZhJG4bA0U6l
o/IMpLtoSba6fV8dQVrYalhwCWFJCtkcTsGoBsAaAynQKIf2KCQQAOvRTS+T/dOCLZwdxRcF1spe
p0NsKBF+PH3aTViRhuqA45bq9rlGPQci6SO7+zZe/ILSzU1vpvFqOkhU9o70FQ5+joGkZihsAEgF
z+qKsFNpld8SLz6kyUBI9uQwtCiqIzIsseaHAk4mlw59CCXoipwkvyIKf4DRxrFOoX63Y9AYOezV
6polV1yS+8Eu9no8+aYVGklOqE8wF+Gy7K4tKqvtHXqFGPdblO9q95zw2xv1c82k9vpLTXe1fFKH
NyV/uhdO2JQm055+erEbvHgv4iOpRrTEZ8eBKwNzs/N1rD3N8uHATpwwgirllmDbTroXnQF7PFBP
6xkjbjBr9d4GiOngaObV3pvVhGj0rNi0mFFQquSsqvd+ZQRG0YPd6O9ZeVlUue00Y9fXpJQSe6fq
2675VGpO3NE6WQM/RcHhaEXWiGMDizcmZEZ7w+J3BZ6OpilOmP93Qm/3QqG8yPuvVE6nul2KsFDL
3i9IfkmTJDUaq4WT0EZLyg3joLrjD2i2td2JwlwQTgeaMJJfw20deUGRpAV2p/JjLEydmnQsuaJI
uKWeNVILti9WJPgFnjjUzRxFgdlIqoqk/nZZAuJ703KTUmBpEH+pqV0nuyifsLcp+6Vwz5GT32yJ
fCIJeU8YAia92Kl2Xqy2vNtSKJcZrEWRl7cR5M8hWey9Zzc+eMV9wjsgShm0i/c6zt4Z1dVtOd8S
XFZ2QT60e1AEvtYB1gOmLfxWyy6e5FHBjcigjOHgGE4j2VdypEXnblR5ynMoEjWwWKfQckow79dp
2rD15C7Ku0sDK69p62tS5ntEqEPLe5KU5huZpJuV8+608tFbGYdec2GcTJoeh00b0f3SwseTwQW/
VHRbxhz0lnOXCeekzqeO6wWPlfdrtOWxU0eOmuWzy8abNkA7LLCYLe6/hZgccMidy1to8BfwKlgr
cmMNoSy4ph+67MOSmDcrP+V7iPoee+eC60zf9IPB9O/Qid08HecxD+QSh6OwA7M0v9RUYmVKtp19
MvWGZpOyBZgDQxCqvCZFPfA5YUhypWYRuEMUIPDl+i5XyfGgfC9M6zcTE5o1b9DeF9TwcWJWlsGH
iQgodH/cjAxolOmx1Ik2NJz+TCndT9zuA648bq0Z7DV0zqp6bMjUlOHECJcEoLFRunwjtK0+SL/m
RAYgs5zj9hM/ozpf8aNY7pdV+CL+a+ujHF+TjvP02loXkCaluIzLAVtmnd0rJM459AYU4bYOcxQm
7BVN/5B371G7y7p10LRDBeuKo8ipz28Fx1d864e9Hr3CPy7lgx1d1B+JT21+GnXAjJvR3ifuuW1P
AgMNVIM2JawfcL601pMLkYY/mjtvKHliJiuYTpf5jC+Eyd5iHxEXIrmL8yeQBSMY0OwwDzd1/FfX
1xh2SrWjKfS+cyVI8PXbUAqS5afScBBnt8F44pFlbKrrdwc2AKVQxpvZlYGuBdUn/wiiSk/YnM47
/ZzGl8I4qiIcwWrTAYPhxunGQ02hf2+8g46U1gcG1WvzpgzPRv9lyO9eXJeSH0Cj022XNACSGcx/
o3XXvJdlCBebApXzvtdRow42rifP+9PNfVnuC+OZFl1KmqiddKxtx/UQf7T6tWI/W4uI9lF4uHxV
xddNTDWHIvqCh6mnP8Q7cvN5foryaKsmmEXHRwWrYo7a+WWAF4cewR9pUJeNhcXTIu6fTH9uMmNH
xhQw+Z5hbRK8dYZxM2lttVpn2KlRPW51g6t6mwI3NvHNzQVY5m9T8tLkF806kjeN0qB9xYzlTTgL
vkqYSR0slQ5ANWjA65zuF+Vg5fxe+quJG3iTYvAfupPXa/4c77Dr0pOCXYuxfRQ/tFCjWgVas8+V
nRi2av0GUwigiUA3GGnMyoAxg5p9Oo7vddcRau0gP1Nj9Sg/ufFeUy/w1rPqRySgl6Z96/7w19LT
JyUNqvxglwev/jTaa69e1Tawcv5T6batHp3qAtk90O1PVBq3eydwUeITg8xqXRouVGYGpPYERwFU
Du4InAfD4mLJO1spNAT67we7eOLCYB6DUddwHVjcl4gC/Jcxxslg5NoXWxcU76J6CM73WjA4pa5w
l4Mpj33Kkal/okOALFmcPTaSZb2lqydLCzSdscG+ho+AHAy5RTolrMSX1v4w0A0a6zjF27HHLHNL
YR40GHWaTUxXMp51+R5z9M3u0WXwPJ4W9XOx7kv3kOLiQJTL9p0Mc6yZCbP3Lr/k3nMOjbihmuP/
o5Gk+iVLEWKaAKATQ66433stah98JntvmTvGsWp+1rIjVY4TnSWGvDI9Rygz7qbQAjGFRfRXMRut
MLtjRfXs78HFCU6LHn2UswyBRPld7gPiIJkYpN17WX2k2OmW6KwN/4AkY7M5ZziarOFDatu82jmk
5NajxvPt+W+Jd6K4FN1mNH5S2pSpOpSqG+TN1nB3xGeipNsgfvp6/aTOz2Lm0U6gjqP46tkvr/3U
EIL4MSnMRXOfcId2+YDr/5QhLycfCZQx5IE2/6ydLTPJYm1Wt9ZZLRDsXku3Io9A7AhdJ/MIUe8V
vdjoOLNljRpYhfZEmGBvRnsMHVqxBZCFlHltknfgsc4n4Ju0u/WwvTJ701SnxA7x3mZcHmXznBnb
lBGts3HkBXtbOW5XoyBYeAM3zLVqL6S6oK/rNCP7bvzreWrqy0DzmZEldFtnC4N+bhVumxJieBk0
8czYfq93VCaXtkI8yyFufJq5FSC/WDal4sw5xXvJlfDmpUdmLdZwlibvpQ1T45Fe2CSkuoQu1pER
a5p1KC0+Ee0iIGwjpNJJO9aboD6aq72VYjXG4zx2j9n8L8JW1IL9zPp+N07w12v4SHIAgltiQAS5
4o5BLa2nxh3fFgSyKs25B0jW4iMaOoTrgRloYREOVhzMzMbWjcwHu1tD7Zaxd/P66KQ56XhIxxMQ
9KY4EvlhAgtK16nHU25VF0+KwOpPBFLG6idllox5AQLSFtcKZqI7+bV9i/pvMooH3b8x6n1uK4fM
cwADL5Kkf78TcXRvcU7pGrY9LnIY78yemr0k9KvmBmPsFQtsY51Vke9hRvfgChr7lX0cv5HUN+l8
FhaZnATEwMhEQHvOU7FdSFwzu0XNTcegy7kfe6IB3lFH2K8sBIjY3nVWwWTkzXGjIOH8yzi9XTu7
OM54ZPC4KwotLLL+NqcfkfqO4esBbDoQboFtuqJkaaGbqRcb0VrLD8Y4YkhAey9vatQGmctMLPKr
aPSpZfHJv6tRGC9HReUc1ifmC9fYBvVkuNu4ZXwCRjLyF+OXNjBr5Snh/JS857aVB7H6qcqfRXW3
FuLijA93Uu5jMm6Sfgmlu5wa3qYeXLJMs1BVyLTY6T8hs9CsTrH6vVA8eo7NfQMXBgqYvdKkVAu7
pYOH9ThqHH06vALnd0irFzeXuzSzDhQ+Wx1WlzF+6I22XZDNlBELI3PQjJ4nkb6JygRxcV+ZWHpU
pkq5kTxb6fhNVnW/gFvxVGRHr84DaJsjHUdHD4ORy9Nvlene3Kl6a932OAG/KXr10sZLMDgE9Ivz
2OLNg7BUY+zxyD5kY2ixd4Ik8m6upD9BJqoJjqoEQFoj+52YIaUdxemohiW9qaLdrCrfJdG5rp+S
6iY1/PRzyWineBCiB7gnIER8Cbf3l+TTbO1zVowA2DmsWWRQFzMhhuUg6Ua8nm7JG7ZRthat6t6o
Ft+NvHDCU5FlxikfGxqfnMSuds4ADyVqvAaeyfBZ27JeAyJi22EM9KYqKFSDjFux9kc3Y6Azy7X0
nxT91oBgocjuIbNeW4EntFXPyRIdhrK7W9b7PJDgjJdfVoywcUJBXiN+QKS0y6JNq0GNG5ngdtNT
WZcsN+l9V/ZISjC3rNfJIRAhNP2fwI7OvpJ91sA+LJhdIUAWBCaYVnfePXL82LkXfJs45kNWJJ1y
UTzZWcuNh6cJyI+Wi2Ci0NHHj7HfzuphqaptXoeuywzB8XazG/tKRO1Vcc+n1xl8lyIdQEPVPh4x
9xkvZnOarf3EUWbS7WUmSoHKYGJKEc6YrWRMN0Z8WjHTICK+baruVZXZKVJN5b6bdfQoZL4nH48x
F6lV63Zmz7zHHq7RaoIHrOB5zDeJWg2x+mqVtu+iFmXRl1LfyvzV6ZudHoEk11ig0PJMV81Wt9go
QR8mTOOjKJxn3WOaNXJ+xc6XndBFl9TwsYmamIUjh26GaV4MK4cuDjM1CXNFXEyDIUhKW5zV4rVS
zePagNr5xdDvxDB57LvQ1BmVRcRJ549k6YIE9dZEUhoS3PfnYkwP/QBgYCUS1FG3N/DXO8KeNlYy
bu0S6S+rgoHylEUC4aK/uAn/zrase1ZR5qMngBo+wLvZ4w1HwkCkLkk0zLXxOJbGu2oiMWC7Cadu
2OeCM4NIA5uM/Kb+1GdxrDjuHGoDBHpq03jvCDWYCuserygeEJ4iTXZuApZKa/lCxz3haWpd7wJo
17dG/EOYOtKxmfl3MxOL7GD3GiT1YS9zFa2buZxtozB0IBdZByQ7VAPxsWQO/jTnWbOdva1wOrNq
hV8wgNhC0Jt6suUaSP3qabQiPDgK7mb+BFFGtyU+zFx9j8foBcqMnzTJwdPix8Wli19q1syY7UNr
9eecwYTL2Cuu5aWp7LPGwdKy36KwsETyrc4ivihqehjRhOxouWhG9yxQE8nphDrgGDUSoS60h76M
wrZnUNrqhzQegcSJ01Ax02T9j9YmH7mbUgF9R5DERgHX2G4uSdFcI6dZvbp31eUFS/vNGFMG9B8e
USTMfntLY7DnxruKodwknY1lsmWpf0xJPJZyvsxpc7Rt8ZIUyblhS4TWjiGKGWOnfMWlBrFCYiVb
zpK7Uvb7puMaTG7GXAPBgUFKot2aw4UB7tzwfo3d1iWoFY1z6Awi4OZ6tIooNLvubJFbm4qPeBHI
8ZKSRR5U1rHo7KQZGHgUTGLsdL7yy8+dmd01V7/2oFNLz+KcV3eamLbtolCwZ8iX8dEprk2fboQd
7YoKquvS0ieaGD/NkalBl6QHM3P+wfy5jCOVYzl0d1Prw6VWbmaNUjJa7btucXDMBVsRLJOErp7z
v1C4sB9UrDBo5+G76uohUMyKWtgo/vpsgOmds1eKsTMil1vh1sHI7BRm8muUQ3VEJtSORIiVZzWb
tafWWa8wC3kfztHFMZDDSjymunMxFGXZKgNzTCWZvwoDhwwteWV8t+oaNFWt1zzLHxKV/TidB1pd
Vxghjj3tXUlgMldqz68Kg8hw33y4truSPwcEP8oJr/r2yhlX68DimnxR/5xIUX1SLATPZkZXykT/
r4jMOXaMg/JyYKHEgPpqL1hewHe7K/zMZW4V/bOm+rt17b2RKo85tVEj+iO2UXsTt+5bmmZXxDpf
dESIneQjzrVQMAJvbeXukv1mp4qWbbsxvc1Vy4CHcKTT5ufRCJ3oteuqbVT8GDXT+zZQScIbcRwM
SgPw2OO5g/iAGcCqKRzm9DI6CxkE8bk+vvMElqm01xxCUJMLnlLMM4W3lenvMOmBnBp2H931qn7U
sv6prb+Ec8+0iT4CdwMxRcdOnhd+fzVg/XePVn2cU8QV+0/T9yq+V0/sTetTggoayv6uY9zVrHur
zZStWzH9JQsHMHHcrgr1dOBdnUTt9y2V37JAgaH6fMySZt8Ww3YiRk1lN//ha0ds+WJDyLPULqZ5
lCruTWq0EnvmYnSnZWAUnKdbKK9P0nv2PHK+yTYmoTK7DvbJt7rBfdy8lM0Ty7hYVaUIllOQUVjy
U64TTAWXU6l+MkMKKPzFVIfdCl0s8KbhvPbkl1E969Y33FbMGSZTw/o2aKCMHfPS2aQhuvZtmk45
LafV5aGpFTs2gvmK9RAlHI/8tTT1Q2PEOLUNw0kMDRD9t5FnHVfjjbXKFk12IR9FBuhtVhM0KWy0
eGr6UvhQMY6jg8LpMU5kMFNofHeR5S/Ts03phIOZAB5DSOZ0YWu/4zkNpoHHfP504t0M/tb+cuuT
pad+1igb1gxgLnkFrMgo46AtFFQ0uVFUBqJzXj3uv2pIzjNiZe8gbAiTf865NthETBsDX+JzPC4B
+st+KpiiRNG9l9gIOKxlrkCVKCjaFZyhMQTe4rwk9jEh89IMmKI4vuZFeZD0BRrJ6+GkUAQL/TlX
3iPzbVgDP0/JoiPyInAkfi6JPQMn78ner6e1RkVmIPZ19dc8Fu8NfgcNq4nafGSl+ECjPsWsqlkJ
OKtVFU9Tbz9P1rjtyEsBFfrqsulv8jqCX8aB3mjLD3mMMFPv5NyghlXR2zzY/zIu+k1vdH8jTZmT
q1yHhZFt1QbTuW2Mb0LnO712vc7qFYuEMc4mIEYXj/ZN9PJBx+fcNMqxcrsqUAjB4t/YKAKDPYk6
UsKb1UNayDOkyUtXms8KWsPkrVAZ1uEN9aUryqsc2nO6LmKiYp+VDwXEcJ0xoXsc1d+co3kYfjMy
6JKdRoj3vXOxMuupYwNZqyvo/eibG2EmdErZpQVJq7UCqehbxzQ0jpRztsgZKTfybiApFi6J8GE6
qGSBePUCaqydQ+UyUM/3yDcpKuVcTkeYDzsv1rldcfyURDv5OcmjY00PRdc8r2u1tDHC8Uhna8NI
6CG31Zp1bkrUcSqkGRUBNJXZ9Ec8R8d48DBNFbu6w33AC5qM6ckw1XdYSO8xY+qBQIUuqi2bC061
m4Qjbn9HAGxJ4zCisq1L+0nBtVWmgrdmP9K5lFINY6keVHSDktWGfpWNAI9i5FrlTlz5fbLRKvWF
cRYOWc4Wa3kvnfSt9OqnqOGvVNv9a+1whTA8EAzZ3DtW2WuVrJ2H0Ue7yKrTsKUFXTvIK8xSkude
9j0t8r2PdCqz5T55mQ9PZAz6Niv9OeuNC2wO9TrK5mZ37uuiGNfRqeN9D1lo22Yj23SK1Wizc4vi
Ny5aVOUFKVGhxs1hkqtiZIgAauhBY2lEqNWIRsZU/ct6r9sMDb25tmQ31Zve5GjeJnvFDzRGqED+
7GW2NRR9ulaTfIw68q3C8F57TfUencJ+MTP5naWoHQBGWobFTPANFrP42vhSImhzvGkTORdk9f5f
mk3XriUT1uXOHkskQWJxjEyieNjuAUgzz0/I1L1gXT1rDJs6Fb3e5ImfTyV/GdzashluJpu0YmZj
CKmqlfgaY4u225PyhjWzcLgpOSJC6Xt9+dF2xTXOv0Z0025OjxObnibtSaYsRJFjFCYuGQSGIbXC
bjfK+H0ySbxMVtiYaIFuJsk5wOFgu9WMpVvFAu0xc/NYHFdV2ZbtaqFWeae2UW8FElglxvfIK3at
95UN4MWijlRreWgKJulIToY+8SPWLX3oVRM4qTH6W5r5O1HDeZGXFVU/0KIZNQtdHmaeOxKFBVG1
DpFK3uUA9lXB5dOAjh7aH2zIdc6JLLNgdJpdUphMRvDwKuODJsn1i0g5u6Z3Xlp4ixpuvpzCP90N
afSatcke5ro/kpZweEi6YqVeuPQy6kmQ4i2wEsyuS6CKRVHABpKkpP2PT4P6sDLOR4jWCLAt38ZK
/7KZDeEynLg/pGi2PeexjAUjC9KYSDySvRwWE394czzYDOMBTbXGXZYok9pvqeYBw/LQlN+11Ydl
1H023jsUhV3fXXKmPdM6foleFxtiAjolG9OwysZ+h9JpGU9VGh9hvK8rC8hJi4fM6XcDijZIVkpJ
DH6Wemi59/qEekN0FFnfEscGjnj20wFITvi2K/WCfF8P0X5YKcYEQnX4lCCP0IK5OSrPV4xdgr8n
5SHTNOtxZMykKdi8+eirKToUUj0iC9xc1X1oMgzyBLOyasbZZx0yjHcVjJ6FIrvDyNpCbiYq/sBA
E1MkfzLRPVjqRWdOs0Ter4cqWhi8mbysqaKEXZc+piSWs/J95OKd9JPJxRCrTLQN/TQnE5FbOLc1
AjCrtGZ5j6ubwuYPMXWbmr0LKnYkt3eOQncDl/1wFlIek4A8nk8TelAKO3maId+4JsUNsloOAs+S
oUd5TzV8Hnr35HR/2vQr6F3KkbsUcjhWeslqQlfE3NlMHorB75T0rBpMj9lIFDfakRjQm55Q4JkO
9Qr9yLrBSPduTcK8I3aIINcMa9xlUokVKoepqQ9AOFvxGcEgK83hueXxU7v2OWZjQc2vt/VrCUMp
ypmHt8ObWH8c6b2U+IgjrSBd6Ddi7WHy1Ie4wOfZV34WwQ3zuu3gMWlgYSOrKvYa3DAXp0hcRIFB
KJl9aBvWUe0qJdtH5BBspHhPG7dDjxbJfBOu9W7G42BG43PjenAa2KpSvznxF7QfZhOvGen1juWb
GQNnjFMNH6a+tl7E0GDcUt/Gvgtcrx35poBeWK6+dVDCGz4W8k88WQuBg2jHxJePl7pc3Fq9pgpH
eRCz34F5aOtdNMB/UX8nDAiaom01p6LmA5+KHqFjt1hGnSOACSOzjiW5OQwz6ubqKSwyqOcwX8bj
SAAHahTibMNg4kyU8V/ctOe4HEi8GICU8kPtinfSebGv4wJeXNDzesIIb0SSt2ggwKi/5pSzlsoS
WtvaxAu+tlbzDVw6AmVjgsuwZEC2TQI7sfunmOov+4GvtqXfWfh1VcfklrvRC6s2fQN/taOTqje1
FyUpPthFGXQN6zBm86Aq3xUJWjI69B7MFxtzOltYQsDjwu5MWNLQ4wxP510tUCFiBN80tZ4WSCsk
2DsacwoWwgiAe6C1xuZ0sxHoBUN3OWSHUV1d5vYln1fwmVffE4PPxiLHy9wxyuxtyqbFbFYv1pp6
hSAFjxufoPsm+4nQ4WdX4M5SnK0Y9uxW5Rz8693nZrwzu8UZ15ILwqYMESfRziiC8ep6QEWtkiAq
96P+uPpnWxyLaU8O+MMrS3+SDQ07YvmD6nnI8QJdjnWTgsuYRiLX2FHA7j0+juGfCcnbTcCTYr7R
PjRXwfdDf4kFTvQ7UgvYHs8sdmDm+gm6Iqh1XMVltktlchkhBEzpaznUWA+opV1W9QhkIPzGJo+o
B6b9RbhPTs9hiJ0QM0297rlE52W1ysbFhMNapT3m4AptM3G5Qk4qMASOFwoJtnhtbZORqP2W51+t
fTX5BnFFxd0t4iWsIWRQlszfYmTJxbr+Q30hMHtb6u8CF7rFnllbIYSbhTPgrhqT8qAtocJb4u4y
eUtc3k1sR6orWPqSPOryCyHFyA9qTEVd5ieF1mwGoizcGcfdUSenqv4m7FrgwzFW3kPG84m8tBiM
ix15GkfFpwHdmtrdiiKWnt46ey+i32L4IL2y0NJr5pWDhiWfKYMg4P3yQ3NQLVhS1t3t5rUGJZbc
rPFG9GJob6we6hSSu80LGSvP5MrG98BNN9CNyj+WoDDFTty9U+DIQYNCip6ruxSvKQEddFWclpT+
Xws84nnfO2f0papItxCuVvKRtlxU3YS+/gIHL94MOZ7rIaKTQOTm0FG5yUgJVNjxmvbBNS1fZf2r
aZG6j+92/qzENz26JqvN459FCF6+WBxagx0HTv9iOIHB9zPTgRKV9iV9Q2ayFgjgPXWIoW5rTKKe
fZckRE0MrMyYgkl5JPOyzyiLtDkNG37a3OGl+OC43MvsPW6YEAJBqIY3yjk7JaRAWLe/2pVvMAhp
+1s2fZrzdzQfBgML935OXjyBs7jbSczFcr6taSuhHNLokhPkHy8ZZ+C0lwtx9Q1LC4BILd7dFLcs
ORnjF4AMY74Z3lvJC1mdXQ5fqdxywJnqg4v25oEyTw4qtoyYoSYYqzwYF6SEifam+kx672xj90vx
uxnIG64SqviyyfUzHDp1VPhJurPtp7rEmcpVtjB4b1eDlbIpcFFaNNjzobZC9qhtcmbnM8VveVVn
oEdgbGzcgK+dp2FGJE63QLWrbk78S8ypweBMZ6dhSePYUumaCbPyFB2V9QjHDdk9a8MtItdKpghO
Gpo78J4DMxsAOWMgsjdWeuCZcZZvc7zUJitFrUCvUFsM1h3tolRlOTiCD5oOC41WbzxIpxnTqgOw
Vt33tNfuaB7meW/pr5Z2nqvnPL+aZAFTSTuwm+UvhnsveZXjY9VcY9cFFHI0ZkpdSnxwi8utdz8n
0NoORYp+YP1yYZQ7ZTqWGN68d2deEacg0QYGHdu5/+mHPxxfO9ZZH1wcdWwapRZx8EeuZod8o+vp
s9Gy9r1uX4bG3NrCOU8pqJfROK6WEZ6HUi7vjW09FGAumDy/NYbFYhX9c0X7m0p2mt2V3NI9TgnA
oojX5yb5wmyMEjp5dthkmPkZ+BL78hVF4a0/10YczAnH+PssSL70lIBPC9JgjDmu6Z5y1LcF0p/k
tSuz01KsdcqT4Y3ERx+n7K5QOa8LeDQafCFTXtGNsbyYKH6DgO2qbWOWoCXxWWEqVCzvXfVv0AgS
pc8lGcas+RDDV6scEuZhVs3wz1pRMw/L8K64RCA0kBLVRacWA5qKp3naqk4btOV5KH8KDD7eYgeN
ePPymtb+bVg2s15dy4Ln0SJ37T4S/HGYRKsZLIdzweUsFvaQsDCD72u2X2VxmAQBaHlIp3tnvNu9
8pSyl0TibujNz2Lhdud1y/SYlVcIXhnsqKOBgGX+2uOHwb4m1DG4VRnW7HPRfcUxHy55rWRoL7oN
/ky5EDqNx73R2EwcocM+JrGGews12H0QGFgzj53Q5Xusc50kOm0A7RX7LxwVBcLqnmuz2poMeXU2
ZXVYI5L5ZKyacs6F/r0u9igwdImK9Uzs/Yo+XPezScMkezbAOJdozqp1q3H6snU6QC4L4gw3C0qH
ciKQTaNJf4ZjyfFejDnzS4Pt0mPIgvFNTVljAms3a0m+gnXBLh96TBiDz7IsPX82nwzMLpLoELD6
o55hTySU4OS/jawOoo7OMNOPmX5VlD/VuLYMFG26E63coWw4Ucw/8cgpHdmfHI4rahl9Q50HPIWc
9nOoLm+1t4uqeNs4j1OHJ6bbudMhN3AzpTutyXDwv8Te+9jWgaw4w/mbsgrR16chTG1vJ1YEXoE/
Vu8+UuM/YWfWG7fRbdFfRIBFFlnkq3qe1S3JkvxCaLA4zzN//V30fUmUD3aAJEDkqAeSVafO2Xtt
RWo0q2HfL2x9oD9K0QJfoWYlrRBCJ3a6tMNL4bSHjuodQNVmiqhdJIGjRc4kDRoHNdaQB3eieABn
dfCbjUkIORwA23HxfuPAolvlJiM0LnMH/ukwwOfTgmbFbIW1dpZxo5bAJ0oXLb4n/mlBGr0QgCxc
GkDOIsDa5GpXH3ulZZSngf5R0V4LkHw0F03NWuSWvYJ2mRGKFKFfK0J3FePg0pjkliiP++nAlGDZ
OtVmLntSZqMTS7ZE+S8YktizdYakGuuLog9aVIlHcw6QJtuCoKAo2o8la7gRHIM2WZtC2zumvZJk
xMkZLlWKJWbqLWZX5nkT6G0UYTEK+dZY15V2AgdFjDVLcestPTJMK3SaxBEJEaLhRcjU6ke9ecno
FOjRUyh2WoKigUx6h2ZKbb33WO9kXRIPesoVX5iJDxqCFdNuMUWrHNtmz2/qVbRhqntoS/bz0fgs
y/4CURsdIaVyOFzT0YESgyUNnP/BT7SVMotFDc/Q7y8Jt5b0tR2V0T6EX8JytfWEs5feEaDudvR3
mGmZCAhAjc1CauPV6PV1k7mLigtXppzSdD/OV56tNrZHPee+G/Hwa4roY6HISXKme6GpwDhN6IPC
zNNuQFYZqJi2gbTX8yjlfLIG+4yhg0+89kFrQ8zqxajt3divXhNOfocqd7xzR2b9rY3ziMQE6f2A
9da963mpYJ3qKmAAwFNc6JFYSFCHl3QKEyouyYVxCYdkLcyZpCQj3YAxsMB9ZsW6SsZPwcr5mHXY
/ht9OkEy+nTUBGfVkbsu5k7XOuIRo2Ce1xOnHt8JTSOSKNRc+4xtDF2cFUoGvhr+LQprioq0Gi2k
tqh1mgnFeRRWPeLkznt0Mj3dNO2M1cqiiFWir/KTEmbImC3wFi3hmAj5vXA/NiVcfUC/G1tnF3Vx
MKzNNATAF83oZyOrq3VhGP5Fp/V654Wl5s0OdHcZKF9uJB7EV/ImMwQog0UPZojKW6g567xMzoUo
wYHDGcGiWhb3AMsPgqgiN0BL5NsYMuIvFbGsrWunsRdFanTvTtoAatVMfzw7RdFZCAOSemuGzLWQ
V+OwLvzRB3zDgQEu6ITawCIwG6G+6W/RIaTgpJp6vA3uOGywNqa3sm7bQ45t9qKlYp6xFWz5UV3q
Z2onjBOAQ1Zak03IYfJgX5VJeBL2CIQB33C2NgK+qyxy/CW8o+KhzEyukVWhEc4868onhuUXw4vC
FubOA9ZO9vfeMMybYY6KEhcHiUtjlzO2jNrJ/qCjqro75UgbBxAgaUmXIEYtQU8WRWTVDOE+0nQA
sbmf+4+RRfOV24Ip4//D0AqT02bpFM+4VoKlTFtvMzg589bQ1c++JD5hGmV6C7TGYZRRFy5Lf2ed
zEDToEGCZiZmK2IrbL0Grmrj1g34GgfeP0LZQD0XNBbdu9pJox2XwX/UvcIhrVIl+CuUQw3v6rVq
1qPuat3Kd1N6ooCS7aMMDLxLXRZvKuJ17kmSz/6SjWP8J65FEsfgCvoQytD561scgxR4+eKJfA45
eC+Z4saso/pzbNudT2Szm1RrZaJZwVJZN+k6rQOYPVifUJMArT0page9po4m97gZigfYmT8G5G5/
SY34T7qF1BF3zfEWtiFN49t7TDNvUnkHM99r6EZ4vYvBjFWK5GoElDBs/pKm8Z/IEkvH/Wm6pk6U
uDDFtxgqb0r9yWEFWqKkCq4J6/Au0+fhNcKO9Z8/mZDfP9r8WqYQQle2aQrrW2RJpo8qxXhJum3Y
zg4e/NXrfMIOkAG75kGEnEWWYbxOjTlVOOtwtFka+TNBmK6kmnvOeessbJH7f/kS5JxR8q8Mk9/v
TLncGDT2yfHm5/+IFDEnx+lV4nIurDilU0c2NbsuSU42hWNbZbsw6ZyjXziIQiZctFNNUl8hE+ee
HK0G33Bj/cw1K33uRJge7DIUb4UaOo40EShtE1W47tTpKiqm9DUXNSSimS6Cnk9ZRscMwOgJidJn
chJZQmYJXAAaziDmdkGwzcaq3jcj199qEdjRJDMeE50WbIugI5UxRlsbCaRjM4bsmaze64YLJ0mz
vGgLtpIyIgmHraI5tc6NpPpFmiFDbwYPiDf+fIX/EwXDrqXbjqLEsQ1e5du9K9Bg6I0ifivNIWIy
agfx09zixMfxihboLxllwvjvVfvXy80//+dVmz9NHNKTBovvwLTKemh3rOvYyJhvl1eWeizs/S2G
GWGaDtuQlGi9M0Yvf/7cyPj+/VYgBenSUNY8XeJBUsa3GyiHMtmWre4tWw0R4cTJl856OyN/tXY3
5uEWLD0q3esgLtjlNmPDcJh6DtYMUVy4tT6iIAHGjMsuo1JtTjGtZpPpmtDewVCjTNo51UWnyRnj
VisCd9Xm06Jglo9JrE/oQp0jj6gzsoYFn9NEWOqitid76M1qqx/mSF4lx0Pw92w8X5Z6EuOxkqc+
+gUeZuXUSCu8nrEN7SQNBtNhsobhrugb0jFA+wRsy1GNRBeCQnYooTwHwdoZYT8/m9RiFbYJDW9q
aN6beC2wPSgKixwzRtWRtRzfPKNjY2yBI/CfOagvGvxIZGdAqOJ9kpqVcaDOnJXjbmYHMy0cwTTU
H4+E+hBeUmjaQSHPSOv4KOFv5hP7bEc+XvgrRmnDJlXOqbv72Fn7oOXjq66dhuA5hA8+WdSmc0lP
oyBh6joWlwQcTlsdKuq7gD6fMt2NcpkEiY9Be5lhE2Rc0PXXHilclrL5UAgMaMSvEozVLcfc2eoa
Gt0mSBAsI3nssHjS5yNp9HOqjRswxPvR5dhWYcjst15rLwg5wGMdHFJ6r5SwS/hFvwcbWf2kxM+y
+Sw6e93Z3C/GQ0ZXGuQBftenmvpnyi1Co19Mbh5BwsiI7cJCEu8YV9sJV2n9gKN0EdTn3H1y3HVS
3kfiM3AnlCwnB/FusG8ZqTVIXQym953Xn+rxXKsvDS6ZqSPF3oZIf/VypdyfY/aVGiNtWLn0Oa5o
joDgYyMpDFYpLHePPR1SiFvSysh8PD5vpik3HY4x7PjLbg6D4OwKcHNV0hen8eHSPzICKOYmAyIZ
X8caPRhFPyL0aNNR+OVX9DWk8/20IOIgt1oSM3ya3TDVz2o+djiboVtpNjwW0C0wzzhN43VGQ3ke
1Qci9Z5gN/CCnrbVpSBGFYduVaxrGOMEOS6pAGjuopxuN1XypCYExKjUVVgyMaMuc32iqkhlbSdo
OuNXNqCPLLJLK1/G6kGbzEU/WCuhRydbdvtavVo+RpJs2/mzopBkXQbPSPfy4rklvrdhzmIXYuGP
ZKyRWEukWofig+GvUTSLWiWnNjQ2TO7WtObnc9Jfll0pvu1fv5cfkzgVF+CMdNzvy080GIGUyKiQ
NeW4z/JFJRCyX8uR2lcAXMvoP/Q83MNL0rp0KO7ReN0NuBAgUyzsSltH0CUQVKZBs8hquplNHF31
XFxlYdYrFHgHpwLT2Tq/tUrewmzI/DY+W/wJYZrTWDnbBttz9GiE7xEnaQ/Q76D2pBYv++FqtfVd
VOuofDhfz1CMH+WYkdtaQFYhkVgHvaUkh1tSU+gk06g3G/7/kIfVr/SrIettNPKHk6LYNBygrDll
3SQdyHzqyn4dYw/1jZVN+wGOD0NPhC7gD9774FctQOeZz5KEiOrR1159GtIJq5Szaf2HHPVupi5u
TVbSKWTameNlZpjtMS4kJQBAECQVmrnafOfPigN32A31F4TDbR3gbyuno7LKx9ThbY/VR5VGpzSj
1wvUVvYVmlTmWqaqX+mkAYl5kxYixNw6DHVwjE0W/5y8gzzg7lEPMQSmZExuepzedUTy1gPEE1+s
wsFAvYm3rOEEHeev8Sytddu9lzcczVuIgphvQVIbubOZSA2YdVJG4zxVrXjNumTX0FxSZk1KGEe3
jjOFfSvsGo5utDTSZ1U4ZKHQ+s1/jiM4FOfZNj49x+Ne3rmARKOME0S/0fI3q/6RlPWhHXAwUanZ
6NZHMMx2zOyPMc5Yh/eVTtpxV9KgIXwlNAC53NJm2PUSxXOz7kjHAY9bQZE2wTJA9s/YX/LxQKbh
QvgvxBPdwSrdJAJ0mphBw8Qp0V1J4keLg01QMINDs+F01YHERZpwPSytdsP4bNBHtL1bumkOf6CX
M+crWobqokOjatRvppEDyb5pbMCmu9z+1RMPPLHgN89qfBdcXL16ioA2j/2e4PKVK7CCbQImLw4k
/iz9KDpw5xz5J8zy4MBX5fjpUmTkuEXV9KZgRWuEfiV03kbrwvvWrEOKaZoOInZB8obG+OiOH6CN
43FT6Dxj2KQ9ibmQmY2Lw+nBhKdvBldsp4skYmyPZaVPmejjp8qxHSl8A0AP582+Dr5GEmbMniv+
qPT0GDPwX/QknpClXe6hqd6JGqa6eDTlr1A7T85tgiDgzjptOCtMD2n/a/Uhg9Hh7xo6dHG1tMLX
lgQBDLa1AVz7Qg2hD7eQoYEEjll8FfJrtMQlxBfaePalASLga6sBJdGY7CaNHjYVR6F/9BGLdhm/
0ydeChAUbpe9hMCFJ6qhCvAOlaw5zyXKZe7WuBGbxymJCAIIyXO/70rzZdSOsUeGwGMhNpoH07I5
Bup1GFFrVAvbfoM6skhnLHT/QboUGvxyPJR4Md0rnpoyv1Z2As17rfjtE34A5CIjywjwvru2shZ2
VKLHQelMCIbtYd19UcOmTab1KHG6Trcp9wlmSHB+vI6yWjbYEJDyc/ZCE9Z4Cy3HHYWCvh7nkVBN
Z8oqCSsY1ln9oP0aFYp8cylS1L/h+4SOeGDYJZwDT918szThCxOEgJxf9vXyOhbniBoPabBs6AoP
mPufMcZsvWi6au50jBR26GXVZCRMuNzUdN5Ht9qkIE+Cv5Su385//79zOGI+9rgkx5nf0hvHSkNq
Vs6+eDsTB1hVIKQ0osdlFeu7P1fJyvmfL0bbVjiucKUhvxXs2uhEeTwFsKIia0ccyqXvzKM9LGPt
R8HhmsIlMq9Gu4uosTSJPW+gu2cWMJPYKZhYJWjb2YAxupViq3JnV1OZAN/XmpLv/VkzfujGjvyq
xhgXbrWDOrg1sARmFX3bd12QkTq+u/D8UOeILN2AVMCNjs58Rgl5d5XvYv6j98MCr+3NdEfQl2se
B7Qc8NGs7Jxj0GOqWfPvrtt1NOQz6pAm09c+vwlKJaLqd605yzphqE3+cWXSjenvrPqiCbU2w3cP
tegsJ4qNbDGPQNSsT2j1fTLuGkoQA99AZos7S1/PrqJibj/RrZz9D+VMALEA9AdyzedC2zncs+51
yXtFAKM+ZMuucpd5ez/m7HHJ7BK4OuPR7KBmTjR8+UPJ7NdDFBHZisrlIGiPz0TrIdgrtAg9IJ2+
Zso6S9o9vDB3AUJOB4dvCobA24lxg7zWtG506RZyelCczoNsm/qvxeCuSsgU6lLjXw37LxszQk4h
a3o/nbQ4aBHJy4F8iqS65ehwetvctqazH7ITGrLAnM7Y2TjIvkPQANVoMj1xD3oUEStE6BH3RUtr
MTkZ/TofrtqgtkX7w0GW6lsDxqMtfs60dVZKMI9XO5ShFVByp7CAcRBJH1AGThhhlr590CxaUMy6
KfCdaTm6VLdzuTxbveC14/PI26ffOYO25OkeQbkw7USzXhjhNSh/xhRuiTrn2kHE2zb4KZlFqpyE
IecnQOyF1MWuttQtyG7FOCJCyDiXeruivhRF9cQVmRPSE846195tDpTrFd+4A4C5se89FA8wlzJ1
dH8laOjyGD1FsILRhzEMSpDOh6Xjx7bVDrcZ0FY8Cwaik8S/A/rcifFMsWyTvkyt7d4iA73heHEJ
dqgHjZCipwZwG0dycxshuSjKfWGjmutJDvMpKdp8gOajxdadJXBfDlxjOzi0ulg0tb+zoXDbPWoi
E3BAkHzRgwLvdUts/D9UeRUaI1I0pIZkJnk11E5yPuG0xYFcAHrARZuMZHYMPC/RhYYF99tdaj5Q
tOn+lxOvLUpOswM7W9/c6XVCzCDoyGGMdPSlru8yDP6m9WnKTwiDOxtDiSV3OIjumBTdhWiFhJ9T
C3gvbl0vJRHkEXwCeIJ+a53yhhE3YFzSySf7UCeI95EV99UuVNsQ8qNeMywmiYuuIGDQjctITPdY
U567JkB5wxPDaT37BNe3wKFXjSvf2+jomIIItlzOoft+AGNlUQBmxKJJdya9IowoHofyIU26xWC8
tilUuZadSHiXCstHhsHO4m61kI0gIPYRzVnx26TfS2gOnokNpWUfRHi1rvs3Spuuvgig8MwyUoBd
eL/m8J2sflTo/DkY5nh5BXogDbIA4DRw0cq79PVtBlwKjvAmVnFfMsrq1n2LcSG0l7Glb4zivXJi
kDCCeSyKT0LgQFU8BelrHN8bLhSHWFFHNdsAcIFVgTXAt4RuFIyTnuICN48UX33nwGV7VdkHc3lo
XFgeY3QNPtjQEpNkRZObznTVwyU/+EY8oz9RF7zJAqz/cKDhihYnXHQ6UqngyaRMIR8nSLEEbPzm
PDK2zBXqSf1tFO+CYsptT3FI6sJeDNcpw2BicOOKfaIl2yotX23JSGCSu2AYXrzyd5DGUzhU50Q8
ztpNpIcrnKvIDeg7jsyNJPoNxqKGj/XIqNBFfNUGX1JXgrFZF/HZisWdLrhxrZ7Hz1nG0IX4OL5+
Nm3GbdVjgGYcDbRKNll/MMAUhxNm+3WgvY4+Buw8puJOiDf5HKMDqvaQZ85C/bEY/EMJ35hULtrM
QbYBLYrk3Ya5sks1ojLO2vRUoM0I5Q3siwc3oC4njizmLmgRLgA2hyxdlbuKOf9oB6fEYCwfwqYt
yGHzX6Mh2VJ01e0d+DjaRoxAAIeuLcPfl4WxgmI8oUyy5VPBYSnIdg7RMDVnpqw/Tbj9/WSretgL
AhzGGQ8zHUicJiBmyg6mSAtZzwmRoH2kGK5DoBLSYybhcTaLPslOgh5MeatYrNCOclQWPSe1AThl
dPE4dGsMsgz/o+uafVi9RLMhWQUUY49yFhokH05gbCWilQRWWSSoeieYZeh/Yupkeo48sze/3kKa
XuT2h5cWC8u4KgseSl+th5qqT7qbbDRmaRnb0MJ3cYrl7GpIHQVjMQOMrq7WJQxDEk7aW43MUudw
WTS/yvIpwERSBr8M3906U8Vk9FWk5Ec8avoXmObevm/iFyRLfdvCEaEZQX2K7oVwwbzHZUYsKSXr
ovOINd0JuCp+v2eL84LPIV119YOqHwnGRm5wCrleUjevrVsQvvwB6xhyvLHk/siifQgzsqJnkMTP
HZOIAKx+yB1gY8gZCQPJyueuezL5vifTxbeH+xDeqf8lnUPofWF8S5O3AH3uhJS7FWx00ZPPyapB
/84uomgGxAo2TttzyLoSC4bQ8pbn5uOQAPNKoTjNRSasAlrZbL5vAk4Kdecq8e5FhyMXkE9SnGuu
iOHQuPShYs21xjHI6bOEaEpCqEVMkjsz3AGf22IJuNP0ZFfNpnVCOjg8DUjre8T3rlo1A5jIFD8y
Z6FIGnsdHDkZFTX1D6diOYh9EI2LyX50sb7O5jZzpE2IFGhlpWTyaM+p3mLHreZDOjdEv8qLvU3/
LpYB8/ThjoxsmuwY/dBkjre21VdOfGytDzeC08W5H3OfiN8RHdc1Ub75YRofbcr4ujnrSbRu8+bA
QG83Bg6qClybItyVsfbudSFrdf/W592nQcqCgyZBflaoFiagByW3tH9fiVPIhjCMO+bsHECyOyeo
IOkp572PixUdg9X0+efa+vec5h8TjN91vNQtZkaOYHQkzH/3wv3BF0ka4fXHs6yQuMpuXY3YFjxM
SO9VEmor10EMWbVkdxpo247CudJ6Tj/TIhKwKCOgEBpgSDD4TPYC5a3+8gb/V4ecdcwlrl4nCv17
i8oOw9Snb8obTMdshdBULvwmjvlyB7lqRIwheNBdcRGRzgGtdGpzJTDlwc4NkKiUEXjjP7+j/9Uz
k7auWDpdWzAE+/c3Fvpdp+oQRhS+NP0sqBrvdb20f3TdgMCkdyUgtXjsxr98EeY8Cvh2pSyTSTia
C2UYQn07cSVaKGqZEj8zVE71YARQfTtv0I65TYhg41nuxSvdpoJIWfSrUIu1xeRGNqB1z7jG5NoC
bcOZocpGUc+w2Fr5MK61iM6iqzt4repq3HTSLFGRUt4HcYSEVXP6SxYYSLYcWR/qvmOND2LgaY3S
yBKIyF0q5vntvEQY/YSbOpPlzwKFFKHE5a+6tCHiDfNAbhzHlVGkyV+mnt9nOfP9a2ECJJFa8r3Q
w/z31chbjnN0xdylCLwJdACcpyBQ77Zm1Q+RpL4thowzU93ITTRAR4oFgGmUT4y8tK56+vOt4f6v
aySF5TIsNgzl6vNB9h+TJZwdjhX5tbucgLVOnnlnU5WUVKOWRxQ0CG673Fl2/64l5AM71q7yWESH
Zj/504VH8UW04ToOW8jU7bokkwG55JYoePo6VxSHj46eraU3sSO3r9bwIDLM2xGKWGtdG3M2Ed0e
zmlEeC44Ly/boiTa0l+W6GNCY1wzOMbuh3OJ5BEhJhCrGi0V3D+kXrLQw5yq8wfo+2vVPDQAj2J8
KaVRrCyOPnlyVe7S6fNLlzw2DOARhvNE4vARt7K9R/e5171tPaNF6bgG7mXAItAx9aT6jAiziLAD
JfdtdhC5viLRrevvQ6wmQ16sBs1Z2kW7M72DziQ3BM5oq+jU5rvAPmDaYatoc0o3YzHolO0YzoVB
y5kN/OZiYu7M7pgzbf/zlfw2kfx9W/3zQs4//8eFdIBTMAdFUYUdX2I1UMYGDKSNkS7OyEYCK9f/
paHyP5YVSwK0nMeBtsWK/O9XlEMpxy7kFQ1H708ZKIgnq0/6g+mE4IfqgtaaH8vbnz/mfD9+X1NY
9ZVj2xZWzu+L6xhr+ej0ibscRUtUa67aWxRReehR0/6li+P8+aXMbz0cw7EB/tWxu3RBqAmNOF0x
6afJTN4aurZL38KEGUXT258/4P9cH6Tj6GwfyjSRD/z7a9WJp3aY6RK/mBm4fnQwPoDbo9VQZMlK
k4TpyL6MDp0aqBlIyF4O9QDzxHRhHyRd87flyv3vZTYQS9hCuS4TLP7x7f3gSXSdZqaZDuyyoqPW
1Jg+Qr8Bzv6h0NFFbQqoFRtM3jS/6rEi5cA/dom9sjmweZ1cSZ8BV8sZVFW0fTp5JkZhlkqhS2wj
MGNdz3wy80GxNkS2+VigU3hosIQmYBHph8A7NlktDJAP24bd4VkAaf05Mav7sCexIKgRsky+sYN6
6abVutdzcBEYEBlcCcy0mvkI3J4V5Vwxhu1Z/uuWAw7+d1CdO0pqtzeYJGMKtEsysR5jTLzEJ246
QXHHwQfFWVS9YKyC0o9IBsCqnmLoDzCHM2ysQWNmLilvxqmrZtD/sz7XeYa3DUhPHtIXxU4mh5qk
LezCM6jPAtJJNkLBjDj6kIXFeJMKjcRBDdKODU3NHO5DN2CwOa7FfG5w0RVaxDNhQcPICvomgoBH
Q7DuvI0jtXXoaKvW+2XOkamwpNKe13cwmAygk8hY0z2220hbDgwJiuqnDAYWzGAZesNOmw4WQ1uD
MLKuuRhASFY6JB3pKaxIaPkr2sZk+gHORAJu5c7CjQJvXcXlNvI4rpjmygdvMYTpp44zzlBHnYGr
PlU/8kjHdoVMwMHLO/PJcJ4ChglXogfxNTY0t5v0mpXDxRAjlyie+Zgp+mICUh4nJsvhW9a5W7Jn
sGOkx1oP1nlSkjfX8zHVfao7D03SvCXoi8ssXFZdtEL0HLS4hLjGBp7GJm3PenNu+mbn2qxM2rIL
eE6yF6SCS6PFypqS1MRXZTrGOhrFMsEAgpcV2zeMSuJoq63GLRhLLlMB7WvWAYOT+8vTPj/N/17P
5qeLsowtWFnoKv/9dAXg1fXE4+I4kYaEwBgbhJaqXAWxiTNsxIhZhLV8UVoZfiVDED1GUYXbyKiL
eou6ffZ4NKI6/fldfZMvsZfwplzTtpWyJIqp7yv7aPlxIXNt6YdOj1Wj0SDPFv3PP7+KmOvO/3z2
f7zMvAD/Y8vCVDdRGBZcGBvlP0TaDElJpaVtvBmkCG6VbudXNZre0dY1B2IVkxo9Tfx3V4XGX4RR
/91XDBOlnGW6Sjd0W31bdcfesvK24zoIOCOcKTFckaxV01ZrKv35zx/csL7LsOZvmI3TNQzL4BUt
Nev3/vHRsb+NKaorb6nPqvVwWk/BU1LBkeRppm2oxYy/2p0kDxAHcnnXosEyrFeOOXubRTMdIVd4
uwZcDOkXRgRtEIGpn+7mqFI/G7aFQ7IlnDU7BvkHjSeHmukF2NAmRv0g8PU7J8TVnh+b8D4BhCIw
ihWw8336UCJfBRKAZmgc7Bl1yTAdRM4oH3K8B3XARBNydsl0gCeeBskvoZ362t0QREdnxwX1ArmJ
zkmMjFSXdGQ9+BKY7MxZmY8oh9GzNF6CgCxOYBOu/RXTfmwSbD6d/lR6TJuYVrsJ+6t3yxnW96a5
aPRNWVb7mi5nqQdLO0dbkM9UPdjARy95slGtQG1YKHHwmACOGNA1Nhg/o6MDPjYC8hphKqLX5KOh
MQDxyIHj4MvsqjesIxTZY0lCrYmrJZktzwWU1icOcDqt3oSGdTAKNLUZR2XYJCExhktU7ELfC5yb
QhfrjsEvrCIYxvUiMSm2Mn2V1c7OxAoUYQsogr1uHcP8l0OfOgU+59N3r8CHD8fCfxPJk4A02thv
fdzgXHmGNl72p8QuubQmvWfmKuaTTQZDaffHQdyG5qswn5yopzEbg1kXm4KKzxoXGfoXGX3MOO6Y
6baLv0JlGBkZS9QITUwbC9OcpXlxUnC9pMY45Me16LDMEPcgHhff14hleckYX1va2gQW5g00nRVD
RbnOnGELrgJE99sIssN67wg9HVFZtMY5S9lAdNpyc2d4HfG9luIW+C+he2p0ZEslBk+skLRmwZN+
Tem9yWV1RpiNw0eZXeMqmAPdIHf9NJQJC8IgQXaNdoJ2JVh21E6fSfAr899kzx0Ws39uLGtHv9GO
avYE3NBIFXU+soNmtxneRufJG8jjJOy4w2E5soRjCbR4B/Rgltp4oe0PkJICI/tl4EvyZprne6M/
J/YetXVhX8PuYkEfie0FBgqiK1Fv3qVeyTbwHiIYGT8ECuzsoRavA9tGoECLvJn2k8tsJUXewR40
QbWMGujIxYopnBZBT2SsQvYNPLyDKi46jSroQJA/BLDeTZuvou6Hou/uPCSYdPGgOvSmZXhK659V
8YQJsrL5dThYZjdSbRXkJFHd01d3Umz7pJjkX2O5NawzcWQ6LIJw3A086XX17vWMQiAxfQX+OQ8Y
Y6CEA1gYASXw79Pqh2Yhe4pMeN+4zufWGVdL0mVMXsZJZ/0nwJokvpjhuWMN/Gdu3HWdv+HDi5yt
SQkKwV4RWGQkHhNOehjuMUeLFlknlTyMbNsJvqS+f27znPzVCw7fpd12i7zvVp15qNM1YlB6rx7n
QoCERKwkZ6Mt91N5c3DY9e6poIAoh3Rd4Jq2X/DgZOwHJU9aZu3p4IMcfgxB4HgYGpF5jDKDIvgu
jZ8BOnsjB1TA8GAOzkVIVTXjrjcORnhC2broEo5icNKYuycpqrlqW5rvOcoDT7MXRgGwNYPsY2Ag
m4eUD7W+0q13aZ7V7KmOVszpEwAcjYU6lilLThZTQcNeeyZ51GJvxsVl1T91jJMq+FHTTMXtRt9i
M7ZfMfO6YA5HYWH0UnJqXqN6YgWBku3dxc2Xx33TkkteTD98BISzmz8+Nf7RJLUpwU5oZuR9bciR
0Z2z4nfkGO21N93emYwFqudU4ce6uDJEFMd4Z+zoF9+XzovJNIDi09dIKtdamqXdnYev39QE13IX
CrkP6/sY+2CHVr+t3YOFncAVa2WQ3czjigCkJxFUe+2iL5PM0hLxHR7/YngYhjMsEwB7TA/U0u7u
oUjACWTZhbQMnXQhCCmoc4wdkCwRje6LDmNXiJeNGZespnXTNbtOxytOEtoQSuQEpOKRItneDMxx
kX6IknfElSvcUL8kg7cuuE59f550qNsEbrazYxO7sJyZ4ToJeu57jaOI6pAuNOJJBsWu9iRs46lF
2BRQgSoGOJ564Y43gnGBlmcxyMcKFHjFYCjQMGx13MQ8M5P4Irb0VJkw4gbm3yXPXGGd9AZur4F+
ClO3COKDOWErEZx0SkzPMVmfWG/CKnkUQ7rtrXpPGHXOb6equeMy6B3tbgyBvvGjpi2iUDUZzamd
9T5vYM1x6smMuj2HoT2HgdxJm8gifz/SI8xJDnT5OReStwbJbjm5ir/pfjCl1zZT+q465qZElNbc
1HiCWevN/sscjr71EQ4kj12Fx5lg5yD0sALC6Y2NCdVOssNjXc0rgc0UdSvadT896hwz0BnJdNfX
4UKiPhqaaOVqH1nzIhpwE0C8OCd1FN1R96UPJklbeIjYhRDIJAjW7Hc3Z0x2r82FwUhwFCMnh71y
1D41sWkNXPG3uCYtLMRdfSWve5q2dvEjFheLJ9a0USMetLksKh8H/Vmhqez8szUi3kumi+d/emz2
plWDhEJ659X3psg49PF0gMTS6aiJloQGVgsDyjlLfdzrO3+6+ZJ9DP1y+9zY9cqm2Y8TncGweT+a
41MP3Vv/OfqPNTlFhd3cK4YghTHt/einKIodezqaPwCPrgArSSBmIFi5nAo3bCHjg+HFpy7nPOdl
7a8IPlFTmEuLzMzSBa/VPWrCu29TzjAZgiTI/5hyARe3KG0sSC0RSM9+U+n3IyC8hPE3kBBAlem9
rNFd7iPWjTJETa0BJ8EHi1bGe8OWCOPiiyT5ihmp/dogqnZChnOE0zNKI7bEXfX4X2Nm289ErLLJ
bwJcqyy70n91iytwonVvwOWGKBIwiwkSFg3vrSdXoJawV+tw3/hPSQ6pgmWFw+AuFY8qq+Dz5YsI
+k2VMeCqQOF32rbIcdWyh8U19V/8HKqzxTy5AZdTqG1s7NAset7LIN/N5FTlHIp7NiQxiyNWAVV4
PAscgXxl/8feeS1HjmTZ9lfG6vmixyEcYmy6Hxg6ggwGRVDkC4wqobVD/tX9hvtjs5DVM1XJLMuc
fr8PbW1ZmSRCAO7Hz9l7bf1edpixOYSBTd/i7EL0uYzSJ33cW+HrzDgEWXoYzaUlu51wtqb21COC
Dzln6zR7k4Jy0IIUk68U5paSWhe32h4JcIe03BorrI1EGyGGQok8BcsYtxZgMIeyl9hs9HcdNWo0
rWR68DgnjyPkAEZIGYJCeyDFHdl2QLgDepSxWsYda4p2sty3nsF3hA/JQPExrGjx4suCglWi3+pw
MD4H0XOkfdWYtMbZ4+hd59VJqg+/PkfBqZ2fKPZDvWFChRaBDEIIdG+dt2u8ozmh5sRN6RTLHO2y
C0NRDJdx9JW5TKXviurSHyqeqN3Iwi6JjAcSGFH+oHfW2HbiEHf5zo/9VYdpN2nlC965iyT6MPGL
46o3N76RbwkxgxaNPX4Itub4gar7MKn8Jg4Aoetx/6AXPXJ9RmsonBDCofJhE1wF9RacJDPnCdTY
+1Ru7aTfjYG6NNgrZ5FLg/0zmd1GRnJJLlGdoZFBthG+t+k5S++ZIPrlnNh4igb0+vKB/tshr9KH
hDrDm7FMHZwA+zEY7+LqnNd3obpJki+jUZCoPa1SQdEr/TU62Qn3L3M3+NA0BhiF6uJLNk4bhlwU
0sYKK8pKGfyu4qXM4C+mYlWy4NBHJgoCoDIN+UgrSmSSs9E+ekJbjKweOEMPwBMeR43fWLZAarHH
RWF/qafNIW12ottC+zS9G78npGfa6eTJ16N7tKnORAiqIG2ukzDnrd4OJMtlNMnF8Ja6RyN6USG3
WXtPoB7+g5dOvDRhua5aCAgwQEw7vJ04lakKEZfuofi9le6XnsxeTfBVI0++1SVrwToxTnGJrG9Z
oNM7sgoMzOOatQ51zttgn60lzexTgxLFAZ2OR/QlKe9Nd6GRD2YuAWE5BkJlmFgkSbB4SHDydNvs
RfoaVg+N845/KcK7KReJcfD6I3m+lX8HFiTQ10Oslpl9Gc3k/MuYu7Kctj2yUWypMkX18iTsSwO5
rv+SikOeXGKL4xEKO1IGm8fW3iv1NDm3RAfh75izo1DXm8VzBIhWPLvdualOYLRK53XM79LkWgIz
ZmFjLdQeQPuxc8r2oshOhnVv6+jm9zwamC/QCvjJZm6UTQZe70u32lruTmBlzIZVaj2HPCPiHmN3
D+O1JFjrNnJe63HXILQJvA0hwkCZhblXc3YaIVW0oND6UKeHOOVhJaePxP6k8ilFVlc7NyNCMmPj
01E0CBSf2RqAVrmHylEu++bBrJdVtCuhNZLH3vuPZrvxqyNiFLM/JYhpp1NDMzHD/i8WPcRy+8Mw
n9MU3QIpcICgP7izTZrBJrIBljJF58rIl/BaiKLmmHOHCWtOPWw45F9pJKPmy9y6Bv1a3HNJBIjl
eKGDQ6gQ+RIRW3J/S2bPJDesrJzMQ9iAVy6kdxbY4QqfLh4SNNqTOiLJ89nOZ5cBIr9pS5ZebxEt
9dgaW7pmOVKKHk3f1zAi/P2FvuNFjf7Q9Z5pL6FleVb+PsgoI8GcbRTShnhjtmxKF03yYKur+uSU
VzxIY3nZsJ/Xe83gCsuwoUw5JM2eU7ipEW63Y4HWHmNw1oX27vcrOR39+osYnznjcSxqTXKmD/Zw
h2LAl8cu2Tqov5N9g0xnumkEEoJXlO1s6sOXfrrTzXsz2s8U4fxQpl8mAG+Ykj5a7iRiXeAFATsj
0FTvnqlNR3eHCKDsbpp47+ozqpv9kPgJTndrHy9K+JTMBp/dSNVhSg7+APxXSLumrZ88Bt25SOeB
5cGAf9+lDyTHpCEb8batF6O8I6OjVCiuLqf2oZ5lZ2u3QDn2TVHNNwXArV9OQARw6Zs2KqQnjyQT
/9IiGMhaV7D9lxKbP9G8Yba0koluJomp0G0fecB7FJmkrwf2wm6B1s/OgRtiYQYAb/iAw0tbf3KA
CDDASTaxex9Ud260Rgkh9G05gthZaWh98r0wbgicwNQC1RNGxcYxUEXCIrhoz9bcRl+NEWlPydYg
lEpPsDgQR2/fZD0Js7SSUhDZxsIFzsKqkoKXGBYJ5VpXHpGCgnXrsoNPmztdIcijohvrHbET0j2i
Sh3ZCbPpup5PdsmjC+wO6sYw3Ilpw+GpNBZ9f5HhSKF7H3l8tme/qFZSv/WKJaWZDRwuVTdGvokk
JqLLAHiUts97egDBobHe6S3q3YuGVkV5r8p8iPOF1xwoWgvveSi+EQ2MFHEI6bd8XcR4cLToLnUS
FLMIRDhcugcnPtcdBQlnzGsEFZVFbBAcdo4H3XBgLWesOZeiQrvhnO/aV2V1LvIrM7jW0qOPDc5L
3jE08vCuYiCy5XxYuMjFsdJOFOhh9GH5Gy89xgHN9n2g3UMvUXa81Hv6k8Fl7K5i3Eeqf8Szgclp
yVKPToa0rrZb2+3MCJ8I+DEbbVXJx44T3bgiMAGtTmDx/DMgXUQMBBIgRP2BDh29vqzeZTy+fLVx
+CGqO+YpTfZArIY7zjrShsw7hNkJBNkVTwClRU8/2uZ/3ByV2rvtMmg52W/DHnRyeYF1BUQ0kdSc
IFFtbUoiUajyMPxm28p/lAG30sri9I61Ht25uAz0jQlHhNOyhUbxwiDi9K02j4UYacgvCMurn3vQ
0ReqOWEVJGcVykufHgZ3iyWlpkuJzind981qqB/y9N2DLsChYMDUvg69Pfs4M48FSFx7vLGsewYZ
+fhERam7+HKfUPKRie31W2HuIu88wA80LmX/AofJLnTSZpGYYCZlHlReZclVz9kSdZVt3Nve/ViA
xthjje+0L7p1KaOzVdyxc2TRNuYNsXfUV173ak4QruAvtdtSu26ia1ndVCWaOerK9YB/ilqtXtQU
RU67CNu7CPqJa+9jZErNInOunHpfOleuR/vfOeTZk0zWOjsYAFHak0AG3a0LoLEV11AUKcqsZC/Z
xidkpSipid2jzB68k2W/qZiV++QSRuOiSUQ3ZyGzXA0zIjJ7rb2HHl8kmRTZxudgYT11wx3WTWO4
GVP4a1sXsggaJB2YCUF3+RdXLhtakWrDl29VRy3h0Ny/FXS2qL2H1zS7TMdnPX8po/do/EIljm+u
mG9eXI/7mszFrP3AClVaW1/s9IacIFYnuR7rvVU99uNSGK8ZI5kYy1nzgDUOpVFh72L3gMJ0Ruf5
20nHJEH3clyj9UXSUjNp6zjt2F/8gBS9pTk9Sf3Ohyik87xsI9IYkbqH+quPWc1ekJfAdEgOe2wv
g/aFVAhCDHhFXvnU2IfOvnWQOoZvmDJnnoAJ0WVT60fHWJM479t77AMT1hNtL/nb9jiZS2PYcBSp
X+sQetzGknzASxip0zVoV3DXLV4KcFmiv1PyNnPWML6wtYHjWHvFS4cpwNuNGb3tL6GHEeisnGOt
PxX2ldEcBQ18+NZRcM+tTmi3wSqTYy3L89tMrsUAkXHOD4xKbNfbonow5+hG7gU9+NLM7P1jT98n
LZYqM2lbbAa0hF4Go0+3dh73v90sc1SMRb2pC1Sr5Wbi3kttBJ4L20d5et2Lfc9FnGmfIg7x+mf8
mtlwTry11T0E8pA7r604m8PBKV56lSwDr2cgh7Zt0w3XFiNDEZ0L+yvrAWW72dFWAtIz3rWcrR1x
bduUFk+iq/Zy6Fc+fPCcmplA+OFsaJeGN2cxLLTHoKci2QX6uVGvWXAXUvkTo1Zld0kGhPdBESQw
rCXCD4+kVJOAU+K0pQlIkhuzObL6w6egjeOX54az+Xin2VvEaoG1VaRPFDQg1UXT3wLD8/qDRWjl
9DQB2ymsdWtwdsdZV9rAarZKUk3MMxHuJfweFyYHkW5P37sznosYfD+c/xjF/9qHXpwvq2ZRcSg2
+EYquaNxN1u7GhAUkCxchzwuaL+Hhglp3CGa/UjjWxyLSAwYALfqyp+wHW1Le2eITZzufHUYhvOU
nAACpsDbyvgYlG/WtM3EhKjttR2+6kzGRbUo9cuyuuf8MdHJVGj4scHN3b0dpJPUvTSjQ2YvPWyk
xiYb1jZe2OrKI0+y9DldXxMww77Yy6PC+w+Psrzs0xuMooohNIxbHEeC4teob13MWvG6L3D9LYcE
eMgCK1rSrzU6EGVxraJ9CEeEYSIjVQ0xA/cV55RmE+HLIEMoxDZ+1dkrJicXkYCGu3faY2CyA238
YGujAgN/O5x4Sw6gQDp8dfMUy/coYwtZtmKpdwdXf26Cm757mUZElRz003ZdVDdZti6g0Q3l1xhB
uaNtAqzFPc1lOGfxM+cGDsITZq/w0BQntz0Fwb5AIS84PlvEQy1pwZr5Q0GHddb6OECIYNxbFoky
LObJY8XNj9LWPtQufhdCzDZxt6LFMTXWRQAplxMoFVC2F+UG33dIFmE/Ev0GVQ9y1JdKQo7eZ/W9
x73ouxfzp6WwY6A3pulc6ldt+9gHwx0YfCyV8BLuoTARXo9p6mF2vNPcM++VvWfLnMHLGqMuBPfU
dtyi17T8w2iDuIkvIxA7szlIe6vJjwkXHbd7cBGkewBz+XiwEVVjcMkPzPLrnBX0Fcm1RreXxHnK
VJj76OopeFYeQRkkKfTyxiRGu+gZiyxUcCoBLev4X7cw2KRLDPTWKg7K3OWMHAtuSEKYEBwAi8cw
BCiAMUjiXmGetSDd5+kZOXrSoVa3v0ZFQXnKqWGraZeWVS1yY2+4V7W+lfT8+rXIr2nQlGyULStT
bh7QZ9WN+Ryj9hCI0Xz8HCWb+RnobVZsA1OujYkD83UU3IR0pImCK8JDAslNY5EGS0DL0u13WBwQ
N6CEXhK86TZkj6wHrH1YOUGjdpylypNPDdot43afOiDd8DJYuwpI5mBeBPKuJajVKXEMrGboKX2Y
Pr5LGYX1dEVL90pknNQ/upZ/9+xyjs3VOSc7s8CIWIlD5rNssNkAyQoYiOVBRdugXXrhV6Gf/elo
iaeElGenw/PihssA8VkRhSs9aAGh3rXRnd467JwcWOKPtoJPGRTHtO2OIS2KOnc33BJTQroAvGCn
IsTxyiSCuvrqAGYcz6N5XQe3BVoxfx9XD9zWwn0J2r2cj/DwczkVB6+Kw25gs8K1JZU3nmmNbct/
DJqTMG4H+WQaN60KGIdNkDHjpdawWE7XYFwJ3cujLwE9OF87TBVPuwrAbppXffSkqqsYAbG6S3Rs
Al+Vc6sIqnOZuvQvg/1B4+TbRscYHkw4O42/Cm1iycj8EcV9UF+lzXvlvbBEjGjodT+AZ2gxhD3T
PzInLpivSyAE5j0JC+QzR+NHGb9q+mVcQ3QqOe44wEIkmz5toeuIk3qJ/03/oNCAgrN0jK+xv81J
ZYTtfAGUmJwMCFWrxLrW0UhC9d8O8qPo/Jes8W4c074rxp2ww2NSWJtS7XsDUG/KPiKCBoMP1Uzk
Zd05s3r2tJKv8S3zdXiTZQeEGTHM62j7uCprw8su9TAgN8voKRrteSwLToVRWVFU2kLqgSAdpbLJ
BE/7pDu5WoeHeNS9Yl93nX1oOWegYmDGjML9JCqeaz81uR0torhzBjOSvrq5QIBKd4sDvlNVH4Ti
tHsoYGxiCnEnlHmLrF2Q4aRZ3DtRxxg/GpdDbFrsXYVz6iq1HuzxaJV0SfPrxtiI8KwxoMvzGb29
cL10JTnRO5G9FSmjCfk1Td9Cd2lhFMpijIVgoFNOLBGDNnHXey2tJ4VnN6VRBl9qaTeEm2izuAgr
6+vgHEbWSr32DmbrCs5HMMugh2qtXBHJ0NIkC3SajcygGQzLEYEvoTUp79J1H30AOjL28IK9RVqz
5S5dZZO28XizYBQ4fKPoKtaFKV9VRPkUHB2k+a6ptsp/YNCWL/4PHEo87A4CWV2SNwlbWK66m6l5
8bSt9yvp+I+KQ7SUprB1C+qZZbqfpHZZ102VIypMi3bCr49199QEaYNhII8vo3oiCjLQi21RauYv
gFE/ivwsEwEwUiQh0Gubn6Q4VV/XoRxzvqS+RNwXq9hdx0iNHquAvBWjCOvbsoFn9HMhzPx+vhcA
cVVarkhgHAP1wScVTIvoHFZhCdNcSMY74ByQgjQpoSaaGc3UF0qKn1/RED9qm7imbSLJsT1SRuUn
oQ/rPwJ7dLFLl4Tv3J72Jem4IgTY4LgHWnbQEOQ2ifw3lYZbOx4f7ODGS7vnwKYokpp+NEW1tAJz
7Q8dOpvg3TQkcFFI3zkPR9+qm066t2XU4WTm4baskX46GFmzduDFVq8NM6CkKa4GMqyDNiWz1MHV
ZK0anApeUK5ybaZFZ4tcqrcoZF8P2k1IKJTrkNCVT6xVHdgPxmsaxzUdWLCWafeziLzu+f+6H8g0
pvQI5hLpVhUMsron1bKZZ779mifUPliqJjvaApC3gVYSbjsN0VvIWY5PAnd5yIE03TaD9WBGCEds
4kTTE+zljTHNRHHnlJfqOlNHVss68GHRxDuMB9um63ct08bCsohyGJO1A1xhimGhJQZ7ZXvsjOEO
LvVj00D5nDxsmyMBHpxJ1dQeHDteiSZ5dysETV1H0ZF606YS6THDwlgRU5/IAps5FmFJQQ3hsKk/
fCNdpqw0Bri4juG6751iGNEGaV+OgNTTPEhUP4ZIQSKuk+ohrJxXf+KQmCZLm1PUyIA087elrn2x
9HhLjt19iELKT5jo9GjCe++yrp/89tVhQIYofCOCq0JDmANREWzGhDjExyhmE1xL3NkapNVdy4kN
S034Nc3sAzaQhZ46mz58Ey7ln7clou4ywk1dkhOmFY9TnLxFac2wZlto1aHX33x0UH4jtkYe3WhU
6KXTrWpvp/iu2+ZjJHm7n02O9Ldr0Eb6sJ0QSTamwWDeRib8lIFVN/N2IctzoB77xKHep0lhg6+k
xeO1znPrIAspwWCnDG9yo3xCn3OouMk8tLdJBodSe/r5M/erJ27++z9p3fB1TEGTsbbkOCLRlAmb
aiNnwPfzy+izVPLzamLoOrpwE0X6D1aGDmO9WeL9WTq6bGuMNG6zjOuRQ7QZRRWeKMb0Gv4OEgQ0
az/ac0dPhUH4RMprQK2j6PL8/CX9aK6wTAZNUs6CQonv4/t33saDwoKJlpZ9PYjXaRunz5bEtN2l
mJW7wKFCyCFkHOLYqq/D+bb/+Qsw/uqzx4oERpDl1USk//0ryIPMqNuscxB3uBzsu4GGUGjF9eXY
+/29Dgxmy/neu0ry2cBgzOTexGjXra1rDBiNfmFlzoDEzOvXTaJXV8Voxy/uGPAVjn58bY2i5d5T
yQiceJS49Mayay5kZ7n7EpTi6udv56/ejTQcxxagFXCAfTIyTVoxGUhiwerJoVkVU4e5MGCK/vOr
/IUu1TKl6QqEK5YhXPvTh+a4ZWx4I/BEG64SomjHPA8c9LdeVIDfyEwX6rpKV5Wy4AN5SPGGuG5P
lVnLm5+/kr/aH2FLWNKFtoYX4NP7jVXXtNwuDqlRcXbTV2lLomyGt80WPhb+ov3V7jhvfp8foT9f
8NOjOuBOdL1kcpYJKxRfu5Sb1CIfMAVfcSV8xZqWcdYVFTMFB80sehPB2SGDhtrOus2cLEz6BACU
ytIFsFQ29PVrjTCUZk48bIRaxpGuZsFdcQloVnuorEn/xbv4q0/NRV1rWrOa17A+Gaw6v61A31Ks
jHXPYENgTJfw4bB3e+m2iE37F9f7i6rNdF2XO0Z3TMv6bK/TksmWKqOiiFM5rlOdyVuk/GRlmfG4
MXP6bmkkiqU063j7r94fNiBPSkaqKJvH4VPV1oEz8XTLcSHRJfbGHzg+9kp/jYUpd1HYvf38avNt
//3NMV/NRq2um0KykH6/loRAuKOq5Gooiz0SD6eJuI9MLFI+k1+t5T8+6WAVLYuK1DMczJDzjfqn
PYPDaudGZesu69J3aWTG+E2hljAXm5H0atIVLQ2iRis5itskh1LeKZuv2IKxgDsmWXsjBurSsZKH
f/lDMFh95h3GFiwRn9YG0DLs4wMvrGtgMnWm10DfyMsN8kn5C+vNj/exa/IJcGNBLcWA86k6FgTK
BA1dtqUVkh9bSjNiZlXOTpGaPmdlm7/S4/9wQdyIhmERlGOxfQr3kxeh6whP6k1AfI2W9khWw0pe
GWUsTv0YJs9m7VsujXlOvMxgtQA9sDlgvh8jYx+lSccmJ+gqp17vPpPxTRtKl2mFaxAT5y+cWdYP
j5zzbUObn2+HZCT56RHPuwIYWx+ZK1mo4EakAJ6CqGh2MCNi6Nq07bq4oFYakPD4Ht1506phFhdp
a2zavHXixRhqHaTJkmT1xLS23uAWT1PUykNhqPjBMcL8UUap/ZEXRQr1xhJw4MYefMhC8SDeluyB
C2GJ4TCYvbrVMsaVRZsjyi1ahRZHa5nHpg6E1TaxukNZttPBLaryHIZFe5W2CodlKeuTAvn8QZk/
+UvDdmjDunnFHM7MxNbVFERrTkjlTdOWHgqKNH/3xzr7hdnjh6MfME8UijYmFHB73G7fP2pm7pmd
FcMWanw/u+WEY9z6wTjeSrtEg1m7yZU2aNr7zx+jbzfvd4vJN4Qo350rnNlq8umqnhRVpFhRVyoL
/SPxQ9pbkcMhXmU8fkiuSOc1qImRRSPEjQvDfzMDqR9//ip+vOElng8LGy6fLU7cT6uMlkmFIJXb
yLB97QrHr0G3TLvlUBpej1Wh/6sPNIzb+Xgt5lqMY+Gny5Vl5dAjm/SVpYpN5afRvrejYcWRnHho
XVv9/M2Zf/HFGkJ3oRBLHmzT/rR+pDMqmwOswRhj6L5Uqp5pGbpTP0kXHXbXNzZWsWLweyifGk1t
Z1A9arNx6lpaz7mxy2OvfpNezhMGVQSqhd0hq8urMloEaNfWOKm929oeMw2FZaiuRxNOU11nkHE6
5rg2+yISTF+sEz2LXqea7NEw7lPm2zg/AOyQC0rO6coIXH6DgwWERNciM4EATt156JX3gEpNJYuf
fy7G/DF/uvUMm3XVojQXGHE+LXMNwczgWwJ7FU0ZnitVgQPhkRvN95688Ru999DqVSNWjTqTDFvR
ntESbNCEes3IZLGQvQ9TKRgIvMYgjlgvrV6tbh4FFXExt7U1sh45pKl0HxR6dqOXZkkKpAotg+QU
nNyHn7+j729j18ItallS4oi1LcvEr/X9E6yJqg3cmjIxkEyMtalaZ2OhNknt00jUouEXm/P3e/OP
l/tUJJZhPbRkBRDArmXOrZ4J5FuZHz3//E391VWkx35qU/9arvxU+wLL95xKQ/+tFS5aP3g14DyU
84uH5BOp+/c342AoxtpIwfGD72tIXbfrEkDOpZt2W82JXvn2wf1kQEj6wq+2WcnTydWPNG852Ug8
hFWgZZs6chw8FvCHU26mf6mw+/aqpDUDAoC4Q7j47HLWA53shKpDXUVY8NlOMZFcxAWqrNQhWhFJ
v+f8Yhf4fkf95xWlhNcgAKRb7qePe3D6xq9LyRXZ+mC0xF84DfYED1N6RKbrr1KnlUsFKPwXN68u
56X+j+fR5dt1Zk49vAxiE2zOdt/fvrFyep2Nwl4NXR0xxSC4TFSNeyxNma/wL6lFFXvRqhgTYu3G
lBwfT9TGrqG3BI6HfshLEg7EYJUllM4pRJCnJ67JJIOkgPNUNuXDaNvDuy+VuGwdU1s7Q4+EpmRX
OgIFQ0dX48GBlkN3RXm2ulajYx501RlMk2lHuYKGUIicaE3UVH8Ejd0+M6Hz8NkWzd4NGF9ZSaxv
Kw2hUpYYCcMkmkAkcuprV5fx2iCEo0R6Ab+UVDoETh0HpNhRjIAnFaP1rCyKOpwwHFigoqWQQ4kS
8B6LeiJ4xs6DB1czygd6mfEZSlC1kXk/8WvqumyOkY4gWqt0bWdmQ3uY9Loetp7nzrErsh4ES7nv
ItAffYfgk3E82VWlthjQ4nAbs3iD5hJevunycnhKArPZBjGTqBSbAfA7w7cOQ17H7iYVxCxFkcNK
qDuAKDbJAA43tnLfJNJIaP7OGqfgKvVDJHp0qhPgxLF8qoc3MzTqHQL4iLgLo2asily7Npg+9LmT
oawzamPhx0bxQNo6NB/hGCSXVjoqosyYfc/FALhtaDPJqNEfK7TMBWG7RecJemBZuupdH8kDvoyO
sb0YSHsKTBgxjNGDiZDOuEoOVWxSt6XRuFYAuYk1TfotUNF2Vxmhe1unQK6LADSZdAe5b9wRlqzy
iOxNg1kQyLZHBxbTIzyg7L1MW/HFN2JSXDSH0J20iHt4gaHcOAPBv4vQ1GlWJnM+RTmp9poYT3Ie
+gD85pjXiENJJ2VwPmg2PsnKPwdpykSjp/ZQDJr0QgFssNxHg3gVZxFPoV5ttMbzH7M4Mu6ioXB+
sdR86nZ8e/xsjloAYjwPMIn3aTmP2rHL0RBi/EZg3YGYckY+LC2WJXL/XtEd8zGs2KM0vvaWbz2U
tuUwShrIGSkc8jR/vuzPD/unxcB2bQ/6gYMVRzc+FS1ZgiknqSH4JQHk1y7OuvJCwmOxYGSN054F
vLquQZZc932LnqNJfcSXP38J38AO378GV1jSNqTOYd41xaeDbh9rMgoqzVvlvovXwdtrEYsusdzI
CjOokOJmSoZNMraohh2CxYlNhxnsO2RAfaMGFCsvQouWAmdEoFbG8GUJJiGQAwkaZG/bPpQYyUnO
ZWkh+YQZcleQsJkR7T4tHJgJVKW7b+/p39+G/wg+itPvr775x3/y57eiHOsoCNWnP/7jKnqri6b4
qv5z/rH/+Wff/9A/rsuP/E7VHx/q6qX8/C+/+0F+/z+vv3xRL9/9AbNmpMab9qMebz+aNlXfLsIr
nf/l//Yv/+3j22+5H8uPv//28p5F7DuNqqM39ds//2r3/vffdEHIhmeyqfz7ny/yz39xfMn44cXL
//u/L/Vf/9THS6P+/pvmuH+jhQIGh73InIt0NsD+4/e/8v5G0xG+wgzskRQKPCF5UauQHzP+RmMd
Izc3rPSYGs0n1YYj3u9/R9FN5hswIoO9DWjJb//9Cr/7wv74Av8tb7NTEeEr//tvdK++ezRs/oPu
2XQcSLsBpyQ/dwOnKTFbkj4Rk/dJvvGdBs+kzJnQD5hCDPMhz6J15qCqUdUjMc/XYATSRVWBqUYU
hHBWAd4vxTAuA8vvWIFIYWTCyPZe4h833PHRJ4L5LvCZBBlJ+lJEw0kEJQp4QpS2gp5K6ApIGMSt
7XtkusqoiRBKrtseLbkI4FyQVA4oIxwRhvBjhp1YqzhRsJE7xvPkkNKuUQ1RIIbrY8Q2vg7kDC3L
orFh7xjdnRVZ0akUTfmmBm0bNW676uxEZ0tH4w3aJ9/UU+hvfKYJ25pT+iYA6YdSHOG77SQxD+TU
bsw4ZZzYVHddwOkjrOBq14P51SiyflnoKbLdsiMfLyu6ZWj5qM9lVqFgw6swBsaznyhCf7Hm30zO
vFVNSHCCnjDhrmgwMxLeggWkGfcGHl48LZHOKR3r4ABqSitCmvlt+DL03rQmKzxbhZHlXhJpAzPf
bFqQeWOB1Booh6M0JM9Bk1/2HSZJUc68MheMt8kMAu1URnSwXs+WEwNyclmjoMT9tLCLSJAfzphi
tF1tl9E0BrGhnowgvBrzmGDzRvX7yCm/NImgf++hg4i14DFAI9WDl9q3AuOo0TgEfkmUZ3nQveaK
pQ3uC1JCSgqLmAE9hKMudf858IylKPmiU3moDXfbN8zDhuwk2hawsPOemCFy8wF+QVqcw5Q4vIKa
aSdU3r1JXcULrUrUns+n3zhVTxjm3Cu0SaaSnWHcFyH5zIWGtV+VKMCoiWZhWpicsyL+OohuPKZm
/M72Z+5DWweOVunYdmjy7KusQjRjm4cOauxFF8oKBVWQs6PrcutY2R0QdW83ZE20MQqH0ydgB4Sy
guhRd3ofDYannoBFOVZBcRCk2G6LEfhVZlrcm7UqlnXOjNVGmSvGFPIkmVyhhvMq2Lbj8KYPyMv9
QtIjio6jp21sh8A+HwFo6z7EjA+H2rqnynsdo/LRMpK7FPuUGAwDMmd0XcTDbRnEd00J6kRzkf6a
DaLULrc6HJ84kQnDA3qSgZS3p5NDkBfxNcjr+wGHci7lORt15J9i8k5pm+FutmMffndn4NtoAWIR
RNURcTBepzV6ByNyX9QYE9vm1NN9IPQ3U4nlMCkMpsEj0d1yIQWQAIvy68KGvMXOM50yHfVFaITn
Ke8wbZDGl3g8XdFkr/20wnBcokp0sdtpsj+IaLhrhbZXbg612x8xUtBSy1OA+3hfNr1AJm2UBKa6
uO6Jc5AXthZ6D1Ulk12iJa+F1PeJZz/FMd2IfjSt5ehyhC50VHoMCOw1kUL4arJSXodxd5d3A0C/
glQAmm+PVgHtNiio9WnsXeoqenUwjrg9NhdpZO84IIkmlqa6tOsJHylt1o3stWM85O9tOBIiSQom
Hu4ONAWJYRgOZ9S/qmAQdfoxrl14o154Jj0LtK+Gc9sPnXKJ5BYXeQIkMQzclcjwl+s2lIEh4gmE
RJicQ1xu2JEKnCktcYFxkj2WAO1Nr/DRiM/qVl/TbkIHJISR4QLLPVKRq7G+950SBGXSLyA1M9yP
nGHVppiN0tq6CWsPGVliHasa+RkDI6ppyt+LKsHMQgkf8xIh3dZW+CUwxatogysjYGZOE+bF95x+
wTj0tqpab4N/Ot04Ncau/19jAAOgxvA4iqON+WmJQTTXa1G/TMWfy4z/+cE/qgxT0tBndslBl6EN
vac/qgxDMimBTS849Yv5r/67ytD/RieAR5huyDxP1nWq5j+qDOoW/qsLoPwbrUf+K1XG7wf9P4pf
qgymLpLGmGDGYfM75yrkT5MXigyL9o5uYmHzc/QeOs7zyqxuAiz6j0Kl2mMXyGed/QbUMyTy2nY/
tMq/H1NcS31LXECZUgkzD1frKXPKLdjuefDMtGiyyxstNEDSGClQDKtFU5nW6FA71e9SO4hh4QcQ
TRKSnf6LvfPabSRLs/WrnBfYjfDmlhH0pChSXjcBKZUK7+2Op58vumdOV2bNqZ4BzmUDBVShkClD
Mvb+zVrferYC6Wzi0iSAobBRHucqMZxWxAWaQOLQusdiyr+h56B3ACKwscOY69fISGhFQgFM/SuM
wt1MXFDZmMwz7dQ9ZKDVwHngGlJiwh8FMSjISXDit84DuSxkxDAvBVdIA5oY/VkL9C1RaQGRm2qx
bxxxMTltD5pVXXSNAAoHMiOObRb7DZhDntSZoker2I4QHoaPbJbLuYzO3zU5u9sgJMepP+M9/HJS
jD5B1t/mwgp2TWlO+PsSoF2x9tng9Y0N/dRH2lOVjz+DsD5RssDonV7LydgMY7DLivpHnyRwD2aB
xITtIyMhpQQqTZXG3uqt6Pp7pwHPENtY96YxIP+3shZpKsHEjgQqGddEtSNKAJ2AaYox01M1x+/Z
GMd3HZhjBk/2Z4ROZK3aDlyFgjNST/OSBT/GQJVYkaNm6CFxEspMrTJ94YzPOacSxbdszFjY20tf
OB1+HB2FIpEuybaf411Zyk1Y0T8aZne2dCFwvMCHaRs3QD+MHCIZptoTLlHXRFSiCe5Nko4K62kM
puAsy4LqtWaVrKTKezWB3jAWv0JM4eElWVesi7FAns7hySr7PS65u/JWsTwntra5ExGlrakKMbL6
tcxVssQNfQA3oce4PCWG977EPEyUzIUhVrKyeyfaZ2IiRzkJQVeMTb+LcxbJiVYvn9SGj14O1LhW
EB2xXmKO1Cu8E/X40SLgQ3YNQmJwa3VDUfEwGPldpyZIhyKReWMPj6ecy/tYkR9FibUvkd0+BLYR
1ASEq9Le4yaDl60Pz5ZAdjD33RdShbchnu4Ch1FHmIGNH+LOfOHTNL/KSGl/lmLukeDanzF5Ba20
Ha9XgysheMGqY4B/GVPSiFhggqHN5jcUxIDeYeT7nYQRRS2DkW3QDJKUDUSd89j5jkBtBAWJJw6t
qMdvK4Hnjq5f646xkxS/nrSDEtpjLHw9dE3SNHR8jS1hU30gF9AI4P627ep1ZUXK2aa88cmn48KN
ney+dCPuJQVAOiiwU24DNutUrV2TyJj5tQkAqYg4JIyqRyobkQruSBABjHOLd/ZC3RYxb3c21eKH
VZF/ZHUWAx5t5AQpCk3xAwT6bJlXVrEDrrrKDcc4Ee16VzGs3qQFidVJ3sfnqBlsZKCwJ+LJWvIv
xZlEUazdOnAOuFqD73RCPXQW2rlUlq+j2wDhyD+VcEQsBWNwnTKn9oiehW9odId8cdpG9vyZliAl
lCjDIC5+WhZSe1zkbxnTRajNJvOwasvh58qZhoVxxMklCzmgiuQVRoFbg9SqK3Tebv3dx9gQKyi5
IMthSkstfgc46gKljPpNXLVbBMGwPtLgg7BslSJ2iXOoh0c5GdYq60bAOqBNPSuHGBYiwyWzujtW
rHvw4ourmzgPEHJQizc2j+LM8HMQrEByE0ezFje3pM/uhwVqUSBp3taktXhEI4Te6JjNiq3hfTuw
qWPA+FOP5gOnceZLGjUUfFc2pBiNozDxKghiPAfPc+swTsfB0bvs6l1nGs6Brd0HWVgjhzakl6oh
lX2M5VkL+3U9OnvVTLv7rrHdrV5m9mkGAAlftt+5WMaseNDJFAqcE28/LHejWagjFV49FM0Ms6v2
GoIRw9ppoKKD9ZgWffGQZuYpStx5ndspGbsGnIoOf87EzOlCWlZyyVWbJkPgYZGkdV3CzsAgHw/f
jqIpe2NpbiAiDABQaHjCpfXJ6IE0eqFkaYraMPia6ZJAFt0PdE1DZe8ixj4z3VQZqL6bOW/K0mbp
S79F3wUYEHIkerBVTk8ml+ZMXdq0bmnYhqV1I07Ej+nl8qWpI7FGkCdcvTuJNpIuQuGp0gPORfOa
LU2h1aMcznp9PjXSwAYtK1C7NJBuWAI6o6V0jCrHqNIrm8Gh+9eWtrPQYpwwSys6LE1pNKrFCdnR
vMmFYhGBS/MqM86J8O8NrQEvzU6rBA029NVx6Xlzmt9g6YJH2mFnzMGTLh2yuvTKCU1zaFVoEPul
kw4XhauxdNdy6bOLpePO53FY8Q68aRFOcEEwMocHHXq39OqmCVOErER6C7r5NIiztxrLxtqm0+c4
drgVEHOPOu77PFevTlG9VQ0FuEzVaxvCfyvnzFj/u979v/WurjoUoP/vkdo6+z+X5vda9x9/6b9q
XfdvjMsoaNndLfXzUrT+Z63rKBS0SIlYWS5DXoa9/6x19b8pjH6pZy1mZkgmF97sf9W6+t8c0sB1
12GrTbix5uj/m1r3z/O0JcPVNRFtUTn/SZ0ZaGTsih7lhbDsi13lN47mje7+qwWXvoysf6moKff+
+H2W9e0fKup/4telKo99hym/nIuditp/peZUDUoaPhrF/MTd+B5qYbqrHRHvapTQ9KapuivqcpMB
i2Qpg6o5sov9UHVnh/UAa7UjR8RPR48uvVZ57DrerTYGp2SAxGtJpBnqEeZPK2B7dTDh/vCO/+eI
8o8jSfU3hQGv26JmUFFLsoFeJDm//mZAVIk+M6fA58o+pLlPOI6X+ahW3Dvbs/FdrbDRYU70hB/8
qyH9f/eq/vF7/7a2+CdlvyMmvUubN6jTqOx1Ik3FL8R9Rro1LiWGlROlmIDm2RbB26TgQmsCcu1J
E9DB2sDi70Nz9JvZIfPIjogkK9QuIy4WJIetEoXZ2AOHpmSMKd3xOuYWEKbe+Gygnf0PoP1/Str9
x6urIrjj08lSf+k///i5+XfS7r+Tdv+dtPvvpN3/P0m7v2qKlmUTRztrUEtHesFi+LcdKLC0pHIV
jvbK+jJxUzTL+FP/dON/Kf/gFPv9dvzjN1qEKX+4Hc2xETIQ4O47315t/HO3b7fDEcLWVl0X19Dv
V399af351leZsjmOyrgMdfTv860gq2yriSXjBn4jEwzx1KdrRlb/4n5S//wCYgywWRwiT9UUPG6/
/l4lCYFdOujL3WivGFg8EwdBWnHrqe/Wq/vMvS9XydO4g4r3178govNfxTzos1mKLv+gnLLdZY39
6/fuVYtuv8Xs2MzGtHYLAiIRgawUp3oDMXYkBZ21mbzvwe+4KssABfBLDECR9M4+8lIFAklSmfu2
6p9yF/GL3rtYyw1c5prIky2rqp2pkwdFq97PKZb1jPDFMajhfxhElqsqLhOrJSVOCuctTCEvTk79
lLjZDHRBw7ta9N8WvrpW5uS49uXjrCImqFlSjuSwBHF3QtW+azDiJX313Y6lTqHPVB5uQxVHn3Zv
0XcS9OHNTpyRQ6T8INfzNovpEw0K/yPr0wNvcr/CKf5omVHv9Vla7WoZvbRNcQoG80Wp84y8k/p5
ipV+M0mCwaYhecWhcxc18aFH3kcfCQ9N9vTntVNOd2kQwGJqZux/yCXBp4ab2ahLzJroXFR7R695
JFG6RpMEXyntG4lnK/kR2SUGimkRj0254RdSjelWGvLglRlUXq1trU7cdRNZ2smshOuhbvczIbtr
bKlkLeOW1d28J+cxAhNcAPCxTPQjkX6H4OBgavzg6ehAI3AuYgSoiraUPKbknWiMcza0qFKAJ0zV
+yAXbLwKm6hMQoINdBJq0cIIEuLlFOo+bpjSj1LnGBX0nNYEkkwnIhlTA3FhXd5imBrX7TQ/Opq+
z4LpiBX7h2FMlzwzq3WyaG2ULnrVJtIOSkfrVxNCJr/SWIHK1Iw8oyWzTFQIJyZCZ5iPNql7p7qj
QvKCCm61GJ5qy2UeMov2rsE28dTUVuOjsDfvXK2HCdSVNWgwQIEKw7kyMU8a6U2wBVTzNAXlG70f
82TpgvstbCy0KZaBycaQPCbVqVEHuOMRAmvE+ylTBXkpdHDfU5UWnhozzK5nhQkgnl/mHviNk5xI
Cru1+nU6gMzIp4yYHtV8oT93fCahb0ZEnai2KUCjUQc/LvFA9WJ2FhpzctVTl6jAKj+nfZpvMteG
gaODKyjZQjL2pCSfrkGb57thVgXhv9VboNr3hiBkODVd0nBEDF2p19/MGb5GWRbTJppnfiJFAYDr
ZuaG2KVndZ7vog6cS1h0DfTT5eOl1LdEwBlhFPsD9yChFlLMftSp9U7XTQGPwfliu/YCi/U1IYyp
kP0tVYrH2uhfA6d+SDHQiTDYGYqoVm0EGMfI5UdkwdBodAIZbPNraMTFajNeUUsR2WttFA98EB6l
Kp67pm0e8yAwaM+TeR3XIWHxoW3DoiSbT7ggDLXYvQgdkGwTGocwaMtTTMLISpSgnpWZRdcAqNRR
Q+3dVPoWLh6RCLahth7a9wW+ODfHPAas2hY9YHxz0j+S3PrR8PJ6bY48t7fzXcgE2QunyoK6oEnf
HSu/D4M7DhD0NczlmbxunM7aZfBDrYZ3lglXodcnrVomuTCHIY8XQM5qxuUhDRTBJn4YfujA802w
LTNPZ15BJ5EpMIF0F7NLtPryhs/wbGvBOUxdnj1IJ2poNd5M9pY3ZvNVFu+mE8HTr0KogCxG+55T
QZ+qTzszPk3g7m6vXEtl2qlzeosdImAssKSjcavq/DPkLtEafSsaApHyFLl+PflJCAzJTW+lOIHL
YUrKxMkV2I17zUyhZA/JTrEBfHf53maKjtl6N5bmNk3Afubp2N7Nsb6KW8HZSAxTbC/U1WwzLRD7
wEq36vhUhg8Vnyl1ilHavSf9Z5JOd12rNJsus3fkZTxInZPJUMk3A0ECer+N49XN6R610jypqr6h
8QSNxqheHsvszCMDZ2wArwPvYn43+YAgMPFUMiPbbpfrCa/aXF4nkRHFUHpuX761XXEXZh+jhS9f
JtBRWLaq1zxJJMNW0MTIt2nh17XgWkjraBdPeC8I8aQzY1GdQlzmXOn4BEkXjQQaQ7eHXaQBuoR5
WRMxplYuaU9EQy2U0Wh8Ddxi07ofRC+Q7AsbEPoKgg4uEayk2sSXSEFGAq624NWOwffcyB8xwPU5
PxdAv7UpJfI45nrvufPVjmMzR7bR3yVCW3YEMVmnX2HOal0DdJMStNJsYoByAznemRgvJEiNUHnF
yTHc0wz3BqgVG3WvqQkcTILntEWJGRmkPYKSnLNzV/QrydQvUZRjBJS8sEaCxJ2VDcMhwzgck9+C
Hug4KBcVcc5YPcRB77W8D1HDitr9qQOIWqJDAXavmRyijyQDoci5jvJ1DgnRhCpWwOqqiNcyOdug
aiBe80P1Z6kQGOHILSE9tdlv0Sa/N+7rzFyx73gCbHDOYFiD55lXKs3VdQ5ZReO/O656U79WCfrW
mohJgGVtGF1SGzIRxEA3VKDNRF5NgdKWRLbGsNCj7tDFpMBDroPs10U84DHvM5QPCDM4l2BPqJiN
wLbpkhxOomJdgjUrcPn6hrWNl/DxomS6H6dpowqwyrz01RTsi1w5OIF7cxTnwrgFJMi8SisJWdnc
p+GezB1iAlDz4HVjsIuiNB8vdVAfI9AgoMAupnLGsrqaA/cnLoldofNIj7wbAiJbl9wnNSNttgZO
fZy0o9Hnl1Ahx1iH6BxPPsU3yZZAuMxuLfPHsALAH8MI61Z1H3hKRQBUbx8ijRWBpOhiqgPGJQsl
tiOFq7n3Jhzu0jEAULGWI2c7WUDx0bQeIOAMvYOQ9VudfkZNRHrnA5aLDSWGn5czQY3hzggmP0DD
itrzpJAYv6gRwkY9NGyVNMK7VobdwPggzwzamIbXIx69POSQ0NCOkDaNuti2YKZBFBinrzZ6D2wu
GGN4aPn4KV37EOroqvnz0DlKvWTlqVEBDy/R8uVK+5o0LIpz008grLjg6idXuYQF6y+ue2a8qBy6
9eCa58ZcjjtGyTCKHTY6YQEVFGSkzcQHN9umEukuQBVhodRykRUNPVofslCFRqYbG2IDmWrjuKeg
X0qvFzv8iNjfip70YYsZOwiuYp2Ajm8WXADz6FIZ9mk2rkio8ZwJ1sDIOzUGG+Zta5v1ScPLkpF3
JfR5g0tvo8slHBWwVXRrNbRbwCAUZGGd9ooSjSw2CYTg54TyThUEGNggSgkMyRZ2nQZMG1zsaHee
ZK89xzfbYNnd3Lki5EeV22weD2MNTWYij8Zqdl1+kkX8GTbtKSQ5r15i1c1sXzvRayTQx2vJAmlw
aTniJaJAKT5MJ9DWOokSI8orpdp1FgvNmQxr2Eb4rrwI+ulU17wIgno2J+3U+RaG8rMTOaJU7ZFg
sDtljG+ZEzyJiIhR8gmwkXmqoT6JuHjL1N7vmgCGobFXxI+FgNRFKsQjotYbPJKmkvqtAxrPiH1y
b9AKkqhRR2QqlPbHbJIhkZhXtiVk7oAMUtuBPVmCCLZqR5hs080KyXSKAbcMKcCjfmNN1pk8g84f
3fox1nl5ALNk5FkR8LdO4u6Axv5s9mfbeYoguerhFjl13k+g9N67gnByYa+jYRcQlTNW373z0IyP
UctGkrt4eXMRFmqxespU2H18JMw1u34EX7tRI6m89lt7HyY9xcibW5beRFFtSjKaLqirgWSBVCgR
ZUXQx9FzE8/LovOZv9UNDGXXEY2Vy6ZnUN9U8ggqPnIOBiKWeLmKyio/CYqCNHm3oT7XLJrLMt0Q
RHQep2Wh/VzigWmtcEN3S+i6A6prhx6UJ8ALs6fIudowCyFskDa9rkFvorj0pgnsFgwlqxh3Vn1f
sQ9ELDEkR2xxHieM6WyVmthMYHeQhLPsowVqxZs438awuwU8h7UgZcav5I9oxD8AXSNUntDM3eb6
R0G+sonG1BLXKkNOIKmi04zfbt4KHhRCEHKqGB7PyqL3ROPUxPda/iG5RTMyOwcP3v5RpADdLJhK
jvTU6KA1x0n5GeffAS+OTuiJpL+MGJXPeuIbdn4cR8GKcFob6qMZBMj/btRxUfCzGN5IGJuJeVGN
O86aYn5OdEgrmyF/U+3zSCRk1z1a8NtrEFQ3c7wpbOfbW0JgDICprHmq4C8aVP5Rzkj+MCwYpe8a
SmHvxw5bc8haJJKq3LXVYx49JwOZIqQgCYmW4WNuOQQYG5+qZlsVCY23T+VOJcMu2dhMzdNYCtRk
8FqLIfDsDOgq547CZWZV64o9cdNeWAJ7SoEaD+LoSN+aPYjwpgV3cXiXtZ8mnKP8yeTcGqwQDh0M
AvryCpKyQU0aeTkpD6mxVUF+hBQhukKTg0DYeszJ/zBEtE57yKPiHuv9jnAKJAY08nw14IFl8MaJ
ucvT17Bx/Kwn6mR4oZhDDJNUYJ/7O6BqOtyvllZhejfkj0DuB/0u4/MXP7mgLNH65KTF5RJUJphJ
sU+CMwnpzXhOOQYn0Pr+ciSHe1Z2sJuM6JbGR338kFDY5U3H6sIDWZ0czt9c3DK458rFQcfjJvsk
3ivtexmi1hBEz/jjXBNsB06d/rV3Twju3QS4MNFgpiO2Sqt7BreGEh47xB8kPlnWtS4bv+A2m6fe
b2HJNqDt7R3qLK+X+9rcTpC4MlBnsr1zSsIGWJ4TAm/BKXzuYGsmA7FJACqz6mYjZKz9pofks+QL
3AyOLWWGkpzAXBYH4p5kgrGlQ+x6C5xjO+0jmumxXxfpsFcRP2rdzhUjffZL0EPq29vzD2M818Zx
Tk1fqzQ/15HlboJE2SgIBgIUK+CcNWp0FDGyI5VjYdLv+tiEW2fspdwBvDTVk6wesuyODQ2N6yc5
DjL/CZHdjZ/z8b5q7ohiXZf9QZeUutT9KbC0W++8T/p2tilVtH1OKLdOgwYUsdoN7qsNoHtx2mfD
jeZW9l/98B2JcqNbKRZG1tT9TEVi7/IAFB6fak1L0BCYvl63T0ODFiOyT1NSvuijfqjSbc9Hoszn
18YyL0Xe+Ix4XhrdJMpJe8/sjoFKeiQCDvRmvSqg/SH1ALzFU3TDq8M629e0czPVG0QkKzs/uyP4
HLRDUAprHYBazGmOAib3nJ5i8DrDBAqZ3zTdlYi81YwlKOfpwzg2g1C2ravujpgU7qf0UVBDI05a
qUsue57wpK70ZRPHsxoRW6TS3I/7mDRhzeVEee2qz0F110HyUMJhZOkUDR+t2Mc94cR1vcIM4Lf9
ZR5eBY1jqzIxqKAFkrFlTLtimtYKkhIa3qH8KqBGu7PlN9GLm9WnJHgh40Zq1V1Z8LE04zuigzrt
0a4UDqNnqZ4Krulo3i0u04z3TFrPebGfEBAH+T6ZHjv91erFNSFoKWfBThZiMXPP89SlWrjBq0gi
2r5ID8TKFMZPa2RcYhBJQMGIXCbQT0X3EYa8uBjV4qE9axZzGXHupx1oBWS4zN02oX0fo1qO6QwM
5xLNfIpgwBblawhCM0ZOEy4tlmh9e8HImN1DbVRroyeBybmUHQzKWB519RDPGff6j6EjNhPtcVRt
TZjgbfDmOO8NaKj0QYeQVBIup5i3GkMrmhYf9oQfpnfEICOHOMoM7S61bKv2nu0+4UjwSh3ZElJ0
d4mZI28TVbtRwyHU+tcWDlAbFow0Sc4hPksaV10kfp61hAKg5U8rIP45d//PJq/2UR2csqk9pNqd
EN+KftdCiUIDnpMTYE7IC0P+j7sW8sD8YTsWjL0CNFKwpQkH9U2JcOqldjdBxfTVvp862O2Ew037
DEjTlMBMTol8egrd17ElSr3iKOc3BXfjadOwTSwXUjN68oKwda17S4AZIwOmyxw9S8GrXFG7BNWO
1S6HK+x2K/et+FI5/XGgjpdGtJ0TShijP8oKTDOlGmXlBujZSq0eulA/ht1WR1+dNA+WA6sK1XMJ
Wt7NpGdF+r6P4uNUgxCLurVQEo7ckdiF1l4nrliDHoVyXXhEc6pqvY7dA3YYL5LVyhV/x6WzaD1P
oKmq/lqlPyIN8LQwvXJxIhJZkvJVSACpiM5LU7BlEpM1Y39ET4sorHea7VL95CmnPCf3MlhVEfpZ
4aNeuRvT/Kb2Q7mHuCbLHoJoT/Pjj0lykODFVS06McKB/iwOeHLWhpP6RiV9s1bZ5/a7ZBpBDs53
bRDzDCTUMdqmJbhWreN1nXAc96S+IMhrxgW2cVHV+MTsFzeHcsJeUTAtUBIIWnvBAGBC0e0wgmnN
zxGdvNHWa5GeS5sXTN/PGBbjER7lnKzLzvBHvtJoJ9uyLo99vdj8tK+6xjqIHlv2FM3xdM2lU28K
dLNBzduTLZEv1RIxRazCJeOjZYRiT4F0iJnPc1yhRnUORnAq+U8Z7oP8LUAwvMpI2jCEvGqjAu0M
OwlvHBSc0cN7iubQsrdWQFnnfmrp9HNOHoceTHeZZ4cCC0OqzwdXlWhTU19krQdHGuVQfkx1RPmW
/Z5lKKtwA7tZcoxs6Y+1QhLdPL6oVrjvY/kpFUC2lJvKTMAreOGm6J7DQdnoBKwXjkmvY99Kvbnk
ibsmQKhdTZa1d3na6fTuayx2PocvYd7KDRrHsSb6HG0SgWO0YhoJlVH5Vkc4jVL5MMXZxs5h2pJY
G2HTUNWOpJDRm2vJR0u/LyJzDYJnO0Fim+hPsUesq8k9OTmayUTRNnnrbDR3iVyQXsXMELTEzR4y
nnvnXoiK04pep8/J0V4ys+ziCfQm129GaKSZyw3I2oNsjTtFGLcMUOSQhqdK0b/SoP0Q5BIFmTx1
syV5hBZhE/M5xkeTcqz7+DZXLmMItwB4WUylx/zggdkMoQlgLhHbxYQEAtzTC6fbVYkAeJtPbwk2
Ato2RCOQy+rtDEbxbCXEC7WOuHbopvyaIYPrMKQPdesttshQ0PAB84jBmnYZtEs43w6IGl4OIoVr
eOtFxgHfNC+9LV41Irw3RtOTXlcj3WqM8h7J6+SbjfpiNlq27gweHgHB1GI2t7Id+tIipR+xhHzP
4vI8aJAaO2O2SHvICh98BNAS3oS0DM+Ko9wNAygRe9rbadwQt0i/WFD9/PXK67ed3rLvQoNiIstE
f7fYfH7ddyHPtitDQYJaURE/4+8jqKYzFHAw1udff6ffFC9/+k6/aXl6WSiZEvCdFNJTxCB+ZEpG
MFJ4QlB9nC3jXyB5jN8lNv/4hnCXXNKBFR0R+q+/WgIY3jByM/AHUXoAMj3cQlF9ZVxrIsP22JP4
9kiHNL1mPfZy914T7H8WLTv0cKsRmIHuFWLXcsSWaNCJWEmJryzVq1HpLcV3fXQa3OgooSirS3hm
cG5i7asn0w3EDnXEncUSTE0etfgz4eIIkPBN9mHG5TNOVxMqSNISugY+06GdSp9rWeyiGVoBhXOu
EAZiG5zlfLron2hP9Y6/H8vqEjbKVTPaXSL5w1lV4QIbPs1o8AmN8B39CeHSJg1mUklJLVmLJQ6M
TZfSICr6JDusRe+b6i/GdD82j6F4C2nDMv1ed7Z9+ICCkwL/4rZvqX4Gcecj9F8xvw2Yk6HYhPDp
eiotjMi5AYlrcd1pP7XfgljAlo0SgVYn26wfc4TvimzYwSXnvKDDycp7Y2x2WcRAB3HwG4XjXhQf
hpkD5zYhn0enVOfcLYVyLCMmhvZDWkWkOGc3hSydIVdZ+2hw/9R1PGkP0dyDOuHCSMu3FI+77faH
AGdTIHpfncHvwwvQSmc7tx06Y/OgdQQo9epbwWmFSP1oIyAdmG/K4T6YrFtlkXgTEW2dv9hkK8UE
Yc7lu5SC+uvF0r5Y5tFsEjNlUvOp63LcivLDbJ8zvMv9VBwzM/Asd9zKxQQFSYGXeCXb+L5RdH8e
auoRpO4xOvgBc9q0H42KQJDNACS7mw8ExkItECmArgLLcymPQRQgSn2VgIGrbNpmqsmQY2QM38FC
Fmt8mWaPmo0o0IlAQWdojmLJW1ug+GO/ZW40KXIHT4bi0eEPjAbDcS3xySFUkP92Nsr+5ugg0O1Y
+7nxvrR+juEeY4KXdS+2/FR5c5XmKclYtI+HBDOpq57rcRsxb0BduCryHxUBOyT61vNlEPtAXdfy
yw0piJTRs+cPu7buhcoQh0JTmhd+bhKGcoOpC4NzzG/Gi0zJyfrRQjiV20rhGUsQLRs1XadvuKuq
eNAhzuvRtUup2RPm1SYL7pxRdlOTyFx6ts2A2tlUA5+LiMBnHo+Rd/wRNMEpZdLtjZDabYA7B4tG
XW2Lbas+6sbPWNzNzm228BySdsyR6DEzo+kV7ZHojCjcswJW0sY34zciW0Mw4612aqKLgZd3usW0
ykbxYlXflfEtTfUSj/qqC0DgG+M2xG5jYJLN9jOryN4pV5VC8AClUZ1+0hb56hSsEf29xsCEZtwG
TaCs5minL9147ZcuwRtK9zhnydZOYq+KwEXrr1Kc0uDYKI9EFYtgeMg6Vp5vk2RN0XiW9YFJxctZ
12vjD80mymNbSy7Mde+SlweR9tpYmRfWG5uvPpc7eKK0GaR6kj7QN0QTJzU7qNGrM5TPwTYvXu1p
ixtnI0mz1+bbXILVcoj4C96k0fgdfsmUOWdkRWu3I3emtNcVMZitXAYhLYWYSQojCbdF+0COmt1C
ovbVHBAEDCPX9CZGPKpz5KlbPixd/ErTHA2X0Hpq66us7pLunCKxNjqaoGk/Ny9pm++CZL4Kdz4l
Nuh+HwX9alkmjUujKd0G5+SeDMe/vqp+Azv8XQWCylYz8RehHoTt8OvVIRvBvY4wgqkrDRajbsa4
DLWHsO5XM5MehqZ2vnah+Kvh9GTnANDa8umvfwjb+W9vTFeDjYgOxYXa+etPIUjGKMkJFH6WmPs+
mC6gJE/WRE7wM8BWemCMPleN0JMGT42BeHyizNWr1UxYh8sEJzsLJSZs4iGt1Z1N6GS75Lnpa8Go
oIxfhPasaPugolmWnovQJcb2OgenoqGB+VTA0c/y000xLLfsE/Pt3BCiJ3cNW3WQKAtTcDNDX3Y5
+sUBiFsYkYV3mlhvTPHGLO6wqjhM+Vr+PQz7gc4UlKXfFTDh+EqtM6wq/VN0BBtkDHmtjY2wo6Fa
M9uLUEFkxZ+ByiHAhi0lSniZBUAZWMe9ciD+qpuYp1r2rrDUlalsNA7ASk7bgLI9I3atZtVRYl4b
I/J7Yj5r9XTPiThkn01ApOJU+HZwaN0Q5ty9LLkAM4EY5urIk44ep5hpfvhzGcWowqoggVBZVkeV
VnEidGOKDjYT+tHQvbFl8Ehn3QVvI17bsgWBjl/GxQS2VyVwk4Nugr2ABzM/2OG+wVyUh29U1eu6
fqjtC1InLx6/LXMmZ5Nc7eDdyasj3gGWqcZTYlD7s50aLX3Xkz41FWd2qpFONKbB/tT4TDRKUibA
Rekel5xIq/Dw75mrvltb2VkbN+V0FZO9q/pnZ2J2YE6oHHaW/M4pg20siLW9H+pzA1eXVF5wjA6x
jIwtZy8insw6ChMLEePfSF9CrKRrsTv6irDY8hTcF6S5lf1TVHBNWQaPPukbHHf9YHgGkdwT0KOo
fk8RC2f2XSmOKuLg6N1gPmfTFkjnvQU+A0Zk35r2LSpulZTM5gufvfC+ai9V1TzxrgT5q8jWhXMd
3Y5La9PwqjsDOcXWfcAiwAW7ZJ9A/6SbuUxZM0RrrO27iuo9UPiFB/a8bEGnm6F6ZUWwL4mw+Kpw
Vm6c1Fl1nOuEQ5BP5t4SjSU8TmvoZS2MYcd66tIXcCqBDgSfFPD6UFnsk8epZpUYez1EQy7d1FyZ
5K+NE++zFR172D9dG+4thAvWyJ5NX5Lpsm9cP15u3TJra2iUgQ3bNxXNNxFaQfamgX3TKN1Ildl1
qvAU5OeZxKkz8dgkF4vbgGVErj9Q1Snht4NTkZpUx75jtzd3fiOlZyY1j4lVjbNNAZDYMkAwv3Tj
y8znPeizJXTDjMcVkxOMjVSl5DQ6Y/Dqtq1v6PEmaRTe6H3Ym+eyY/LbcBRQu1jHlvauwE4yInOz
d3FAXfcf3J1XkuTYtWWnwgmgDFr8usO1CA8tfmCh8kJrPZs3ljexXggWWZGe2RGWn900o7FoZCYc
wMUV5+y9NqHPdkGeud0TGkHYWEVyG1PLfUtOSRjy1SgXefpW49wUgrPiQhDMTofPD/sL0kL09NQX
FRVnrGYR0bTOFHtPvyC/6YvrhJyDXn1s4M62DUuV4l2UKd074qoMRqxBN8WAukQ72YieoQ7piU8F
7thoDQslLcll1T2z92mrCwWRAWf7ZHDLzOTNs4utbiw9JdT6IUO+qNAmkwj7TVCx0Or1LrrqKh2Z
6MhQmeKXBe49pyWGw1kkgQlCXV6p+QtIx1UtK9QnUUF4jKtWu/WTxyg6qeReZ5HFRqte+2ASjLKe
eySvoaWQjK2cEO6p7dmdIX7AuvRopa/UqiUdnvg9RD1XlHyLxKiVuCoFiVfd0mh2QsUJqSDckZ7B
f8/KfgfGlRZVMG9lmoj+rcY+RlLwrq50ZSXq40AZL8O7ZcrPg/KisNtymkMU7NN0q/SXnCDdTmXg
KttYitdlUhBL5a+dUd/4PcnnxQBt0LoN+vIYKzeTqoGm/EL2IOPS16gG6ig6bQ3KhKqIF7Za0i74
UYHwAvE288JlHh2NSJlxxiS9BXioTGYtbl5uR8hHzaT8VN740aFqyYGLV2m3U03K/+O6MJc+KWHC
IkSaaNI2XoTN20C5pJoFfHMGTRHsZSSdrJqa2Dp75aerHgiFrpvzUt4k0kYXR2m8zWlZBPqVnj16
RDBXxciZRtv4DcX8gRTnbF8Wm5K692D6hxhCSEvIqZSLlSkewz5eT4hH7M/WBsmKINgN0ZWhim2R
qwuluBtp2Jn6bc5pyk830FPQ6hAA1B0gIC5FjLtwDYJqbubHBpJVqwDKAL1StFSF4NyrNh358DXp
03kAiVf34hlO4Vkcvsn+LhMJ+1+LyQpVhQhcpeMo1wP3Dy88LOQSVQFVvLZtvQ3KhxDShG2hESUv
eiq8x6+2r651ejkxYS6hwrZ4DJagztioOTPLIjXUu4L60pcwXE0iiPK5oV5yYIZWVS6nEDNKSATc
q1PHlaVoLnCsDhkrGyIAhYIo1Q4XYGURL4JsK5orsLozmdNnXr8Xxa1P8aTw31XhrO2xpFKI2fpe
FzeS/KPLT515qqMHOnld02wbYgYCNrC0g8TU8yfXOxi37Gmhuxx9f6PUxlx0W5Y54owxxrXVNclV
A8ZmioQB7wv83mXj5CtLe43wDicK+b30XsJtAL64zOt5HN23WkOVlxRiRoBZlrcDLMK0uG/bW43n
PWrOJiTo0SzWjfih27vA+1HX+yR+9lGujMibGoXFLrwVHL3qTp+xilhUCyLLopGD5VO59FHKeNUV
ha2bnjTrODGIi2EXKpHKJRkswM8KxRo2ptAoTgq5X1WPFTY/AkDjMFkhEdh56JvieO9nBoI+eiyB
Qqo7+iQt2NQGQWXociU53pTKdRzmrsfpqnfuGsyr8A0Wda/Nk2RYRxyWQl0l3wQRq7yr2AZxbNZ7
ZeuHuAfNGwfymEW/TBvoRdEeWxhJ747SfSI3x0Eqp1M8AwKOTL41jQyTo08RkLSg9K5tGF4haoXh
qmlk4P/7xnh1wnDpURhIgShHL8hxqqrlm9qNw43JPr+qj3JMekNW78iK3gy+TZdBmacKrI9IevHa
gLm6e+6y9k3t9qlNjV5/A/aboCgUqE1tcSqVQ8CC0A8b6s6cUAhg9sucGAf7pSNjjpLCYnz7eot9
rjT/KBHpcKGIjVFkxOYTUu2Tgj7WK7VTDcBPZHDTdQSz7lbz5kAqiT6zr0dEgTQgdvnc2WTfsOMm
ytZn8f75pT+sb58uLXqBeypEJcxxs0fa47/2CrsVtJ4UocJ+TYoIlZj2JAdtN4eGAYUqJixeRBSL
TMgybhx4l6luu7XCxrF06rskK26AdPn8HclF5qNOjKJeXQqx0ZxhF5hi3Xujd61Ew0uXMaOXYajS
shPviolMQZdi6BIeDSPdb3YJJbCvn/V393tmyQoiNe6pz3qgAXvW4l1lUPD65n3+emBS/x3FI5ML
A/bjzBABssqnGBgSUBZEVAMw5neCk82LJ71Qt/vjG/r5Ymdjx47SDk5tRE6sk5A/+h5TNS7oH/7p
Y/vpKufDxGuTYJBSriKXxQWSlauAjWwpZd+EGJ1ZLhiN02UcnKs2mRfWOSDNwPcn2zB9XUkr11WV
M1t75GX79k5P5W/e0mSh+GRb+fe1QMLhU+U1OebZg5ODLlNHO5VcOFFLDK7zpvqGyPrbu/nnCtYZ
CbFATKl6dia5SeK9KQh8ZRNRg5dsw3j45sH9Oqx5cJ8udTasHd8LvCrOqZ9jCXFr3VDXTcpmPdSq
/JuqxDfPzVJ/nqyCrs0sGK6S65ghbm+DRaT+ZrT99sGZYAFxFyvYmM7qHgh469RL+IAQvc88axJI
Eczne5zov7uUMv3cX4YB6HRCM+D/2R+Y808TICDKujDaWHK7OTb65+oQraDRzZQ7895bfGdd+vDt
fHW1s/ekJ0IbchA8XA1BYrqoA5dsozV4VKRlO3VWH4QbfjNDKM5vJ6RP93j2yohl+nuOUHpU40rL
3koS2qxT+01Uv1r0UcMmOUYhgkh08u/VUO40R+zb2FyYHFC8Vl/oom8XDWcuq6Ta0erH2EB0oab0
pZtQroh2RI6WCp1zGzYfYWzthMBSBPSj/4i2GIfsfDSaqyx+NU1oA56xSjIBzyBqX00yQYM6WBki
W5l+5TpJuezkjJoWeUcDZyGppJ50E8rEXavHMuSH+y1Kpim5fMTiA5G1JPWZRYTF2jGLpWnfREYx
rz5Qnmxm2OiPbDTLByS2cELGRRRTXk1Ys3x5Hkj+sgJ7mDrmKlUPLaugFd3L076GXGK/CpY9YEQs
MXpfzSOEviYE9dFYhKBRrFzDxvKq58YiqaZYh3An4Wswy8HV+lPg0K2TwQRO+2RnAuHqzhwxMh1R
sldD8pKpg1Wtt7J1aRnY0qLx3jWqBT2WqgQTUmijM4Q1OGSIUT0k13wQPVXzvHzS/X7K4yQMuyfp
eGdoyEZpp7Y1WTdTyVSPDqRuEF+A8kFm85Aq0TLxkAEZkLGdkNzsMirIJGd7rmkLQWhoHyRvMhpp
1drLgETksbzLQlg4kuxRerUwQyHmQ54niLdVOvNYknmIFiq5TIv+QlUGXlHkpds0QV9iW+3NGJxQ
GaRkWxmcIh092Veyv8xIu/fKjtu0TolsX9dx/RyjLylSUlbbcIHoxW8Qi/KOVdTtddIc5fpYd/XG
MW8Bv7kTYzBIH8aQLkmDnyHJlwqPiiLqMhwUl8YnR3JO/Hk5C5SruFxLDMFI5zXhCzEmHQjc1q+X
xt/Oh58+rrPJauwGeG5Ib90O0pU9Lg36vl9f4cPR+MusYck6YXCaJitgSH/aH/rS0Mixx+u3Q3D3
SJDeUqJ7yZf74STptqRJZIBC9sLgQFbVwRjbRR3R7Vbo8Xs2dZ5Bzq6rbLiie32Zyj0ho7zR0ZPz
g533FLMV6y6KrLdBT8mdy5yl1WZzyZyCW1tkyBq5k+DL0R16NJUhP0VJjABaD/eVNewc9Chd5SzC
3tjlZfNo436bGWZDcqbOPGNbARlDg7FT8vi2GYiDqCrGS7d1bISEvfk0iuhRRo66El0O/FHRM1qM
SvnNUqxMb+GXR2hbhoN1VFV5hj8/wswwtF4S7Cxql9rX3JwD/ty8RhtzWc6po26+fmPfXu5sC6h5
ogmskM1FBsJmYy1hPHWzVxLc2wVqWmpO829n+e/u8Gw/Q3SRatTkMLiWOq8WwwJsmT6T5khYyyWY
HFdyq2+cv78d+TxQE7MxYULn7QlDq5yADTATROOfZD09hLn/zXvTf7t0fbrG9Bs+Lc/o98eSkBd2
hJR58aJJAI8gjfW1jJRPu7LjWkVPiCO1MAXixbhk8PnViLcMjFvpkIQS5CczKXBTxs9Gp/LqW3TJ
kj3W5MD0MXW+7LIbHW2aCq2iRnPN+TSA/oy/1nOtFnW3SMaV2ld7X1Q0VIN6J/tkL2eN0y8sPrh9
bcJaUmi2z7vRX2ktT7+JwLyNNCXgRtGGS73spvGUy9wJgVENfbJ1rED95iz3213Tp0c17RE/PSp9
MESU62zMRGB3C61GS+ORnT3a3ngyMep+M+997IzOPym+JKJGOfGzdp1dj/AwAy4rs1IbWJfs6v1F
3CvhfVS2K7us0G/XFeWERO6XraU/BDhRvtnY/G5sEJ2FJhaZmqKef9PEDrB5Cxkbgz++GaLfjtrU
D1HxleqoRe28vPj6s/7dE1ZJHeV+geGAgfz5CbdqOUQ1XjvXBvaFrX4ChoeUbHTMdl9f6bcbReg4
8FFYWrDwn23ZHE/uhrH4mK9wLHLW9rdiG2LDc/tFdsIPErhGtvzzOFcVWsA/Vz1by7CPWSXUKF4p
oYbw+JJ7szNguFOWD2HrfXOTv31/n6529m1rYKmiYBqwyVCslaC9K+VhUyn1LnSqV8scv5Hi/Pbt
fbrc2dvLyRCyYSVycBmvdekdfw64naUDCezrd/fddab//dN3OIq819WBV1cQM0CDrPUdd/JdZGX/
8PWVfjcBf35dZ4uaHvlhKUruSG09FxTiM1/bNw9teijnHzk0dYBNpOPZyvmJfDTUvNITwtblzgWG
PS/sbUU79M/v4/NFzgZ7QViUTiuJSR7Irxw8D/rt1xf43Sv5fIGzcd1YlKs8eWr72hVO1mNVZItC
6emr2Iuvr/S7V/L5Smdj2quMyskGrhRRJRtxKCErcf/8EpC1ppl+mn4/lsxP4ysvRqVQpxMrXIZi
blvjlZ0qNx/X+Jv2f/r3Gz6LFzj7r/+/pg2Y7J8NVeVb+b+z0a6f0zr7l5uRWCCyf729/yvOqn/d
VP/7P69+gIPqMyCYT+I/f99/sGn2X6SxgfIk+8KUDd7Uf7FplvPXxEtTTXIAVEhoJiP9b0Sw/Jes
Tvso/kXhg0oqFr9/uGnyX+bfdSqLP8oJ31D+CJxmTiP+03cNJFi2p1Ibw8jkH/SzLwLRc5CFPixx
EIlvoV0/BbL05gmUYzYqxk1oF6+ZPDwaRpCsWAjhf4xouJJGflAT/T4MWJJY+rHuceilWk8adOrg
PvBUeSUlVG3iNnhWVYEnN05Xaog+T7HChZ/S9LbxNRysokyouJn1rK0Vf2Flgb1HZVbNk9QSC6yZ
1zTu46cu1sND64/9GjTFZRVSZQYN6tzGugboMhJ3pZqbrpzQUySLhkTZzGSjJZMiL8ZLEsEAeJhA
zKB7vfoaXqVhQm/7SuhzAJflGTkcd3E4NU16w3BLSUkWstSBjM9oNw3DSLUhgvuqQpUbkWPVRUBi
ZogOC4c2zQZNLBUzy8npQhXipahJYmepRvWw7lXOPoWRX7JR3Wg5CHv8LxWZJW4S6iNqXO+2APGK
1Ko8VDqxUIZOtU6KrWImN4T96kV6XWrRQegaM2Ia7aUoPNU1/TE7iy7NEbkV+BMNSMBI0AINhJnS
aw+spdhI9HLNQmpuejAUSxUzztxqMKCJ7GTayG5EqDSrAQXxrFQomqRq2j0FVoPzompXqdbiulF1
cy0rukznnw6j7nTDKeyV58RATeAEcbwEDnyZd+XKHOkxd53yUAdiFfl4WQJ4lXO+gGNo1uwHxzs1
6xZ6qW6dsR+Wjdzubae8NL0e5H2qYV6u4eobkUAnU2U3GXkDtCOl41CyCUlq2O5GeBIJs/ZgWCdD
JeQukK1TS8suGzLed1Lt5Tw76p21q00awGHbyEQukmAuWca1KhdHklxy+qntlWUh9q6VRY4PW4nI
j2qNkcCS1kMvjZPQ6QwOaN2dmZHZ3rTwY4tEXchJfZ8WGibqsMI1k3T7Liq3SmleqmNwOYT5nRNK
T6qv3XeiuJa77sbPvA4ckb0lZ3PEnx4+BrBs5/ngPzSVjF3QKl7RbvULBu3KDvu3qBsnMD1COa3y
bgBux/jPtA75C5SUZII3O/xOR0ZpNir5vZPEd4ZX9Ygc+M5E3b6XflkuM91+rMv6gbljn+iUiTo/
5nSjoakRaVLv2krFstjhTlCG3MUZ9tal0qUexg+lhr1A7u5It3WVEo6CaA5NFrw7XnDdYmrz1O5N
ISJHKbp1Q8u1dFJ0UA4O91xDqSgZpyhibjC79BE86KsI6LwnFmTP3rzQ2/o0KvyO9lly2uuumMaT
x+0WzrotrSdRD/swz9TZiNck7lBBSc6uDMILYiu7WV+ZiwLihIOTQVOTi1gZb0KpmoQ+MgfaqHtm
jCeHJDZ/BJK1kex0jcp0hFHNDGDYS0eyGcwk8khQaXMoAgo4HdsT6zjE3xMOskuUBqgR60Sb6qYe
iq2I02cnqw+DibnFNjvWby8mkisBFqCsWxAbOb+DvuI+LulzF/Kh6eoneNmu4gcOMSKGK+u02JXe
XMm6d+nHYk0JZkXI/bhsFPlO8fVDqLTr0VKvctXbRk26Ss1+Fzst4VwS8YrRfaFYdH+TJ0biJPGr
76IRDUmfOvlc1wm3Vw6NTT+7S59yn5Ib4oOmLdZG0mJ5Gm/VBk9JOFyadU92o70p5LvMvFLtS618
ZswePA0hzGgs8UYfKb/z4dn1zrKwS1SQKHBLB85wP4TRPlOg6FQqrzauc28livQlIlNnhjBgh8Z7
3VfSrtX7H1FmX1hscOeOFm4lBBSvtWMdFRmZB/k1s0FJD5wqjp7Pn7UdcUx1/9iP6VYNUH0r9AeH
Vu0o0slrOhjrslfkLaIGmokB/lFzsMkckXEyNXybRdIhV4cIcwj0bq3qOmVHmCFo0Chlqk5wFdqg
lTAS3AzwStxM1HtyFzFPaksxVKssNE/ZhC7SiTdbphKyQL8bXsY02IZ4rd2+LdAudNgSZe9WDisM
TEH6SsjXve33zVpNMmdRC/nS7/yGjny2y1FnxLKBIqtGpBxkBfk4OWSQ5sJM+iPdayRbfA2AxzEH
1cmAya5a24Gza2LtCK+4mbELRc0mFxub6I9WJs4kUZ4CCdWcWqxtpbiScAVQBkeR2+Lh7Vhb50nv
7yh/38rR+BQN2pUJn2tuNMpdEkvrfEA/UAQS2m5dFxs0hqgU41y/ZIlLeqy8Y94htggfc6d+o3WD
MpDafCj5CNMIlJcbb82oYAUatMs0Hl+SPL6Qmi5zU/4vVBL7tamrJykF6t7Hq8FM3qvQN2fwKWDh
p3soWbu67m+6AjWosPRThkgH0ehlCNofzPv0XhUU7SPG18BktCF9EquSpLfZQKI4UY1HqyZGYLTz
fcwnnOjhTeckp0gOhmOaFCRtNVD6k9RcZAUVlkAKdmGQu8gOr3MDJMsw7mBJXwlBBRJTYIqMvX9F
NQcnBtj2SsLIluUlQIPRvi7GZKOJeKulrbkWvcT3VaDs9m3lUs6rfJa1/rCySvKICANK5oNs18Sm
TB5JG854hZ2HkSSKmWEMaE+QC48iHVEV5Xecpq5zMWJkCo5RasqLupXuJMdOZ30jLosExecQPg+N
dRFL6UtRoUzNWukiGtUHiKz5yk6msUkqgSsqoMoirZBQ9OIdLa6N0d5rl3++3/9/LTeMaA4VPfJX
+/hV8zz8vF3/7x/6z2bd+YvDLfnkCtkdJLHbdOT+YRwb5lRvZytPosZHoNh/8jzkv6ZkMHbrBhsw
4j5gAPyzWQeAzB8g9Bf2MdptlXr9H8SGfVT3f96qEyJqgeUi45NDgHN2OtYaFGKDSCy39Kt7rYKY
UlXDKiq0xyoIt8TRXguDzSWZRLhq555nuCymi1QX2zzhbDgmVxoOSi9WZhZGA6Nkn9Gi8Spa/0aw
4bYQVBGctMmFTO1UYMhl8j/UnroLaFx5RXgA5CWF2EbhKqyC2iPptyMaSo+X2bgzy+whV4kK7pFl
pc2+Cqt1lAFhGEZjHzPbD9Jw5wsVU/OQriRZOWkigUswuJkl9jUa9qh0LnVQyE7f0RsiFiFwTopD
Iai08BCWe09A0EpgGQXaXR6+ZXrhdpLkhgWCsHJctUO56QyT9T1jhvbkQ6KkPBzEQwo7dgur86cB
9PfB+DMy+UPq8NXrODs5OXFuS2ZPqHvfGm7RMPmTFYFbWl4VQY7DgYOB77AnpztuaulrU2KXCQS4
hNiVHP16tIZVRfZkokQbPaRUGrK59nxjHuvqTJVk9ifVvE6wAMu4RjN5azTaEmDWorY5aSmSXXxT
NmZJ/+UsyAAjnvUjq9bQz/Uqup+SxI7W3aUssipUZ536ydtQqbuxSU3XoHOmCuktVOXd1AdVHH9V
Yz2nZgOsL13E6pPQ63nAsmOhWTZa8CUTUL69kmpUZpm/DNqburnPNG/ZmZDZWpVYSlA/9SsBCKbj
hl0zJ83ezfy91+8jODFFu8zRupVY2/QDOQnU7J9wsy5ZJ3cS41dle68F0cJki5HfeT0cS1g7eQVW
O8KLTu29cZZyZ/0I+606wuhijp6M55KJ0yPwyFSyBrRcsp28D53yGk1Qrd5ublrDfxVZcSTH1M2y
R7/EG4strTQBYbDnBc5NU7a5iFAvK7m+L7sYI7IETIg4rZieVRqqW73yVmPv7Ufk/JbfrEI9W8hd
vxW8PdI3SLbr9gWGMVpq5huKDigvNGj77r7Bl9OFxNOzqVtTljiYfZ8x1xNuF3inoFYvCzl+x2G9
7kNp9fWgVqZ+1C+D+tMQOGse2UGgS1kDKHQc7GxjqlK60OSuZpuPK7mF+rfqJP/aCejzKrX6ngbp
k2kDFQAg08/7VLupMtwFXSXyjSpZV+SfDWsY29/pJ9TfDlXq70hmmXZ/UcrpCnLvaCQoW++9h5Rc
rxkTDpLzZoMmeeHE5dJCeqmhzq3qBKewvx56+v3ZlAoC2Q9PAlXAlTyM67rPr6u2vOuN9s9C4imt
aI7ukNfO0kF7wjwrAVpeWQUKuaJundnsu/MrPUBM19nQLQqjN76Zj1R5+vvO3p3DUkS4JKYOzZlW
os/1ZtAAod6SbOnaMd4Wc2RCijayj6HTsnfk0OCWNNZR4L3Wsb9m5r2D2+rE7aMwNRzRknLks3J1
oS29vl3ntngj+J72FgisNLNOXVNftoZ9RXYGTifQY7o+rBFUQWpngs6j4qVKdSg92aGnPywadou6
hahZX1R5sHdEvkiliaGUEH5XvwacrWPRkMabuLY1zKV0vAgwgbfUETTODjNa4HNid278zlyXHf9Z
dsAMavrSIpyV1VWdDbdd+1A3WNCJEHxJyXTpUFSPZrAWLSOyV5V+PvbBq89awpPAfeaj4Y4nJeOd
FmBpMaNDGp8gEq3UcUJtWac0ry+S+tgr76XgSGaHG8bfumq7TVMp4NCYbqCDLi3MlyOZ1RiB9E3R
HFu1v4bWdF9VQC+ogIXDsLD8DMn02OwsM1wgvHmzSQEgj6Mp56SprPiEjwkOhiIiYph5SLExChn6
0sPwX5Xvnhq7HBUBEELJQKjsOacQcpLaYDoiOUCq7gwAOyqAxzpdRsWdX1gv3kh1Ko5c089mAwqH
xFvnivSkK6Qi9uGNT6Chx4dddzmHHfIfywevebF08Viy+sjikEkHMh2h1LTuGJlzD5242aSLPlCW
ZhRdc/ogCrvxf8SJuUsETyK2Vp3/Ktur1GapwPYS4KnKA4Au2f0YRq9BXG4Ay2RSsWNyncK8vEpe
q2lwKVFUgWi6KJ1NzbtuqveBxG7yv2cO0InSulWUfj22zrrSWAsVc96KhwTemJayQuS3or7vgCMN
UbY1TWgOOAidxnpsrAH/AnCoeATepeYPtdzsCgaZgxQp4tDlSd/0XT4+qa8+ubNW0tDJY2hMkeXM
PshyJQnvU4FDqqmQd9ujZFBobDcgAuDqDLg3Bx/x2qBapxqRoXCU56HgMFzZ5ovTWk+IpzGhed5V
N9bKIWnlKy+2n5QAPo6pwSUiUujPGpkfUxQpdRrWNBO7/XlguxK1vlxbTFEJYGZPrhWOvfVVFAtp
3jTAkr5ZXX4tNiP4JfUOkYAyWeCn1edTxyK2NHikdWgDimMS6UxDLMYxsA6xneBU40zownSQ50mB
NouZoMr4Vkxz3k2eKU1u+kVn5vXd1z/qrCXEI9DZtU96UtDo/POZEm/s8y70HB5BahE4pPmZPcOK
sLJzccwz8DxfX0377eV0nLz8WyYW5WwTP0QE4Y1EcFGr1vZxm6VLAJzaKsi0+6pFcKW2ujf34Cdj
9yGIXlNOdkoIRpX4RxspF2QQeTeSce8VyVHy5CNRGOCCw+ugwJLgT8tKmo/2uokbPooOq5Rfe090
O5eV365qSv0UxLxlEIoXOaOAa6lVtTCqst/UuBvnyCYwuzfAVb++7XN15b+f8qfbPtssZ6IrDKtm
vVbLGn5JcNHoGHfGLDHIc6rd1Fep0jjA3iqlwg5iv5t1fG2Tu/3175gaoT9/r6h+NAa6pqGxh7r6
8wDsBjX1Ij2w3aZmoWGZmMKX1DmgnnBBqjrjTRjfNE5/3VUbdH80SuWmZsL0mA6Wnwd9ZCVmGkrc
eqRBZpBtVoBczl5HyVpZVsb60c553Vem5Q9QzJAQfn3L6jQH/XTPZ9c/G3F9bNttGzHAi964MJvy
Ka5IAZCs4MVJUQFqCZ4UAuOumApsV7YHogYrmzjj4pjoVNkMA6mdryvtPA6M5xL+1GoI6Dho1OmK
Keori7EG+JMt06uDJ2P0HoSUX35zE7+8uI+bwPzMfo/v5lziMcSF7PdlY7mdrezqsD9AZ6DzFKjN
Aj7wzWjoFdXB5OSFhNsFuS9gGDqYEigl802TTRf3MPCc2gSZmDgvvWUenAaMZ29j+o8rB8eOFcGJ
I/J3F8mg1fswvDJ9bGTpB9kpAav49S399rXobNgYFGQXnO/WpKbp5ULjNB9n1m5sWegCqXzTiv7m
6+uov8w4Bvw7G+g7MxwxTOenOlOC3NbSu3RLawL7qXK0KbJsikuIymTBT1Co9vrUTUdZ0sLFKJne
AS/GW6QJtHEtWN1u2HeFfnAS7QfnaXNDhw+0V++J3B0LObhSTenBl7uTVSmUEApNnpsWAFOthW/l
2XL3zSHl1yenmKxY6BgcDGPqh1v+0yoS4J/Rw4gPKhTJoxbrN0Rqr9Qo+WbMOeeTFrUg2dDYTrOX
ttjBy9MP+XShWAoUNA+p41qkhjpW1Mxa/TlQgkWrWRddek3lhRhIRKewAcFv7yLzAXd4EB8Ha/JS
0VPTFm33HhePRXTvW6tMv7YxZ0QyMdT4Xex4lrQD7CNzJtSLwsKZSxiUcY30cR5F7TZQr8Oops/4
0FfqLKrsVQzctQ3ThVGfnBqeE6Skth/YP7BAVBs1zzCZ/5DGJ+nOo8mjwNUtIVhb2tzPUBYXt6UC
Ns6Kcbc2aN2w5Ld0n9jK2y8jkD2DdhKHBwCR/SzqAUVb6byF1ZkFIb5hY1Z4FCAQbGIBLQybRvDe
klG6zYein3cAD61kRi3GeknFStA1GX3D5f8aOXs5uPaAZlgpgDhvF3LvIrD4wtI5+0yCCOYBtFWE
3zm31gxAf4mm9kARKuML8umQGEq6zHJ9SpOnxJuThpBiy49afRcrL40+wUd7t5h4xSPO6k3Z/Wj8
jeguo+gV/EMljgaOJKmGl10vkpruCybsZoWnXscdSaX7Dj4HCvcmy2gXu0n6KKW7WgLO28668V5D
32za9dy4LJ46YBtoCsF4hNSntDsJFqQGGsdKXgfzR2esVGNr9ndSfvQaV4RH7cHTLnrVlYKlCVwt
ineJtu2oA5gQBvuFyH60DajJhZRusu5WA1eqhztAPIYPp/POoBiEHrrByluGHFgnehQAU4nqwI5d
dtHhZ7sv0Y5PBuTBuQurfWG4OKm8CKD0MgxcHSCcbZB16TbSstYvDNpn5VoB6J0sqfRh8tXCZaxf
DMW+rqGnlmCMl2l8mVkbJwIJyRNIIpoqK9Tnnbo38u0IJ7baN91Wbq9lMP1QHFXZwam68PMlxy9/
PA7Fj9xhjTAIaT+KYFkFT+nwSkaHx/jUhotRvqTEZEdXWg++6KosWEbmFdhk0bH+XZs1Ab00DiWH
rNr7MN1A/YnHzeTPwaEa+St0lKw0myB8TGhLcbhCgwmCs6FeaV41DG7jzYrXjrYS3m2uIVrQ5mZz
8pUf/Y1jg7rfmyCKxmNXrUW5kUuAgvtG0PS+9snmCCI+DNnVAnmuJMsMBEBLZWaErautCgO/7r0d
LMsEHzwgYtYM1w+2lgLP9Ya0t/IQeReNdINMvQ2PXb0TJV5cfj0iUm+DQzw4lBhX6KeH1pLBiBsx
aRe2fsTnGoF7wSgp3dnjVQDDUENJ6y3qj7PPghGL4CBStrDlIelhG500C9oWGrLHwfXOIAJZmytM
Slsf9huHWe+OTrr5wF/MUIPKYFuvtnPTS+820QRb2myi2njGc1fe8J3V1msuJs7GqN1qfUsG2ion
SyTYe1Ras1WrXwL4xIOrEKyG4CDO1rK3zXHC9uUSYWnQrIilDesnUaxUvXZzYHoBrmoD1gs8HVG6
JsMEM4Oks7XHDziAO7QvM35FrW3Bs6jDrZQcRuwAA1DmaGZXWIXFY4KiHFAqkOGhWqexKxvdQa5H
eLE4WrN8bhoHnj6AY095Y9KbcnGMcJEb7019pbEiVEc1j+YFObMBFBm5nJX+jZ5vpQphQLapK86G
APE3mv7UW8C01nThmnIV7fvkkHEUiJONX5FO0x5Awwohr5xobZl8T8+R8+hASCbFBE/9IsKzr/T7
ZCQrgA+mHAEw3NZWd1LhLRRtR3QO0J0U5m5BFzczXaUZ9+L/cHZmu41bW9d9IgLsm1uJEiWqtyRb
9g1hl232fc+n/wdzLr5KpVAF/AcIEJwkRYki995rrTnH9CZ37M/iJVRcdlxXCp8yn0yaUl4F0iwy
yNdy5PqwWzPrKRhO2fx36dcgZfA2LpmnbVUkixwarBCr12kg1nXwF368ysblQIKsSZQ962+iuz5g
Xks9y2BuiRLYN4pj+vDboXSMeW7jlP4e6Kj2uFgiXV4D0FoIIEeqIL7Vo7ALYaWrsFZIvP4ko8SZ
FOlSWsRaFMvwiyjr3IeCIy3iYGMGmxnRmugPUaKl2gW2mLXb3CIeW7mKbtSeCgV3N//fKJxFAzhp
6a/HbAdrelFA/y3xKEgwaDNQ6HW3NUnLmSgHyKiOhY1c78ORSSXOVJZHhQyaYaHjoGfLSX23LfaT
p9v6g3b6mDpzYQXGQTBuavqh9gzGnaH58NOH3F0opXzl1dQAeYDRDlLXfykayZVYNzskGclNRq/Q
bYLk6OnyMmYRS4o9XWAhWYtIysPJqeJbdjaDV0Nee72yLJHr5IMHNpfU4fqJlI9KXHtBuFKj5xjD
UkgJJvfPuLCXZgYVyjwgrF20ROnQPVFtEm/M8VJKJ2DDqcBWelIGrFO8DMs8dfLqhbiHjSy7bbIl
WOLsVdkriykH14oNqglW4bwZS2eNjl8+viRXfTplECmnllUJ6UtOgnOIG8VnQSnPxoGt16P+GBs4
iD67yvxqLar+EgQwnbNdAVoNHrygn9JpVRQ2Fm2mFSzSYwt2g4XLtTqOO8ZSBYsECmsaVwn8cO2c
jd4yBrsVbT2QxuJ27A8EE4zKfe7aqFwj4LWQL61w7RWH4T5aFjQ1jGgzoml6KA7mSg5vXvZDkD9p
kSxN88VS7lHGNp8AKgGdlWpnyUOW4mjpWj8K+lEur7HU2Xr/ZfL6QnomT0gtjypOW5CRdltigeLy
izbes4eBXlTSq6as9cCnwQaPhmgNBSw1OiLsVRAvWXVseMYAW8DTw0Z5NvP2IndkTKMSPYnqt8I0
N/nOzftATIzUboRURtNwjEPzKU21RTRHQnx5BG9wgiKQm/nIYFevXniOxkfcxyuR/zC32wzeawCP
5wP8eyTc0pYiZKLNCg24HDYRt4T859TFeYNSX6pw+4tbOpZR8oQgOpfXpvmsqofpUVfvHl+AvIIh
W2cyWo4K1AeNbUPPTlnRsy+TBh998hjLUNwzEG9IbqY1nc0FBhEIHFBpqoWHYGsG0w/sMRbPazDd
VM8RpINSnLvGtFPzR8Y2M37xVkzGc5cDxxBsWgiFuWVOuSjlA3zdQWKmg/VovnVJVy27fHyuwmtq
1fkq7bXrYBKLrk10ljclAHNmk1C5wcMAQFHkD3LDqby+NYS4KrttNYHwRQDXFyL94PcMdJlh7iUw
o3qzNPWHFhL64C+Ti8rkqSuYj7dPfUY2DA6DHOSYUH7mQWvr4rEIQ1vJ25UwhHYYyQ5fcEn08N96
Or803v9XJxi6OA/ONJT6c/H6U52Qt8CsqEctsMnyXelDZiYqstwsL9dQ/8a13PY81cZHISqE9rQw
lSm43MropkVRFd+Srv2QFN8VBfQlPfCf2Ai2nW46ssehVQq8I/bYPewtxHdTZHsFS6VAR7WwmAmp
jfWqVuzro/EJJrnHpdjcVNRtVqDKf+me/FJ4/e97mjr9E1pliEZ/6WSUvTKGsTRrnIYXAdpHQ4tA
+4vRR5r/kJ/aFf9chPpetlS8Faaq/NIpGlMdCkFcQrjqUBlCKt0aCuSDyLAARzLb0WoQLNrUIxGp
hCVatG2YBH/pCf46BvvPh/hllGJaQ4E0E6Yx5sJd2hRnLQwOsjjBbiXUaeWBSyAHoYMT7/XqGh+P
ssI9bkEL9gHK8HGngchqk6R124ApyiobMuPQkr9MmKy5X/Wnm/VLhUqsD75lv7aY9Atk4JFIBnin
BLikeYzdaMvo5ZY0qg8hmaPcOL96cEKGxp386cR3eEhtuI7D1rWadl1mtKKFaKPB9unTC6D5mylm
a5WTSlm0r9pwlRC1hFQ+ACBrGQurCvEQHJlak3KWx3ZblEsfQl/JBoRSYW1wWuoMIq5ixZEkhIED
NjiL0KcOdR7OVh1M8NWqZBys18YwyNZhMCYXK60n2S65oEQz+/zUJbdGoB6MdezzBDtJT2V7puPh
ih5kAMSbUEcD6zSQD9OlNnoCxhm2Fe3qKjm32U5CAiiUr11/DskZGvJiNQgmpUS7VbydqE52iNqR
0TJKx22g70hsgobS5tCJ5OWASlOagp0kg12FUfNkacK1U7p9zizxz12a31g7Z4U4Yztmd/zP+uXd
UodShd/LEzflYQCQVX1H3vxaVd49HMdDzsRJ94R7Mw4onXTbiDMC9ZLpTdQMu5sm20CZTRPnBezx
lvw1u8BgW4rR2oAsW2UvrafQeSQaUMkYx7Urwj3gHTPFIq9vKEAQ67ltwpwWQ8khxcwedc/O8AtC
euak0axH3MpFraxTo6Me89dNN6K68z8LKy+gCkWcq4Q3L8W1LqfpKmomKM9kA1AMxPp4ahLiIoz0
/8MbxT0zLEmVZzQiX/Xf664odQUhSXQ2Q3xDntbpDhFNGQGngbJPSQMpMhiWcXhQZj5S1higHKvh
xa+1apFhA1xKkyL8ZS/4B1D8nzfyp8/0y4iDhEolYAYJDX0JNmkTPWCU2lShrr9Ud5DA7b+Nwn9j
Mf33Xfilpx1YY18aGlckG3MVP0FNtfMv7Uj1sjNf2t3fXE2/2wR+uun6LzALKG2RVhGKiNnzKSpe
ACUq4V+W319ECP9bff/vHv7qNZLR245WzSWsvtxJQgMbfBIPk5K8N41EfJ/GqS2Kpvc/v4L/NEL/
8NPNnoyft/ExFvKR/deyyxqo8iDf83YiwSzAMC5Aoy/Vm5iKKJoFUMH0l6fIUQV1jfyWAjq/T8SZ
wKUobei6F5SZd1z1rtT6ODy7oxipr6EYMvcH2zuV6wprgohqSpXj1z9/i7/du1+2T79EdBmE3Dtw
0wsLE7WF3V4s7vSkguZNLLvLn6+n/u7wo5qoDjj3yOp/jGFi4kMTM1m4BC+8WHl8Sv3+oYcMndQQ
j1Wjv5VTcxNjiqahugaN/BZE4lEgnTZQoqM/9dhGErrRSi1v+xSlj+ZfcknZiFq9sgSROslcTZwM
OyI4BUWBwRrS2dNWqlfldqlE95hDgQxnN9LTrV6JxMBGrmggDIPEN9QD4R5t9dVmndP5pHCALu0y
HO0esu0/34nf7sWWbOL3oaf/H0mK4WvS1FgNpyPCsGKD5g/senKQzIgISY1Ehkndy3OF++fL/v79
/7/r/qNT++n0mSly3yQxyPCh1lqWuZzInfBZmWp6iuraKp913GeGV7y1Rf0eomnuYLt3gMX+/Dl+
mdD876X9x6GK3YlRwy+LsZW0o9KFFYIpucLrTpAmOv4edaG5EXv8DwJAuz9f8bcrkYUFCtkmLXr9
l8PPQNxHNmKXoH4q18zgVgEItSko7D9f5vdL+k/XmQcsP93gkDnESCTNnGst+CvyNGgMbEi22fxg
0h9aTvipbwpHOv/5svOf+p/V6Ker/nI/Z/l7LHhcNUK0VJVk2xrhGs/RgsSJvzy5v32Ff7rUL3uW
GJYF9iVuZCoaC6+aEzL/8lP97sswwaNAYnaHIPaX04026H1LKhEV0li4lexRAeXFF7kah0CW/3Io
/t23+fla8r9/rnHqDVVqWJCq9grnvftrvfffLyOroiby2GEiNgks+PcFiOhqoriA7qEn4UZhNBEQ
QpQOwHOKxPnzQyDr5vxx//0c/Ptqvzzl5OwRDWH6M5gNaxbukSm4J5W8ioDFzFaxGNx4Szcw3BBy
SoxuvS9k7RWBlottBLEt6bzetikdD/mRHEnrZOJXSLcJi4Kf0QMwjVVLt1uPwa0NLTRz5AfU1aiF
iMhNgbCZIZ3kfN+Q3uFnC4k4uiJ9tehr61LOKyfMky7kv5QFhBeYCH7V69zMqINhEbB2A0FbAJRB
PPQlCYe+thxvFJeVaC2b9lnjYG3G7S4XVQC33kJEytMrc/CPRLeYnGf5EbA3xFNE8f8d8/Q3CTqi
TryXHnRv0gGshAOB95QTjtCTAdKgvi0rtwYay8TY1nM6BvlmMI6W1u+95K5X3Qr5/9KQdh7E9dEQ
uYMYFDIAmUxAooZKE2UV6E7fhGsDPEUdPtPiIQlYnbR97sV7hBbLOXA6mbNVCzdI7piuRci5Cfzf
2R2khBnkwWipInujgWZxI12JiEhy3tcdoH3T71gfmVczZ6sycZXV5lYhcCwidYhocFHbh/mXiYQ2
pbPqgzKuDLrk+8J/l5K7RCHZ6O89/jjff0nk97JHtlXy0yqgfKFVK3e9JjCGCOJBehqa70K5m1EP
55agYqDtBRozbVxmQmWr0Y8atGxMmoBFfJOREZeILK6mXa3oBKXVr4J6MlOFRn68NGOcN7S3FdxN
PhFavi8sxP6RERegCWvFRHA+wPBl8Kmr68ykk+UzzyzeR+GUah8dDqKRLaqV8W7AJxKhnM6gXTpg
GR36p8DH7nBAr0VkQ08rDXg4/3ZXfE/pWeFnNWkhysOPMrvEVbCaC9U+fkNz6fodHrJ+zbEf+usG
KbqvfCbBV+a/qz1PWAyeydG0LfhWPaqRlRO72reoHIDtewy8hvfRvHvDuaS7WXXkOI4Qggge1PgE
IC1tYTxBUV4oMdPx7Esm+syraN58NOILrfVA2xb6JexOWuRmjDLJZxrNfQ5DMsURoqUfIQEd4w9m
OEV2raXXASpRYKzM9l3R75gpmYYgJFbwvCXLiBieqFjBNhcitJVVRXjBvezDnVGcRJxKE4DSLJUI
jneAWUfds0HHz7wmpIGSdGmC+lXDQ1q/VcWdqMWKTllMQNYcdlZrSOsiYxEyJSTRnKGNY+XfVEyy
dqzknUjccYhwjje9Bk3YQ5Z25OQ78I85dh4jAKyMVZT0Y/+cVs8CVkQvUuxxIN52JpHya6m09ZPH
OIkEAvor3UjxvMNjpiKdknm8U+fvpP1F5kaRcRuIrkF0kJygexTAWFj7nPSqCCNwgm2BoDZiz3pE
0Hm+G7NTRKiEjkAm7zuG7rs6XcesU1Du6EGkS7VZ0aiX29KdyieTAUdvHQr4VOWQrgviWfUHEV+Z
AKyANy3TXIDIiyK6hRLp8sQmEqsB6cht+g+VQ2lGXhCB80zaJWDcCF4WVTNue3knh4caKX6XUPbD
JCLnIEkxQFWIsz5yLyXkQ1/KxT4FCl/jq0j/Qb9faw742oeqHI05vDVazXMzHfC7duZtWog5avEC
1brwImYbjZRHQuK0+k3E2mUEzzWSTwL1FmrtjO13HLDFBOOqYmH00l2rv0YYSrNw1bBixs23x3PT
lkgvp2efWN45Nhjfhr9XBG+REFqoZGehdLoOnfvR4M9A4SYK76K+VaAsVy9IUHzpZOGObsiXJI8V
/O65NB+Mhme2mS8wxhda6h5kqAQIK4LEb7kNJdUNaxyf5DxrDG5ra6fVG8WSkJQR98TrSuBG773G
wmsXfdOEXeCR1E1zUQzXYTgKyjEeIO+qhq13Z3gjtKZZdgVhlWnEKLGp1jkD5YaPWlhu0YE7CYnK
C/uFWk20H5iwioTS0soYQpX4hlVtMBtvn2R6qpG4i5IPjZk0YWtf6LNJALxMfX+cmJoGiWq3cy4k
8B+14hwimpvI+qgJLAM+xojjprKMm5Zwx79/bwmSCRAAGIzKPePBEy8zpSU7BYfnrerSJR7YZSCQ
B9fxEPPOTNJ3pmeHCoxQP+ADR0lkFhpjS3VRyJ0NL2AlBfFOmQJmu4D0SqJV45TcsXwVVslNGtJN
r9WuxlbDny4CzeVnEDvoweQN+vJzPfvK6gbiGoZTkOnvzPoJAlQzsHD5FtdnjnlH1SMI1e5I/xzX
RWzxz/kh+WgBTZnJQtyPCqUEgiE4U/phdGDomTmgcB4ttA5kZfXfyrD3tR/h4GYMEj2Qc1uTYA0t
mFa00fF8aio7PDOrvJJIsgwcAx+8n+5FKHbkuqjptq/DpYpldGgiyrgfGYZkXMpkEQUaXX3k2FH3
LQ6KDcl9obALEUiSEBCEEDaHOn4W5oMBA5AJgrfJXjkKn4LktPKHqj/F9aohZ37QLqO0xuWLVCIa
1uwSGi+tom86fyfMJ6PyNogvRsc+ggRkJC8pmU6e/+mx3ysUlz3QP8GrzwooAUHhBWEoIcLgl1pr
27JgyNNnwWof9+LWn558la2MiND2pdHrlQ4+mchbJr3KeVRQouOtF99G/4Z88QUT6NkAK13Ik+tH
b1JRbNnWE7gpPck1mR137TdesQ/EaaheKypC+sQ72YsPnFUzXrL2K0rAUReKrSGpL612OXU3rPbn
Nr02SUYOTLr2pGLRGscWhQuMg0UknZveqcTzSKcvIVRA3o3BQU3Par2uNTdi+SjDctkKhKFTAhJR
4r3XqbUe++9qWDOQqvXXZsSXG4I8n7YBgPKGx2TVk7IZkxjwUqA2qTQnIBuT1RfVuFVcRl7+XjZY
XkU7gHAdJKwd3nsvgDtXGYDVIQafO6Sd1cTqAnJwm0o3I6vcFCZKFIpOlYENr8r3osOvijdCYiuL
a46B8UtoHDUo/TQzloWxiekNBF+e9xjUDyU5VGjrp559idl+qq4C2FMxJHRfZPmQbhr9lhHUn9rU
m5BzGT0Z4tyk0VWDj64x+NGT3ajYqtZtRWOjCI/eGOwAmqMUIenPORWqWD5hclJ4FRx5c9Nzx+wb
fM9KHUsCFN8kNmzkj+kEpFMgcHAcDU6/FzgYWOo4qobTSkt2sMSI0iamGDB3WphLfQhWcrxufET4
lMljaeNgBop9Vs0fM4AGNRYP3XECAdpDe4QlphfE5nTkJL764WsofAvUZ1H6MlqnrDxrzZdX3UP/
3M4vFtuiVMP9Rqm1SEQ37n901ra2jsp0zXsGnAbGXbT1JuMycdhH4Te061La5iVeK2B8Mkp9+lzj
McVVH3IKkseVwO4DICNVsJF7q07m5rTaewA5NA6/FJJpifBVHE/OsIEoTj+QxTv4G2X8goexm5qM
NLUk5qYy/c57HGsAy4mPIX8IkRx74cpHikSRUCNtgL49FRs97rcjVm2ZLXOOD6kJmYxn+44c7z3B
rtKnnNjtOvhsk3ua3OCye4WHlfocDoc+0p7pG+6yMsEmn8DYx/XRoX3QX/zxGpX3bG4+0Tl6G+Xc
kWdLrsjZl0Em8WQTGaOwvpaFFtoVxA9JfEvHyQEdznlaXrWGtmpk/qz8vUhNp0rEVcG6w+gChIi2
KLCohAKN8LGfI33DB5FuCxM5dgU2AN7HAloYtuwczgSJaQEhPUm9S+qt2G2ycK9YF6//FMppK1XR
shrNo84hDbIcma71KQ4yvurT0FGLMZcRhx+JeZTD9ybgMWvRvfIdovdOfK/RX5UtccsEjis6HmyK
MzTOS+xTBK09aeYbHAgbW2ELpl5+kjTWAmAk5wivs2fnxCMdWQWGeQy+lgpbsBxCOitwjfm5Jt/D
sDGHV/17XNwUBAIF2hO7iFeGTD6cvy1G4rMCVsNVguFPXyYfQflcA5IkvU/l/L+M5Z3VH33hWHpX
4N6+tB4INU71fdiQRAH5gaJy2vSkdWEz0xKkow9R38ukpHnvichIfG80TJyJD5/VQS+t7jbNYzKe
/Jit7zjSQ4w9fp7XUFqNIujJe12eyTgsjI8xuybxSQvAxJMKva6F5zB32EBpleXpWVZvuvRa9S6v
hhEztVp7sTPjWCeZRNk9HkvVRGtF0TLAonkNeEfEG/Gxfcc9YE9e5Ro5Zh8VLlUSTHzLkdP1SIaL
4jYCKbnGMoB1SogKJ/aASF5/KSQvrUBI7SMhtqgyLqitA9lBztbLtjgdZfkZo9Yi50EqRs3ua2Ac
dhluixKRoXzsvReldbzy2CHU6s8xQWbTuYZbm5I0jBZTAiHxJSuvSUIkxIKl09O+eLyVAJskiQys
Z02PHCVDkPWi6Cklz3XolhREMp3a6SCYTgk/Bz3gUctvXJKIp4IJNLKekoA18yoWPOS0XgfbKldq
tkYi12gHE2Edq+wAzwIJD1TQxdQcCT3y2NoNQDXEKE0bhHu9ulHUl1beAGjNSKnoSU36Rinjte8g
bsEBRLZpveq6gZvntfFcP+VIeSkTpyE1IiK9nZ0J1s+z3hyqs1EceJvGYl+zsVeuIHMFO6g5suzi
2qUiV4RXfdqySgsvUUwUHFSjfqVNR696g2dEvUeJ1Cp7kuD04erxGNdOB4QIjRfhe7Fbz2BZ2/PX
tUhGwwfZguzxw1s/XSXlpoRujogMwUzyRphzkjjeV8tDlQcHPVnlMnHXF6l75bQ6opKol0UHssg1
JYHYWLbG7QRxrll7Fil/jxhKZ7QFjsGhhFYAluUV2TnTxmMPRJ5R7/OkWVriTq4HUuefcdUmAdvy
ZpbxaFerORZzAup+ap+rOdpnbeak8/wTa8dP1iMyg2K5DBCCKjpJLw8LYom3V5VtPY8uwO97cxMl
o8Cth/K7zsaPQOsRUkm7yQ+eMmM8SyWmssZ6YQHoZ92tv/N1FJWOzzuis3il62FYph6i1b0uPQy0
fYzNYycyb4BwUEvyLUQJHMWu71cCCsvMFeVLly1qg0M4PB/ZwYGhTiQiL9q7OsOcV2MIKCHeyDKl
AMqcvllX+iXtUajQcUqWhicvTZLiWXUA0M6JaBzpuuJIDpcmbrt05wFbTlbEIHHqwxYeZQvNPBIJ
NrJTptOpmgvAGCXnJiT7exiu4uRQYxXysu9RYc1aV/q63O27l5crTXqycpvjmz4VdtJc5MwJtYtu
7lHWpYKb9bQK/F2tfuoclcHboItsrI9GeUbfbNU7zra59Trk/+QqywmRHE7Q8gNumZws1G4vedRW
4azsHLNnI7pXHQcWStGTMRPqIsKMOGAROTnsWOuZtM/HVVG40A4w9UNR3vPsoPgnAcFakFD4fSac
xGlygRwpi7mmWGTisRTOnONNrsd5y3Os5BgxmuQNI9NXpJ0E74cpVuvv0WFFsyC0fzGZnXKsYzcg
oCTI9m231rEUCcZEwoCW7r2Jvym1l476b1xpwYqgFF9lhWB0vwR5i4IckcqOfh6dwbTaMv2t+IWj
4Essr8C96/RZrtbmOAd51c1FJzYvXo/yireDE0gf3SKdv3hGysY1EVOj52k3yNfM0cEkg/ia29pt
SIxWLFJznELfaJwHDdtLN6X3ovk8VCuVcj/BR79kjOQz2CbXnPJadSwTm9Uq+FEpR9hmAKKXbfxZ
vfZlZy+a+mxRPRkk+yz6ZDeYGzJDK9qaMblhbl+vhuo5Sz6tfmFRQgxPZb0OLJcdHwb3cvAcfbyo
6g2wdjY+OHtKJhLuB0lKQgaafANRLbTug4jOeq/175pKZ1VCkoSCGaUqfPLikMaHnmIUGIMu33Tr
NuZEdbsIWzvhTVL3WnhXc6TXbhpuIr4QW0x1sLoPZVLQQdnQaQrhVIcnrbyUBX5XTqDroSEQgv7P
suL4ZLTLoL2GpLGbuhtBPENkYwDmcQvjAJJrIRu7LH1o8RpBmKgce/qZgtOYGzMKF614qgaH45sa
uxobPmpwhUA7cMYcyAfrrOo/mojl/WwyfDTJhCK3SCXmajVQooTpR2U999oOGWmaOh4liProhqtJ
83K4jAm6u41J0jkZMNJa4qmpsjdTs2t6l43D74+4T4ipsvsf+ayfW4zDR5Luk/FVyt6L8DMc3ziz
44rL52d4L8YuMDZAdV9k1RbqxhO3Un3S+e8IQB4rVy1f+tEWZbg21QK1fF0/h6E7cSrQgd7tSPii
Ywv4fZJIsaTdibdWWpLhXkG17qiL9DfPfzUovqeHJl09b1VJvDbgHsoliYOB9OHJTqcvpx7DvK0N
Lrmkg/CGVUSA/5TaVvGo9V2nPxlETQU/6nivqEtK2KBxKumItrTn9ugu2r+JbFDB1fin7XFSbHlw
KFqqjyrY+wygNW6wXV3H6QRmKRi+W8IuA4jP/bXRnlJjrSfXeRCM/8/K3zuyGa3tmNIMfwuw83bI
lI+V9Mj1g1wfRTr+WIdD/8ajng20u3HRWhKYvadUW4sYQmQC8uSwgLyzyctnhSlOzbMg+W813zg4
9jSKktxuUoU+hzPU9cJKJVuQ1C2sAkGv7WxQaRg4VU5qWOFMPHuJTsDWUvdedfXUi27PRYzJTVAu
Wf2rR6jSwHh3rXbPvrbLjI9WRJ++M/L3volt3+oBxJMt5HTDaeY+ieE9179ZDzjgKx19qBS4zrWl
EjfEk65z/niIXelqQ7/ypJHQl1NsEpR3l4W9zPhaRlX34vccW7a+dK+bj9S/BtQIsgdu6hqnR01+
blQs5WsNVZKF+FN5rSccEpqCep8Hsz6yD5i+Td/HK+41Vfx4FfQNgAlf3TTTrs/pWDZAoJ4wk1n9
DqLhMD2mno+prluZKh/GRKE7grVpNA4b8xCFZwnUz0KhZOlcGuWd/JpHzpRJs71kopdfHhjnlvUS
SxeflMY/8+1uNWfv1sFyiqn4jM8g/PKzXQ2xH6d323yh2SVPBxEFYsu2OXjTj56cJ30LszFKtl6z
G4b7FJ+H6DkZm2XBlL74oU6bVJwWbfDRDt8SSQ1iuSykfVHeqFQmWp9IimmrkRjfaVvs3Ym5V5DO
6bbl27LspMNaR5NYHixYA4VHHX4S0cxmy147No1NMFVZ7HsknZ3bEIpQGYiwsPwA86qeTNJ0o3Wf
74baHuKTkC4t2PP9WqBXUeSnJnSDfB31qzllAh/nwHNFRVM7IdmYHp94k3mHTl8xaoEZePdT12iP
vsIm5ECA00OHWK9kgE4HAQe79kwXeETaZ5iyhditaEvdzpRea//Sd+/TSKgVLYGkXeflBe9DLuCj
K76Z/FHIO34GhIBu9ODm0SsVBiXzRBovlK78bLZn33dzEgpFCm3VNvFZePRmn3NasrMQzWhtDayh
qsbLjsUc/BsPP0ln+g44joIwHIYI2DljM0Ef92O3oFblLJS6YoEDn7k0Od4AJ1ugOtFCfCs18C1u
Wt0snkXPXMx3qxlR3w0LutQF7LgWVOFwnciXE/OVUt4aDkNJip7/WZbfNbqByq3BPwCogSBKgdkY
gYec8nhET8wIgtBBeceP4QO2rHeavhG0r4mYYx53nAiJ26LlH3d4CgRCRrMd2RIVImzjg8g7mA2M
AmYn7FCPGJ05+qyslDS4hufhopAjQ5Qtbq7GPxcaCyJ6uA3UDDBgQbVR812jbDNmlDkPZA9qZ+bJ
VeS2olBnbhKbB9LNVYhzWXInDjDuIPEABsxzDqqUFhtBAAZXLmcVCGp8aaPRIezXYnailVOwUSLU
WGXKDvFgVSuvEekjIkpJ70mlOZ+FaMr3ab7xFW2NrloNT6F/CWhhay4Ajl08PcAXy0NE755Std8S
MUnYBs4CoDpHs94n8nrwSQih7yEtOwqu4uxxGoUf3rqJcZDBkmpAJfSjOigLX7u2cbM0Clck9yb6
p2PTR9eE2VlPG7UwDzP+UPzqWv69V5OKN2vuGU6oHNZAKe5Sj2WDzQbWGdi7ReaXNBha2wq+Renu
TUdVRJkODqojc9QMbB9lJOrDFer1bS9e2/AqtQY7J/VM9NWiOh78/Ji03XFGgFeZ6fBITLgivQ7b
X2nLiMbji1d+G2ByxvuonCr/KZeBBLlR+cxjLZrvfutqc7GPyQ8Hif/RUBP7OitcW3AGJ9ReYNvy
0OidRflp0B4KpoHGZ36G/YX6UKhZLKcToJy+XWfhm0+3zhN2U8nb3vgrL1QOffhoykPkn6sGgwAx
jd+N8dRkhwwJugwoUoeddvxno0vpUDORs3pvFejiMisqNFk3vzok9WdpvbNEjGQYSp5vx6y0pn+n
06RMXDBbF+KhVm4QfSaseONXEX0IKLSr0GFfi0yDUDGNTZ8GElATDqHEEEtfHDQA0NiG/B152Jl8
e2Q+PwmLNHjLaerG6klCwBu06WbQvvLOe09r62Io+jUft6IeHKFpOUXj9nKB8IB9RPRrFPScZnyv
e4yDCCJOKWfvNe1U7SZJ0oceXLWC81pNlEo4SY8iFU7RGOPUZFyatkzItHrdVz5qSIUjVaVtG53A
W4u/lJL2gN7IrtS0GCvVGjdOL19NIXXNgZlSbGlbRfZvVf6tpQyJ6rfWp4E6mHZVkhoXFDsjjTaJ
NrVgz+lYdfLekOHd+mtPTOwOQEj65nf6UW8/ZIOerGLRbpB0p9SF89CxmcN2XITwcoUcpx9GTCE7
+tWjsS7Q/EnqnM8l0yGKSPqRBIE5X7EJzDMH6WUX0nOUoqXvMaFrLz67rljSoAvPejdtu5GEHLYn
Kv/BuKURoNDYcGL9MtF5h0mwYHWag5uFOVR7pICUfFfjyVfjPqA6TMt1EJScxVS2Jj+UKSeBCNtp
bD2mOTMylcpL4dEKhFdHfqfauKOfLJuyPBUqZihf36QSec70q4qK8VetWMycLetTHNuEy5eYg+Hw
5Ag4LH6eoKVE9kukuS16g7Eo10LgHXgJbT9IcXb2hqMwwVzWE9wWK+WM7SsTWZNECkkj88Ec1tS6
9uSrJY+SG8+eubLVJ1toqC46H7fYKFm5W3WdvmspKNuO4NuEAMmzWLJse4my7SP1BHWWQZ3GnEVZ
YnSgzUmTxyjLr4hZuhtiKF6MDcLyIPHUO6p5MDdScDPCDllHiLslUlSOJiCEuhLAlT4e1YJ2eXaq
Zef/UXYeS7IjV5D9oYEZVEBsK7UWpWsDK/EKIqBlAF8/B9wM2U1r2my4a+arTIgb192P69GzhmCb
58G250zvpytA0w9uDHY4RaoSv2n6HXlLmx5ewp5zJsyBV0wVdxHoj4PfsYNsTaRZNqalKyCX3kfC
h3QZUSX/pdzDyKvQqP2D1Xk6B2GbAJf/pHViZbW/HdvS0GDrjCcBo4Aghg1U7yHlryR+FBThViQ+
3M7vWGu2PIRW2aRtfP5Y34KA1VIgVeCPFl9tzHQcnl18Rp7VbtvgBeE1X/yfxAmkNbiY8w3R4sRf
JWLV36bms/Ofmvx/WLj+mycJ0qDhAhIwPWH/xSVUEwMXuo1nQmuipcnKRQimKr3f2VFy/mdP0t9t
d3zEv33U/E/5Nztca7oi9We/oclDQQ95mHsUnHvl/yiV+W/NF3yOBWTUnLsv/uV7/LfPaWynF6pF
KdE3BAHV0VlUCxJyGEmu0wKnz63+4/yPP+2/eCnnv+3/feZfrF1KRZFu8Nxdhi/cvwMR5k257l99
omgbNsCUbUT/I+/yd9fof37iX3641szJyTfzX7nHwbVvt5S2rs1ts/3nH+3v7sz//Ji//GihrxV+
K/iYuP20cSQ15MPsvRrEyii//vmj/u6/+8+P+otx0eypnW8rvsPEu6fpb86r+58/4L9fGS5eAi4K
z/xb3opGd19FIVZTew6m2i85aT+S8w9HLKYxFXSEC+Xi//8btKm4oYNFmGBvxb9yS/92OTIKZNKw
APeQukVBSMsO5oL3E1FjtqPHdBNF5vKf/07779Y/PhLRGm/1bHH9602dh/QZdRkU+ATaHVE3xcol
spP6OA4QegOP1CxYYVBp6hO+zI4GnG/CIv1q6kMdNUQC1jcJm3XS7NZuYPN2b3Ykm+jNM/yLJcYV
D/4OlrmrsIb5w7rvC3/XV97d8BTiUMCe1y2LX28MnU07BskFKHC5k43Ins1Wjku7Ld0Pv4AD0Nta
t3JtTEy9keLNqLXfzq855/S2ty8BZK7+x1cD9/RvvkgbbIrjOfRNudbfwh95UsUGE4S3HCr8AXHK
K7+aeFJbuXksBDaQ0TUov2rT956c3AkmGJKFkQqWUuDmNen9UIiEdZ+U9qYpBBHVdHa0TD6ybg26
DTviltxISfx9eMly/Ttlib6Pkzik0wCXMTgM1E0GnH3oxrxvqph1zcBel1wfB46guzS+/ZMmrG9J
QMLl77VqV8C5m32CnDUjTS0SRsnKKsxl33bGourDt663uHqT8eBaONtGfvyDQUPCUVBW+9AGOLJo
TXgZekxpkFU+nDG6NjGQjfo1HVZNeAp8/aHjjQrF9lhEEx6/niAdtnCjXo25v0ExX6kw3mnRbP+A
oU0ZYM8rzrTO5kCIH5eflVo302CfZzfOSRPsTRvy9oQwy+G3ASuSA1Ocdx6uUkuVyoXy2rPwsSOS
1bcAmE0ZoGeOdTG/gWSrYEQdC3UPnAhqYNltpIm3sI63UCFXjTp6wyXhqDVPcg6TeGn4zIFAVV3a
AFlK4S312N3UpOt1k6EXIqFuYN+Bq6+Hcjd6b6nlL/r6JvxmUzMkOLJeCYsSh1Zf+PxzPDi1Wmru
qsx/mMZoKeDxZUHKWq67wMEFXTocmwojQ+vtC/GooTfodkk/IxhwpIVYfhdkEOsIK/1ALri/2xgY
U2OgBp47IGQFMtroRMjvKL0+R2IWX0ggaDau8y5dsbaRgeriw28qTFkA3XHe10HMif4X5RyWXsEa
IIv/pLpHjXe9IGWIU0VHQ8ABUxgQSocdR6a1UeSfcipf4XFz6Ir3OgXgCfJjLgfsZPSyaxoa3qdm
UTeDdKDJap0J99Cnza8x+1gLCP9zgH7wOECIKTw6TsV6/Lnp5XMQp1fbLu9l5sPPtbut1ZorlZuP
JBreUtto9oFbrdQQE/kOof6gMexCWgXCKF6OLAU8Lot+JChDGvGRU2S3KKuJvUEQnmB9zS32wcro
6I2PSqw7+TUssZZUFjzrumHepMHhJRt0jc7u2cNk3KU+UgsQ5kevyTjFucTwuyn4ytvMP3Cnk1+L
2TmHfQWwKzYsBA0u+7FPf4fe+JMA4m/r6dlq0ec7HxRrn8cvBE/wAPQG2l3ZPFtl+EfprNmdHFJs
naceR8yeiQYATOflLKcDkAzqMcn6g49PxCDo9mCXA60d6aMZ2fdYN5YlfZyaE53aWK1YlFKWacSb
0cVaymDuWRN3Q3uzGSv9KFxJ2JoS0ExfpE+9261iKnsmVneCNUERFKxmAjxT/UNSJoDm535KLLl+
OL14wt87+AQC4b8UiLw5W5Qe7IRNZ4td2t+hV09PlLvskxq9w49nJW6UB9D0K+HCgR4y23jocWEl
mrYzx2EdG9XKD2eQYkPWL9i0CMjUHoB1QD/K2KQZlKJwJLNVSAWAeKjFT5XosxPPnv+x2uBPX1kz
zqwh8awUfsjYJWTpWHGxCMZUv9oYNazYAMKMX7LL7fl7ZTsO7I0VUBmyJ5fpY56oO2r+ZVL0foCa
OoRu9qji8rUquq+htp96HJRe573USM2BDI5lVt6LMsADrQnAA9qvObG9k90FytR+GulqsfJDlWO9
KHhBLaBMt4t8nGOxlEpuVRUWB08vHPQkvN7UQH0SLUY59PSek46qlnroJPsWuwSx9uzRUr7YBuXk
PLlkzh4ma47KZ9I+1ESUurjAojfgCokdo1q0rOv2qgWVrPfjOS2wO8pOcrFhMO1KVpBDYegbO3IH
FuyJ9VRGLanLuNaxOWBNKcWwiRKGliIPtEUlQ3nJNTacJFGrQzmkyYU3QHFpIr6+MvH6h9SVh5R8
zxqb7SbJu/wxkhZaGtJZEaAj6k7LzqrxxmQlWsdYOGNfrbKytW+eLuH8D2W7KnOvIVEgjJPTlNNp
mrh2LAdPcGj/cdKOlBoavJexGMKzCcbVGU62BffTxlcFuDte1XZTLXu71FehRfTGjCqNzQwKKa1x
yB5GSzZYoWW2k1IboZfWerKAdmhtcNUbs39QxgADJ0Yf41GRQk22frVQ+4qMstrEDfAfGTstp6/q
1+cltzFm74wtfDqEBlgUSn8eJWgRKdObKOtXwN8YKYzmKTF6QscBoKkG00vWbUVkgEYJVnEzYBuV
j3ZWXzkln2KruOfB8GU4OWzOTKG3Q601m7sr2kdf2VfocGu3ttesRl70WuztrHrMRLjT0vjWpeMy
duxD6U17Lw+RMY19b2IIAWWos3Rq5paBQW6LkBW03178POXlgyuzqKKN9KYrkYn95MGgzoiJZyFo
J4CpR49uVLZL7YX7gPcIHBqDZAmPX2YABkwUP4od9wLrEGUw/kPdAYyKWnkcOzbfThPVmz7nl7cq
hRk40OujJ8fXWsqlTu0DieyN3rgNlTbFPbXMhevhfYwJG1veuC+6jrfk7B8Z0J2alQUJp23Ijs1F
PPQrHI1uwKDkH3TNPLm5fczn7mQiw0jHHelpOxYfZZ18Z6p2sO+F2Ndl+ub4iVrm0/CYN2TFc9eN
aOad59nCwb+pqn0Usi1yUu9LYacX+CA4L9+zOrkRaLuWZncpsypduj7KmSKWoBn+q10acFhM99Gl
PPpBG+OrzMV9qIfvaBQInVl0q4T5ZVjALGyewKQVXDbRNgfVvibZnPSPvg4MOTX0Q5RRmMEZ3lg2
0k7WpF2unhPhpGRAywTCJHnrIwAwqOBcIkdfs7eFMYy8x2S4sYJWB8navGRZ8TKZdriGAXl2UpE/
tnUSMAmbtMtOTcAHT41BnXUCXiMS3sK04E2VxrNfRFxHEbOU2RZz4IV/vxtU+iqz2mcjYk1vDfUt
6BCh4EsgZXTuY5oYH8IB249bk3W66i/ZYP+xNPPuQjd8sKgoNSznMzf9dAcIlERBgKjnd8Fh0ru7
HDWNp6J70VPtbNf6uc4og/EgItExCXEjMStmNpuRVTMOWVms6EhadzRrhbXxrBDAKD5izZcX7wlb
VN+msUt5yIWRj1jv9deGQExlF18I5kfg0Xs9tcDxRPTUYGg1gxh7ZwDOzVPWzg+8ly6Bx2MpA4e2
Dj/HUf0d4uke2/OX6/G9hUb74jUYIWtoLa6XfoftOKJ5j68ymx4z/mM/JfA9iPgnV8PBsou3FGCh
UWU7E9RGZyF2VEZ/jNPylkZTjUVZfDNEBKji1atyADgNTnkWEeJ/h10GZZpbaT1W3jWTmJYl8eO8
/kqcHAcrqkTmjE+Ug21BSN0nO984pXkqTG/TGtUuq6NnY+rOhWa+lnXzmbgssUrtYFl4ciz/mMjo
MrkAuesEfL6+sZJ8GcTxRJc4VYq+sUrqbjuggilT21I3weGAjUcgz4Xb7XKSEW7l4xd3f42ivkUs
u7RQUJ+jYRgWt75z0B9J50APyqhPzxF8KyPakgMWqjhO2CMyp4MDFB9My3vUmmnTDFg+HDU+TTpi
r9DdH6usLm5UbfKIhI4GiSqQ+oG+k1sd5CtOGzTTB5D1/XOFFarWKMXRsUAnZGsiql6tNJkXeQYo
234pFfbHoE95hTqYn/PtqEVnw9NoZBoP1ig2WtkD4jQObqfvi6E++LAf9NJZR0H/k9DrW40k6KPg
j3JQdZrCOplUdCZjti3b5rkT2E3bdi305OryM0QB8DvPOkUt/l/Zf4UAzPwB/F7W70Q+7TBXYsri
AfQvr03I9nVIKJMKmGEiSuYiR2wrgFsznAk6w6a2cI/TnvPj+vbzQGyoUfXHhAtLBfxjpb/wjBAB
tXhl9bm3reKkPEtnW4x+59qnkXqpHlCg1gcfbV/gHihPdtd+B1I7xVPNAN5ouMcKYkSIC4l/HDTn
kA/2i8XWt3KTkbbzaEtqezvAokrLvoNdqt0iYZ7toDgxZz55Pde1ZbKKLKNkFY7JJnPi47yAaEf8
KmG5n5OJmjnsqhRNlpXGUz/Zp8EbTh5SUFbaG5kYb5afQ6kaDzJMHqce5h59Od81q1Zey9e+65/t
EoNK0lJaN8VbWwRnI0WVD0fU9W5rR+PaKdxtLt2rqWtE3ZInKwkvpm/QXVQddWbUYnBOMk52FZZD
6I9LOTiYpRjmwlE9tZG5Ls2cb9G4qKRbgb5d1GpORGXtxbWtwzj030Xl/bZ5vg1IsEg1YcPit+m6
aTG19Yluv7UHzjJQ3ScH7WXvG1/Sc964m3AIjeiqUW3+aAlhq1C9pplk9i1Wamqepy6DKF0a+0b3
DmNlLAtngsrXBr9DUr7KCXdBIPh1yEQkCZV+pv7otXAm5oSMzQPaixpQWPZdBAiOIQErLbYOsyJm
WcSEg/6iVDD3NzwnbrwLxvJ1MBvYTsWFkegnUsnaibV7UI0LD2Gv7eDilfNoLec0QXFLne45cJN3
t1Jrg0e9DzmpLcf9aFS/LDTWqXBWo2UcFJsDpwV9UQbnjEdlVZR7P9CoWR74snAK+o19b1J7Aww9
XrZWBUcsA6FO+SL/MwW8UXLzJRqg96V+/TMWaEmD1BaJNoUrdvdESBsM263ZQZ90EDL8HMygWfk/
HqfAtV86KFodRoACrbE2gSz5Wm8vrVqtKjM5O2bzqgZd8gYeFAeBIKK4m/iM5w1Peo7F1RlZ8MPv
8wrqGSpxLiYG4FhMWPcsI1s0SFPXEBTKJrVZRYVkWcZ08Lb4as2lygjzZFF/FrNhjw2XvxBWfHd7
ExKZmmXBRn1H1YyV1kAaEvpgnzsQp0jjEGVpYt5OEhQTTWBiKoPqUnX1hWyEtDjGGRxvbfaLojVu
avRArDVENYrM3rOnI93XmDlfMgJ1aPlntkUJIY2RRVyiEH1KBIs+1j6z0g/XaW9/l3o0rX2DDYo/
5u927A5PPcXYy7wZd47DDE+03SKlwZ8weCPGbJqtLvPcsLFVe2j1eG5zMN6yPP5lu78vHR7X9kxr
nLyNmyDah618yqryXBfxthH5sh87MFDdSlTq0MT9KfSmtTlbbN1OrgiKouN3r5DWL11oHg0jeuWZ
dTGi/t4U3tuQlb+9FT6NkXMpvPQiHSN4Ncrpjwz7r3igumDEchu3aFN5E1erUFnesS9YKLdyePPp
ecGkUTL5kB8d9OHT5jYZOzptRsPkNNqRurFHbcXAbq/oLR5Q8K1foyXpYDIZ0E++RcTngGp8pDqn
RruNWwSfUW4Cz0DWHd7MnJ+gqfqrNFrtQcR4Ui3d3jZTmDyIKtmPLsAQmXW3vuCW0I0c/xurhjxl
HMtHrCFMVux02O/3fnmluKfifGOl07Fs4uASz1aecYoeQyX0lRL1Y99hr7E0Bx1xDuRGeXko3bSm
1JIePrcxn/RYviWK+WyM0mkZEZFESw6oQMNGY+sDG0fhoh3TVIaAxeO994allsfTOSUFvG39WuUL
PQdjE1b0qPpcrSUJw8PYIt1jWDNY/2CBqCs1/tDT9sOYHB7sseNJCkLkVqVevAwm51b21pPnaQS8
FWkJZz3ZcIO8EF1RMftG6djgWbesZTG0dIKmOLOV3q7irG0euhg0L7PFt2uAFPOBl3H712Q+fbw5
vCYunaVftKJlcedWtHPajPWNV4lV1XGwE0SAWo2YZSTVr5d6w3saFBsoRI/phCsInSzZBGh6WHEK
4Eq2Pi4pkPny8U/5WZgtYx2MXh338TkvQjrVZ3tvz8JhoWvqtddpXQvNmfpYxCeUvhiTGearxGTF
2IfkQ6eyyQ+ZyQ3dcOR+0Os0xYuZn1Kz1xb1xAsQfwJmojJ9zwf1lch42WjuWyoHGJFJ9KFLuO+J
JijDpB6SkYg/h1IhypraXWomazPjZBdKANqhSbakF7dhZHtWMDVpNmDojAIfFixdsLd08Iug3d5E
JZ9IpPNG8aw/emluJqTPvRn2d1FEm7JUz94IN6IMnqTls1/FA2dIgiqpde/dkAVTZy1inqUPeW0j
oDvNC+M5VVs+9kUj1G4QyTZhy6A790GNFU72mPByoHHkqcKUojncGJUdfE920cJKxG5mB5TKZfp7
V47nqcFT7/WVvBZR8V7zr166WvWizGq+09AqYTBf3KJ9SgoMTko/hQ4jkx2O0AXY5KdGhaWD2bvr
auxwGqVfestBwNKrkTCDpq+7Jo6OY5gnZLZzmvIqUj5j7LAgiOgMSzrU71Azd5zml0lM+lHoGKVa
3f5yOA/TNKkDJLYhCjt4eEIN1gFVyPAdvalcS/4ZIJ1NXDw9i6GsCrxL28WXMvR/XDl9DZ1z6/UM
63i8HAJ2YT1W+XDSD1CL1o2Kn7h+ecoIhU8thg4JN/R55OZ9CBWPKUB8SQuv1uihVw4mDJkcZnHQ
mfjc3Gd+7GJhNNHZ9KJ841a8Ka28wYdCaAWgqrZN25rfLcPqPJJVsdWcGm/cGVLsvE/0SLliMi+F
E/7h932SDsNFQX0xNmkNIqhlBPTFOOm2ACD3ONj8Cz2Lm9ytJ0wTXhNwRUwEnbU/9H8e4eTvZI7e
FbrWQdPkp8g9li3eVTbkGKTYT1G/g4/JAWnOs0W/AcWKDNSHpqmfhRzOdsz2pFMnD45jmBQHLAJY
X/NTUztbLshd3KY82smeCeYSZ+SD4ixfdBNoYtezt53K/gjHcCk5JMuDd8cMuEDNNqqOmiFm+q6s
L/h5phcrM7uf2ipZtUfEdWUCpadzTwE1yWvHxLTSYzFqCeVOKTHKcJ0pnJLmzehuQdvx3NXvuNTI
kZgri2JEreKXD7XHCU8zPrScTri262g26g6Kagf2SOykIdjiraesPl+LwRa4OA1jJUNiiT4q0IMq
HAhrjqFWHhfYFMWPWgr6WQgosK0McdFpn5ya/efG867mGN0rH1eYb6t1ZwRvJt4/RxmrJgLubmL7
kyUghO7SasVHR8Re7yFv1XKRqw+T1MVkDIvaAfDZJYDZspudP8/b5iEpzmGPazqC3LXTcQT5Nv5E
zCuXuqzAe8MqUxAvKbCqwu6WUxQ5pv1yYAsR69q+VubDAGcTVj/5t2jRJfWlCSgljfJTy2KGK52j
1Fw0dkjret+15r3Dk6My9Am/DA4xg4oOikJvpiN9SCQG1dbp04XmifcuwNNaHgWbhJylHj3VSwFo
1aROIYlJptnmcixD/JgbzfnQPflWeMUabaeIGfJ0tXDl8yAbmph3Vf7cFgfCnqSIvXVC+8CYjPgm
trkoFgK4qDF8evp74q/i6TWt31vzybe2WIqDFCIhB8ARjDstD9W203D04eyoSSe3XGiNDRMsW3hJ
s+J8XhBLt4W5ILwUZ+oii+eeBVTm/7EdsZFYdH2S8Hjx5v16zGM74d1PirMvzbVuA/PwL557du0j
O6+ouxsmfC9qfjEdpcdSeQi+h2C4+EBlo/qt8t4J9/Q46dre4iFUruhzbvjmRb2xsJLbnKO86sdk
r9WOtwLoazRyfTA9JuwQC5JKfN012XRtfPSnJ49wao2znneNbNVe1KjzT2Jgs5OgQUpmB9SzJiNI
kDaMSyRBHiF86JbxwCHZx0qePgp373SnSu089lTk3rBSkKrGgWutXZ7IKWWvvKcg4LoPNeRkx+bG
emTUWRQtyRx91UlOJ5e2GNapte/nnAYp/Sh548BK3OUnLcMHi+pBvTmVHCozHrroKgWM6THgXD99
+vpV18cN72on3cH3efCivTNcLPsXNdnHXdb0v26zaaNym5fxg8G3IvU16wWuN8k6m0F+yWS+Kttv
5RFMYYFPLasX7mS68AYayWCDJ+aFMQw7+KUYfsAwbEfvPUq+eqe6UvUIFv6YpYfQ1si2VUuvegoJ
tvFZqceOmoiEPcS8rTCEDsYytsKVm3XLlPwGRTGEx/BpYrzLqlNRvdeKW9bXliWubCs+8SeS0SHQ
JmBq5OmxdbgcIY/03j7OJUdv5iCSCpNPC4K1rZ1zLHD/sE0AFdVeJp8kCxxt58WSDHvAQl6Ir+QT
lxj8Zaa+zuaro+iPNInNdqrp4t9Kl4SeWSlFu0G+EceioZiACOz/ipXRvvM3hQPFy9nj0OE22Bpz
es96jmy4EBzVIng23VVqhGIGWuF96Gd45NV4iSz5mUD+qFelk72I6jSaHHAz9CSJrYV46egmHMHX
srF4EqC9UksQtV9GxV82mYupsRaZU6/T9BSMcocuQ+b3Skxm9mEBp0oce++L9zJ84lR9Y3Mp8nBZ
Tua5wY1uQEgvzG/qrRaum28TPdnMlj92jZYxLc2+BDbZqpNwiBZHI8/WnDY14j39SefI2k5kdYjV
mUWzsyr92U6Dk3SxT0YDxPFJPSgeHdVUHHrsdvaQD6ziqkcTyI/giVOBTNZtoC3Rh6lxALOAuhcc
QYlay43J4GW638lQwUFil9xtddg5MkCqG9pLjKCw8hMErlIhoLKOWfsOiB8caKOsr1lV7FOeo0Pe
bUp0po6MPbcysDpOxThiUaGYWb4KhlWgAB4P87o5he4u9PTtUHwadrnHHGHyJJPI1Ka4pjGrN3fd
6p+u+iCQ9Wi54zIT5rrOCypOcbrELnbUkcNDsTVgMHFx6jV5u7hfRn67MUhTwb7czH7KmjRzxsaS
l6poXks08Yb9VMmjgS/oIo1gRZcch2jCh+BiQIIC64R8TmJzCEbQP/4igNPMMvvajV91I5cz4zxq
mi093eueU2R7dVRzjspLUWzq4dq6N5G+o5yt8qrBTPzsufhWYcTyqKWZTxMvzKpk7/hZBw5kIzAL
xomC81SZL7SG/78fNbzoA8uTrRQ3ksKKsJdGKqzR15ltLfzPHlK59dkg2tnl80ilG5Ixe+PvholA
kvU8IuI1OU31HyU+70zehoaMGJgPw+NNtOzkS+uUa4/xQHVX0BU1Zy+ydwGLAao0XP+r174IKCDH
r6biVcu9tdC65ZTcBkXZiXh2FfF/gni04Cn97Lp/mgoQAByZbEXgnGaRTcy22drEkh6hbt9a0Upn
Y9W4dxsaeJXjXafsqV7m6bo3iXaYW8qIQGkMxmuV1ueE53PAMwR3WwbiRvvQBwKXxlOk/ZBw6M1T
TbVdQ1phuqUwpVOaqnOWTLoJobVfEhQhC9HtZyBu4e0DHoNsdJGr6nBZd9UGSYhKlVVtgqDfpCwK
RbKGeVEjygv/jM1Zr+5VDKRBfcc4ierX2Y5cUFfx3dPWoAEtqn+U9UcQjq1Zzcr0avTIqB0GIdjl
2jpwV8q4lyiL6rHExWrgsnwm6KCjL7k8SxVdIeOzRRAj/qNhoXElTXc0g7cxhm7Hw+6bX8fYWpmY
a8nXP9jde0UA3dHEPtcPBmyBQNDHtEnlyjd/cw4UCUN+8yoxnBuQLcO1aL88/XVMjj789WDyrwX8
+u6P00MCycKA/fewz4DKA0h5swZ5DbgnVBgsUoYRjDaEFgt2FLSeIJ88CnKKadmANln7pFO7Qt7z
KFmPSUm5prYZSNUOEAmktbC8VZ5t6/zsWS9Rg7WjXuf9tY/3GYgQpyIh9Oxa91S81IIULvvXK29t
OzoZ8/O+/VCpOofyO3GpLSjeHUzQxDiS+UhlOQ9Ot1fMBoM8Fi14kpMoDagyzwOcmiqLNpGxdAO+
cwy6KE6SaoRzWZkgoP0nK8RwZBJnIXIpUZspgI/72yiuPXlBRoR6FfO7cdJ6KMxqm6HyJ/1ZJtfC
/p5IVqKfCwuAxvwSFJcm+RPqHNCsfa54X6QbkdTU5LKDY7QpMQfB16VqZkNNLyuBXH/pW5gBq8pd
9Kjz2ncmMVkTO9vas7ukvkyY2Elk6wkEhA/20kVJOTWdh+C7OGb2NqfyaZF8lyFBH95p5OCVNpAw
xlBi8thkduNAACgj4+xvGCSpbw6AtOoRTQQ7vssmXIfmVvZXx9ZZU9DkMp6ZZYzkSGOlZ6wRUxZJ
dirlXnFYNCc6jMB0c2yVP7m8wivV54KUkqohIgEv2fiRat3aNG/0AzkO1q7qkMOMhvD2kAeAG04S
Kgd7uSbQHvGmF53PtWrCC9sWpVx7TONx+YcDeSOILNvRYuw+G5ORwm7ufnKY2DtQWCFKB8/4Belh
0SNER+ALFUWdTVLwYD4EhJEoP/JMbdXQvJCzRTfm9J2PNZZu5QL2UcKmIpjilek8yfCEa2tGu43+
hGOFkgY4CYO+HHW5zKJq7fbNHjWZE8/VI4Pm/DS4aSx2CxjjopxOMCDc9Qd8dSaaH99Ua2XX5DWI
ItKZVz1WMZ7CiAAZSAWn4vucoZQiZxq/29aL7f74hBsC+2J655gZBz2/Ct48a1PqIQvOaNOiKo2v
sR/ukhi0ZQDirH3IS+LDp85hcW9fcsWKqG44RzE7V/uaaVvkJ+XvJPgrF3Mzz0mi0K58CpOrV8Pg
Cx6m8mzhLso2FYNmRSWnYd286dXx7jZyk/bNoilIIkqGuHbacwNfyIHzo7FUX+rNJUjXlXeMw5bn
yjKcMP00y858rjg3Th8cLeoCjyOrNRLs1I6pnaN+umjd++E2CkmsYc40Hl0XI+iin0OSpIqnkHIe
/B+o5dwt0/ig0fvEuAO6NvNOphScfKnhIx5D+rfnig4rSnmrhUtAjgfJNvU2gihcYpEhHBYmIxKQ
LPhJcflGuoTbIbg4tfkmi9M0awiGtS6nfaJgvQm4RLGzJrbT1h9axTuC0K3PyAtWx9aoIxeBGCC4
YTCKSXZbmCUXbY56V9cs0spgTRnjNtIYqFLIDJk6VM2Ub3K9QDSgbDuzCecnGJUbvoa03KeWtdO9
4acK0G7GJNhglLyl1GIPExTHqQ18WGVE8FFn31nA04o2kMlA089B6YAOK/2G1ABABsuPdlU90h6M
g4g5Kq6+PX3WeNVEwwYaeBH9JrZxVg5hdjUV2nbKvWPgpncHr8w6A9KmkF8Uy3ndoTqy1rP7lGun
kfJyBNH7gH93F0/O1ndoFDPSbcy9FBXZEtPnC8TpY57+ITUJDg+cmMP1jBNDi7xN3HOBC8KHQzER
C8/2WiIWFmwTvRg2aoDmE+T7fDZIzeE5MpwVbRhubpCjj/w/bt1sGh9gU9qeamJZNTmwuEi3MoHB
wM0WF/ar8Jy7wE83NtnVNxhG/fpUQxcZRXgOqLiKqrJZsGhnWploP/AsXGqC+Ao7VWxtHBhQwMiR
/LGaYt/qkJrK6YNt/B3PKdYHkpST9zUF8aKlKKqHPqBapDoqOMplhIVE9Jss/63LSyvfRfYhedAm
/BQBObKY8V9StIgt9UHkuxYFRoGUYPbCeD1EztIu7E89gW2J2tc6B9usOWEzlvHs1xYsMCV5St9e
8LDChJWAfqFQcKnUmhhcqi+SGcA2IeOQoYQbAIKheZpYmA0KMqCsF+A2OUf98oJuk7OmroVJMBhw
5cCi0vtI4F1Ur+z/lyObafAUZXmt5bNTbCi9C5IDByANnmdkrAjBYaxausXeoHqp+fi/hJ3HcuvI
skW/CBGwVcBU9BRJ0chPEDqSDrwpeODr3+KdvG61Qoo76+4rEiBQlZW599oFWAV4N0RUuTTOZmHw
t1bbrH+MGlbnQ+3gqaVXue+nTQGAILkvQVSNK68DH1erVRpcSoy2VXuXNs8+MqyGvAKQgRpvEUsR
h5JzjoY/OLcdGrjHrpgX2R2hivpHBml/PPXmEsJDL9aRu6vr21C/7SU7CJYld84iVDsn14O15r4B
paE+CxBcAKeaoF148ypbTmJLRwXsRpCeMHqASCfme+zOev9HqUMQz6hyOQl770SQRBpFSKKYd32U
RksX+9xZJ55amoMmMGxS00AtJbycDVFQKBpf+UcIIluymGg3xK9D/5BbWx12i1glHPuFqiAo8lyz
m91XHmLNV6udW5ToFQPviwXZMntvCUNECkjH3sAfGM9tCpWRdLx7w3uYuhU9Tt6QZd4ygCBiHq+X
5/01UdYU69y60JfIMOxPRA0AXWKTCV5qkxCezwoyY/iSM/nudJiz9qsdbYCNteQKxR81VBP7Mp78
1F/oUbZs+yMoQZEube/NypFc4YVmBccv6lgk2LHiRowqImAsOHbJCfeIN4x0nirrbHOeN5S5UQEi
7XJhWmz9i5j6w8bnjG8uyt/tjJcm3RvO1qh3fjyvH/2KVWoZ529FtwQ7hnMOI+7cLA5jvJ60jcOG
OHGoHNgW0Vj3jAtuPRTfY7D02hUHcXzagXuT5B+cG3sdEV21TrVlCLJRPU0tlfsF7EkCPo56AOOk
nrxKOYP90l+149lrjPPTiAF8rA19D0A1KfF8Mxsb1jgUuCwzPmkxU6WNKDaeerXqQ6sf9HrupHxU
TCLEEZFCpNlzU7zSmnKb57rcFzA8tTVkzorNWD1WAxgZlgI4b2wTKZrrySVxcQeZgm4UYmqRn9gz
yvyWvIhrRpTy9j7nA4TNktRB7Ms5Y/PqZtK9paHuFVL2khLFhdGTbVtkD8p8pfnCNG+Sa3uEkYNp
qjyhzTJMkmbWShAoT4nio6gobjS6s+LFolmCNA+hKnbQSD8TxulWx4qSNOBA1e/M7Dlg9RvdrQtO
oUcC9ToRFntlTq1qOpHJmnohRcYfMTlp0n3qXVKkHBX14RXzyoiYdKOY7hP+VhhueJ3btVfT4gSj
DHCE5BcNjMuOVE1qJenDAOXEGe+ABGfo3Y15OMDD+4vyklMuo3qACOK9cxFb0ZfwX4oxW1VBhdp7
xlEDUeU8bp6L8iUGjjP5O6P7o/U2w5hdchX0dy8ZeC3czqTWX5caD13nX0YDdHyZsfTWR8yxaSg3
BSm+TCctdzmRqMXwlKYvM3tAtJcQJpqBSreg220mn7z2A1CT6sPmLBBW94O8MhKRIGNj7u5yiHOI
CemJ1OmrkosEhOr1RL5wdnpOl/KxcMu1bROsQTMLNaKVoDjJbxD6+yjJXFWuBPgoa237a2h5FC5V
QgNSMOh7Lrs7+Vr0+7g5t/6d5LxclbeRWJUYBtg8iuqSWIs4QU5zI7M9YdcF3gYs49XSsHZAD8t6
3xnWPEkYzGfrhrxPnhpACJybk6meubVEt/Y+1swSWXwzlEpVMM6QtZsNxcm+houZpouwfrWx6dJz
cgRlJmJ+hHqAwYgei7fF1buyy5gH4n1x7COHeXvkkV+5uYEP9LF1NgWA29zYh5Dg6R7TGZDOU0iJ
NJZrB21XKkd4Scdk/OMTfVj7BadlXAaDt0oUZXaGo1FDU67BV2MerDLnVLn900RXsIxT9gFvUXUh
ibA07Ol8TGBR+Y+xD3jWwqW4Fg1QL59C2E0VRF38DANs4yFFfZFvR4/GX6j0d6n629Qpie7F+NDe
6u2+Lz9iSJ65sBCML8roRUeKw3xjXTP5sHN2Mp45S61ToW0SDzF7O2WLOmuXYeDf1+hMTdR6Phu5
kXs0Uqp1pgjHTHEiw6cKUHCVwMRtEBhdiyCiEo+m5Xz6RKXF4448U7OJFh4xSm1sIGUMkdUFoA7R
UYmY3k/K/sjoM/a2JkONEqoQqmwQY4SkD08oAgnxKuYJq7crkr2U/bbE/n/VnOVJex7jF19/xsN7
F9NWItkelVdJyUJ2ZKjvBZ16I91Yfb91LAYOxVn3Od+7f12kmiXGc8pZjtPPug/YaquRC9qbA7OV
QyDGec4pP6gZHQkbmtBkfXKwTOoMLwKHN95z4aTzQH/Vs49JdxcOHdUxt1YDSaB4P6IW3o073Va8
TS1T9yxOVjpK0l7Ef8IswTJ+G+jvE/UjjhH2G31eRv5RZIxKQWQgxlxq1bZnOkjDdGPKzy4uHyra
SeMkAFo5tM7IK+1fzMpYTPQKtX4+MNQgcAMrNIxk0A+TWaxLu9pLnYlaakW0N/p3DSjRZFNd6/Ra
PVS2mgm+kvwQHLlyYXrmubTdszuUT7VbbxFC3OStvq+DiURUcHL5rq+rmW5bOyDVWGNWE3h6JwjW
ZcZXowU0KGepypwdLD/UVvI5MD+LG+rTXl8VHHM14+yU6TLyd0qdovKMMZrZQMFYK78LIRklabid
xFuImWSKXu1a7BIyNBNItRGOLYT+a4TUm4wDiddCzPCuEVHXolVfW+U0cwH4IEzZJIl1m6IvdLr0
1k+NXQIQO9IDxBHIEWxnUSgx51yBBoutmOCjnJzXBCsSR6Qz80YEeEb8J6NktkLmXVlzlziPdehw
+NF30YQckjG54zyPXYdTe/p02/BlSDTahdCka5cJjg/nAQd9P2LxGE4FjhX0VjOX0bPdarzAj0SR
D7PQMP+EgbVRqlhf4SdjzsyOjmsOsk8zjo13j40skPc5v6YPU6jNyd0M85Ogj+JySM4VgEMktgOF
jtkjZgWDuJnKcpGqlYukA4QRaHLwgz61V8k+Hx9GAIYaaXlpXa6DniOj9WBXt6OzJg6UaQRFE7mf
OS28AlTjwmSglDDS6cEXBYzA+nJex/pa15/yhN5Q6T7byj+GGcG7Zb/KHXrLRrO0W4Zcojv4oHpo
Vsw9j9kuTGP8iY9OASeypaHQvWnqXKSPsq2W2MS3sYGErOaZhpdgOmqhOIqFtvWS5/Jieozwetav
QL4JtDQVGD4nwPJAM79n0YUpDSMSBqUKVokerVINCK7F5CfmjJyo8LHUbVBrFLLp3jLvrYlmOpuC
TRSA63ePzvgSwfOLaFXbtK46aFn+Drf+Bt0DA39JG9dv1phEIeeIgVN2vxAFrciknHeUp5j4VpP5
4Eb8O+E490lJmc+cvfcTUmaNdZfCJ+jpzBeBSdSndewL61m3aUWUAFSHplunIWsGyXqadGeVemX4
vC1Z7iS1AVMJatNgLUMdTKdzH4ABsHJvH8bR0sX1yrCCH7Rft3Dvp4LImYIhTI8UySMVra+In+tH
xjQJ03cgmXzWVe3ejgwjBTZPq5mJbiTqtdkSdfdCfs0lD+QFJ95aaKzOEueY4CEfBggLQzsbgKbl
RXnqHZ/EcG1p0NEP/eTKgXqxU/056P0HidEvqqKNBzp+cjnITyp4Cuz6DqkbHBQo28z6ApXR2RY7
g4WlxueVO2TMXeGKYbDXaBH2dJWEP+0Nq7mEcBOFRy4i7gEdeZwZGndt4a/qlukw8UGow/CAhrdd
ySA3pFqoo5cUtsgAWgZeQx+6XGy1j/Lq4MtqlkzuvY5qQosxKMKscVpifb0bUYG3JuFQuMGyZBI5
QN93bBvx3DEmdrvIxv0YV1shwocIX1YF2AY79YrmG7O2FM8S41fNnKXJtMvYK/GgVA3bYHS2RlI4
qgw4CO2EEYjTCEWe94skaHfijNyPK0lsLjvX0cn9ld00O4e8tiF/CSZw0FZGyZJtdIQaphdiGZVo
DNIbEUPrzP1dYyf3hmseWgt+qOewzutL8LqLekIFlSMiLYOtzA8V6ptQgKdD/BpN8A48TBJ0epmC
NCh17UT+0YJm3/dUjkVHlKRBVLrSzjZ2PVpL9bPpsHCMeU770CYtzkTERpKHjfSiZP6BlOm9bADp
aTaYl8LK/7ZJlyyntAXpi0Uic91yWUgf+2huQxEuunKbtaax9XKy9fRkNE61vG5h2H0cGbHLW8zU
CwJ2TLm3NI0GXEcnS4vGt9wyLiNH8tJ6r3V8HqnuPKZJehfpBPU2HpQmU2Nu2hPn4BWTOqSa8nD5
Wdoc4dKLK9xDO3ro1plGuF757hWQWszOCxfppP+VvoY9K0xB9I/M67SB878WJnLbMP8CpGrP8o5e
riCWgY+h5G7ijrBUx//jDOq9dhHRxNoxpTaqwnY7Vp6AkeI+xXFyoHMH5s1EuRy9BFhuQub+tdDu
XZ+usC+NZNH0MRwLNCeaBjK+TndglqX/2DTlws8/LIVkAfMWscVWEKDUr0AAeTx3WHGZczmKwmGM
972ccIOEr9fHdxzUjYH3zayGuYKqPcTJhuCkRRZ/dsTTY9pZe+O9WaqjkbSnWr2F8j4xBs4RJAsE
yY0U0WXi/1/Cp/JdgCjbMaa5InCWrvWOIOoQefhrpinsje29aeHXcu5rGGsTvPfhb4TBKx5JMydZ
IoYxYg8hKPKayg/4FK36OjgmUbVGvreAB0XHVI5/E6Jhw/qtd6NLZuxte5vpI4eAYY5mDTteczt1
zL/TeBG59inzLp73x0+iReDmHPfkjZY/qYrom+oBtwQe51E9a6G9dpB/TultipO4wbBZ6rNoxLWN
/crGB5iOtPwHZ1YXH172ZpUX03m3PUCavJ01AzKwJncWEv8G+KfVIG4eblOOnE6TrtCGLSOuX3Pu
MLySM0mvVn8xmKkOdcVEFhUHguSF7znbq+jIubYtqmTvxIB7h6dRj+hJ5YsePVFbhLOY0XIvaXJi
caPU45jBb+djexwugtIp72k3xMxcV9g3a/E8inI+dDzm46vEvWI+BOLNVbeOGc8SaO86TSA/fZxI
HiZHB48KFSzOJb+Yh4189Nj/yi7ajfQrW5xSTmjzz1nXrmwAt7LWxXQJCPCi/0LSMEMa37+H27q4
mnKzFH+Ll4FWIw84CJZ6n+8mfPARnt+KKbFg+RonEmA4FxguAq5bjSI4NC8pyB77qSM2hR7WZNLn
pcEREawBgAdbQwvI/bpaG1RkFs2+Rr2Nff5cIfIw0Nfo1UtShC+0qW+Dulk04GxWBfos3gFxGZx+
Aen/ESj7W4MgdfCaXYXfiLPRgj9y9In/WWZjRTes9J/GTvxJ2OjR3zV/ew5lMtXZDnOLvOYKV7Ww
+qfQ5Dc9NC38IttRswFVl46qGqTGDbSmu2uyelVp29Jt4GYjf0S0cqOFxDDYxLoEinAhThDZbkqy
fVPYl6tKcyBoIaQp3Hdq3+TFIevqHVb8WUvFPmovGm5jlTAcPPb6Z8rS3HWfCOdm2fRItgM/095h
SN44MMJNjeY//c0b4vY4KSX7Goa5UYe0it5NlFJ9TzknwnSYqSqD3U2t6IIC6IaN7nC0rKHzOUyE
qFw66vmW9k1Ml3Ishq3k5OEFJrsrMqdiltHlFNGRoNG7vKkuuWUxGqVl6wpsRCY3sEEFbzi7qqBB
ToU00kVQJE5X7RahFUE9HmIxcAcNkgte0KiP8Wvpz7GqngPG7l3g/c8eLoW8VW606p1uIcPyD2Ln
lU9lqwpxwra0K+KQt2bdc3IpMn0VZIB06RsUJn29MulPjR3QrtXuo8Z+HgS9SnNiMuZkNmuLMz0X
Mn4qPHXyKy5JifZRSbYQ5gchQzv3vqN3WZInvJ2s1icoCSNRzRH0eoIE/+gRTOUl78OUPbe+SWU2
3Q8epJFJ9PO2TkjsTlprb9idfuiz6iwa93Ei6KSXKli3Ba6IOulfQkCdqIuWbp5DZazpKk+0EolB
ooBGwpbZE0VKvIcXf45MftJY44Tj2wgz2Wp0v1pmlto1dX40M5ISvPjaGLTMcKP1pfj8mbLxX2iM
bToA7j3Ps4mHk19ILnrs6ZWuw35XFto7q2FJ7husFZgnHsypk0AY7V/iK41vmCfkNhkeZ1tCJQG8
/JsuFPki9ISHP7PvdWcdjYQ7Shc8k0/M8UxTUblKHKkYV1OYk+BFKihontRW5iqe6vPP12+5/03T
hKZk2tI2XDxcrn2l9/wD+hJLHQt6R1+ezsZVImbU88gA3CXKfjddtZZaglIWTHKkrXyrfC7q+r33
5cW3ADknubYINf+usDTSl53+BscqWR+lfzJ5mTij6BwSryNXTayMHGhw5xJK4F7pGdlpcorVlHLS
s6CJxKl5NqER1fq01if9zBGiY2sZ1X3JJoowHv3g3qBxo4BmIdZBQ8VDhEkPDEWMszRzb0uB9A6V
krTVRmK8tUhuACEIxORSGs05Vp+WvCM8AFcMHjvmsR5CqPRYySUdV6yJ7HKnSTzZiUGqVnmJRvFc
ZH99GWwQwu58t7pHhr0eHdY4Yt5QFCyDJCI1TCKPYPnrwpnHwsRTdpPHBQdPihSIsFfTHEiroyBt
JJmCbWA6qPodSCpYvPTBP6SsKhxODpFXvwe0DE1YwLrfUqNFT1owYgYJcG73ywKi1oRvLimac9RV
xEiglgl9/50/xHc3mEi26dlmUMacJtFJijL+9I2zq9MQtHUCz4sWom7bZ7aQxTQoRBhXb2bu9P4s
sIOLNsKdn26Jx268hHN7PuHE0l4T5wOvUJg9XYVhdTbuitaaT80OyzA7FdfTODTTOKdSM0dmtRY4
Fp1EvcIQWk6ez4BvJIq03hHRVwyPdnjncC+tByaPhzxO2nkfIfkYtUfTB9/wGGfgfk25sHzxVPpX
KFZbEU42EIVAVz6uyBy7ut9LmgBqcs4OU6U4ddYV1NfBjtdG60GDIxMlQw06zDMBi1xbBvaVHH8f
0MkZgwE1a3ofMUmFvtA4KBi1w6ijXDHGTc3Oi51zPaQ12nlwCOlbkrs3EYFdk7/V2lNY7Sf51ySY
w8C6ZIcr0WdzhA3onMjoYwoVYDKndNvYkX3oI/WcI35XrCxCHKSHe2eKQQlOwV8nqheNzpfWHpx2
mFdo8+w0vU5F2bMt1GXeOpwYuWvowhlbX8u2yg82BThU0AHM+J4IbVz59UecPXPP0DL2S8N4zelI
mQq2emmeHZWf2tHYp4OYhwS3O6g9SPxbtOLeMdRyMB814H4FDj2sS6vAO2PQmw/oEALiKGLDIUWc
xi1SN8/wdw6mMRvk1GDgUgsprR1xpKIH7rjvPFSY8kUTH9E1at3tIEcv6t67QUmKc57cHJOwnhY9
esAoPE3rz2J6yVKinIP7atzXrDXsOwjfOnrTKFUc5wVcE/6Zg0PsHiUdNTlbl40EkROuK4LLVbnQ
qxF963QQAI6tFpC5fMvENftKzOxUkpPDozN8TEbyFOAzjQKHxUPMzSw5WJjN3BBA8siDNFiLtqrW
6DbOvo6qgAoG3yH9iEk6K0UnVfjZs+aMBz+DoR1riw6joDtG82GkXag0WgJ2ynSo4yRjlp92XK/t
uOdH6opFP4YcGWHctLWLcb49xKH4zKduR/1GkN7e6eq10wA+t8qH2KAnmlWrsqd1MgiOwcyCxuQz
VT5CjIAWFviXvmeDqEvntS/BUGHH2OX8trGB+pdx5iDbix9Ao8+d4X6MwuVQVfT15WOnEAgyd3Kn
7LaeaKPlPXOwRFTZTYrh+ucN5RtmFbWN6dp4CYSr61821KE3rRFhu6BaR6jLy8TEB8FbaWD3/vmT
vtu4PMfgwzzD0dG5/3vjGvoqK6qpgo4FE0qPaOyUc2ZsNb6UOB2XTeX/AmX7L/XNNtmYdcxerk2T
+ssHijgkQm1KATcl1a4J1C7Xiu3P1/Td3fvnR3xh2IW0iUqZ5+68DaULDHtUO2GVLzbD9p8/6PqH
/h25alu65yGUk56um96XiPPURveqT6DFkKcQ9JThAG5IUFvUUf0kg/EX0KF5/XNfPw7Ft5CG0KGp
fP2tMs237aDQBEFurVirLn/vYtpEumISPSI/ZAUIXqVNARLGCh1G0L4Onv0njFBPwSXaocVYj3G7
D/LgWNfmkVMY2Ud5wRFmgGv78735Br5nW//8tl9+BdVXVeiM/AqVpqOXxhW0MAzcbKF/FbXH4LNw
TJMqaFNS1zL96E0VzaXRR2QK2Q4ateyY6dpvTMBvHr9/fasvb1Yvsly1Nt+qtH3qpZGJngHB6+dr
/+65MExp6NfIaWlaX2rTyccNXZQF7BAwCYzv5Dau8Y7jg54PhXX5+cO+eYO5ov//sOsV/6P0NAj+
xS6C+VHTkGkGnvmQ9O6ddK13GG7vQy8O8ZD98uN+e4E2Ja+0Kfh1+eUC67oliFAUGHNKQFhCattJ
glJLpkGQApQ6v6wZ37zQFkub4zmWNGzj6/nCDYpWuDX3EzEAvLimJOUJUErCO7n4+WZ+d6z410dd
7/Y/7mabjF1jtyXroeMNhzq9iioC+5jbzaU0yUntiWxrpizZVDRSbrwEtIuVJ1dPbbz8+av8dtFf
jhSOMIWAN8WQPqVBlERrtA+LagCL9fPnfPv8CDjDnN/4n/slcltLMPHXGW9Ebpf1bR2201KU2iol
iEAOqOJVpnOOhLv8y+f+b7n6upwxBNZ14XEp9te3pCsn9mwPCLYru+tNjf5G2d9ywFadhRmOTeoI
FOS1234GIenMyCmu0UZZzumlQ1CcghEwkApIq8cUqwTpd/is6xYHW9rvAtntQ7pKNQY/NRhLq35O
gW9OONyZeK+6Jfa8OxGVuEawl3dlyyFGEdigrWi30XY3CBcz+oSWNtgn3CcnvRxxDXnkY46+2FcN
5B+mV0zZ7DI9jJjy5nLUGYW7islt1NdLzLnZZmjMAiezsS6SV6MMGP2gMZxiwh1cZoyqxb6EU3Yo
yapENOHCDvn5x/12zzA9dGDCZIwivt7kNh6aerR8ObejSu0ir+iOUmYBHWgjnecU3XPZjMfW8ZMF
zB9rAboth9hov4chKQddm4Rb+M/+AWffQeH5pd68cpit8D4BT7ENO9j8v3zl7x583nMdV6hpIaL/
8kCWcmwqTGDA0QPZUAbTm/E8nBq0UPsHLEfDsnDMlUPcZDMxZPYCtc3N8Zp27TNBaeB/GBBvysgm
+a6vD7h8n5lMls+EwpCJmo/GzIkzukKh598pXaZvDXE3ay+lR/zzlXzTFoHFquuuZ/Ccu9aXC5m0
YmIwV3Eh44AOp8Q43hnMIQeS3ixwTjcNP/gvofbGd3fPhltpOrrnmIb3ZdmIm65u+Q3lvA5gyEwM
YnRXMAEsjLemM+mzSbSREQ3UmahKm6OscYxF+0QxelPhcO1r/QEj+OfPd8L6bsOwhSS2nu3CEV9X
8ByQVtbZkFH8nuCaVO1Nnjr36mfu7OwYdlOEHSYnWzyxz4DWXqMBA2eajHdW0AFy9vin2nAyYYuZ
+oBFl3AdUIYnFdBZTwZsTMAD6RUwNB0XWQrQhRlBsAH8TehaQcaYoT+P5fCEFiZbSFHcAWOHG1me
Bmb6MwEOfv3zBf92vV+2EU1XLbxFfoXAIUBJm2BsjngzkgoBoK4x//r546T5TWl4bYKZ+lXpTCPq
39tW1nWTkroCOoxjSHdL0Og0oY10VaFTUf2LE5IVHZKz8UjUGyhLpKwPfZMRwNLOK39Jp/JWVn8C
U91044ONegcaz2OtH3PcGnCsIJit68g+JXqCrsrflNBiR4UpMuqrbRVdM54utcTmWnQnN6O/H2L/
i1FQmPeesOaVrObspPNwOsn+jwunKxYcp+NxHTDFlR1+I2ei7YDgC6s8EbBDzhqDGTByz5GRbFId
2KL/4enGpsoBbWrpbdzWGxNnWG1XywSRgeS4DAzgRfft9RXgo9zh9PM9vr44X7cr27MlT68LkU3/
8mJluT/Jomt5hBu9XPu9l6E2CN5cOS21DDuz4fpcrIOeD2fkzx9tX+up/362a3imdHiv3S/1Vqjc
IIFoI+ZVxaS+LOHi2xkyiaI8jpkLOd+5Lw1wDyWiBFflt77CPlrJrRbqGdoSmW9G3nVRWie9iPeJ
66xN3SAZoUNDPQkNUWhAqmXsB9D2DPngTcld1kI16IgBSsQaRDM9Gmxw2fQesfDexIQTtJ4ku51U
r2S403JyiXk5E7KECoRnPUkkFllEyoNQ+su9+N/h96eb8aXgbRs19ElakzSaIHl0nTs5Xbr43glv
Y4+Oq7I2rAab0BV3oTnuguRoT7Nrb3NcS9ASGXl1ukB2RNhVeuoJKe2yiX4jrBxzDyQbCjA6d9XT
DdtaDKN7Yu46tORdQEu3wiMC9yQggRipjnPdxk8h5UKH+0o/1PJZ0D1tcNl1AyrO29FmUNs8uCLe
6UzbG5qYOL9c9VkOR8ckBGn4QN2PLATRHR2LaSFrpj73pQZbF4EdtBFrEdC8urqFwkWcLTXrmLnt
DdAui7ANUqqdRVy0V1N4LrFQIrgmH8HfuGKVNZsG4eQ0LgTnerIOtyaoQpSqHtEuwb4le2P463vN
XMW0gNFABMTwGPW08RBWwlAGKrfKmYpPfL/AQU2AsOFKZMTblONByW1oLvjBUL8aD2WAoOyi5W+l
zzkPU2AwkxhVCSJnYhRXpzrlyzUMyA+995G69LJvNBcmZIhPexWNtyUiTvjQLSFpihz7vRFg46y4
E89mt69ANHr3aiA1cRM5dxE3Ju03bYHTNcPtgwyjvK2shYUhx9ogHJAZyTIEq0KsviHRKp37+tnV
57nB2JV2zSPtLTtkhMTvAeYagTZsBU1nS8EftgHERMeMI7NxxxBldJd+tPa7N5VGRNXv8vHTsjdW
ecO4Je/uwMLg6aiZ0oREtKxyAs8c93Wis5pa2IQvob0pOxgZC15KEwdExr0mXmfGhMl87PVzwH9P
BMljjGDC+yxImMsglRFXskRWpHcp93sZ4c3gb5aL3mIaflOrmUpPvndSsLzJtI7lo+8sadwhHorA
nAA/08b9gFnJXdC5McodtqDEfc7LF4H1qWaTTE4k8+G3sxByh3cDrjtyOHB7F/1b2V700d6CRNlM
4GTyvJpfW2Ro89wI2uB9Zt27I7HzpGXhDSrXtcaRz9i17Us/HpW21Y2jZW7zamajFhuXpZHPTDJ4
pmPc/0Virwvk66vBuA0cmhPREesaImI3q5YMCm6i5HECuP2mxnYhHCZG/KCIayVuA2cHjwgMxZ0R
PwXtvixvdVSexA8bq8BBSz2DrevENknbh4mwLO8hI+mUieNYE1q4RyAJSuKlJOmqvljToo3OY41e
kgIIHOiLjUoEX3oWrRi3ujHNz/56lF7YfyJuTA5npooBP8Y3BUxls17gQXW9rY0PZYifHKIcKTzT
ASfwJ/Z0fNwYfuLNNBLqq9+19odtHhqKTSDXffjeN1t2s9LcuNo+H5NFW5LhySzZuFqYsZGE2nIc
//TYbenlRCg3bpAIBi9FgR0xZ92RR7g4dUqQ17x4zqJz4rRLCx0l55/XuERuzppddMRtWnACACtG
qPNsQm/r3LlKb37rHRrXAvbrSkyhSYeSw7lkc/p31dEVlT+qmJXY1tJzq+CT050ab6yxj69Cr1vR
J+/6GK2SzASbH+gP01D/sjWa10rqP9/B8qh5bNswLO/L1ijdMjbBpcl5VpK5oBv6MC+Vz0CjSwjL
c8S93ZEPGAkCyK7nzRul0uVEpLptTS/gl4DLeTkaVc3obmwxEjFpoIZ3aJB1CpDwyPAkSrpT5Hp7
R8HC1fuLbkCaGxh1HbvcH/ZRLH7pX35XPDo0VwTFN7IR8eW2Wo1bAzfPcCZWMe6K6NDhWUxKJJYT
fNRf9lPnt0/7UqoOnCUi2cXAdlOeq2gqAyQ3hP4yEOFU7vhHfHvgkXDWmmzr8LLxHg5xcOkstbfC
5gkI5sLJiG7yiFerNf+U2MND0OsnMwpwY+s1kYUmSY+TFS39pvts0Q+gTWXUMtJTKIRx6kfjlnMy
eyDBzi1LoHQ0SUaShejqynxuY53YDjytXRCDFdSLLeKAJ8JD3vwmfBEOmhnG67T9QwZ2uCjlcqzZ
1nP54lay3PRDN839olDzeJgOnRcRFi/1jUqKTW3+Wp8Y/6u1vz6RElmYQfdeWq53PaH9o4U0xPy0
XjJJKgDEHp0HgLUlh4CtEngr+rCemSwIM42SewrZRrPPuMseLRRfHV1S5iKMWD13ndYMeJvpQzPU
S2y4D2UbvdSVugvR+EVNuAriYAfaijBklIuNhNwWKqCtEdMP5Dz+K4VP2ZKVBPXT81GC1/JSQpJi
1PvaZoAZZAL3RJ0nnw1i3+LTx72RU08EE9tzAGoWHLxssEhmYH/wsXcxKVcpBiBILNmfnggGZ8BA
S8qeF7PdF7K6bZoBJgnArxrTgHYZE6zHZfMZ8bGgQl+6pt7rjHewBY/je6e62VDjf3eupUy5QC54
I92QygqeEKeXtKQ7baCFqxDRe61+CjVA9gYofVyqnc08WNwqbQJ4kXC57m4KwHdKKMdoPiEMYdzF
hoTUQl5EwJ0kqqFLKdoSgkhRYiq/xnJzYAXgb0fkTZzatiAAmlkZEqT+VfPbv7V0l0HXbMskW48o
mlp/2qQ4a4ThziZTnRsuW2EVs0P9Oq+8s60P1ZO/WzoLGN4rKxHzRi+OBi4ci5lK3p6nRgNwVsMF
ThKmeeUhH3WwBtaiccNbM4BkhGPIQsD2c838bVfTpXHKCQlHFb3ffz+Snc/inEVXMKlRFpD+20+z
TE90p0+uso+j7pHK4WTnrhmnBaPngMlfuk2UbfzSGP+fKuPru+G69KMsSZ+BfuO/v4iWTMJpMnFd
bBzYFMaVxNTQe1JtBGGkUSAac0JiRy3dT+F4UUH2N2rdgzYOx64P7F/Wvu/2DtcTUjiS8474OlAh
fKhRDv+eDiTFaB5Vt8EYHP2wIagPR1kDwTwc7n75Lf7bFeL5EDpcBu+6OIgvt0Bqfqxqnezzbllt
7FlzccetZgAfJNNwRuzAJphVK40je/nW/x97Z7IduZFl21+ppTlUgAEwGN4q5cD7hnQ6+yAnWGzR
9z3+6X1F/VhtSMp6EaEoxct55Si1GCQc7nAzu/ees8+j869/AN9c3fluZOUpDCdGw9Wt6+JCX2qL
FgX0It7G+/Tc3wbrn13wr7sL11OWDvzftlkS559/tRh2bcng0XLUSg9iufUAuiANMl4j3bT3YdC9
/f2b+9fm17dX+27nNKykpePq0jP3T6NVs/LGEIPcn/TYfvgJcj+0WRhl2r/3XL+6pwDRZlgW3JOK
mIKDVUTqzrQL5SU4iKaClZRYlv6TZ9X668MK5W7eUmjrSYPDzrfvJGzKThGLw1W15qZJ024NvAAK
e5wBLCj9myJsNl3nH1uvefCzfFpJSECaHb4RELJyYzjhAeczQT52YF6PKYP3Amtl17iIcdoXz672
VZ1vPcN7cqNp1RTweBO/uop1MGcwq7KpOkmCTXvdAiSULgAEL8ScDEjFW/ctqytKBfTvtOoJI4IR
DT3J1nCdSgTSpWiPfLHdrWUbG0vi2nFyo978/YcvfvCsCeKvJJ1W2yXu5LtVDs1QpqCvqZVnuK9p
zNDEQFhTbAayzHqow2xj2dm21MMISKieVfO6cSucEtqzdXRUe4Wy6KPy2j1lwHaEAz4iM4W7B95U
WxcuoKB8Qj6edl+gf+3//sX/4JnitTvGHFXGyvB909vn7F/HKXN4M5HTYpD1bSVR17D1HNFgomMT
+dPvV/z3t+H/+B/5+Y9Vt/7Hf/Dfb3kxViFTku/+8x+X4Rvi1Pyz+Y/51/77n337S/+4Kj7mKIKP
j+bypfj+X37zi/z9P6+/emlevvmPdQaAd7xuP6rx5qNuk+b3i/BK53/5//vDf/v4/a/cjcXHb7+8
vKch20MN//yt+eXPH+3ff/vF4JT/RzXy719f5M9/cXpJ+eV9+vry2lYvP/69j5e6+e0XzXF+VYZu
KnYGh8Gjsmg19R9//Mj9lV4czUBA72xmLERZzlTit1/0X5Uj6Q66/CarvFA6X+Q6b//4mSFY7nT+
xzhA4R80fvnnK/zmA/t/H+C/ZW16zsOsqX/7xXa5/lfFzx8LKg8ML1AyAjbl/POvVqJ+clzXV6Jb
AYkh/FrhyZ44bS91d+DYqQUvg6GjTPKpe6p6OkXSmXGX3rDSBabF0rOtRey0Amsh3qx0cu0Tclt0
wtP4bHl1fZgij25azeZoZ/W9hbm/M3HT5xHZu5m+lCSrraqyedYLEwafHpFCHeknTaEyI/Xr1hz5
BwvLg59YZZOG3QXFs3JbfxVVEq25Hp70obCPBHIzJImgfuamSPelQMxmTk1KXmrHobDRP2NMxJjT
sHpXQX4ypF1dxC7qpMjUg6M7eeMl2ii5lz3tQBNJe+lr0d5ukYpTwYilNye2TkSNxyJs1g4ZIZuw
wKY9mYLopvA6C+kjuN1x9EoaSuF4Z7kUk1Gt9pyprCWUzQs2A4OujIw3jcTFaqeVeRJtTp527jxH
nri0KofURL2udh14X7imw11m2a/jmD71VfLF9LW3oMBN2IRiutFSTN5jXOoYEP1TCM91MTTyfYgd
samt4L0NHfEQ+oDaarPAT1GLcdW1ebo1U5hLZaeLrdukN4Xu7DvLyVdkCWMSCsL3kjAsYA5HXsjZ
LJg7NtU+VAqIjUaiG18oAIGNM7sa4nfP8h56zb2JhxBLb+SdlGyYgwqHc+IgcSZphLgq+C8rEbvj
SghMT2WlPzN2u6aednDTqWtjThmKJ6xzta3t+gLPfZ+H9BuM+hN63g4ycrItYgBqLiGE895QLpLG
z2mtETEyZtAwEQcLRbcT8ip5iYhVGGTclwDx+VK9YyB5nEIDO4/zobCajC3M+jF36dsZYmOD5sZB
IJ7VMELz6vk8qm48lhOdbE8gCfQM/K8xjYcBlAfjiGhKdgHOw1j4NNJ5aZMeb4oC54Mqw20H2ntp
ltjxbNO7bgSuqywYP8sBpMmcXipRp+hD8zHK6gCt/ZHWwXOcqj2jzIMXGZdaKM5JXJwxNkET07zL
qivTRTiat4biWCv6+ijIoTA45etdyjDbma5KQ0DxtOoewlx/Dq1gg4qiXqeArrcyFketT8BKd+lO
A1tYDurgYM1utfGY1mgBSmbdaZifC6F2fSgf8CVddFFNi06dddsn8L3Ad+iYW702DshvFCFAOf1a
Tc/ACea3cUrvyTDUyiaJvnHHHMyneeiYsKR6RF0NR93p+KaE+vBFId+no4biL/Ljh8J2TloUIuCv
XRJYvJg9dbDEBTN0ZkpWUGy8tFVIkYnAtVFi7RrJH+OM+IDznWjJhsGeCvyjYC5LR76DqaVXV7z3
2R2BM2yEktubCJLkXY8NCoMRIyi043YLfBaNVQ40ZMhzfCJcjLSiCSIj1Vh9b/TuLe12c2Z3MDgS
FhKVpEXJEHvE0Bk8uA+TwihZ5IBBiTlYNwFWFvKCXbK742HTJ3639KcsWXc1ndis6cFr9sndGNBj
5EG16a5WHt6b8a5L9IvKCKqV4E2gFV/X+6Rk4KWK1r2wcvXB14i/ZVrtIg8Qc+aePd0nsjK3Y+rE
WMowKJJ7GgNOpdpuMU3eAxmPVp3gQDc1cUYcAPOHdGzNU5O0SC8HL3+kx4Wg37btU+1COSC8JvHx
TAb+ahQ13O3Kqo+Oh8GqLvOIT84H4s2CzhkDjdq4NtPkobe6h0ZT8BNrzpPVW8HiEDhYVsFClmjT
rZpRAbyuB9snoXtsTq4R3lYRoJjMvmCa7l8ojTmQgGuK1o74MO25t8Q+jWoIM+4awuBjE7uHfFQX
xphuXLBnsxEk8+nmSvOkp/V7J4tLT0OVPUBCqgcBZFnuGkBaqV8flIg7/I89a1hv0Le2bnQSuVem
mJifp6BbawHtwqJ7IQ5Rg34ZNdLKsEcCglLHJK2PoUyhQz5Nc6yVBSXKWgsndMnMuRYFeV+bptE+
mX5iknHzPZbi11LhrOdcCf/EKPWnJqvjI43ZOQ66BeSH9NO2iNhOfRtncaeCKxITzKWd5GdpW++1
qF8drTnkIXYnUqRvNJuep6lYxFTckTtJGzRsQHZ1UqdJEmYnh3oTwN90KSucN34GWrUviO9xp/Ci
Huk7WyQLaZ7Jwd2vyDByH6PYfHBHuidUAMhmK/81zPIGCh6MAMcK91oINabtDai8TvoEe+ELyZe0
0JIBDbbScEx12Y4E8Zd8mi13A/NwKe9a2a+DIr+0p2qnhWB4+6QCMdD2+Tpk/95EA03trCDAa4SJ
swpk99QUg7UKMXvhuAzjlUWVbqF0WEHZ7teKbOsJQPcSb9RNYXr4ycZ3acL2aQoa+2bgdofalZ9+
CQWkjo3bfMofREQFnIBb5AFjnY1S/UlrQCR05WhdlF703vb6oxyRAXtZ/N7ToBkmA1aPX5/ttr8b
I1mAI1HQFQgkO1qhT5tMnrkysWvuelBTtVI9y3pezbR0Y8fkFrh8Q5VmtTzxQbZGh4I3G0mvX8tt
n9dnPLuwtCr2VZ/EnYVjmEBs8/hBNZiuMiUBR8+LiuUnL+Dz522AwJmhvINUD7ais4s9exO2ndpg
eBRrT1aJKrkMrHivOoyAuWWBiTAxwKUG/08VlQUWI8GAYYBLtgO+GUPKbMqj7hBZ/EpcmFwSokhe
beld5qOBwAjTtTaEzKD4hh4ySOnrsGqMpWkWHAjhVTUJFtCwbJ99o3SOtQnYfBCqvW0tH4aJG/ZP
Y6q/zi50OPfIUSQkrCSW96afuUtR1DzocsLB2rSvoG2Oups8VqgF2ApXlRho9PsqWlfNAM6ur3BV
N4yLI727dEpsvpEZg4kZ/A39rT+ysP+3dPln6UJP6H8uXS5fspfX//y/P6hc+LV/Vi7ur5ZuuIxD
XCQh7teVizJ+xaBE980SSAiRVNJI+O/aBVeqjYsLWwk9atS71DV/1i6a8Ss6cTwEaJ1nz5WBcvtf
qF14aV9VLtKkAWIIm0rNVVzFsL6r1R2fwUepwaMsorRY9C27dTDANR97BvF+PS2lDrKPXAAOS931
V2/Xn3XU13XTX68tkJ+bJveBYYs25LdVUxFUQxtmnr4KMTCttYGwEb3mmJT2bcn4lQZ26uYJ3uui
PlSTW6/+/vK/j8W+aoJy74JiEk0ebUeB9PG7HpzftS4aJeHA0Cw4FREwhZlpPqU4IjtKZ3jsU+OA
8xSVTLgcSQ4hDHUlVL9sGUo3knWCU7zJAQ51MeC82wajh9bftbAnhwojOg6lofxs2wcbb9Pfv/bv
5WXza0ezLyg2laH4CL977XnSs3gg718R6RUt6MbYS30qHplWwV2ShD35HS+qZrVaQEx9JCf2rAfy
tpH5my9bpoCVb62n+mftEyZ9P+j9IRDGXED/BInO9/2xoGFp6gYkCqOqT3KG8VnRF6dN9Kt+zlxJ
vVQyX3AzVAQI4waiWfTGvA5E8pBxS9BDwN8GY7iJUFNYxLp0gXOdmWziU25vcyMoFjj1waDNKTCy
yN/SgN1Ib7wvPU19ZeWfhHI+eQrrUj1nycQCLVNAvIxOisqqmRNnsjl7Rv89hcbNXktZv5pZDxlX
+bMGpAqhT8WX5JbUcDzoBE2Q8qt2VMRUMfaa4AmDOrHDkwxd44TKKl0NoXzywvF1iGAPeSN8F8/g
Lgm0iYgzaOAvka0Tk7HjzGE7nG0/bZtYOsIiltUcyNMoOLxYx/AJzXE9wK+o20jwEST5cGzHjFX0
TJDmmB+TYLVF63tvLaGvW5LXEOAxXx/neKCiJygospW5CufwIAy+HL7mQCGdZCGRKmLhhouYk2Uj
7DuNBCLU6mTrRO4IaTh4z/g67Cxp4Kcv5+giE/g+oAoD8SzBRoBcjCM5dt3KssBW2wiwAsLv+KzY
XXd+TjxS2wHGis1kXMi8kWs79O5tnTilkVwlYv9yCmKilsqmBKo6xy9Ren3hAHlnS9T55RzR1Ejg
iLQk4cRoOTEcLew6hf8RqOkymtKHgZynMKTZm9QRJTXqtn4OghqzDgZPSzpUbyMM1smLitLWW6Vz
hFSiZLfQbP8pyAhJt1K0Hr2V30hS7hEpRYd4jDAd68jVxh5LoQ66mkXozOwZHkMzfqHBdBlFdrzN
bfjs1EZESo3ms03olfSHXS5MePNtdT0U5icRRXSefcNagxtd5wEt6NJkYZkwpTFckzcDAVt20z2N
c+IWEmpr65j4RfMicC/yOiToOaOvoIX5p413O2LZpQh6FaR5KU79jxn5XiGkb6zst+QYoIgqw32t
hRd+2O7Ifr7SCQdLTfMiISzMmPpHA+VSh67PmNPEfE6RhapOhRx36BHXOoCZZBzXRYB5RVMzpOhE
9/Oui3u+H5PaGkZDshciCo+6ofWTz5RYM3BDJCQn3bGrAOC3hT1d+UwRkD1NHFYmH8ieNEg4JJMm
ioCwWmM23Hlj9lQoDPgEn+S8CBvEkR4Fm5bcNd1BOici0ChD8/vCOqzTAFMZr/vg+k1P1msFm7GP
OP6m1qGo+5qhJN/VpGPdmGPfELsiRapmqllFKpwra4yQ+Ms7D1hchPt5pkiKhe8TWyPSilyJOWIu
FxR8I2fxRdvKEQ42dHaLSDrVcyNRZpSrpsMrI83fvWrmakD5t/Nrglp6fHmc9Ell7IR/RjxNXd6Q
Mq9PwBlZfm7rgbebkuccBU2wDLTqzp+G66rNbuKojPAVk5lS++EpDP3rUZMOTkrnViOXmokFOndF
yJFmhPxltJs+B8BFkmm8mvgqFtOrb2bvTRyeU9nepRnp83YJoqklA5rK6iZpGuOiNMabIg3gVgiJ
QrSLicFKz7oKP3PD2cUh3wFW7nBlGxMCq/aGAcNGVtULM5tqGdXpa2VrF2JsH33qd+a0DSHFRXfB
8f1EzfMQFdmVGTq3XWO8FblukGri0TizLUYVnkkUQWUUzJSH1wnklJFWd7oElRNSbyT0Y/zIZdjc
XHFOmVGy07Vw9O2Qep+ljkkAsnsJjU2/JBmd0JTIOoF2uSwk892o6a6twN6iJD/nCIwjPcd/2297
q7lzO8CE0nnxOXJAOWvvprQB9IrGqhWkUerNmdIPxV5VMmYtHvXCetSJ0SyV/px6yV1sq003VhfZ
RMGX68WpJBip7lgC9DgMtpGsbJbeaafpQoP0ACqnK+BeIGm5rvu9lYacFZKZqTDcJXF7BLdzgRP6
hhUYu/eUPZqxf1NajHj9aedM4O6m0cjRO6VXlW285rp9LUlbxmDq7fxkujNHLL/RBEOsEO3BKYtk
mSpkdjCCRuqlwWY9bEE2X9OvGfcNdrQ98SZkiJGCukC5MTOjHuAivJueTlMHL21tynvGvKtG4G9w
axg6YU+Wizc2d1NOsxWK8U1bFbuIia9ujM+k417KSOyntNhXBsZMQvVakJvmyQ1dou6andakI08q
UKQ4NKCxmvbOSYdTXtRXVVO8T2EOM0ZHzWhr+sEAfwvbEY91jAbD16/NNHfXbjC0u0avHwWQ1jgj
fb7XvXuaTNrCKIk2cWOyEU3/MPrNA2UyhCHCVcBmQ8gpInnuZbMNlLnJdeeUl9XFVDJqtPXwDjGq
A506vMksb6ZkaxWNPYtzHOnLg4hQTIj6JQ34FFFFd+yWxWVryLeo0+dTRsnmS+8VazJdCWyvPEq0
tODgIPVz0600PB1MSweH1sz8NZKQnpt3QPGNhmDvUScjsh8s0R2JJyVOXJBr04hyX7U2EKWeIs80
eXSkgA5EOPO060dQZJprExxXV+U2HyqWVp/RbPfogFykn8tJzowgwXm5s45s4rShKeyCprymmciV
QmhmiTmntalr3U93KmDFsDuiP6upB+GjpbdDWT+ao0CggrEcr6F8T52Mk5Bv3emE9LStc2ANhDRF
8qVdT491H+7jMXvBHwKbJ7J3XQZ9NDHklTU/Yio3ABm72p2Lwqts0vuyGsFCkdwbTDeeNpLmmahD
SzximwCbhRZO9e6ggutI6QZeRdqPMVFumOJUsqPSsTMhoxTsDPQqN/GQfFqBysAdNcTjNPIyTB0q
XvMyLmZli5DXLL7U/R6Gy9ghPyfvBqacIzeg6vhMrDeTZ6d66OpI3IS9368rfUhg1+jhTnCWoHki
tXUq2XlLobJDTv9zY2gFXAi+zZkKYALYJJj2qftpWiVZRIS8L5NInlo3vHU1Z8M7rC7cqHgskgRf
QZLeuW7+4Ev7gsw277LPsFaGGqlryZ55IMy/ouoXQPjuCDIF51Ry3NCnZGPEmrPQI7AvmJlwjMf9
hdXKQ6nN5vvBuTaRclqciiFC8mmVhvYaVM3ZjOSjPZL5Q2v2XgZoIkkpvB+6klyMCgGuG0bvfWzu
gpppC3Tju6DWDEJoko/MQ43bEU62rSagfCzL960m7HUwimY1tOlGVPWxk+HBJYDNoadZqOKsoyok
aUgLlxG3MTe93BU+IGPb9y0nuaZ6jzHQcL8VQZhR+t6Q+UMm5JzWURYrSHn3aeQ7OxQuzUz9+VJy
EnRJoMYUnzhgiMJrJ1CXiU8dqFP4keh2tBxa3VqYmKTQRv2xrSVmsTHSbzkFDcdUMXHSmTag70yL
Kw24x7IpCE4RtYU+qrPrV0QOyJi0ipNpw9beBCif4sAkomtwqrewHhFXRWIM83VpKfKSLZpDCpaO
1+QI9T2gA0PgFW9DTqO0MagIE8SLQwK4WnPhBETkArQwyhZTMfIIt3jl2hCOaq9zLGmSmqCjJvF3
HH4vRQ3LzRtmv4nnnj01nfFdg/9h1FezNIcOSDfkZZ8NxNFWj9Gym6AVAHTyxBW+7V5UWQnut9Zl
sMsYHm1b3xDHkEn+Milycc3oo7hhcShfSoiDm2oCpeN4wOsyDp+wYkHuDvDGayGDJxUjdm8KSD1d
7wWXY00QpTKqezuATevUNc84MSFfREQaFud10rw8k+u5jb3K2bU0KF3qGuFBiCbepuXminJnDjlq
rjogQykS/jKd472qpMqvhKaC/TTQ7APCSopp0e81Ict8nWpYinubfMdwYo6v2qE4moPtHErrA4rE
oq9Etcx8OCwDswI9WFWIrOn00uPVmewVlboy3dvBKfBUeC7vru2SIeRErCMx2MiFQWD1DmgHWC5s
UGvT1ay7BubXxhnefUgVQLQuu1Ec9IEMgw72mQ1MXndZ0dwCjJXnbBISo3VFYpwmjm5YHBtIzgao
FYMAOM5+B2C/D2N6gch2mbPWKVMuzdxMlzJDM8SuUtlQF7V5xRxbpAs5OORSCzjROsllrUByDU+c
jtZw6BZ9gUzbio9SJPt56FjEyYozzWXrsJkUrAVGWm/pn6zFZF6biKn7OLYOWtHcS61l/NkaG5Iq
EdfXK+ahK8mqmoNWtRpzxWAAd394lmpo94aoD62yV9XoJksRVHs71B/rHI1g7C271tqXEchgS6zz
ON70OoyPiWiLaYJoymiBOD3Ng606FodcRM8JfIe+hxLuE9WHgNsgQZ711l/5QdKvCsVJvZ8UjxrR
g6704I45r83gLnXT2uTacz6xB401T4GvMVSly+Gtjdx1l9aYvNp9fA/NtAVobFekAkBCXgQESBhQ
s2zWyNbpRgoT0gka27KeB9+NT35g9vXK9AsoJx3oKOpDUiWXVhhSFRLAdVK2hKXcbaIWFGbfo6ez
K6cmrsBMGOdiTqhj5xijWtpFUXeLpoVMo+LQG/gs4u7GsOfFO5bNsYiBc5ZeDMew/ZSEUxujvUlj
uZ/KATp5kqKY0y7hiR61ivl7PJxj2V7EgfccF+bZJiWLLtfRlGRAm20I/oyslXzYCNl8ytK9y1sk
uZwM71UC1Y7pG6j9CuIXI/EnMqF3jAMfO92fV1/0qvXaIqEg7F+7qLm0Ug6mIzBdvGPLMCIYs+0+
A12kGz1GOy380F3JeALlqHH2SLFZ6E5GLZWccz+9ZhNb236FpRbwStcd1fhp2OkuBmWLMYZDPfo4
X3Lwb+3+oivFuEMZ+2Zk+guYmAcrtEmt6K2DWxf7GCdZjM49N7KrYqz1LQCyD7dSF4Mmj6MTbgRI
LE8f74i+xDTaHGcXSAXZv3TSzTBvJhN1QjoPqPLxSwaM1kSonzn+ziqTo2baJ0CIF2Oh76KRDGQW
NKbNV0SHbKap2JE8w6SbaZsNpsNwIOWG6mnqiSUHwFA29PE8P9lkZV0sjEpdlwLHCg9emEe7AWzY
KPyVQnybwmTlnYdlB31H1QfTxQKi4y3RIaMGwU5O4khJf1m5zqaviPMkG84drC9ZYzymYXdlaOrZ
tkeOkN2sdO8PelJfjml7wdyMSAFrLZR56RX9Ux6L68RUsJq1knQ/jlYR0Y2uKPBMVbvcDg6DDu7e
wQ9dFiD3E5BEUu4UlP2pUNc0ZXaGE+4IUNrnYXXnBIQT9nVE8rHlX6Yw0baMNkEZGgHhDb3+zL44
7WzG9mTK8zdtgk9czfY2rWMfwjZA9BCn0NeCqXjOx4n1d2BSh8HEmZ6nwbjXpyH9hOTCSqvl4boq
E7FMB9te/qS7+QMVlkJV49BsMm2dbuC3nWGbaRPtAQoiTJTLcdsni/yGLfyGmCGxb9YMRG7WY0y/
dmnuf3LpWb73VVOYg438+tLfs0R8X8MbHHPp7K7rN1isFszyVvoqb5b6DgTj31/uB81S5dCC5hit
aEZ/3yztTVnnNqU0gQ131my3IYYebsjfX8T4gSDvm6uIb9/O0q361JZYC7oNPrQXTSysdXeVrqNV
eFmt+1UwJ7dsaLn+5HP8vQv9/Zv59e19N10YrWIcpMOFxVZtO0QcK/jF6RoMNwpbKOv3xVotzKVx
nz+R4rTBePSTO//Z+/udMCtyjNYdZ0MKpPFtvCuu1JkUGWQ3XBf3w6PWrLyf3fT8N7+9aQctGFMV
Uzc5Noj5NX0lBvOTxC39eLJX5RpO3Mbf9dt6m25h2C/Jnl4s5AJawYLMlOURl9Mh2do/eaisvwJq
lGkxG1CWyYtw7O/edl2PPZ+mmbOafKJ4PIOIiEFsA9NbuzE8PviUbcBsH9AuSOClSQU0aOweguIq
JfciRovqIL/X+w6ndLqJYDAoC3WNg2VHbx6sdroexAhzHihB+4W4bZpZfKI+Dq7YeFBVshlM/1Ub
kouoDlZpT8s0L/wd29IxCZGiWtZRTsNPPutvP2oma8ibHQsNOWAdwIDiu5tGThPhSWe8jcAcEVSQ
XBsdIvuJE+ffP1Q/vNB8ZoUpQNa6/Z24OWLaWlp+zAaFdolJdo0dOGloSbSO/OOb+78D1j8HrCZP
7v88YD29FPlfp6vz7/xzuur8qkPcYYiHy0daumRh+6cuVP1qQdqQzKf4Is7Yja+mqzozR3rCUDIt
E9QKWvWvx6uCPwdGiq8u+i+BGeFfGK/Og9RvlwP2L7SJs1ndZqILSuy7vUxU1uTP8I9Vl8/6rChY
mXH1hGwTgWXpZCtBpZN0CUEgUbtHkkV6c1CHbPFMG7oiBCLlOV841d1ptaY2QWnWbPnuyaIxwSRL
nERY3/W99lh0nLAjgoRLKOK0EuilJiFWXxi0SW7WdL/rnRloD2Ven7yOHkaK0qyYK3dp1uTlJMFL
GNFQMUMddYxAYxXqwt7ajc35wYd7HE3IUbKMbkJ10HjrV6Sojxw9rH6jR1NJZiQ0wDCABsEAEGkN
xYOW1s6Oxs2VVc+buWtkhM0UD8iU+LqU0+cQxBd2wMiSrsgp8/phgxfhqoQpwLn7UUyIWro2e5Ce
cxPoyTrLaxQZ424c/OCycmgWhAFoGiU1epute0tdHqzNhD8jbLfY0jrYU/4/+RLkgpd0MI4bn208
GodFEFJLwTskVZsGzyYwcUlrNpFbqQ6cOCxCWsCdRc/dRwVTZfWV6zQRiEJti3tph039QPLpY1hH
Bf3I7DO3yEQeW2YJpue/ugHY5qw6D3R9J9d4d8D+LJGdzG7Iaq3H4H2Ilsoy7x4CPzZvmVzUk7mt
Gvdkp8E7QuOLrDV3tTW9D4bxwEmyILoy2oU1Ykk+nlXYk0U8dAfJ6Mch690bk6c6F5+TIiqnGGQA
prA8GT5ZeGl5VRkoz0L6h42RvRqpf2b0Bcoy0t7U2PpLe6izbe4n72NPjDDeJeDfeUSuVEynYxhe
anf2j8nwsYwo5jPbv+TWsXTyIZO2/hqa0bM/FAAiCIepLrQGJVEw2dvQrfBdedmXoas/OtK7iWnM
wSSXxpbQQQ7hEaBtSTg1SVq+s7ElpzpXeQcdJPdogRFt9fTo9uWmTe3kvrDMq8Y09kXMwCrTxUvZ
oHB1XPI1kjG6tidilSeEeLl2gZuXEoR4DNBf5baLcuRNRvMUO9FVJ8ANAL4+dH7+mVbsS8VIzI2U
7qoZiKx3EZVyUzhly/AUjDmy27Ld5lF54fbxxk3IRnOLG70mOuCP50Gzz1Vu77Q2uZp8nL+dTB8c
gA+jZSA7Gs+No529rL0aCPNppM1XYOphwBCbMIX7fOpPg1Wdw8p+ZLpHFrp7tB3aFq261hqx74Pm
huYhTh1r0g6Mcm5tyK/TxCxOCx9k3L/57fiRKvTOdUFISJLq8UlNgcV036auZisHoTUH4qLSjJu1
T5MGQxnERIazrAYVx9mC9MtIT66svP+SE9XQ0CdN4Iqh0tbOqR94j6DtjIM2QZVG6U0Uu5zXD7vz
tmrC4hflLjk9OuWF8sjziEoInn3xVE0JIULme1tU4WIKoGHE+Uc8Gauhdj5CGV9FTnPWxvqUg2hZ
MBVdevPFhXtvxTqkAxTPz7JMSKPRy51FbNg+AzFu9u492iziPTLbwF7vmis7cpmiDXPgJhJK0E/Q
NPSBAPLW1vY0XgagnrjazRZ4tgXMQEdYl1ryxBD6obWZ2mbjvo3F3hpz4t0KGpoNULVlD4MD0wdt
WDJI5btUPIY5a3Tpd0/DSFOeZsGuNiIszMO6r+ubLE3Phl49C63Klh7x0KKDZBlH40aG4Ys+xZfM
Ae5ty/9MRQXi0g+36NdgxQ7djZWMt5U5XbRRQspfuO8yvLdu5V3bGYQad4gvu4BBYBaGbyTPIxSQ
+ywmo0pv2QKmeHpFBfdkaMk5KvTryoo+pr58JAvi6JT9RYCpV1PiIYIMHpfJLXvHbZ212LRJ3MRr
CfeR5HRacotekw9xVl3nvNiiGXe1Lsp1FtRf/Lr+aAJnm3v+h8gxM8jmJmvMG+S3WGRMRnpKmjel
io+tZCaNaPjR47gI9ec2mCHHkS7vaZ99uEnxFkTmA4Duh8awn8ec4F7PfAabzFAI0chSRDX7QfXo
E5K1GCWV79S1b81QbTSECItYDdsBA06l0Nl11jSQoUNADw1ab6VRuiPFPRJcgtauyTAoCwj5qC7G
E6VsuahK7b53PBA8dCw8Z28SQRWFAuktY0uta0ndU9GuLdEIa52Qm7rtCS9QxhMKG4KNnehCJeGJ
iIoDxJ1TXxDdZijTX9F7iklnQw9APCIQ3akmaEt38Te4IbAAM1CEVMIfhuJiJJs6VLcNX6klBGqx
tkySVYFEf1hg1ta2Y+zpythryDNvVYa+26nznqUifQA3FDOcHsSV67PUqT7iOcAVs2J43OH7AgBb
680ry1a2MCafrxSxXis8xnCIFfJdOvRk12Zz8GeqolNLHDXaDmZ3mkavk1gbtlJBxqBMiEGOaMvi
DA6OQ9VA4IVhvkthGBHfW48bpRk9Md8odUzUGjuv1e4psg4D/KjrKijfqX7WgZYSAGZsc606m1DO
0EvmYg1O0rnUK430JKVImARnixxDVZDq+chakuSOhL8Q6BaRihwa5n+xd15NjiNnFv0v+46JTJgE
8EpfZFWR5c0LolzDe49fvydnpNWMNqQIvUsKKSS1uqtJgmnud++5VC1jtfT5Fu4wRGRQi4rnNETA
C8nG74VIznMf3FR0+K2nIuKcVMy2/sAOIojPEuQAG6pxmUAjwOnF39NZw4DEaBonVLuXKMAalcf4
xtviuSx8WjE7/CF9mj4Jn5OOk5bHxivpNOBt2kt/ONvxeIhCZvB28ilbWlRCk2qL0u2sfUJI4KYa
UdFUPvImIrv1gsTByKAiyxc69KyLgS/2OKXApY1FvMVG8b3k2YPy+TMi6C7bvhfXeMc5tdnTRx3F
j27gk2osjWyteOc2xmwCbWnuKagGG0NVaxsXyLBF+1kywVsm3MUWvDURCLpikKpQ+BkdVkwmCucU
pZBmAlscorS7g0h2zOL0kMRlsxtE/d37xXbJixuZQBmg1QkvwWkY+PILvhV4jC9xGmJCzt5K1d6M
88Ja1NdPDq65STRrN3KQdrsFz0eudhMwPbD514tw3+kFIgJv2Z/8dHM1LKJghy1ey4kTo+FT65lS
v+wJZsngkK6CMA0pOs2ehry+NSkFRCNOsnXrdQqMCBkR4nhesAs74Dr22DICkpwH+1Lkt35g1RyK
gkeji14i2/oFTPUbZ84hsAr7yCyyOSwy/k6t8r7GGnPIKMIZVXNreZBPMEEsKyIGeCgWrGR8ZvKU
ptlJ8ARwAr43C3Er6Q5b+wulIUYGwrvsPdjOcf0B6f6SVcb7JOQro8sUEwT/ViXWcQhc+Awhd+xB
NhXH3kHSnVRAYlBDu/Ztg7kFR9i1ATh6xqHDEIPeBimKg58ir89AkHehRVNpEn9SJfHTleJDjM05
a0MWw4qveSD2FXMA/gpcGSZsS3ZZMHEw+p1TdZcpMejvYyjRYFTYYQxw18pdnsY2+OyC7MWuoTJM
7WfSwRmKEkArjG+TFcdF2opG6zzG7Iceg9TLHNfdQeX61eRxsi6zodiHhJf1gNLfmAPDeiaUYFi8
Gqa5ofRhkLasuBfbWET5nsSYWLWmeMtBtq/b1H9Kq+Wrg7PApIyOhSbBOy8mAY9AmJvAot3IDIse
jpV9GFAIwVGMP7m94S2+SdBq5xDGEjMja8MdpyI61mOfWepfgzt/t9B1jQC3SsKIZhUuy2VB3VwZ
83xulE8JaMj6uHjtXZl1nPwrPnh36V/ysNKHUtJyVhuMG44B4/vMa19PWSFvl4Cmu6pwt3YeHEO/
p/qweYt0ZMFJp2jDzaPfDZO8T/ThMa4AaGRT9LrMziuDLGuLTU0f8TGF22N0HrFHELmxV17H+mNZ
ExegLj/3EtjUbBVci4KZxhVAbpw1WLQw/ryHcdJhHx/mVW/a4yr1qWkNxtS/sq3orq/mO3uszFXi
GFgSwqLeovvSEOJG92oSx04QOhzoht9ORNZ2Zubat2ZBxQuGvSV1rrOyL7fmhEZkcGRivERVkvBx
58nCvc8yWR7w7t41Bt2WDEMf7QL7fW5q4kLYmFuw/e9DQRlJrYJo7Sqj2VPL+5p44cT8gn0Ixh5U
BydutgMFuvvUb4geTDTtuR4jAH8gs1KTE1fQSLjZJP15LFM0+dxueaDEFU6XnV+SnDF6yOR1BiLN
VnTZipkcR1943cpzpx4LPq4pOFT91o4GBLdAJZfQ88Rn05vMDWvCRYAjpr1ikoTBuU9ywITLxZsY
UoErDK7k5HPkikaD+nifs15FM65BVaDp5dGeM6xuuOu9tcliQ71n7b9xfHJWIE/Cc9On9skaYHVN
Y0ZaoVhha40iSt2G6rlqUHNnw/lqw8ilz2GB7MlEC84WObuo7D6rjllzpk1oYcLC6eIMScseA6lv
pe9iTF9tPNkYGXuOOWXyEJMXXDVW9NUuw6V0hpgpef7OVHzj1t/Kf8xzP3ryasu8wXto3bUB02o7
Jm1q9XmAuTmPn/tcUfMWDowqfbO/4gHLjr3jwlB3SaxQWEzWIWZZFFb9UZaRtoHn0Vpq1hRjI7WC
M3cfR1iK4GxP+9o134WVvfhG8kY3o79zycJskqostkGUf5AYVEdBhZdpOOWhMyXlbrYwD3OaOhxd
o8tgUjZbhlXBUKZOD27n/CL8Zq1aF7vP4g0zQy6rW/M0u6SJpNw0o1/eSEH1pT1EVMIEyXWRA2ma
ud4FkXzHWU9USE6SnTAzqbgduw8qdvQ9YDq1TM+4o5nhjufgl1szh19KK+ZGhtc4ksPOrWu+9Q21
qtwHf5GGYg9t6BDKcz0287kwFjIZd3WYpA+OL99cEvdEE9PXvjc3ThzDRfMexoma2qljxauGr9Ai
kjsl5U44+DMUpWM+lYa/y2L/lQn/B+EO2iJS7r9WCS/xV4Q9LPpLhPz/ft8/lEKPnAGmdOELzxQ6
bPF3pdD/zXLJZjgEwV0SAbpT5h85DDREBoC+MC3793T531MY4jeIZwJFz6UWwMOhCAXhP9AJPflP
cyf8Z4LGGt/hLwmGw/f+ydDfJXGNE8cDmMPYnofV+fLjgBid0zwXJaIOyw3kZUWlj98XF1uvN4XV
2ae5bcNzpn/ZWWzWpZb9c8kXby31fNrS61dYdY8kROv1YnAKAHnT7CJ6qLZsuu67yOWFvYyuKErM
MBrpZVJWXb8dSjotQ7uRn2OQpZdxMmkr10uspRdbXy+7g16AHUFCczQlbPvWWRAEAqqamdfu6ZbZ
yca8cicEvrKrrS2OOmDPispniYtw0+vl30rkY9KPBFTNwcFTxiYBBxahImHjGJeEZIXeTOZoJPfK
9kLXFP+73nKC0qdRsqUXJ+U0bOmNqSysx0EiAir2rMrxyoNgF1v0djbojc3tWQ9ZGwa9yJbcYKxr
qSiUYOo53TEjY4icq2bb6j1zTsyj4Sf3lJ7UO6H3VY4szdrRe+3Apuuw+eZG61+1TTLgGGRnVu7M
6T5it4a/8RHPC/u3ZUWbUu/pi97dzQlxgTvr2dQ7vzfTfjfo00CZ92ikybmQabklykbRjz47MGp4
jYLkVWGKB7PO+WLkoDGVst8pffagty1Zqbl7M7z+WDrGseaYYjQotplgBVSz4a3V7I3vLv7qTT00
7Zqps9xbxvhSevSjOQFFo3FVvtUlXaAiqjF+CO8DiSLHrSKuKWIs1g1a5qNhJ9eAekAWqPLX0jkv
lqIjmHPYxrM58kzCO6VO+ysxylvHrZ7LsH1jKFQ9xVO/SQoKV4OAlLuaKWJuiBeS3HiJUixKfUhR
Y7AkmzZKn+aZ04uJCA05DpC3614HuUCSNvWR2eTJjDS5gK3bAOOYmDuRVRVWCnrp+qDlFJFHDQ8v
C67l1O9zNoabQvMRkjy6HwEmhIVDhU771GqSgmFJ62qs0vY4xeO7Mn30ZU1esDSDwRsLc99oLoOX
LRPmLmcCWsk+2oJvGDTHIUtxzze98U6pjL8RPbQH18/5dphwYCifuqlktEstsndMi1LIpGK4sZxs
2JuO3Vy1hPVsndprzWleRRUKHoE+SbCvKPMPirwuk078OSGpcDhF3hqTyRMJUW65kwF50+1w5orP
3p5uloa/ZTCY1Yucxv6h0+nC0ljck1LjuwygXScye0ja8Yy6L9euzRPW6aBiyJ1gY0WEFytSjPHk
3fg0pK1yfevuRfRp+jF8Go4DSocgZWQVHKxc9+TriCRZihrkO96CSgcosZfDONahSqrEcS0L7y3q
CekTh20Z/BLCTHUcE4LKY6YDmrzK93CIP7hzUOdiwjtOzBGEmhE9ezrgCT/aWWVkNEj0IMoP5ECB
Geyxclm47I1NQ1J0LMJ9raOjnaMTQI04VKRK2xS/bbj4pn5Ht4LkabfYF4ckqr1kzSnV4dS4gVbA
wfdRkFvFTEMeO+3fged+1wKMzkDGtSHrOurQa9gTf7XM6Q1XtLsKOBswqOEQNlb5c6dTsygmqzSx
OU2I4ehotLerQ7b85O+a1G1J+tYY8IP55HFJJo9b2+4QX3RWt/Sp4OtavoZOY2MB6IDoke9dKtRv
vt58d5UrdpFghFlWVDeFIF1XXVkf+Mbe9PBLe3LDgvxwtRAkbsP2IynL4mDokDHHt5xenqZYxYSQ
qdWm9FCgJfNxlcdldA4tztftnBNSY3UiAROOD63VfqaEnKGm+LskYZmc8+o46TR0KGBkuL8npKvp
BhJBskNfu+W6Fq5taCE3ZJ4pCiVnHSqyWnBF7isdwVZksRuz/SSjHSFnDZ9FF9DOMus/0rRfl5rC
E6MZrmYBE6BsmFMtTcfQqWXLo1HrVOsMODnJZNPoXHjhlp9MWa48v643BgDivaGT5EvF3uHzihgR
SWtV2JF6oEkTgHXcv9WTfSw5+K9qTnlmY24UD/ZQzzup2ovbMjYysAVrsm1W7lCeya9knNS0YF5H
H75urvKD8hbj9a7snSszDB97xwPZ3oobEYQkq6aTLPof34tus4r4yaje8wiHkYqtq3Q07roIaArp
LlBQqXzDEEczVYqBDT1O7JtaPUtmKdtAVej5CaMLhgbcRSZKq/sFsJNB24LTQlss+TQ3gTFOp1Lw
1uLoMK/aCYszxmfrkQMMaYUifspDe7mySm7jcesb3GGpqxvLJFzLbryKa3FTDejWkSYCAGDP4y3u
rKssh/04FScXtMZqDmlL8MruhoXuo53ro93zUMzuvcU4z0/0Gp5QTVbFhwpuSGmQYBtI+kjR1Yd8
tvdJWR1U7wPpU7/o78hvaHz7KJXIN/i58HTKBf5HefZmoEojzbet2noNNvohSM+UN5zSsb8IylB5
zDE8JuK6b9x3v/YPKnzLl7MvNkNNUVtlUuYHplbgdA+n5qImdc5VsTUi8ggwF77Sof5sLdoGIOTS
lKuJOay2/uJvUjMCOxh+ev6yHaf2irsmVfLjil7J14HqpSjJHroy/vHsAcnSp7yWLjwxPg92xTEg
ex2rCMG7+mY0gYktcrc9C/maZEt76kZdYkzsDlcYPkdgU9dRUL+OpXozBo5etmh/ih6yTtezvAWh
urNG97t0q68Rvs2qTFJERV9RilMU0WqR4RM9vf6KLJju7ly+84Fie7DqW1Enb4PNRYhb8WtUmGIN
kP3NzttlA5/1GJbBuG0t4Bhh/cDq/TLJ6EM5+XOwpHeiUXejxNiWj9emfsKnEp8lmZmXGAq02WHx
xVNercUwP6eK+d/AwIg4qf9CEcdbI4rnxlUNX2h3G441SmK6rbL5esgQe/naHwPXeUAS5uo/9JAi
YvR3XuVpqcrbIm+vywm1I6YzKRHiGAn3Ir2ZijPHvfArFLFa2SUf6eNoiD1N4XAxlOKa1ZaPLGrA
I9ySDG5BE6MTTCgJfnOHb/jaqex5Fypx5Kz4Qx7/gLGUMrxOE9cAk1Qu2mEln42IJa8cG41Yu+MD
q3YEbGn7myhmsBr77GhPzCLZV2qCBAeXAzFxw2EfuRBvcrMY32s54qr2sfUbMW3bjsetPg/Li9eH
t8FCcieWdbIbRo+i3t4AiE5ds1XyHxL5GisyJkFAL3idUfjMMA0BtaS4xsJF4+bRxZndmzFB60nF
cGsniBQeFRxMO2midG0mUcE+8VjHqTm91DntTWk2QYoDhgHpiNtyPj3WoBSKNr73yQZwc17iA6DB
XU9iJWuyZG2qstp3ncUluPbIxoY0eRQ1iRLJcfz3q7Ka7TfXjy96p3W4ZVO2K+69eYSwP/bJDqDP
bd1JGK8lDXy2FLd2nkE8CpOtVRfBRnX2DavOGsjTTZ4E38qOX/3QvXSx/02E+kaq4KmuuLKP8JVz
IqGxT1NjmlyKxudl2An+tNG9QrV5oGaEiIcNRzQJZXLdGuKbNg/7QCsdOk5nZ6uqW4bdUrdvbtvj
kp5Daxs0wX3HjW4fSqs+1hWsd57jfaSyq94X70m3cIjoWG9YCH85XX/V0cSwMYv5lzUmT0wp4bt0
NTWEEQkpeu6/YjX4zDxNuVaD8ZAVpbmjM8ZaJ6gYEIyc6TgKwWm+wmFgY9rF0phBOcaMmRKwkXEb
XTk+ryoCn4VJnG/5rLoZ0Pm8hcSIq9FUz4P0XoHjUUXtMwEcKSKv3eXF6Nsno61vplY0m7Q3xtex
D1v480VxjFuVHZrWynZ+MeYbaKIAY6eOvs1R0YucusGqjkPye7WYs13l9DNU6zImzlWOZzJb9dN/
VYhu1iA71AQHx9C/UyEeCceCsYv6f5Yh/viNf5chvN/k76wFn/o3Qvku3rK/yxDeb/x37v3KkViF
bM0j/ZsMYYjffCZiDp6k31EF0Cf5xb8rEfI3GAos6AgYuJ3ojTL/EyECA9v/8ytZnCrx01FDKHXc
+6/2RZFDrgv6CMavRyiZIb6xU6r/qQS5uLkqzEMinGZrQPtZmy7VQxxirx1JkqQuJ/yBHZD0xCfZ
bgvYl+lATUKVjF/uxBUfHefDSrpkO9W2xaHK4/jTFS9OrCewflTvx8Ssn43FDNZ1w111MelBCFmy
BhzdVeJvwQlQQoR3YF06XXcbZmWw5bvJLUHiqRgE7X8ip+VgLnEu5XFaHgIFRoLglM9qA59aRC6d
yDPRV6tVcm97ds+WEZibomqCCzsJAp+W+jot+jnhTFW2tD5kmeq6CK5hNrb6XaOaK6FlQ08LiC5K
YpPRWNBpcVGgMnZabgwthEeRBPLAZE3eYl2kQHKc3xd0ylILltwwrsPSh82vxcxGYuL36nSBlUqW
1i5IxhBsmregpZgHeDSWMjH4VWqRtByGYpd4imtunFxmIuOrWYuqEUvnytJCq7DC7RD4iuKR/KNI
+oJS37bkzhzRMdPnbxLFtkG5dbSEm6UlZ/NCa7t1KbI9oYEPaWKpIICFc9Syq4M3GW/NBANbe1zS
FqdOnI+0eXCFW5fN/IpF7wNYyXtR1elRehMOFIdy9aoPPrO5/Jl7PmCAjC28nvgrba1qbWPlAB10
Zqz1EA3FOVyCHkdELg62P+2FhJGVqfwKHttrZ1U3JqFmKKAvpdlCC1Tcb6xC70/9bdlRJzY2s7np
LAIAPdkTuSARBU1/aaR37cLbW8XeWG/Sym32RWg+1RMuBVJW/YZuOQ8SVBVA/4JDUkvnvhbTPjD9
a1Tyl3YpvueeBd2TA8kSCqL3ccZI0u/rc+8kj5Y5+sDQtbXNpWq2GkrvYZkLJoVuT6CGSiMwD5zu
I2fj2KgtUNSXkyOtl7BEymnTxD33qlEretJheDVVcDOk+bDvKtqHiRaXPPcR9+2ZoXDR2tPJRABf
BQ3DYmJRHwpiGTXr1mHMJkpNmhD7eARp0UvR1qp4fBjoxFwPhm0e4zx/8wxawypzQsKyQOpnWfrZ
1FW3x6HRrmrFAX0hCZfN5uPYOY9lBHis7nTjRZVd2y5lY3GKn2IZREYujZ7asHTcG8X8fyW57Wf2
/Dim3tlsnOI2MvjSMWvwtpQ7frYDs9pyzA5hQJ22WYuXgAixDTdh208A5TjfXDw3f8zn1njzwEtv
PSMvf4gtPS8uRYYqYbCVhvSkVYzu4OLVDZ2ay7WRkhoZ23xcjwTRHnK0BU4aclOqiPQ4XfRXg1nA
XTAmb9hYDZgG18rVddtSQMI6QkKd6pO1Ygh2qIyREoyGy4HZ88O8KeIalnsl6VLZbbqUSmGzNuzj
nCfgekOyd4Zb1RuB/4pmu+XN6mJnOxCYPTiV057niVTYwPFStKHPLKg4uKHzWRg0W08Rx383bZbX
PkZEM1IuHgE421WN7wUy+vjtGEAVw3h+NhBp0CuGJwuaW14SMovE/FEs5WVp7fIP1/p/Rwhs3sj+
uhnzX48Qtm3+03xk3x/tn+3G//cb/7F521CC4DHZwEZ9Uzt9/7Z5e+I3iRVAe4YdByaPTSbgb5u3
/E23wMGhNRU2YP3Pf2zd4jdh+SiL/APcsfT5f1j/yebNieRPyQPHwenPX0vQBipQaYX4p7RDBga3
UCOYfuPAumZfES88R9vsj0flL7ziP2Ob/ppv+NtP4bDLWYQZuP274flP+QZOq6Y0Sy6+hejWIapd
Jw9/evcvf2Ql/v1P4E/VxctApB2XN/WvRxATSXwYYpOy7erNbwkhhdEfxvp/+Rp+P8X8KaShxy2O
j45ls9zqt/2fTPyybQ0rcRyxcXCwrYN9c8k2hEjv6y8G11/YGfLd/InM++9fmIk9/S+fESYDSUu1
4gdbFuc8HqS/vrbJWehYcsC4YmsI9oJa+NVokiNYkvQaH+NLD2miNfMnm/YgrO+A8ZCV0s7e5XF4
wKaHWQTrSeBdWQ5RDiN66CODyNvypPLhmKfVoWzElT9hXRmL985LXwPfvAmNLZ6EGgs3G0hlDc9c
7r1Vt5TvDfl+SoBfktgg1A7ORk2n1KQxzAyOagyAnpi4xps7aCGvgWE+FzYdelg9rkLyzdIO7ibX
3S+2l3wRx9wssSZ4aMFJlZplq0WooArFVTukT/hisQvWRnFrZ4BQoXTS4DQx6pBZa15VWtIKMn58
KMdi04V+eYxH/JueFsECLYcRsjBQAOVPZpI+juMKtRf1LCw1JlwLaoGW1mphvfFKOHsaDEfCrHmF
Qsn6OfCZGvZ32tjX8RxdonD6MdV8WlDwJEpePrN/SrQ921egqSQXpvrW09JIhAroogbGYYVVS+uD
sCnMSHzP6IbDbDzg+bmM6IlxkN4x8Nooxupl7hfaOnUcUSAzLUXGado+pcYcr52YbvYkYLrX8uHu
M785V0m8E5O6d+Fp4gVkmg91pus5cXpsrG6wIBdh4xNGRdIWLmfUmVsXTidmWfTkmWPa4Bx6SJ7W
OP9ERn3rtxZjF3/rQe4xIX+OVXCN9+aYifFlggwaiBpiMWE64NQO5FALgmgaGejaGioaB+q6Tgw4
CekD46VbJeLTADGWoABFPXH9qeJmTyvooWPWVkftuClZdaYfNVYvJljTsFqYXXGG80L5HmHfaDQB
VWkWKu9/e1LezH4Jh2DjziWSUYsB4Zazo7pFycZ6oumqk7lwD8fCdDtZJJZmTWFlylhzGHa6Fwzf
3iXMKiSkkgzokgVU5uWwXKMMJ32h+a6FJr1yJumhJ0J/tSPjx63gwaaaDOv2QbxrrSK7MlTewG2W
18YoHmN7DNZt3PtHr6HQagm87NFV8+vY8vzZTZdt7QWMqCdrogrx4u+cEWsS8Z9+K93ss3Chhzm5
cDFsQraNKtIcOZ/5hkGcfyX8BpSDAItbCfi45gx510jydq0BLvHKy6lZTUxgC45XVJswKJyd+zty
t7AZ3tqaw+tgrt00FWzeEm7GWYLrtTS31wfgS3qYONJcgV3lo+o15Vf1mveryb+GZgAPZUlcYWBA
IyQlKGXxFWa4S0a3pk8LEAPoTuLqvvAZguXPRIoZhE1eDGhnek3KHFdpM3b4qwESc8w9DRCKidcx
TrKyt0pygtIQ4wyasdBYY5X0kK6V+xK2/beC3LqZGucpdLMHJkuQmtyhvYnAka0FWLggTfttPPnN
ofFQPJO0Xs9Okq8ZzyN7IkatcCeRmossax+lxsuglXIpOWsG6o6xec0zWp1jt+CU6b7gRPmVYPyF
nsP50gZwTVX7HcAaqCWInKsub1/lnBJs6f2bqTLOQkQPY8PwMTLunTj/VEt3KabhURlcLp1WYhab
+HLYvXUVMVAMsfMXrlGQ/vol2mrdQSdoHHMbR+Z9blq3ecKZOnLrqz5IL9TCv2RLc+krdY39i+Fd
tGlysWu4M7I0PUKheGIU/sDt5yeJ7W0HpUrDfLDy4CdccMflkkJEd4G7I+cTI0tdPP/cRiM6Us/S
p8QvmXk3XZFOK4Orredl35Urt3Bq7bVKcK+O3rorgFZ1o387L86D30cbP4SUrNLjmGR3ptPrjCA/
r03IRxr6mDug0VY5l0zy1tTj2eGzn9nbAPsSLHJdHNE8pMq5MZrmzirUNqiLX53fP9ctqjXplftw
IUeUefnWBq8T9Do8BFk9CRKa4NQBTfu5n4IbO0rvysKhDXBK+7tG9nwDAjYI/Z2OXYdIKCd4a2x+
GZ78zCPciWmD8Mqc5YIJ8rUEsoU4OiLKkXJHnTVW0zyB7cEky/sHeKNfd07FLDTdiYbcpfLOhoRa
LfgbF94vGaYPhujusVTtMwe2nQXnre8eC+zbKehsKDlo4036NjU5KPnk0Sit85R3N/iwdsr3zmSW
jktGl6VL6nFMxoNK2NqmcTXm1M3VvfcVw6BjMLJ3S+b/Qe6d68LjLUi3CyVSLgs6F3DeU679q5km
1y4hCVUZIElM3FDkt+uOW8MokACN68LJPhR/RKh4iTU2EEIRklVEmIDl1f1gi3U7eNvR5xZt7ryk
OLF+4iFkaqg+VPreEiQyJLEQh/Jld1rX8VH0N1V5XmwTvOy9m+xE9WymTFyNays5C+uqsK/99jKZ
zyJ7NAVo8ctI8mv+TuuHSRBu2GDVLMJjRfEVBth1aBxs+62ynsL2p67WGV7McD4H/cXOjkZxr6CD
uBK9qNtYDly8kYojeS2Xn9T5KpdT7V4l0Wefc8Jpp6u+potIia1UFZteQAV1+xLa12N6HrGE1Zba
d3wFE4iQ5nQock68mMiZCuKRgdW157Z8sgziZIXxCAMBN6b91Q8NKKdQeCBLrDsjJuRWJ9vIyu6E
O6+jLAHYf5uG72nA9tksGzeHiWLhoevOS9ZChsnX9HKHyRFvw7YkYCOmY2LKLcejVW1JMgfqxQak
ptJXM3uCRMAQW2xawND+bZ9AVhxSNAFu61O/grmIImR8LQExgUr+RBaxvdn6QcWhIU2t+jnYhubd
GH0G6aNo7wceFv44ptFGsXMN59k3LDDTA9AaLDwg4MwsxN7wSp3MjtX0xuqam0l7ZcEiSZbSscJj
zmk9gIIT3eAtfMjBP0bUnJh8cBAUXuZgXhOauJ4NcSIddeu02b3Ps92NLZMSXKxwQCwErrQF+zQw
F4EYU5PCm+v+uipdrszvOWnEPG9eEs+nUpraQ+wbS/DcJC0+yKm5DqEJTtGvbKlviw6TIUgqRETc
/LcEeHAEWg+Z3+99zN4ZfUisfignzXb2kz1n7Y1R1rsq/0yaS5g/S22PBcdX9J+WnW499d2n4Y1T
MsNIiOuT/TPnHzu9zOIcwXJ3aU3gyLSyswa3CDD+UHdMQnyU6orjAvzu8DYss31WT3hf212epXdR
y15RF7cqiR4JzrnrhC+hFcOQq1D/C+NWLKfcoPaDwEMRl5vScTZVYOwxAI43djXAIeF81qZfUU0i
wMDRnSSAwGpADqxF+K1N4KCxf5F+uw/8dt3SoDnJV7e6I0SyF6QTHdBroO7JaBZsw5SUsTHScHG7
MFazuOQhXJ+6Ho21+vD1aBXqoUAN4ja67oczztl1Gg8X/soro36BC+WK7ynO9nKJeAPq3ehhjJyy
yzBhKmGavkzBdvErWklJ9bTEkMzoDGKRvKRh7+OpusmbbmuGw57QICEmvDf2DD+tZ4kuiR88iaC7
Q5BDHKIDUgAC9YbDaDw084jcBTYtCeFehduWFGnTM86E+FYeDGhyIAApEF81S3Qog2Utm2WPgEpz
JtM7/DVuAPDCOKbRzyJvCU4dUm8TR7/6+Nl1jzn7Vs8HZ54qJFUCm3b6ms/PbfZkjcGO4bJfsDS+
xVyiysTYwmIuVra498ORrTLHhi5ovI5mpEL0L8pWx9B8ZN7GaRMhBtUNZxf5IJzZnA/KYV2oaQ2O
HDUGFbF+9sc7XcjBxHidW8k2bO7q4THvnjUQPHOA3Cl3NQbggO3sOjLlodZDr7Rdmzhwg8zejb3E
DeUBtWisFfExOCFMiX3RSZY1b1cpThLcJer2EjL+1ynWRP6E4Vm5GCYqovy5s5sLbGC+Ry/gL7qn
V544NeJFwgeBZuj0jKMHntZvT1wH/Ydj7VR5M4Yno+5X0tsDV90pCjaqZBtQqGtSJSOGQyRBvIut
b76ygxsLFD3CWEkpd5N7gd106PPXwdpKDm7Tc4E3XBZ3U/xelyTTcJLX8Savt3H/WkwGVjuYTsm5
9k+pfwhZD7LpKnVOSdLemjQIJPG59M6JejS7+boW90LHTPDzRKeweJhxM4Zoc2OX7omHoMeNgCXD
zUKm0Wp5qINuO0a6egImFeZiwRy0wiRD3HXlmvk2plFPec0mEoeFI45K3rg/MifnXxiPTK4eKrzN
svIE4nIzT9Rqdv3a5Z6HLXutIncdxA9u9Bhm9668zwTaxk+b1Ju2BinK2zMRJ4C5vi79W9d4Npjn
KdmcIvk4YpE0CnGuo+/R+slDSlxaQFALK0j3CF8E8t5TPfxq8msXrlSD4ifqalX5OEviE8VAeIhe
s+Y5MPtd4t9goD7aYY3rwYFJN3LaN3fa4tmF1hWWrYMd4Wpo7mYb46MbPdjMKCoESQhcWz/8KvLT
5DtXAT6ZKXvM+p+e8JiM44ecNmG+tkTF1h4RYPxDxwHwzdR+1SEu6HHGSijWjk9qY/qmrGVXmB+4
c8hzXlOnK5jEj/MXin1IqUxJDRmsmFXBCKYXHwv504olAjTjmhwTV95laztPGe5/38bN5tOHABLN
w19teBcIOZtQyl2L6a4orH2udNqRc39pX/6XvfNIkhw5t/VWrt05aHAohw/uJAKhIyO1nMCyKjOh
tcae3irext6HIvuxutjsNs7vgGZtbJFZEYD7L875ToZIwWTLPRx8Yaw7vmuHbEdXfpKsFIkXfXCP
KWdiYRxGCyU5q3jf/YpqsiyLx7Z8sdzPwf9WDMC5pAMazPbS+aqd3glweezpTbG/DvppQH/vzyaE
CmiH2YNdPJvAU1m/4C8lm60odiJmpk5pvMgZffMcDh+d89Xa1zOreMN/HzMeF6ZHxlfpv7h6SNxl
NaEav+06HkQZXBvptJFlwllnrzRCpPvAPYbRU+x+q03EfwSEQoghQBlGCMFuogdTxSfKkbNFzrlK
ifQ1A/9cj19BZG977SEEvhlRXFnaB6EHPkFQ/W1Cim6modA3071r1LSqmqeLeZvXHyMr8xCXBlQS
Ye616rViIhGPj20779op2DjNvIk7ggHNU4/4qZDbDrNYoZb9/HdUwlZ0XmhADWjrUQUbnaKcAijl
NwJ+NF4ZubGhXCLE51Xa3108v51SxL9FeJoxFYXOpuju0vkJhAFiyrj0yNrAMdQsKhdC7ZfyRGzV
RFpzhY0GzVqdObchOerVPB0r5ybTYuLqtO0YjDBNHlLCvg1Xv1TETMelXA8moSOG9mjiqo+o7rGI
yuazTivAVjhkMUHFWn2YKVIydXDQ3Jak+wTBOazvGvNMhNYmbb+VC73OGiCA3SlyXOQ8bRMhn8f0
LbBdL5/v7c64BliFjJYCKsoYuahtkQH3diCjGfNG0aQCuwEz+aJl8xVw+JU1PLEqUnCXdRqOUt+E
5Udemc9hUb9MJblKRKyylZnx3bPYuor1zsPAPob3I/sWbCLD9GAWx4AigwmImvFisL7Ews2nNjB2
jU8BvsMguu9SBMadVGdbfUcT443WvF2ghEN5UdmtNtt7u5gPYXxTN8hOfexRQO4M/UmN8aVvi21h
i0tFgooYjXXtyMchtlaiAV0L6lnvGsr8bmXUI2HSfO+MS9zc36ZhsMvczhumFh20vQ0MjvmoPaWT
tVGlCxW2ehttxiSssz0SdTGs+99F9UxEMWzrld9+H/PjkH/IZX/nIug1Ih7JXr4RzR2Rgp4pUlyW
3AGLg3F2ria/PTC/PBWDvSS/+7sONM2khj3ioHNOmzboXJspWpmoXwQc8xFE77EKe1bIKEuarZ24
Z9Mu1kZUXAAULrU3Nbb7AFVilzrx3hXiaBY+CfPTYch0L1XTVmtYpoqzhLPlknMiEYSgnV7ZJfTF
EE2iNXspt2VDbE3i8+0m+8C8InV00+sX4KvALHmxwc/qA4tiDtQyb45Vwzyzp0YToLhgz9mYsBDg
BtS7hUXhm6hTmt0F02EsmNdZaMssbrFodrk9a64l0QXbOA8DpGKVB1BgXs0dUTAfjkZrogqM4XaL
W9iHjNEaNCxBTQNaWPsZzjm5WJr43rS7hjHuHCMA7astTmOO3ZETaN7FeGoSrhbMNRsjg+ptyl1l
a0QXN1xTuFhoA+oRmLnTbyJJWHs8bybBpYyyn/vvktkovVtzGyr+PcOBTUx+kJmcOzk8W8F8U7m+
uQ6FOIOmfJrEp4VfeJ1YOUjRsruSbnWpsVZK581kkoyfFI2Oe923wUdXDLt00O96lzX1zNeA/6CM
n50UWF8wxA8dFRwnIlzfpkQxPmmfuCDwWRI5XUsspbbBQzMBBiKVHOq3yw42BIL/UcuneAJrgQke
avnQoiHyv2e1/siskRq9h4PCFJ1qY/DfgcrY127u8F1Wctwn04ze3XmwUZO3zSuL1k3tfEd5z8QV
V1MF8ZeKTD9nBG6mhbwtseiqJtkGCbpQ/USU36ot1U3II4qODeZga6PrGvzTlEcP0aSWzJqVimSy
hjxBB1/AmovXc2a82rn5bcgFCsPWsxoCAqhmboCmw21NdFykbyZSOo1SYgQz0Tgjs482wqTB5x/O
N0mHog28bREQGob0txflkT/oi1NGr1ZL3Rb53qyAGSZ2QdhQ8SyGcWYliQY/QRUX7ZvO/IhaZjER
OJUACEBUd5twHq7sUoOyPH9EVE52q45I9j5iQHFF8kaeBg+Rs6/gvOY1I56xuqpH/zgMN01u3rLj
3VfmeeTAq08j85OQtxtD99ZxUVFVABsQa3bZxsCtbBlnXO+Y8VAKIkAj8WAPVp/NyiZfzC8c3Fwq
t1DXr6R2beXVsWi5oeNFfzIfqqD7yPwShszixqhPsR9dRUzS03pYTwZqfaKyWJ/gSjfb8pgXyPLc
nmTqGizCKh2cQzpEW+oWMogUzoGmPzBfWqnUPkIihuOrzdtaimsRILINmyY/FyGzJemis5xtEJ+U
C/BXc2s6EZWHkitwXkJMv23LVm01AkmP8ZO1PNhZ/g2qkbg3M6ZDhWkdq6Rn2VZwBEDtCCZKrfra
lEnxIcbWXEehejeyNr7MU5F+dD4fdexa4FUdyjAh+w/sIVy7rHIapz1MeP/W6VB2X10BM3sUY8wl
7phbu+x55zLTOhcmR4NuTt0OeCRiPrcNH3MzfUzo9j9HOyo6+n27OAfpYCJUjIt7mK0KyOXovub5
UOyY3Nkkh1f2e+UbzKPxpJbZtT/pW78TvDLKp5Rlf3KAZgpfPu2LRejSNJAp0W1aac5nENf3gdOb
142045MoXR9vanVjRGzqgxiojsiL+9BiksS7w9Zkji514L8myuhTWrwECWAdL/NT+d6zhF2HJkEu
KZlLGjsuZp3duIFeRvEw69bZNKS/GKwepgpzgdVyBSbzKcydfMtZmt9NTWKxKxuPtol+znFP7Ams
TVKL+VuplkFUkByjXj45LDZWSVA256Athns/HszHIaBMMULyLPyqV+sm5t4dqgWa3DyURtqcozSd
CG2KGGcU49lxu3tzrN/ybP7A6ems57jdJzK4CuKCIbfjVXFbYfuNkB+MgGUV6YmeTZjWunTiw5SG
UErneHrpy5j9ZoCCs058TCjCMTY9E0pGlyVW/ZSbKKHx2IrU8lwTj6nJseY78zYWtXMaGHputAnp
rZ72dwgUrhKu0Xrw7yGoPCNoviCX3oyxdahjY9EUudss4GKtGiJpWhNRufIfhySaj36b4h5QXKR2
PKPVtvalnRJG5mBoWrDVFvzqKUDbRXTNo7OgrWvTfFZlj4RH+6YZtFtkpdGwLTzsSWFHXgDZ8BQG
SANV60MWrJ1q3Ue85AKutspcRm61Ylnk6FdygW8jnOIGs9XnkBfalcala+c0WJC74bqY67Gvn9PQ
QBSvu1daAFx8GWj1C/c7lrz+Y6a++pERuqxy1KNyPBDLhUYuK4JtuTDEjfLHdb+AxBfCeLawxtES
pcdw4Y/L3hR3IEOeUNy5ngRSjmyVN33hlscSgnm6sMydhWoOqfk2LkHx9YmNixfwOfPiDgf3ghLJ
iXWLvtI6ID4tw1QaAU5HJ4u72jQubcf5EDTtPU42lj2RcRQsVb3SwmA9mkx8mkY9dmEPnT2c7zKl
H0qw7ZUoHl1fkjOhHoheqbk76WoTUO9zTQviA383wFcScF2912DhlSWeAzDxvk2/3XbyOIOfkC3M
7XhpwkHLc5zwTS60eeWXz51M7qsZDr1KCb9GltOwZs32ObD6OEJ/bBrw6+dGPAU80hEy5LwjeUeB
uq+zMOMrg36PjC1cRQDxO8D4Oac2oNxqFzcY4fuFnt8Zw7wHplZuarLHgZqQqsvkTHrA8rFMJc6A
7I0pUWmPt1nDxBMSCmhgSTcyksGxAS3brZ0iTdZBk5xFnC4jG+vJarT7cEkBaJY8AL5+e11GWPzK
OOD+yyn0SA8QeXpD1jAp3ItWXod4AVxFMFpnS6b7kMeqUehs46t9WZq7ynGwybQQKtrofZjzYzzF
F6mCiwrbkHp7umgp8NeO83EkDwG0xsWfAknMRnp0AIzhr3SvnYK+ORyzy+RY+zEZTzi7ONPK/Nuf
yxV+SDn+qZL4wVSkMbFIL9PJ1gO28HuxwmAkUTeCqfZMBDEeXN10HTgcycyFrbll1Gg71WvY4yed
21e91Rj7ZOniOzF5yEnA5e2F5B0sGB7jWPSEG/b9fT52f8XcROP6s/LlH7+osl3HIBWNV/QX0aqR
4BnNSxQjQJGPxpM8tafue/IgNukmvcqe//xjMX7P1/zXn7ZIaH9SwJiFkdb42YQHSKnynED7jLGN
ej13v8QCbxNwPKXmVZ23ly6X+wEBQ+RWt6UFg8Ma7hI5eiAsGdiz9yVxqb7Wsj6j8Xcf//wXtf/o
FxWQEaXrWLow3F9ULtZsDEVopYKFTfvaacgvdMuBtxYR1qsaH99UgkVSIv2P8lvOkxkeWnWeQ458
NYTcePKVUK5158gvUG+vTp94rds8xc7woFIIKVoAToNCp7IByYLBi0P6Vkyz0zHpnIttVIBHfEq4
kNmUvm2Cls0sXihHtbsIr6KPaZIt5rOa1J6N6Rb6PoG7fUjBaze3I1fiKvANeVUnaXjQDQgEWqZ/
ogFVK4Av9l+ojgSasJ/kU3//Wg1dGRZ+MpNIuOXv//S11jObSpiQiyaI15oWQ/fESW1wa5EfsWar
FG2l9+ff0O/F1v/6I39RAwUKjS8aMfDCjfFYF8FO9gUD6TB9pOXe/fnP+gUD/PcfhtjJ1C3+Zwj7
l7d57sPBxcjEJN0pXnChbyGZ8QgPqGQaTD9W9yAGhjHsPa+5/nfCLrYqKA+6SxxAhwBpJBujwsX5
57/W8mr+esYAZRASMyOs4F+fUWg4lDGLEitKn6PkZg6u/Oj1z3/EH3zKFp4LdiEGSVT2r6eDK3yX
u5P3FfD3DkTczlFBgUnUQOsc5v+RPO7Hp2xbMKslgFgQI/ovnzKLkLoAp617Bq4irQMJ37qbP//z
/KJe+9efsRyHPz2pIhA6SvAe1q1q6t1UxyRJpwSkN4NJ4h0K1oolrY325woVBDy6bNzXUXzQ6njX
TUm5yRGykjus5N8DQf+9rO4PXiHbgr7L4yVMFG5IJH/+xXA/BaiIY0FhxHgr5q5kiBHDC3KIuQkJ
a16SBvzsnfcMTlCtbwrNuGtsKPA6jtC/+JT+4FL4+Zf5cYz/9Cnlg5S9z1zZy8jN8KqUfsG0K9RY
6R3iwAP1+n2jhO81wNw7QJhWGWO/6Z3LX/we1h884rZlk1m8pGzawv7lYEmjGdKVWBbBjIGASJ2L
IoY1pBFd1RNGUwCMq5El43O/j3Lj2HXIVAiIHtR1iWdxIhhxJ5KXstQvmZujGQkP8UTzq7TwpUW1
E0FRyhskB8RxJJq+kc38ZY30KuX7mN53bbsKYYSm4p2RbuMLhvLsSAUoJz/77tDrV7m6KlSwi8yH
XGcwyvVMp1msLUnYedh7QdBvrbgirkAcozpFN1asAULeOYWzofjcUVmfdNGcAqv4HuqMCuqQSqj0
300iHIFF9JuyJp3ArsNrswBpOoYj0DujXcUWySIMPMCPExeBJm2iWphWMem7zKASLwy/MhMMGGix
GN5Pa5HxhdyQXvMosuKgUyQP4ESt9Damncs1ZgFjtkE0zreYbSO805VqiBV/7pAO2YIZEcvnGvIq
eYYdqXBz3m9tBJjN3Hg+UAbYpwRVJ+c6zcgZ0TbYT+/8wL2m7jn3uk+QIQ9pgkig6AnRYBtg1ORb
V7NcyLTYmDOvx3JSJ3IXzdhSbekyaSrXdVA/Daa4cXz/Lai/5+OjGXwuUox6Cm6Jeb9mXvcMjuCG
PxgC+CBZyzRjZtK9dibMKmhAjRPAg7K1u794Mv/gYPzdg/nL9TNKcGB1SZiAtMeL2y825Sp+Y3fB
Pm98gVWK6yQd8ebIXY/i2Jv0hKwpnQS9njUYSqaORJGQFNQw7uRfnKPmH54l4FAQ6C5Ifrm8VT+9
vq1m9YOrOEuSbhpu6hYDka0H31Hjb+euibxAqYPIhk0fV98ijYwAbPcUDA2QYbMcTpHL7Ni1Hwn4
2cfN+EVuIvJN1rpmamU7xPWf+ERf4aPsjakNUDV2V0ZNdF6QfZPs94hPKY/KBappukdVDpe2n/6O
7fn3p+UfHlA//Ql/qSNj1yjl3LiCmAM2BFezvupXsEAOYj1/5rv55s+/7d+rw39cGspCFC7hXks6
/V/OZrfXUvyAXEw5+L3gcHTLPRwuf/2Pn/O/VoL/xrqnS6QTP33u3nv7/l+fNGvMtt+zz//57/V7
DY/oZx/BP/+t34wEEsseFY2N10/BW12sfv90AdqWwjUOy16gS//JBSj+JpSkfVjMAjqwoEU5/g8P
oP430+Yd+WEPpIJa6Eb/AYsI5NDvSjIKJIE8DN29ZShX6s4PVtFPb17TO7mazaRHdqEbLIDdaQOj
OcTS030TmeiJCAvYQIs+PI8OGzDIGiz+a/etiPzv4LfpXQfG+mNeXXCFXfzANtZVYlxNQfVck+hz
GBClMx/MXxLkmEBCiInpCmJh846pWx5UKYcpDsGOCCMGikXIearUKesWU3dkYW1vmqeodACaxbbx
NNkQRejL5QqTG/a7souOMCV60uwsYnlqFd5UDYgRJuUGYU8ms+lxeNXiNNrWAYwYFzLPpnWdE65B
ZJA+Qc9t8+GH3CcG6opNE8YFDMGU4YpTNl5fOy+FFQEXScW0K3UWeLjrgBJlJGFFFkAMXLb3kyFZ
PeghNE2JRbcsog5YWX5GUwUtKLeeepVe5SOSVjqyTNz7EfPfuCSZs4gLNqI90z7QBTiftPbdhDi9
b4r4ivEybuUJKmZmHw2Zf5O5+Ynnt2LeYk7s3Qy10Qd72o+DCrfhaLyESQ2dR1qbRrLa8Y0G7YGt
31dxcHC1fq1p4gV0K0nL/W3N4HmFHmGr6f11KIqNQ4kCI9h+C/1olcACnYGyNVV+mg2FKRysAewP
NGfwy03LOaAjf7Oq/iac2DIW5FsKVw6HDg3IKR3E1grUW9i4BK/N2Kt8hzuwxIhWTB0hvRKqu63e
CP/cObF9MFudbUNM7JYzXZE/gVuC8W0sIjYW4PUgTX3iTt10AL3wPpb7dA4Omt24JNmZl4Fczfeh
SxDjdOK7m6fMZXUHMZYRsnMo8bK66W3ojhBEE83ftE7fntHWkE82J8/aQBazhtW9qAEuYKS8aRnP
MzenVIC/AsmRuVaK/X2txfLONFk2hBMG82w+tQEsTS1vzy15Oyt7qmK0BaPJrozyA+sGcEDrhRUX
xomKANgUJbynLIKUMbs0JPEiOyGx7EZUMxsqALP33UQlCICaZwg9IzgRgC9yeVz3UYhSZ0DF0ueX
vMY+kmhsn4faHiDYoue1NKbeUIZVQpq2QwbQxnRLEmat9airUz6OtLgDWweNkZc/ORumXDtcwc2W
UNGtr9lnox7YouCfJT2VohMeSiDIf8NTYvcogFR675aEW3dEqAm7f8bBf8uge9yI8Q6R3lPbQzBw
2woWSy2/+eWMvA6w/tZvcv4KF55P3dZ0al/w36/q8qwH2qmLGXATTND11r20CcrEK3I1EfILm+EM
DOa+S6Ld1MbTyk9AcPu+8Vx12JBDn5cbWyBjJnTBLMjCoylmhpu+FzuLYGS0T36Zf6TxiC025aMv
+VWw1terhewfdi2SzxLma7uTyHlZmNwObX0oZfGo9Oqu74tj1ui3FmZA1kCIoauqPZBmjNBqQHLv
gq8pRhbq8cLzmLVzIh3DC8fxwDmFNmfYQgNBDsB56kTNMW3D21nIBz/SkEUiPG2Qac5ASpLMkitb
S892or+XnbZz3ZzFttF4U6RdN2F31Eje9iMGxYkN71i6zJ7FBFTVnvIOsu4E28FAVFg7DLXn4M2s
7cQbuuy6IFAJwXbzROjeLp3DRy3UeMzcRyKnP6bRvuPNeTDZ70yEQ0BSGh77lmG8bEkdb1PtbKfJ
ky+tz4YAY7Yg+zhA462wqHilCUm3FYRtNUX5qDRc0HZzKuv4FS/Ac51BZhkaEF2BZixLLITIKccU
VyAqlRkZF1p0GvfL2LOO1GPrqm8na12gXW/m4sNHy0564rgqG+dqROU+onavoMdveAffHPTwRrBE
6P2QyCumQ2BmPvvS0tYGFA2P9N6ta87EyNboaxHhZ0F8A+8DQpG094npH2IG9xy3wX1AgCjZh3g/
nI7nLkP5H4n6pu3jb51y73qcAYygni0nu1I4BphGky6PhwDrET7exVYgVYNaFMVzNeFXz9vhkuNB
oHB+joZsb+NNaCeuw9a1GIVll26xL7AiYeeAoaFdrA2wmrwWHSDv1HWHYRccCqLdkPBHLxvJIXRd
jRVv4TLnxjgBQA9BLdB4a8YLhcyac1ANx9T3b7qYJU0RnPvIeWpLCey4uCnTgUxwDCRdPZ6cofyI
NOfoW0DAHNKRBzi6EzKoFIz1jsQmMhIRyKhiuIkLFLKlMEDFW+J67rNxpUuxFSh7M1WddLdJlzT0
+35qCWPU0PO3sVpFebmF+XrxXePKFvKo83a1klABzQ/3o1MfxVRL/E7arm1go2VVPMJ88W/lhKSv
K7lLmyneFaXGMNEiJVXS/xlEX1ACHdLZQTo9jjHLzOix8gV1yIQzOIjWMNYIjCjcjRwnvojeeLN6
BTfGEsaWhlmtHPBriT55qC8+89RgdWU+t234EabZsQHURKA5A/ZAo28Az2oMFjIp9hYR/pGkDYpt
2ssK0WqM6T1B85YYccpmdyQIoPlie2mvUZywarO1fSJGcHqpTLgq3dsoh7soeu0yW7Qpmd0pVotY
ACUNpdfmBWimCNFrkhjSkw56f9J+L40OvKnX1J2y/KdGJB9WK9FOAphd23jaN0DUI2QL9QFMMEot
vNhjdIpL/y5keWhpLr1nUkQeMqAd+tFLiTpwj6IDS03fQ2VujMkjYBk1Rzv6XhtJ46m2UCsuIZQD
Ro2wneHP+8FlMjudCRIy1CYy5rugpF7hvftO/PsLDPXXzLK/iWR8kMlcHew0zvduVTIXiE9hGNw2
IkRVjain43uxstq8QC0x0bgQw5d1mliFVn9ORySbP4ru/21CfmtC6O7+vaH5vvveZd/+7/8pmj9o
RPg3f2tE7L8x5V7mwZaLSVnYdDa/NSLybwq/sqmbWGUJ81n+1v+nojoOY3K6DdOCVWvx3/uNRaL/
jX+QCTl9Eg0J9lTrP/IzE9b0+9GZg3OagTU9EnleLr+pWlron1oRN6tzgT6p8OYwJWFncGKPP8a7
M1EoG6I5NFpOSVp3D93cvNSztjHuxro7Ysh+7TXtdtTZ8JmttxSwIaG9ThvuzBo2lzsUd34+fJVy
ujad7jLBmjMJ5aBsvCPR8ARvgcgMlERVaLzqVsVJKAkuJUg86M/cRxT01pXB9GyVjw3QwX5duxmx
vN11M5SvMPrzfd5mp4yh+jQ1XiL8S1JH1D/2TRM1N5GaHkI3O+hCHSVegUyv74QGLaPlRyZuusGd
4M1GcG+VbPZss9yNhDan8NVarAmGzF6IL7+kdntMK7EB/XY1t/auzPrTHMVMnrPxHGnyTtn1wWT1
zr4aj4R6iJz5KizkxSxqdHjaTdyGn4TpnLOquFSOex8mBhPCdgseHW14yHVd9tomSqJXFOY7A0kO
1/d+TrlyXCM/ulF4wh4K/Mw6ieWGj2Ui1jn2BXswtkrN75VtnAuYY6Gf7UwhrnUjvTCW9eo43Fp1
/K2X5iNNwGOZIu7s0CA36SF2skdOUxfyHfqyYdgicAIoH2fXYzkwqdJPccPYrXeKb8VMFMCClxgA
vOi5e4BQfegCiK5Bxgeum6emTolVdsB6+4AhxlPQJ5+4Uz+rmrOu9Lfoe96LxnphkOyZo7hRiAQJ
43rQSnzPCJJclyolKHe+S6rsnGlbhqt0PS4HcBNr+8rSkPUG92JuL2oEp4lDWSexoeJ5q6dNS+OL
lpd2eH6KWwC4pbMPumHrNs5Tbw+fRELOmyxFF9lSTLVp8TBD2uf75kFzY8vxrCB+RzH3EXZMHDEi
s+0FjVsUQEXKS277RFiMI3Y7LdgkUr11ucF8ubg4c39yw/HgEoqzirP0FcvrxTT82yixc6+z+3od
Jb5/mDWeIi3uCQ+upmyjWB9QfWEYCCwJBlDl5SrWuHWCKL2LpPsydcmlDMabKaCtycqh242N9dEZ
DfxQS2OBp+rPhvhqb+5tSLIVMT6Adog7ddI7glWuLQFifMzNvZqIZRXRc4muKRmLnaRKlj9INxiu
Y6HxBFJlyB+k0ltFDsKKNdlWn6cDHfCFlcJDTYnAol/t68ynBViwaPgymmq4lMq6q8L0EqLDJzkM
d23zQte9yUY03TbX/qDKz9KkHvCn7BhY/iZt3BdNBftY9Lu4LZG3GG+OS+2OQ9+ck13ViQ1b69MM
rCvvkgeSyjxcMQ6phkiL5/4Ry9WB+HkkzYF78u3i0Wi0vR+7S2jTTkFiXtmV5XEWA5qXR56G+7pw
+3VoG3vHbA49U4vKmY9g3repIuhltp+Jg+g9hBeEy6uLNohjGTf7TsdqZrdYQ9lqJyE7leB2svOT
4xP8FFhLXMWRKLWbQi+J3kLZ1RMtNAvzzU7FKVfVbRcBQ2srfZ8byZWQBtpYuQkzChIfw10c1d/6
IDtrldmtQ61nApPl1z28cvbHTyaRZMpB5QLN9M7HXbmSCCqRQ+NsbgjmsLruqSRUFkv3S12icy/i
4W0ekgelkgO8532NrRoWzmFs1D6bkyejxlmuTdtSDN8wiz82BjCAaKxDz22GNxfO0LolzI6AZd84
acxJV4FtnVID2302Q2tK1GvOUOxQQvLYhHU3P7jLRz05o3ubR/a0caOieZHSSmkWTSy+Kz0Ognuz
zl9qbWChiZQImrDv15zN2pdM6AbyxC8ZjgwPBmqKqcE5H5RAlKlrCKnQlqow6O8D6bzmFsOk0FI5
Gg1/3Otp6h4LywnXiJVuyAH+msu09CpXfBfO+BjpLOYw+Q6wLf1jPTUIjYTxZduTe6dUXKLZdKEZ
jDlS6dGN1lnTkEueQMeReXrngCVZt2aSH1Td3Pc5q4tmcKqzmQkdV/lQb5gJDhSB7oTvJuYYdZld
TEXFhmJExRraoO3n3HgkmfRuMixzZybmF11pdxhFc68mbe/YfBGZhaqYa4vwKL25i0BtryoZRccQ
pdzWr96qzEXZHC5nfFuj/rdnL7DTK3DdZDPlCxLUsJsdZ6JxKYwAl25R3egDnzH7l2SPu/IhjZOX
ecEnZj6Km7oAzJAVLra4+T0kEPw4mTK4I5ABb2PqMq1qsQWUMMdJwjI8MxrDfTm1zXVqCJ/Qisr2
FL3ZihBDY1uE6bhJRQYwSfJek+diAqAwWDD5YtwN2AtRSzk8lVPorsoEBlXchYuZsppORdEeeqeN
z05WPgwGrtRC2AfMqhZwTehL5QiJOiDoM2QUse9lne97jPqkNMxfLo/SboyxSuRD8iUIcFvVQ5p4
mU5msSSUz68BCuYtCzSzYCtXx3CRw1m8uGgcdxkuwXXslsQP8XVfiVmjtKg798Za/hR70YTRvs2c
K6cuWNNXsmMNb8FVKBEcFTkgYREF4TYtsmztz4G8pt2fPNHl6clIEyQXSTHsfRs3qwh8/IiVTQI3
OtrA66KeN9kcYAo03auqXMCdMN25JGVCQZ7W3uxbBRrvAItvE74kEromU6a3NO/1jWsUeFwVMJEO
goUettITiY8Hz2euSE6c/ugW6iV3WtLnkmyjzwXpbblvXZVT9Oq0luahTT02NeMG1+3JMwMciVF7
RiqY/AgnY1jCkYDBk7KrVW5JwTYEz4qEQewtKIqdYjT3sqZy6kEuWAVmOsePMriOmnUZpcBq6asz
bna2Vz2eGDEmX12fmV47I4cfbT/09Ei3z/zjGP06FJIzQNG1z9R+bdYzji/mGZoz3qoY2plj5J9t
kpE47Rp3MTNJxPsGXZOBb30hOUe9XqHeRLKes6At3NneSGpaNrCTse+6NIde7JBFuHha59k/dWqI
zrDoS6/u5C7AuxV15ilflrlaTUwgw+J41ZG5C2dBQ7zXVV+W1Mn2JkxnhUP8q1vWp5lJsYgO4GAA
Z1hZk83EjHQO1MEjDhoXGZQfP3WhoOUrGoiQyv3Ktey+IWGd5TPY4FK7nfvhiyEXQ6OmRE4781Dj
Wsa2VGBDA9Ta4UQyEoRLWRh8H4PhYLpMJ/s83nPfcT90ChZfZb5JmKbrDvue6hKPd+8ULF58Jy+v
nTa/SXg0V64aqnUQDa/lWBhrk9yulWFW10Gn40GrHG3nq/B1okCuAoaICYxN8s0g5uIGnq99Y3g0
I6xJuoY5zIE+gzFqeo1cimurJ7zTDgEG8rKO7TY0ohpKnbkByHmn+/JVyuwzTPAR+12BcC8k6JHM
dc9Ie0gVODTKyjprdcCEWCePWebtcZ7Hq2EGJw41hE0icsqKOBE43+1Hb+BbDgLz7ATU6AUQZC4V
ZxuJzFhFKdY+y4cZMQdIo4o5/iZBK+w6LlP8PLlDBhcAY5hHrtel/H8y7p9lIGOvjC3BODF8j+f0
oVvO2VS1d05lnIXf3mk2e4e6iUp6A5TGRhHg7ovsbtOwqAD+eSiXzYVN0Jdadhk5nHAvSNhvOCw6
nGXjMUSZwWQdDu+07EOUNo6boGFHYltpdBxY2njG1F36KMKyLhjvOQYSxHRq0Yz1i8g21hG3FSbw
DCdnhNxGYbjLtP/H3nnsSI6kXfZV/hdgwWjUwGAW4VqE8tCxISJDUCujND79HFZ1TXf1dA+mlwP8
myxkZmVmhLvT7BP3njtmd1HLpib18nyVytomRA+GoTXkguFwzxqdJU8kpNwFXgI1x7F/TIPdimKv
NDiM6pmJ5RJI2jT32F9aD+uFv4xtysO4bJZ6sMTnAJXLOu6DCkqg+mV4bKJYquJOrJlP9nl0iyeE
6X+mr6q4eAP8d9/ArGCQ1J+Uss5JkdwPWjwkaUKoAUUpbAU4chqVXoC1hrvAlSu7h5xXRwb27Lo+
aTE5t0bsOFR1Ql+XtopPRsDnlDO73HRwKTHBZAoAHNp/vxM/RUDGV5R4y9MjQmjpfXEY0rrfkLXp
rlver1MbGndjX/4MDQ9msyQxuBic0USdydDB2Es1hFQUBSs5CAp0EQgkvQNshwOTrAShTLJwl/iE
gByFki+SCXO/5kNbP5VR+2Z79bNHXt2+h/JzNS65DJKABg1jDrXXDyEF0xpC+7lZshxwfI8r16pP
CLCRveTOg9HMNt8merxwic9S5GjN2vwqu+6H+Q8SjFCIxZzlXnWe+eQu8yyLiCMcQ9fIASJ8VCWs
l8Tau7ORnhXTsiVHmChxZ/oGhMiQdIn6akXzFTnU7ZzST3nH5NrPLWo4tM2z2zB/THjb4iU+DB/q
e1eR+tAt0WLmgFXLGIkbMwqCx1CUlDuzLlDaTmidJhAZex9yzd2whJYVvXMbLzFm+RJoJlQPMrBq
MfRN7S+r8d5a0s9ob37VDv7noS9MbsGYpBKDyIuR0DSzGu6SfNwiR16inNh6iIpG2JyGJ0nkGkKd
Em5AvDWxX8Se/Mi86jsgpM2Q7fO0pLYhPBbA7dka2RTx+2YsNqQtPQaO0a8cJ8vXZFqgFqk5H4Ml
Fa5f8uHGJSkuFRZOVsLjxiVFri+ALY3CfHVcAFQdESxj+YG0b17yRRkKZFBAxZJLJ1t9M0vn0uLj
SQmuizr4DeGSZNAvqXZBMoJ48GF5DkTeTUrudCrQRBCGZ6j8K8hJx+PYsI8lgXnIX74iAvTCJUiP
QL06C5o1oJbihrVAux/lgDsUHs7etFJja7UuhjXhmO4+SGDKDHWXHSyNI73pkmFj2LaloURbwa7y
jehMceKsDbRg/Yw9TvPxB51CUFbEsilWFiGWpvfjJJmLgrghqDeO+k0WNYu9pIRwgk0HcP1seOCf
03E9mU4ArkQx6q1COORh+QY+tlmpETF4KVnkpIR6MTG/LQyQG9o1voWgkkDvz1lVxME6tVDPQ8y5
SvnpKu6nl4ai5ro1mwzfg3NtS7cG+xXKx8ZEWl84xkc2SdD0/cFq3HM61WoduQbe6PbQwzQhgoGb
Jw37TbDMtYVhnYfUe/QLUa5nPDZsQJxVN0bxccbWiVOPNnycH0UVfSulro04PHjw6nf1sstieftY
+ViqdTK+dCw5NiNl7ypaypB+5PLkw4bj0iEEB6efbXDztEn8Qg2398NiHXjkPwazfsMuuJtM2pRg
+kSZ+9yFeIDTYWPV5l3Mlo7IsWPHg68KCdksxka97Fey77ltXguNZC5nrTWgF8RqvXKK/pA26piQ
DgeTon42onln4CO58lwBhjbx3yXkb+Z6FKbBx1ybG+F18NuJd3TDE1LP59DNj8Yk7vMGYX/p0cvU
Q7+ZyHaRaznVZ3N4S/UL4aS0l6igWIz5ggdVfPcTn4mRsIYrl82eRyiGPfvpVV17/VWcG5tS8nbY
VnUzYO3KZ5wMBfcONTwqsQiMhCbmOyABIbGf0hn/mCYRejGRaKqmFnGD8l6tiOWRpTBL6xVchNss
IJY5dYOz3TobbMDPo+SOrULCK7s5YZJSW2wbbF1fezbTq2BwWBThATpMPB0k4YXNTSWskooXHkNh
5eq2BTV+zHPDXvdun+zi2Z/vR8hDR0bzHMUtjqJxrKPz7I1AagNyY5+TkOGIlr14JcgoP1W5sXhS
ZmNb+srdW8DCmHHWeXAyqjK8mULgCxw+1bMzgwtgGaq2JotYcuv8wrhTiS5eZOyyN7cRf6+Iy01O
EibYuBo6Cw4ucZuYNILnJvbVFTLsBJI4rZwmP4+acgQMkKqKUzcPia8FYx+jEsab86N6wAchZR7R
cmBqgumEC4X3to2LTWmi3UJxDf9XjJcGhnTuRb+Gej7TozD7QdsgnVXvm9shw6ZSjuzRCFXAASLq
TajDQxzlt5PVemzCsFFY870Ry5tobM7E1ZGRVakaPV/crmWdP7tmKTYZIvFVOFkAvfq7uAqqA/Xf
d5FXLPXK7HpUpkXXGC86ciYd5kIttGNUFTBeAeBNR94/PJCKEQ+YyEvsZKcgdp5mFoT1wHI8mp+S
ZoQznUenvsNxq/qEfwHHdAT4baVLXoLE1VhjnXZjCLZ77dyvOEl2Mz7sbmLjC0EXCgjO6+k9nJhh
U9aQDKXY9mVSKfQvUbvK8v5WGHjdsqK+t3DP6iZ/GtwcnJ8FHtEaWe6bbfqR9y0uZwjAcK8Mupux
s8/wiYuXNPTUldv3DbrKEqW/ijdxBrPajhj5iXrewYLx8EfZt2g9h1uixYc7xzKgUQweWH7FuE15
XOxK4SXWIX91G/qrvAQ/VbFUXuX98GTMKiF2kTekZ7LCRQ7lNqzCPbPIBlWLmA+sH3ChxY19Sdsq
PpW1fipcOj/O1NeGnN4NWUoZm3O0CGY7vY2DcU8Cyf1/L4T+oNP/oS+z/q8LofePolIf/7WCsI46
rf7+P9dCy5//cy3k/4ZNwLUZTvJfRDosZf5cCwW/IU4DYmuxHfobA/dPSr31m2WbPpgZazHgSG79
vy+GnN8Et7FEz4ZuzYbo6v8nCjVQ+X9RqLkWamob3RkoVengTpL/JFzt/KLxyEyLNo4K5YrhDoeT
A7asYDDI4RMfcBz0qI0FYRtoUwCNLF4SjXUJAwr8FDdFSuPvnDEGRAMNAhMMctGs8Rm5E5+x9Ro7
3VRiRIi9OBrbPDzAxfh2xupRaiAYxLU4ty30h42NrOpgTON3JfRlMEnki9KaHDmkXHhIFoydZQGM
bJnhp+ZXUPMvGORVrSlofGzZDBDoOu5ESIacWUrjOtScIhPhVNvKZaOCBZP615whP2nqL3LGi91U
EXAPh1JfWTMWYqaG3u3AmJ1ioj14s0y4wrx8MTuoVask32qbd2zHPTKDWtiufs8c6Sr2FtRNSUxv
7Ucz6BPqIGwF74Eswyt7WM5uE8S5F//UAjR971xcsxMrayBafWiJDteNfR9Z1Wc0WxK6u37D7Uai
SUQxiMYvvPIjb9zj5c3pVy1mgOyYhgCI5Fg5Hwms9lUnyXzyDYl1tYs/GpUwMOj9x7Kncs1xZuyS
dnZ2cxyYK3Nsod2bRGrzNmigPVEPIcaOYJxG5skktAqZNysjqtL5ym6YoXeyHDEaokXsg5qZCK/m
VTNY9QE5pLf3PVTCVQKrKLIFh1Cf7fsu+3BTljWIfz/Iy/pFauQTp+9XPKo34I7elUK0tK1Dke3Z
mT4TgVRvjY6uQTkFaok48tY186/bmg4Uz2FLmHiyGDqtLn2P0s5EQ+nLq3EqvCPEKRp4y1QfjJTd
q9xDMxI3TrAe7NC/Y9nzWEzzzRiRD506qjpVBhVWC5FnxYHO224MOXngxXMW9FSPDfqBxnvgOV2g
WLO7tyeudqKF5v3kBHdZXNzGGkRiV9xEBoG+bhRQ/eg6prKak1UHqOfghWgooefs/QAoi2zF+0z1
WhvpxSrlwxA6P0UX38C2J7DXZdC07MnQEj5NRZicpQ86DAUdlvJwYrZU1SOZO+AxPHqESNYAyzXw
DiXh/ht0GzHDNVZMYHvY6n67bZ6sXQGFxYHfvjJGMu8JQbmvqIO25cQqzFUepFvCAslWcq9SySWf
5i995Vo7HfoV42Aab7IiKWa77lrq/MbtuqOJXPAKLTQwJZtMOCPNivUsiuupGx8dIucJKcvO6Ujc
UjrQipDAiXqJcISw5xWoW0RfSXSg3bs1sbA+enZo+XQw1bavy7OEPMaUlYwYwwdsI3sOF6YnSx6e
Dx0tzZLX+HdPwtQXzNqcO0YUWHK5Y0Xj3RoJR0Ia0/8lPvhTm4FgJ6+xlwMay6lMJk8dMmmb8OAA
jtQulEXDm/NDzCBlWXOeIxMiiC24Q+sav2sR+E88Wmw9sXmvTLu41FGs140TZpAGWBIGM37pyvBe
6SvtTTOCdAqnDPpT96maHiQhcUGrkgLxSrcmBXcLF0AV7CBrmgjENtVeS6NcJ0Vdb+3cQKiEAnTN
DjUhZnRB+uTp88h0bjXoub0a/Rrm2kzp0dQep+3I4xFrRKtIEDoeR0pjY9avs0HshpuelAFjQ1M2
bhK23Tu3dfqVcAMSeVRITFTVH2a7fRgFRQeH1GtqBA+wrWGotqwdzEw/m9BQo4RlhR2mb5NnfEjh
ImjK9GPVFhE8qJ69dZ3D/ugbkjZSEHUsxO/HmSFi6Rv5uuD1PGA7ph/to6dsIsGUADd3R/6buqjB
cB7sEHRIYkC0ixqCy22/fGFyWD6YqLX4fhf1GB+9F2ZW3S7NWWmxbUcpVdOgSis9BU5RbNEskZsx
i5es7p+qqLl3mf2GnIZYSfxDk2Kzi0qPEOg0QRGcuzjcqeMZkUTV2qBMX7PHRuoFwvTKypyvui+t
TcsCfc0RQjiUhhbITuLTNJWF78zcepP1k+fEZmst+GEUAcsOljEpxC0aXgaz9UMSmsTcFTTspkcM
YrWo3zwSRNZFV3zamfrQIaJEkhx7rlD3pY0mHEeju02ptu8n0japgr+busxRz4klASN96ErEiPlk
TztCtP0DyjTj6MpoOsSmAHxRc82UuUeLEHNeGGMa713brCDUTHKdMkZiaL44i43xscnsYVVIe6JL
KbMlCfIzBrq4zTQLFag2Ax9i88FJmnZdlfR8EIjmc9uZ/mEcNd+ntpujCIaULks4myxjdeP1wbwe
a6+7Z/BwGHOrZEwZQXDmQVtnRJKt2tYxjz1XP5anKeP88D8osw8KssEqbHniBhXMBzXQUHV9+G56
3VsQk+EdMPJbsZEJmOvl0EFaYvqijkAW6cGrHafO3/rKfNN+SvC32+BFRNkB3Kj9FVb5mzt3rwRn
M9SDBLPWhQLcO/JBm1vC6tKOXHKGKs4lqyrSSQya0XqK8p2jZ4viIPdAiWmO3HyRHLh8of3gxHdT
OhN/7UPQtMJFrZ3EyOU9601Yot/zfY1HgaIL01kxsQLmr/Mc8sIcp7kttMkLIUBqmxN63W5Z4WnS
rXcFZIc7ZTUdESk1sgbX2rMag8+kQS4pqWc6mLA5cRXGNyGmdGYtBlQwP3O3cPfu9YhIU4cGvnaf
iQxeYzJXCiteFVP+DfrDeGjG5po0D4VdAKiQTHJ5XcfzSxDOPvlmJaBUJWe1kHKnn8kcOmCaYbWZ
epZjPSC8ROPrdPrC3jG8h9zEqHtTWPqiUi6AxCouPZv1fiHQxTMjlryhJQUfcd1V5hMBezd1HRJN
2zIQb+nBKvjGq5CRsNPj9SJ85NOXqXuOE8s7tGP+UeuSe981ulPlQ9JIGo5i1nEcSlbRXGLtHHMT
dGYJIAPp+R5Wy60ekmV0nF5Mh07anIPHLrZcFnbwxOJyvOvd2l6MZPu0bD9jp4HkrwiVBOsbDZda
QKweFbSLpOzfppZk4ZJY2KkJQUQKk4idIgRl6iarbIm5N2MIfcKf8JlxGt25CU7QZEZBH4/263/e
XN3W3+VDp76/u+uP+n8sQr3PqtaK9WP3P//60/aPn0ff1eKe+ctPNr87ae77b6UvyIlz/ugfdqrl
//x//c2/+XEedY0f5+OrYBCTtJ1KPrt/0fbQpPx7Hd2q6ipMkv/CzoPF5h/bJR9lGjv2AFeP5/Nb
f2+XLGvJHHcD9Gu/Z3P9qaIj1As9m7+EiyNYCxwTKd3f+yXzN+CixI7TNQnyQaiS/5N+yV6+un8w
WdMv2SyeUfn5tkNpa8p/8tLJaawnY4jMNa3HvSyTLYn0d0ZQcoQm1YMVIaFyGmwGwn/GDoBTRYu7
Mm8+oyR+z/3mumiBEs+cpavSJ493tg2cgTVWcgsS2VfMsYfUvnoY5bLjIeIgiiGG1GQTMceb136e
fciRYElUVKBddKxPE1tMlpuNd/IKWa3amsgjr+lYlU1zeO11NE6dy/hFLSFJRjktylf3RS4BSoEC
4OHUSCVs0pXqJWZpajBvdO1S+wj/gQEvlaWOfJCx+GF6I3+cFDr/JbpJdarceUucU9JYUE1JeJKF
/0Lres5difzPftQudwQPImLwJR5qzgv2LEtkVBXJJ9ERaJwucVL+EixlVOMNWuCLG7f6aiB7Km69
el82hfvU9uONk1bAsXNYzjZkS0l2VeK6L1g+z2RgXUuESXXvbQvcNCuL2KsJqe2+clApR0RiTZ18
wJvw4Nr1i2My+6QO3KZT/ikrOGENp+qqjsOnYYD/k8SfXaC5PpBkMorV2dEnjmuqvA8Mf682j/2q
scW8al3nMvVdRbq7/PJI9Rocz15PTolgImCsraM5Wg1kX62qMXu2+yLUkFAYo7dhHLGMMax7wYl1
XSL/eWrZFKF5oBNzyAFr9XTHkfRJpwNotF2Mx7pCsk0hR9DtQgbNAHGh2aa3xRsSsE5lDLVGd1KC
MsTBlFTdryxHYkNiLPA5CcozX1IKW5O8QqhWyaFxyDBUgjRDjh2CDRmywic0QsSXluiQSPb8mp2l
eHfgAQ6puTdn4IPoje7T3CiOUBXbbWZN46tuhVp7orpmEPZELslLbNkpBGLzRgfhXUGkmSrdVxYz
7nPYQ+yA7Dq5RDY2jhjQT/FGywxQhBhS1GOR/QgdjlOZEDcqNTiZvBXcjmRCtgsfHi4ntoslMLIo
iY7UJuA5h1G+C27iZjL972RkFWx1RE4uG9bNUBTXFmmU/RJLiRz80JBTaS6BldkSXdm3+j0hyxKR
507V6LnGaGiOKAIAp1b+pVOGATJw1pu5a54GK/e23UB/lI1MOZE+2nuFa2qN47rbetni/R2oypN2
fHAI3ewXCWG15HB6hJGmBHOGrMt1MdA9ozaRRHcaU3juifKsY+eOfO9XwuK/cqI+AUKuk9K9thkM
AOgFM+AQC+qY4sZfckJVR5gNYJ6b0RowoEryN6QrL+6SL7owoS0juvO0/dYt6XmSKNLcD39/cPSW
kvth0vMNWDZSMKcyPzcLopMOQ2+kWeJAGZONcN1ozQgbvSb+bW6/LtrozvwcaCppUNh08GnS9x3Y
3rJyH2HutNSE3B1Dnrlr1JNPmW0BVw55dGsPeQ1LyjtSDqb92PQpJYLK34OZjmpKqXOIRjs5RLiu
jVxJVG5som3dEcjiGmIv8UVc+eWsjszDCkhxjKGmQr3mtMesdBUVCx+OK9tuoiOGKNrVvmlPaSz4
+CbTfUNayZDZKExz28JeVrQ3LZG3RPhkP6kJITXMT4SIJmu87ART8CrQ7JQ3RKH/CBW+GYHLpoBu
sC1lvnXcPrudu/Ihz7un2GPsUHkpRGeGXEPap3ubCdBe+OGL5/knR7dHKRAJ9LX7FpQR2YFJeZyn
cp8DTNoM7gBXN6Kua6x22IJbM3eZrhC+5faLZVJz06CmW+5DlDSKpbbErz17mGVEgQvRcxpy+zAe
rFgLI8ZyCryerbWSTnwMnQChtH/wesB4Juvalu3PKnfc58JiN8GN9h5E8YtVVMA/W+9r6OebRNg/
gznDk5zKC0RPbP98IXfGFIDj6n2G6CIFCpYvSbeBSc0a8MliAcKzTW/LjWzshjb6NfbezZgxf7Ml
MMugdUkC4ZpqyRPEpTjjl65ZWSPRGtE5BsEmWRKlPR7lq24Q3qrxAVYaxrg4Zyx2Tl26s0ODrr9F
nlbXc7GaRvdNlNN7Dya/z6YfA/ssMLbCzVbxMO5UJN7RMOOP0sjGjDj6aqwZbHbYLADPoNkPmOL2
Ipuf0O2etdv8gTP6b6vE36wSFp6Bf1/i3X203cf88S8qQ/7YnwNx5zfQUi7ea/nXaThxrghMyXxz
yXGzsdj/b5OEYf4mBOPwICBsh3k3n/m/V3fyN3fxbzMLB/6OMxZMyp917t0faBxK5H+LESAo85+q
O0Rpgc/fIvkqcUn87uf+B5NEYxpG1Eytxj8NjXAtshiqz03emeH0llnzMGMNxe9t1kQJeHmzDH8q
zAqlMdFHOtaatB510gFTIXZx+ovplIbzZH5EgdeeVF+geq3cbo39qlwGFrg3rZhaaYCIWwjDBNlU
jc+qL9ubLLTrnes36mWyQujjZjI/YzcyDi7Loe0cWf3eZka7nVz/l5zgfSCA0ju7BGvMmfCSUNjY
Q/lUzW60d41KvGeRkRxtrvsN2c/dIaKo2Mkx8DciG4f7vJitWz0iwAxjrGsYvN1Dw1hnHSSF2IW9
pw9R64yPdNCQy/rSOOCBq57aaI7Jk23UJWTX9sA6U6w0cRtrgyitxwFQ4SWLKusUsFo+96gIQKaY
Yg3FP/vwRjDpSqU91cSE+pvwmlszd9AJe3EDOi4FEB1rIttyg0z0wEXZY/fRmvnX8DijFz6niTc/
tGkXHn0t4uvILtX9TLgQRvXC2LGeyJbRQLVFLgeUOirHh8RmN2HNYjzICRFbNxELYGphH3qVT/AQ
E+srN4jWApuKDrfyWeV6cXmKnDIkOE22R9bkGVR4bhTHT8a1WXP4Z8hsTi1XyroYe7VnqdNQKWOy
nvnAnJiBY8vypuKkDbbRiYY8aLTxRJKoP659Uqke80zZpzbISABu0Wd1qoYbjQzlFPFAENkblRUL
V2F6B9uyRkRliUusSj3ueou3Ss4uew5sL861pNkm+o0B/SGtzeAd2zFijyUjM6b7bghEAiAAgnPs
n1tXQLtHdXUp2MAMG+FEJjNLBmrrgSnjYzAgKAS8R/MSaFKXhpLJTE6KyOuUuv3BM6f5F2oFClTG
P+67j14bYTWH9xleAWbsroo56UOMnRo3fp7U0zaaUDV1/jyt7d5P9sGQlzs6owRgjJF/+CXrc5Xj
4LOLwF7jXHVXo+PpeM8CP8WrFBtiQplK28XmYpCnQTcEvJJt9uwEWYBPL0Jh53ZEXPiikndIEoNt
6cTUazIY8GFWo0TZW/rjic6D703Y4zawsuKFQBA23z40Gy3F+GopwznS4as1VXD6pBgmHTtHdbt8
mKY7BW/hlE62v+0sUpH5u0e2KBGdV76LRGGj7WqT6lDUtobUkHoGA5BCPHutan7Yq7CczbESe5Fl
XVc5QSdMUiu87hWWxFvVFLV5LLpqemebP3z7UVTpXVxyQx9QxS9CJi1KfEoC/kAfZON+dCuxKhUa
vxnf/8Wwa+Mcl06Pt1uK1zCxuv0QpsaDJAP35EQOu54YZQTD/ATWIcaMFFBZnfNwoBzO/MLb2UWm
0QshW7sEyC/e2zEGsMRaMG7WMRrDZ5HUzUs5RGILVhwlFNoB4nDMMEGl2RLJyLC8lMCI/NrszUOh
BjgUgaOZNCVpjYYYWnXOMdXanDGNByg+YZdRCzFcyiox3mvV+t92kQ5fviKbTTZ2t2BFg6uI3fp9
nZqqIWhokXUYhfdYF479EGQyvuldYeHoqG1cOBXoy6Idh8/YdoYnGH36nMTdSAygmgaQAs1w+s+H
NtfJp6ra6qf764Tm99vn7+Ob/09HOwCF/v29f67a/7r8a4fkQiL68+YPfhM+97sv5RKuCnD5H2c7
MN74dRyUvs+enAv+z1W4+M3h1xaLJHMXX0gh+HN/miTlb6DRBJBBwJpYL1mV/ye3P7v1v+Jafh/u
gKVxTRecEYZNwSb/Hz2SaWlDgQ5puiqLjB03GBg/M+IcyOJpIT/kOewLj3xx7EoK0QhXEo9sjIJJ
juixrUc5WXqVFyHgIbw+p0jHF3Sh8sqsEWelM/aiuHsBX6Zoy8YKrjlJM7PpnyUCN9hQjvXFjIN9
L83SBrLzTueOCZ0gU/u5JxyZTZP6leC5Jt8paJ7LkWUbQnNWyuSQsF4HLVt1Rx/NLCMSjuY4JoHJ
N9LnIhyDDQzSvQlVa1LDbStIe0ut8oW57Vpp8ez0HfvLnNyLQc7DQY48zfmrlEca3oqlKAF8Q/o5
B53YOH1yajQU7YakrMLsEdiF9a/UQCqP1GlGigmTnmN2nKNu4/VMIDDgDYfSkO7JlTrZjDH9f2/J
/jrIgErEHnA7G0jIyglR5Pmjl/0kVdAvXXdxygk8wK3lYpkpeXZzm1cn590IDkjugGsKt9gi2f0W
iDVQhw7zceLNaK1kJWY60sY+ObP48YLK3AwKqXrnMqaBDQGDJkGCvB8nOghVme4W28hXVUzuogL9
ycvUWgdB027jlIXAZKCOigz3jSEM2Tlh/Kk4uM6+qXpkdtnD7LHcaRiBjai7VlEY3RZDgmPAXlOV
3br1dKz8rCMogXwwgyfhyk6qXxS93EXZ2YlZvIfFucqTdFXz6iwEXLp2l9T5PHgkeqjhtswqqOqA
2LMc583o2VxAdUGkR5bDaPMUC5AIoUVHSyxblhkUdN5BKTS/VRRmGNEhA3lhCQQ3wm/m9D6ZqSJB
rNf3ciNT/8Gb8G8Q7SNxzysCGEkxEhgOetNmuyP5UAo2xrNTp0y9yyWmJr6Fk40IYYweuDT2ykC6
urzPChpPjqm/G8pLNSqIM6N98UZt7bwlS3Y0b2Nn/IhnC9ub1s7WbpOTEY7ZqjTyZxjh9SrJZ0Tn
kh+8MsQz6YfpZopcva5s+TjZ3aGSNXWMmX0g4CDbOI29qyrLt+nCvBG18xCZtKvW0rhGWC+PcNxt
RlG0tXxaL+PS6Da99zPS+eKI+wI9jfacnljSG8tiHFcF3XIbl1BflgbaSMSpScJDH0dPZO0dPZPY
mXRpuv1Q8+XThnPn0mc2Y7UuKzK8+jr9pGZGq5qTrB4oZVGEgj2NHPNFoI8+QlMwd2pp/aNuIDhn
GQdMTUt6LMJztLc4gpkZAJ9+KxCuXwUUyQzGTm0dvzrLmIEWJOUVhzFoLkMIVpmbqUNBNtUPOYKT
W9bd+XawCU0NmWEIL3rvmWkQG3sztmgf8lJCkLQE4pmpPDEavEyETmKyqFdW0n4ndThum8T57H4f
m8D43NRMUrx0vh8oQZEwzu3JZyB2M0JHOcI8x7zDbnsTd7DXAzZwNBwoHdu03IIpVcfQwD0rRGnu
oxFRiyMnuPc8JSgHGyzMTID0MgrK/MjZlyU6uWUzd4XljF2O73a8UoRoFJFFHEXGu5JltXNtDrz/
uh/ToymjyxQY76muSXmQKMuRT145joLXYLrvyQzDzlImcGvXfOkjzeKVgUSgQFubtkfdlsOwKqrP
tm+tgzQQMKfC+BqUeq9zjIyOOdkbHUX+ol9lQk9Grx1gZUoUifNBgSUyDYYaGox8rbr4TuEFORRG
+atpg9tSpx8JXY/uo/s0ZaU2J8MbRvsAH3tyYyZiIx3rwRrUs4iQhYYGKHPX0d+jBxRwDPgUp6ZZ
olhqsZ5XFUiMoClWZdj4a3Ll9E6M6CNpE+5tMTRMb5j92+Xg7hUvi84BTBo9Wczp5N75U5Ztemv+
5HIu2CvCoOpc96I0awA7uwdA/JCBD2/a+ISyiwAIkki5sKsVabUM08KcWI+cYwbm+2Mylf22NHS0
VlV0L4qOJa1+SM3SpRfsf/WifiON9BoU0AYx+yXypk0virsRFK5jz9c6oSXgiLjO7O5s9/WIY0xc
awghC3v1a8a3cQUaYdcn5n1gQrjCnX8bp8Exi8w319NA/eX7gH1et9MvSZYe/+ocgO0hq0WCBUdR
KVjaW/pTBfYDxh3mUe5yVj97s7qZ5+4sCCnD6c5HOSzaF9TiULfSX7Fy1Mojc5IN9dYO4QjY0y2L
oGTddVOLUwkRm0qmXcsEsemrs9kBA+UczK8aPV5iOzXP8exc+qg6uMvdGAoCxuXcPrZZcmfI8itL
pl/1nNxmpbE2zJoAC9eAG2gmd3DkGJoSdTb23UT+kZ4QIC4vbXTjjmCWMkyhV3gMLpEe7k27fqSg
paer5rsxtbHP6ekF4hBImXR+bKac67VOEACZmJFy00aWItuXZsxvJN4RYGXE4poyoQ03T9PYauLP
uDy9KCK/oOEjHiIjQZSRr5xBL0o3lMQ249iDVaMTjFgTMB50tlNRf5msTK+6Uj4r4RLP1USExBao
FlqrkcdC1qjSPLmjQb6k0wD6xht37NC3dVUfkcI+1+RTIAk66EoSxCBOsUQc3uXbxC9/QIweGxzQ
V6XRPWVu/8TWGdd9ej9WFhx5YNoZYgyZzasE5VAku82cuj91LG4Gib+7LF8yLzl0Tvakme1OcX+b
2j4UJH9HX3TCDLPiLVbsV+QFXQELFZPjC6eWFgJOZvxgKDg4viMY9xd7v3VWDckWY1vh6y/oJWaE
BzjoTjYt24CHa8WZiDm53BRFto3N/iVioUyk0BdQnwbADbVK7rvYuedfBYpoaaiPwMtXZqe3olPX
kgnO784teuy1hFLBN7CvG/9npo8ZMnnKiu4WaBgLodpB0t1tXGe+DZr8hQn7Fg/ao48T2k85IpfI
a+0Q5w2nOLLsa3qzDZCOc1+Lk0yjWyT6j5YwznPm3GHII5Reb8egO4XVsJlk9xaF/o2o4n3Wia1F
5u6VTyNm2f13EvqfgpcE6xze71Sf8GxvWlO/IkXZtQlDY3+8Vq68dmbrsc71UlcNB5q8fR7Vxyn3
9gnOhNxNzmOT7BgQoEpn0f+/2DuP5LqxNetOpaL6yADOgW1U53pLb0R2EKRIwgMH3symBvCPoib2
Lygz40nMTCle/3UUmaGgLi+Je8y3917b9XHB+UZxZ2b5ObLEheq864wow7I3clC24U4bY9pz4WXH
uXyqY/c5m7SDUajzADE9J0wW2N5B+gPAKzGe5QBTX1PPikcw6P3nOE0fseBtjEieR4AgsBlo7ST7
GErnUCTFo2MEwHg45uNjTTqA5bThocUzzBP3Q5S/QTXhqCIttiH7HFH83TTmLmCXCi0yPMA3zn7Q
wMzKiEExONpUHJIxy+2L1jpiG7nFMLJt8H2zDl82yodgL8/p5Dy4sJ8MEV51DQtoJ7ZlU9/nebqT
cbmpO+OckpxfdKH/HjFQizzCcH73ZlA3ooZ0SWcNHILxEFOMY4N/JrTK2jweud9TTyYuTdqqMTbs
Ta066Kmie0fkO8ukpCiqum00AhWaZiMXFpKqN5ZO41zEib/3yEvWGAgFjXuZZRwrh8YmYFkr+r62
VVZfNp751iXxgKe9v3Mrzqp+PW2z0b4l33yss+osDfdQ2StlMLoJ8g2mq22sdQAXG6IBKca2c9Oy
rVbJuKeQZy276BgW6hpM2IRZq1wxe9zjHmECai/xLXPq1XZdqU6dVu8aj0u+tA/Z4I1Lskwr6VPK
XcVHreERKbQLRxIxkeFmUtpRy91daqkXbh6PoVWD9wvvVa4AX4RbFJILnZ+/o8abqB/3ZUi3KlwX
GC4XrQCeFYM7qYf6jSHvlQujs5jw+LeEA8biabDVBaMXpHH6vzRi2/C6Fh7P3hJK8rsBwotJWn6t
jO4U5VhYjfnxN/M9V4Bjmqh7+O9HYGlvbopi6xsWGarpNuj6R60ex1nj/Vra/WHAbceJsfji+sTX
OPe8KmkcrIECmY4eFTHgbxS1MJeu7z54bnGEEgihvNcQiaqIY7epTlMqt0Jp+9IlkZ9kr1WjDonb
XaUyvOu5Vy6sqA/XDCUvBlE+yaynqscV73kdXKGxrORgbjRX3wYaObA29ZdE98kJpehQfkHWsMyq
F7MfL/Kus3CJQfca9fYmpNEn9xEjUUZJYU4GCqu0X0RGR585wLwiMZ325rsYuIiOYONNm5kYWJJn
SlBuHQ66i2zEbhz34G9qLiR+W93bfqnTmQ4i1MBjhAXJk0u3wJuJ9HtvyGAbhBamgT6rFgCMWJsn
hHYSgdT3KnR3ZnEod3TGXGh05W5RXymt8hsddTMJtsRqENI1E3HOo16qmUHR43BKLbeEBE/HKci4
y5TW0iox402QAkEPMkLuYTgdXR1CHobE26koCaej8GuGgwRVRc1Sl7R4KUu8jnp173s+rSjh9DXO
rRt/jK4kBL5FKJxbU6fk3u2cG5jdBLS66EUm4k0UzQOX6nOcmteGdM9ks2+MlLQbmUErdV/Tlvh0
P5QHDUYOZz/DWUGwi1ZxoVEfNDHtLrBrR1760tXUz4AGwx8dZF9lZD3rrROfGTrEqwyjAEFk86Rn
xlmvPI6G3V7108kqubCWvvamimGDKE+ZGVWMPUHkOt7TMBiC6GmvhkGCHCd5Bx9hGTXDdmJMJ4N0
5STjY+Hr1alSho+BJahwv2nFBqu2t5AVngXbJV+bIkVosToYfbwbAtKNUXW0UFMwd58bVXPBp0/O
MWjnhSt1ErkJITsr8oVLe5Tf64fYna6CONhqA5ODnDkhI5rLwKk3qk92gDXXU2IcSzI6DtGdogqe
prK45pay8tPo2q+0HQazW92ShyJMHuzK3HBCwl9qX+VGdasZ9Y2XwL4MQi7g9Btj8X0FmnBT+ITa
0+aq5uqPor8h1rlOQ3kF1nfHdfamIhsQGfR/GW151yEcExGrHt04vh4SL100xXhv9EQfLS/f6p0V
gcIbwWk59QeO1WYHOtznatKXWz/QXhNDfnAihxQeGS57Yu9sppqKSKGXD01fc+5Jxup3wvV/lMw/
lUz0xX+eaC6K9P/+X/dS/Y2Uydf9OdB0f0Om1AWLkysYLosfsj0sP1ykTIFHTAeB8K+BJvBpS2e0
qBsYdmgzcn9QM+d/aLarUa9B+oe/+6Re/kzNhC73Sc00MauZpIv4t+YeFvsvVPRmjKGlmCuV+eWe
/uvLbl5yiLo7J8ui+DP0uuYqCvy9MDLmbR1X39QIjl7A7ir4ykXrmFf44Lqzr7KGOVNF0xYKS93A
zZL27Zgk8dLSMUZmYGun0N+6VhWvcimPk++8w6GptrUfXNPJyMe/oSR6HId8KVFpNjkQhyPxlysZ
VTdthvG/13ACJG6CGFY5LcMhizsUkylgOjfl0IAvGzvON4gOTtaU29DCEZA17BbTAEmxoyyc7485
q2iMxSSDV6qoEjz3De5eQkAYyr1jbzuHcWr6G5GExVbJ5sMPGC14ur8tC+e+tUcXdsREkokK2InU
4qp4jS6avuI0zDJfp/ETn+aMyurwI5HZCdIqRvJOvNIAONI61hx0TcMrGhNKFI5Zr+txGumlL147
rzrUWvmltQlrECrleoQLcBVxdFxNYu4Ih+/oFiLZ2LFOvWHW4gOaWT0luZBNlzsXlR22HPUyrMQr
fa7RGSmg0GKsETKk6saOqRIbO/jU5Da/aqpuzl2hNVv46PnziCq54NpC3KTrA1pLau3Jc7I7XZH1
H4AjWUJWay3yjrLUH0Pfxwbfp7vIMFeRGO/McUIj0kusWxQGy8rKLwCUXyLJ3Q2J9lT6o7YwOZif
Patwl3qnw23LONoHEgtXoGWnSFmKaCO/D1N37rJR3PVlzEnZ7l9wWwLELMkrMIB8tdkUae3Bt+xp
7PXswO6VU5toixlPj5tGcDEai2AH/sgIn6Q3UXjKQTAkEIaJUp/tlFU7tHTLzw2ftIatdCe+CEb/
qS/Kt7Iun4RNmqvDnznp7po0KQ1jFX2vIz5OAz+n4QXXMBQePYsENVYRmuusXZWPza4o83E1ynRf
JvpHWfRvLThhqLwYTmqcJ54EjjRbUbD1z64U/CkdPhX6H55HfCum3qullTBWhpmQLUUabe0cJSAI
hm6LWXlaMmNzlu5sh7FjjJl6LOm8n80yCLTxImtbfWULnvl+sNLnyUPMo4XvpcmEtq1nH47Uuy+Z
RQy3iWtSG/NoNEvoRnMpuk7LGrSyfpcaUFuLxIrXICgYSJsdHPCcP7BS09nOBBY5mbdg02pvVnyd
APYVMK91x+nS5m6KSwvMbiNuii5LVwz8bqDuYfaKKXGbp781Z26mwb0e3ZrzeLiI4su+koxbekIb
kD8YzyTMCjrmykmtrkaVrGHNizXMWbG05yG0wWdezmPpevKRg+dRdeZzM7fn8bUpJn1LP2ay0RLQ
6ZZZYrUzAKz1Y1qsIZenmx4m1Lo0YFO284jcFLq5iSr8ee48RHfncbrPXD0srIMxz9nhHs4RNg5R
Si9ONtN4KxzOfsJUk14t6oXnqX0+z++ZR9DEql82DPaFmTwEdnTZzRN/xehf03SHuG9y68yqACwr
4xQjFDizYqD59pNRgGsNZjUh7CFdMtGBodRRkNIzqlyVswQBD44Vy4cnnjpTwui+Fi6CU4EwLitO
yP0tSQlQY1jzBJq+oVcQ7jz7UGcuGf44f1eZnm0wI1M0Wbp7BgzXQ8ZHhvrBUxabz8kspsh2YgA4
CyxJWaUf5iy6mBzOlx6TbGrG6YiPZQa8cZZp6KWN1gxW5UE6VXNg7QvX3Szs6D32MpQeNUs+0Sz+
gMV65VCcLtQ8/IKSe+BsfZQ85Gthgzxyiz2x6GKpEGCcFtQ39wjWg1l40qjmUShRskof684rVhBf
7nS0KmKfu5aZ1LoW4UMwy1nZLGw5s8SVyOrQzaKXCw5uHdoe7WY09MipAJI5a2TkvsrXcRbOOGpW
u7I3WAMrn6FpXi9Ns70oHEZr/iy7Cd8mi+nbJ5Rv0gSzOAd2nOsRep2m0c82C3j0nwDOg248F0/w
jAh0/mBC/Xd0oKmoTmoWA52JfFdh14euDCCQzpJhg3bYoiHOcYmRtOAmn+VFuFvYDXGjbvScrLkp
TQqfvVZbFiQ/8Z1Sct55A3cKSSw8NWED8Zw+qMIH4cUUYOV67ZPZw+0M/ZraZPYoTfIEjpU2nuuI
+QFj7no1cQRY6yUpPhJK1slJp695r+/+I4D/EAn/aVHJmR6y/OW/bl/mpsmg+JtTI1/+56nR/o0E
A5FwgeAtbOt7Gdz9jUdN4I2zXLDt+lxL8qcMbvwGHZgSMI/ToWVTiYZx7U8VXGKpczhM8sfv9jnr
3zk1oi98OjVaBko8n41vsvp8SP1RBIdFUkFHi6lHCKZEXwAQwGzqG1pON3BoYozC71ythzqc5cBO
2DdDl7U6q2TuX475jK8i4qWd+iRHDUuMeOMarrpuTK8wFzifIBtkNc0PkEOIDyIlmGTJcrpC897p
NxMeP33ZVqFLwHzQt5kiV7fwMfm+layB+tEE4MWYUk836JjpNTUc1UXLyeK1tqwMNQG0o8ozUAwU
25L29eV9mw7UoCqnZswpQws0vIzkylZMD661HroFjRhG3uxxnU2Q18gSqOScM29dhzqaWvzNOgKk
ARDw7CfhM959DdRcrxqp4ugldbtS/jDc6lNIq4U/u1HsyOwvhy7yluCv1Nn2NO1YGxUbZlK2xiUJ
So/y6qS982aTizXbXaRtVOwMhoY7h2MfR4Vv9hjypObWmD0zcTzbZ/xvVpr8m63Gqsoo3SXwuh4m
ZAVtAfYP/w1+cLw44TdfTv7No4N1f2L8qcpHZdnufVi5ZrtiDEJXhj+bfPAhFDdJFOkfbYirvZky
GwcAviBndgjVZusfEt+l3dD+ZiGSs5uIABq+IstvdlOD1yj30IayRMgLzvXTjYWWfahoujxm39xK
yrdI7XWx9sZ0q1l10reyfY3o1m0hd2LpymfXkxYOJei3oQAzTGt6SYdTq7ie14V+ipssPoROqd+N
/TQxX6Ev53LQ9H4XJDRXgPDRv0S26h97mGQMmDMOP0aEs9uPCNS5A+j1pq7iDXXe0ZvW6OGeu9uk
CDN76dad6vjsVSBetkzqXYC3WvxuFipAQBwGVvM8PE2STr7ZZj2daGTzb5Mq5iXA2+HpnMz2EcJR
+Bi3PRMfTOA2mu3U7yw9i99MF+MBvzkIsJyY8104VsUrs1ofryBPVcENaatljXuThMl0VeINXVNt
Qo7NJk19R9krE27aT2wmAKNF7q/xHfeQV4R7qbGoHrTeMs5l1MQHLHDFvion+RAbbvGQd2bKZL1J
/AeSfjpnM5haXSNNfBp5+Wx3KtgXDFPyPZ31EfHoyqAunIhBufDLwL4Iwiy5YeZdvEp74KHGZnJl
WxWQUdzvL+jNzmPXYmCAnOjFb/GUgAMth9jwln2HzApgKYSGpNyIT3xeuq9TntQfxuS2j0AV2nMJ
E9/Z6+OUnBK/CC6oJxqPXqmNcK/SnjdDgK+pNI65jPbF4+AmalcOVvK1qi33q4J1ty2V7D6wQEQP
o9HXVKR6BeeZigO31wZg2vTGex0J3cQELIPqSo/1/tQg+V+Hcoj2QSMpYDJipS24CIPlDzt6TRaZ
LEt8Fcq8LykMeEwyIdBMtOY9s5361DiFia0kwg6pi9y51vvUNVde2n9VqWE/VI0kvfuf3fWH3ZW5
xT8PY05F/Heecr7mzy3V+w1wCxiTuWFLt8zvSsBc/Te85LipDcciTTiPaP7cUWGsCEKG6BnMYjzg
/N/5yszf5oAfPUg6aUL8ZzjO/405DP7xTzuqyfdmMYURgC4QIAQb+/e2ssSOYmm0brBuGuORYS3N
24ZWcUOrzw0otFu65Pwlmdxil0q60scI3vHYczjOiPpqorKBq+PCFj1WkTRPowuUTjovEu8d10Wz
auCorsrBUZDZJEFlElNd1GkbA9zr1TSnjZXF+HWKfZOxduBveAeoyYSrl0aWp9tJ1sOaNAQ9l7Rf
HAY80zsi080r3rsvqY/668/h554UtKA46CpMUy6b2TCu8Q6LJQHI2ZSKmO4RKNoCjrHWetcN25HD
700uhbbWNJNbOsy/jGD02lKl2sRzRrsMe6wi6RN77msxp7ibvKdUd0521+SreXPuxk/TGl8bkNWy
Fef5u96oORyuoPqC+mhK8pb9U0uCXBtJ7/uUtex6k0sPSE3u+Umx90me1yYZ+YGellVTE0tPvwXU
56g6SzXXsAG6OEl8/467BClL3zR2DXSONVG+eCshfx1AhkC4Zty0p2InP5d1+1aHNaWNzIDRH0nO
1bFjr6I5Vq+35lfNLTH7ZuR30Az4y2y6o4s+Xmo1TP3IrDC3F41ctrlfbC2jEgS8+QVOuKAX0Rzv
d+ag/xBo2qGcw/+wiodZE+ZyP6W3ahL6uurITnqqRrMEIdDOMIEGqgDQvy+xxAhS2i4AfMgDWaS+
EvArVoUGT1VhqQCFDqhgMioaqhHCS3A+CRwDjc6bqQh5VHoQB2Nlp2vle+nahn/gw0FQFcYnoRdf
jabyKXj3aOvyyfyXM0Ahdp03f2hntQttIBiqL4EpHoEOhBij6Dfj0/gRBYI82/jYmO2DgQsTZwfN
NCLob8NS/+rXZrEqzWAWsfh5ipEsuo/5iHoffnB8Yl4ZkAAL8I1xkybd1yamh9JT5pPXNt5Go8Fd
G2vmjJCWEcYcQZS7uQlVdxlbM3iPGEZrMl2KCequGQC8qKn84nBQwG9WBzs3GFCCozc3qd+TOc5V
Wk9AGYn8dewBDje3diR3Vl2areETwp8exyB6ECoBLxQclZttaWQDMhY9yD6ZdxQd+Mqg37hpfVUg
GOtZOy1aL9sh9OHBL15CS7vukgRsiaPZ27wegCWUX2TPnm206quyuFO7RfIxjs1D7yO5eaUIKLHz
COe5/TwhubZKSa+AOxCGyq+KcpQAOlN9XRIyXuIqxAUYw3MCO8jEI5mtASEtbXrKfth7OfaGMfqS
D2SwbKRbNuNHE1A1bQTlbdTANhMpIEk9hO02dP0ZjBUPhsR5gPmwOVDHeIUn+6mdDO1ET020Lurw
3pIaxa8DbafJyBA48ZxT3CYE91R2diwRbHQnj6/9qHdh7GqcrHoATFYCC8fsoAHFgrqroHNXoh2v
EmKSB+yTyUJC+UFRp03XGbX3QIPDUuZ9vdTtcdziSSFlPfWXnPGSNSzVYNVNlCkxQjhh+uaDpdXB
woESAJ1EqesYquhCjMM1CYs7h0qDh7b22cxNLVlmsdOchzwbzlPShOuhHAksg1/YG5S/n8C2Mc3M
u/uKCQ0sWdRD6FruRVp5qbPwVTJsYUd52yGxmKP7LVRcV+Ny4H6bbbN8RFAUCErLuwLy/ioqSFLG
fJoyjtN6LqDZTXej2a3brD4kKbQnEEZ0CmseJlTW6YXWamdUhYJFxhGroKuOqRni6VLPAW7mvRjz
bFEp7iCQCp4Lj6oOT+yswjljT3kezaZYcOClKSy/RC1nlMgJU5TtIQvlBSKHQ5tczihchQfTY+CF
QHUV9DAYlANaJ2qml8jp4jUoK2jco3dBdfY2nIGoAbzvBWjcjI1IjStGLT24xZjuMBl81d18pNeK
dpdEsFRnojyWhoPrVt12Nk4bfGdQvksmPllbrjL46IdQNDMCdl9GeEKndnJXNlzIBZ9x/l07OMQR
mcBx5LtPu6YlI4kWUWYUXXbWI5n0E6n4x4xp0w4KB09GHdw5FTQhDzUAGnUAZVUbXtH/b7xA/5pz
TySGzH1LY57Ev+i/GEDMaONixk5NYNKqD5nx6TWdnV9XpwHKcI+2uNCNmt2wuKOjG4ymTdQ5bz/o
OqnW2AymZaMXZK8m8NWa+yQ5+S7SmgtUn2EJ60XKU8FkF9QiFcVtJS7MwFl2FXzAIKALcDYnOS29
H4Uzt26U6g2xaZ/q1BkQkBLMD8GMtx2aDpfjl7acyGbxeWlobrHCI7ftp5RD0cLPq71o8YpwCMLg
6oA+i/ToQIMcRaNQYTJ9bDdI1BtRQOx2+latnJg7ae9+jFjgFiLW41VaD8l2GtnTk1w/yIz1hBPG
JijVMY/FzghIcOeWi1+3LFedyG/VaKDdRJRSUW2VuxlEs6p47kwur3HjPDSRSYJjiLJNXGvJlrYu
klZVB/hY9E++Tc1oLYhmm0ZaboxK9xchn0ZXdwhIyXAduKBJiG91cT0tKdnoDzAHLjsoHvzYqRGs
YvMrEWhMJF1zWTO3PYUdU7h60orlIFK8AWF3wGLl7oZGXWU19zJUKQv6AJ4Cs6FXvXJyY1FqDB2I
pZu4uXoG5E2J38qUDu7iJCHaMtoL5Q6MfXu2WDNyHqMIOx39Sq9ZGN0JpqcLUwbhyaJDaKFLBv9d
4W/gkt5VRjbH3v17IUPsejVt3n5Uav7KTuDTdIWa1uQAIKSZmEvbgPFvI2xGs7HvPjVTH9GcjTsn
VugDdi6gd3qvQVU1Rzxwm6JML0ynONLk/WXAGYo/kEqH1vYUDv1SXYnaOmKsWBtYqoBw7s0JgG3A
6OJAHLqaovaijcO1USuFmNYv+0btmiLABtpjs1IZHuapGjdgTe0l9YfxwWvVXesO71RfHmy0P63z
0xWCwTIN0PCwhYaHrutPYwlh07dpOgIQfKmPs9Mtd7DoNN1hJMq1S0T0QuqI5NAYnkynAvZA62cw
YVEVcmyYhGjRRjdR9bxiuCQOcvAofqrH/IJepZuwnnUFHzXFsi6K2H4WKHkrrzddOpDCoy757CcT
WClzeiho38CUubZk9G5rwVYU7JFk1G/o+3SXRTDckeOiFz4yGWMw7M1iGew62+moVCIwAJjQ3iAb
wM4pJ1ZTnLor7G0YzwmB07KQPNrGNC0N3NiOz4OSG8XJMbMHtjs2Ky16zzlvg7YH66EZoOQzqXP1
jcy1U8eYz9t3yyVmoNk5DsiIhLWiCAEaj32pTWA2cMBjaTRvXY/uA00CJ8xyxQPRjTeZ2eAs0Iit
NTz51pfKCE7elG6ahA+W1iBQjIEEu9HKt7IozyGWpcY1P3KhiFXUuLtdLgltSVbbjN1H15Q4AQfa
IIIatkbIpyKPaW+CUa5u+8i84/rxSPjkWlr0l1tB+eyWpbYyVAyqoyQHb9zGgvhfWiMP+ukrB8lr
mHGcIOYKqNhlbwZtvyvdolxMSt7inCTQ0jcvTq1f9G7KxK6T23rUi61WkyxNU/yemrLWgLajLRuj
v00s3ZsdV2Ld1ClXi8iSKADBCMOJYQmHaP9OC+lozVyb4KFU0QH5sjm64FZWPBDOso4moLyNPmz0
yOlX3wzBOcXeOF7MbpvjEs399hj5tH5RWrwUYaatJxltkZ+2kcl5YVAe3RVh82H3/c5jtlgOJVnX
OjlR/s63xRwA70p8Lwf3mZjoEXftG+IC6QGH57YZT1OJQ8ruoYdV5btvV7c+RsVlRDRy3ZfebQMd
fZl1w2maq4RMZoNpl5Klt/R0FTkZP8OAjaePvI8h4LfesiVsVZ9/FWK8scrxEgznLkjlkjg+GaC2
v8z66Q6YGL4bYJqLJrWRjLXSPTKqeUyD6WWKGLwUYPHjoL4zlHfOvPYCu+u9r4KnOrOfqe5g4osZ
bYUb90I07lplTNnA2DxMff44GFhz2+ESf8oLnqxgUVbyprCHJ0WbJ5zL/rqt8ku/j4cFZ5L4LhdB
smWcs/Fi74qkZLdJh846y1DTrrjHlLd4UfEEFJ6/5Gf5DoB93TX1vnfjyyxWbJsWalA3hXdMe+mx
NOVRxvH7aJC7ZLEcN02a93e4d/T1f6YxP0xjmPf/8zRm+5L+3/8qVI76b2QOvvKPmYzr/YaCIJAq
cKbxh4sD5g+SkyfI85Oup2ZVl7M75l8yh/EbEf+Z44RtBT3LY8bzp8iBAGIw48EZg5vGNG0QT//G
SMZguPMdxcmCPcAkhj9mr43z16CfbZUNHx8biXkd7Dis33Y77J1LsWm2VND9bqb6R6zAjIT6HT6w
f/uf//7Lixn6j+OftFZmhWqMj5YQCAWew308XH/3S/iDZPBfeZtdFVHe1P/z37OT58eXmEdYNBkx
rwJMZX96CaTvVrMhqayr+pCNewYobOGbJNv//GVAZ/3ihWbx6DtAgpxc8nmpp1P6EWmHtlb3iMHm
YhLZg6J/VE/He95GCkgu2gZ2tWXG5R7CuVmI38V73pofvo9XtK96wnnCvSlC7ZSBLlnETFC9lMrz
LIwPjadx4S+SL7rmOBuBqWCR2BwZOjPEVAkhLgGdvtQcd5POVpFcmBe0tWw0zeduQkA7iIerIWo3
EcisYQrXqituNc1+dYGElOP0IPh7K6s2SGo7xoPb0oCrp8zUveKJbla+0cHLD8JVjWd2X2hW9tjI
EKST95jb/h19HJdWWz7lkXE3uv6BPpULhkcPcuJ6R/N5t1IO8FbNp1s0oZ3XzN6CHksM9YBcPtw6
W9cJ7QoZyESz9+kZV+67oeSd30HSc4uu2Ri4KclRgjGiowSTE7B1U9WvWdCfnBZacTx4TyqYjnYH
ichw0cDZeO64TO+CVlO4OvSHqYzw81As5CGwdeSd/NLajA2Re0pu9CmZ8JnWB1MpSOtVdPBLWr1x
c3Hpd9fe6D564XCrUuulVVwBHcngRuFoBX45fcgQV69tk9qwNmCLdoZwP4Tf4V0X11SFXChtPIy9
uTeH/NEZ/C+uVz3gyWrWGuMMhvnORmpylhvoANZi43J0rCdFOmnM4PC2BlTe2j4rT16UqqJEBAt4
j41lCCRkiGapBf4SStAyKIe1VpKRZdKyDPXEp1IjxRoACm/2mb8iFp6wQUP2Fe8URD3qhfVQJ4KW
3RjHuHZjWeWNYDWiy1i/ZFzKHFHW26DHpJwD9J0a/5nBFDScDnE9nw0sLpC3Opsva4a5yVPtIted
zYgNjrDA3PLn7ce2K9ZO59mE3UN9YUfppRajilqkMBivEszZT668MgZxZlv/0lNk0/TheQwtvDx1
SUSD/4h7/cpzS86AkDiOVlRfmlQyLRvV3uKIPQAiPuCMnrETFegbpjOhFdHdTVd8oaUXU8lWnOt7
S4+v44zTM0/oOsYzo7dVv/r5cmD8ZWVz8S+y4BgO7kI45fMy+/1q4AMIqmJDrEtuVmu5aS6nXTyt
vGW7QgbzF4h5GwlO83dB5B8XVBjnn5a7b687t+pKzJSm+LQK2UKNUS8MY81KsvYWNRfKRbKeVpSn
D4vgQLzpoV8Vb82z2k7D9udv+hMBkOWcPYoNxGbzAg9oinmJ/O5NO83Yu21aCC5qfEQq4z5xgFqa
XV2vOSC3i8gvckbNEG4j9E8ZcuDBJ7btNGc7TcjRNBlsY6v7UNXRzECf45aSGVOuKfLXuKvoX1Iz
sS5Z6UX2NHnJnWm1D2UMDlilEXzyxrkVnXZI+Zgtfv7W/rKL/PjO5Pz337+zXIs6N8BnH4eMP8gZ
WRiC/DBfyL74xU7yeQe2HIGjATODw7PDcMn+pImYFfMxV3nTuln1a+tEeHGl77k7Ld0jJdy/+1P+
+YH5tG39/moWqACwklwB3M/7Yx9M4FFTbn4L6LQ35iE6kg59lSckjacBmxOuupW1TA8uOw3+p188
M7Or4/v9Gc+GDcZA8MTo7NL8748/2XTKhJ9T4bvWSb81IUmxGAwyHcUwPTRkeEvRlAjv+sNC57FR
fJByyp1G4HZgmcuA4ohmxpdyaaG5Kl/Yobhl3FdsptAx1j4oIcL75inSIZkyorAXegIpBi97vKzd
IqIAqLqBV/Kamo1J92CPx73njo1DFq3Gzx6rztl3tNcvKKV6I1IE+kgj8UsFyrQv82knvfZUD+Zd
2s9mzSG/JOB/BTkOt5oxPVAMg0QjFQnaghBSvqvakLlrFt3pzE2CMwu9RXLyfYyao7AMSuqqdSXb
8heP76fV6I8fsj37q3XXleLTaqTjB2bWwargeK8RuoLF4MND8fj5h0TMz8p3Zy1exjE51JqcsmZR
b2ZcfP8pEY3jj0k8f0rqNTHS4avxxdjgut16C3OZrrpd9qUlqJttR3OtHRiR9Qv95uffw7fn9Sff
g/npeWa0pvWY2siZMStDX1xr6o5C6QUOgE3q2AdLYE9ppr0oxsu0ijlW4rKk12usXyPKgiihvSRu
vqHgeWEo5nF2cpaOv6pwxCKvwIAqtn51Idscm+LBD33c04cJHO7AsADo5nbCKufC9KHpkz7xCdOe
uWEoA0NBO3oaTS3GuO2Htxj2vJZugCNfeBxLvZgHU3oXI1bLLAcIatQno+7hwMXHnrt3nFebUH5Y
wNB9zNpNUW/BiC4pXd3E9ltc0M8IrJMMeLTV4QLoLvRKa5vEhFdKnNF8oKLskGC+dCLnGSspvjfj
MRJ05YLRmHR6EsgX/fw38eMzB+wOpVjgzLIYVvNEmJ8eBh//g5niplr7XbFlHL2lmHRjj8EvFrAf
V+bfX8aU6NSYUjwU7fnb+G5lTnXPziTfy3qeJMXWi6J0wahfdKDIP38/xrzu/uvJ+usrfVqp4ogR
SYzCsw4ehi9yY50w+a5Ma0m85pLZ8nv47PzqFPHj4vzXl+Ta9/2b08wkcXoMjutuw6IobwfMvEtG
oHu+ibW9j+AxUJ+7Su4ocj9rq1+eJuZ14dNbRunHO0ANio377dNWxDBKB8XeoPauYVPZi3wz3wZ5
zpZIodHml+/3kx1gfmZ4PVPnoibn7WD+++9+mfkU5zZ0RouQEwm8wbNHHHPUCkxhZiPQmzcO1cPI
nAAy3LiEr4bxeWkLMaz/rd813TN009AmxnLGxZH18tPDO5rRiDOdW3C18qlbXoZLtmHq0Gg/2gwo
f4tk49/88sf9N+snr2oa+Ct47xj4f3z7Qxy4UjMmwR2R+SnuY37notthY9rQA8ps1l9BiSydiWLE
t1+84x9/1d/eMT03gu0B1hAfpE+/6mgqNUplWobsO7VPjlzClvqeLtGFf4QIvPz5q/34XP/xYrYA
aDi7U7CS/PhG4ZfkdttJfT0kxcH6/6Sd13Lc2LJtvwgR8Oa1AJRl0RRFUtQLgiIleO/x9XdAfSK6
CNVlnds3OvZLd2yuArBMrsyZY4pstaQM1egwTBbVYFDb3mwVei2Imx/h39n8z6gQDInIUQxrsrwY
tRumIh/LSHZjnSxl9lznk/P1c83rcTmCIYNjNHF4gam9mDa5DBI+K8lnNOWu5+4Z4A7pGU8Q76Ts
8euhLj2ModBcpRIo0lG02PdGM1ZQXRO3KQKlUcg7yt3XAxjzj/33Yf5nA5dVg4QToluCtM8fqaNt
yOuVXKNrhiJBLwTZN4jxHzR9gUdNW3MjlFGEY11OC5TyDCqGW1/6NHhStob/9hpiN5LLlHLanoJf
P6U4KFePWR/GW8AtGA7p4we94DT/D8j92wpmxqjFj3qfdU7UaP1tBU55ha3as981jqJXvzVz3OuG
t1MNTJgpIO9hLN5KCYBcZAV3idHf4ElPWK53uClX8W2IFAKqUVOAPy028Cff6YnI7bTEbQkw0sbD
FdeeBlrqBe8wVcLGlyhfdphQEhzJzqDWxCdibTqknxObJhXDBe1ICVSkwbcxaS/sgo/O7A5pCBdP
odTTa99TJfT2yEpPEG3HDdUysjFUtq5MtM8L6M+3+bRRzqv5bKNkT2wkVRLQluzKW+XQbPs1XMe7
9srhurhO/j3OYkJj1Qvciq4rV4HwCIQbd9qNsYZAbVN3LoDsgj0m0NsPbrXK16SyrjyndGES0goI
F5j1pOnYJn1+0FBKaivXFE4EW943u8TJj/EGN5pdsIW4cry2MV0dbzHp81JMK2CFmpt9H21zn+5p
i8ER2Qa/u8FB+/qR93nf/ecNnz/g/KXPviSd+KVGlk9zp1TbDNPsZvjedYR29CCVykvSDABTn33t
9xD9EMgnfr3I/2RYF4v8/P0ur39TadATJJgK2765UW78vXmDLOx/seX/Cf6/Gmmx+wpmrdTt/CXV
TXqb7KJvZENwulrpG9HuT+Nbbfuu6qS76rax6119Q0iz927iY2jDfnHAITo5Kcx38XBtjn3eSf/e
5xZfgPovDmWBTq0xH7ZxBOUhfv36Lf+JkxbPTlMDav45I6MSUXz+yD1UDtpgFOI4Od40wkOTvqZw
5AYuesjhEeCujBqSqId7+2vfU6ZLo0Pa9ZRVUUsXwb0C7FTVy12DX6anAMnGALIAttfHb5jaX5sT
85f469fqnGC6pKB6FxdfalCLFC93TUVuk1LcF/YYmewqMccgNLKHQtpJUggaKd8kloYIIfmHGfl/
T0lcWPMY/fw7/mJz84Oo77TWAsrqGKv6ln6mzbvxIGxosHcwTLgW6118XIP9RaTFWJT/nINnKzCe
RgtPKC4q/b4gsIbXzxIgrHf8q3HPokjwP3PtbKx5Lp6NJQ4CUvOJsRqn2BlIS75r63oVOfEvlFtz
DtxJ19kv+Se5/NX/Ip6/+GbP7mSLL2uh967M+VG7dfmmOChG7HhnrkaWF4/rtFdm0qW72fkVcPEh
c3FoC0ucyACI0h3+D0ehBnjgH0nt779eYdf2bXMxVGH5nhGRE3XVh550Z/kQrYkeDJe8vON/F2mU
uTZt5gBrsUo+7ZyLNe2HKQaRMSPqlB1oAVVJa3op/aqDnWLUYQ53IvB3SEurrDUd0ds10VGlzdir
r87g+eG++imLWWUagernBT9lWIMNc8l5uJh6UXuyJbfaAKG98rIv7JifHn1+NWezGJGVnnoJRCp1
Y+7H28gxHevHvEeLK1aoe/2+cGEifRpwcfUmCm0nLWVAxfiYmntPX9fSr8qU118/2Ofw/a+z+A8E
9ey5kGt3pBx5j1Yju7qV2Yb/EObfx5BO3uPXQ0nXHmkRaIyW5gtVxVj+79HOV0dLvYm51COXVFcq
3BV36l2f7e7KsJ+vmH8/4uKwkwyEdbhAKq7Zvvv0BoP2XHXkQivEammfrrXxSJuzq+H9cWXk+S9/
MUmtRWJOVQqRWzUPXEPVoTiRfMwnPjfq6M7fjrf5xnIrN09tPPaGXz7Nvc6VH3BllSyTCzW2hIU4
/4AILA8bPT1HTvsaV7t8N2y4z19bJdfGW2xJXsopTRuOxmarrEFVTuF6vK8dYWMe6GHzt+V/ODct
adbVagjuSIgtBsyGosccnti1t6fv5GtsZRs54it3Nyc6/C8uBxdOk0/jLXbAVFWqXP0Tm1Nuu8kR
76OncTDKQZC7kVc+FcnrKamL2+7ZQy72OlJSNdQiHrJ7F0nM6L9817hVV5RQN/KWS4EduP9t5pyN
udjvTNqRu7HFNn2uyKg2bGPKs4SlxiZ39J/66cpEvbg1nA232O26aazotesJRX5jQelvs3WwpmnD
hUvpWvvi9+SW63B9dWu49jkXV61qEAfcMDXkrM/z5GmP4UNqd6vBNlfVqXsyrm0Il7YiAi7SioCz
REwqPp8iXKyFwIwIM5XYBLtmIn+OP/qp2Yg1SINcl45S431Xy/GRRMe3K+/40uJUqGFTaUM7Iy7T
XdTCTXjqBP3+M2yQt3nrNdy0dsW17Izb0lh9Pd6lT3o+3GIGDUZraJ7Ms2Z5AyNFi5G9xh8YKuDk
262/Hms+OZYb7flYi+ljljqFxQCFboEePagCR4uMzUzEarVTKL2otAJ9PeDF4Ot8xOXM8RIeUORl
1r/NjbWeDtkBl0JbdCS7YT1eqxleHW9xdkpKo9CYwhnd28ACcL7ceLt3EsSQn1bpXXa1qn5pzzl/
vsWhGXWVPkUtz0fv6dGwigeUut9VVbsSxIK5ufTp9LlfjyK6qi1Lv1mXh2neI66vcgKdwFqnjXLT
CvlNYAU3YJo3elAcpDw/1G37rVKGLaaUay/mItFX7cYfjFvTkl9jTXVQyyPOgNIXjOU7bJTWZvqt
Uy9yMPY+JqL+qCM7h7MDjXrCxbJOd1TZ15M+7nI8t/pB6Fc00uKwma1xy9sOgrSDBLtGgv07kVFV
h93JrzUBmxdYtrhhxq4xdk9eiki/xXk4Hwbf9hsaBwLTfOJynLvFOD0B4fjeCsoWpAdg0vommrgM
h9FzazavtCXhtQoifJvq9zHAJCzNUxl8kd/dk9Z9FGWE0oaffQzgdLqADmXFEnbSRC9bC6TOE/MD
Bkag0o1mJeCLxB/bQ4g4hbS2kXqgEbhwm8IgmyAXeK1q296Q9rVKw581DbtQH8yZs7T3jemnaZV2
BTLUHScAeYoQPmC/80w+0QkAs9vwB0+0rJNFLGWwjdZch/FxsIBRcDvhaKhE9XaqtG9mkR8VZEdA
X40Xc4yEb4MQ3nLrVk60h/uOiXZklc0Wdz6JcjueBDiJYwQ9u5e3XRTQUdf3GkL+4CPNh1NqdSdJ
TrZYZDgYR91QFJTsODGRqw65ZA+aiApHqE5o5/E9VIpvipxuCnOEDhRHT3T7bsNUsqsh+Nm16mOn
WkiZOqCK3bOWGU9iU29x2yHR0paPWuDr9iAiotbU4d0KgfmV6ZoejRulrWvwhbQ+KhXmhgWUyIwi
0apP8pu6h3gydTQ8eXHkRl6OvtxsHlUFqIsOO8AOYjqcAQ8Nktjjohc+6sok3yRBehwzuVqRI6LL
TTj2xfSKps/pWvJDVfcHf1KcDLU4FSL94/0gkiVJNkGkPPf09vWddyiKZJNDr4RIA5a1pudADawa
HFYprFU5JD+uSbc6qLmoGpBRAfythsQBUXA0Jo28S5h8z9v6lxrKH8U03Yx0RaQF4iGxiO41zXuz
gvCnpKEp60uEUSg4jvi0PbV5cFc3JSLdaWs1WFur8TS5gUHntzlN9wKrgdYHbD6UcpNbwrGJ+4ei
IrtVCqkTW4gAlZsqbb5VgvdQZJR76OTunN6a6u0QpPRmK9FrOYpH+OohkFyU46MaSCutl/d9ZCCb
QnuEyg3+zmDBdKxz9Tjl7T7OBq4P5GtLI8X5eaDLChHkXu+UWzFT9mliPVhG/dGAJAU+sYNxvPV0
QJyxvxub4Uemwi6l9+nQNWnzVBXdD4WOBST/wRo8Rn3l9Ph7z0MkRb2JWc+WqSuLzRV9ZFJpImHy
GG8NtVmlBFdfn0+XR2AMC3WSKoqL46mQclRtuYb6QadfjJ5gW8Fv3P7/G2RxJmUN9HNJUSVYy8Y6
lBM6ujB7v/IkF/Lx88v691EWLyspxwyt5EDe/6a6KdEMuNzXDuWPjkxOKq/kteKqL5rtfy8216Lg
vy/HDG0RLhnU7djJ5rd8djmmp3qc1Im+AhnTw96U9kwwinQw7QzY+KLvfv0+5yf5HMV8Hm4RMRmS
XOpe7clUOJR1u+m2lWvs0/W1KPTvo/3zMItgiTgJ9LjMMBhq3aGrB3IgZZtcma6c7dLfWcbPAy0m
IaguXAHw7/2js0KNtyqfDHfke8WP5pVXJ137VIu5KLRJVQ6kR8jP5LeBrRyGb1h/HUJ03OZqwP9j
W29pYLb/y8skXawBaaRJR11G9KpI8sQc0XJBycFlEhw2J/ZQiM7XU+PiuzwfZzEVJQ3BmtwzTnYT
bhMnJXUAtWUVbYnct1+P9Xfgjqzx7JEW09BScBcfeCbXBxY5pL+hxa3AnGrWx9fjXI5pz0K/xUA0
pflSbQY061hoPPS9eKRwaPvQA1fWxtxeX89/z3z2Q5oNQC8o1KpnEuf5es7RTtAPajBJBgNktYUj
x4EuxK8f6+/X93mQxX4VgZBA+amyivUJvnkCaDZYDyXIGOXK/ruQTf6T2WL96CgoQEWpy6pFbOZZ
gFxqrmQVO+UGfq+dHSb7j4Dhel1ynmKftyce7Gw0+fPbG4vah3Nd/7OcS9BC+7l4lrwYYOhPNCrv
0K9emYqXp8jZmIsLs5LFXoxx3HztmdaTA6ugW4M/pzYJYxtvROfqRWueA5+fkk1Ltkgn8VIhhSye
UkzTJhKHWsFkEWOcVXgb+ms6nl3PgYaNXTHVIATNk9udSPesERV+PXsWKur5mzK+grJrnqPIUxdP
3CaCVo0JlSBxQ+KF1lI04OvmgPbTnp6r0/TUHGm+e/161L8/7edBF7tLpUR9DeweYkAwuENtuj0A
na+HuDBZGQONtCkhl9D+aSY5O0xDE3pTqcKGuDBZ/0vVaR5N597P0lBogvk8WZXMUjo1wuta90xs
XsSfUwsllRXzbAJg2jRpgY8TjXxOoNeALc3wo/KVZ8w6D4baIQHOCfqaVkLUWJuerUqB6fpt9btM
rSun5MVXf/ZDF4ekXleeGXnIDfrecD3jbUjF3ZU3f3GIs3BzMcRgsRWOAQATbZXt9H27Ke15Nldu
eN/Y8ZpL2ZWN6e99lpd/NuBin1Uiqa7lgTkcVjRhghPxnuroypS9NMb5KbX4wD23n27QOBANARy4
h+Rf+9X3H1de3bzalrsBwjSFEBoGEN0/n6cRfusmnaNs5s06vDXW5Yb6pd2vZzlgZf8n7YcmnY+3
qFby0wYzKWrNbfdz2tX075J1vKGbhUrTZNzG66v73aXJcT7iYr+LrFERamr4FNKSb1Vni0fKdivg
8DjA2cJ+OMbra8HapS32fMjFFofwF+vWgSG1WIU3+zxpNOD/FpMax4StGX37+hteigzPR5tfwNm+
owd9q3N5ZaKov9XgV9jf4eq66sbarqCefD3WBcEs30+TOTtEHfGOvpj5Xga/vavpgTGP/ik8IAtz
TUf6od4bx87V1zJ9zlf21RlN9fcUPRtyEW8ouM0N8P7nD9g/0724TvFfv9dNN32qsU7aAnj+6e0M
2zrO6cncKWx/Xf1oX4YjTKlqHzvR0QQXUDjg+G6+fh1/ul/+Wj7//jZjsXxGbxrbmnw0mlLdLZ+V
R6xH2t8I5O18T+fyk3jPTHfA2x8rgj6DjPRcY+hcCZ9WJ78bt9d2pqu/aLHALJSXYaPwiybfMtf0
98kkdWLhHeuM3pWmrF+RqHAk7HUB7W08vc1A7orGhgRcfkwBte/g6dYkILJZDJb/oqMRFqxuHkO/
OcQVcJnIyF9aHOxmmK26DRvxbhqD71lnJhw/cWtXOGqtUHdfqa5e2A9Rc3C+ouMlbFgeeJOkJCHm
0NKM836bDOFU9uKTQSPf15/0wmr6NMziLDHFEkhTx7YbRvWxql7FEmdAk+b0JliHSXZtPV3Yfz8N
t1hPki5wHYkD6kLuHP9Z68SZDvGmdkanO1Wba7vhfGgs5uun4RZrqeuwocOohwt/MdkJPsSQHCTh
dgK19PVrvCBCQ3j87+daloZbEon0POU0hfw/itAu5U8+jbSY8UKqNXVekGCPzPAeEPzOAObMA3WA
EFYelnurgP/5kfAMbdHJOhyC0niGxhlIvi3ZdIzCfDTNGrfGCNuskHzn1+/iwnHADzSIe+mYoCdr
cZIXRWkU2QSlGyjRRsGPi4oR9C3P+0kyMbbptSicThLcr0eVrw27mMmEJmKn0dHnesdS3NX1eshX
7TMeTpOTuuVm2uq7yjXJVVOCNE5zsFTv4u99a6P+7H7P53+Kpcz26191eXn9+y4W870QmYBFT96O
Zl+jcXEvcIrIhodq63i0fj3WtRewmOzRaAr6pI1shbQZhqUTZem6CVF+1oJrlaUrGNaVL73olvpz
uZFFkguzMB02o7Z4PENQEpA6Hde5vfatcqS15FTrZDe/8ehRj1boxtn/xXV0oGZxfXnPR/1fy/ts
+MUTl13jl3RSaK4QC/e+TsmgL5Ecfv1arwyy7L6P2igeGqllhwweKvFJvF57NC8k1s5f4x/E5FlI
kxgsUD0aZbcF+W+GkFomsYWL1LxWfUINStYKZ2iag6ANaxMjiNgIkJuLgPQT/adc6xgaGaHFSYW4
MbOqk2FSX+sB+8qlIdkUH9zaEO+wKt+pfvnW0CYD0kt7iJPosTPid0AvsBCtU9Ll+yGkaxFuD2AP
+SGl0WPVF+Wm1VMwSgUyyhxDqUBba0Z20FJpM5UqXfo9KA+v/gm65hTIk11246voZU9aHgV2OsLl
7YcGFFKu/4Yadjd6NbQZ8c3S221b+j/0inpyEQhw0CPz1e8FvOUVXICsFEEfvoYrOrB/CZL1Pmjj
KcZUh/4TVwRfOOXCS5RZ+97092UWPZdhUNhZkvTsc62/U3MaJ/vMoCOxlo1VL9Xaxqj8Hmiu/qq1
ExhMSslGluHLSE+KVHW9XfoeABxBwrcutjZGQ10rKJR3P2qR/WMUJxUj7gbeCKVdTnM7GwSMhwOa
CYBAryNsD7ZDpOJhGoknr5Bu89QUWPAAFlXUbKUGmzCIkt+hgslhNukDuAOAb4bhDoFw6IL0owvz
hyEB0dcL28ZqYKBQ+LGBD4FnLibYvlYGnMeiLm7di5bBOe0NNR1cY0XrfUQtq1GfFOgMQVwju+27
p1FOR3IO4S4N6hpfUsRKXZBk7lgWr91svVFOMaxAg7p6YNlxm/zCTRkSMthPbB/qO1AOojO2+U8R
4FMA6sHFNtVf0Y5JZ7aplI4vCZZd5d4hKKp1YVkoeiHvQtyjxgb6cK8xZ61Wu40T9Uk38CaAIgqM
+0dbCD+qEF9YOQcLGIgmtGrCK5OaImCj2tYbrO/E4S6b4ttx8B/8Tn39emFfDA5kaW4bhjsizvzY
84uEiQ8Inhe4IU9KtM0ry8ab4U42AJIZxe7roS6HB2djLc7EFroEnHmFtvL/x/DgYth4NtDiFCzi
FrJySYJNSuCf5LlLMg7OxHjlrLn27hYbPwJQbLSwlHBxVQdxQXih77Bwt6k8rL9+dddGWuzxvWSZ
Laks2VVK8wiqbjOM+c84xV4S44ivh7p4WP/77pTF7cYLEuqZSkMhJUXj6z0M3XPUvEQS6eukvpIm
uvSd6EkUVbDGTL+lnL4oPIDlVSm7CX1Ecg/8EhGIAoTz60e6GC2ejzOfbmdHS+3rg4CH05zkndY1
lRRZoz69GlbY3EO9cOCx4i8hkF1uvod3/6HgJp+PvlhiUGtqbM0KlKhAtTwPzKrQ2IUskkd/LPHC
vfKw8oV4QKedbO68pCiw7I5DjiLWTZ8oXJ1pKubqh+w+Yudfq2tzC0yz3PyXAXGJoZFp7rT8E5Oe
vd08SPhHpx1Pu6t27Y9gLfyRLJf3A62s16ToysU5czbaYimA1RPyEgy/m5XHSeWyP/BMg79Lvdgt
MDsRuLqKybdoMNZFozkw1XHD7B/Mst8YcroaATvLRbILOMLiWQqhkBWiAFvEu0GbeQK1Q0kA6yB2
foibifRKsRs2/X2tBkhaQFakIMpMyYkxjr72Iq8823Lt1boeEI7AI/TVQLFp735H57rLItz18sSf
D7X8RNPbxKEUV66eIk+wfO0YyjxYnZc3CEpKZ1BQFUbEoF71Sx4KQnujy3iwTEYfE++CUJD3VS3+
rHrKOErVf2tkDY9OLfgh1WAQSjyGyrGkW0du6dsIcpi6E03LlTwSOMl7LRfuWxQHbjI8xnX2PjXK
U86pJ/W6WynZQQx8n19lsl3Q5mo0s1tVjA1pM7u6mtFBrvz7NNYxRp1lTOrKpEkFb1gdyq+c1gcM
yTYIin5WirLN8vowtTCO/MnJxOKgV+J9VnqORpIKY87azfPRpa6wVVVId7QPAubflmE9u82XOFQo
vj2Eow61MTmmU2U6eEOiGsotJ5sgeKpElLeRNdtp1AGl4tR3wyEKbpSi/pEUxu908lPX9zzVliXy
eWHJNb0xn03gEQCCNc9R8imAuDuIwECtcAszzuBmNWLKlSb0VwIcsusMD80kQxJVxQVwYaF7qCyw
mmHuSw9pauVwLyNtN1l8SnyPyFFSpgSNCQS673Fq67X+UR/DA1lc3NKxgSdeS/qDaU6zYUnX4F7k
pzjCw9L5ejJCmvm0j5gQ3Q1s//DWk5GwydayZgPJlPE4OF14wJgd+dOPaEoLlDgyvqWZ5U4iIowI
qouMmcpKhh5cTriLW0W81QKDTihBea7w5lnBQ4ZwmUb3EthgLicaAD391lMhDMP7JQXsTevBC9w8
EPFiSc0nfM2iHaYfb1M2fgT9JPMnRm0FGAFctNI9akZwN4oN7tsqFwDKg+b4u9C6h0wL9oo8HMXO
shwmvYeuBjApkq9TIaQPpu7t+6Q4YPdS4Gncb+NgMJy89nfgTE9eNnNf24RxSrqxqmaaYUYvhqn8
MjNcO6PgPhjGPcIgGkFk6YPGVGBLPW7aFUZdmr5WzXwjFTq2yd1j34Td3sghvWcZMPQOkAU9X7w9
AV46KLEeV6kmltAt6QmBq0RzbTWY27KTNtiNi7PK5xgawq7JtF1T+zX/QhtX2hDdx0KwjsRRJsiF
OOIZwy6GbNiL1CTwXz9EIWpb4E12VfU7SdQftCbc4Xy80TEHVXXaXxUlfMmn+NgDUa9SEMMYiEVb
36ybFQfHm5cUe0MefhVx9JYFHR1s2WHAD6yrZFylzIe6V15zALigaZVT34bbKEjdNCxP/jCvx+ZO
StMT5qoIp6QQRSfY7bpJt4pXHCJqTsncWZMKu2wK9/loJTbI4xZOlvKgVgbrVhRt7njvFixWhAcT
gKEQWLMgvVZi4FTA2FZR4d83nbxDOwV1sjplTXXX+vVbLqqHRv8WFlyjGMhSq8eRs2Glt+o+blLE
XNO3BnAY7c6D+B2uMkxfQ1phMr+zBuXge8lNknrequ/qXVJX+OZA1c2TAgEg/lad1dQOSjHAZFYL
EVSGfSqa6Q2IIjKlgoTLbZu3FN+U0xChLNTkaD9qZrTWtPaprEkjkorC7eeu92Ekhzkhf5BO286M
NpjMo4BU9bvSMrnDiwriLA1ZWAb2KgJQDRFulWcyKi8BY9o2swtJCFfQ2OD9xs0xz4Cu50BC+gFS
75CbOB0O5hHsZ9u5aozzFqgv9F/YEeXyBx1GhzpAAtEX8NGavH1tZkqrXz72U7AuBOm+1saDV/SY
4+r7TOruu7rCuC44pH21ixvrLg6a42wkqcn9nTd022yITpQhX5RMe47r5CXLWx+tn/4iduohNtL1
kMmBI8eU1P36e5bUL4pHOSbXcYeABeXmQ4hrRFy9QNmiOJ2acHHpl+3SSIcegfN8xZzo4aPb2ET8
Ktox4JrsQZ+pgmBjxMnPRCzec1E7RAGFlygI1nqifvdz1JdDGH7Li+KY+8ptaMVOKIgbT2l/iIVY
45RHLTyqtZcI9zNbLrkqVmp7wl8mvqkrfM8QmeH17Cn8OICbqRx/y1r5TgtxfevEtNzCr/VuggKC
sOZD4em126qr3urSrNyJAxPDOe2Ed+2uVFqayxWfcK94gtvQOpnCPjW1yh60Voi1U/Gjwj+95OC0
DRHHP9yJOM/NcBObob+VPR9rnSYaMVlLKpAKBYFqa4VOFeWJK8noZ4dOvUl7LbP9ia4bwfJ81yvq
+6BuMme2V8JmZzyxcLZV2h4DRVXI8pnq3pCIZWQN1/KapbCmUUpYSVnlVHG/xW0JajgaOycwm9gl
UH/vTe2lT2h1tSQyCWigtj4sXTyIoheEki+Yrz3F+dThABlLdqi2P7xeIwjLfUwsPOPJw5g7B49s
xn2zVksLwXIgoEMub4zJ+Blg91tlQbmegYuJ3/yIylG4ixXIw3rsaAr+CaR6pt446bHX2M3Q3zUp
4CjJ6H+OKKRkmMtgXTJHLwPigei7FisnSrbfE0n7xUENtaDlTUU0xNrSqGxLrvWRgChbCe7aPrgR
BgNkcRe/ZYZo0vKSvbWSfyc3nrUKkVW2HvOywa3I1pQS26Ii793e849Cn5MP0fsjgJefdELQAmYy
Gzy5PILGlfYeFtfIt2nOEnMRPLD6PSj5/3dZ8VTgUriKW5w682FsV3VWncpR650gFzCnl4rGTmdG
pNrEwU1RFKCK2JBkMIGYQpN7GPTWCfy52qWLN13YGKt4SHO2IWB+ZpHp+whLd08QfzZm9hSOAr5f
JCqdSM4saJK8Dt87dSGR38hrnK0lgflqZYtlOCDAMB5DR8aVdN9AsaKMNU7+kQTg09BkMr/QLO8z
PUWXCtTalZri1oOgFTXijRXklCEj+MwDlHL5semzdpMETsjxJVfdSksOBaw/AF3ZtwTa/dSMgyMp
mbJt5O6HqqWdHSXxQxuaHyHM9hXSezI7phFThppea8mkNzGob5Q0XmtDc9P2OLx4FihKqYSdIBi7
sOv3rTLc4DWTzShff4PNpInTqAfMS7s3U8EGsSzYVL5Idwi906kgmLKMAw2HpBUtO+MulsocQqNW
r3w8qVaSUD7qACeAHfLiJVHYgs1itgaJ5hpKgUa+V9oVPl2nKhCetUh88i0Jt0MjoTIhO4rARrQS
5elGh8spFvlsJrsLw+RXYurbLtUdTWxmR8Sekhv0yMIr7iq1vMek9MbUEDKaHstRDt5IQr3UWrRJ
cTy2x7pwCWLvs6p56LDaqAAmu5GVd3Cz+2ADgrN8JtKnMidAo1ZH6Y/YGXa2IetrkbCcDZA/E8QE
oxY+3us0wYwDSIN/1+f8hwGnJ5ia9a2fZt911Ot2MpX9qelRW7dW/BHh3ZLBwo/xeFmNAo0+beS7
seHZWNpocPzyddP5L3SW3apd8VGZ9drTup3pj+C6a+/Id3LlCCOQsto1He7rR7N3a6W9HXrjYIjj
NvBNBOfaT1DONum/x8Ki8JtZ+K63KjFUFGIOpo3pwcfmfQrrY94I71UfcrdQ6F3V6uehAAsN9v8h
rek7SBHip8WvLhUOkuTv8cz0bb2vDmVlUiTwFFgFUfJNEqJ9OBhv1iQOjinAF+k6rgZpfl8CS12F
CixTCaq3rXvxY9eZmK7GXFOKbWf5NwKumHol3Zl9dWoGaEdKSXMEmUNvMvcxkuVJCI91QbekSGRH
0WCV6touh0CO5Ua4U3mtQEua97ZS93Rc34pT9jAUvC/TwhLXymOF/gDpMJYGnguFeKMl0wZvsU3q
pUwD5RTDUIXphtmyT3IUiq5p6+bI1U/3b9OxteO43mRQSO00DlC46xkxUb5ppOpW1M1bPRd2AcDY
1I8emtp8KjsEBXEBS68s7oyqf5Qi/9Ba3osFuhWKDN8gbXvcN0Uk7fBtP4Y2+gmc7y6uq3cBnCpW
LFa+87PqY4rTHxhmf5tMvXebQH/A2eJ1tCKY1lP9ZnbSo8aybAb9h6Tm7zju3RuhFt2yrwxOPdR3
WR1TnA6nYFtEfP+xDp/9mJSl1RgivJwMix/tDZXT6LZc0oDQ+nuha8n4Afez/cIzHHKu9SrTpOQw
eL21yopa2BUhfkPFGL3VGqtO9DsPN5LiFuT/U+ynb/R0fNQG8o1ZYS+EOCdLeFmNElGJWjxJ7L+Q
Uumy4D29pfXctaEQ7QUqZSb6b99z3HFdylvyqq61x0wCY+YRIm3bXtfWlc6zZ6mVgjzVaQjQWFRj
OH3UAsGhboScSHi1eWKAI24Xrycj/Gbo+rGLKcD0eeLwKb7rYvdbFvKHvhp+k7CbiDfS/SDHhg3x
/xpK4sJdUKe3ThVhWtPjv1QMjU0zyk2NQ0bXp9siO1IFcCNoc1/fOZXPucc/V85PwyyqumE7dpnW
65KL5QUdYIlCL3XttysxG+WdECXFpgOOviN1/6wKnYDWm/QHrXGJuKcjBkEGEQcWC9BtstwzVvIQ
kdsz4h9aXqE7x3kCT7Cm36uyp62B50auUGOnO3qBvMrNlpuoQN+Cj5gRC5sB44NklFZMyZemqwif
StPWWja6qaXGRiHiTijgVPq9l1xpAL5UbEP+OlOu6adEfvE5XdnVYjSS7yGhpgwr1dqr/o+vX/Ql
2SJXd3NWEJG108T5e5+l7BoDcxlYUX94dG57Ct1uazwNoHFSwMWr5Mp3vTrcnN4+G24qR12I/Yyc
3fssiTaQ78TIolaDSwLjOorn0vs7f7pF+r9Ey+KNSoNS75mG/MlRttVPFdTQ3Fls7a5mJD+XnP+Z
taZOFlsmjW2qf7LPZ0+XAsctcARSXN8Y9wCn3iR6c/JsABhc+t/0EEv4sKDHT8ggi8p6UWwEKzFx
tjSSW6/AiqEf4OeKIZZfpPb3flI9l5pW2D3lPDuuO9OFjPeWwWmgCIhB51h3Hz0a7JU8pscKlxJO
8smp8vZkqWPi9GnEJzQ9wakDLoMsoievrTv2QHB3KYL3PJb1K1/47/0BIo5G8x7zSca/djGfArUS
rVYWLDhwN3WX2kb62Cj/h7sz220bW7PwqwTnnm7OA9CngJaoyYPs2I6T+IZQbBXneebbnAc4F/0M
ebH+6CFlyUlcp1QXQaOAAhxJm+TmHv69/vWvpb0B4++RwsaO3r3K3jBqA0Hz3ZyrJI45G5gYgo9G
piAUdtTGl2oivh8wqArZ6oSMkm5s7oa8PHGMxu70dtFI6czyA/yqEyiIWI9wWFCt8M7swuO8Rx9c
108yEUfCtJzCCGL3wI46XetajEHJMDUwmoFz8kZObDex8/xIqLJpiq7LuBTtzgzPHTA3NzyHBGoI
ZgMnUsrtqkKXHemon0/6B/T4D6LAeC1r5FBR+GPK7P7yXvfVjhVnbtmTrJ3D2tdWhd1xMJ9lc/yK
+zMwhVEHs73o5ygUz80v2Vr0J8UJaWoYdu61NG1X+kd3Lq9/flvjYvazu9qbrEUbS2GQDgI1Lu6y
PPMX2kK2GdOzn1/mAa782XX2knUdVqyFb4kCpHsEOXBEyCk2Vh/0mFEVPlfeeLF7uiCve3tvEa9L
uTcKmeeqwpTjrr5KxpJMwF2nJyyVs2WZ52dRMUzQkJ8m6FcMyfEgBQtPHRbFkEFYf2us7S3Dr25p
P72g5V5dgaTSBcfyMfJYJIb6e9TvZvLSXAvzn3f4nk7Y66vtbeai6qW+Ol5NPCZ7AtMNRrrtzd0t
e6rNFAsm180pAPsMX6OJOYEddNxeP6oltdN6Am1nTXz2ZvnbWwPhYZV5sVxLblmlVTT2AgNB3fRn
Iz8T25dpsDS23uwtcuZe1vt1Pyi7U9yqCgd3wocB7i/jY89uJuFKnX+rK/mvHcGt8sET5A6ItfCh
fOz9+dt5tk2uqmK7rc422X+PP/321d92/+SXTy3bm2qz88cMl/eqf19vi/5yW+Im8OxDMn7zz374
bvvQynWfbf/5j8197KP2WVaFf1ft2KroEurCqkUS88eOLOfFFlpisvnBD59NcrUjic1n1BekPNOw
XpjkGsaRTibDgJ31zavl2SVXPMKjxRwtWQwNqTITZ3re0B+mLBpG9uiZPzjbcq7/j5znH9U8/1iF
WOZR0xbl0Y5FsnDr2pdBrDh/yjgilbZSxbL5WXYh61mIBXGSmce+5bQrwEEEcWMpFe69lCMg/hFp
LdnwGt07S6qzW1EQhWZChR618nhbaNuqHvINiKuK+k+nOeu06HwK8WOa4RyVfRLqvvrQK1JwG4WO
cmkOWnbVDWV740pBHE6CfkBqH+oT8HWodcsh8rqCX1rxhVhE7Wno4ow9cPzyJyUeiTg0cOKKvL5a
FoPSr8gixnOsAkES49adGxAVPnm+iLativHmEs4wgqBeLVGFXHbduhSGEpTKUZWrxG+j67gThhzE
SBcB5yorKCYB7Ni7xsD7b1rIUmnZpLn0U7A60gOV4kxBXLCKcmtFb0atxS7G2cOJED/znbab6FWZ
ubbuCOp5N4DM0iURUVATiQJeWXUvnDk+hovTzsDbbJKWmYKma1zRzwOi57cYimccEgDR3mcOnJ60
ctST2sNYq9Ua/cTNkUmY6Zov3yZB0p1XpEsWLXL0lE+VOQq/jRDiQ6pptlx25LC0TF0HstmaszyR
JPYcbOOgY8lGxXO6joxhLmFbL9TWWV5H+W3oWQ5HXfTdbp0GBtBUdoX8Qw24jBmt3tcLr1MU2lIA
iOUWx9YsGJy5pFduMS8EndesosQLjOMiKerrbniGwWEq8Goa56OgluKNIaWookqesHJTlR5B2wzk
K8zOBlGV7qFo9FOJNNFWSjAxyb3xBMQGlS78wm/O3LZjc2rz8SCsZStLNJsLM42htrk5hWN1297K
ae18kpMuXVuRk941ldhISy22HNEutNo40xsLhmmE1/17Z/DBRS1Bam1kYuVzSXSKpVaAuEwiRxY/
UO/dbgoSi5BVHaR7plXiUiEf5NqDhEFhflFLt+PAIrmffH3QrYmI8MAoZKueU4hP9rf0zfwG3850
mpImWqtaFH42nW74ZNYpIJUSS+5MTPVhORh5+l4WsnTeKEJ06cuMsUmF3qttkrWYVxmi863CjVGX
Q9Koz1DzTGsv/xyh5H6ViElgBzqEca1EmKMJHevWEVXzJCxraSYCu36GKRwtdQcSYi8M9Z0TV+ll
opTytao6xlWILu2mEiPjmIlT2R3k/FkcNdJZGKvY1YZ6SomBn1bm0rQwG4p7y7gtXIuNKxziT3Kq
OIsaOyJQYdyr6T3Xcz7mRtHcl7lTzqRWkY/DWAwxZQut80GX65NMcqobTFDRPPcdJ2Pm49U5aK6E
5WhqZM2s7UvtEmgZPYS+rW9Kx9XmlpCDaQDEegiOxAlEa/D+q0ouy3XseKU2icRCO6uTttInKLs0
izDq2kUo+fotDETIFVqgGCRbK8SEXasmdm9wqD3xApl0ZCXpi0Y1ASGlwslPY1wtbdiGt6XrcShP
giE7NxW9PiX5EB6jRy/bpWjks6iti6UZ4SUSdJl84uH8SCbWxxtF691ZbwbhVa045bGgJs6sNjwU
bUiRMeVFTDnR7blO3V65r4oIuyTHVFca8N7cqR2SOEXZrnwvFBckjNuNHub4iWIcPndBfm3mnLBA
BjKcCUpSvA8rxzsrgso5hrQpXvWeap0yyZrrkKogu3LdFPFhvpynprcWgwABKohPmEnhe5GEvXaO
r1w8zYugRnzYLY/TSg4BfFscMkPPm3ZKV2OdY3onfaqLV3A+m+uu7h077RtxaslFcVWZUnFpEWSu
DKnHhllqLcqA43pu5CVCAmbUXVu10a9ICuEG1eaurZWVvkIPo1mYProWgdf450PYAphqgTXDo6Vf
FIJYrWD8kHnscFhjre8/D05qYpcav2cZw6Ez/Oj5mjJxU8uf6kHTA09r/TQwhhsWSypKs6Ze4uPT
z4uqT09ICg83Ee8ZbEwl52cV0DuEQT6HdtvexBgNzKTOlyeJnriLOO31Ux0O5EIL2DJ13C+mrhdV
J/BvNrkv9bYyeJkdBK112qpdDZ3cjU5SkDhbB1ObqX4HTeIh8vj/HmRBvpfHA9+Pg6yrTVJt3s2i
7as46/m3z8Z3InGWZXKWVEbbO4Oz/pPvnSkdccCURXgjImViqsgFn8MsjO/00RLP4pgrUkc5ito9
B1nykcZvCMFojF+BpfwnznccnXeOlLBVVFkyLYmqeCitVKztHSldzJYrRW0tO3by/NTximCKEs1C
KOQ52AVlIXn8qS+sk1gx44mA8fTU0WE4yXoAEh8oFLiXhXKW8aQg/qCcaQ5pT8iiHtkmbOeUwP89
sIbjWu2cqVkMFEwrMHewr6/nRSDEi7o00g+oXDqTIQ4Yy6oC+N60eMFL2rXbB1tGsnzeKDmHPhMC
soNrcpmAKYYWrIAY90gfF3pLF5YBaymMdkyMhTgTppLpJfAFgrUiJdjhDNYHL5BOjAZNsFbG49Qv
ySgSC9gQ2+9aUb/0h1GfJ7E+tD7ZOkPjDhWJjGPV+ddWoM3hFZy0rbhUzdyZ4Ldq5565IG67FFTp
S+5a93Xtn8tJxq5RBgXWPla9RP+nn+BSnM3hA4aTdKTs+zq+bnrm1LNCpjSs85JZ1ehIPhlZPJN0
PO9dQV7piQ52Y8q/+2Fxr3TJmDgi2mpK3zv1ZUGcq2KO4GpgeDOhMmVkgwoVtoM7Mmqh35fqTHPx
GPd0UPKsE8/CNJ6baXVdN/05/qg0J+fgQVJ6k8SNbqtBegrXO7I1nC/mYplHizoU16Ikf1ZND2t3
sHpRTat1oTp3cLRyO6drBfAk1Hl4d7mO6JkZuHO1zNkDvHUV5Oddo4RztWk/gtDfpDAGpoFFOK54
tTIdFOfSi5TLTFU+cvJNZ1ohXeuhdInjyfsyS8t54mnxVMrkBTD77/g0XCZU+065M3lK/aY/cxHB
omAPfQqxkz5UgjHc9rjWL5HcgrOuo5V1W0H7nQe4D83hqx87guYgHAZDoPZL+OJ9ak0tyxOXEnEk
tvDA9ACQk0SpnYUnq+5Z3pYYo+vZrS8WK9Hwl74BuxBNH1vP6iszxW1OxGMug0rVpvGykqjxFPGC
qz3EILt2wDlY+YDA3+Uo+FcGxAudn3+ESyhCsNdvE785D3DLcTr1k5Ipp6VlzHUvj6dp1sS4wxfH
aouruOCeIOe/7F19GaTBEmBm2g8k8QvzfRFAh5FhzvQ5/r9qKn8RW/ci7bXPUqCcxxDlpyYm9jjr
BJfwQBa6JC39xDrFdW4NefFE75PfU71ZR0bzqcTTxja9+tiS0/u6LWY9h5yqztG70UbvbRg7jdds
i5wkXxJj9dRV9XFXhuus78Prvk2VG7e3OgohjIb+JsJHydudh0X3ifrQoqCixIR+N4obLN2K8CzQ
yuhY6BuZ+Zhq067XTpS+n/tDApW0onzST6UrUrfCNOuSu7QfPQVI2WKWQmUePhRz061Jd0nYWlBn
ubYaPVjnMd7tE1PFmTjo2p6qAkbccWlBBM+LZaeGv5tBMVctQZ4Ljn8apWl84ZsWtS+BEU9rx3fs
SNPR2+6MC4QS65nhydG5zDrDoZIt3pRveS+2hRw5p7CFUbOQiOZFYkUCWenui2VAcgud+LNaVhd+
ruIJXFn9ysjNdUUGrei3AT/3cF4mpslO28ZYD5qIaYO70smD21Ug1FAlkbITpBMvdNZWy+yqeuMq
FwIczNERwaTZ9BN4oVKgwVB1KJYR4aIJOoWYk7LKCOn64bIMPMo+sBSGjNDYqVNk0yIrYU5E5KJ9
0epve6OstKnn96dG4NUfkzBberhWrCKNaeXEjjbaXVPkZoXnQtPM3TTGvdCMuzk6JNC5MpLnkqzb
lqMGn9HAQQsv7/yqegMZ26ejj/sTG5SB2xH2eohW7qHlTmWaMdWmll3Zjf0gfjodVU7Ua2iGtrCa
oldsv9jKLx4BhpfmqdJeSmS8pCUaChKdBp61r0RVuqrwEsvkkqPtkDj1l/k0ncqrdg4Z4OStgtPX
ukVULmE+CwXdwLMVkaldyMuJDUd0OJDZ4nF0wTKxiBdQKxbdcb6K58GZf/X0fL9EVPYCJXuFfT3C
b+42HZGxB+fa6/SvfeklxPa6oR0w7S6tOa0Czbl+mrzExPT9AO+hoQcc72cNcLT0q/oemE6Qjnhd
pJItw2KkMAQJraI0cZ8/N6wj8hQ6aNhj4Ec4+aJ7Xt/3a/jwr31n5/Z/CCYywjUkbl5MjW+v5XUn
7LXyohOUI2w+SXYjkIHcB+bJtLjXCSinaQjqSJKF3eFohfjLdQSYJbmknXD/B6Phxx3Bc7187jE5
9Ws9pwQVwbAU1s8DH/RIwx2J1C3+aCDALJ4vn9swj0jMqfrDUedX7AD50CEvHimcvziYoQcDuUNV
xmTOXhco1LBjKUahwS/ZE8x9LFnYaA4bCdKRJev8BxPTgBrB/191BDpaYwIVOsy4CpJG/LWGxMM2
P9pmHNYRypGmYCM7mlONVmujs9vOgLCOTEYJ9BS0qAwyyo89/wttBo9rwyiVclhHiEfAGWgygVyw
ExCwjjDKy64wySBRb0cxBZpcMtDD4yV/oa7A+JF0E1P60J4QSY6ZYDiYSMJKYrPlUV92BSslIm9s
weA/hA+/4KigKwCaHiftY171L4UI0pFMemjsiRHPItp9vWVQPfWcbRwhsj+7SPyJYfMt6OQkE90/
hJv+tnyRrn3zC8/B5usGngKt1f0//0E0ufO9MZP72PL2W2b3t53g4SEWfPHhc2z4cJmnnz893+sr
71zr+aGe/3Hpb4tNcef1Dx/0T3e53sQErdd1gkjdxqs3L2Phby/6j/t5lYb+Nh1+1vyFf+f5yZ23
3/rjjDq09UW9wRFt98bxDR9jt0Obxu2YTovuXzePc+bf0Hz07rxIn9sZB8y3nefQO2dwxF/SYjPs
N/+4wx/a/P8MdPrejT+eGw5teTqOUf9l00+7EFvGoW2v4i+bL4zz55bGHn9qnRjl0Nav6rs6/vL1
3+nOWHxqn+Xy0PbPoG/Q/HNDL26eLeTQxtebbGekPN72SG86tGXy+2m26b7zSsdQ89DWLzZltRm+
80ZHTtKhjZ+m5bvL77/QMbo/tHlKH7/+u9kUzy398UYV9sJDW59uvv7vd9tmJz207TM0RpLNuzHf
5W/c7w2cv2G2nqbB997r3zBTbzcxS+M71kg2JT/bPnfIixfwN8zXxSb6+q+M7vnOejAq+x/6Et6i
dH2LMP7apv0imfnuokgb+mq3ozi2PGVED32S8VLpOzuF4Oam7+63BMTlu+vy6794O9Hu3is9XfXN
UfC9IOkb0sab/27U9+YXCN7Ghu+i7ab47f8AAAD//w==</cx:binary>
              </cx:geoCache>
            </cx:geography>
          </cx:layoutPr>
        </cx:series>
      </cx:plotAreaRegion>
    </cx:plotArea>
    <cx:legend pos="r" align="min" overlay="0"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s-AR">
            <a:solidFill>
              <a:schemeClr val="bg1"/>
            </a:solidFill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0</xdr:row>
      <xdr:rowOff>0</xdr:rowOff>
    </xdr:from>
    <xdr:to>
      <xdr:col>8</xdr:col>
      <xdr:colOff>266700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4CC800-268D-4DC5-AEFB-5EC9E5C34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257175</xdr:colOff>
      <xdr:row>15</xdr:row>
      <xdr:rowOff>9525</xdr:rowOff>
    </xdr:from>
    <xdr:to>
      <xdr:col>8</xdr:col>
      <xdr:colOff>257175</xdr:colOff>
      <xdr:row>29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DC955C4-4A97-472B-ABFF-512EEC98C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257175</xdr:colOff>
      <xdr:row>31</xdr:row>
      <xdr:rowOff>47625</xdr:rowOff>
    </xdr:from>
    <xdr:to>
      <xdr:col>8</xdr:col>
      <xdr:colOff>257175</xdr:colOff>
      <xdr:row>45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57E9003-9C61-479E-94CB-3816BDF483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276225</xdr:colOff>
      <xdr:row>47</xdr:row>
      <xdr:rowOff>0</xdr:rowOff>
    </xdr:from>
    <xdr:to>
      <xdr:col>7</xdr:col>
      <xdr:colOff>476250</xdr:colOff>
      <xdr:row>59</xdr:row>
      <xdr:rowOff>142876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6B0E7E8-A5F5-410C-8000-18A24A3BF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371475</xdr:colOff>
      <xdr:row>63</xdr:row>
      <xdr:rowOff>161925</xdr:rowOff>
    </xdr:from>
    <xdr:to>
      <xdr:col>11</xdr:col>
      <xdr:colOff>371475</xdr:colOff>
      <xdr:row>78</xdr:row>
      <xdr:rowOff>47625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9BD4E792-274C-4D00-9D4B-666D31FF09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81575" y="121634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9</xdr:col>
      <xdr:colOff>742950</xdr:colOff>
      <xdr:row>15</xdr:row>
      <xdr:rowOff>9526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5956C4-540A-4BF3-A069-F6118D467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600075</xdr:colOff>
      <xdr:row>15</xdr:row>
      <xdr:rowOff>76200</xdr:rowOff>
    </xdr:from>
    <xdr:to>
      <xdr:col>9</xdr:col>
      <xdr:colOff>733425</xdr:colOff>
      <xdr:row>25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36E7A6F-F0BC-4F83-8F15-C9972D0C4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15</xdr:row>
      <xdr:rowOff>76201</xdr:rowOff>
    </xdr:from>
    <xdr:to>
      <xdr:col>4</xdr:col>
      <xdr:colOff>632460</xdr:colOff>
      <xdr:row>25</xdr:row>
      <xdr:rowOff>190498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A2D37D3-4249-4422-ADE4-E48B6D132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66676</xdr:rowOff>
    </xdr:from>
    <xdr:to>
      <xdr:col>4</xdr:col>
      <xdr:colOff>552449</xdr:colOff>
      <xdr:row>38</xdr:row>
      <xdr:rowOff>161926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7AF094B-A65A-4DFB-860C-BA5F4C456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660298</xdr:colOff>
      <xdr:row>26</xdr:row>
      <xdr:rowOff>158852</xdr:rowOff>
    </xdr:from>
    <xdr:to>
      <xdr:col>9</xdr:col>
      <xdr:colOff>660298</xdr:colOff>
      <xdr:row>41</xdr:row>
      <xdr:rowOff>50697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7580751C-8AB0-4560-9ACC-FE1D0535EB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6298" y="5111852"/>
              <a:ext cx="4572000" cy="274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737110</xdr:colOff>
      <xdr:row>0</xdr:row>
      <xdr:rowOff>15978</xdr:rowOff>
    </xdr:from>
    <xdr:to>
      <xdr:col>15</xdr:col>
      <xdr:colOff>752782</xdr:colOff>
      <xdr:row>7</xdr:row>
      <xdr:rowOff>97094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CF4D34F7-A47C-4DF3-BE07-0D866167C7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00903" y="15978"/>
              <a:ext cx="3847569" cy="13839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752167</xdr:colOff>
      <xdr:row>7</xdr:row>
      <xdr:rowOff>148939</xdr:rowOff>
    </xdr:from>
    <xdr:to>
      <xdr:col>13</xdr:col>
      <xdr:colOff>307257</xdr:colOff>
      <xdr:row>25</xdr:row>
      <xdr:rowOff>120432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rovincia">
              <a:extLst>
                <a:ext uri="{FF2B5EF4-FFF2-40B4-BE49-F238E27FC236}">
                  <a16:creationId xmlns:a16="http://schemas.microsoft.com/office/drawing/2014/main" id="{E43505ED-005A-4ED3-9646-8F57777A02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960" y="1451784"/>
              <a:ext cx="1854228" cy="33216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733535</xdr:colOff>
      <xdr:row>25</xdr:row>
      <xdr:rowOff>175070</xdr:rowOff>
    </xdr:from>
    <xdr:to>
      <xdr:col>13</xdr:col>
      <xdr:colOff>298429</xdr:colOff>
      <xdr:row>39</xdr:row>
      <xdr:rowOff>98535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Vendedor">
              <a:extLst>
                <a:ext uri="{FF2B5EF4-FFF2-40B4-BE49-F238E27FC236}">
                  <a16:creationId xmlns:a16="http://schemas.microsoft.com/office/drawing/2014/main" id="{3182B9FA-CD55-4AC6-BB13-5C3147087B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7328" y="4828087"/>
              <a:ext cx="1864032" cy="25291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353347</xdr:colOff>
      <xdr:row>7</xdr:row>
      <xdr:rowOff>148941</xdr:rowOff>
    </xdr:from>
    <xdr:to>
      <xdr:col>15</xdr:col>
      <xdr:colOff>752783</xdr:colOff>
      <xdr:row>25</xdr:row>
      <xdr:rowOff>120433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Categoría">
              <a:extLst>
                <a:ext uri="{FF2B5EF4-FFF2-40B4-BE49-F238E27FC236}">
                  <a16:creationId xmlns:a16="http://schemas.microsoft.com/office/drawing/2014/main" id="{312F73EE-734C-4ABB-B82E-54CAACE4F5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6278" y="1451786"/>
              <a:ext cx="1932195" cy="3321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357351</xdr:colOff>
      <xdr:row>25</xdr:row>
      <xdr:rowOff>166305</xdr:rowOff>
    </xdr:from>
    <xdr:to>
      <xdr:col>15</xdr:col>
      <xdr:colOff>733533</xdr:colOff>
      <xdr:row>39</xdr:row>
      <xdr:rowOff>84740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Fecha 1">
              <a:extLst>
                <a:ext uri="{FF2B5EF4-FFF2-40B4-BE49-F238E27FC236}">
                  <a16:creationId xmlns:a16="http://schemas.microsoft.com/office/drawing/2014/main" id="{A19EDF23-34E4-408A-B1D0-C787CB5142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20282" y="4819322"/>
              <a:ext cx="190894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ashBoard202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Uñate" refreshedDate="44660.640415972222" createdVersion="6" refreshedVersion="6" minRefreshableVersion="3" recordCount="369" xr:uid="{CAA0E528-CB1F-49B0-A69E-FEFD7BAF3E93}">
  <cacheSource type="worksheet">
    <worksheetSource ref="A1:M369" sheet="BaseDeDatos" r:id="rId2"/>
  </cacheSource>
  <cacheFields count="15">
    <cacheField name="Documento" numFmtId="0">
      <sharedItems containsSemiMixedTypes="0" containsString="0" containsNumber="1" containsInteger="1" minValue="1" maxValue="369"/>
    </cacheField>
    <cacheField name="Fecha" numFmtId="165">
      <sharedItems containsSemiMixedTypes="0" containsNonDate="0" containsDate="1" containsString="0" minDate="2020-01-01T00:00:00" maxDate="2021-01-01T00:00:00" count="229">
        <d v="2020-04-09T00:00:00"/>
        <d v="2020-08-25T00:00:00"/>
        <d v="2020-03-18T00:00:00"/>
        <d v="2020-05-23T00:00:00"/>
        <d v="2020-04-23T00:00:00"/>
        <d v="2020-12-19T00:00:00"/>
        <d v="2020-10-29T00:00:00"/>
        <d v="2020-02-02T00:00:00"/>
        <d v="2020-11-23T00:00:00"/>
        <d v="2020-06-17T00:00:00"/>
        <d v="2020-08-02T00:00:00"/>
        <d v="2020-01-13T00:00:00"/>
        <d v="2020-01-31T00:00:00"/>
        <d v="2020-07-25T00:00:00"/>
        <d v="2020-06-27T00:00:00"/>
        <d v="2020-08-22T00:00:00"/>
        <d v="2020-04-16T00:00:00"/>
        <d v="2020-12-07T00:00:00"/>
        <d v="2020-02-14T00:00:00"/>
        <d v="2020-11-03T00:00:00"/>
        <d v="2020-03-28T00:00:00"/>
        <d v="2020-07-27T00:00:00"/>
        <d v="2020-06-11T00:00:00"/>
        <d v="2020-02-24T00:00:00"/>
        <d v="2020-08-12T00:00:00"/>
        <d v="2020-05-14T00:00:00"/>
        <d v="2020-11-11T00:00:00"/>
        <d v="2020-11-09T00:00:00"/>
        <d v="2020-01-15T00:00:00"/>
        <d v="2020-05-16T00:00:00"/>
        <d v="2020-02-01T00:00:00"/>
        <d v="2020-12-02T00:00:00"/>
        <d v="2020-02-09T00:00:00"/>
        <d v="2020-12-27T00:00:00"/>
        <d v="2020-05-31T00:00:00"/>
        <d v="2020-05-01T00:00:00"/>
        <d v="2020-09-16T00:00:00"/>
        <d v="2020-06-01T00:00:00"/>
        <d v="2020-08-27T00:00:00"/>
        <d v="2020-06-16T00:00:00"/>
        <d v="2020-10-25T00:00:00"/>
        <d v="2020-11-30T00:00:00"/>
        <d v="2020-03-30T00:00:00"/>
        <d v="2020-02-19T00:00:00"/>
        <d v="2020-04-01T00:00:00"/>
        <d v="2020-06-10T00:00:00"/>
        <d v="2020-10-03T00:00:00"/>
        <d v="2020-10-19T00:00:00"/>
        <d v="2020-09-14T00:00:00"/>
        <d v="2020-12-13T00:00:00"/>
        <d v="2020-05-13T00:00:00"/>
        <d v="2020-02-21T00:00:00"/>
        <d v="2020-11-19T00:00:00"/>
        <d v="2020-09-01T00:00:00"/>
        <d v="2020-12-06T00:00:00"/>
        <d v="2020-01-25T00:00:00"/>
        <d v="2020-07-22T00:00:00"/>
        <d v="2020-10-13T00:00:00"/>
        <d v="2020-12-09T00:00:00"/>
        <d v="2020-02-29T00:00:00"/>
        <d v="2020-04-24T00:00:00"/>
        <d v="2020-08-09T00:00:00"/>
        <d v="2020-10-11T00:00:00"/>
        <d v="2020-05-15T00:00:00"/>
        <d v="2020-05-11T00:00:00"/>
        <d v="2020-06-28T00:00:00"/>
        <d v="2020-05-25T00:00:00"/>
        <d v="2020-04-18T00:00:00"/>
        <d v="2020-06-13T00:00:00"/>
        <d v="2020-02-27T00:00:00"/>
        <d v="2020-06-09T00:00:00"/>
        <d v="2020-11-14T00:00:00"/>
        <d v="2020-07-17T00:00:00"/>
        <d v="2020-01-01T00:00:00"/>
        <d v="2020-09-25T00:00:00"/>
        <d v="2020-08-28T00:00:00"/>
        <d v="2020-09-30T00:00:00"/>
        <d v="2020-02-05T00:00:00"/>
        <d v="2020-07-05T00:00:00"/>
        <d v="2020-04-03T00:00:00"/>
        <d v="2020-06-12T00:00:00"/>
        <d v="2020-03-01T00:00:00"/>
        <d v="2020-08-26T00:00:00"/>
        <d v="2020-04-02T00:00:00"/>
        <d v="2020-09-26T00:00:00"/>
        <d v="2020-07-12T00:00:00"/>
        <d v="2020-04-13T00:00:00"/>
        <d v="2020-09-22T00:00:00"/>
        <d v="2020-10-02T00:00:00"/>
        <d v="2020-03-12T00:00:00"/>
        <d v="2020-08-31T00:00:00"/>
        <d v="2020-07-13T00:00:00"/>
        <d v="2020-11-25T00:00:00"/>
        <d v="2020-04-26T00:00:00"/>
        <d v="2020-10-18T00:00:00"/>
        <d v="2020-09-29T00:00:00"/>
        <d v="2020-08-30T00:00:00"/>
        <d v="2020-12-26T00:00:00"/>
        <d v="2020-12-18T00:00:00"/>
        <d v="2020-07-07T00:00:00"/>
        <d v="2020-02-15T00:00:00"/>
        <d v="2020-09-27T00:00:00"/>
        <d v="2020-09-20T00:00:00"/>
        <d v="2020-11-22T00:00:00"/>
        <d v="2020-03-26T00:00:00"/>
        <d v="2020-01-07T00:00:00"/>
        <d v="2020-07-30T00:00:00"/>
        <d v="2020-09-18T00:00:00"/>
        <d v="2020-02-26T00:00:00"/>
        <d v="2020-09-06T00:00:00"/>
        <d v="2020-09-19T00:00:00"/>
        <d v="2020-10-15T00:00:00"/>
        <d v="2020-09-11T00:00:00"/>
        <d v="2020-04-22T00:00:00"/>
        <d v="2020-08-14T00:00:00"/>
        <d v="2020-04-08T00:00:00"/>
        <d v="2020-06-04T00:00:00"/>
        <d v="2020-08-15T00:00:00"/>
        <d v="2020-08-04T00:00:00"/>
        <d v="2020-04-27T00:00:00"/>
        <d v="2020-08-11T00:00:00"/>
        <d v="2020-10-16T00:00:00"/>
        <d v="2020-01-16T00:00:00"/>
        <d v="2020-06-19T00:00:00"/>
        <d v="2020-04-06T00:00:00"/>
        <d v="2020-08-03T00:00:00"/>
        <d v="2020-12-04T00:00:00"/>
        <d v="2020-08-13T00:00:00"/>
        <d v="2020-04-25T00:00:00"/>
        <d v="2020-04-30T00:00:00"/>
        <d v="2020-11-06T00:00:00"/>
        <d v="2020-09-09T00:00:00"/>
        <d v="2020-05-12T00:00:00"/>
        <d v="2020-10-28T00:00:00"/>
        <d v="2020-07-06T00:00:00"/>
        <d v="2020-05-21T00:00:00"/>
        <d v="2020-08-06T00:00:00"/>
        <d v="2020-08-21T00:00:00"/>
        <d v="2020-04-21T00:00:00"/>
        <d v="2020-09-24T00:00:00"/>
        <d v="2020-01-29T00:00:00"/>
        <d v="2020-07-14T00:00:00"/>
        <d v="2020-03-03T00:00:00"/>
        <d v="2020-01-14T00:00:00"/>
        <d v="2020-06-26T00:00:00"/>
        <d v="2020-04-12T00:00:00"/>
        <d v="2020-12-23T00:00:00"/>
        <d v="2020-02-03T00:00:00"/>
        <d v="2020-05-08T00:00:00"/>
        <d v="2020-10-14T00:00:00"/>
        <d v="2020-07-26T00:00:00"/>
        <d v="2020-11-27T00:00:00"/>
        <d v="2020-05-10T00:00:00"/>
        <d v="2020-07-31T00:00:00"/>
        <d v="2020-01-23T00:00:00"/>
        <d v="2020-03-15T00:00:00"/>
        <d v="2020-06-15T00:00:00"/>
        <d v="2020-06-22T00:00:00"/>
        <d v="2020-10-05T00:00:00"/>
        <d v="2020-04-11T00:00:00"/>
        <d v="2020-10-27T00:00:00"/>
        <d v="2020-04-05T00:00:00"/>
        <d v="2020-11-04T00:00:00"/>
        <d v="2020-03-09T00:00:00"/>
        <d v="2020-09-02T00:00:00"/>
        <d v="2020-01-21T00:00:00"/>
        <d v="2020-02-17T00:00:00"/>
        <d v="2020-02-25T00:00:00"/>
        <d v="2020-07-24T00:00:00"/>
        <d v="2020-03-05T00:00:00"/>
        <d v="2020-05-26T00:00:00"/>
        <d v="2020-04-19T00:00:00"/>
        <d v="2020-12-03T00:00:00"/>
        <d v="2020-12-12T00:00:00"/>
        <d v="2020-04-04T00:00:00"/>
        <d v="2020-09-05T00:00:00"/>
        <d v="2020-11-07T00:00:00"/>
        <d v="2020-11-17T00:00:00"/>
        <d v="2020-01-19T00:00:00"/>
        <d v="2020-01-28T00:00:00"/>
        <d v="2020-06-02T00:00:00"/>
        <d v="2020-06-06T00:00:00"/>
        <d v="2020-09-21T00:00:00"/>
        <d v="2020-10-09T00:00:00"/>
        <d v="2020-02-16T00:00:00"/>
        <d v="2020-06-18T00:00:00"/>
        <d v="2020-03-16T00:00:00"/>
        <d v="2020-11-08T00:00:00"/>
        <d v="2020-10-26T00:00:00"/>
        <d v="2020-09-03T00:00:00"/>
        <d v="2020-03-17T00:00:00"/>
        <d v="2020-07-11T00:00:00"/>
        <d v="2020-04-10T00:00:00"/>
        <d v="2020-09-23T00:00:00"/>
        <d v="2020-12-08T00:00:00"/>
        <d v="2020-07-16T00:00:00"/>
        <d v="2020-03-25T00:00:00"/>
        <d v="2020-02-22T00:00:00"/>
        <d v="2020-08-01T00:00:00"/>
        <d v="2020-05-03T00:00:00"/>
        <d v="2020-08-19T00:00:00"/>
        <d v="2020-06-08T00:00:00"/>
        <d v="2020-09-13T00:00:00"/>
        <d v="2020-10-20T00:00:00"/>
        <d v="2020-09-04T00:00:00"/>
        <d v="2020-08-20T00:00:00"/>
        <d v="2020-05-28T00:00:00"/>
        <d v="2020-01-10T00:00:00"/>
        <d v="2020-05-02T00:00:00"/>
        <d v="2020-11-26T00:00:00"/>
        <d v="2020-03-07T00:00:00"/>
        <d v="2020-01-27T00:00:00"/>
        <d v="2020-11-20T00:00:00"/>
        <d v="2020-02-06T00:00:00"/>
        <d v="2020-08-16T00:00:00"/>
        <d v="2020-05-24T00:00:00"/>
        <d v="2020-02-13T00:00:00"/>
        <d v="2020-01-02T00:00:00"/>
        <d v="2020-02-18T00:00:00"/>
        <d v="2020-12-31T00:00:00"/>
        <d v="2020-05-07T00:00:00"/>
        <d v="2020-02-23T00:00:00"/>
        <d v="2020-12-20T00:00:00"/>
        <d v="2020-02-11T00:00:00"/>
        <d v="2020-11-13T00:00:00"/>
        <d v="2020-11-01T00:00:00"/>
        <d v="2020-04-17T00:00:00"/>
        <d v="2020-12-14T00:00:00"/>
        <d v="2020-06-05T00:00:00"/>
      </sharedItems>
      <fieldGroup par="14" base="1">
        <rangePr groupBy="days" startDate="2020-01-01T00:00:00" endDate="2021-01-01T00:00:00"/>
        <groupItems count="368">
          <s v="&lt;1/1/2020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/2021"/>
        </groupItems>
      </fieldGroup>
    </cacheField>
    <cacheField name="Id Cliente" numFmtId="0">
      <sharedItems containsSemiMixedTypes="0" containsString="0" containsNumber="1" containsInteger="1" minValue="142416687" maxValue="9993785470"/>
    </cacheField>
    <cacheField name="Cliente" numFmtId="0">
      <sharedItems/>
    </cacheField>
    <cacheField name="Ciudad" numFmtId="0">
      <sharedItems/>
    </cacheField>
    <cacheField name="Provincia" numFmtId="0">
      <sharedItems count="11">
        <s v="Azuay"/>
        <s v="Canar"/>
        <s v="Chimborazo"/>
        <s v="Guayas"/>
        <s v="El Oro"/>
        <s v="Imbabura"/>
        <s v="Manabi"/>
        <s v="Esmeraldas"/>
        <s v="Guaranda"/>
        <s v="Pichincha"/>
        <s v="Tungurahua"/>
      </sharedItems>
    </cacheField>
    <cacheField name="Vendedor" numFmtId="0">
      <sharedItems count="8">
        <s v="Mayra Aguilar Sepúlveda"/>
        <s v="Andrés González Rico"/>
        <s v="Nancy Gil de la Peña"/>
        <s v="José de Jesús Morales"/>
        <s v="Luis Miguel Valdés Garza"/>
        <s v="Ana del Valle Hinojosa"/>
        <s v="Laura Gutiérrez Saenz"/>
        <s v="Robert Zárate Carrillo"/>
      </sharedItems>
    </cacheField>
    <cacheField name="Empresa" numFmtId="0">
      <sharedItems containsBlank="1"/>
    </cacheField>
    <cacheField name="Forma de pago" numFmtId="0">
      <sharedItems containsBlank="1"/>
    </cacheField>
    <cacheField name="Producto" numFmtId="0">
      <sharedItems containsBlank="1"/>
    </cacheField>
    <cacheField name="Categoría" numFmtId="0">
      <sharedItems count="15">
        <s v="Bebidas"/>
        <s v="Frutas secas"/>
        <s v="Productos horneados"/>
        <s v="Dulces"/>
        <s v="Sopas"/>
        <s v="Salsas"/>
        <s v="Mermeladas y jaleas"/>
        <s v="Condimentos"/>
        <s v="Carne enlatada"/>
        <s v="Pasta"/>
        <s v="Productos lácteos"/>
        <s v="Tarifa de envío"/>
        <s v="Frutas y vegetales"/>
        <s v="Aceite"/>
        <s v="Granos"/>
      </sharedItems>
    </cacheField>
    <cacheField name="Precio" numFmtId="43">
      <sharedItems containsString="0" containsBlank="1" containsNumber="1" minValue="11" maxValue="1134"/>
    </cacheField>
    <cacheField name="Cantidad" numFmtId="43">
      <sharedItems containsString="0" containsBlank="1" containsNumber="1" containsInteger="1" minValue="1" maxValue="100"/>
    </cacheField>
    <cacheField name="Ventas" numFmtId="43">
      <sharedItems containsString="0" containsBlank="1" containsNumber="1" minValue="34" maxValue="111132" count="326">
        <n v="140"/>
        <n v="34"/>
        <n v="798"/>
        <n v="1152"/>
        <n v="816"/>
        <n v="638"/>
        <n v="1722"/>
        <n v="198"/>
        <n v="2117"/>
        <n v="948"/>
        <n v="1036"/>
        <n v="2112"/>
        <n v="2016"/>
        <n v="3956"/>
        <n v="3936"/>
        <n v="4365"/>
        <n v="1690"/>
        <n v="3520"/>
        <n v="720"/>
        <n v="3360"/>
        <n v="1000"/>
        <n v="3750"/>
        <n v="84"/>
        <n v="774"/>
        <n v="1274"/>
        <n v="819"/>
        <n v="264"/>
        <n v="3772"/>
        <n v="2400"/>
        <n v="102"/>
        <n v="792"/>
        <n v="1071"/>
        <m/>
        <n v="6580"/>
        <n v="2401"/>
        <n v="40320"/>
        <n v="3348.7999999999997"/>
        <n v="20608"/>
        <n v="3647.7"/>
        <n v="12673.5"/>
        <n v="2320.5"/>
        <n v="30184"/>
        <n v="7350"/>
        <n v="14196"/>
        <n v="11872"/>
        <n v="51072"/>
        <n v="3139.5"/>
        <n v="15015"/>
        <n v="5359.1999999999989"/>
        <n v="10388"/>
        <n v="47600"/>
        <n v="12493.599999999999"/>
        <n v="6440"/>
        <n v="28993.300000000003"/>
        <n v="13104.699999999999"/>
        <n v="16743.999999999996"/>
        <n v="14112"/>
        <n v="2856"/>
        <n v="87318"/>
        <n v="3626"/>
        <n v="30693.599999999995"/>
        <n v="6720"/>
        <n v="39760"/>
        <n v="7700"/>
        <n v="1029"/>
        <n v="37520"/>
        <n v="19319.999999999996"/>
        <n v="10948"/>
        <n v="2352"/>
        <n v="18648"/>
        <n v="61824"/>
        <n v="1545.6"/>
        <n v="7985.5999999999985"/>
        <n v="6247.5"/>
        <n v="12834.5"/>
        <n v="9520"/>
        <n v="14815.5"/>
        <n v="3683.68"/>
        <n v="37996"/>
        <n v="9450"/>
        <n v="11396"/>
        <n v="9659.9999999999982"/>
        <n v="3479"/>
        <n v="13860"/>
        <n v="2499"/>
        <n v="5809.3"/>
        <n v="35280"/>
        <n v="23184"/>
        <n v="7318.5"/>
        <n v="1465.1"/>
        <n v="19964"/>
        <n v="18200"/>
        <n v="9240"/>
        <n v="5280.7999999999993"/>
        <n v="2156"/>
        <n v="3223.22"/>
        <n v="7308"/>
        <n v="49588"/>
        <n v="3055.7799999999997"/>
        <n v="9997.4"/>
        <n v="6439.9999999999991"/>
        <n v="22386"/>
        <n v="18026.399999999998"/>
        <n v="16464"/>
        <n v="40880"/>
        <n v="6568.7999999999993"/>
        <n v="10760.400000000001"/>
        <n v="11753.699999999999"/>
        <n v="16486.399999999998"/>
        <n v="4116"/>
        <n v="3391.5"/>
        <n v="26082"/>
        <n v="7056"/>
        <n v="10718.399999999998"/>
        <n v="11480"/>
        <n v="54880"/>
        <n v="45724"/>
        <n v="14000"/>
        <n v="24640"/>
        <n v="4894.3999999999996"/>
        <n v="1372"/>
        <n v="2511.6"/>
        <n v="8316"/>
        <n v="14168"/>
        <n v="2134.86"/>
        <n v="8106"/>
        <n v="25244.799999999996"/>
        <n v="7371"/>
        <n v="42873.599999999991"/>
        <n v="12740"/>
        <n v="21280"/>
        <n v="10303.999999999998"/>
        <n v="6860"/>
        <n v="26901.000000000004"/>
        <n v="10046.399999999998"/>
        <n v="15484"/>
        <n v="7854"/>
        <n v="111132"/>
        <n v="5978"/>
        <n v="14615.999999999998"/>
        <n v="15680"/>
        <n v="10360"/>
        <n v="4410"/>
        <n v="15120"/>
        <n v="18289.599999999999"/>
        <n v="47656"/>
        <n v="10267.6"/>
        <n v="17136"/>
        <n v="16422"/>
        <n v="28644"/>
        <n v="6300"/>
        <n v="53508"/>
        <n v="19320"/>
        <n v="45220"/>
        <n v="3390.66"/>
        <n v="4458.3"/>
        <n v="12107.199999999999"/>
        <n v="16653"/>
        <n v="13154.399999999998"/>
        <n v="50960"/>
        <n v="4636.7999999999993"/>
        <n v="4760"/>
        <n v="24210.9"/>
        <n v="3377.5"/>
        <n v="3091.2"/>
        <n v="4508"/>
        <n v="13566"/>
        <n v="62370"/>
        <n v="1862"/>
        <n v="5600"/>
        <n v="11200"/>
        <n v="1323"/>
        <n v="54320"/>
        <n v="10819.199999999999"/>
        <n v="15456"/>
        <n v="12159"/>
        <n v="4998"/>
        <n v="18032"/>
        <n v="10174.5"/>
        <n v="962.78"/>
        <n v="55384"/>
        <n v="16450"/>
        <n v="29876"/>
        <n v="12364.8"/>
        <n v="1519"/>
        <n v="2176.7199999999998"/>
        <n v="22932"/>
        <n v="9016"/>
        <n v="1841.84"/>
        <n v="20607.999999999996"/>
        <n v="18018"/>
        <n v="15590.399999999998"/>
        <n v="10192"/>
        <n v="43680"/>
        <n v="6955.1999999999989"/>
        <n v="17934.000000000004"/>
        <n v="2566.9"/>
        <n v="17001.599999999999"/>
        <n v="8232"/>
        <n v="12852"/>
        <n v="36288"/>
        <n v="7448"/>
        <n v="10690.399999999998"/>
        <n v="4459"/>
        <n v="2679.04"/>
        <n v="14616"/>
        <n v="62468"/>
        <n v="586.04"/>
        <n v="9186.7999999999993"/>
        <n v="8243.1999999999989"/>
        <n v="13104"/>
        <n v="27770.399999999998"/>
        <n v="13132"/>
        <n v="26880"/>
        <n v="9917.5999999999985"/>
        <n v="13160"/>
        <n v="16140.600000000002"/>
        <n v="9800"/>
        <n v="61236"/>
        <n v="3822"/>
        <n v="9940"/>
        <n v="49280"/>
        <n v="8260"/>
        <n v="52640"/>
        <n v="10888.5"/>
        <n v="1339.52"/>
        <n v="39928"/>
        <n v="21000"/>
        <n v="15708"/>
        <n v="6311.1999999999989"/>
        <n v="980"/>
        <n v="2051.14"/>
        <n v="5544"/>
        <n v="47012"/>
        <n v="3558.1"/>
        <n v="5944.4"/>
        <n v="6182.4"/>
        <n v="17472"/>
        <n v="34103.999999999993"/>
        <n v="19208"/>
        <n v="12879.999999999998"/>
        <n v="12600"/>
        <n v="14646.100000000002"/>
        <n v="9592.1"/>
        <n v="2575.9999999999995"/>
        <n v="15288"/>
        <n v="92988"/>
        <n v="2842"/>
        <n v="45309.599999999991"/>
        <n v="1540"/>
        <n v="1680"/>
        <n v="33600"/>
        <n v="5924.7999999999993"/>
        <n v="21896"/>
        <n v="12023.9"/>
        <n v="14637"/>
        <n v="7675.5"/>
        <n v="29568"/>
        <n v="4379.2"/>
        <n v="2058"/>
        <n v="4186"/>
        <n v="10584"/>
        <n v="10304"/>
        <n v="920.92"/>
        <n v="6214.5999999999995"/>
        <n v="25759.999999999996"/>
        <n v="23751"/>
        <n v="28257.599999999995"/>
        <n v="16660"/>
        <n v="2447.1999999999998"/>
        <n v="20624.100000000002"/>
        <n v="4998.7"/>
        <n v="2677.5"/>
        <n v="58968"/>
        <n v="11692.8"/>
        <n v="5040"/>
        <n v="13440"/>
        <n v="2800"/>
        <n v="539"/>
        <n v="19577.599999999999"/>
        <n v="36708"/>
        <n v="1891.3999999999999"/>
        <n v="2744"/>
        <n v="3430"/>
        <n v="42000"/>
        <n v="20034"/>
        <n v="14364"/>
        <n v="53452"/>
        <n v="9788.7999999999993"/>
        <n v="8389.5"/>
        <n v="12969.599999999999"/>
        <n v="17920"/>
        <n v="1716.26"/>
        <n v="26404"/>
        <n v="32900"/>
        <n v="6160"/>
        <n v="1674.3999999999999"/>
        <n v="2218.58"/>
        <n v="24948"/>
        <n v="57316"/>
        <n v="13239.8"/>
        <n v="22153.599999999999"/>
        <n v="5460"/>
        <n v="33616.799999999996"/>
        <n v="13328"/>
        <n v="29120"/>
        <n v="5151.9999999999991"/>
        <n v="26303.200000000004"/>
        <n v="23956.799999999996"/>
        <n v="18816"/>
        <n v="2142"/>
        <n v="43092"/>
        <n v="48719.999999999993"/>
        <n v="12460"/>
        <n v="13580"/>
        <n v="2597"/>
        <n v="34160"/>
        <n v="11591.999999999998"/>
        <n v="27692"/>
        <n v="2431.7999999999997"/>
        <n v="20020"/>
        <n v="4550"/>
        <n v="29484"/>
        <n v="25228"/>
        <n v="31388"/>
        <n v="1004.64"/>
      </sharedItems>
      <fieldGroup base="13">
        <rangePr autoStart="0" autoEnd="0" startNum="0" endNum="120000" groupInterval="20000"/>
        <groupItems count="8">
          <s v="&lt;0 o (en blanco)"/>
          <s v="0-20000"/>
          <s v="20000-40000"/>
          <s v="40000-60000"/>
          <s v="60000-80000"/>
          <s v="80000-100000"/>
          <s v="100000-120000"/>
          <s v="&gt;120000"/>
        </groupItems>
      </fieldGroup>
    </cacheField>
    <cacheField name="Meses" numFmtId="0" databaseField="0">
      <fieldGroup base="1">
        <rangePr groupBy="months" startDate="2020-01-01T00:00:00" endDate="2021-01-01T00:00:00"/>
        <groupItems count="14">
          <s v="&lt;1/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/2021"/>
        </groupItems>
      </fieldGroup>
    </cacheField>
  </cacheFields>
  <extLst>
    <ext xmlns:x14="http://schemas.microsoft.com/office/spreadsheetml/2009/9/main" uri="{725AE2AE-9491-48be-B2B4-4EB974FC3084}">
      <x14:pivotCacheDefinition pivotCacheId="15393718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romero" refreshedDate="45393.875295717589" createdVersion="6" refreshedVersion="6" minRefreshableVersion="3" recordCount="370" xr:uid="{D38D74C3-3153-462E-821C-0D038A147F2F}">
  <cacheSource type="worksheet">
    <worksheetSource name="Tabla1"/>
  </cacheSource>
  <cacheFields count="16">
    <cacheField name="Documento" numFmtId="0">
      <sharedItems containsSemiMixedTypes="0" containsString="0" containsNumber="1" containsInteger="1" minValue="1" maxValue="370"/>
    </cacheField>
    <cacheField name="Fecha" numFmtId="165">
      <sharedItems containsSemiMixedTypes="0" containsNonDate="0" containsDate="1" containsString="0" minDate="2020-01-01T00:00:00" maxDate="2021-01-01T00:00:00" count="229">
        <d v="2020-04-09T00:00:00"/>
        <d v="2020-08-25T00:00:00"/>
        <d v="2020-03-18T00:00:00"/>
        <d v="2020-05-23T00:00:00"/>
        <d v="2020-04-23T00:00:00"/>
        <d v="2020-12-19T00:00:00"/>
        <d v="2020-10-29T00:00:00"/>
        <d v="2020-02-02T00:00:00"/>
        <d v="2020-11-23T00:00:00"/>
        <d v="2020-06-17T00:00:00"/>
        <d v="2020-08-02T00:00:00"/>
        <d v="2020-01-13T00:00:00"/>
        <d v="2020-01-31T00:00:00"/>
        <d v="2020-07-25T00:00:00"/>
        <d v="2020-06-27T00:00:00"/>
        <d v="2020-08-22T00:00:00"/>
        <d v="2020-04-16T00:00:00"/>
        <d v="2020-12-07T00:00:00"/>
        <d v="2020-02-14T00:00:00"/>
        <d v="2020-11-03T00:00:00"/>
        <d v="2020-03-28T00:00:00"/>
        <d v="2020-07-27T00:00:00"/>
        <d v="2020-06-11T00:00:00"/>
        <d v="2020-02-24T00:00:00"/>
        <d v="2020-08-12T00:00:00"/>
        <d v="2020-05-14T00:00:00"/>
        <d v="2020-11-11T00:00:00"/>
        <d v="2020-11-09T00:00:00"/>
        <d v="2020-01-15T00:00:00"/>
        <d v="2020-05-16T00:00:00"/>
        <d v="2020-02-01T00:00:00"/>
        <d v="2020-12-02T00:00:00"/>
        <d v="2020-02-09T00:00:00"/>
        <d v="2020-12-27T00:00:00"/>
        <d v="2020-05-31T00:00:00"/>
        <d v="2020-05-01T00:00:00"/>
        <d v="2020-09-16T00:00:00"/>
        <d v="2020-06-01T00:00:00"/>
        <d v="2020-08-27T00:00:00"/>
        <d v="2020-06-16T00:00:00"/>
        <d v="2020-10-25T00:00:00"/>
        <d v="2020-11-30T00:00:00"/>
        <d v="2020-03-30T00:00:00"/>
        <d v="2020-02-19T00:00:00"/>
        <d v="2020-04-01T00:00:00"/>
        <d v="2020-06-10T00:00:00"/>
        <d v="2020-10-03T00:00:00"/>
        <d v="2020-10-19T00:00:00"/>
        <d v="2020-09-14T00:00:00"/>
        <d v="2020-12-13T00:00:00"/>
        <d v="2020-05-13T00:00:00"/>
        <d v="2020-02-21T00:00:00"/>
        <d v="2020-11-19T00:00:00"/>
        <d v="2020-09-01T00:00:00"/>
        <d v="2020-12-06T00:00:00"/>
        <d v="2020-01-25T00:00:00"/>
        <d v="2020-07-22T00:00:00"/>
        <d v="2020-10-13T00:00:00"/>
        <d v="2020-12-09T00:00:00"/>
        <d v="2020-02-29T00:00:00"/>
        <d v="2020-04-24T00:00:00"/>
        <d v="2020-08-09T00:00:00"/>
        <d v="2020-10-11T00:00:00"/>
        <d v="2020-05-15T00:00:00"/>
        <d v="2020-05-11T00:00:00"/>
        <d v="2020-06-28T00:00:00"/>
        <d v="2020-05-25T00:00:00"/>
        <d v="2020-04-18T00:00:00"/>
        <d v="2020-06-13T00:00:00"/>
        <d v="2020-02-27T00:00:00"/>
        <d v="2020-06-09T00:00:00"/>
        <d v="2020-11-14T00:00:00"/>
        <d v="2020-07-17T00:00:00"/>
        <d v="2020-01-01T00:00:00"/>
        <d v="2020-09-25T00:00:00"/>
        <d v="2020-08-28T00:00:00"/>
        <d v="2020-09-30T00:00:00"/>
        <d v="2020-02-05T00:00:00"/>
        <d v="2020-07-05T00:00:00"/>
        <d v="2020-04-03T00:00:00"/>
        <d v="2020-06-12T00:00:00"/>
        <d v="2020-03-01T00:00:00"/>
        <d v="2020-08-26T00:00:00"/>
        <d v="2020-04-02T00:00:00"/>
        <d v="2020-09-26T00:00:00"/>
        <d v="2020-07-12T00:00:00"/>
        <d v="2020-04-13T00:00:00"/>
        <d v="2020-09-22T00:00:00"/>
        <d v="2020-10-02T00:00:00"/>
        <d v="2020-03-12T00:00:00"/>
        <d v="2020-08-31T00:00:00"/>
        <d v="2020-07-13T00:00:00"/>
        <d v="2020-11-25T00:00:00"/>
        <d v="2020-04-26T00:00:00"/>
        <d v="2020-10-18T00:00:00"/>
        <d v="2020-09-29T00:00:00"/>
        <d v="2020-08-30T00:00:00"/>
        <d v="2020-12-26T00:00:00"/>
        <d v="2020-12-18T00:00:00"/>
        <d v="2020-07-07T00:00:00"/>
        <d v="2020-02-15T00:00:00"/>
        <d v="2020-09-27T00:00:00"/>
        <d v="2020-09-20T00:00:00"/>
        <d v="2020-11-22T00:00:00"/>
        <d v="2020-03-26T00:00:00"/>
        <d v="2020-01-07T00:00:00"/>
        <d v="2020-07-30T00:00:00"/>
        <d v="2020-09-18T00:00:00"/>
        <d v="2020-02-26T00:00:00"/>
        <d v="2020-09-06T00:00:00"/>
        <d v="2020-09-19T00:00:00"/>
        <d v="2020-10-15T00:00:00"/>
        <d v="2020-09-11T00:00:00"/>
        <d v="2020-04-22T00:00:00"/>
        <d v="2020-08-14T00:00:00"/>
        <d v="2020-04-08T00:00:00"/>
        <d v="2020-06-04T00:00:00"/>
        <d v="2020-08-15T00:00:00"/>
        <d v="2020-08-04T00:00:00"/>
        <d v="2020-04-27T00:00:00"/>
        <d v="2020-08-11T00:00:00"/>
        <d v="2020-10-16T00:00:00"/>
        <d v="2020-01-16T00:00:00"/>
        <d v="2020-06-19T00:00:00"/>
        <d v="2020-04-06T00:00:00"/>
        <d v="2020-08-03T00:00:00"/>
        <d v="2020-12-04T00:00:00"/>
        <d v="2020-08-13T00:00:00"/>
        <d v="2020-04-25T00:00:00"/>
        <d v="2020-04-30T00:00:00"/>
        <d v="2020-11-06T00:00:00"/>
        <d v="2020-09-09T00:00:00"/>
        <d v="2020-05-12T00:00:00"/>
        <d v="2020-10-28T00:00:00"/>
        <d v="2020-07-06T00:00:00"/>
        <d v="2020-05-21T00:00:00"/>
        <d v="2020-08-06T00:00:00"/>
        <d v="2020-08-21T00:00:00"/>
        <d v="2020-04-21T00:00:00"/>
        <d v="2020-09-24T00:00:00"/>
        <d v="2020-01-29T00:00:00"/>
        <d v="2020-07-14T00:00:00"/>
        <d v="2020-03-03T00:00:00"/>
        <d v="2020-01-14T00:00:00"/>
        <d v="2020-06-26T00:00:00"/>
        <d v="2020-04-12T00:00:00"/>
        <d v="2020-12-23T00:00:00"/>
        <d v="2020-02-03T00:00:00"/>
        <d v="2020-05-08T00:00:00"/>
        <d v="2020-10-14T00:00:00"/>
        <d v="2020-07-26T00:00:00"/>
        <d v="2020-11-27T00:00:00"/>
        <d v="2020-05-10T00:00:00"/>
        <d v="2020-07-31T00:00:00"/>
        <d v="2020-01-23T00:00:00"/>
        <d v="2020-03-15T00:00:00"/>
        <d v="2020-06-15T00:00:00"/>
        <d v="2020-06-22T00:00:00"/>
        <d v="2020-10-05T00:00:00"/>
        <d v="2020-04-11T00:00:00"/>
        <d v="2020-10-27T00:00:00"/>
        <d v="2020-04-05T00:00:00"/>
        <d v="2020-11-04T00:00:00"/>
        <d v="2020-03-09T00:00:00"/>
        <d v="2020-09-02T00:00:00"/>
        <d v="2020-01-21T00:00:00"/>
        <d v="2020-02-17T00:00:00"/>
        <d v="2020-02-25T00:00:00"/>
        <d v="2020-07-24T00:00:00"/>
        <d v="2020-03-05T00:00:00"/>
        <d v="2020-05-26T00:00:00"/>
        <d v="2020-04-19T00:00:00"/>
        <d v="2020-12-03T00:00:00"/>
        <d v="2020-12-12T00:00:00"/>
        <d v="2020-04-04T00:00:00"/>
        <d v="2020-09-05T00:00:00"/>
        <d v="2020-11-07T00:00:00"/>
        <d v="2020-11-17T00:00:00"/>
        <d v="2020-01-19T00:00:00"/>
        <d v="2020-01-28T00:00:00"/>
        <d v="2020-06-02T00:00:00"/>
        <d v="2020-06-06T00:00:00"/>
        <d v="2020-09-21T00:00:00"/>
        <d v="2020-10-09T00:00:00"/>
        <d v="2020-02-16T00:00:00"/>
        <d v="2020-06-18T00:00:00"/>
        <d v="2020-03-16T00:00:00"/>
        <d v="2020-11-08T00:00:00"/>
        <d v="2020-10-26T00:00:00"/>
        <d v="2020-09-03T00:00:00"/>
        <d v="2020-03-17T00:00:00"/>
        <d v="2020-07-11T00:00:00"/>
        <d v="2020-04-10T00:00:00"/>
        <d v="2020-09-23T00:00:00"/>
        <d v="2020-12-08T00:00:00"/>
        <d v="2020-07-16T00:00:00"/>
        <d v="2020-03-25T00:00:00"/>
        <d v="2020-02-22T00:00:00"/>
        <d v="2020-08-01T00:00:00"/>
        <d v="2020-05-03T00:00:00"/>
        <d v="2020-08-19T00:00:00"/>
        <d v="2020-06-08T00:00:00"/>
        <d v="2020-09-13T00:00:00"/>
        <d v="2020-10-20T00:00:00"/>
        <d v="2020-09-04T00:00:00"/>
        <d v="2020-08-20T00:00:00"/>
        <d v="2020-05-28T00:00:00"/>
        <d v="2020-01-10T00:00:00"/>
        <d v="2020-05-02T00:00:00"/>
        <d v="2020-11-26T00:00:00"/>
        <d v="2020-03-07T00:00:00"/>
        <d v="2020-01-27T00:00:00"/>
        <d v="2020-11-20T00:00:00"/>
        <d v="2020-02-06T00:00:00"/>
        <d v="2020-08-16T00:00:00"/>
        <d v="2020-05-24T00:00:00"/>
        <d v="2020-02-13T00:00:00"/>
        <d v="2020-01-02T00:00:00"/>
        <d v="2020-02-18T00:00:00"/>
        <d v="2020-12-31T00:00:00"/>
        <d v="2020-05-07T00:00:00"/>
        <d v="2020-02-23T00:00:00"/>
        <d v="2020-12-20T00:00:00"/>
        <d v="2020-02-11T00:00:00"/>
        <d v="2020-11-13T00:00:00"/>
        <d v="2020-11-01T00:00:00"/>
        <d v="2020-04-17T00:00:00"/>
        <d v="2020-12-14T00:00:00"/>
        <d v="2020-06-05T00:00:00"/>
      </sharedItems>
      <fieldGroup par="15" base="1">
        <rangePr groupBy="days" startDate="2020-01-01T00:00:00" endDate="2021-01-01T00:00:00"/>
        <groupItems count="368">
          <s v="&lt;1/1/2020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/2021"/>
        </groupItems>
      </fieldGroup>
    </cacheField>
    <cacheField name="Id Cliente" numFmtId="0">
      <sharedItems containsSemiMixedTypes="0" containsString="0" containsNumber="1" containsInteger="1" minValue="142416687" maxValue="9993785470"/>
    </cacheField>
    <cacheField name="Cliente" numFmtId="0">
      <sharedItems/>
    </cacheField>
    <cacheField name="Ciudad" numFmtId="0">
      <sharedItems/>
    </cacheField>
    <cacheField name="Provincia" numFmtId="0">
      <sharedItems/>
    </cacheField>
    <cacheField name="Vendedor" numFmtId="0">
      <sharedItems/>
    </cacheField>
    <cacheField name="Empresa" numFmtId="0">
      <sharedItems containsBlank="1" count="5">
        <s v="Empresa de embarque B"/>
        <s v="Empresa de embarque A"/>
        <s v="Empresa de embarque C"/>
        <s v="Empresa de embarque D"/>
        <m u="1"/>
      </sharedItems>
    </cacheField>
    <cacheField name="Forma de pago" numFmtId="0">
      <sharedItems/>
    </cacheField>
    <cacheField name="Producto" numFmtId="0">
      <sharedItems/>
    </cacheField>
    <cacheField name="Categoría" numFmtId="0">
      <sharedItems/>
    </cacheField>
    <cacheField name="Precio" numFmtId="43">
      <sharedItems containsMixedTypes="1" containsNumber="1" minValue="11" maxValue="1134" count="46">
        <n v="14"/>
        <n v="34"/>
        <n v="16"/>
        <n v="12"/>
        <n v="22"/>
        <n v="42"/>
        <n v="11"/>
        <n v="29"/>
        <n v="28"/>
        <n v="33"/>
        <n v="21"/>
        <n v="46"/>
        <n v="41"/>
        <n v="45"/>
        <n v="26"/>
        <n v="40"/>
        <n v="35"/>
        <n v="20"/>
        <n v="50"/>
        <n v="43"/>
        <n v="39"/>
        <n v="32"/>
        <n v="24"/>
        <s v="Empresa de embarque D"/>
        <n v="140"/>
        <n v="49"/>
        <n v="560"/>
        <n v="257.59999999999997"/>
        <n v="644"/>
        <n v="135.1"/>
        <n v="178.5"/>
        <n v="308"/>
        <n v="350"/>
        <n v="546"/>
        <n v="420"/>
        <n v="742"/>
        <n v="532"/>
        <n v="41.86"/>
        <n v="273"/>
        <n v="487.19999999999993"/>
        <n v="196"/>
        <n v="128.79999999999998"/>
        <n v="298.90000000000003"/>
        <n v="1134"/>
        <n v="98"/>
        <n v="252"/>
      </sharedItems>
    </cacheField>
    <cacheField name="Cantidad" numFmtId="43">
      <sharedItems containsMixedTypes="1" containsNumber="1" containsInteger="1" minValue="1" maxValue="100"/>
    </cacheField>
    <cacheField name="Ventas" numFmtId="43">
      <sharedItems containsMixedTypes="1" containsNumber="1" minValue="34" maxValue="111132"/>
    </cacheField>
    <cacheField name="Meses" numFmtId="0" databaseField="0">
      <fieldGroup base="1">
        <rangePr groupBy="months" startDate="2020-01-01T00:00:00" endDate="2021-01-01T00:00:00"/>
        <groupItems count="14">
          <s v="&lt;1/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/2021"/>
        </groupItems>
      </fieldGroup>
    </cacheField>
    <cacheField name="Trimestres" numFmtId="0" databaseField="0">
      <fieldGroup base="1">
        <rangePr groupBy="quarters" startDate="2020-01-01T00:00:00" endDate="2021-01-01T00:00:00"/>
        <groupItems count="6">
          <s v="&lt;1/1/2020"/>
          <s v="Trim.1"/>
          <s v="Trim.2"/>
          <s v="Trim.3"/>
          <s v="Trim.4"/>
          <s v="&gt;1/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n v="1"/>
    <x v="0"/>
    <n v="9259377217"/>
    <s v="Empresa AA"/>
    <s v="Cuenca"/>
    <x v="0"/>
    <x v="0"/>
    <s v="Empresa de embarque B"/>
    <s v="Cheque"/>
    <s v="Cerveza"/>
    <x v="0"/>
    <n v="14"/>
    <n v="10"/>
    <x v="0"/>
  </r>
  <r>
    <n v="2"/>
    <x v="1"/>
    <n v="6185253419"/>
    <s v="Empresa AA"/>
    <s v="Cuenca"/>
    <x v="0"/>
    <x v="0"/>
    <s v="Empresa de embarque B"/>
    <s v="Cheque"/>
    <s v="Ciruelas secas"/>
    <x v="1"/>
    <n v="34"/>
    <n v="1"/>
    <x v="1"/>
  </r>
  <r>
    <n v="3"/>
    <x v="2"/>
    <n v="2308885942"/>
    <s v="Empresa D"/>
    <s v="Azogues"/>
    <x v="1"/>
    <x v="1"/>
    <s v="Empresa de embarque A"/>
    <s v="Tarjeta de crédito"/>
    <s v="Peras secas"/>
    <x v="1"/>
    <n v="14"/>
    <n v="57"/>
    <x v="2"/>
  </r>
  <r>
    <n v="4"/>
    <x v="3"/>
    <n v="6199717898"/>
    <s v="Empresa D"/>
    <s v="Azogues"/>
    <x v="1"/>
    <x v="1"/>
    <s v="Empresa de embarque A"/>
    <s v="Tarjeta de crédito"/>
    <s v="Manzanas secas"/>
    <x v="1"/>
    <n v="16"/>
    <n v="72"/>
    <x v="3"/>
  </r>
  <r>
    <n v="5"/>
    <x v="4"/>
    <n v="5540683029"/>
    <s v="Empresa D"/>
    <s v="Azogues"/>
    <x v="1"/>
    <x v="1"/>
    <s v="Empresa de embarque A"/>
    <s v="Tarjeta de crédito"/>
    <s v="Ciruelas secas"/>
    <x v="1"/>
    <n v="12"/>
    <n v="68"/>
    <x v="4"/>
  </r>
  <r>
    <n v="6"/>
    <x v="5"/>
    <n v="6343955045"/>
    <s v="Empresa L"/>
    <s v="Cuenca"/>
    <x v="0"/>
    <x v="0"/>
    <s v="Empresa de embarque B"/>
    <s v="Tarjeta de crédito"/>
    <s v="Té chai"/>
    <x v="0"/>
    <n v="22"/>
    <n v="29"/>
    <x v="5"/>
  </r>
  <r>
    <n v="7"/>
    <x v="6"/>
    <n v="1572125717"/>
    <s v="Empresa L"/>
    <s v="Cuenca"/>
    <x v="0"/>
    <x v="0"/>
    <s v="Empresa de embarque B"/>
    <s v="Tarjeta de crédito"/>
    <s v="Café"/>
    <x v="0"/>
    <n v="42"/>
    <n v="41"/>
    <x v="6"/>
  </r>
  <r>
    <n v="8"/>
    <x v="7"/>
    <n v="3776895536"/>
    <s v="Empresa H"/>
    <s v="Riobamba"/>
    <x v="2"/>
    <x v="2"/>
    <s v="Empresa de embarque C"/>
    <s v="Tarjeta de crédito"/>
    <s v="Galletas de chocolate"/>
    <x v="2"/>
    <n v="11"/>
    <n v="18"/>
    <x v="7"/>
  </r>
  <r>
    <n v="9"/>
    <x v="8"/>
    <n v="390733860"/>
    <s v="Empresa D"/>
    <s v="Azogues"/>
    <x v="1"/>
    <x v="1"/>
    <s v="Empresa de embarque C"/>
    <s v="Cheque"/>
    <s v="Galletas de chocolate"/>
    <x v="2"/>
    <n v="29"/>
    <n v="73"/>
    <x v="8"/>
  </r>
  <r>
    <n v="10"/>
    <x v="7"/>
    <n v="2456709195"/>
    <s v="Empresa CC"/>
    <s v="Guayaquil"/>
    <x v="3"/>
    <x v="3"/>
    <s v="Empresa de embarque B"/>
    <s v="Cheque"/>
    <s v="Chocolate"/>
    <x v="3"/>
    <n v="12"/>
    <n v="79"/>
    <x v="9"/>
  </r>
  <r>
    <n v="11"/>
    <x v="9"/>
    <n v="5766090086"/>
    <s v="Empresa C"/>
    <s v="Machala"/>
    <x v="4"/>
    <x v="0"/>
    <s v="Empresa de embarque B"/>
    <s v="Efectivo"/>
    <s v="Almejas"/>
    <x v="4"/>
    <n v="28"/>
    <n v="37"/>
    <x v="10"/>
  </r>
  <r>
    <n v="12"/>
    <x v="10"/>
    <n v="4872781256"/>
    <s v="Empresa F"/>
    <s v="Ibarra"/>
    <x v="5"/>
    <x v="4"/>
    <s v="Empresa de embarque B"/>
    <s v="Tarjeta de crédito"/>
    <s v="Salsa curry"/>
    <x v="5"/>
    <n v="33"/>
    <n v="64"/>
    <x v="11"/>
  </r>
  <r>
    <n v="13"/>
    <x v="11"/>
    <n v="4213140599"/>
    <s v="Empresa BB"/>
    <s v="Manta"/>
    <x v="6"/>
    <x v="5"/>
    <s v="Empresa de embarque C"/>
    <s v="Cheque"/>
    <s v="Café"/>
    <x v="0"/>
    <n v="21"/>
    <n v="96"/>
    <x v="12"/>
  </r>
  <r>
    <n v="14"/>
    <x v="12"/>
    <n v="9433063552"/>
    <s v="Empresa H"/>
    <s v="Riobamba"/>
    <x v="2"/>
    <x v="2"/>
    <s v="Empresa de embarque C"/>
    <s v="Cheque"/>
    <s v="Chocolate"/>
    <x v="3"/>
    <n v="46"/>
    <n v="86"/>
    <x v="13"/>
  </r>
  <r>
    <n v="15"/>
    <x v="13"/>
    <n v="8539365209"/>
    <s v="Empresa J"/>
    <s v="Esmeraldas"/>
    <x v="7"/>
    <x v="6"/>
    <s v="Empresa de embarque B"/>
    <s v="Tarjeta de crédito"/>
    <s v="Té verde"/>
    <x v="0"/>
    <n v="41"/>
    <n v="96"/>
    <x v="14"/>
  </r>
  <r>
    <n v="16"/>
    <x v="14"/>
    <n v="6983099686"/>
    <s v="Empresa G"/>
    <s v="Guaranda"/>
    <x v="8"/>
    <x v="2"/>
    <m/>
    <m/>
    <s v="Café"/>
    <x v="0"/>
    <n v="45"/>
    <n v="97"/>
    <x v="15"/>
  </r>
  <r>
    <n v="17"/>
    <x v="15"/>
    <n v="3008945605"/>
    <s v="Empresa J"/>
    <s v="Esmeraldas"/>
    <x v="7"/>
    <x v="6"/>
    <s v="Empresa de embarque A"/>
    <m/>
    <s v="Jalea de fresa"/>
    <x v="6"/>
    <n v="26"/>
    <n v="65"/>
    <x v="16"/>
  </r>
  <r>
    <n v="18"/>
    <x v="16"/>
    <n v="5388305959"/>
    <s v="Empresa J"/>
    <s v="Esmeraldas"/>
    <x v="7"/>
    <x v="6"/>
    <s v="Empresa de embarque A"/>
    <m/>
    <s v="Condimento cajún"/>
    <x v="7"/>
    <n v="40"/>
    <n v="88"/>
    <x v="17"/>
  </r>
  <r>
    <n v="19"/>
    <x v="17"/>
    <n v="438272084"/>
    <s v="Empresa J"/>
    <s v="Esmeraldas"/>
    <x v="7"/>
    <x v="6"/>
    <s v="Empresa de embarque A"/>
    <m/>
    <s v="Galletas de chocolate"/>
    <x v="2"/>
    <n v="12"/>
    <n v="60"/>
    <x v="18"/>
  </r>
  <r>
    <n v="20"/>
    <x v="18"/>
    <n v="2536792311"/>
    <s v="Empresa K"/>
    <s v="Quito"/>
    <x v="9"/>
    <x v="5"/>
    <s v="Empresa de embarque C"/>
    <m/>
    <s v="Ciruelas secas"/>
    <x v="1"/>
    <n v="35"/>
    <n v="96"/>
    <x v="19"/>
  </r>
  <r>
    <n v="21"/>
    <x v="19"/>
    <n v="7813757711"/>
    <s v="Empresa K"/>
    <s v="Quito"/>
    <x v="9"/>
    <x v="5"/>
    <s v="Empresa de embarque C"/>
    <m/>
    <s v="Té verde"/>
    <x v="0"/>
    <n v="20"/>
    <n v="50"/>
    <x v="20"/>
  </r>
  <r>
    <n v="22"/>
    <x v="20"/>
    <n v="4786931679"/>
    <s v="Empresa A"/>
    <s v="Ambato"/>
    <x v="10"/>
    <x v="2"/>
    <m/>
    <m/>
    <s v="Té chai"/>
    <x v="0"/>
    <n v="50"/>
    <n v="75"/>
    <x v="21"/>
  </r>
  <r>
    <n v="23"/>
    <x v="21"/>
    <n v="3021659728"/>
    <s v="Empresa A"/>
    <s v="Ambato"/>
    <x v="10"/>
    <x v="2"/>
    <m/>
    <m/>
    <s v="Café"/>
    <x v="0"/>
    <n v="21"/>
    <n v="4"/>
    <x v="22"/>
  </r>
  <r>
    <n v="24"/>
    <x v="22"/>
    <n v="2591950684"/>
    <s v="Empresa A"/>
    <s v="Ambato"/>
    <x v="10"/>
    <x v="2"/>
    <m/>
    <m/>
    <s v="Té verde"/>
    <x v="0"/>
    <n v="43"/>
    <n v="18"/>
    <x v="23"/>
  </r>
  <r>
    <n v="25"/>
    <x v="23"/>
    <n v="9326361454"/>
    <s v="Empresa BB"/>
    <s v="Manta"/>
    <x v="6"/>
    <x v="5"/>
    <s v="Empresa de embarque C"/>
    <s v="Tarjeta de crédito"/>
    <s v="Almejas"/>
    <x v="4"/>
    <n v="26"/>
    <n v="49"/>
    <x v="24"/>
  </r>
  <r>
    <n v="26"/>
    <x v="24"/>
    <n v="3769138349"/>
    <s v="Empresa BB"/>
    <s v="Manta"/>
    <x v="6"/>
    <x v="5"/>
    <s v="Empresa de embarque C"/>
    <s v="Tarjeta de crédito"/>
    <s v="Carne de cangrejo"/>
    <x v="8"/>
    <n v="39"/>
    <n v="21"/>
    <x v="25"/>
  </r>
  <r>
    <n v="27"/>
    <x v="2"/>
    <n v="5871657714"/>
    <s v="Empresa I"/>
    <s v="Guayaquil"/>
    <x v="3"/>
    <x v="7"/>
    <s v="Empresa de embarque A"/>
    <s v="Cheque"/>
    <s v="Ravioli"/>
    <x v="9"/>
    <n v="33"/>
    <n v="8"/>
    <x v="26"/>
  </r>
  <r>
    <n v="28"/>
    <x v="25"/>
    <n v="1534553307"/>
    <s v="Empresa I"/>
    <s v="Guayaquil"/>
    <x v="3"/>
    <x v="7"/>
    <s v="Empresa de embarque A"/>
    <s v="Cheque"/>
    <s v="Mozzarella"/>
    <x v="10"/>
    <n v="46"/>
    <n v="82"/>
    <x v="27"/>
  </r>
  <r>
    <n v="29"/>
    <x v="26"/>
    <n v="8474620707"/>
    <s v="Empresa F"/>
    <s v="Ibarra"/>
    <x v="5"/>
    <x v="4"/>
    <s v="Empresa de embarque B"/>
    <s v="Tarjeta de crédito"/>
    <s v="Cerveza"/>
    <x v="0"/>
    <n v="32"/>
    <n v="75"/>
    <x v="28"/>
  </r>
  <r>
    <n v="30"/>
    <x v="27"/>
    <n v="3530767380"/>
    <s v="Empresa H"/>
    <s v="Riobamba"/>
    <x v="2"/>
    <x v="2"/>
    <s v="Empresa de embarque B"/>
    <s v="Cheque"/>
    <s v="Salsa curry"/>
    <x v="5"/>
    <n v="34"/>
    <n v="3"/>
    <x v="29"/>
  </r>
  <r>
    <n v="31"/>
    <x v="28"/>
    <n v="6673950624"/>
    <s v="Empresa C"/>
    <s v="Machala"/>
    <x v="4"/>
    <x v="0"/>
    <s v="Empresa de embarque B"/>
    <s v="Efectivo"/>
    <s v="Jarabe"/>
    <x v="7"/>
    <n v="24"/>
    <n v="33"/>
    <x v="30"/>
  </r>
  <r>
    <n v="32"/>
    <x v="29"/>
    <n v="7137547321"/>
    <s v="Empresa C"/>
    <s v="Machala"/>
    <x v="4"/>
    <x v="0"/>
    <s v="Empresa de embarque B"/>
    <s v="Efectivo"/>
    <s v="Salsa curry"/>
    <x v="5"/>
    <n v="21"/>
    <n v="51"/>
    <x v="31"/>
  </r>
  <r>
    <n v="33"/>
    <x v="30"/>
    <n v="9655985375"/>
    <s v="Empresa F"/>
    <s v="Ibarra"/>
    <x v="5"/>
    <x v="4"/>
    <s v="Empresa de embarque B"/>
    <s v="Tarjeta de crédito"/>
    <m/>
    <x v="11"/>
    <m/>
    <m/>
    <x v="32"/>
  </r>
  <r>
    <n v="34"/>
    <x v="31"/>
    <n v="299812367"/>
    <s v="Empresa BB"/>
    <s v="Manta"/>
    <x v="6"/>
    <x v="5"/>
    <s v="Empresa de embarque C"/>
    <s v="Cheque"/>
    <m/>
    <x v="11"/>
    <m/>
    <m/>
    <x v="32"/>
  </r>
  <r>
    <n v="35"/>
    <x v="32"/>
    <n v="7779151222"/>
    <s v="Empresa H"/>
    <s v="Riobamba"/>
    <x v="2"/>
    <x v="2"/>
    <s v="Empresa de embarque C"/>
    <s v="Cheque"/>
    <m/>
    <x v="11"/>
    <m/>
    <m/>
    <x v="32"/>
  </r>
  <r>
    <n v="36"/>
    <x v="33"/>
    <n v="9282360094"/>
    <s v="Empresa J"/>
    <s v="Esmeraldas"/>
    <x v="7"/>
    <x v="6"/>
    <s v="Empresa de embarque B"/>
    <s v="Tarjeta de crédito"/>
    <s v="Almendras"/>
    <x v="1"/>
    <n v="140"/>
    <n v="47"/>
    <x v="33"/>
  </r>
  <r>
    <n v="37"/>
    <x v="34"/>
    <n v="6935804403"/>
    <s v="Empresa J"/>
    <s v="Esmeraldas"/>
    <x v="7"/>
    <x v="6"/>
    <s v="Empresa de embarque A"/>
    <m/>
    <s v="Ciruelas secas"/>
    <x v="1"/>
    <n v="49"/>
    <n v="49"/>
    <x v="34"/>
  </r>
  <r>
    <n v="38"/>
    <x v="35"/>
    <n v="3650322132"/>
    <s v="Empresa K"/>
    <s v="Quito"/>
    <x v="9"/>
    <x v="5"/>
    <s v="Empresa de embarque C"/>
    <m/>
    <s v="Salsa curry"/>
    <x v="5"/>
    <n v="560"/>
    <n v="72"/>
    <x v="35"/>
  </r>
  <r>
    <n v="39"/>
    <x v="25"/>
    <n v="1985754250"/>
    <s v="Empresa A"/>
    <s v="Ambato"/>
    <x v="10"/>
    <x v="2"/>
    <s v="Empresa de embarque C"/>
    <m/>
    <s v="Carne de cangrejo"/>
    <x v="8"/>
    <n v="257.59999999999997"/>
    <n v="13"/>
    <x v="36"/>
  </r>
  <r>
    <n v="40"/>
    <x v="36"/>
    <n v="7293507918"/>
    <s v="Empresa BB"/>
    <s v="Manta"/>
    <x v="6"/>
    <x v="5"/>
    <s v="Empresa de embarque C"/>
    <s v="Tarjeta de crédito"/>
    <s v="Café"/>
    <x v="0"/>
    <n v="644"/>
    <n v="32"/>
    <x v="37"/>
  </r>
  <r>
    <n v="41"/>
    <x v="37"/>
    <n v="3459323228"/>
    <s v="Empresa I"/>
    <s v="Guayaquil"/>
    <x v="3"/>
    <x v="7"/>
    <s v="Empresa de embarque A"/>
    <s v="Cheque"/>
    <s v="Almejas"/>
    <x v="4"/>
    <n v="135.1"/>
    <n v="27"/>
    <x v="38"/>
  </r>
  <r>
    <n v="42"/>
    <x v="9"/>
    <n v="1144627655"/>
    <s v="Empresa F"/>
    <s v="Ibarra"/>
    <x v="5"/>
    <x v="4"/>
    <s v="Empresa de embarque B"/>
    <s v="Tarjeta de crédito"/>
    <s v="Chocolate"/>
    <x v="3"/>
    <n v="178.5"/>
    <n v="71"/>
    <x v="39"/>
  </r>
  <r>
    <n v="43"/>
    <x v="38"/>
    <n v="3986713828"/>
    <s v="Empresa H"/>
    <s v="Riobamba"/>
    <x v="2"/>
    <x v="2"/>
    <s v="Empresa de embarque B"/>
    <s v="Cheque"/>
    <s v="Chocolate"/>
    <x v="3"/>
    <n v="178.5"/>
    <n v="13"/>
    <x v="40"/>
  </r>
  <r>
    <n v="44"/>
    <x v="39"/>
    <n v="9350633665"/>
    <s v="Empresa Y"/>
    <s v="Esmeraldas"/>
    <x v="7"/>
    <x v="6"/>
    <s v="Empresa de embarque A"/>
    <s v="Efectivo"/>
    <s v="Condimento cajún"/>
    <x v="7"/>
    <n v="308"/>
    <n v="98"/>
    <x v="41"/>
  </r>
  <r>
    <n v="45"/>
    <x v="40"/>
    <n v="4918639925"/>
    <s v="Empresa Z"/>
    <s v="Quito"/>
    <x v="9"/>
    <x v="5"/>
    <s v="Empresa de embarque C"/>
    <s v="Tarjeta de crédito"/>
    <s v="Jalea de fresa"/>
    <x v="6"/>
    <n v="350"/>
    <n v="21"/>
    <x v="42"/>
  </r>
  <r>
    <n v="46"/>
    <x v="41"/>
    <n v="9630006862"/>
    <s v="Empresa CC"/>
    <s v="Guayaquil"/>
    <x v="3"/>
    <x v="3"/>
    <s v="Empresa de embarque B"/>
    <s v="Cheque"/>
    <s v="Cóctel de frutas"/>
    <x v="12"/>
    <n v="546"/>
    <n v="26"/>
    <x v="43"/>
  </r>
  <r>
    <n v="47"/>
    <x v="42"/>
    <n v="9029002933"/>
    <s v="Empresa F"/>
    <s v="Ibarra"/>
    <x v="5"/>
    <x v="4"/>
    <s v="Empresa de embarque C"/>
    <s v="Cheque"/>
    <s v="Peras secas"/>
    <x v="1"/>
    <n v="420"/>
    <n v="96"/>
    <x v="35"/>
  </r>
  <r>
    <n v="48"/>
    <x v="43"/>
    <n v="5702300844"/>
    <s v="Empresa F"/>
    <s v="Ibarra"/>
    <x v="5"/>
    <x v="4"/>
    <s v="Empresa de embarque C"/>
    <s v="Cheque"/>
    <s v="Manzanas secas"/>
    <x v="1"/>
    <n v="742"/>
    <n v="16"/>
    <x v="44"/>
  </r>
  <r>
    <n v="49"/>
    <x v="44"/>
    <n v="6885713027"/>
    <s v="Empresa D"/>
    <s v="Azogues"/>
    <x v="1"/>
    <x v="1"/>
    <m/>
    <m/>
    <s v="Pasta penne"/>
    <x v="9"/>
    <n v="532"/>
    <n v="96"/>
    <x v="45"/>
  </r>
  <r>
    <n v="50"/>
    <x v="12"/>
    <n v="5156178317"/>
    <s v="Empresa C"/>
    <s v="Machala"/>
    <x v="4"/>
    <x v="0"/>
    <m/>
    <m/>
    <s v="Té verde"/>
    <x v="0"/>
    <n v="41.86"/>
    <n v="75"/>
    <x v="46"/>
  </r>
  <r>
    <n v="51"/>
    <x v="45"/>
    <n v="9993785470"/>
    <s v="Empresa I"/>
    <s v="Guayaquil"/>
    <x v="3"/>
    <x v="7"/>
    <s v="Empresa de embarque A"/>
    <s v="Cheque"/>
    <s v="Ravioli"/>
    <x v="9"/>
    <n v="273"/>
    <n v="55"/>
    <x v="47"/>
  </r>
  <r>
    <n v="52"/>
    <x v="46"/>
    <n v="2344903076"/>
    <s v="Empresa I"/>
    <s v="Guayaquil"/>
    <x v="3"/>
    <x v="7"/>
    <s v="Empresa de embarque A"/>
    <s v="Cheque"/>
    <s v="Mozzarella"/>
    <x v="10"/>
    <n v="487.19999999999993"/>
    <n v="11"/>
    <x v="48"/>
  </r>
  <r>
    <n v="53"/>
    <x v="47"/>
    <n v="5773601950"/>
    <s v="Empresa F"/>
    <s v="Ibarra"/>
    <x v="5"/>
    <x v="4"/>
    <s v="Empresa de embarque B"/>
    <s v="Tarjeta de crédito"/>
    <s v="Cerveza"/>
    <x v="0"/>
    <n v="196"/>
    <n v="53"/>
    <x v="49"/>
  </r>
  <r>
    <n v="54"/>
    <x v="48"/>
    <n v="4818078168"/>
    <s v="Empresa H"/>
    <s v="Riobamba"/>
    <x v="2"/>
    <x v="2"/>
    <s v="Empresa de embarque B"/>
    <s v="Cheque"/>
    <s v="Salsa curry"/>
    <x v="5"/>
    <n v="560"/>
    <n v="85"/>
    <x v="50"/>
  </r>
  <r>
    <n v="55"/>
    <x v="49"/>
    <n v="9107195581"/>
    <s v="Empresa H"/>
    <s v="Riobamba"/>
    <x v="2"/>
    <x v="2"/>
    <s v="Empresa de embarque B"/>
    <s v="Cheque"/>
    <s v="Galletas de chocolate"/>
    <x v="2"/>
    <n v="128.79999999999998"/>
    <n v="97"/>
    <x v="51"/>
  </r>
  <r>
    <n v="56"/>
    <x v="50"/>
    <n v="5806733138"/>
    <s v="Empresa Y"/>
    <s v="Esmeraldas"/>
    <x v="7"/>
    <x v="6"/>
    <s v="Empresa de embarque A"/>
    <s v="Efectivo"/>
    <s v="Bolillos"/>
    <x v="2"/>
    <n v="140"/>
    <n v="46"/>
    <x v="52"/>
  </r>
  <r>
    <n v="57"/>
    <x v="51"/>
    <n v="3059258597"/>
    <s v="Empresa Z"/>
    <s v="Quito"/>
    <x v="9"/>
    <x v="5"/>
    <s v="Empresa de embarque C"/>
    <s v="Tarjeta de crédito"/>
    <s v="Aceite de oliva"/>
    <x v="13"/>
    <n v="298.90000000000003"/>
    <n v="97"/>
    <x v="53"/>
  </r>
  <r>
    <n v="58"/>
    <x v="52"/>
    <n v="586395005"/>
    <s v="Empresa Z"/>
    <s v="Quito"/>
    <x v="9"/>
    <x v="5"/>
    <s v="Empresa de embarque C"/>
    <s v="Tarjeta de crédito"/>
    <s v="Almejas"/>
    <x v="4"/>
    <n v="135.1"/>
    <n v="97"/>
    <x v="54"/>
  </r>
  <r>
    <n v="59"/>
    <x v="53"/>
    <n v="9281389647"/>
    <s v="Empresa Z"/>
    <s v="Quito"/>
    <x v="9"/>
    <x v="5"/>
    <s v="Empresa de embarque C"/>
    <s v="Tarjeta de crédito"/>
    <s v="Carne de cangrejo"/>
    <x v="8"/>
    <n v="257.59999999999997"/>
    <n v="65"/>
    <x v="55"/>
  </r>
  <r>
    <n v="60"/>
    <x v="54"/>
    <n v="2230409971"/>
    <s v="Empresa CC"/>
    <s v="Guayaquil"/>
    <x v="3"/>
    <x v="3"/>
    <s v="Empresa de embarque B"/>
    <s v="Cheque"/>
    <s v="Cerveza"/>
    <x v="0"/>
    <n v="196"/>
    <n v="72"/>
    <x v="56"/>
  </r>
  <r>
    <n v="61"/>
    <x v="34"/>
    <n v="498762200"/>
    <s v="Empresa F"/>
    <s v="Ibarra"/>
    <x v="5"/>
    <x v="4"/>
    <s v="Empresa de embarque C"/>
    <s v="Cheque"/>
    <s v="Chocolate"/>
    <x v="3"/>
    <n v="178.5"/>
    <n v="16"/>
    <x v="57"/>
  </r>
  <r>
    <n v="62"/>
    <x v="55"/>
    <n v="5059332572"/>
    <s v="Empresa D"/>
    <s v="Azogues"/>
    <x v="1"/>
    <x v="1"/>
    <s v="Empresa de embarque A"/>
    <s v="Tarjeta de crédito"/>
    <s v="Mermelada de zarzamora"/>
    <x v="6"/>
    <n v="1134"/>
    <n v="77"/>
    <x v="58"/>
  </r>
  <r>
    <n v="63"/>
    <x v="56"/>
    <n v="807667000"/>
    <s v="Empresa D"/>
    <s v="Azogues"/>
    <x v="1"/>
    <x v="1"/>
    <s v="Empresa de embarque A"/>
    <s v="Tarjeta de crédito"/>
    <s v="Arroz de grano largo"/>
    <x v="14"/>
    <n v="98"/>
    <n v="37"/>
    <x v="59"/>
  </r>
  <r>
    <n v="64"/>
    <x v="57"/>
    <n v="4320869422"/>
    <s v="Empresa H"/>
    <s v="Riobamba"/>
    <x v="2"/>
    <x v="2"/>
    <s v="Empresa de embarque C"/>
    <s v="Tarjeta de crédito"/>
    <s v="Mozzarella"/>
    <x v="10"/>
    <n v="487.19999999999993"/>
    <n v="63"/>
    <x v="60"/>
  </r>
  <r>
    <n v="65"/>
    <x v="58"/>
    <n v="7227542762"/>
    <s v="Empresa C"/>
    <s v="Machala"/>
    <x v="4"/>
    <x v="0"/>
    <s v="Empresa de embarque B"/>
    <s v="Efectivo"/>
    <s v="Jarabe"/>
    <x v="7"/>
    <n v="140"/>
    <n v="48"/>
    <x v="61"/>
  </r>
  <r>
    <n v="66"/>
    <x v="59"/>
    <n v="4844854212"/>
    <s v="Empresa C"/>
    <s v="Machala"/>
    <x v="4"/>
    <x v="0"/>
    <s v="Empresa de embarque B"/>
    <s v="Efectivo"/>
    <s v="Salsa curry"/>
    <x v="5"/>
    <n v="560"/>
    <n v="71"/>
    <x v="62"/>
  </r>
  <r>
    <n v="67"/>
    <x v="60"/>
    <n v="6476704094"/>
    <s v="Empresa J"/>
    <s v="Esmeraldas"/>
    <x v="7"/>
    <x v="6"/>
    <s v="Empresa de embarque B"/>
    <s v="Tarjeta de crédito"/>
    <s v="Almendras"/>
    <x v="1"/>
    <n v="140"/>
    <n v="55"/>
    <x v="63"/>
  </r>
  <r>
    <n v="68"/>
    <x v="61"/>
    <n v="289513623"/>
    <s v="Empresa J"/>
    <s v="Esmeraldas"/>
    <x v="7"/>
    <x v="6"/>
    <s v="Empresa de embarque A"/>
    <m/>
    <s v="Ciruelas secas"/>
    <x v="1"/>
    <n v="49"/>
    <n v="21"/>
    <x v="64"/>
  </r>
  <r>
    <n v="69"/>
    <x v="62"/>
    <n v="4360909288"/>
    <s v="Empresa K"/>
    <s v="Quito"/>
    <x v="9"/>
    <x v="5"/>
    <s v="Empresa de embarque C"/>
    <m/>
    <s v="Salsa curry"/>
    <x v="5"/>
    <n v="560"/>
    <n v="67"/>
    <x v="65"/>
  </r>
  <r>
    <n v="70"/>
    <x v="63"/>
    <n v="1569352924"/>
    <s v="Empresa A"/>
    <s v="Ambato"/>
    <x v="10"/>
    <x v="2"/>
    <s v="Empresa de embarque C"/>
    <m/>
    <s v="Carne de cangrejo"/>
    <x v="8"/>
    <n v="257.59999999999997"/>
    <n v="75"/>
    <x v="66"/>
  </r>
  <r>
    <n v="71"/>
    <x v="64"/>
    <n v="4417023777"/>
    <s v="Empresa BB"/>
    <s v="Manta"/>
    <x v="6"/>
    <x v="5"/>
    <s v="Empresa de embarque C"/>
    <s v="Tarjeta de crédito"/>
    <s v="Café"/>
    <x v="0"/>
    <n v="644"/>
    <n v="17"/>
    <x v="67"/>
  </r>
  <r>
    <n v="72"/>
    <x v="28"/>
    <n v="5213348963"/>
    <s v="Empresa D"/>
    <s v="Azogues"/>
    <x v="1"/>
    <x v="1"/>
    <s v="Empresa de embarque A"/>
    <s v="Tarjeta de crédito"/>
    <s v="Ciruelas secas"/>
    <x v="1"/>
    <n v="49"/>
    <n v="48"/>
    <x v="68"/>
  </r>
  <r>
    <n v="73"/>
    <x v="65"/>
    <n v="6039525395"/>
    <s v="Empresa L"/>
    <s v="Cuenca"/>
    <x v="0"/>
    <x v="0"/>
    <s v="Empresa de embarque B"/>
    <s v="Tarjeta de crédito"/>
    <s v="Té chai"/>
    <x v="0"/>
    <n v="252"/>
    <n v="74"/>
    <x v="69"/>
  </r>
  <r>
    <n v="74"/>
    <x v="47"/>
    <n v="7564866770"/>
    <s v="Empresa L"/>
    <s v="Cuenca"/>
    <x v="0"/>
    <x v="0"/>
    <s v="Empresa de embarque B"/>
    <s v="Tarjeta de crédito"/>
    <s v="Café"/>
    <x v="0"/>
    <n v="644"/>
    <n v="96"/>
    <x v="70"/>
  </r>
  <r>
    <n v="75"/>
    <x v="66"/>
    <n v="9161740728"/>
    <s v="Empresa H"/>
    <s v="Riobamba"/>
    <x v="2"/>
    <x v="2"/>
    <s v="Empresa de embarque C"/>
    <s v="Tarjeta de crédito"/>
    <s v="Galletas de chocolate"/>
    <x v="2"/>
    <n v="128.79999999999998"/>
    <n v="12"/>
    <x v="71"/>
  </r>
  <r>
    <n v="76"/>
    <x v="67"/>
    <n v="5854661633"/>
    <s v="Empresa D"/>
    <s v="Azogues"/>
    <x v="1"/>
    <x v="1"/>
    <s v="Empresa de embarque C"/>
    <s v="Cheque"/>
    <s v="Galletas de chocolate"/>
    <x v="2"/>
    <n v="128.79999999999998"/>
    <n v="62"/>
    <x v="72"/>
  </r>
  <r>
    <n v="77"/>
    <x v="68"/>
    <n v="9782824487"/>
    <s v="Empresa CC"/>
    <s v="Guayaquil"/>
    <x v="3"/>
    <x v="3"/>
    <s v="Empresa de embarque B"/>
    <s v="Cheque"/>
    <s v="Chocolate"/>
    <x v="3"/>
    <n v="178.5"/>
    <n v="35"/>
    <x v="73"/>
  </r>
  <r>
    <n v="78"/>
    <x v="69"/>
    <n v="5368581132"/>
    <s v="Empresa C"/>
    <s v="Machala"/>
    <x v="4"/>
    <x v="0"/>
    <s v="Empresa de embarque B"/>
    <s v="Efectivo"/>
    <s v="Almejas"/>
    <x v="4"/>
    <n v="135.1"/>
    <n v="95"/>
    <x v="74"/>
  </r>
  <r>
    <n v="79"/>
    <x v="70"/>
    <n v="1972466220"/>
    <s v="Empresa F"/>
    <s v="Ibarra"/>
    <x v="5"/>
    <x v="4"/>
    <s v="Empresa de embarque B"/>
    <s v="Tarjeta de crédito"/>
    <s v="Salsa curry"/>
    <x v="5"/>
    <n v="560"/>
    <n v="17"/>
    <x v="75"/>
  </r>
  <r>
    <n v="80"/>
    <x v="71"/>
    <n v="6835780904"/>
    <s v="Empresa BB"/>
    <s v="Manta"/>
    <x v="6"/>
    <x v="5"/>
    <s v="Empresa de embarque C"/>
    <s v="Cheque"/>
    <s v="Café"/>
    <x v="0"/>
    <n v="644"/>
    <n v="96"/>
    <x v="70"/>
  </r>
  <r>
    <n v="81"/>
    <x v="72"/>
    <n v="9361876990"/>
    <s v="Empresa H"/>
    <s v="Riobamba"/>
    <x v="2"/>
    <x v="2"/>
    <s v="Empresa de embarque C"/>
    <s v="Cheque"/>
    <s v="Chocolate"/>
    <x v="3"/>
    <n v="178.5"/>
    <n v="83"/>
    <x v="76"/>
  </r>
  <r>
    <n v="82"/>
    <x v="73"/>
    <n v="7655628230"/>
    <s v="Empresa J"/>
    <s v="Esmeraldas"/>
    <x v="7"/>
    <x v="6"/>
    <s v="Empresa de embarque B"/>
    <s v="Tarjeta de crédito"/>
    <s v="Té verde"/>
    <x v="0"/>
    <n v="41.86"/>
    <n v="88"/>
    <x v="77"/>
  </r>
  <r>
    <n v="83"/>
    <x v="35"/>
    <n v="6770397729"/>
    <s v="Empresa G"/>
    <s v="Guaranda"/>
    <x v="8"/>
    <x v="2"/>
    <m/>
    <m/>
    <s v="Café"/>
    <x v="0"/>
    <n v="644"/>
    <n v="59"/>
    <x v="78"/>
  </r>
  <r>
    <n v="84"/>
    <x v="74"/>
    <n v="6622149015"/>
    <s v="Empresa J"/>
    <s v="Esmeraldas"/>
    <x v="7"/>
    <x v="6"/>
    <s v="Empresa de embarque A"/>
    <m/>
    <s v="Jalea de fresa"/>
    <x v="6"/>
    <n v="350"/>
    <n v="27"/>
    <x v="79"/>
  </r>
  <r>
    <n v="85"/>
    <x v="75"/>
    <n v="8859429908"/>
    <s v="Empresa J"/>
    <s v="Esmeraldas"/>
    <x v="7"/>
    <x v="6"/>
    <s v="Empresa de embarque A"/>
    <m/>
    <s v="Condimento cajún"/>
    <x v="7"/>
    <n v="308"/>
    <n v="37"/>
    <x v="80"/>
  </r>
  <r>
    <n v="86"/>
    <x v="76"/>
    <n v="146252536"/>
    <s v="Empresa J"/>
    <s v="Esmeraldas"/>
    <x v="7"/>
    <x v="6"/>
    <s v="Empresa de embarque A"/>
    <m/>
    <s v="Galletas de chocolate"/>
    <x v="2"/>
    <n v="128.79999999999998"/>
    <n v="75"/>
    <x v="81"/>
  </r>
  <r>
    <n v="87"/>
    <x v="77"/>
    <n v="9010865731"/>
    <s v="Empresa K"/>
    <s v="Quito"/>
    <x v="9"/>
    <x v="5"/>
    <s v="Empresa de embarque C"/>
    <m/>
    <s v="Ciruelas secas"/>
    <x v="1"/>
    <n v="49"/>
    <n v="71"/>
    <x v="82"/>
  </r>
  <r>
    <n v="88"/>
    <x v="78"/>
    <n v="9076170123"/>
    <s v="Empresa K"/>
    <s v="Quito"/>
    <x v="9"/>
    <x v="5"/>
    <s v="Empresa de embarque C"/>
    <m/>
    <s v="Té verde"/>
    <x v="0"/>
    <n v="41.86"/>
    <n v="88"/>
    <x v="77"/>
  </r>
  <r>
    <n v="89"/>
    <x v="79"/>
    <n v="4412491838"/>
    <s v="Empresa A"/>
    <s v="Ambato"/>
    <x v="10"/>
    <x v="2"/>
    <m/>
    <m/>
    <s v="Té chai"/>
    <x v="0"/>
    <n v="252"/>
    <n v="55"/>
    <x v="83"/>
  </r>
  <r>
    <n v="90"/>
    <x v="50"/>
    <n v="7223227521"/>
    <s v="Empresa CC"/>
    <s v="Guayaquil"/>
    <x v="3"/>
    <x v="3"/>
    <s v="Empresa de embarque B"/>
    <s v="Cheque"/>
    <s v="Chocolate"/>
    <x v="3"/>
    <n v="178.5"/>
    <n v="14"/>
    <x v="84"/>
  </r>
  <r>
    <n v="91"/>
    <x v="80"/>
    <n v="9595973394"/>
    <s v="Empresa C"/>
    <s v="Machala"/>
    <x v="4"/>
    <x v="0"/>
    <s v="Empresa de embarque B"/>
    <s v="Efectivo"/>
    <s v="Almejas"/>
    <x v="4"/>
    <n v="135.1"/>
    <n v="43"/>
    <x v="85"/>
  </r>
  <r>
    <n v="92"/>
    <x v="81"/>
    <n v="2755531090"/>
    <s v="Empresa F"/>
    <s v="Ibarra"/>
    <x v="5"/>
    <x v="4"/>
    <s v="Empresa de embarque B"/>
    <s v="Tarjeta de crédito"/>
    <s v="Salsa curry"/>
    <x v="5"/>
    <n v="560"/>
    <n v="63"/>
    <x v="86"/>
  </r>
  <r>
    <n v="93"/>
    <x v="82"/>
    <n v="5306800000"/>
    <s v="Empresa BB"/>
    <s v="Manta"/>
    <x v="6"/>
    <x v="5"/>
    <s v="Empresa de embarque C"/>
    <s v="Cheque"/>
    <s v="Café"/>
    <x v="0"/>
    <n v="644"/>
    <n v="36"/>
    <x v="87"/>
  </r>
  <r>
    <n v="94"/>
    <x v="54"/>
    <n v="6768826719"/>
    <s v="Empresa H"/>
    <s v="Riobamba"/>
    <x v="2"/>
    <x v="2"/>
    <s v="Empresa de embarque C"/>
    <s v="Cheque"/>
    <s v="Chocolate"/>
    <x v="3"/>
    <n v="178.5"/>
    <n v="41"/>
    <x v="88"/>
  </r>
  <r>
    <n v="95"/>
    <x v="83"/>
    <n v="7945500000"/>
    <s v="Empresa J"/>
    <s v="Esmeraldas"/>
    <x v="7"/>
    <x v="6"/>
    <s v="Empresa de embarque B"/>
    <s v="Tarjeta de crédito"/>
    <s v="Té verde"/>
    <x v="0"/>
    <n v="41.86"/>
    <n v="35"/>
    <x v="89"/>
  </r>
  <r>
    <n v="96"/>
    <x v="83"/>
    <n v="4671327569"/>
    <s v="Empresa G"/>
    <s v="Guaranda"/>
    <x v="8"/>
    <x v="2"/>
    <m/>
    <m/>
    <s v="Café"/>
    <x v="0"/>
    <n v="644"/>
    <n v="31"/>
    <x v="90"/>
  </r>
  <r>
    <n v="97"/>
    <x v="84"/>
    <n v="5750783013"/>
    <s v="Empresa J"/>
    <s v="Esmeraldas"/>
    <x v="7"/>
    <x v="6"/>
    <s v="Empresa de embarque A"/>
    <m/>
    <s v="Jalea de fresa"/>
    <x v="6"/>
    <n v="350"/>
    <n v="52"/>
    <x v="91"/>
  </r>
  <r>
    <n v="98"/>
    <x v="85"/>
    <n v="1216202808"/>
    <s v="Empresa J"/>
    <s v="Esmeraldas"/>
    <x v="7"/>
    <x v="6"/>
    <s v="Empresa de embarque A"/>
    <m/>
    <s v="Condimento cajún"/>
    <x v="7"/>
    <n v="308"/>
    <n v="30"/>
    <x v="92"/>
  </r>
  <r>
    <n v="99"/>
    <x v="86"/>
    <n v="7167041532"/>
    <s v="Empresa J"/>
    <s v="Esmeraldas"/>
    <x v="7"/>
    <x v="6"/>
    <s v="Empresa de embarque A"/>
    <m/>
    <s v="Galletas de chocolate"/>
    <x v="2"/>
    <n v="128.79999999999998"/>
    <n v="41"/>
    <x v="93"/>
  </r>
  <r>
    <n v="100"/>
    <x v="87"/>
    <n v="2241191338"/>
    <s v="Empresa K"/>
    <s v="Quito"/>
    <x v="9"/>
    <x v="5"/>
    <s v="Empresa de embarque C"/>
    <m/>
    <s v="Ciruelas secas"/>
    <x v="1"/>
    <n v="49"/>
    <n v="44"/>
    <x v="94"/>
  </r>
  <r>
    <n v="101"/>
    <x v="88"/>
    <n v="806264266"/>
    <s v="Empresa K"/>
    <s v="Quito"/>
    <x v="9"/>
    <x v="5"/>
    <s v="Empresa de embarque C"/>
    <m/>
    <s v="Té verde"/>
    <x v="0"/>
    <n v="41.86"/>
    <n v="77"/>
    <x v="95"/>
  </r>
  <r>
    <n v="102"/>
    <x v="89"/>
    <n v="3820174684"/>
    <s v="Empresa A"/>
    <s v="Ambato"/>
    <x v="10"/>
    <x v="2"/>
    <m/>
    <m/>
    <s v="Té chai"/>
    <x v="0"/>
    <n v="252"/>
    <n v="29"/>
    <x v="96"/>
  </r>
  <r>
    <n v="103"/>
    <x v="90"/>
    <n v="5541796483"/>
    <s v="Empresa A"/>
    <s v="Ambato"/>
    <x v="10"/>
    <x v="2"/>
    <m/>
    <m/>
    <s v="Café"/>
    <x v="0"/>
    <n v="644"/>
    <n v="77"/>
    <x v="97"/>
  </r>
  <r>
    <n v="104"/>
    <x v="91"/>
    <n v="7096714976"/>
    <s v="Empresa A"/>
    <s v="Ambato"/>
    <x v="10"/>
    <x v="2"/>
    <m/>
    <m/>
    <s v="Té verde"/>
    <x v="0"/>
    <n v="41.86"/>
    <n v="73"/>
    <x v="98"/>
  </r>
  <r>
    <n v="105"/>
    <x v="92"/>
    <n v="2543114862"/>
    <s v="Empresa BB"/>
    <s v="Manta"/>
    <x v="6"/>
    <x v="5"/>
    <s v="Empresa de embarque C"/>
    <s v="Tarjeta de crédito"/>
    <s v="Almejas"/>
    <x v="4"/>
    <n v="135.1"/>
    <n v="74"/>
    <x v="99"/>
  </r>
  <r>
    <n v="106"/>
    <x v="38"/>
    <n v="6501127347"/>
    <s v="Empresa BB"/>
    <s v="Manta"/>
    <x v="6"/>
    <x v="5"/>
    <s v="Empresa de embarque C"/>
    <s v="Tarjeta de crédito"/>
    <s v="Carne de cangrejo"/>
    <x v="8"/>
    <n v="257.59999999999997"/>
    <n v="25"/>
    <x v="100"/>
  </r>
  <r>
    <n v="107"/>
    <x v="93"/>
    <n v="1322296163"/>
    <s v="Empresa I"/>
    <s v="Guayaquil"/>
    <x v="3"/>
    <x v="7"/>
    <s v="Empresa de embarque A"/>
    <s v="Cheque"/>
    <s v="Ravioli"/>
    <x v="9"/>
    <n v="273"/>
    <n v="82"/>
    <x v="101"/>
  </r>
  <r>
    <n v="108"/>
    <x v="94"/>
    <n v="5162222472"/>
    <s v="Empresa I"/>
    <s v="Guayaquil"/>
    <x v="3"/>
    <x v="7"/>
    <s v="Empresa de embarque A"/>
    <s v="Cheque"/>
    <s v="Mozzarella"/>
    <x v="10"/>
    <n v="487.19999999999993"/>
    <n v="37"/>
    <x v="102"/>
  </r>
  <r>
    <n v="109"/>
    <x v="95"/>
    <n v="5752777715"/>
    <s v="Empresa F"/>
    <s v="Ibarra"/>
    <x v="5"/>
    <x v="4"/>
    <s v="Empresa de embarque B"/>
    <s v="Tarjeta de crédito"/>
    <s v="Cerveza"/>
    <x v="0"/>
    <n v="196"/>
    <n v="84"/>
    <x v="103"/>
  </r>
  <r>
    <n v="110"/>
    <x v="85"/>
    <n v="2261700341"/>
    <s v="Empresa H"/>
    <s v="Riobamba"/>
    <x v="2"/>
    <x v="2"/>
    <s v="Empresa de embarque B"/>
    <s v="Cheque"/>
    <s v="Salsa curry"/>
    <x v="5"/>
    <n v="560"/>
    <n v="73"/>
    <x v="104"/>
  </r>
  <r>
    <n v="111"/>
    <x v="96"/>
    <n v="9950546196"/>
    <s v="Empresa H"/>
    <s v="Riobamba"/>
    <x v="2"/>
    <x v="2"/>
    <s v="Empresa de embarque B"/>
    <s v="Cheque"/>
    <s v="Galletas de chocolate"/>
    <x v="2"/>
    <n v="128.79999999999998"/>
    <n v="51"/>
    <x v="105"/>
  </r>
  <r>
    <n v="112"/>
    <x v="97"/>
    <n v="9911266011"/>
    <s v="Empresa Y"/>
    <s v="Esmeraldas"/>
    <x v="7"/>
    <x v="6"/>
    <s v="Empresa de embarque A"/>
    <s v="Efectivo"/>
    <s v="Bolillos"/>
    <x v="2"/>
    <n v="140"/>
    <n v="66"/>
    <x v="92"/>
  </r>
  <r>
    <n v="113"/>
    <x v="98"/>
    <n v="8455987495"/>
    <s v="Empresa Z"/>
    <s v="Quito"/>
    <x v="9"/>
    <x v="5"/>
    <s v="Empresa de embarque C"/>
    <s v="Tarjeta de crédito"/>
    <s v="Aceite de oliva"/>
    <x v="13"/>
    <n v="298.90000000000003"/>
    <n v="36"/>
    <x v="106"/>
  </r>
  <r>
    <n v="114"/>
    <x v="63"/>
    <n v="6668567210"/>
    <s v="Empresa Z"/>
    <s v="Quito"/>
    <x v="9"/>
    <x v="5"/>
    <s v="Empresa de embarque C"/>
    <s v="Tarjeta de crédito"/>
    <s v="Almejas"/>
    <x v="4"/>
    <n v="135.1"/>
    <n v="87"/>
    <x v="107"/>
  </r>
  <r>
    <n v="115"/>
    <x v="99"/>
    <n v="9528620750"/>
    <s v="Empresa Z"/>
    <s v="Quito"/>
    <x v="9"/>
    <x v="5"/>
    <s v="Empresa de embarque C"/>
    <s v="Tarjeta de crédito"/>
    <s v="Carne de cangrejo"/>
    <x v="8"/>
    <n v="257.59999999999997"/>
    <n v="64"/>
    <x v="108"/>
  </r>
  <r>
    <n v="116"/>
    <x v="100"/>
    <n v="1951835035"/>
    <s v="Empresa CC"/>
    <s v="Guayaquil"/>
    <x v="3"/>
    <x v="3"/>
    <s v="Empresa de embarque B"/>
    <s v="Cheque"/>
    <s v="Cerveza"/>
    <x v="0"/>
    <n v="196"/>
    <n v="21"/>
    <x v="109"/>
  </r>
  <r>
    <n v="117"/>
    <x v="101"/>
    <n v="8464805926"/>
    <s v="Empresa F"/>
    <s v="Ibarra"/>
    <x v="5"/>
    <x v="4"/>
    <s v="Empresa de embarque C"/>
    <s v="Cheque"/>
    <s v="Chocolate"/>
    <x v="3"/>
    <n v="178.5"/>
    <n v="19"/>
    <x v="110"/>
  </r>
  <r>
    <n v="118"/>
    <x v="102"/>
    <n v="1040241832"/>
    <s v="Empresa D"/>
    <s v="Azogues"/>
    <x v="1"/>
    <x v="1"/>
    <s v="Empresa de embarque A"/>
    <s v="Tarjeta de crédito"/>
    <s v="Mermelada de zarzamora"/>
    <x v="6"/>
    <n v="1134"/>
    <n v="23"/>
    <x v="111"/>
  </r>
  <r>
    <n v="119"/>
    <x v="103"/>
    <n v="5032769390"/>
    <s v="Empresa D"/>
    <s v="Azogues"/>
    <x v="1"/>
    <x v="1"/>
    <s v="Empresa de embarque A"/>
    <s v="Tarjeta de crédito"/>
    <s v="Arroz de grano largo"/>
    <x v="14"/>
    <n v="98"/>
    <n v="72"/>
    <x v="112"/>
  </r>
  <r>
    <n v="120"/>
    <x v="104"/>
    <n v="5375997402"/>
    <s v="Empresa H"/>
    <s v="Riobamba"/>
    <x v="2"/>
    <x v="2"/>
    <s v="Empresa de embarque C"/>
    <s v="Tarjeta de crédito"/>
    <s v="Mozzarella"/>
    <x v="10"/>
    <n v="487.19999999999993"/>
    <n v="22"/>
    <x v="113"/>
  </r>
  <r>
    <n v="121"/>
    <x v="105"/>
    <n v="967566383"/>
    <s v="Empresa C"/>
    <s v="Machala"/>
    <x v="4"/>
    <x v="0"/>
    <s v="Empresa de embarque B"/>
    <s v="Efectivo"/>
    <s v="Jarabe"/>
    <x v="7"/>
    <n v="140"/>
    <n v="82"/>
    <x v="114"/>
  </r>
  <r>
    <n v="122"/>
    <x v="106"/>
    <n v="7607007457"/>
    <s v="Empresa C"/>
    <s v="Machala"/>
    <x v="4"/>
    <x v="0"/>
    <s v="Empresa de embarque B"/>
    <s v="Efectivo"/>
    <s v="Salsa curry"/>
    <x v="5"/>
    <n v="560"/>
    <n v="98"/>
    <x v="115"/>
  </r>
  <r>
    <n v="123"/>
    <x v="107"/>
    <n v="6139722497"/>
    <s v="Empresa G"/>
    <s v="Guaranda"/>
    <x v="8"/>
    <x v="2"/>
    <m/>
    <m/>
    <s v="Café"/>
    <x v="0"/>
    <n v="644"/>
    <n v="71"/>
    <x v="116"/>
  </r>
  <r>
    <n v="124"/>
    <x v="79"/>
    <n v="6071133871"/>
    <s v="Empresa J"/>
    <s v="Esmeraldas"/>
    <x v="7"/>
    <x v="6"/>
    <s v="Empresa de embarque A"/>
    <m/>
    <s v="Jalea de fresa"/>
    <x v="6"/>
    <n v="350"/>
    <n v="40"/>
    <x v="117"/>
  </r>
  <r>
    <n v="125"/>
    <x v="108"/>
    <n v="8634772142"/>
    <s v="Empresa J"/>
    <s v="Esmeraldas"/>
    <x v="7"/>
    <x v="6"/>
    <s v="Empresa de embarque A"/>
    <m/>
    <s v="Condimento cajún"/>
    <x v="7"/>
    <n v="308"/>
    <n v="80"/>
    <x v="118"/>
  </r>
  <r>
    <n v="126"/>
    <x v="109"/>
    <n v="5431718510"/>
    <s v="Empresa J"/>
    <s v="Esmeraldas"/>
    <x v="7"/>
    <x v="6"/>
    <s v="Empresa de embarque A"/>
    <m/>
    <s v="Galletas de chocolate"/>
    <x v="2"/>
    <n v="128.79999999999998"/>
    <n v="38"/>
    <x v="119"/>
  </r>
  <r>
    <n v="127"/>
    <x v="110"/>
    <n v="7109276915"/>
    <s v="Empresa K"/>
    <s v="Quito"/>
    <x v="9"/>
    <x v="5"/>
    <s v="Empresa de embarque C"/>
    <m/>
    <s v="Ciruelas secas"/>
    <x v="1"/>
    <n v="49"/>
    <n v="28"/>
    <x v="120"/>
  </r>
  <r>
    <n v="128"/>
    <x v="111"/>
    <n v="8479136081"/>
    <s v="Empresa K"/>
    <s v="Quito"/>
    <x v="9"/>
    <x v="5"/>
    <s v="Empresa de embarque C"/>
    <m/>
    <s v="Té verde"/>
    <x v="0"/>
    <n v="41.86"/>
    <n v="60"/>
    <x v="121"/>
  </r>
  <r>
    <n v="129"/>
    <x v="26"/>
    <n v="7132355278"/>
    <s v="Empresa A"/>
    <s v="Ambato"/>
    <x v="10"/>
    <x v="2"/>
    <m/>
    <m/>
    <s v="Té chai"/>
    <x v="0"/>
    <n v="252"/>
    <n v="33"/>
    <x v="122"/>
  </r>
  <r>
    <n v="130"/>
    <x v="78"/>
    <n v="2885792785"/>
    <s v="Empresa A"/>
    <s v="Ambato"/>
    <x v="10"/>
    <x v="2"/>
    <m/>
    <m/>
    <s v="Café"/>
    <x v="0"/>
    <n v="644"/>
    <n v="22"/>
    <x v="123"/>
  </r>
  <r>
    <n v="131"/>
    <x v="112"/>
    <n v="3723941023"/>
    <s v="Empresa A"/>
    <s v="Ambato"/>
    <x v="10"/>
    <x v="2"/>
    <m/>
    <m/>
    <s v="Té verde"/>
    <x v="0"/>
    <n v="41.86"/>
    <n v="51"/>
    <x v="124"/>
  </r>
  <r>
    <n v="132"/>
    <x v="113"/>
    <n v="4827836337"/>
    <s v="Empresa BB"/>
    <s v="Manta"/>
    <x v="6"/>
    <x v="5"/>
    <s v="Empresa de embarque C"/>
    <s v="Tarjeta de crédito"/>
    <s v="Almejas"/>
    <x v="4"/>
    <n v="135.1"/>
    <n v="60"/>
    <x v="125"/>
  </r>
  <r>
    <n v="133"/>
    <x v="114"/>
    <n v="2633840866"/>
    <s v="Empresa BB"/>
    <s v="Manta"/>
    <x v="6"/>
    <x v="5"/>
    <s v="Empresa de embarque C"/>
    <s v="Tarjeta de crédito"/>
    <s v="Carne de cangrejo"/>
    <x v="8"/>
    <n v="257.59999999999997"/>
    <n v="98"/>
    <x v="126"/>
  </r>
  <r>
    <n v="134"/>
    <x v="115"/>
    <n v="2489359003"/>
    <s v="Empresa I"/>
    <s v="Guayaquil"/>
    <x v="3"/>
    <x v="7"/>
    <s v="Empresa de embarque A"/>
    <s v="Cheque"/>
    <s v="Ravioli"/>
    <x v="9"/>
    <n v="273"/>
    <n v="27"/>
    <x v="127"/>
  </r>
  <r>
    <n v="135"/>
    <x v="116"/>
    <n v="2347277376"/>
    <s v="Empresa I"/>
    <s v="Guayaquil"/>
    <x v="3"/>
    <x v="7"/>
    <s v="Empresa de embarque A"/>
    <s v="Cheque"/>
    <s v="Mozzarella"/>
    <x v="10"/>
    <n v="487.19999999999993"/>
    <n v="88"/>
    <x v="128"/>
  </r>
  <r>
    <n v="136"/>
    <x v="117"/>
    <n v="2071690973"/>
    <s v="Empresa F"/>
    <s v="Ibarra"/>
    <x v="5"/>
    <x v="4"/>
    <s v="Empresa de embarque B"/>
    <s v="Tarjeta de crédito"/>
    <s v="Cerveza"/>
    <x v="0"/>
    <n v="196"/>
    <n v="65"/>
    <x v="129"/>
  </r>
  <r>
    <n v="137"/>
    <x v="118"/>
    <n v="1196729221"/>
    <s v="Empresa H"/>
    <s v="Riobamba"/>
    <x v="2"/>
    <x v="2"/>
    <s v="Empresa de embarque B"/>
    <s v="Cheque"/>
    <s v="Salsa curry"/>
    <x v="5"/>
    <n v="560"/>
    <n v="38"/>
    <x v="130"/>
  </r>
  <r>
    <n v="138"/>
    <x v="119"/>
    <n v="9020365601"/>
    <s v="Empresa H"/>
    <s v="Riobamba"/>
    <x v="2"/>
    <x v="2"/>
    <s v="Empresa de embarque B"/>
    <s v="Cheque"/>
    <s v="Galletas de chocolate"/>
    <x v="2"/>
    <n v="128.79999999999998"/>
    <n v="80"/>
    <x v="131"/>
  </r>
  <r>
    <n v="139"/>
    <x v="120"/>
    <n v="4818692078"/>
    <s v="Empresa Y"/>
    <s v="Esmeraldas"/>
    <x v="7"/>
    <x v="6"/>
    <s v="Empresa de embarque A"/>
    <s v="Efectivo"/>
    <s v="Bolillos"/>
    <x v="2"/>
    <n v="140"/>
    <n v="49"/>
    <x v="132"/>
  </r>
  <r>
    <n v="140"/>
    <x v="121"/>
    <n v="6502762369"/>
    <s v="Empresa Z"/>
    <s v="Quito"/>
    <x v="9"/>
    <x v="5"/>
    <s v="Empresa de embarque C"/>
    <s v="Tarjeta de crédito"/>
    <s v="Aceite de oliva"/>
    <x v="13"/>
    <n v="298.90000000000003"/>
    <n v="90"/>
    <x v="133"/>
  </r>
  <r>
    <n v="141"/>
    <x v="122"/>
    <n v="924402492"/>
    <s v="Empresa Z"/>
    <s v="Quito"/>
    <x v="9"/>
    <x v="5"/>
    <s v="Empresa de embarque C"/>
    <s v="Tarjeta de crédito"/>
    <s v="Almejas"/>
    <x v="4"/>
    <n v="135.1"/>
    <n v="60"/>
    <x v="125"/>
  </r>
  <r>
    <n v="142"/>
    <x v="123"/>
    <n v="5633857209"/>
    <s v="Empresa Z"/>
    <s v="Quito"/>
    <x v="9"/>
    <x v="5"/>
    <s v="Empresa de embarque C"/>
    <s v="Tarjeta de crédito"/>
    <s v="Carne de cangrejo"/>
    <x v="8"/>
    <n v="257.59999999999997"/>
    <n v="39"/>
    <x v="134"/>
  </r>
  <r>
    <n v="143"/>
    <x v="124"/>
    <n v="9715216432"/>
    <s v="Empresa CC"/>
    <s v="Guayaquil"/>
    <x v="3"/>
    <x v="3"/>
    <s v="Empresa de embarque B"/>
    <s v="Cheque"/>
    <s v="Cerveza"/>
    <x v="0"/>
    <n v="196"/>
    <n v="79"/>
    <x v="135"/>
  </r>
  <r>
    <n v="144"/>
    <x v="84"/>
    <n v="2808433382"/>
    <s v="Empresa F"/>
    <s v="Ibarra"/>
    <x v="5"/>
    <x v="4"/>
    <s v="Empresa de embarque C"/>
    <s v="Cheque"/>
    <s v="Chocolate"/>
    <x v="3"/>
    <n v="178.5"/>
    <n v="44"/>
    <x v="136"/>
  </r>
  <r>
    <n v="145"/>
    <x v="125"/>
    <n v="5585231955"/>
    <s v="Empresa D"/>
    <s v="Azogues"/>
    <x v="1"/>
    <x v="1"/>
    <s v="Empresa de embarque A"/>
    <s v="Tarjeta de crédito"/>
    <s v="Mermelada de zarzamora"/>
    <x v="6"/>
    <n v="1134"/>
    <n v="98"/>
    <x v="137"/>
  </r>
  <r>
    <n v="146"/>
    <x v="126"/>
    <n v="4338999814"/>
    <s v="Empresa D"/>
    <s v="Azogues"/>
    <x v="1"/>
    <x v="1"/>
    <s v="Empresa de embarque A"/>
    <s v="Tarjeta de crédito"/>
    <s v="Arroz de grano largo"/>
    <x v="14"/>
    <n v="98"/>
    <n v="61"/>
    <x v="138"/>
  </r>
  <r>
    <n v="147"/>
    <x v="127"/>
    <n v="3475726472"/>
    <s v="Empresa H"/>
    <s v="Riobamba"/>
    <x v="2"/>
    <x v="2"/>
    <s v="Empresa de embarque C"/>
    <s v="Tarjeta de crédito"/>
    <s v="Mozzarella"/>
    <x v="10"/>
    <n v="487.19999999999993"/>
    <n v="30"/>
    <x v="139"/>
  </r>
  <r>
    <n v="148"/>
    <x v="128"/>
    <n v="9727843310"/>
    <s v="Empresa C"/>
    <s v="Machala"/>
    <x v="4"/>
    <x v="0"/>
    <s v="Empresa de embarque B"/>
    <s v="Efectivo"/>
    <s v="Jarabe"/>
    <x v="7"/>
    <n v="140"/>
    <n v="24"/>
    <x v="19"/>
  </r>
  <r>
    <n v="149"/>
    <x v="129"/>
    <n v="536031236"/>
    <s v="Empresa C"/>
    <s v="Machala"/>
    <x v="4"/>
    <x v="0"/>
    <s v="Empresa de embarque B"/>
    <s v="Efectivo"/>
    <s v="Salsa curry"/>
    <x v="5"/>
    <n v="560"/>
    <n v="28"/>
    <x v="140"/>
  </r>
  <r>
    <n v="150"/>
    <x v="21"/>
    <n v="1875435757"/>
    <s v="Empresa J"/>
    <s v="Esmeraldas"/>
    <x v="7"/>
    <x v="6"/>
    <s v="Empresa de embarque B"/>
    <s v="Tarjeta de crédito"/>
    <s v="Almendras"/>
    <x v="1"/>
    <n v="140"/>
    <n v="74"/>
    <x v="141"/>
  </r>
  <r>
    <n v="151"/>
    <x v="130"/>
    <n v="8711973073"/>
    <s v="Empresa J"/>
    <s v="Esmeraldas"/>
    <x v="7"/>
    <x v="6"/>
    <s v="Empresa de embarque A"/>
    <m/>
    <s v="Ciruelas secas"/>
    <x v="1"/>
    <n v="49"/>
    <n v="90"/>
    <x v="142"/>
  </r>
  <r>
    <n v="152"/>
    <x v="126"/>
    <n v="1214228285"/>
    <s v="Empresa K"/>
    <s v="Quito"/>
    <x v="9"/>
    <x v="5"/>
    <s v="Empresa de embarque C"/>
    <m/>
    <s v="Salsa curry"/>
    <x v="5"/>
    <n v="560"/>
    <n v="27"/>
    <x v="143"/>
  </r>
  <r>
    <n v="153"/>
    <x v="131"/>
    <n v="3447948983"/>
    <s v="Empresa A"/>
    <s v="Ambato"/>
    <x v="10"/>
    <x v="2"/>
    <s v="Empresa de embarque C"/>
    <m/>
    <s v="Carne de cangrejo"/>
    <x v="8"/>
    <n v="257.59999999999997"/>
    <n v="71"/>
    <x v="144"/>
  </r>
  <r>
    <n v="154"/>
    <x v="132"/>
    <n v="8753770178"/>
    <s v="Empresa BB"/>
    <s v="Manta"/>
    <x v="6"/>
    <x v="5"/>
    <s v="Empresa de embarque C"/>
    <s v="Tarjeta de crédito"/>
    <s v="Café"/>
    <x v="0"/>
    <n v="644"/>
    <n v="74"/>
    <x v="145"/>
  </r>
  <r>
    <n v="155"/>
    <x v="55"/>
    <n v="493013693"/>
    <s v="Empresa I"/>
    <s v="Guayaquil"/>
    <x v="3"/>
    <x v="7"/>
    <s v="Empresa de embarque A"/>
    <s v="Cheque"/>
    <s v="Almejas"/>
    <x v="4"/>
    <n v="135.1"/>
    <n v="76"/>
    <x v="146"/>
  </r>
  <r>
    <n v="156"/>
    <x v="133"/>
    <n v="4097578178"/>
    <s v="Empresa F"/>
    <s v="Ibarra"/>
    <x v="5"/>
    <x v="4"/>
    <s v="Empresa de embarque B"/>
    <s v="Tarjeta de crédito"/>
    <s v="Chocolate"/>
    <x v="3"/>
    <n v="178.5"/>
    <n v="96"/>
    <x v="147"/>
  </r>
  <r>
    <n v="157"/>
    <x v="134"/>
    <n v="9949307477"/>
    <s v="Empresa H"/>
    <s v="Riobamba"/>
    <x v="2"/>
    <x v="2"/>
    <s v="Empresa de embarque B"/>
    <s v="Cheque"/>
    <s v="Chocolate"/>
    <x v="3"/>
    <n v="178.5"/>
    <n v="92"/>
    <x v="148"/>
  </r>
  <r>
    <n v="158"/>
    <x v="135"/>
    <n v="2521830520"/>
    <s v="Empresa Y"/>
    <s v="Esmeraldas"/>
    <x v="7"/>
    <x v="6"/>
    <s v="Empresa de embarque A"/>
    <s v="Efectivo"/>
    <s v="Condimento cajún"/>
    <x v="7"/>
    <n v="308"/>
    <n v="93"/>
    <x v="149"/>
  </r>
  <r>
    <n v="159"/>
    <x v="34"/>
    <n v="4224616034"/>
    <s v="Empresa Z"/>
    <s v="Quito"/>
    <x v="9"/>
    <x v="5"/>
    <s v="Empresa de embarque C"/>
    <s v="Tarjeta de crédito"/>
    <s v="Jalea de fresa"/>
    <x v="6"/>
    <n v="350"/>
    <n v="18"/>
    <x v="150"/>
  </r>
  <r>
    <n v="160"/>
    <x v="136"/>
    <n v="7169314881"/>
    <s v="Empresa CC"/>
    <s v="Guayaquil"/>
    <x v="3"/>
    <x v="3"/>
    <s v="Empresa de embarque B"/>
    <s v="Cheque"/>
    <s v="Cóctel de frutas"/>
    <x v="12"/>
    <n v="546"/>
    <n v="98"/>
    <x v="151"/>
  </r>
  <r>
    <n v="161"/>
    <x v="134"/>
    <n v="8313545064"/>
    <s v="Empresa F"/>
    <s v="Ibarra"/>
    <x v="5"/>
    <x v="4"/>
    <s v="Empresa de embarque C"/>
    <s v="Cheque"/>
    <s v="Peras secas"/>
    <x v="1"/>
    <n v="420"/>
    <n v="46"/>
    <x v="152"/>
  </r>
  <r>
    <n v="162"/>
    <x v="137"/>
    <n v="5739621013"/>
    <s v="Empresa F"/>
    <s v="Ibarra"/>
    <x v="5"/>
    <x v="4"/>
    <s v="Empresa de embarque C"/>
    <s v="Cheque"/>
    <s v="Manzanas secas"/>
    <x v="1"/>
    <n v="742"/>
    <n v="14"/>
    <x v="49"/>
  </r>
  <r>
    <n v="163"/>
    <x v="138"/>
    <n v="1789830506"/>
    <s v="Empresa D"/>
    <s v="Azogues"/>
    <x v="1"/>
    <x v="1"/>
    <m/>
    <m/>
    <s v="Pasta penne"/>
    <x v="9"/>
    <n v="532"/>
    <n v="85"/>
    <x v="153"/>
  </r>
  <r>
    <n v="164"/>
    <x v="139"/>
    <n v="6281652174"/>
    <s v="Empresa C"/>
    <s v="Machala"/>
    <x v="4"/>
    <x v="0"/>
    <m/>
    <m/>
    <s v="Té verde"/>
    <x v="0"/>
    <n v="41.86"/>
    <n v="88"/>
    <x v="77"/>
  </r>
  <r>
    <n v="165"/>
    <x v="140"/>
    <n v="8126696083"/>
    <s v="Empresa A"/>
    <s v="Ambato"/>
    <x v="10"/>
    <x v="2"/>
    <m/>
    <m/>
    <s v="Té verde"/>
    <x v="0"/>
    <n v="41.86"/>
    <n v="81"/>
    <x v="154"/>
  </r>
  <r>
    <n v="166"/>
    <x v="92"/>
    <n v="2706456269"/>
    <s v="Empresa BB"/>
    <s v="Manta"/>
    <x v="6"/>
    <x v="5"/>
    <s v="Empresa de embarque C"/>
    <s v="Tarjeta de crédito"/>
    <s v="Almejas"/>
    <x v="4"/>
    <n v="135.1"/>
    <n v="33"/>
    <x v="155"/>
  </r>
  <r>
    <n v="167"/>
    <x v="31"/>
    <n v="6159315697"/>
    <s v="Empresa BB"/>
    <s v="Manta"/>
    <x v="6"/>
    <x v="5"/>
    <s v="Empresa de embarque C"/>
    <s v="Tarjeta de crédito"/>
    <s v="Carne de cangrejo"/>
    <x v="8"/>
    <n v="257.59999999999997"/>
    <n v="47"/>
    <x v="156"/>
  </r>
  <r>
    <n v="168"/>
    <x v="141"/>
    <n v="2749029538"/>
    <s v="Empresa I"/>
    <s v="Guayaquil"/>
    <x v="3"/>
    <x v="7"/>
    <s v="Empresa de embarque A"/>
    <s v="Cheque"/>
    <s v="Ravioli"/>
    <x v="9"/>
    <n v="273"/>
    <n v="61"/>
    <x v="157"/>
  </r>
  <r>
    <n v="169"/>
    <x v="39"/>
    <n v="9017454158"/>
    <s v="Empresa I"/>
    <s v="Guayaquil"/>
    <x v="3"/>
    <x v="7"/>
    <s v="Empresa de embarque A"/>
    <s v="Cheque"/>
    <s v="Mozzarella"/>
    <x v="10"/>
    <n v="487.19999999999993"/>
    <n v="27"/>
    <x v="158"/>
  </r>
  <r>
    <n v="170"/>
    <x v="142"/>
    <n v="445300235"/>
    <s v="Empresa F"/>
    <s v="Ibarra"/>
    <x v="5"/>
    <x v="4"/>
    <s v="Empresa de embarque B"/>
    <s v="Tarjeta de crédito"/>
    <s v="Cerveza"/>
    <x v="0"/>
    <n v="196"/>
    <n v="84"/>
    <x v="103"/>
  </r>
  <r>
    <n v="171"/>
    <x v="143"/>
    <n v="3498781571"/>
    <s v="Empresa H"/>
    <s v="Riobamba"/>
    <x v="2"/>
    <x v="2"/>
    <s v="Empresa de embarque B"/>
    <s v="Cheque"/>
    <s v="Salsa curry"/>
    <x v="5"/>
    <n v="560"/>
    <n v="91"/>
    <x v="159"/>
  </r>
  <r>
    <n v="172"/>
    <x v="144"/>
    <n v="376477229"/>
    <s v="Empresa H"/>
    <s v="Riobamba"/>
    <x v="2"/>
    <x v="2"/>
    <s v="Empresa de embarque B"/>
    <s v="Cheque"/>
    <s v="Galletas de chocolate"/>
    <x v="2"/>
    <n v="128.79999999999998"/>
    <n v="36"/>
    <x v="160"/>
  </r>
  <r>
    <n v="173"/>
    <x v="111"/>
    <n v="1790721708"/>
    <s v="Empresa Y"/>
    <s v="Esmeraldas"/>
    <x v="7"/>
    <x v="6"/>
    <s v="Empresa de embarque A"/>
    <s v="Efectivo"/>
    <s v="Bolillos"/>
    <x v="2"/>
    <n v="140"/>
    <n v="34"/>
    <x v="161"/>
  </r>
  <r>
    <n v="174"/>
    <x v="73"/>
    <n v="434033868"/>
    <s v="Empresa Z"/>
    <s v="Quito"/>
    <x v="9"/>
    <x v="5"/>
    <s v="Empresa de embarque C"/>
    <s v="Tarjeta de crédito"/>
    <s v="Aceite de oliva"/>
    <x v="13"/>
    <n v="298.90000000000003"/>
    <n v="81"/>
    <x v="162"/>
  </r>
  <r>
    <n v="175"/>
    <x v="120"/>
    <n v="3247684317"/>
    <s v="Empresa Z"/>
    <s v="Quito"/>
    <x v="9"/>
    <x v="5"/>
    <s v="Empresa de embarque C"/>
    <s v="Tarjeta de crédito"/>
    <s v="Almejas"/>
    <x v="4"/>
    <n v="135.1"/>
    <n v="25"/>
    <x v="163"/>
  </r>
  <r>
    <n v="176"/>
    <x v="145"/>
    <n v="6492121203"/>
    <s v="Empresa Z"/>
    <s v="Quito"/>
    <x v="9"/>
    <x v="5"/>
    <s v="Empresa de embarque C"/>
    <s v="Tarjeta de crédito"/>
    <s v="Carne de cangrejo"/>
    <x v="8"/>
    <n v="257.59999999999997"/>
    <n v="12"/>
    <x v="164"/>
  </r>
  <r>
    <n v="177"/>
    <x v="140"/>
    <n v="1661667624"/>
    <s v="Empresa CC"/>
    <s v="Guayaquil"/>
    <x v="3"/>
    <x v="3"/>
    <s v="Empresa de embarque B"/>
    <s v="Cheque"/>
    <s v="Cerveza"/>
    <x v="0"/>
    <n v="196"/>
    <n v="23"/>
    <x v="165"/>
  </r>
  <r>
    <n v="178"/>
    <x v="146"/>
    <n v="1127190015"/>
    <s v="Empresa F"/>
    <s v="Ibarra"/>
    <x v="5"/>
    <x v="4"/>
    <s v="Empresa de embarque C"/>
    <s v="Cheque"/>
    <s v="Chocolate"/>
    <x v="3"/>
    <n v="178.5"/>
    <n v="76"/>
    <x v="166"/>
  </r>
  <r>
    <n v="179"/>
    <x v="16"/>
    <n v="7862399002"/>
    <s v="Empresa D"/>
    <s v="Azogues"/>
    <x v="1"/>
    <x v="1"/>
    <s v="Empresa de embarque A"/>
    <s v="Tarjeta de crédito"/>
    <s v="Mermelada de zarzamora"/>
    <x v="6"/>
    <n v="1134"/>
    <n v="55"/>
    <x v="167"/>
  </r>
  <r>
    <n v="180"/>
    <x v="131"/>
    <n v="9568142105"/>
    <s v="Empresa D"/>
    <s v="Azogues"/>
    <x v="1"/>
    <x v="1"/>
    <s v="Empresa de embarque A"/>
    <s v="Tarjeta de crédito"/>
    <s v="Arroz de grano largo"/>
    <x v="14"/>
    <n v="98"/>
    <n v="19"/>
    <x v="168"/>
  </r>
  <r>
    <n v="181"/>
    <x v="147"/>
    <n v="1181634254"/>
    <s v="Empresa H"/>
    <s v="Riobamba"/>
    <x v="2"/>
    <x v="2"/>
    <s v="Empresa de embarque C"/>
    <s v="Tarjeta de crédito"/>
    <s v="Mozzarella"/>
    <x v="10"/>
    <n v="487.19999999999993"/>
    <n v="27"/>
    <x v="158"/>
  </r>
  <r>
    <n v="182"/>
    <x v="61"/>
    <n v="5404968765"/>
    <s v="Empresa C"/>
    <s v="Machala"/>
    <x v="4"/>
    <x v="0"/>
    <s v="Empresa de embarque B"/>
    <s v="Efectivo"/>
    <s v="Jarabe"/>
    <x v="7"/>
    <n v="140"/>
    <n v="99"/>
    <x v="83"/>
  </r>
  <r>
    <n v="183"/>
    <x v="148"/>
    <n v="2431996009"/>
    <s v="Empresa C"/>
    <s v="Machala"/>
    <x v="4"/>
    <x v="0"/>
    <s v="Empresa de embarque B"/>
    <s v="Efectivo"/>
    <s v="Salsa curry"/>
    <x v="5"/>
    <n v="560"/>
    <n v="10"/>
    <x v="169"/>
  </r>
  <r>
    <n v="184"/>
    <x v="101"/>
    <n v="6373385557"/>
    <s v="Empresa J"/>
    <s v="Esmeraldas"/>
    <x v="7"/>
    <x v="6"/>
    <s v="Empresa de embarque B"/>
    <s v="Tarjeta de crédito"/>
    <s v="Almendras"/>
    <x v="1"/>
    <n v="140"/>
    <n v="80"/>
    <x v="170"/>
  </r>
  <r>
    <n v="185"/>
    <x v="82"/>
    <n v="5411926783"/>
    <s v="Empresa J"/>
    <s v="Esmeraldas"/>
    <x v="7"/>
    <x v="6"/>
    <s v="Empresa de embarque A"/>
    <m/>
    <s v="Ciruelas secas"/>
    <x v="1"/>
    <n v="49"/>
    <n v="27"/>
    <x v="171"/>
  </r>
  <r>
    <n v="186"/>
    <x v="149"/>
    <n v="8397590471"/>
    <s v="Empresa K"/>
    <s v="Quito"/>
    <x v="9"/>
    <x v="5"/>
    <s v="Empresa de embarque C"/>
    <m/>
    <s v="Salsa curry"/>
    <x v="5"/>
    <n v="560"/>
    <n v="97"/>
    <x v="172"/>
  </r>
  <r>
    <n v="187"/>
    <x v="150"/>
    <n v="5905399576"/>
    <s v="Empresa A"/>
    <s v="Ambato"/>
    <x v="10"/>
    <x v="2"/>
    <s v="Empresa de embarque C"/>
    <m/>
    <s v="Carne de cangrejo"/>
    <x v="8"/>
    <n v="257.59999999999997"/>
    <n v="42"/>
    <x v="173"/>
  </r>
  <r>
    <n v="188"/>
    <x v="93"/>
    <n v="168682758"/>
    <s v="Empresa BB"/>
    <s v="Manta"/>
    <x v="6"/>
    <x v="5"/>
    <s v="Empresa de embarque C"/>
    <s v="Tarjeta de crédito"/>
    <s v="Café"/>
    <x v="0"/>
    <n v="644"/>
    <n v="24"/>
    <x v="174"/>
  </r>
  <r>
    <n v="189"/>
    <x v="151"/>
    <n v="4992553897"/>
    <s v="Empresa I"/>
    <s v="Guayaquil"/>
    <x v="3"/>
    <x v="7"/>
    <s v="Empresa de embarque A"/>
    <s v="Cheque"/>
    <s v="Almejas"/>
    <x v="4"/>
    <n v="135.1"/>
    <n v="90"/>
    <x v="175"/>
  </r>
  <r>
    <n v="190"/>
    <x v="92"/>
    <n v="9609810399"/>
    <s v="Empresa F"/>
    <s v="Ibarra"/>
    <x v="5"/>
    <x v="4"/>
    <s v="Empresa de embarque B"/>
    <s v="Tarjeta de crédito"/>
    <s v="Chocolate"/>
    <x v="3"/>
    <n v="178.5"/>
    <n v="28"/>
    <x v="176"/>
  </r>
  <r>
    <n v="191"/>
    <x v="10"/>
    <n v="1537469039"/>
    <s v="Empresa BB"/>
    <s v="Manta"/>
    <x v="6"/>
    <x v="5"/>
    <s v="Empresa de embarque C"/>
    <s v="Cheque"/>
    <s v="Café"/>
    <x v="0"/>
    <n v="644"/>
    <n v="28"/>
    <x v="177"/>
  </r>
  <r>
    <n v="192"/>
    <x v="136"/>
    <n v="2018401595"/>
    <s v="Empresa H"/>
    <s v="Riobamba"/>
    <x v="2"/>
    <x v="2"/>
    <s v="Empresa de embarque C"/>
    <s v="Cheque"/>
    <s v="Chocolate"/>
    <x v="3"/>
    <n v="178.5"/>
    <n v="57"/>
    <x v="178"/>
  </r>
  <r>
    <n v="193"/>
    <x v="152"/>
    <n v="1129934476"/>
    <s v="Empresa J"/>
    <s v="Esmeraldas"/>
    <x v="7"/>
    <x v="6"/>
    <s v="Empresa de embarque B"/>
    <s v="Tarjeta de crédito"/>
    <s v="Té verde"/>
    <x v="0"/>
    <n v="41.86"/>
    <n v="23"/>
    <x v="179"/>
  </r>
  <r>
    <n v="194"/>
    <x v="115"/>
    <n v="878400496"/>
    <s v="Empresa G"/>
    <s v="Guaranda"/>
    <x v="8"/>
    <x v="2"/>
    <m/>
    <m/>
    <s v="Café"/>
    <x v="0"/>
    <n v="644"/>
    <n v="86"/>
    <x v="180"/>
  </r>
  <r>
    <n v="195"/>
    <x v="153"/>
    <n v="6271764467"/>
    <s v="Empresa J"/>
    <s v="Esmeraldas"/>
    <x v="7"/>
    <x v="6"/>
    <s v="Empresa de embarque A"/>
    <m/>
    <s v="Jalea de fresa"/>
    <x v="6"/>
    <n v="350"/>
    <n v="47"/>
    <x v="181"/>
  </r>
  <r>
    <n v="196"/>
    <x v="154"/>
    <n v="5954546839"/>
    <s v="Empresa J"/>
    <s v="Esmeraldas"/>
    <x v="7"/>
    <x v="6"/>
    <s v="Empresa de embarque A"/>
    <m/>
    <s v="Condimento cajún"/>
    <x v="7"/>
    <n v="308"/>
    <n v="97"/>
    <x v="182"/>
  </r>
  <r>
    <n v="197"/>
    <x v="155"/>
    <n v="1007419194"/>
    <s v="Empresa J"/>
    <s v="Esmeraldas"/>
    <x v="7"/>
    <x v="6"/>
    <s v="Empresa de embarque A"/>
    <m/>
    <s v="Galletas de chocolate"/>
    <x v="2"/>
    <n v="128.79999999999998"/>
    <n v="96"/>
    <x v="183"/>
  </r>
  <r>
    <n v="198"/>
    <x v="81"/>
    <n v="2749506386"/>
    <s v="Empresa K"/>
    <s v="Quito"/>
    <x v="9"/>
    <x v="5"/>
    <s v="Empresa de embarque C"/>
    <m/>
    <s v="Ciruelas secas"/>
    <x v="1"/>
    <n v="49"/>
    <n v="31"/>
    <x v="184"/>
  </r>
  <r>
    <n v="199"/>
    <x v="156"/>
    <n v="3279160134"/>
    <s v="Empresa K"/>
    <s v="Quito"/>
    <x v="9"/>
    <x v="5"/>
    <s v="Empresa de embarque C"/>
    <m/>
    <s v="Té verde"/>
    <x v="0"/>
    <n v="41.86"/>
    <n v="52"/>
    <x v="185"/>
  </r>
  <r>
    <n v="200"/>
    <x v="80"/>
    <n v="6789089883"/>
    <s v="Empresa A"/>
    <s v="Ambato"/>
    <x v="10"/>
    <x v="2"/>
    <m/>
    <m/>
    <s v="Té chai"/>
    <x v="0"/>
    <n v="252"/>
    <n v="91"/>
    <x v="186"/>
  </r>
  <r>
    <n v="201"/>
    <x v="157"/>
    <n v="7775981065"/>
    <s v="Empresa A"/>
    <s v="Ambato"/>
    <x v="10"/>
    <x v="2"/>
    <m/>
    <m/>
    <s v="Café"/>
    <x v="0"/>
    <n v="644"/>
    <n v="14"/>
    <x v="187"/>
  </r>
  <r>
    <n v="202"/>
    <x v="83"/>
    <n v="5357417804"/>
    <s v="Empresa A"/>
    <s v="Ambato"/>
    <x v="10"/>
    <x v="2"/>
    <m/>
    <m/>
    <s v="Té verde"/>
    <x v="0"/>
    <n v="41.86"/>
    <n v="44"/>
    <x v="188"/>
  </r>
  <r>
    <n v="203"/>
    <x v="158"/>
    <n v="4986720222"/>
    <s v="Empresa BB"/>
    <s v="Manta"/>
    <x v="6"/>
    <x v="5"/>
    <s v="Empresa de embarque C"/>
    <s v="Tarjeta de crédito"/>
    <s v="Almejas"/>
    <x v="4"/>
    <n v="135.1"/>
    <n v="97"/>
    <x v="54"/>
  </r>
  <r>
    <n v="204"/>
    <x v="159"/>
    <n v="9264353300"/>
    <s v="Empresa BB"/>
    <s v="Manta"/>
    <x v="6"/>
    <x v="5"/>
    <s v="Empresa de embarque C"/>
    <s v="Tarjeta de crédito"/>
    <s v="Carne de cangrejo"/>
    <x v="8"/>
    <n v="257.59999999999997"/>
    <n v="80"/>
    <x v="189"/>
  </r>
  <r>
    <n v="205"/>
    <x v="160"/>
    <n v="4507840734"/>
    <s v="Empresa I"/>
    <s v="Guayaquil"/>
    <x v="3"/>
    <x v="7"/>
    <s v="Empresa de embarque A"/>
    <s v="Cheque"/>
    <s v="Ravioli"/>
    <x v="9"/>
    <n v="273"/>
    <n v="66"/>
    <x v="190"/>
  </r>
  <r>
    <n v="206"/>
    <x v="161"/>
    <n v="1926814553"/>
    <s v="Empresa I"/>
    <s v="Guayaquil"/>
    <x v="3"/>
    <x v="7"/>
    <s v="Empresa de embarque A"/>
    <s v="Cheque"/>
    <s v="Mozzarella"/>
    <x v="10"/>
    <n v="487.19999999999993"/>
    <n v="32"/>
    <x v="191"/>
  </r>
  <r>
    <n v="207"/>
    <x v="162"/>
    <n v="1115906573"/>
    <s v="Empresa F"/>
    <s v="Ibarra"/>
    <x v="5"/>
    <x v="4"/>
    <s v="Empresa de embarque B"/>
    <s v="Tarjeta de crédito"/>
    <s v="Cerveza"/>
    <x v="0"/>
    <n v="196"/>
    <n v="52"/>
    <x v="192"/>
  </r>
  <r>
    <n v="208"/>
    <x v="155"/>
    <n v="4298972271"/>
    <s v="Empresa H"/>
    <s v="Riobamba"/>
    <x v="2"/>
    <x v="2"/>
    <s v="Empresa de embarque B"/>
    <s v="Cheque"/>
    <s v="Salsa curry"/>
    <x v="5"/>
    <n v="560"/>
    <n v="78"/>
    <x v="193"/>
  </r>
  <r>
    <n v="209"/>
    <x v="163"/>
    <n v="1419202858"/>
    <s v="Empresa H"/>
    <s v="Riobamba"/>
    <x v="2"/>
    <x v="2"/>
    <s v="Empresa de embarque B"/>
    <s v="Cheque"/>
    <s v="Galletas de chocolate"/>
    <x v="2"/>
    <n v="128.79999999999998"/>
    <n v="54"/>
    <x v="194"/>
  </r>
  <r>
    <n v="210"/>
    <x v="52"/>
    <n v="3516608759"/>
    <s v="Empresa Y"/>
    <s v="Esmeraldas"/>
    <x v="7"/>
    <x v="6"/>
    <s v="Empresa de embarque A"/>
    <s v="Efectivo"/>
    <s v="Bolillos"/>
    <x v="2"/>
    <n v="140"/>
    <n v="55"/>
    <x v="63"/>
  </r>
  <r>
    <n v="211"/>
    <x v="164"/>
    <n v="8191358442"/>
    <s v="Empresa Z"/>
    <s v="Quito"/>
    <x v="9"/>
    <x v="5"/>
    <s v="Empresa de embarque C"/>
    <s v="Tarjeta de crédito"/>
    <s v="Aceite de oliva"/>
    <x v="13"/>
    <n v="298.90000000000003"/>
    <n v="60"/>
    <x v="195"/>
  </r>
  <r>
    <n v="212"/>
    <x v="165"/>
    <n v="8451227157"/>
    <s v="Empresa Z"/>
    <s v="Quito"/>
    <x v="9"/>
    <x v="5"/>
    <s v="Empresa de embarque C"/>
    <s v="Tarjeta de crédito"/>
    <s v="Almejas"/>
    <x v="4"/>
    <n v="135.1"/>
    <n v="19"/>
    <x v="196"/>
  </r>
  <r>
    <n v="213"/>
    <x v="166"/>
    <n v="9847155245"/>
    <s v="Empresa Z"/>
    <s v="Quito"/>
    <x v="9"/>
    <x v="5"/>
    <s v="Empresa de embarque C"/>
    <s v="Tarjeta de crédito"/>
    <s v="Carne de cangrejo"/>
    <x v="8"/>
    <n v="257.59999999999997"/>
    <n v="66"/>
    <x v="197"/>
  </r>
  <r>
    <n v="214"/>
    <x v="167"/>
    <n v="5189485028"/>
    <s v="Empresa CC"/>
    <s v="Guayaquil"/>
    <x v="3"/>
    <x v="3"/>
    <s v="Empresa de embarque B"/>
    <s v="Cheque"/>
    <s v="Cerveza"/>
    <x v="0"/>
    <n v="196"/>
    <n v="42"/>
    <x v="198"/>
  </r>
  <r>
    <n v="215"/>
    <x v="13"/>
    <n v="2367569858"/>
    <s v="Empresa F"/>
    <s v="Ibarra"/>
    <x v="5"/>
    <x v="4"/>
    <s v="Empresa de embarque C"/>
    <s v="Cheque"/>
    <s v="Chocolate"/>
    <x v="3"/>
    <n v="178.5"/>
    <n v="72"/>
    <x v="199"/>
  </r>
  <r>
    <n v="216"/>
    <x v="168"/>
    <n v="1241520334"/>
    <s v="Empresa D"/>
    <s v="Azogues"/>
    <x v="1"/>
    <x v="1"/>
    <s v="Empresa de embarque A"/>
    <s v="Tarjeta de crédito"/>
    <s v="Mermelada de zarzamora"/>
    <x v="6"/>
    <n v="1134"/>
    <n v="32"/>
    <x v="200"/>
  </r>
  <r>
    <n v="217"/>
    <x v="169"/>
    <n v="6999895697"/>
    <s v="Empresa D"/>
    <s v="Azogues"/>
    <x v="1"/>
    <x v="1"/>
    <s v="Empresa de embarque A"/>
    <s v="Tarjeta de crédito"/>
    <s v="Arroz de grano largo"/>
    <x v="14"/>
    <n v="98"/>
    <n v="76"/>
    <x v="201"/>
  </r>
  <r>
    <n v="218"/>
    <x v="141"/>
    <n v="2931440223"/>
    <s v="Empresa J"/>
    <s v="Esmeraldas"/>
    <x v="7"/>
    <x v="6"/>
    <s v="Empresa de embarque A"/>
    <m/>
    <s v="Galletas de chocolate"/>
    <x v="2"/>
    <n v="128.79999999999998"/>
    <n v="83"/>
    <x v="202"/>
  </r>
  <r>
    <n v="219"/>
    <x v="25"/>
    <n v="6045555436"/>
    <s v="Empresa K"/>
    <s v="Quito"/>
    <x v="9"/>
    <x v="5"/>
    <s v="Empresa de embarque C"/>
    <m/>
    <s v="Ciruelas secas"/>
    <x v="1"/>
    <n v="49"/>
    <n v="91"/>
    <x v="203"/>
  </r>
  <r>
    <n v="220"/>
    <x v="57"/>
    <n v="4985084204"/>
    <s v="Empresa K"/>
    <s v="Quito"/>
    <x v="9"/>
    <x v="5"/>
    <s v="Empresa de embarque C"/>
    <m/>
    <s v="Té verde"/>
    <x v="0"/>
    <n v="41.86"/>
    <n v="64"/>
    <x v="204"/>
  </r>
  <r>
    <n v="221"/>
    <x v="99"/>
    <n v="8950774476"/>
    <s v="Empresa A"/>
    <s v="Ambato"/>
    <x v="10"/>
    <x v="2"/>
    <m/>
    <m/>
    <s v="Té chai"/>
    <x v="0"/>
    <n v="252"/>
    <n v="58"/>
    <x v="205"/>
  </r>
  <r>
    <n v="222"/>
    <x v="170"/>
    <n v="4091794218"/>
    <s v="Empresa A"/>
    <s v="Ambato"/>
    <x v="10"/>
    <x v="2"/>
    <m/>
    <m/>
    <s v="Café"/>
    <x v="0"/>
    <n v="644"/>
    <n v="97"/>
    <x v="206"/>
  </r>
  <r>
    <n v="223"/>
    <x v="153"/>
    <n v="2789876793"/>
    <s v="Empresa A"/>
    <s v="Ambato"/>
    <x v="10"/>
    <x v="2"/>
    <m/>
    <m/>
    <s v="Té verde"/>
    <x v="0"/>
    <n v="41.86"/>
    <n v="14"/>
    <x v="207"/>
  </r>
  <r>
    <n v="224"/>
    <x v="171"/>
    <n v="4338385582"/>
    <s v="Empresa BB"/>
    <s v="Manta"/>
    <x v="6"/>
    <x v="5"/>
    <s v="Empresa de embarque C"/>
    <s v="Tarjeta de crédito"/>
    <s v="Almejas"/>
    <x v="4"/>
    <n v="135.1"/>
    <n v="68"/>
    <x v="208"/>
  </r>
  <r>
    <n v="225"/>
    <x v="144"/>
    <n v="9159410824"/>
    <s v="Empresa BB"/>
    <s v="Manta"/>
    <x v="6"/>
    <x v="5"/>
    <s v="Empresa de embarque C"/>
    <s v="Tarjeta de crédito"/>
    <s v="Carne de cangrejo"/>
    <x v="8"/>
    <n v="257.59999999999997"/>
    <n v="32"/>
    <x v="209"/>
  </r>
  <r>
    <n v="226"/>
    <x v="172"/>
    <n v="6562657766"/>
    <s v="Empresa I"/>
    <s v="Guayaquil"/>
    <x v="3"/>
    <x v="7"/>
    <s v="Empresa de embarque A"/>
    <s v="Cheque"/>
    <s v="Ravioli"/>
    <x v="9"/>
    <n v="273"/>
    <n v="48"/>
    <x v="210"/>
  </r>
  <r>
    <n v="227"/>
    <x v="173"/>
    <n v="4160634865"/>
    <s v="Empresa I"/>
    <s v="Guayaquil"/>
    <x v="3"/>
    <x v="7"/>
    <s v="Empresa de embarque A"/>
    <s v="Cheque"/>
    <s v="Mozzarella"/>
    <x v="10"/>
    <n v="487.19999999999993"/>
    <n v="57"/>
    <x v="211"/>
  </r>
  <r>
    <n v="228"/>
    <x v="147"/>
    <n v="142416687"/>
    <s v="Empresa F"/>
    <s v="Ibarra"/>
    <x v="5"/>
    <x v="4"/>
    <s v="Empresa de embarque B"/>
    <s v="Tarjeta de crédito"/>
    <s v="Cerveza"/>
    <x v="0"/>
    <n v="196"/>
    <n v="67"/>
    <x v="212"/>
  </r>
  <r>
    <n v="229"/>
    <x v="108"/>
    <n v="6114991349"/>
    <s v="Empresa H"/>
    <s v="Riobamba"/>
    <x v="2"/>
    <x v="2"/>
    <s v="Empresa de embarque B"/>
    <s v="Cheque"/>
    <s v="Salsa curry"/>
    <x v="5"/>
    <n v="560"/>
    <n v="48"/>
    <x v="213"/>
  </r>
  <r>
    <n v="230"/>
    <x v="174"/>
    <n v="6472352060"/>
    <s v="Empresa H"/>
    <s v="Riobamba"/>
    <x v="2"/>
    <x v="2"/>
    <s v="Empresa de embarque B"/>
    <s v="Cheque"/>
    <s v="Galletas de chocolate"/>
    <x v="2"/>
    <n v="128.79999999999998"/>
    <n v="77"/>
    <x v="214"/>
  </r>
  <r>
    <n v="231"/>
    <x v="138"/>
    <n v="5399077795"/>
    <s v="Empresa Y"/>
    <s v="Esmeraldas"/>
    <x v="7"/>
    <x v="6"/>
    <s v="Empresa de embarque A"/>
    <s v="Efectivo"/>
    <s v="Bolillos"/>
    <x v="2"/>
    <n v="140"/>
    <n v="94"/>
    <x v="215"/>
  </r>
  <r>
    <n v="232"/>
    <x v="175"/>
    <n v="6275645168"/>
    <s v="Empresa Z"/>
    <s v="Quito"/>
    <x v="9"/>
    <x v="5"/>
    <s v="Empresa de embarque C"/>
    <s v="Tarjeta de crédito"/>
    <s v="Aceite de oliva"/>
    <x v="13"/>
    <n v="298.90000000000003"/>
    <n v="54"/>
    <x v="216"/>
  </r>
  <r>
    <n v="233"/>
    <x v="51"/>
    <n v="597069969"/>
    <s v="Empresa Z"/>
    <s v="Quito"/>
    <x v="9"/>
    <x v="5"/>
    <s v="Empresa de embarque C"/>
    <s v="Tarjeta de crédito"/>
    <s v="Almejas"/>
    <x v="4"/>
    <n v="135.1"/>
    <n v="43"/>
    <x v="85"/>
  </r>
  <r>
    <n v="234"/>
    <x v="58"/>
    <n v="1323169656"/>
    <s v="Empresa Z"/>
    <s v="Quito"/>
    <x v="9"/>
    <x v="5"/>
    <s v="Empresa de embarque C"/>
    <s v="Tarjeta de crédito"/>
    <s v="Carne de cangrejo"/>
    <x v="8"/>
    <n v="257.59999999999997"/>
    <n v="71"/>
    <x v="144"/>
  </r>
  <r>
    <n v="235"/>
    <x v="176"/>
    <n v="2932971142"/>
    <s v="Empresa CC"/>
    <s v="Guayaquil"/>
    <x v="3"/>
    <x v="3"/>
    <s v="Empresa de embarque B"/>
    <s v="Cheque"/>
    <s v="Cerveza"/>
    <x v="0"/>
    <n v="196"/>
    <n v="50"/>
    <x v="217"/>
  </r>
  <r>
    <n v="236"/>
    <x v="177"/>
    <n v="3634141900"/>
    <s v="Empresa F"/>
    <s v="Ibarra"/>
    <x v="5"/>
    <x v="4"/>
    <s v="Empresa de embarque C"/>
    <s v="Cheque"/>
    <s v="Chocolate"/>
    <x v="3"/>
    <n v="178.5"/>
    <n v="96"/>
    <x v="147"/>
  </r>
  <r>
    <n v="237"/>
    <x v="161"/>
    <n v="8872627168"/>
    <s v="Empresa D"/>
    <s v="Azogues"/>
    <x v="1"/>
    <x v="1"/>
    <s v="Empresa de embarque A"/>
    <s v="Tarjeta de crédito"/>
    <s v="Mermelada de zarzamora"/>
    <x v="6"/>
    <n v="1134"/>
    <n v="54"/>
    <x v="218"/>
  </r>
  <r>
    <n v="238"/>
    <x v="178"/>
    <n v="5571010485"/>
    <s v="Empresa D"/>
    <s v="Azogues"/>
    <x v="1"/>
    <x v="1"/>
    <s v="Empresa de embarque A"/>
    <s v="Tarjeta de crédito"/>
    <s v="Arroz de grano largo"/>
    <x v="14"/>
    <n v="98"/>
    <n v="39"/>
    <x v="219"/>
  </r>
  <r>
    <n v="239"/>
    <x v="66"/>
    <n v="7703467924"/>
    <s v="Empresa H"/>
    <s v="Riobamba"/>
    <x v="2"/>
    <x v="2"/>
    <s v="Empresa de embarque C"/>
    <s v="Tarjeta de crédito"/>
    <s v="Mozzarella"/>
    <x v="10"/>
    <n v="487.19999999999993"/>
    <n v="63"/>
    <x v="60"/>
  </r>
  <r>
    <n v="240"/>
    <x v="143"/>
    <n v="7747820326"/>
    <s v="Empresa C"/>
    <s v="Machala"/>
    <x v="4"/>
    <x v="0"/>
    <s v="Empresa de embarque B"/>
    <s v="Efectivo"/>
    <s v="Jarabe"/>
    <x v="7"/>
    <n v="140"/>
    <n v="71"/>
    <x v="220"/>
  </r>
  <r>
    <n v="241"/>
    <x v="179"/>
    <n v="5769101754"/>
    <s v="Empresa C"/>
    <s v="Machala"/>
    <x v="4"/>
    <x v="0"/>
    <s v="Empresa de embarque B"/>
    <s v="Efectivo"/>
    <s v="Salsa curry"/>
    <x v="5"/>
    <n v="560"/>
    <n v="88"/>
    <x v="221"/>
  </r>
  <r>
    <n v="242"/>
    <x v="81"/>
    <n v="7427615835"/>
    <s v="Empresa J"/>
    <s v="Esmeraldas"/>
    <x v="7"/>
    <x v="6"/>
    <s v="Empresa de embarque B"/>
    <s v="Tarjeta de crédito"/>
    <s v="Almendras"/>
    <x v="1"/>
    <n v="140"/>
    <n v="59"/>
    <x v="222"/>
  </r>
  <r>
    <n v="243"/>
    <x v="180"/>
    <n v="242336558"/>
    <s v="Empresa F"/>
    <s v="Ibarra"/>
    <x v="5"/>
    <x v="4"/>
    <s v="Empresa de embarque B"/>
    <s v="Tarjeta de crédito"/>
    <s v="Salsa curry"/>
    <x v="5"/>
    <n v="560"/>
    <n v="94"/>
    <x v="223"/>
  </r>
  <r>
    <n v="244"/>
    <x v="139"/>
    <n v="2520819737"/>
    <s v="Empresa BB"/>
    <s v="Manta"/>
    <x v="6"/>
    <x v="5"/>
    <s v="Empresa de embarque C"/>
    <s v="Cheque"/>
    <s v="Café"/>
    <x v="0"/>
    <n v="644"/>
    <n v="86"/>
    <x v="180"/>
  </r>
  <r>
    <n v="245"/>
    <x v="181"/>
    <n v="8828389188"/>
    <s v="Empresa H"/>
    <s v="Riobamba"/>
    <x v="2"/>
    <x v="2"/>
    <s v="Empresa de embarque C"/>
    <s v="Cheque"/>
    <s v="Chocolate"/>
    <x v="3"/>
    <n v="178.5"/>
    <n v="61"/>
    <x v="224"/>
  </r>
  <r>
    <n v="246"/>
    <x v="182"/>
    <n v="164422904"/>
    <s v="Empresa J"/>
    <s v="Esmeraldas"/>
    <x v="7"/>
    <x v="6"/>
    <s v="Empresa de embarque B"/>
    <s v="Tarjeta de crédito"/>
    <s v="Té verde"/>
    <x v="0"/>
    <n v="41.86"/>
    <n v="32"/>
    <x v="225"/>
  </r>
  <r>
    <n v="247"/>
    <x v="32"/>
    <n v="7991995786"/>
    <s v="Empresa G"/>
    <s v="Guaranda"/>
    <x v="8"/>
    <x v="2"/>
    <m/>
    <m/>
    <s v="Café"/>
    <x v="0"/>
    <n v="644"/>
    <n v="62"/>
    <x v="226"/>
  </r>
  <r>
    <n v="248"/>
    <x v="183"/>
    <n v="4149364306"/>
    <s v="Empresa J"/>
    <s v="Esmeraldas"/>
    <x v="7"/>
    <x v="6"/>
    <s v="Empresa de embarque A"/>
    <m/>
    <s v="Jalea de fresa"/>
    <x v="6"/>
    <n v="350"/>
    <n v="60"/>
    <x v="227"/>
  </r>
  <r>
    <n v="249"/>
    <x v="97"/>
    <n v="6397472642"/>
    <s v="Empresa J"/>
    <s v="Esmeraldas"/>
    <x v="7"/>
    <x v="6"/>
    <s v="Empresa de embarque A"/>
    <m/>
    <s v="Condimento cajún"/>
    <x v="7"/>
    <n v="308"/>
    <n v="51"/>
    <x v="228"/>
  </r>
  <r>
    <n v="250"/>
    <x v="73"/>
    <n v="1168651383"/>
    <s v="Empresa J"/>
    <s v="Esmeraldas"/>
    <x v="7"/>
    <x v="6"/>
    <s v="Empresa de embarque A"/>
    <m/>
    <s v="Galletas de chocolate"/>
    <x v="2"/>
    <n v="128.79999999999998"/>
    <n v="49"/>
    <x v="229"/>
  </r>
  <r>
    <n v="251"/>
    <x v="184"/>
    <n v="1309311215"/>
    <s v="Empresa K"/>
    <s v="Quito"/>
    <x v="9"/>
    <x v="5"/>
    <s v="Empresa de embarque C"/>
    <m/>
    <s v="Ciruelas secas"/>
    <x v="1"/>
    <n v="49"/>
    <n v="20"/>
    <x v="230"/>
  </r>
  <r>
    <n v="252"/>
    <x v="185"/>
    <n v="4552083877"/>
    <s v="Empresa K"/>
    <s v="Quito"/>
    <x v="9"/>
    <x v="5"/>
    <s v="Empresa de embarque C"/>
    <m/>
    <s v="Té verde"/>
    <x v="0"/>
    <n v="41.86"/>
    <n v="49"/>
    <x v="231"/>
  </r>
  <r>
    <n v="253"/>
    <x v="186"/>
    <n v="6119453494"/>
    <s v="Empresa A"/>
    <s v="Ambato"/>
    <x v="10"/>
    <x v="2"/>
    <m/>
    <m/>
    <s v="Té chai"/>
    <x v="0"/>
    <n v="252"/>
    <n v="22"/>
    <x v="232"/>
  </r>
  <r>
    <n v="254"/>
    <x v="55"/>
    <n v="8815781249"/>
    <s v="Empresa A"/>
    <s v="Ambato"/>
    <x v="10"/>
    <x v="2"/>
    <m/>
    <m/>
    <s v="Café"/>
    <x v="0"/>
    <n v="644"/>
    <n v="73"/>
    <x v="233"/>
  </r>
  <r>
    <n v="255"/>
    <x v="180"/>
    <n v="5308869510"/>
    <s v="Empresa A"/>
    <s v="Ambato"/>
    <x v="10"/>
    <x v="2"/>
    <m/>
    <m/>
    <s v="Té verde"/>
    <x v="0"/>
    <n v="41.86"/>
    <n v="85"/>
    <x v="234"/>
  </r>
  <r>
    <n v="256"/>
    <x v="187"/>
    <n v="9623390930"/>
    <s v="Empresa BB"/>
    <s v="Manta"/>
    <x v="6"/>
    <x v="5"/>
    <s v="Empresa de embarque C"/>
    <s v="Tarjeta de crédito"/>
    <s v="Almejas"/>
    <x v="4"/>
    <n v="135.1"/>
    <n v="44"/>
    <x v="235"/>
  </r>
  <r>
    <n v="257"/>
    <x v="179"/>
    <n v="9925453816"/>
    <s v="Empresa BB"/>
    <s v="Manta"/>
    <x v="6"/>
    <x v="5"/>
    <s v="Empresa de embarque C"/>
    <s v="Tarjeta de crédito"/>
    <s v="Carne de cangrejo"/>
    <x v="8"/>
    <n v="257.59999999999997"/>
    <n v="24"/>
    <x v="236"/>
  </r>
  <r>
    <n v="258"/>
    <x v="172"/>
    <n v="6948053333"/>
    <s v="Empresa I"/>
    <s v="Guayaquil"/>
    <x v="3"/>
    <x v="7"/>
    <s v="Empresa de embarque A"/>
    <s v="Cheque"/>
    <s v="Ravioli"/>
    <x v="9"/>
    <n v="273"/>
    <n v="64"/>
    <x v="237"/>
  </r>
  <r>
    <n v="259"/>
    <x v="150"/>
    <n v="2060963898"/>
    <s v="Empresa I"/>
    <s v="Guayaquil"/>
    <x v="3"/>
    <x v="7"/>
    <s v="Empresa de embarque A"/>
    <s v="Cheque"/>
    <s v="Mozzarella"/>
    <x v="10"/>
    <n v="487.19999999999993"/>
    <n v="70"/>
    <x v="238"/>
  </r>
  <r>
    <n v="260"/>
    <x v="176"/>
    <n v="2582781913"/>
    <s v="Empresa F"/>
    <s v="Ibarra"/>
    <x v="5"/>
    <x v="4"/>
    <s v="Empresa de embarque B"/>
    <s v="Tarjeta de crédito"/>
    <s v="Cerveza"/>
    <x v="0"/>
    <n v="196"/>
    <n v="98"/>
    <x v="239"/>
  </r>
  <r>
    <n v="261"/>
    <x v="26"/>
    <n v="2732649952"/>
    <s v="Empresa H"/>
    <s v="Riobamba"/>
    <x v="2"/>
    <x v="2"/>
    <s v="Empresa de embarque B"/>
    <s v="Cheque"/>
    <s v="Salsa curry"/>
    <x v="5"/>
    <n v="560"/>
    <n v="48"/>
    <x v="213"/>
  </r>
  <r>
    <n v="262"/>
    <x v="142"/>
    <n v="4179453952"/>
    <s v="Empresa H"/>
    <s v="Riobamba"/>
    <x v="2"/>
    <x v="2"/>
    <s v="Empresa de embarque B"/>
    <s v="Cheque"/>
    <s v="Galletas de chocolate"/>
    <x v="2"/>
    <n v="128.79999999999998"/>
    <n v="100"/>
    <x v="240"/>
  </r>
  <r>
    <n v="263"/>
    <x v="188"/>
    <n v="4339665341"/>
    <s v="Empresa Y"/>
    <s v="Esmeraldas"/>
    <x v="7"/>
    <x v="6"/>
    <s v="Empresa de embarque A"/>
    <s v="Efectivo"/>
    <s v="Bolillos"/>
    <x v="2"/>
    <n v="140"/>
    <n v="90"/>
    <x v="241"/>
  </r>
  <r>
    <n v="264"/>
    <x v="189"/>
    <n v="9193900326"/>
    <s v="Empresa Z"/>
    <s v="Quito"/>
    <x v="9"/>
    <x v="5"/>
    <s v="Empresa de embarque C"/>
    <s v="Tarjeta de crédito"/>
    <s v="Aceite de oliva"/>
    <x v="13"/>
    <n v="298.90000000000003"/>
    <n v="49"/>
    <x v="242"/>
  </r>
  <r>
    <n v="265"/>
    <x v="96"/>
    <n v="7474169055"/>
    <s v="Empresa Z"/>
    <s v="Quito"/>
    <x v="9"/>
    <x v="5"/>
    <s v="Empresa de embarque C"/>
    <s v="Tarjeta de crédito"/>
    <s v="Almejas"/>
    <x v="4"/>
    <n v="135.1"/>
    <n v="71"/>
    <x v="243"/>
  </r>
  <r>
    <n v="266"/>
    <x v="59"/>
    <n v="9750138179"/>
    <s v="Empresa Z"/>
    <s v="Quito"/>
    <x v="9"/>
    <x v="5"/>
    <s v="Empresa de embarque C"/>
    <s v="Tarjeta de crédito"/>
    <s v="Carne de cangrejo"/>
    <x v="8"/>
    <n v="257.59999999999997"/>
    <n v="10"/>
    <x v="244"/>
  </r>
  <r>
    <n v="267"/>
    <x v="190"/>
    <n v="2294414293"/>
    <s v="Empresa CC"/>
    <s v="Guayaquil"/>
    <x v="3"/>
    <x v="3"/>
    <s v="Empresa de embarque B"/>
    <s v="Cheque"/>
    <s v="Cerveza"/>
    <x v="0"/>
    <n v="196"/>
    <n v="78"/>
    <x v="245"/>
  </r>
  <r>
    <n v="268"/>
    <x v="191"/>
    <n v="776426288"/>
    <s v="Empresa F"/>
    <s v="Ibarra"/>
    <x v="5"/>
    <x v="4"/>
    <s v="Empresa de embarque C"/>
    <s v="Cheque"/>
    <s v="Chocolate"/>
    <x v="3"/>
    <n v="178.5"/>
    <n v="44"/>
    <x v="136"/>
  </r>
  <r>
    <n v="269"/>
    <x v="158"/>
    <n v="1245231958"/>
    <s v="Empresa D"/>
    <s v="Azogues"/>
    <x v="1"/>
    <x v="1"/>
    <s v="Empresa de embarque A"/>
    <s v="Tarjeta de crédito"/>
    <s v="Mermelada de zarzamora"/>
    <x v="6"/>
    <n v="1134"/>
    <n v="82"/>
    <x v="246"/>
  </r>
  <r>
    <n v="270"/>
    <x v="192"/>
    <n v="2050724971"/>
    <s v="Empresa D"/>
    <s v="Azogues"/>
    <x v="1"/>
    <x v="1"/>
    <s v="Empresa de embarque A"/>
    <s v="Tarjeta de crédito"/>
    <s v="Arroz de grano largo"/>
    <x v="14"/>
    <n v="98"/>
    <n v="29"/>
    <x v="247"/>
  </r>
  <r>
    <n v="271"/>
    <x v="193"/>
    <n v="9478104719"/>
    <s v="Empresa H"/>
    <s v="Riobamba"/>
    <x v="2"/>
    <x v="2"/>
    <s v="Empresa de embarque C"/>
    <s v="Tarjeta de crédito"/>
    <s v="Mozzarella"/>
    <x v="10"/>
    <n v="487.19999999999993"/>
    <n v="93"/>
    <x v="248"/>
  </r>
  <r>
    <n v="272"/>
    <x v="160"/>
    <n v="7620759943"/>
    <s v="Empresa C"/>
    <s v="Machala"/>
    <x v="4"/>
    <x v="0"/>
    <s v="Empresa de embarque B"/>
    <s v="Efectivo"/>
    <s v="Jarabe"/>
    <x v="7"/>
    <n v="140"/>
    <n v="11"/>
    <x v="249"/>
  </r>
  <r>
    <n v="273"/>
    <x v="194"/>
    <n v="9345003575"/>
    <s v="Empresa C"/>
    <s v="Machala"/>
    <x v="4"/>
    <x v="0"/>
    <s v="Empresa de embarque B"/>
    <s v="Efectivo"/>
    <s v="Salsa curry"/>
    <x v="5"/>
    <n v="560"/>
    <n v="91"/>
    <x v="159"/>
  </r>
  <r>
    <n v="274"/>
    <x v="47"/>
    <n v="5988072690"/>
    <s v="Empresa J"/>
    <s v="Esmeraldas"/>
    <x v="7"/>
    <x v="6"/>
    <s v="Empresa de embarque B"/>
    <s v="Tarjeta de crédito"/>
    <s v="Almendras"/>
    <x v="1"/>
    <n v="140"/>
    <n v="12"/>
    <x v="250"/>
  </r>
  <r>
    <n v="275"/>
    <x v="195"/>
    <n v="5113488625"/>
    <s v="Empresa J"/>
    <s v="Esmeraldas"/>
    <x v="7"/>
    <x v="6"/>
    <s v="Empresa de embarque A"/>
    <m/>
    <s v="Ciruelas secas"/>
    <x v="1"/>
    <n v="49"/>
    <n v="78"/>
    <x v="219"/>
  </r>
  <r>
    <n v="276"/>
    <x v="196"/>
    <n v="8021429259"/>
    <s v="Empresa K"/>
    <s v="Quito"/>
    <x v="9"/>
    <x v="5"/>
    <s v="Empresa de embarque C"/>
    <m/>
    <s v="Salsa curry"/>
    <x v="5"/>
    <n v="560"/>
    <n v="60"/>
    <x v="251"/>
  </r>
  <r>
    <n v="277"/>
    <x v="186"/>
    <n v="680211800"/>
    <s v="Empresa A"/>
    <s v="Ambato"/>
    <x v="10"/>
    <x v="2"/>
    <s v="Empresa de embarque C"/>
    <m/>
    <s v="Carne de cangrejo"/>
    <x v="8"/>
    <n v="257.59999999999997"/>
    <n v="23"/>
    <x v="252"/>
  </r>
  <r>
    <n v="278"/>
    <x v="107"/>
    <n v="2635806056"/>
    <s v="Empresa BB"/>
    <s v="Manta"/>
    <x v="6"/>
    <x v="5"/>
    <s v="Empresa de embarque C"/>
    <s v="Tarjeta de crédito"/>
    <s v="Café"/>
    <x v="0"/>
    <n v="644"/>
    <n v="34"/>
    <x v="253"/>
  </r>
  <r>
    <n v="279"/>
    <x v="96"/>
    <n v="3338515953"/>
    <s v="Empresa I"/>
    <s v="Guayaquil"/>
    <x v="3"/>
    <x v="7"/>
    <s v="Empresa de embarque A"/>
    <s v="Cheque"/>
    <s v="Almejas"/>
    <x v="4"/>
    <n v="135.1"/>
    <n v="89"/>
    <x v="254"/>
  </r>
  <r>
    <n v="280"/>
    <x v="88"/>
    <n v="3075758565"/>
    <s v="Empresa F"/>
    <s v="Ibarra"/>
    <x v="5"/>
    <x v="4"/>
    <s v="Empresa de embarque B"/>
    <s v="Tarjeta de crédito"/>
    <s v="Chocolate"/>
    <x v="3"/>
    <n v="178.5"/>
    <n v="82"/>
    <x v="255"/>
  </r>
  <r>
    <n v="281"/>
    <x v="92"/>
    <n v="5383209032"/>
    <s v="Empresa H"/>
    <s v="Riobamba"/>
    <x v="2"/>
    <x v="2"/>
    <s v="Empresa de embarque B"/>
    <s v="Cheque"/>
    <s v="Chocolate"/>
    <x v="3"/>
    <n v="178.5"/>
    <n v="43"/>
    <x v="256"/>
  </r>
  <r>
    <n v="282"/>
    <x v="1"/>
    <n v="9635546425"/>
    <s v="Empresa J"/>
    <s v="Esmeraldas"/>
    <x v="7"/>
    <x v="6"/>
    <s v="Empresa de embarque A"/>
    <m/>
    <s v="Condimento cajún"/>
    <x v="7"/>
    <n v="308"/>
    <n v="96"/>
    <x v="257"/>
  </r>
  <r>
    <n v="283"/>
    <x v="96"/>
    <n v="3501364052"/>
    <s v="Empresa J"/>
    <s v="Esmeraldas"/>
    <x v="7"/>
    <x v="6"/>
    <s v="Empresa de embarque A"/>
    <m/>
    <s v="Galletas de chocolate"/>
    <x v="2"/>
    <n v="128.79999999999998"/>
    <n v="34"/>
    <x v="258"/>
  </r>
  <r>
    <n v="284"/>
    <x v="45"/>
    <n v="2226825043"/>
    <s v="Empresa K"/>
    <s v="Quito"/>
    <x v="9"/>
    <x v="5"/>
    <s v="Empresa de embarque C"/>
    <m/>
    <s v="Ciruelas secas"/>
    <x v="1"/>
    <n v="49"/>
    <n v="42"/>
    <x v="259"/>
  </r>
  <r>
    <n v="285"/>
    <x v="197"/>
    <n v="6321323029"/>
    <s v="Empresa K"/>
    <s v="Quito"/>
    <x v="9"/>
    <x v="5"/>
    <s v="Empresa de embarque C"/>
    <m/>
    <s v="Té verde"/>
    <x v="0"/>
    <n v="41.86"/>
    <n v="100"/>
    <x v="260"/>
  </r>
  <r>
    <n v="286"/>
    <x v="172"/>
    <n v="3775524143"/>
    <s v="Empresa A"/>
    <s v="Ambato"/>
    <x v="10"/>
    <x v="2"/>
    <m/>
    <m/>
    <s v="Té chai"/>
    <x v="0"/>
    <n v="252"/>
    <n v="42"/>
    <x v="261"/>
  </r>
  <r>
    <n v="287"/>
    <x v="198"/>
    <n v="9543041808"/>
    <s v="Empresa A"/>
    <s v="Ambato"/>
    <x v="10"/>
    <x v="2"/>
    <m/>
    <m/>
    <s v="Café"/>
    <x v="0"/>
    <n v="644"/>
    <n v="16"/>
    <x v="262"/>
  </r>
  <r>
    <n v="288"/>
    <x v="199"/>
    <n v="547647770"/>
    <s v="Empresa A"/>
    <s v="Ambato"/>
    <x v="10"/>
    <x v="2"/>
    <m/>
    <m/>
    <s v="Té verde"/>
    <x v="0"/>
    <n v="41.86"/>
    <n v="22"/>
    <x v="263"/>
  </r>
  <r>
    <n v="289"/>
    <x v="88"/>
    <n v="7120228607"/>
    <s v="Empresa BB"/>
    <s v="Manta"/>
    <x v="6"/>
    <x v="5"/>
    <s v="Empresa de embarque C"/>
    <s v="Tarjeta de crédito"/>
    <s v="Almejas"/>
    <x v="4"/>
    <n v="135.1"/>
    <n v="46"/>
    <x v="264"/>
  </r>
  <r>
    <n v="290"/>
    <x v="105"/>
    <n v="5554565190"/>
    <s v="Empresa BB"/>
    <s v="Manta"/>
    <x v="6"/>
    <x v="5"/>
    <s v="Empresa de embarque C"/>
    <s v="Tarjeta de crédito"/>
    <s v="Carne de cangrejo"/>
    <x v="8"/>
    <n v="257.59999999999997"/>
    <n v="100"/>
    <x v="265"/>
  </r>
  <r>
    <n v="291"/>
    <x v="77"/>
    <n v="1644848787"/>
    <s v="Empresa I"/>
    <s v="Guayaquil"/>
    <x v="3"/>
    <x v="7"/>
    <s v="Empresa de embarque A"/>
    <s v="Cheque"/>
    <s v="Ravioli"/>
    <x v="9"/>
    <n v="273"/>
    <n v="87"/>
    <x v="266"/>
  </r>
  <r>
    <n v="292"/>
    <x v="83"/>
    <n v="8273786477"/>
    <s v="Empresa I"/>
    <s v="Guayaquil"/>
    <x v="3"/>
    <x v="7"/>
    <s v="Empresa de embarque A"/>
    <s v="Cheque"/>
    <s v="Mozzarella"/>
    <x v="10"/>
    <n v="487.19999999999993"/>
    <n v="58"/>
    <x v="267"/>
  </r>
  <r>
    <n v="293"/>
    <x v="200"/>
    <n v="1397118248"/>
    <s v="Empresa F"/>
    <s v="Ibarra"/>
    <x v="5"/>
    <x v="4"/>
    <s v="Empresa de embarque B"/>
    <s v="Tarjeta de crédito"/>
    <s v="Cerveza"/>
    <x v="0"/>
    <n v="196"/>
    <n v="85"/>
    <x v="268"/>
  </r>
  <r>
    <n v="294"/>
    <x v="148"/>
    <n v="4468604310"/>
    <s v="Empresa H"/>
    <s v="Riobamba"/>
    <x v="2"/>
    <x v="2"/>
    <s v="Empresa de embarque B"/>
    <s v="Cheque"/>
    <s v="Salsa curry"/>
    <x v="5"/>
    <n v="560"/>
    <n v="28"/>
    <x v="140"/>
  </r>
  <r>
    <n v="295"/>
    <x v="49"/>
    <n v="457458721"/>
    <s v="Empresa H"/>
    <s v="Riobamba"/>
    <x v="2"/>
    <x v="2"/>
    <s v="Empresa de embarque B"/>
    <s v="Cheque"/>
    <s v="Galletas de chocolate"/>
    <x v="2"/>
    <n v="128.79999999999998"/>
    <n v="19"/>
    <x v="269"/>
  </r>
  <r>
    <n v="296"/>
    <x v="201"/>
    <n v="7184663808"/>
    <s v="Empresa Y"/>
    <s v="Esmeraldas"/>
    <x v="7"/>
    <x v="6"/>
    <s v="Empresa de embarque A"/>
    <s v="Efectivo"/>
    <s v="Bolillos"/>
    <x v="2"/>
    <n v="140"/>
    <n v="99"/>
    <x v="83"/>
  </r>
  <r>
    <n v="297"/>
    <x v="202"/>
    <n v="3449599231"/>
    <s v="Empresa Z"/>
    <s v="Quito"/>
    <x v="9"/>
    <x v="5"/>
    <s v="Empresa de embarque C"/>
    <s v="Tarjeta de crédito"/>
    <s v="Aceite de oliva"/>
    <x v="13"/>
    <n v="298.90000000000003"/>
    <n v="69"/>
    <x v="270"/>
  </r>
  <r>
    <n v="298"/>
    <x v="172"/>
    <n v="3901461858"/>
    <s v="Empresa Z"/>
    <s v="Quito"/>
    <x v="9"/>
    <x v="5"/>
    <s v="Empresa de embarque C"/>
    <s v="Tarjeta de crédito"/>
    <s v="Almejas"/>
    <x v="4"/>
    <n v="135.1"/>
    <n v="37"/>
    <x v="271"/>
  </r>
  <r>
    <n v="299"/>
    <x v="44"/>
    <n v="6798892819"/>
    <s v="Empresa Z"/>
    <s v="Quito"/>
    <x v="9"/>
    <x v="5"/>
    <s v="Empresa de embarque C"/>
    <s v="Tarjeta de crédito"/>
    <s v="Carne de cangrejo"/>
    <x v="8"/>
    <n v="257.59999999999997"/>
    <n v="64"/>
    <x v="108"/>
  </r>
  <r>
    <n v="300"/>
    <x v="188"/>
    <n v="6897506437"/>
    <s v="Empresa CC"/>
    <s v="Guayaquil"/>
    <x v="3"/>
    <x v="3"/>
    <s v="Empresa de embarque B"/>
    <s v="Cheque"/>
    <s v="Cerveza"/>
    <x v="0"/>
    <n v="196"/>
    <n v="38"/>
    <x v="201"/>
  </r>
  <r>
    <n v="301"/>
    <x v="203"/>
    <n v="6298594113"/>
    <s v="Empresa F"/>
    <s v="Ibarra"/>
    <x v="5"/>
    <x v="4"/>
    <s v="Empresa de embarque C"/>
    <s v="Cheque"/>
    <s v="Chocolate"/>
    <x v="3"/>
    <n v="178.5"/>
    <n v="15"/>
    <x v="272"/>
  </r>
  <r>
    <n v="302"/>
    <x v="180"/>
    <n v="6972691420"/>
    <s v="Empresa D"/>
    <s v="Azogues"/>
    <x v="1"/>
    <x v="1"/>
    <s v="Empresa de embarque A"/>
    <s v="Tarjeta de crédito"/>
    <s v="Mermelada de zarzamora"/>
    <x v="6"/>
    <n v="1134"/>
    <n v="52"/>
    <x v="273"/>
  </r>
  <r>
    <n v="303"/>
    <x v="204"/>
    <n v="677992170"/>
    <s v="Empresa D"/>
    <s v="Azogues"/>
    <x v="1"/>
    <x v="1"/>
    <s v="Empresa de embarque A"/>
    <s v="Tarjeta de crédito"/>
    <s v="Arroz de grano largo"/>
    <x v="14"/>
    <n v="98"/>
    <n v="37"/>
    <x v="59"/>
  </r>
  <r>
    <n v="304"/>
    <x v="205"/>
    <n v="3501827064"/>
    <s v="Empresa H"/>
    <s v="Riobamba"/>
    <x v="2"/>
    <x v="2"/>
    <s v="Empresa de embarque C"/>
    <s v="Tarjeta de crédito"/>
    <s v="Mozzarella"/>
    <x v="10"/>
    <n v="487.19999999999993"/>
    <n v="24"/>
    <x v="274"/>
  </r>
  <r>
    <n v="305"/>
    <x v="206"/>
    <n v="9140892367"/>
    <s v="Empresa C"/>
    <s v="Machala"/>
    <x v="4"/>
    <x v="0"/>
    <s v="Empresa de embarque B"/>
    <s v="Efectivo"/>
    <s v="Jarabe"/>
    <x v="7"/>
    <n v="140"/>
    <n v="36"/>
    <x v="275"/>
  </r>
  <r>
    <n v="306"/>
    <x v="13"/>
    <n v="7570396760"/>
    <s v="Empresa C"/>
    <s v="Machala"/>
    <x v="4"/>
    <x v="0"/>
    <s v="Empresa de embarque B"/>
    <s v="Efectivo"/>
    <s v="Salsa curry"/>
    <x v="5"/>
    <n v="560"/>
    <n v="24"/>
    <x v="276"/>
  </r>
  <r>
    <n v="307"/>
    <x v="112"/>
    <n v="5368769086"/>
    <s v="Empresa J"/>
    <s v="Esmeraldas"/>
    <x v="7"/>
    <x v="6"/>
    <s v="Empresa de embarque B"/>
    <s v="Tarjeta de crédito"/>
    <s v="Almendras"/>
    <x v="1"/>
    <n v="140"/>
    <n v="20"/>
    <x v="277"/>
  </r>
  <r>
    <n v="308"/>
    <x v="151"/>
    <n v="443042127"/>
    <s v="Empresa J"/>
    <s v="Esmeraldas"/>
    <x v="7"/>
    <x v="6"/>
    <s v="Empresa de embarque A"/>
    <m/>
    <s v="Ciruelas secas"/>
    <x v="1"/>
    <n v="49"/>
    <n v="11"/>
    <x v="278"/>
  </r>
  <r>
    <n v="309"/>
    <x v="207"/>
    <n v="3198859022"/>
    <s v="Empresa K"/>
    <s v="Quito"/>
    <x v="9"/>
    <x v="5"/>
    <s v="Empresa de embarque C"/>
    <m/>
    <s v="Salsa curry"/>
    <x v="5"/>
    <n v="560"/>
    <n v="78"/>
    <x v="193"/>
  </r>
  <r>
    <n v="310"/>
    <x v="153"/>
    <n v="2982674072"/>
    <s v="Empresa A"/>
    <s v="Ambato"/>
    <x v="10"/>
    <x v="2"/>
    <s v="Empresa de embarque C"/>
    <m/>
    <s v="Carne de cangrejo"/>
    <x v="8"/>
    <n v="257.59999999999997"/>
    <n v="76"/>
    <x v="279"/>
  </r>
  <r>
    <n v="311"/>
    <x v="149"/>
    <n v="1636086310"/>
    <s v="Empresa BB"/>
    <s v="Manta"/>
    <x v="6"/>
    <x v="5"/>
    <s v="Empresa de embarque C"/>
    <s v="Tarjeta de crédito"/>
    <s v="Café"/>
    <x v="0"/>
    <n v="644"/>
    <n v="57"/>
    <x v="280"/>
  </r>
  <r>
    <n v="312"/>
    <x v="82"/>
    <n v="9879315200"/>
    <s v="Empresa I"/>
    <s v="Guayaquil"/>
    <x v="3"/>
    <x v="7"/>
    <s v="Empresa de embarque A"/>
    <s v="Cheque"/>
    <s v="Almejas"/>
    <x v="4"/>
    <n v="135.1"/>
    <n v="14"/>
    <x v="281"/>
  </r>
  <r>
    <n v="313"/>
    <x v="208"/>
    <n v="3833780472"/>
    <s v="Empresa AA"/>
    <s v="Cuenca"/>
    <x v="0"/>
    <x v="0"/>
    <s v="Empresa de embarque B"/>
    <s v="Cheque"/>
    <s v="Cerveza"/>
    <x v="0"/>
    <n v="196"/>
    <n v="14"/>
    <x v="282"/>
  </r>
  <r>
    <n v="314"/>
    <x v="209"/>
    <n v="1343389818"/>
    <s v="Empresa AA"/>
    <s v="Cuenca"/>
    <x v="0"/>
    <x v="0"/>
    <s v="Empresa de embarque B"/>
    <s v="Cheque"/>
    <s v="Ciruelas secas"/>
    <x v="1"/>
    <n v="49"/>
    <n v="70"/>
    <x v="283"/>
  </r>
  <r>
    <n v="315"/>
    <x v="210"/>
    <n v="3066920858"/>
    <s v="Empresa D"/>
    <s v="Azogues"/>
    <x v="1"/>
    <x v="1"/>
    <s v="Empresa de embarque A"/>
    <s v="Tarjeta de crédito"/>
    <s v="Peras secas"/>
    <x v="1"/>
    <n v="420"/>
    <n v="100"/>
    <x v="284"/>
  </r>
  <r>
    <n v="316"/>
    <x v="53"/>
    <n v="3596038071"/>
    <s v="Empresa D"/>
    <s v="Azogues"/>
    <x v="1"/>
    <x v="1"/>
    <s v="Empresa de embarque A"/>
    <s v="Tarjeta de crédito"/>
    <s v="Manzanas secas"/>
    <x v="1"/>
    <n v="742"/>
    <n v="27"/>
    <x v="285"/>
  </r>
  <r>
    <n v="317"/>
    <x v="24"/>
    <n v="8280434895"/>
    <s v="Empresa D"/>
    <s v="Azogues"/>
    <x v="1"/>
    <x v="1"/>
    <s v="Empresa de embarque A"/>
    <s v="Tarjeta de crédito"/>
    <s v="Ciruelas secas"/>
    <x v="1"/>
    <n v="49"/>
    <n v="70"/>
    <x v="283"/>
  </r>
  <r>
    <n v="318"/>
    <x v="26"/>
    <n v="7983505639"/>
    <s v="Empresa L"/>
    <s v="Cuenca"/>
    <x v="0"/>
    <x v="0"/>
    <s v="Empresa de embarque B"/>
    <s v="Tarjeta de crédito"/>
    <s v="Té chai"/>
    <x v="0"/>
    <n v="252"/>
    <n v="57"/>
    <x v="286"/>
  </r>
  <r>
    <n v="319"/>
    <x v="156"/>
    <n v="4943792001"/>
    <s v="Empresa L"/>
    <s v="Cuenca"/>
    <x v="0"/>
    <x v="0"/>
    <s v="Empresa de embarque B"/>
    <s v="Tarjeta de crédito"/>
    <s v="Café"/>
    <x v="0"/>
    <n v="644"/>
    <n v="83"/>
    <x v="287"/>
  </r>
  <r>
    <n v="320"/>
    <x v="211"/>
    <n v="2679766092"/>
    <s v="Empresa H"/>
    <s v="Riobamba"/>
    <x v="2"/>
    <x v="2"/>
    <s v="Empresa de embarque C"/>
    <s v="Tarjeta de crédito"/>
    <s v="Galletas de chocolate"/>
    <x v="2"/>
    <n v="128.79999999999998"/>
    <n v="76"/>
    <x v="288"/>
  </r>
  <r>
    <n v="321"/>
    <x v="212"/>
    <n v="6256032641"/>
    <s v="Empresa D"/>
    <s v="Azogues"/>
    <x v="1"/>
    <x v="1"/>
    <s v="Empresa de embarque C"/>
    <s v="Cheque"/>
    <s v="Galletas de chocolate"/>
    <x v="2"/>
    <n v="128.79999999999998"/>
    <n v="80"/>
    <x v="131"/>
  </r>
  <r>
    <n v="322"/>
    <x v="213"/>
    <n v="8317306577"/>
    <s v="Empresa CC"/>
    <s v="Guayaquil"/>
    <x v="3"/>
    <x v="3"/>
    <s v="Empresa de embarque B"/>
    <s v="Cheque"/>
    <s v="Chocolate"/>
    <x v="3"/>
    <n v="178.5"/>
    <n v="47"/>
    <x v="289"/>
  </r>
  <r>
    <n v="323"/>
    <x v="121"/>
    <n v="4952054948"/>
    <s v="Empresa C"/>
    <s v="Machala"/>
    <x v="4"/>
    <x v="0"/>
    <s v="Empresa de embarque B"/>
    <s v="Efectivo"/>
    <s v="Almejas"/>
    <x v="4"/>
    <n v="135.1"/>
    <n v="96"/>
    <x v="290"/>
  </r>
  <r>
    <n v="324"/>
    <x v="214"/>
    <n v="7792270317"/>
    <s v="Empresa F"/>
    <s v="Ibarra"/>
    <x v="5"/>
    <x v="4"/>
    <s v="Empresa de embarque B"/>
    <s v="Tarjeta de crédito"/>
    <s v="Salsa curry"/>
    <x v="5"/>
    <n v="560"/>
    <n v="32"/>
    <x v="291"/>
  </r>
  <r>
    <n v="325"/>
    <x v="10"/>
    <n v="8753687299"/>
    <s v="Empresa BB"/>
    <s v="Manta"/>
    <x v="6"/>
    <x v="5"/>
    <s v="Empresa de embarque C"/>
    <s v="Cheque"/>
    <s v="Café"/>
    <x v="0"/>
    <n v="644"/>
    <n v="16"/>
    <x v="262"/>
  </r>
  <r>
    <n v="326"/>
    <x v="213"/>
    <n v="3276376437"/>
    <s v="Empresa H"/>
    <s v="Riobamba"/>
    <x v="2"/>
    <x v="2"/>
    <s v="Empresa de embarque C"/>
    <s v="Cheque"/>
    <s v="Chocolate"/>
    <x v="3"/>
    <n v="178.5"/>
    <n v="41"/>
    <x v="88"/>
  </r>
  <r>
    <n v="327"/>
    <x v="202"/>
    <n v="6189400875"/>
    <s v="Empresa J"/>
    <s v="Esmeraldas"/>
    <x v="7"/>
    <x v="6"/>
    <s v="Empresa de embarque B"/>
    <s v="Tarjeta de crédito"/>
    <s v="Té verde"/>
    <x v="0"/>
    <n v="41.86"/>
    <n v="41"/>
    <x v="292"/>
  </r>
  <r>
    <n v="328"/>
    <x v="124"/>
    <n v="3440571177"/>
    <s v="Empresa G"/>
    <s v="Guaranda"/>
    <x v="8"/>
    <x v="2"/>
    <m/>
    <m/>
    <s v="Café"/>
    <x v="0"/>
    <n v="644"/>
    <n v="41"/>
    <x v="293"/>
  </r>
  <r>
    <n v="329"/>
    <x v="215"/>
    <n v="8874798513"/>
    <s v="Empresa J"/>
    <s v="Esmeraldas"/>
    <x v="7"/>
    <x v="6"/>
    <s v="Empresa de embarque A"/>
    <m/>
    <s v="Jalea de fresa"/>
    <x v="6"/>
    <n v="350"/>
    <n v="94"/>
    <x v="294"/>
  </r>
  <r>
    <n v="330"/>
    <x v="45"/>
    <n v="9730368433"/>
    <s v="Empresa J"/>
    <s v="Esmeraldas"/>
    <x v="7"/>
    <x v="6"/>
    <s v="Empresa de embarque A"/>
    <m/>
    <s v="Condimento cajún"/>
    <x v="7"/>
    <n v="308"/>
    <n v="20"/>
    <x v="295"/>
  </r>
  <r>
    <n v="331"/>
    <x v="32"/>
    <n v="6592275352"/>
    <s v="Empresa J"/>
    <s v="Esmeraldas"/>
    <x v="7"/>
    <x v="6"/>
    <s v="Empresa de embarque A"/>
    <m/>
    <s v="Galletas de chocolate"/>
    <x v="2"/>
    <n v="128.79999999999998"/>
    <n v="13"/>
    <x v="296"/>
  </r>
  <r>
    <n v="332"/>
    <x v="51"/>
    <n v="9303282439"/>
    <s v="Empresa K"/>
    <s v="Quito"/>
    <x v="9"/>
    <x v="5"/>
    <s v="Empresa de embarque C"/>
    <m/>
    <s v="Ciruelas secas"/>
    <x v="1"/>
    <n v="49"/>
    <n v="74"/>
    <x v="59"/>
  </r>
  <r>
    <n v="333"/>
    <x v="171"/>
    <n v="8998167680"/>
    <s v="Empresa K"/>
    <s v="Quito"/>
    <x v="9"/>
    <x v="5"/>
    <s v="Empresa de embarque C"/>
    <m/>
    <s v="Té verde"/>
    <x v="0"/>
    <n v="41.86"/>
    <n v="53"/>
    <x v="297"/>
  </r>
  <r>
    <n v="334"/>
    <x v="216"/>
    <n v="2058395697"/>
    <s v="Empresa A"/>
    <s v="Ambato"/>
    <x v="10"/>
    <x v="2"/>
    <m/>
    <m/>
    <s v="Té chai"/>
    <x v="0"/>
    <n v="252"/>
    <n v="99"/>
    <x v="298"/>
  </r>
  <r>
    <n v="335"/>
    <x v="217"/>
    <n v="5534305664"/>
    <s v="Empresa A"/>
    <s v="Ambato"/>
    <x v="10"/>
    <x v="2"/>
    <m/>
    <m/>
    <s v="Café"/>
    <x v="0"/>
    <n v="644"/>
    <n v="89"/>
    <x v="299"/>
  </r>
  <r>
    <n v="336"/>
    <x v="181"/>
    <n v="5417309832"/>
    <s v="Empresa A"/>
    <s v="Ambato"/>
    <x v="10"/>
    <x v="2"/>
    <m/>
    <m/>
    <s v="Té verde"/>
    <x v="0"/>
    <n v="41.86"/>
    <n v="64"/>
    <x v="204"/>
  </r>
  <r>
    <n v="337"/>
    <x v="101"/>
    <n v="7626114952"/>
    <s v="Empresa BB"/>
    <s v="Manta"/>
    <x v="6"/>
    <x v="5"/>
    <s v="Empresa de embarque C"/>
    <s v="Tarjeta de crédito"/>
    <s v="Almejas"/>
    <x v="4"/>
    <n v="135.1"/>
    <n v="98"/>
    <x v="300"/>
  </r>
  <r>
    <n v="338"/>
    <x v="218"/>
    <n v="7075151442"/>
    <s v="Empresa BB"/>
    <s v="Manta"/>
    <x v="6"/>
    <x v="5"/>
    <s v="Empresa de embarque C"/>
    <s v="Tarjeta de crédito"/>
    <s v="Carne de cangrejo"/>
    <x v="8"/>
    <n v="257.59999999999997"/>
    <n v="86"/>
    <x v="301"/>
  </r>
  <r>
    <n v="339"/>
    <x v="31"/>
    <n v="4170346813"/>
    <s v="Empresa I"/>
    <s v="Guayaquil"/>
    <x v="3"/>
    <x v="7"/>
    <s v="Empresa de embarque A"/>
    <s v="Cheque"/>
    <s v="Ravioli"/>
    <x v="9"/>
    <n v="273"/>
    <n v="20"/>
    <x v="302"/>
  </r>
  <r>
    <n v="340"/>
    <x v="34"/>
    <n v="7181884746"/>
    <s v="Empresa I"/>
    <s v="Guayaquil"/>
    <x v="3"/>
    <x v="7"/>
    <s v="Empresa de embarque A"/>
    <s v="Cheque"/>
    <s v="Mozzarella"/>
    <x v="10"/>
    <n v="487.19999999999993"/>
    <n v="69"/>
    <x v="303"/>
  </r>
  <r>
    <n v="341"/>
    <x v="219"/>
    <n v="654398232"/>
    <s v="Empresa F"/>
    <s v="Ibarra"/>
    <x v="5"/>
    <x v="4"/>
    <s v="Empresa de embarque B"/>
    <s v="Tarjeta de crédito"/>
    <s v="Cerveza"/>
    <x v="0"/>
    <n v="196"/>
    <n v="68"/>
    <x v="304"/>
  </r>
  <r>
    <n v="342"/>
    <x v="81"/>
    <n v="6559752885"/>
    <s v="Empresa H"/>
    <s v="Riobamba"/>
    <x v="2"/>
    <x v="2"/>
    <s v="Empresa de embarque B"/>
    <s v="Cheque"/>
    <s v="Salsa curry"/>
    <x v="5"/>
    <n v="560"/>
    <n v="52"/>
    <x v="305"/>
  </r>
  <r>
    <n v="343"/>
    <x v="191"/>
    <n v="9428165637"/>
    <s v="Empresa H"/>
    <s v="Riobamba"/>
    <x v="2"/>
    <x v="2"/>
    <s v="Empresa de embarque B"/>
    <s v="Cheque"/>
    <s v="Galletas de chocolate"/>
    <x v="2"/>
    <n v="128.79999999999998"/>
    <n v="40"/>
    <x v="306"/>
  </r>
  <r>
    <n v="344"/>
    <x v="11"/>
    <n v="9902612158"/>
    <s v="Empresa Y"/>
    <s v="Esmeraldas"/>
    <x v="7"/>
    <x v="6"/>
    <s v="Empresa de embarque A"/>
    <s v="Efectivo"/>
    <s v="Bolillos"/>
    <x v="2"/>
    <n v="140"/>
    <n v="100"/>
    <x v="117"/>
  </r>
  <r>
    <n v="345"/>
    <x v="56"/>
    <n v="9601886174"/>
    <s v="Empresa Z"/>
    <s v="Quito"/>
    <x v="9"/>
    <x v="5"/>
    <s v="Empresa de embarque C"/>
    <s v="Tarjeta de crédito"/>
    <s v="Aceite de oliva"/>
    <x v="13"/>
    <n v="298.90000000000003"/>
    <n v="88"/>
    <x v="307"/>
  </r>
  <r>
    <n v="346"/>
    <x v="220"/>
    <n v="9194823962"/>
    <s v="Empresa Z"/>
    <s v="Quito"/>
    <x v="9"/>
    <x v="5"/>
    <s v="Empresa de embarque C"/>
    <s v="Tarjeta de crédito"/>
    <s v="Almejas"/>
    <x v="4"/>
    <n v="135.1"/>
    <n v="46"/>
    <x v="264"/>
  </r>
  <r>
    <n v="347"/>
    <x v="217"/>
    <n v="3580433044"/>
    <s v="Empresa Z"/>
    <s v="Quito"/>
    <x v="9"/>
    <x v="5"/>
    <s v="Empresa de embarque C"/>
    <s v="Tarjeta de crédito"/>
    <s v="Carne de cangrejo"/>
    <x v="8"/>
    <n v="257.59999999999997"/>
    <n v="93"/>
    <x v="308"/>
  </r>
  <r>
    <n v="348"/>
    <x v="148"/>
    <n v="7020598503"/>
    <s v="Empresa CC"/>
    <s v="Guayaquil"/>
    <x v="3"/>
    <x v="3"/>
    <s v="Empresa de embarque B"/>
    <s v="Cheque"/>
    <s v="Cerveza"/>
    <x v="0"/>
    <n v="196"/>
    <n v="96"/>
    <x v="309"/>
  </r>
  <r>
    <n v="349"/>
    <x v="101"/>
    <n v="8040421717"/>
    <s v="Empresa F"/>
    <s v="Ibarra"/>
    <x v="5"/>
    <x v="4"/>
    <s v="Empresa de embarque C"/>
    <s v="Cheque"/>
    <s v="Chocolate"/>
    <x v="3"/>
    <n v="178.5"/>
    <n v="12"/>
    <x v="310"/>
  </r>
  <r>
    <n v="350"/>
    <x v="220"/>
    <n v="3654530055"/>
    <s v="Empresa D"/>
    <s v="Azogues"/>
    <x v="1"/>
    <x v="1"/>
    <s v="Empresa de embarque A"/>
    <s v="Tarjeta de crédito"/>
    <s v="Mermelada de zarzamora"/>
    <x v="6"/>
    <n v="1134"/>
    <n v="38"/>
    <x v="311"/>
  </r>
  <r>
    <n v="351"/>
    <x v="221"/>
    <n v="2061527783"/>
    <s v="Empresa D"/>
    <s v="Azogues"/>
    <x v="1"/>
    <x v="1"/>
    <s v="Empresa de embarque A"/>
    <s v="Tarjeta de crédito"/>
    <s v="Arroz de grano largo"/>
    <x v="14"/>
    <n v="98"/>
    <n v="42"/>
    <x v="109"/>
  </r>
  <r>
    <n v="352"/>
    <x v="220"/>
    <n v="7896754000"/>
    <s v="Empresa H"/>
    <s v="Riobamba"/>
    <x v="2"/>
    <x v="2"/>
    <s v="Empresa de embarque C"/>
    <s v="Tarjeta de crédito"/>
    <s v="Mozzarella"/>
    <x v="10"/>
    <n v="487.19999999999993"/>
    <n v="100"/>
    <x v="312"/>
  </r>
  <r>
    <n v="353"/>
    <x v="222"/>
    <n v="7608023281"/>
    <s v="Empresa C"/>
    <s v="Machala"/>
    <x v="4"/>
    <x v="0"/>
    <s v="Empresa de embarque B"/>
    <s v="Efectivo"/>
    <s v="Jarabe"/>
    <x v="7"/>
    <n v="140"/>
    <n v="89"/>
    <x v="313"/>
  </r>
  <r>
    <n v="354"/>
    <x v="8"/>
    <n v="1088259448"/>
    <s v="Empresa C"/>
    <s v="Machala"/>
    <x v="4"/>
    <x v="0"/>
    <s v="Empresa de embarque B"/>
    <s v="Efectivo"/>
    <s v="Salsa curry"/>
    <x v="5"/>
    <n v="560"/>
    <n v="12"/>
    <x v="61"/>
  </r>
  <r>
    <n v="355"/>
    <x v="223"/>
    <n v="8019968936"/>
    <s v="Empresa J"/>
    <s v="Esmeraldas"/>
    <x v="7"/>
    <x v="6"/>
    <s v="Empresa de embarque B"/>
    <s v="Tarjeta de crédito"/>
    <s v="Almendras"/>
    <x v="1"/>
    <n v="140"/>
    <n v="97"/>
    <x v="314"/>
  </r>
  <r>
    <n v="356"/>
    <x v="178"/>
    <n v="767630917"/>
    <s v="Empresa J"/>
    <s v="Esmeraldas"/>
    <x v="7"/>
    <x v="6"/>
    <s v="Empresa de embarque A"/>
    <m/>
    <s v="Ciruelas secas"/>
    <x v="1"/>
    <n v="49"/>
    <n v="53"/>
    <x v="315"/>
  </r>
  <r>
    <n v="357"/>
    <x v="224"/>
    <n v="8764802979"/>
    <s v="Empresa K"/>
    <s v="Quito"/>
    <x v="9"/>
    <x v="5"/>
    <s v="Empresa de embarque C"/>
    <m/>
    <s v="Salsa curry"/>
    <x v="5"/>
    <n v="560"/>
    <n v="61"/>
    <x v="316"/>
  </r>
  <r>
    <n v="358"/>
    <x v="225"/>
    <n v="1212476279"/>
    <s v="Empresa A"/>
    <s v="Ambato"/>
    <x v="10"/>
    <x v="2"/>
    <s v="Empresa de embarque C"/>
    <m/>
    <s v="Carne de cangrejo"/>
    <x v="8"/>
    <n v="257.59999999999997"/>
    <n v="45"/>
    <x v="317"/>
  </r>
  <r>
    <n v="359"/>
    <x v="201"/>
    <n v="8659179079"/>
    <s v="Empresa BB"/>
    <s v="Manta"/>
    <x v="6"/>
    <x v="5"/>
    <s v="Empresa de embarque C"/>
    <s v="Tarjeta de crédito"/>
    <s v="Café"/>
    <x v="0"/>
    <n v="644"/>
    <n v="43"/>
    <x v="318"/>
  </r>
  <r>
    <n v="360"/>
    <x v="226"/>
    <n v="4311827425"/>
    <s v="Empresa I"/>
    <s v="Guayaquil"/>
    <x v="3"/>
    <x v="7"/>
    <s v="Empresa de embarque A"/>
    <s v="Cheque"/>
    <s v="Almejas"/>
    <x v="4"/>
    <n v="135.1"/>
    <n v="18"/>
    <x v="319"/>
  </r>
  <r>
    <n v="361"/>
    <x v="65"/>
    <n v="7400116244"/>
    <s v="Empresa F"/>
    <s v="Ibarra"/>
    <x v="5"/>
    <x v="4"/>
    <s v="Empresa de embarque B"/>
    <s v="Tarjeta de crédito"/>
    <s v="Chocolate"/>
    <x v="3"/>
    <n v="178.5"/>
    <n v="41"/>
    <x v="88"/>
  </r>
  <r>
    <n v="362"/>
    <x v="128"/>
    <n v="8550780121"/>
    <s v="Empresa H"/>
    <s v="Riobamba"/>
    <x v="2"/>
    <x v="2"/>
    <s v="Empresa de embarque B"/>
    <s v="Cheque"/>
    <s v="Chocolate"/>
    <x v="3"/>
    <n v="178.5"/>
    <n v="19"/>
    <x v="110"/>
  </r>
  <r>
    <n v="363"/>
    <x v="106"/>
    <n v="9461451917"/>
    <s v="Empresa Y"/>
    <s v="Esmeraldas"/>
    <x v="7"/>
    <x v="6"/>
    <s v="Empresa de embarque A"/>
    <s v="Efectivo"/>
    <s v="Condimento cajún"/>
    <x v="7"/>
    <n v="308"/>
    <n v="65"/>
    <x v="320"/>
  </r>
  <r>
    <n v="364"/>
    <x v="141"/>
    <n v="3160888933"/>
    <s v="Empresa Z"/>
    <s v="Quito"/>
    <x v="9"/>
    <x v="5"/>
    <s v="Empresa de embarque C"/>
    <s v="Tarjeta de crédito"/>
    <s v="Jalea de fresa"/>
    <x v="6"/>
    <n v="350"/>
    <n v="13"/>
    <x v="321"/>
  </r>
  <r>
    <n v="365"/>
    <x v="125"/>
    <n v="6433254443"/>
    <s v="Empresa CC"/>
    <s v="Guayaquil"/>
    <x v="3"/>
    <x v="3"/>
    <s v="Empresa de embarque B"/>
    <s v="Cheque"/>
    <s v="Cóctel de frutas"/>
    <x v="12"/>
    <n v="546"/>
    <n v="54"/>
    <x v="322"/>
  </r>
  <r>
    <n v="366"/>
    <x v="116"/>
    <n v="8977261174"/>
    <s v="Empresa F"/>
    <s v="Ibarra"/>
    <x v="5"/>
    <x v="4"/>
    <s v="Empresa de embarque C"/>
    <s v="Cheque"/>
    <s v="Peras secas"/>
    <x v="1"/>
    <n v="420"/>
    <n v="33"/>
    <x v="83"/>
  </r>
  <r>
    <n v="367"/>
    <x v="67"/>
    <n v="7770716054"/>
    <s v="Empresa F"/>
    <s v="Ibarra"/>
    <x v="5"/>
    <x v="4"/>
    <s v="Empresa de embarque C"/>
    <s v="Cheque"/>
    <s v="Manzanas secas"/>
    <x v="1"/>
    <n v="742"/>
    <n v="34"/>
    <x v="323"/>
  </r>
  <r>
    <n v="368"/>
    <x v="227"/>
    <n v="2754807386"/>
    <s v="Empresa D"/>
    <s v="Azogues"/>
    <x v="1"/>
    <x v="1"/>
    <m/>
    <m/>
    <s v="Pasta penne"/>
    <x v="9"/>
    <n v="532"/>
    <n v="59"/>
    <x v="324"/>
  </r>
  <r>
    <n v="369"/>
    <x v="228"/>
    <n v="3873424489"/>
    <s v="Empresa C"/>
    <s v="Machala"/>
    <x v="4"/>
    <x v="0"/>
    <m/>
    <m/>
    <s v="Té verde"/>
    <x v="0"/>
    <n v="41.86"/>
    <n v="24"/>
    <x v="3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0">
  <r>
    <n v="1"/>
    <x v="0"/>
    <n v="9259377217"/>
    <s v="Empresa AA"/>
    <s v="Cuenca"/>
    <s v="Azuay"/>
    <s v="Mayra Aguilar Sepúlveda"/>
    <x v="0"/>
    <s v="Cheque"/>
    <s v="Cerveza"/>
    <s v="Bebidas"/>
    <x v="0"/>
    <n v="10"/>
    <n v="140"/>
  </r>
  <r>
    <n v="2"/>
    <x v="1"/>
    <n v="6185253419"/>
    <s v="Empresa AA"/>
    <s v="Cuenca"/>
    <s v="Azuay"/>
    <s v="Mayra Aguilar Sepúlveda"/>
    <x v="0"/>
    <s v="Cheque"/>
    <s v="Ciruelas secas"/>
    <s v="Frutas secas"/>
    <x v="1"/>
    <n v="1"/>
    <n v="34"/>
  </r>
  <r>
    <n v="3"/>
    <x v="2"/>
    <n v="2308885942"/>
    <s v="Empresa D"/>
    <s v="Azogues"/>
    <s v="Canar"/>
    <s v="Andrés González Rico"/>
    <x v="1"/>
    <s v="Tarjeta de crédito"/>
    <s v="Peras secas"/>
    <s v="Frutas secas"/>
    <x v="0"/>
    <n v="57"/>
    <n v="798"/>
  </r>
  <r>
    <n v="4"/>
    <x v="3"/>
    <n v="6199717898"/>
    <s v="Empresa D"/>
    <s v="Azogues"/>
    <s v="Canar"/>
    <s v="Andrés González Rico"/>
    <x v="1"/>
    <s v="Tarjeta de crédito"/>
    <s v="Manzanas secas"/>
    <s v="Frutas secas"/>
    <x v="2"/>
    <n v="72"/>
    <n v="1152"/>
  </r>
  <r>
    <n v="5"/>
    <x v="4"/>
    <n v="5540683029"/>
    <s v="Empresa D"/>
    <s v="Azogues"/>
    <s v="Canar"/>
    <s v="Andrés González Rico"/>
    <x v="1"/>
    <s v="Tarjeta de crédito"/>
    <s v="Ciruelas secas"/>
    <s v="Frutas secas"/>
    <x v="3"/>
    <n v="68"/>
    <n v="816"/>
  </r>
  <r>
    <n v="6"/>
    <x v="5"/>
    <n v="6343955045"/>
    <s v="Empresa L"/>
    <s v="Cuenca"/>
    <s v="Azuay"/>
    <s v="Mayra Aguilar Sepúlveda"/>
    <x v="0"/>
    <s v="Tarjeta de crédito"/>
    <s v="Té chai"/>
    <s v="Bebidas"/>
    <x v="4"/>
    <n v="29"/>
    <n v="638"/>
  </r>
  <r>
    <n v="7"/>
    <x v="6"/>
    <n v="1572125717"/>
    <s v="Empresa L"/>
    <s v="Cuenca"/>
    <s v="Azuay"/>
    <s v="Mayra Aguilar Sepúlveda"/>
    <x v="0"/>
    <s v="Tarjeta de crédito"/>
    <s v="Café"/>
    <s v="Bebidas"/>
    <x v="5"/>
    <n v="41"/>
    <n v="1722"/>
  </r>
  <r>
    <n v="8"/>
    <x v="7"/>
    <n v="3776895536"/>
    <s v="Empresa H"/>
    <s v="Riobamba"/>
    <s v="Chimborazo"/>
    <s v="Nancy Gil de la Peña"/>
    <x v="2"/>
    <s v="Tarjeta de crédito"/>
    <s v="Galletas de chocolate"/>
    <s v="Productos horneados"/>
    <x v="6"/>
    <n v="18"/>
    <n v="198"/>
  </r>
  <r>
    <n v="9"/>
    <x v="8"/>
    <n v="390733860"/>
    <s v="Empresa D"/>
    <s v="Azogues"/>
    <s v="Canar"/>
    <s v="Andrés González Rico"/>
    <x v="2"/>
    <s v="Cheque"/>
    <s v="Galletas de chocolate"/>
    <s v="Productos horneados"/>
    <x v="7"/>
    <n v="73"/>
    <n v="2117"/>
  </r>
  <r>
    <n v="10"/>
    <x v="7"/>
    <n v="2456709195"/>
    <s v="Empresa CC"/>
    <s v="Guayaquil"/>
    <s v="Guayas"/>
    <s v="José de Jesús Morales"/>
    <x v="0"/>
    <s v="Cheque"/>
    <s v="Chocolate"/>
    <s v="Dulces"/>
    <x v="3"/>
    <n v="79"/>
    <n v="948"/>
  </r>
  <r>
    <n v="11"/>
    <x v="9"/>
    <n v="5766090086"/>
    <s v="Empresa C"/>
    <s v="Machala"/>
    <s v="El Oro"/>
    <s v="Mayra Aguilar Sepúlveda"/>
    <x v="0"/>
    <s v="Efectivo"/>
    <s v="Almejas"/>
    <s v="Sopas"/>
    <x v="8"/>
    <n v="37"/>
    <n v="1036"/>
  </r>
  <r>
    <n v="12"/>
    <x v="10"/>
    <n v="4872781256"/>
    <s v="Empresa F"/>
    <s v="Ibarra"/>
    <s v="Imbabura"/>
    <s v="Luis Miguel Valdés Garza"/>
    <x v="0"/>
    <s v="Tarjeta de crédito"/>
    <s v="Salsa curry"/>
    <s v="Salsas"/>
    <x v="9"/>
    <n v="64"/>
    <n v="2112"/>
  </r>
  <r>
    <n v="13"/>
    <x v="11"/>
    <n v="4213140599"/>
    <s v="Empresa BB"/>
    <s v="Manta"/>
    <s v="Manabi"/>
    <s v="Ana del Valle Hinojosa"/>
    <x v="2"/>
    <s v="Cheque"/>
    <s v="Café"/>
    <s v="Bebidas"/>
    <x v="10"/>
    <n v="96"/>
    <n v="2016"/>
  </r>
  <r>
    <n v="14"/>
    <x v="12"/>
    <n v="9433063552"/>
    <s v="Empresa H"/>
    <s v="Riobamba"/>
    <s v="Chimborazo"/>
    <s v="Nancy Gil de la Peña"/>
    <x v="2"/>
    <s v="Cheque"/>
    <s v="Chocolate"/>
    <s v="Dulces"/>
    <x v="11"/>
    <n v="86"/>
    <n v="3956"/>
  </r>
  <r>
    <n v="15"/>
    <x v="13"/>
    <n v="8539365209"/>
    <s v="Empresa J"/>
    <s v="Esmeraldas"/>
    <s v="Esmeraldas"/>
    <s v="Laura Gutiérrez Saenz"/>
    <x v="0"/>
    <s v="Tarjeta de crédito"/>
    <s v="Té verde"/>
    <s v="Bebidas"/>
    <x v="12"/>
    <n v="96"/>
    <n v="3936"/>
  </r>
  <r>
    <n v="16"/>
    <x v="14"/>
    <n v="6983099686"/>
    <s v="Empresa G"/>
    <s v="Guaranda"/>
    <s v="Guaranda"/>
    <s v="Nancy Gil de la Peña"/>
    <x v="3"/>
    <s v="Empresa de embarque D"/>
    <s v="Café"/>
    <s v="Bebidas"/>
    <x v="13"/>
    <n v="97"/>
    <n v="4365"/>
  </r>
  <r>
    <n v="17"/>
    <x v="15"/>
    <n v="3008945605"/>
    <s v="Empresa J"/>
    <s v="Esmeraldas"/>
    <s v="Esmeraldas"/>
    <s v="Laura Gutiérrez Saenz"/>
    <x v="1"/>
    <s v="Empresa de embarque D"/>
    <s v="Jalea de fresa"/>
    <s v="Mermeladas y jaleas"/>
    <x v="14"/>
    <n v="65"/>
    <n v="1690"/>
  </r>
  <r>
    <n v="18"/>
    <x v="16"/>
    <n v="5388305959"/>
    <s v="Empresa J"/>
    <s v="Esmeraldas"/>
    <s v="Esmeraldas"/>
    <s v="Laura Gutiérrez Saenz"/>
    <x v="1"/>
    <s v="Empresa de embarque D"/>
    <s v="Condimento cajún"/>
    <s v="Condimentos"/>
    <x v="15"/>
    <n v="88"/>
    <n v="3520"/>
  </r>
  <r>
    <n v="19"/>
    <x v="17"/>
    <n v="438272084"/>
    <s v="Empresa J"/>
    <s v="Esmeraldas"/>
    <s v="Esmeraldas"/>
    <s v="Laura Gutiérrez Saenz"/>
    <x v="1"/>
    <s v="Empresa de embarque D"/>
    <s v="Galletas de chocolate"/>
    <s v="Productos horneados"/>
    <x v="3"/>
    <n v="60"/>
    <n v="720"/>
  </r>
  <r>
    <n v="20"/>
    <x v="18"/>
    <n v="2536792311"/>
    <s v="Empresa K"/>
    <s v="Quito"/>
    <s v="Pichincha"/>
    <s v="Ana del Valle Hinojosa"/>
    <x v="2"/>
    <s v="Empresa de embarque D"/>
    <s v="Ciruelas secas"/>
    <s v="Frutas secas"/>
    <x v="16"/>
    <n v="96"/>
    <n v="3360"/>
  </r>
  <r>
    <n v="21"/>
    <x v="19"/>
    <n v="7813757711"/>
    <s v="Empresa K"/>
    <s v="Quito"/>
    <s v="Pichincha"/>
    <s v="Ana del Valle Hinojosa"/>
    <x v="2"/>
    <s v="Empresa de embarque D"/>
    <s v="Té verde"/>
    <s v="Bebidas"/>
    <x v="17"/>
    <n v="50"/>
    <n v="1000"/>
  </r>
  <r>
    <n v="22"/>
    <x v="20"/>
    <n v="4786931679"/>
    <s v="Empresa A"/>
    <s v="Ambato"/>
    <s v="Tungurahua"/>
    <s v="Nancy Gil de la Peña"/>
    <x v="3"/>
    <s v="Empresa de embarque D"/>
    <s v="Té chai"/>
    <s v="Bebidas"/>
    <x v="18"/>
    <n v="75"/>
    <n v="3750"/>
  </r>
  <r>
    <n v="23"/>
    <x v="21"/>
    <n v="3021659728"/>
    <s v="Empresa A"/>
    <s v="Ambato"/>
    <s v="Tungurahua"/>
    <s v="Nancy Gil de la Peña"/>
    <x v="3"/>
    <s v="Empresa de embarque D"/>
    <s v="Café"/>
    <s v="Bebidas"/>
    <x v="10"/>
    <n v="4"/>
    <n v="84"/>
  </r>
  <r>
    <n v="24"/>
    <x v="22"/>
    <n v="2591950684"/>
    <s v="Empresa A"/>
    <s v="Ambato"/>
    <s v="Tungurahua"/>
    <s v="Nancy Gil de la Peña"/>
    <x v="3"/>
    <s v="Empresa de embarque D"/>
    <s v="Té verde"/>
    <s v="Bebidas"/>
    <x v="19"/>
    <n v="18"/>
    <n v="774"/>
  </r>
  <r>
    <n v="25"/>
    <x v="23"/>
    <n v="9326361454"/>
    <s v="Empresa BB"/>
    <s v="Manta"/>
    <s v="Manabi"/>
    <s v="Ana del Valle Hinojosa"/>
    <x v="2"/>
    <s v="Tarjeta de crédito"/>
    <s v="Almejas"/>
    <s v="Sopas"/>
    <x v="14"/>
    <n v="49"/>
    <n v="1274"/>
  </r>
  <r>
    <n v="26"/>
    <x v="24"/>
    <n v="3769138349"/>
    <s v="Empresa BB"/>
    <s v="Manta"/>
    <s v="Manabi"/>
    <s v="Ana del Valle Hinojosa"/>
    <x v="2"/>
    <s v="Tarjeta de crédito"/>
    <s v="Carne de cangrejo"/>
    <s v="Carne enlatada"/>
    <x v="20"/>
    <n v="21"/>
    <n v="819"/>
  </r>
  <r>
    <n v="27"/>
    <x v="2"/>
    <n v="5871657714"/>
    <s v="Empresa I"/>
    <s v="Guayaquil"/>
    <s v="Guayas"/>
    <s v="Robert Zárate Carrillo"/>
    <x v="1"/>
    <s v="Cheque"/>
    <s v="Ravioli"/>
    <s v="Pasta"/>
    <x v="9"/>
    <n v="8"/>
    <n v="264"/>
  </r>
  <r>
    <n v="28"/>
    <x v="25"/>
    <n v="1534553307"/>
    <s v="Empresa I"/>
    <s v="Guayaquil"/>
    <s v="Guayas"/>
    <s v="Robert Zárate Carrillo"/>
    <x v="1"/>
    <s v="Cheque"/>
    <s v="Mozzarella"/>
    <s v="Productos lácteos"/>
    <x v="11"/>
    <n v="82"/>
    <n v="3772"/>
  </r>
  <r>
    <n v="29"/>
    <x v="26"/>
    <n v="8474620707"/>
    <s v="Empresa F"/>
    <s v="Ibarra"/>
    <s v="Imbabura"/>
    <s v="Luis Miguel Valdés Garza"/>
    <x v="0"/>
    <s v="Tarjeta de crédito"/>
    <s v="Cerveza"/>
    <s v="Bebidas"/>
    <x v="21"/>
    <n v="75"/>
    <n v="2400"/>
  </r>
  <r>
    <n v="30"/>
    <x v="27"/>
    <n v="3530767380"/>
    <s v="Empresa H"/>
    <s v="Riobamba"/>
    <s v="Chimborazo"/>
    <s v="Nancy Gil de la Peña"/>
    <x v="0"/>
    <s v="Cheque"/>
    <s v="Salsa curry"/>
    <s v="Salsas"/>
    <x v="1"/>
    <n v="3"/>
    <n v="102"/>
  </r>
  <r>
    <n v="31"/>
    <x v="28"/>
    <n v="6673950624"/>
    <s v="Empresa C"/>
    <s v="Machala"/>
    <s v="El Oro"/>
    <s v="Mayra Aguilar Sepúlveda"/>
    <x v="0"/>
    <s v="Efectivo"/>
    <s v="Jarabe"/>
    <s v="Condimentos"/>
    <x v="22"/>
    <n v="33"/>
    <n v="792"/>
  </r>
  <r>
    <n v="32"/>
    <x v="29"/>
    <n v="7137547321"/>
    <s v="Empresa C"/>
    <s v="Machala"/>
    <s v="El Oro"/>
    <s v="Mayra Aguilar Sepúlveda"/>
    <x v="0"/>
    <s v="Efectivo"/>
    <s v="Salsa curry"/>
    <s v="Salsas"/>
    <x v="10"/>
    <n v="51"/>
    <n v="1071"/>
  </r>
  <r>
    <n v="33"/>
    <x v="30"/>
    <n v="9655985375"/>
    <s v="Empresa F"/>
    <s v="Ibarra"/>
    <s v="Imbabura"/>
    <s v="Luis Miguel Valdés Garza"/>
    <x v="0"/>
    <s v="Tarjeta de crédito"/>
    <s v="Empresa de embarque D"/>
    <s v="Tarifa de envío"/>
    <x v="23"/>
    <s v="Empresa de embarque D"/>
    <s v="Empresa de embarque D"/>
  </r>
  <r>
    <n v="34"/>
    <x v="31"/>
    <n v="299812367"/>
    <s v="Empresa BB"/>
    <s v="Manta"/>
    <s v="Manabi"/>
    <s v="Ana del Valle Hinojosa"/>
    <x v="2"/>
    <s v="Cheque"/>
    <s v="Empresa de embarque D"/>
    <s v="Tarifa de envío"/>
    <x v="23"/>
    <s v="Empresa de embarque D"/>
    <s v="Empresa de embarque D"/>
  </r>
  <r>
    <n v="35"/>
    <x v="32"/>
    <n v="7779151222"/>
    <s v="Empresa H"/>
    <s v="Riobamba"/>
    <s v="Chimborazo"/>
    <s v="Nancy Gil de la Peña"/>
    <x v="2"/>
    <s v="Cheque"/>
    <s v="Empresa de embarque D"/>
    <s v="Tarifa de envío"/>
    <x v="23"/>
    <s v="Empresa de embarque D"/>
    <s v="Empresa de embarque D"/>
  </r>
  <r>
    <n v="36"/>
    <x v="33"/>
    <n v="9282360094"/>
    <s v="Empresa J"/>
    <s v="Esmeraldas"/>
    <s v="Esmeraldas"/>
    <s v="Laura Gutiérrez Saenz"/>
    <x v="0"/>
    <s v="Tarjeta de crédito"/>
    <s v="Almendras"/>
    <s v="Frutas secas"/>
    <x v="24"/>
    <n v="47"/>
    <n v="6580"/>
  </r>
  <r>
    <n v="37"/>
    <x v="34"/>
    <n v="6935804403"/>
    <s v="Empresa J"/>
    <s v="Esmeraldas"/>
    <s v="Esmeraldas"/>
    <s v="Laura Gutiérrez Saenz"/>
    <x v="1"/>
    <s v="Empresa de embarque D"/>
    <s v="Ciruelas secas"/>
    <s v="Frutas secas"/>
    <x v="25"/>
    <n v="49"/>
    <n v="2401"/>
  </r>
  <r>
    <n v="38"/>
    <x v="35"/>
    <n v="3650322132"/>
    <s v="Empresa K"/>
    <s v="Quito"/>
    <s v="Pichincha"/>
    <s v="Ana del Valle Hinojosa"/>
    <x v="2"/>
    <s v="Empresa de embarque D"/>
    <s v="Salsa curry"/>
    <s v="Salsas"/>
    <x v="26"/>
    <n v="72"/>
    <n v="40320"/>
  </r>
  <r>
    <n v="39"/>
    <x v="25"/>
    <n v="1985754250"/>
    <s v="Empresa A"/>
    <s v="Ambato"/>
    <s v="Tungurahua"/>
    <s v="Nancy Gil de la Peña"/>
    <x v="2"/>
    <s v="Empresa de embarque D"/>
    <s v="Carne de cangrejo"/>
    <s v="Carne enlatada"/>
    <x v="27"/>
    <n v="13"/>
    <n v="3348.7999999999997"/>
  </r>
  <r>
    <n v="40"/>
    <x v="36"/>
    <n v="7293507918"/>
    <s v="Empresa BB"/>
    <s v="Manta"/>
    <s v="Manabi"/>
    <s v="Ana del Valle Hinojosa"/>
    <x v="2"/>
    <s v="Tarjeta de crédito"/>
    <s v="Café"/>
    <s v="Bebidas"/>
    <x v="28"/>
    <n v="32"/>
    <n v="20608"/>
  </r>
  <r>
    <n v="41"/>
    <x v="37"/>
    <n v="3459323228"/>
    <s v="Empresa I"/>
    <s v="Guayaquil"/>
    <s v="Guayas"/>
    <s v="Robert Zárate Carrillo"/>
    <x v="1"/>
    <s v="Cheque"/>
    <s v="Almejas"/>
    <s v="Sopas"/>
    <x v="29"/>
    <n v="27"/>
    <n v="3647.7"/>
  </r>
  <r>
    <n v="42"/>
    <x v="9"/>
    <n v="1144627655"/>
    <s v="Empresa F"/>
    <s v="Ibarra"/>
    <s v="Imbabura"/>
    <s v="Luis Miguel Valdés Garza"/>
    <x v="0"/>
    <s v="Tarjeta de crédito"/>
    <s v="Chocolate"/>
    <s v="Dulces"/>
    <x v="30"/>
    <n v="71"/>
    <n v="12673.5"/>
  </r>
  <r>
    <n v="43"/>
    <x v="38"/>
    <n v="3986713828"/>
    <s v="Empresa H"/>
    <s v="Riobamba"/>
    <s v="Chimborazo"/>
    <s v="Nancy Gil de la Peña"/>
    <x v="0"/>
    <s v="Cheque"/>
    <s v="Chocolate"/>
    <s v="Dulces"/>
    <x v="30"/>
    <n v="13"/>
    <n v="2320.5"/>
  </r>
  <r>
    <n v="44"/>
    <x v="39"/>
    <n v="9350633665"/>
    <s v="Empresa Y"/>
    <s v="Esmeraldas"/>
    <s v="Esmeraldas"/>
    <s v="Laura Gutiérrez Saenz"/>
    <x v="1"/>
    <s v="Efectivo"/>
    <s v="Condimento cajún"/>
    <s v="Condimentos"/>
    <x v="31"/>
    <n v="98"/>
    <n v="30184"/>
  </r>
  <r>
    <n v="45"/>
    <x v="40"/>
    <n v="4918639925"/>
    <s v="Empresa Z"/>
    <s v="Quito"/>
    <s v="Pichincha"/>
    <s v="Ana del Valle Hinojosa"/>
    <x v="2"/>
    <s v="Tarjeta de crédito"/>
    <s v="Jalea de fresa"/>
    <s v="Mermeladas y jaleas"/>
    <x v="32"/>
    <n v="21"/>
    <n v="7350"/>
  </r>
  <r>
    <n v="46"/>
    <x v="41"/>
    <n v="9630006862"/>
    <s v="Empresa CC"/>
    <s v="Guayaquil"/>
    <s v="Guayas"/>
    <s v="José de Jesús Morales"/>
    <x v="0"/>
    <s v="Cheque"/>
    <s v="Cóctel de frutas"/>
    <s v="Frutas y vegetales"/>
    <x v="33"/>
    <n v="26"/>
    <n v="14196"/>
  </r>
  <r>
    <n v="47"/>
    <x v="42"/>
    <n v="9029002933"/>
    <s v="Empresa F"/>
    <s v="Ibarra"/>
    <s v="Imbabura"/>
    <s v="Luis Miguel Valdés Garza"/>
    <x v="2"/>
    <s v="Cheque"/>
    <s v="Peras secas"/>
    <s v="Frutas secas"/>
    <x v="34"/>
    <n v="96"/>
    <n v="40320"/>
  </r>
  <r>
    <n v="48"/>
    <x v="43"/>
    <n v="5702300844"/>
    <s v="Empresa F"/>
    <s v="Ibarra"/>
    <s v="Imbabura"/>
    <s v="Luis Miguel Valdés Garza"/>
    <x v="2"/>
    <s v="Cheque"/>
    <s v="Manzanas secas"/>
    <s v="Frutas secas"/>
    <x v="35"/>
    <n v="16"/>
    <n v="11872"/>
  </r>
  <r>
    <n v="49"/>
    <x v="44"/>
    <n v="6885713027"/>
    <s v="Empresa D"/>
    <s v="Azogues"/>
    <s v="Canar"/>
    <s v="Andrés González Rico"/>
    <x v="3"/>
    <s v="Empresa de embarque D"/>
    <s v="Pasta penne"/>
    <s v="Pasta"/>
    <x v="36"/>
    <n v="96"/>
    <n v="51072"/>
  </r>
  <r>
    <n v="50"/>
    <x v="12"/>
    <n v="5156178317"/>
    <s v="Empresa C"/>
    <s v="Machala"/>
    <s v="El Oro"/>
    <s v="Mayra Aguilar Sepúlveda"/>
    <x v="3"/>
    <s v="Empresa de embarque D"/>
    <s v="Té verde"/>
    <s v="Bebidas"/>
    <x v="37"/>
    <n v="75"/>
    <n v="3139.5"/>
  </r>
  <r>
    <n v="51"/>
    <x v="45"/>
    <n v="9993785470"/>
    <s v="Empresa I"/>
    <s v="Guayaquil"/>
    <s v="Guayas"/>
    <s v="Robert Zárate Carrillo"/>
    <x v="1"/>
    <s v="Cheque"/>
    <s v="Ravioli"/>
    <s v="Pasta"/>
    <x v="38"/>
    <n v="55"/>
    <n v="15015"/>
  </r>
  <r>
    <n v="52"/>
    <x v="46"/>
    <n v="2344903076"/>
    <s v="Empresa I"/>
    <s v="Guayaquil"/>
    <s v="Guayas"/>
    <s v="Robert Zárate Carrillo"/>
    <x v="1"/>
    <s v="Cheque"/>
    <s v="Mozzarella"/>
    <s v="Productos lácteos"/>
    <x v="39"/>
    <n v="11"/>
    <n v="5359.1999999999989"/>
  </r>
  <r>
    <n v="53"/>
    <x v="47"/>
    <n v="5773601950"/>
    <s v="Empresa F"/>
    <s v="Ibarra"/>
    <s v="Imbabura"/>
    <s v="Luis Miguel Valdés Garza"/>
    <x v="0"/>
    <s v="Tarjeta de crédito"/>
    <s v="Cerveza"/>
    <s v="Bebidas"/>
    <x v="40"/>
    <n v="53"/>
    <n v="10388"/>
  </r>
  <r>
    <n v="54"/>
    <x v="48"/>
    <n v="4818078168"/>
    <s v="Empresa H"/>
    <s v="Riobamba"/>
    <s v="Chimborazo"/>
    <s v="Nancy Gil de la Peña"/>
    <x v="0"/>
    <s v="Cheque"/>
    <s v="Salsa curry"/>
    <s v="Salsas"/>
    <x v="26"/>
    <n v="85"/>
    <n v="47600"/>
  </r>
  <r>
    <n v="55"/>
    <x v="49"/>
    <n v="9107195581"/>
    <s v="Empresa H"/>
    <s v="Riobamba"/>
    <s v="Chimborazo"/>
    <s v="Nancy Gil de la Peña"/>
    <x v="0"/>
    <s v="Cheque"/>
    <s v="Galletas de chocolate"/>
    <s v="Productos horneados"/>
    <x v="41"/>
    <n v="97"/>
    <n v="12493.599999999999"/>
  </r>
  <r>
    <n v="56"/>
    <x v="50"/>
    <n v="5806733138"/>
    <s v="Empresa Y"/>
    <s v="Esmeraldas"/>
    <s v="Esmeraldas"/>
    <s v="Laura Gutiérrez Saenz"/>
    <x v="1"/>
    <s v="Efectivo"/>
    <s v="Bolillos"/>
    <s v="Productos horneados"/>
    <x v="24"/>
    <n v="46"/>
    <n v="6440"/>
  </r>
  <r>
    <n v="57"/>
    <x v="51"/>
    <n v="3059258597"/>
    <s v="Empresa Z"/>
    <s v="Quito"/>
    <s v="Pichincha"/>
    <s v="Ana del Valle Hinojosa"/>
    <x v="2"/>
    <s v="Tarjeta de crédito"/>
    <s v="Aceite de oliva"/>
    <s v="Aceite"/>
    <x v="42"/>
    <n v="97"/>
    <n v="28993.300000000003"/>
  </r>
  <r>
    <n v="58"/>
    <x v="52"/>
    <n v="586395005"/>
    <s v="Empresa Z"/>
    <s v="Quito"/>
    <s v="Pichincha"/>
    <s v="Ana del Valle Hinojosa"/>
    <x v="2"/>
    <s v="Tarjeta de crédito"/>
    <s v="Almejas"/>
    <s v="Sopas"/>
    <x v="29"/>
    <n v="97"/>
    <n v="13104.699999999999"/>
  </r>
  <r>
    <n v="59"/>
    <x v="53"/>
    <n v="9281389647"/>
    <s v="Empresa Z"/>
    <s v="Quito"/>
    <s v="Pichincha"/>
    <s v="Ana del Valle Hinojosa"/>
    <x v="2"/>
    <s v="Tarjeta de crédito"/>
    <s v="Carne de cangrejo"/>
    <s v="Carne enlatada"/>
    <x v="27"/>
    <n v="65"/>
    <n v="16743.999999999996"/>
  </r>
  <r>
    <n v="60"/>
    <x v="54"/>
    <n v="2230409971"/>
    <s v="Empresa CC"/>
    <s v="Guayaquil"/>
    <s v="Guayas"/>
    <s v="José de Jesús Morales"/>
    <x v="0"/>
    <s v="Cheque"/>
    <s v="Cerveza"/>
    <s v="Bebidas"/>
    <x v="40"/>
    <n v="72"/>
    <n v="14112"/>
  </r>
  <r>
    <n v="61"/>
    <x v="34"/>
    <n v="498762200"/>
    <s v="Empresa F"/>
    <s v="Ibarra"/>
    <s v="Imbabura"/>
    <s v="Luis Miguel Valdés Garza"/>
    <x v="2"/>
    <s v="Cheque"/>
    <s v="Chocolate"/>
    <s v="Dulces"/>
    <x v="30"/>
    <n v="16"/>
    <n v="2856"/>
  </r>
  <r>
    <n v="62"/>
    <x v="55"/>
    <n v="5059332572"/>
    <s v="Empresa D"/>
    <s v="Azogues"/>
    <s v="Canar"/>
    <s v="Andrés González Rico"/>
    <x v="1"/>
    <s v="Tarjeta de crédito"/>
    <s v="Mermelada de zarzamora"/>
    <s v="Mermeladas y jaleas"/>
    <x v="43"/>
    <n v="77"/>
    <n v="87318"/>
  </r>
  <r>
    <n v="63"/>
    <x v="56"/>
    <n v="807667000"/>
    <s v="Empresa D"/>
    <s v="Azogues"/>
    <s v="Canar"/>
    <s v="Andrés González Rico"/>
    <x v="1"/>
    <s v="Tarjeta de crédito"/>
    <s v="Arroz de grano largo"/>
    <s v="Granos"/>
    <x v="44"/>
    <n v="37"/>
    <n v="3626"/>
  </r>
  <r>
    <n v="64"/>
    <x v="57"/>
    <n v="4320869422"/>
    <s v="Empresa H"/>
    <s v="Riobamba"/>
    <s v="Chimborazo"/>
    <s v="Nancy Gil de la Peña"/>
    <x v="2"/>
    <s v="Tarjeta de crédito"/>
    <s v="Mozzarella"/>
    <s v="Productos lácteos"/>
    <x v="39"/>
    <n v="63"/>
    <n v="30693.599999999995"/>
  </r>
  <r>
    <n v="65"/>
    <x v="58"/>
    <n v="7227542762"/>
    <s v="Empresa C"/>
    <s v="Machala"/>
    <s v="El Oro"/>
    <s v="Mayra Aguilar Sepúlveda"/>
    <x v="0"/>
    <s v="Efectivo"/>
    <s v="Jarabe"/>
    <s v="Condimentos"/>
    <x v="24"/>
    <n v="48"/>
    <n v="6720"/>
  </r>
  <r>
    <n v="66"/>
    <x v="59"/>
    <n v="4844854212"/>
    <s v="Empresa C"/>
    <s v="Machala"/>
    <s v="El Oro"/>
    <s v="Mayra Aguilar Sepúlveda"/>
    <x v="0"/>
    <s v="Efectivo"/>
    <s v="Salsa curry"/>
    <s v="Salsas"/>
    <x v="26"/>
    <n v="71"/>
    <n v="39760"/>
  </r>
  <r>
    <n v="67"/>
    <x v="60"/>
    <n v="6476704094"/>
    <s v="Empresa J"/>
    <s v="Esmeraldas"/>
    <s v="Esmeraldas"/>
    <s v="Laura Gutiérrez Saenz"/>
    <x v="0"/>
    <s v="Tarjeta de crédito"/>
    <s v="Almendras"/>
    <s v="Frutas secas"/>
    <x v="24"/>
    <n v="55"/>
    <n v="7700"/>
  </r>
  <r>
    <n v="68"/>
    <x v="61"/>
    <n v="289513623"/>
    <s v="Empresa J"/>
    <s v="Esmeraldas"/>
    <s v="Esmeraldas"/>
    <s v="Laura Gutiérrez Saenz"/>
    <x v="1"/>
    <s v="Empresa de embarque D"/>
    <s v="Ciruelas secas"/>
    <s v="Frutas secas"/>
    <x v="25"/>
    <n v="21"/>
    <n v="1029"/>
  </r>
  <r>
    <n v="69"/>
    <x v="62"/>
    <n v="4360909288"/>
    <s v="Empresa K"/>
    <s v="Quito"/>
    <s v="Pichincha"/>
    <s v="Ana del Valle Hinojosa"/>
    <x v="2"/>
    <s v="Empresa de embarque D"/>
    <s v="Salsa curry"/>
    <s v="Salsas"/>
    <x v="26"/>
    <n v="67"/>
    <n v="37520"/>
  </r>
  <r>
    <n v="70"/>
    <x v="63"/>
    <n v="1569352924"/>
    <s v="Empresa A"/>
    <s v="Ambato"/>
    <s v="Tungurahua"/>
    <s v="Nancy Gil de la Peña"/>
    <x v="2"/>
    <s v="Empresa de embarque D"/>
    <s v="Carne de cangrejo"/>
    <s v="Carne enlatada"/>
    <x v="27"/>
    <n v="75"/>
    <n v="19319.999999999996"/>
  </r>
  <r>
    <n v="71"/>
    <x v="64"/>
    <n v="4417023777"/>
    <s v="Empresa BB"/>
    <s v="Manta"/>
    <s v="Manabi"/>
    <s v="Ana del Valle Hinojosa"/>
    <x v="2"/>
    <s v="Tarjeta de crédito"/>
    <s v="Café"/>
    <s v="Bebidas"/>
    <x v="28"/>
    <n v="17"/>
    <n v="10948"/>
  </r>
  <r>
    <n v="72"/>
    <x v="28"/>
    <n v="5213348963"/>
    <s v="Empresa D"/>
    <s v="Azogues"/>
    <s v="Canar"/>
    <s v="Andrés González Rico"/>
    <x v="1"/>
    <s v="Tarjeta de crédito"/>
    <s v="Ciruelas secas"/>
    <s v="Frutas secas"/>
    <x v="25"/>
    <n v="48"/>
    <n v="2352"/>
  </r>
  <r>
    <n v="73"/>
    <x v="65"/>
    <n v="6039525395"/>
    <s v="Empresa L"/>
    <s v="Cuenca"/>
    <s v="Azuay"/>
    <s v="Mayra Aguilar Sepúlveda"/>
    <x v="0"/>
    <s v="Tarjeta de crédito"/>
    <s v="Té chai"/>
    <s v="Bebidas"/>
    <x v="45"/>
    <n v="74"/>
    <n v="18648"/>
  </r>
  <r>
    <n v="74"/>
    <x v="47"/>
    <n v="7564866770"/>
    <s v="Empresa L"/>
    <s v="Cuenca"/>
    <s v="Azuay"/>
    <s v="Mayra Aguilar Sepúlveda"/>
    <x v="0"/>
    <s v="Tarjeta de crédito"/>
    <s v="Café"/>
    <s v="Bebidas"/>
    <x v="28"/>
    <n v="96"/>
    <n v="61824"/>
  </r>
  <r>
    <n v="75"/>
    <x v="66"/>
    <n v="9161740728"/>
    <s v="Empresa H"/>
    <s v="Riobamba"/>
    <s v="Chimborazo"/>
    <s v="Nancy Gil de la Peña"/>
    <x v="2"/>
    <s v="Tarjeta de crédito"/>
    <s v="Galletas de chocolate"/>
    <s v="Productos horneados"/>
    <x v="41"/>
    <n v="12"/>
    <n v="1545.6"/>
  </r>
  <r>
    <n v="76"/>
    <x v="67"/>
    <n v="5854661633"/>
    <s v="Empresa D"/>
    <s v="Azogues"/>
    <s v="Canar"/>
    <s v="Andrés González Rico"/>
    <x v="2"/>
    <s v="Cheque"/>
    <s v="Galletas de chocolate"/>
    <s v="Productos horneados"/>
    <x v="41"/>
    <n v="62"/>
    <n v="7985.5999999999985"/>
  </r>
  <r>
    <n v="77"/>
    <x v="68"/>
    <n v="9782824487"/>
    <s v="Empresa CC"/>
    <s v="Guayaquil"/>
    <s v="Guayas"/>
    <s v="José de Jesús Morales"/>
    <x v="0"/>
    <s v="Cheque"/>
    <s v="Chocolate"/>
    <s v="Dulces"/>
    <x v="30"/>
    <n v="35"/>
    <n v="6247.5"/>
  </r>
  <r>
    <n v="78"/>
    <x v="69"/>
    <n v="5368581132"/>
    <s v="Empresa C"/>
    <s v="Machala"/>
    <s v="El Oro"/>
    <s v="Mayra Aguilar Sepúlveda"/>
    <x v="0"/>
    <s v="Efectivo"/>
    <s v="Almejas"/>
    <s v="Sopas"/>
    <x v="29"/>
    <n v="95"/>
    <n v="12834.5"/>
  </r>
  <r>
    <n v="79"/>
    <x v="70"/>
    <n v="1972466220"/>
    <s v="Empresa F"/>
    <s v="Ibarra"/>
    <s v="Imbabura"/>
    <s v="Luis Miguel Valdés Garza"/>
    <x v="0"/>
    <s v="Tarjeta de crédito"/>
    <s v="Salsa curry"/>
    <s v="Salsas"/>
    <x v="26"/>
    <n v="17"/>
    <n v="9520"/>
  </r>
  <r>
    <n v="80"/>
    <x v="71"/>
    <n v="6835780904"/>
    <s v="Empresa BB"/>
    <s v="Manta"/>
    <s v="Manabi"/>
    <s v="Ana del Valle Hinojosa"/>
    <x v="2"/>
    <s v="Cheque"/>
    <s v="Café"/>
    <s v="Bebidas"/>
    <x v="28"/>
    <n v="96"/>
    <n v="61824"/>
  </r>
  <r>
    <n v="81"/>
    <x v="72"/>
    <n v="9361876990"/>
    <s v="Empresa H"/>
    <s v="Riobamba"/>
    <s v="Chimborazo"/>
    <s v="Nancy Gil de la Peña"/>
    <x v="2"/>
    <s v="Cheque"/>
    <s v="Chocolate"/>
    <s v="Dulces"/>
    <x v="30"/>
    <n v="83"/>
    <n v="14815.5"/>
  </r>
  <r>
    <n v="82"/>
    <x v="73"/>
    <n v="7655628230"/>
    <s v="Empresa J"/>
    <s v="Esmeraldas"/>
    <s v="Esmeraldas"/>
    <s v="Laura Gutiérrez Saenz"/>
    <x v="0"/>
    <s v="Tarjeta de crédito"/>
    <s v="Té verde"/>
    <s v="Bebidas"/>
    <x v="37"/>
    <n v="88"/>
    <n v="3683.68"/>
  </r>
  <r>
    <n v="83"/>
    <x v="35"/>
    <n v="6770397729"/>
    <s v="Empresa G"/>
    <s v="Guaranda"/>
    <s v="Guaranda"/>
    <s v="Nancy Gil de la Peña"/>
    <x v="3"/>
    <s v="Empresa de embarque D"/>
    <s v="Café"/>
    <s v="Bebidas"/>
    <x v="28"/>
    <n v="59"/>
    <n v="37996"/>
  </r>
  <r>
    <n v="84"/>
    <x v="74"/>
    <n v="6622149015"/>
    <s v="Empresa J"/>
    <s v="Esmeraldas"/>
    <s v="Esmeraldas"/>
    <s v="Laura Gutiérrez Saenz"/>
    <x v="1"/>
    <s v="Empresa de embarque D"/>
    <s v="Jalea de fresa"/>
    <s v="Mermeladas y jaleas"/>
    <x v="32"/>
    <n v="27"/>
    <n v="9450"/>
  </r>
  <r>
    <n v="85"/>
    <x v="75"/>
    <n v="8859429908"/>
    <s v="Empresa J"/>
    <s v="Esmeraldas"/>
    <s v="Esmeraldas"/>
    <s v="Laura Gutiérrez Saenz"/>
    <x v="1"/>
    <s v="Empresa de embarque D"/>
    <s v="Condimento cajún"/>
    <s v="Condimentos"/>
    <x v="31"/>
    <n v="37"/>
    <n v="11396"/>
  </r>
  <r>
    <n v="86"/>
    <x v="76"/>
    <n v="146252536"/>
    <s v="Empresa J"/>
    <s v="Esmeraldas"/>
    <s v="Esmeraldas"/>
    <s v="Laura Gutiérrez Saenz"/>
    <x v="1"/>
    <s v="Empresa de embarque D"/>
    <s v="Galletas de chocolate"/>
    <s v="Productos horneados"/>
    <x v="41"/>
    <n v="75"/>
    <n v="9659.9999999999982"/>
  </r>
  <r>
    <n v="87"/>
    <x v="77"/>
    <n v="9010865731"/>
    <s v="Empresa K"/>
    <s v="Quito"/>
    <s v="Pichincha"/>
    <s v="Ana del Valle Hinojosa"/>
    <x v="2"/>
    <s v="Empresa de embarque D"/>
    <s v="Ciruelas secas"/>
    <s v="Frutas secas"/>
    <x v="25"/>
    <n v="71"/>
    <n v="3479"/>
  </r>
  <r>
    <n v="88"/>
    <x v="78"/>
    <n v="9076170123"/>
    <s v="Empresa K"/>
    <s v="Quito"/>
    <s v="Pichincha"/>
    <s v="Ana del Valle Hinojosa"/>
    <x v="2"/>
    <s v="Empresa de embarque D"/>
    <s v="Té verde"/>
    <s v="Bebidas"/>
    <x v="37"/>
    <n v="88"/>
    <n v="3683.68"/>
  </r>
  <r>
    <n v="89"/>
    <x v="79"/>
    <n v="4412491838"/>
    <s v="Empresa A"/>
    <s v="Ambato"/>
    <s v="Tungurahua"/>
    <s v="Nancy Gil de la Peña"/>
    <x v="3"/>
    <s v="Empresa de embarque D"/>
    <s v="Té chai"/>
    <s v="Bebidas"/>
    <x v="45"/>
    <n v="55"/>
    <n v="13860"/>
  </r>
  <r>
    <n v="90"/>
    <x v="50"/>
    <n v="7223227521"/>
    <s v="Empresa CC"/>
    <s v="Guayaquil"/>
    <s v="Guayas"/>
    <s v="José de Jesús Morales"/>
    <x v="0"/>
    <s v="Cheque"/>
    <s v="Chocolate"/>
    <s v="Dulces"/>
    <x v="30"/>
    <n v="14"/>
    <n v="2499"/>
  </r>
  <r>
    <n v="91"/>
    <x v="80"/>
    <n v="9595973394"/>
    <s v="Empresa C"/>
    <s v="Machala"/>
    <s v="El Oro"/>
    <s v="Mayra Aguilar Sepúlveda"/>
    <x v="0"/>
    <s v="Efectivo"/>
    <s v="Almejas"/>
    <s v="Sopas"/>
    <x v="29"/>
    <n v="43"/>
    <n v="5809.3"/>
  </r>
  <r>
    <n v="92"/>
    <x v="81"/>
    <n v="2755531090"/>
    <s v="Empresa F"/>
    <s v="Ibarra"/>
    <s v="Imbabura"/>
    <s v="Luis Miguel Valdés Garza"/>
    <x v="0"/>
    <s v="Tarjeta de crédito"/>
    <s v="Salsa curry"/>
    <s v="Salsas"/>
    <x v="26"/>
    <n v="63"/>
    <n v="35280"/>
  </r>
  <r>
    <n v="93"/>
    <x v="82"/>
    <n v="5306800000"/>
    <s v="Empresa BB"/>
    <s v="Manta"/>
    <s v="Manabi"/>
    <s v="Ana del Valle Hinojosa"/>
    <x v="2"/>
    <s v="Cheque"/>
    <s v="Café"/>
    <s v="Bebidas"/>
    <x v="28"/>
    <n v="36"/>
    <n v="23184"/>
  </r>
  <r>
    <n v="94"/>
    <x v="54"/>
    <n v="6768826719"/>
    <s v="Empresa H"/>
    <s v="Riobamba"/>
    <s v="Chimborazo"/>
    <s v="Nancy Gil de la Peña"/>
    <x v="2"/>
    <s v="Cheque"/>
    <s v="Chocolate"/>
    <s v="Dulces"/>
    <x v="30"/>
    <n v="41"/>
    <n v="7318.5"/>
  </r>
  <r>
    <n v="95"/>
    <x v="83"/>
    <n v="7945500000"/>
    <s v="Empresa J"/>
    <s v="Esmeraldas"/>
    <s v="Esmeraldas"/>
    <s v="Laura Gutiérrez Saenz"/>
    <x v="0"/>
    <s v="Tarjeta de crédito"/>
    <s v="Té verde"/>
    <s v="Bebidas"/>
    <x v="37"/>
    <n v="35"/>
    <n v="1465.1"/>
  </r>
  <r>
    <n v="96"/>
    <x v="83"/>
    <n v="4671327569"/>
    <s v="Empresa G"/>
    <s v="Guaranda"/>
    <s v="Guaranda"/>
    <s v="Nancy Gil de la Peña"/>
    <x v="3"/>
    <s v="Empresa de embarque D"/>
    <s v="Café"/>
    <s v="Bebidas"/>
    <x v="28"/>
    <n v="31"/>
    <n v="19964"/>
  </r>
  <r>
    <n v="97"/>
    <x v="84"/>
    <n v="5750783013"/>
    <s v="Empresa J"/>
    <s v="Esmeraldas"/>
    <s v="Esmeraldas"/>
    <s v="Laura Gutiérrez Saenz"/>
    <x v="1"/>
    <s v="Empresa de embarque D"/>
    <s v="Jalea de fresa"/>
    <s v="Mermeladas y jaleas"/>
    <x v="32"/>
    <n v="52"/>
    <n v="18200"/>
  </r>
  <r>
    <n v="98"/>
    <x v="85"/>
    <n v="1216202808"/>
    <s v="Empresa J"/>
    <s v="Esmeraldas"/>
    <s v="Esmeraldas"/>
    <s v="Laura Gutiérrez Saenz"/>
    <x v="1"/>
    <s v="Empresa de embarque D"/>
    <s v="Condimento cajún"/>
    <s v="Condimentos"/>
    <x v="31"/>
    <n v="30"/>
    <n v="9240"/>
  </r>
  <r>
    <n v="99"/>
    <x v="86"/>
    <n v="7167041532"/>
    <s v="Empresa J"/>
    <s v="Esmeraldas"/>
    <s v="Esmeraldas"/>
    <s v="Laura Gutiérrez Saenz"/>
    <x v="1"/>
    <s v="Empresa de embarque D"/>
    <s v="Galletas de chocolate"/>
    <s v="Productos horneados"/>
    <x v="41"/>
    <n v="41"/>
    <n v="5280.7999999999993"/>
  </r>
  <r>
    <n v="100"/>
    <x v="87"/>
    <n v="2241191338"/>
    <s v="Empresa K"/>
    <s v="Quito"/>
    <s v="Pichincha"/>
    <s v="Ana del Valle Hinojosa"/>
    <x v="2"/>
    <s v="Empresa de embarque D"/>
    <s v="Ciruelas secas"/>
    <s v="Frutas secas"/>
    <x v="25"/>
    <n v="44"/>
    <n v="2156"/>
  </r>
  <r>
    <n v="101"/>
    <x v="88"/>
    <n v="806264266"/>
    <s v="Empresa K"/>
    <s v="Quito"/>
    <s v="Pichincha"/>
    <s v="Ana del Valle Hinojosa"/>
    <x v="2"/>
    <s v="Empresa de embarque D"/>
    <s v="Té verde"/>
    <s v="Bebidas"/>
    <x v="37"/>
    <n v="77"/>
    <n v="3223.22"/>
  </r>
  <r>
    <n v="102"/>
    <x v="89"/>
    <n v="3820174684"/>
    <s v="Empresa A"/>
    <s v="Ambato"/>
    <s v="Tungurahua"/>
    <s v="Nancy Gil de la Peña"/>
    <x v="3"/>
    <s v="Empresa de embarque D"/>
    <s v="Té chai"/>
    <s v="Bebidas"/>
    <x v="45"/>
    <n v="29"/>
    <n v="7308"/>
  </r>
  <r>
    <n v="103"/>
    <x v="90"/>
    <n v="5541796483"/>
    <s v="Empresa A"/>
    <s v="Ambato"/>
    <s v="Tungurahua"/>
    <s v="Nancy Gil de la Peña"/>
    <x v="3"/>
    <s v="Empresa de embarque D"/>
    <s v="Café"/>
    <s v="Bebidas"/>
    <x v="28"/>
    <n v="77"/>
    <n v="49588"/>
  </r>
  <r>
    <n v="104"/>
    <x v="91"/>
    <n v="7096714976"/>
    <s v="Empresa A"/>
    <s v="Ambato"/>
    <s v="Tungurahua"/>
    <s v="Nancy Gil de la Peña"/>
    <x v="3"/>
    <s v="Empresa de embarque D"/>
    <s v="Té verde"/>
    <s v="Bebidas"/>
    <x v="37"/>
    <n v="73"/>
    <n v="3055.7799999999997"/>
  </r>
  <r>
    <n v="105"/>
    <x v="92"/>
    <n v="2543114862"/>
    <s v="Empresa BB"/>
    <s v="Manta"/>
    <s v="Manabi"/>
    <s v="Ana del Valle Hinojosa"/>
    <x v="2"/>
    <s v="Tarjeta de crédito"/>
    <s v="Almejas"/>
    <s v="Sopas"/>
    <x v="29"/>
    <n v="74"/>
    <n v="9997.4"/>
  </r>
  <r>
    <n v="106"/>
    <x v="38"/>
    <n v="6501127347"/>
    <s v="Empresa BB"/>
    <s v="Manta"/>
    <s v="Manabi"/>
    <s v="Ana del Valle Hinojosa"/>
    <x v="2"/>
    <s v="Tarjeta de crédito"/>
    <s v="Carne de cangrejo"/>
    <s v="Carne enlatada"/>
    <x v="27"/>
    <n v="25"/>
    <n v="6439.9999999999991"/>
  </r>
  <r>
    <n v="107"/>
    <x v="93"/>
    <n v="1322296163"/>
    <s v="Empresa I"/>
    <s v="Guayaquil"/>
    <s v="Guayas"/>
    <s v="Robert Zárate Carrillo"/>
    <x v="1"/>
    <s v="Cheque"/>
    <s v="Ravioli"/>
    <s v="Pasta"/>
    <x v="38"/>
    <n v="82"/>
    <n v="22386"/>
  </r>
  <r>
    <n v="108"/>
    <x v="94"/>
    <n v="5162222472"/>
    <s v="Empresa I"/>
    <s v="Guayaquil"/>
    <s v="Guayas"/>
    <s v="Robert Zárate Carrillo"/>
    <x v="1"/>
    <s v="Cheque"/>
    <s v="Mozzarella"/>
    <s v="Productos lácteos"/>
    <x v="39"/>
    <n v="37"/>
    <n v="18026.399999999998"/>
  </r>
  <r>
    <n v="109"/>
    <x v="95"/>
    <n v="5752777715"/>
    <s v="Empresa F"/>
    <s v="Ibarra"/>
    <s v="Imbabura"/>
    <s v="Luis Miguel Valdés Garza"/>
    <x v="0"/>
    <s v="Tarjeta de crédito"/>
    <s v="Cerveza"/>
    <s v="Bebidas"/>
    <x v="40"/>
    <n v="84"/>
    <n v="16464"/>
  </r>
  <r>
    <n v="110"/>
    <x v="85"/>
    <n v="2261700341"/>
    <s v="Empresa H"/>
    <s v="Riobamba"/>
    <s v="Chimborazo"/>
    <s v="Nancy Gil de la Peña"/>
    <x v="0"/>
    <s v="Cheque"/>
    <s v="Salsa curry"/>
    <s v="Salsas"/>
    <x v="26"/>
    <n v="73"/>
    <n v="40880"/>
  </r>
  <r>
    <n v="111"/>
    <x v="96"/>
    <n v="9950546196"/>
    <s v="Empresa H"/>
    <s v="Riobamba"/>
    <s v="Chimborazo"/>
    <s v="Nancy Gil de la Peña"/>
    <x v="0"/>
    <s v="Cheque"/>
    <s v="Galletas de chocolate"/>
    <s v="Productos horneados"/>
    <x v="41"/>
    <n v="51"/>
    <n v="6568.7999999999993"/>
  </r>
  <r>
    <n v="112"/>
    <x v="97"/>
    <n v="9911266011"/>
    <s v="Empresa Y"/>
    <s v="Esmeraldas"/>
    <s v="Esmeraldas"/>
    <s v="Laura Gutiérrez Saenz"/>
    <x v="1"/>
    <s v="Efectivo"/>
    <s v="Bolillos"/>
    <s v="Productos horneados"/>
    <x v="24"/>
    <n v="66"/>
    <n v="9240"/>
  </r>
  <r>
    <n v="113"/>
    <x v="98"/>
    <n v="8455987495"/>
    <s v="Empresa Z"/>
    <s v="Quito"/>
    <s v="Pichincha"/>
    <s v="Ana del Valle Hinojosa"/>
    <x v="2"/>
    <s v="Tarjeta de crédito"/>
    <s v="Aceite de oliva"/>
    <s v="Aceite"/>
    <x v="42"/>
    <n v="36"/>
    <n v="10760.400000000001"/>
  </r>
  <r>
    <n v="114"/>
    <x v="63"/>
    <n v="6668567210"/>
    <s v="Empresa Z"/>
    <s v="Quito"/>
    <s v="Pichincha"/>
    <s v="Ana del Valle Hinojosa"/>
    <x v="2"/>
    <s v="Tarjeta de crédito"/>
    <s v="Almejas"/>
    <s v="Sopas"/>
    <x v="29"/>
    <n v="87"/>
    <n v="11753.699999999999"/>
  </r>
  <r>
    <n v="115"/>
    <x v="99"/>
    <n v="9528620750"/>
    <s v="Empresa Z"/>
    <s v="Quito"/>
    <s v="Pichincha"/>
    <s v="Ana del Valle Hinojosa"/>
    <x v="2"/>
    <s v="Tarjeta de crédito"/>
    <s v="Carne de cangrejo"/>
    <s v="Carne enlatada"/>
    <x v="27"/>
    <n v="64"/>
    <n v="16486.399999999998"/>
  </r>
  <r>
    <n v="116"/>
    <x v="100"/>
    <n v="1951835035"/>
    <s v="Empresa CC"/>
    <s v="Guayaquil"/>
    <s v="Guayas"/>
    <s v="José de Jesús Morales"/>
    <x v="0"/>
    <s v="Cheque"/>
    <s v="Cerveza"/>
    <s v="Bebidas"/>
    <x v="40"/>
    <n v="21"/>
    <n v="4116"/>
  </r>
  <r>
    <n v="117"/>
    <x v="101"/>
    <n v="8464805926"/>
    <s v="Empresa F"/>
    <s v="Ibarra"/>
    <s v="Imbabura"/>
    <s v="Luis Miguel Valdés Garza"/>
    <x v="2"/>
    <s v="Cheque"/>
    <s v="Chocolate"/>
    <s v="Dulces"/>
    <x v="30"/>
    <n v="19"/>
    <n v="3391.5"/>
  </r>
  <r>
    <n v="118"/>
    <x v="102"/>
    <n v="1040241832"/>
    <s v="Empresa D"/>
    <s v="Azogues"/>
    <s v="Canar"/>
    <s v="Andrés González Rico"/>
    <x v="1"/>
    <s v="Tarjeta de crédito"/>
    <s v="Mermelada de zarzamora"/>
    <s v="Mermeladas y jaleas"/>
    <x v="43"/>
    <n v="23"/>
    <n v="26082"/>
  </r>
  <r>
    <n v="119"/>
    <x v="103"/>
    <n v="5032769390"/>
    <s v="Empresa D"/>
    <s v="Azogues"/>
    <s v="Canar"/>
    <s v="Andrés González Rico"/>
    <x v="1"/>
    <s v="Tarjeta de crédito"/>
    <s v="Arroz de grano largo"/>
    <s v="Granos"/>
    <x v="44"/>
    <n v="72"/>
    <n v="7056"/>
  </r>
  <r>
    <n v="120"/>
    <x v="104"/>
    <n v="5375997402"/>
    <s v="Empresa H"/>
    <s v="Riobamba"/>
    <s v="Chimborazo"/>
    <s v="Nancy Gil de la Peña"/>
    <x v="2"/>
    <s v="Tarjeta de crédito"/>
    <s v="Mozzarella"/>
    <s v="Productos lácteos"/>
    <x v="39"/>
    <n v="22"/>
    <n v="10718.399999999998"/>
  </r>
  <r>
    <n v="121"/>
    <x v="105"/>
    <n v="967566383"/>
    <s v="Empresa C"/>
    <s v="Machala"/>
    <s v="El Oro"/>
    <s v="Mayra Aguilar Sepúlveda"/>
    <x v="0"/>
    <s v="Efectivo"/>
    <s v="Jarabe"/>
    <s v="Condimentos"/>
    <x v="24"/>
    <n v="82"/>
    <n v="11480"/>
  </r>
  <r>
    <n v="122"/>
    <x v="106"/>
    <n v="7607007457"/>
    <s v="Empresa C"/>
    <s v="Machala"/>
    <s v="El Oro"/>
    <s v="Mayra Aguilar Sepúlveda"/>
    <x v="0"/>
    <s v="Efectivo"/>
    <s v="Salsa curry"/>
    <s v="Salsas"/>
    <x v="26"/>
    <n v="98"/>
    <n v="54880"/>
  </r>
  <r>
    <n v="123"/>
    <x v="107"/>
    <n v="6139722497"/>
    <s v="Empresa G"/>
    <s v="Guaranda"/>
    <s v="Guaranda"/>
    <s v="Nancy Gil de la Peña"/>
    <x v="3"/>
    <s v="Empresa de embarque D"/>
    <s v="Café"/>
    <s v="Bebidas"/>
    <x v="28"/>
    <n v="71"/>
    <n v="45724"/>
  </r>
  <r>
    <n v="124"/>
    <x v="79"/>
    <n v="6071133871"/>
    <s v="Empresa J"/>
    <s v="Esmeraldas"/>
    <s v="Esmeraldas"/>
    <s v="Laura Gutiérrez Saenz"/>
    <x v="1"/>
    <s v="Empresa de embarque D"/>
    <s v="Jalea de fresa"/>
    <s v="Mermeladas y jaleas"/>
    <x v="32"/>
    <n v="40"/>
    <n v="14000"/>
  </r>
  <r>
    <n v="125"/>
    <x v="108"/>
    <n v="8634772142"/>
    <s v="Empresa J"/>
    <s v="Esmeraldas"/>
    <s v="Esmeraldas"/>
    <s v="Laura Gutiérrez Saenz"/>
    <x v="1"/>
    <s v="Empresa de embarque D"/>
    <s v="Condimento cajún"/>
    <s v="Condimentos"/>
    <x v="31"/>
    <n v="80"/>
    <n v="24640"/>
  </r>
  <r>
    <n v="126"/>
    <x v="109"/>
    <n v="5431718510"/>
    <s v="Empresa J"/>
    <s v="Esmeraldas"/>
    <s v="Esmeraldas"/>
    <s v="Laura Gutiérrez Saenz"/>
    <x v="1"/>
    <s v="Empresa de embarque D"/>
    <s v="Galletas de chocolate"/>
    <s v="Productos horneados"/>
    <x v="41"/>
    <n v="38"/>
    <n v="4894.3999999999996"/>
  </r>
  <r>
    <n v="127"/>
    <x v="110"/>
    <n v="7109276915"/>
    <s v="Empresa K"/>
    <s v="Quito"/>
    <s v="Pichincha"/>
    <s v="Ana del Valle Hinojosa"/>
    <x v="2"/>
    <s v="Empresa de embarque D"/>
    <s v="Ciruelas secas"/>
    <s v="Frutas secas"/>
    <x v="25"/>
    <n v="28"/>
    <n v="1372"/>
  </r>
  <r>
    <n v="128"/>
    <x v="111"/>
    <n v="8479136081"/>
    <s v="Empresa K"/>
    <s v="Quito"/>
    <s v="Pichincha"/>
    <s v="Ana del Valle Hinojosa"/>
    <x v="2"/>
    <s v="Empresa de embarque D"/>
    <s v="Té verde"/>
    <s v="Bebidas"/>
    <x v="37"/>
    <n v="60"/>
    <n v="2511.6"/>
  </r>
  <r>
    <n v="129"/>
    <x v="26"/>
    <n v="7132355278"/>
    <s v="Empresa A"/>
    <s v="Ambato"/>
    <s v="Tungurahua"/>
    <s v="Nancy Gil de la Peña"/>
    <x v="3"/>
    <s v="Empresa de embarque D"/>
    <s v="Té chai"/>
    <s v="Bebidas"/>
    <x v="45"/>
    <n v="33"/>
    <n v="8316"/>
  </r>
  <r>
    <n v="130"/>
    <x v="78"/>
    <n v="2885792785"/>
    <s v="Empresa A"/>
    <s v="Ambato"/>
    <s v="Tungurahua"/>
    <s v="Nancy Gil de la Peña"/>
    <x v="3"/>
    <s v="Empresa de embarque D"/>
    <s v="Café"/>
    <s v="Bebidas"/>
    <x v="28"/>
    <n v="22"/>
    <n v="14168"/>
  </r>
  <r>
    <n v="131"/>
    <x v="112"/>
    <n v="3723941023"/>
    <s v="Empresa A"/>
    <s v="Ambato"/>
    <s v="Tungurahua"/>
    <s v="Nancy Gil de la Peña"/>
    <x v="3"/>
    <s v="Empresa de embarque D"/>
    <s v="Té verde"/>
    <s v="Bebidas"/>
    <x v="37"/>
    <n v="51"/>
    <n v="2134.86"/>
  </r>
  <r>
    <n v="132"/>
    <x v="113"/>
    <n v="4827836337"/>
    <s v="Empresa BB"/>
    <s v="Manta"/>
    <s v="Manabi"/>
    <s v="Ana del Valle Hinojosa"/>
    <x v="2"/>
    <s v="Tarjeta de crédito"/>
    <s v="Almejas"/>
    <s v="Sopas"/>
    <x v="29"/>
    <n v="60"/>
    <n v="8106"/>
  </r>
  <r>
    <n v="133"/>
    <x v="114"/>
    <n v="2633840866"/>
    <s v="Empresa BB"/>
    <s v="Manta"/>
    <s v="Manabi"/>
    <s v="Ana del Valle Hinojosa"/>
    <x v="2"/>
    <s v="Tarjeta de crédito"/>
    <s v="Carne de cangrejo"/>
    <s v="Carne enlatada"/>
    <x v="27"/>
    <n v="98"/>
    <n v="25244.799999999996"/>
  </r>
  <r>
    <n v="134"/>
    <x v="115"/>
    <n v="2489359003"/>
    <s v="Empresa I"/>
    <s v="Guayaquil"/>
    <s v="Guayas"/>
    <s v="Robert Zárate Carrillo"/>
    <x v="1"/>
    <s v="Cheque"/>
    <s v="Ravioli"/>
    <s v="Pasta"/>
    <x v="38"/>
    <n v="27"/>
    <n v="7371"/>
  </r>
  <r>
    <n v="135"/>
    <x v="116"/>
    <n v="2347277376"/>
    <s v="Empresa I"/>
    <s v="Guayaquil"/>
    <s v="Guayas"/>
    <s v="Robert Zárate Carrillo"/>
    <x v="1"/>
    <s v="Cheque"/>
    <s v="Mozzarella"/>
    <s v="Productos lácteos"/>
    <x v="39"/>
    <n v="88"/>
    <n v="42873.599999999991"/>
  </r>
  <r>
    <n v="136"/>
    <x v="117"/>
    <n v="2071690973"/>
    <s v="Empresa F"/>
    <s v="Ibarra"/>
    <s v="Imbabura"/>
    <s v="Luis Miguel Valdés Garza"/>
    <x v="0"/>
    <s v="Tarjeta de crédito"/>
    <s v="Cerveza"/>
    <s v="Bebidas"/>
    <x v="40"/>
    <n v="65"/>
    <n v="12740"/>
  </r>
  <r>
    <n v="137"/>
    <x v="118"/>
    <n v="1196729221"/>
    <s v="Empresa H"/>
    <s v="Riobamba"/>
    <s v="Chimborazo"/>
    <s v="Nancy Gil de la Peña"/>
    <x v="0"/>
    <s v="Cheque"/>
    <s v="Salsa curry"/>
    <s v="Salsas"/>
    <x v="26"/>
    <n v="38"/>
    <n v="21280"/>
  </r>
  <r>
    <n v="138"/>
    <x v="119"/>
    <n v="9020365601"/>
    <s v="Empresa H"/>
    <s v="Riobamba"/>
    <s v="Chimborazo"/>
    <s v="Nancy Gil de la Peña"/>
    <x v="0"/>
    <s v="Cheque"/>
    <s v="Galletas de chocolate"/>
    <s v="Productos horneados"/>
    <x v="41"/>
    <n v="80"/>
    <n v="10303.999999999998"/>
  </r>
  <r>
    <n v="139"/>
    <x v="120"/>
    <n v="4818692078"/>
    <s v="Empresa Y"/>
    <s v="Esmeraldas"/>
    <s v="Esmeraldas"/>
    <s v="Laura Gutiérrez Saenz"/>
    <x v="1"/>
    <s v="Efectivo"/>
    <s v="Bolillos"/>
    <s v="Productos horneados"/>
    <x v="24"/>
    <n v="49"/>
    <n v="6860"/>
  </r>
  <r>
    <n v="140"/>
    <x v="121"/>
    <n v="6502762369"/>
    <s v="Empresa Z"/>
    <s v="Quito"/>
    <s v="Pichincha"/>
    <s v="Ana del Valle Hinojosa"/>
    <x v="2"/>
    <s v="Tarjeta de crédito"/>
    <s v="Aceite de oliva"/>
    <s v="Aceite"/>
    <x v="42"/>
    <n v="90"/>
    <n v="26901.000000000004"/>
  </r>
  <r>
    <n v="141"/>
    <x v="122"/>
    <n v="924402492"/>
    <s v="Empresa Z"/>
    <s v="Quito"/>
    <s v="Pichincha"/>
    <s v="Ana del Valle Hinojosa"/>
    <x v="2"/>
    <s v="Tarjeta de crédito"/>
    <s v="Almejas"/>
    <s v="Sopas"/>
    <x v="29"/>
    <n v="60"/>
    <n v="8106"/>
  </r>
  <r>
    <n v="142"/>
    <x v="123"/>
    <n v="5633857209"/>
    <s v="Empresa Z"/>
    <s v="Quito"/>
    <s v="Pichincha"/>
    <s v="Ana del Valle Hinojosa"/>
    <x v="2"/>
    <s v="Tarjeta de crédito"/>
    <s v="Carne de cangrejo"/>
    <s v="Carne enlatada"/>
    <x v="27"/>
    <n v="39"/>
    <n v="10046.399999999998"/>
  </r>
  <r>
    <n v="143"/>
    <x v="124"/>
    <n v="9715216432"/>
    <s v="Empresa CC"/>
    <s v="Guayaquil"/>
    <s v="Guayas"/>
    <s v="José de Jesús Morales"/>
    <x v="0"/>
    <s v="Cheque"/>
    <s v="Cerveza"/>
    <s v="Bebidas"/>
    <x v="40"/>
    <n v="79"/>
    <n v="15484"/>
  </r>
  <r>
    <n v="144"/>
    <x v="84"/>
    <n v="2808433382"/>
    <s v="Empresa F"/>
    <s v="Ibarra"/>
    <s v="Imbabura"/>
    <s v="Luis Miguel Valdés Garza"/>
    <x v="2"/>
    <s v="Cheque"/>
    <s v="Chocolate"/>
    <s v="Dulces"/>
    <x v="30"/>
    <n v="44"/>
    <n v="7854"/>
  </r>
  <r>
    <n v="145"/>
    <x v="125"/>
    <n v="5585231955"/>
    <s v="Empresa D"/>
    <s v="Azogues"/>
    <s v="Canar"/>
    <s v="Andrés González Rico"/>
    <x v="1"/>
    <s v="Tarjeta de crédito"/>
    <s v="Mermelada de zarzamora"/>
    <s v="Mermeladas y jaleas"/>
    <x v="43"/>
    <n v="98"/>
    <n v="111132"/>
  </r>
  <r>
    <n v="146"/>
    <x v="126"/>
    <n v="4338999814"/>
    <s v="Empresa D"/>
    <s v="Azogues"/>
    <s v="Canar"/>
    <s v="Andrés González Rico"/>
    <x v="1"/>
    <s v="Tarjeta de crédito"/>
    <s v="Arroz de grano largo"/>
    <s v="Granos"/>
    <x v="44"/>
    <n v="61"/>
    <n v="5978"/>
  </r>
  <r>
    <n v="147"/>
    <x v="127"/>
    <n v="3475726472"/>
    <s v="Empresa H"/>
    <s v="Riobamba"/>
    <s v="Chimborazo"/>
    <s v="Nancy Gil de la Peña"/>
    <x v="2"/>
    <s v="Tarjeta de crédito"/>
    <s v="Mozzarella"/>
    <s v="Productos lácteos"/>
    <x v="39"/>
    <n v="30"/>
    <n v="14615.999999999998"/>
  </r>
  <r>
    <n v="148"/>
    <x v="128"/>
    <n v="9727843310"/>
    <s v="Empresa C"/>
    <s v="Machala"/>
    <s v="El Oro"/>
    <s v="Mayra Aguilar Sepúlveda"/>
    <x v="0"/>
    <s v="Efectivo"/>
    <s v="Jarabe"/>
    <s v="Condimentos"/>
    <x v="24"/>
    <n v="24"/>
    <n v="3360"/>
  </r>
  <r>
    <n v="149"/>
    <x v="129"/>
    <n v="536031236"/>
    <s v="Empresa C"/>
    <s v="Machala"/>
    <s v="El Oro"/>
    <s v="Mayra Aguilar Sepúlveda"/>
    <x v="0"/>
    <s v="Efectivo"/>
    <s v="Salsa curry"/>
    <s v="Salsas"/>
    <x v="26"/>
    <n v="28"/>
    <n v="15680"/>
  </r>
  <r>
    <n v="150"/>
    <x v="21"/>
    <n v="1875435757"/>
    <s v="Empresa J"/>
    <s v="Esmeraldas"/>
    <s v="Esmeraldas"/>
    <s v="Laura Gutiérrez Saenz"/>
    <x v="0"/>
    <s v="Tarjeta de crédito"/>
    <s v="Almendras"/>
    <s v="Frutas secas"/>
    <x v="24"/>
    <n v="74"/>
    <n v="10360"/>
  </r>
  <r>
    <n v="151"/>
    <x v="130"/>
    <n v="8711973073"/>
    <s v="Empresa J"/>
    <s v="Esmeraldas"/>
    <s v="Esmeraldas"/>
    <s v="Laura Gutiérrez Saenz"/>
    <x v="1"/>
    <s v="Empresa de embarque D"/>
    <s v="Ciruelas secas"/>
    <s v="Frutas secas"/>
    <x v="25"/>
    <n v="90"/>
    <n v="4410"/>
  </r>
  <r>
    <n v="152"/>
    <x v="126"/>
    <n v="1214228285"/>
    <s v="Empresa K"/>
    <s v="Quito"/>
    <s v="Pichincha"/>
    <s v="Ana del Valle Hinojosa"/>
    <x v="2"/>
    <s v="Empresa de embarque D"/>
    <s v="Salsa curry"/>
    <s v="Salsas"/>
    <x v="26"/>
    <n v="27"/>
    <n v="15120"/>
  </r>
  <r>
    <n v="153"/>
    <x v="131"/>
    <n v="3447948983"/>
    <s v="Empresa A"/>
    <s v="Ambato"/>
    <s v="Tungurahua"/>
    <s v="Nancy Gil de la Peña"/>
    <x v="2"/>
    <s v="Empresa de embarque D"/>
    <s v="Carne de cangrejo"/>
    <s v="Carne enlatada"/>
    <x v="27"/>
    <n v="71"/>
    <n v="18289.599999999999"/>
  </r>
  <r>
    <n v="154"/>
    <x v="132"/>
    <n v="8753770178"/>
    <s v="Empresa BB"/>
    <s v="Manta"/>
    <s v="Manabi"/>
    <s v="Ana del Valle Hinojosa"/>
    <x v="2"/>
    <s v="Tarjeta de crédito"/>
    <s v="Café"/>
    <s v="Bebidas"/>
    <x v="28"/>
    <n v="74"/>
    <n v="47656"/>
  </r>
  <r>
    <n v="155"/>
    <x v="55"/>
    <n v="493013693"/>
    <s v="Empresa I"/>
    <s v="Guayaquil"/>
    <s v="Guayas"/>
    <s v="Robert Zárate Carrillo"/>
    <x v="1"/>
    <s v="Cheque"/>
    <s v="Almejas"/>
    <s v="Sopas"/>
    <x v="29"/>
    <n v="76"/>
    <n v="10267.6"/>
  </r>
  <r>
    <n v="156"/>
    <x v="133"/>
    <n v="4097578178"/>
    <s v="Empresa F"/>
    <s v="Ibarra"/>
    <s v="Imbabura"/>
    <s v="Luis Miguel Valdés Garza"/>
    <x v="0"/>
    <s v="Tarjeta de crédito"/>
    <s v="Chocolate"/>
    <s v="Dulces"/>
    <x v="30"/>
    <n v="96"/>
    <n v="17136"/>
  </r>
  <r>
    <n v="157"/>
    <x v="134"/>
    <n v="9949307477"/>
    <s v="Empresa H"/>
    <s v="Riobamba"/>
    <s v="Chimborazo"/>
    <s v="Nancy Gil de la Peña"/>
    <x v="0"/>
    <s v="Cheque"/>
    <s v="Chocolate"/>
    <s v="Dulces"/>
    <x v="30"/>
    <n v="92"/>
    <n v="16422"/>
  </r>
  <r>
    <n v="158"/>
    <x v="135"/>
    <n v="2521830520"/>
    <s v="Empresa Y"/>
    <s v="Esmeraldas"/>
    <s v="Esmeraldas"/>
    <s v="Laura Gutiérrez Saenz"/>
    <x v="1"/>
    <s v="Efectivo"/>
    <s v="Condimento cajún"/>
    <s v="Condimentos"/>
    <x v="31"/>
    <n v="93"/>
    <n v="28644"/>
  </r>
  <r>
    <n v="159"/>
    <x v="34"/>
    <n v="4224616034"/>
    <s v="Empresa Z"/>
    <s v="Quito"/>
    <s v="Pichincha"/>
    <s v="Ana del Valle Hinojosa"/>
    <x v="2"/>
    <s v="Tarjeta de crédito"/>
    <s v="Jalea de fresa"/>
    <s v="Mermeladas y jaleas"/>
    <x v="32"/>
    <n v="18"/>
    <n v="6300"/>
  </r>
  <r>
    <n v="160"/>
    <x v="136"/>
    <n v="7169314881"/>
    <s v="Empresa CC"/>
    <s v="Guayaquil"/>
    <s v="Guayas"/>
    <s v="José de Jesús Morales"/>
    <x v="0"/>
    <s v="Cheque"/>
    <s v="Cóctel de frutas"/>
    <s v="Frutas y vegetales"/>
    <x v="33"/>
    <n v="98"/>
    <n v="53508"/>
  </r>
  <r>
    <n v="161"/>
    <x v="134"/>
    <n v="8313545064"/>
    <s v="Empresa F"/>
    <s v="Ibarra"/>
    <s v="Imbabura"/>
    <s v="Luis Miguel Valdés Garza"/>
    <x v="2"/>
    <s v="Cheque"/>
    <s v="Peras secas"/>
    <s v="Frutas secas"/>
    <x v="34"/>
    <n v="46"/>
    <n v="19320"/>
  </r>
  <r>
    <n v="162"/>
    <x v="137"/>
    <n v="5739621013"/>
    <s v="Empresa F"/>
    <s v="Ibarra"/>
    <s v="Imbabura"/>
    <s v="Luis Miguel Valdés Garza"/>
    <x v="2"/>
    <s v="Cheque"/>
    <s v="Manzanas secas"/>
    <s v="Frutas secas"/>
    <x v="35"/>
    <n v="14"/>
    <n v="10388"/>
  </r>
  <r>
    <n v="163"/>
    <x v="138"/>
    <n v="1789830506"/>
    <s v="Empresa D"/>
    <s v="Azogues"/>
    <s v="Canar"/>
    <s v="Andrés González Rico"/>
    <x v="3"/>
    <s v="Empresa de embarque D"/>
    <s v="Pasta penne"/>
    <s v="Pasta"/>
    <x v="36"/>
    <n v="85"/>
    <n v="45220"/>
  </r>
  <r>
    <n v="164"/>
    <x v="139"/>
    <n v="6281652174"/>
    <s v="Empresa C"/>
    <s v="Machala"/>
    <s v="El Oro"/>
    <s v="Mayra Aguilar Sepúlveda"/>
    <x v="3"/>
    <s v="Empresa de embarque D"/>
    <s v="Té verde"/>
    <s v="Bebidas"/>
    <x v="37"/>
    <n v="88"/>
    <n v="3683.68"/>
  </r>
  <r>
    <n v="165"/>
    <x v="140"/>
    <n v="8126696083"/>
    <s v="Empresa A"/>
    <s v="Ambato"/>
    <s v="Tungurahua"/>
    <s v="Nancy Gil de la Peña"/>
    <x v="3"/>
    <s v="Empresa de embarque D"/>
    <s v="Té verde"/>
    <s v="Bebidas"/>
    <x v="37"/>
    <n v="81"/>
    <n v="3390.66"/>
  </r>
  <r>
    <n v="166"/>
    <x v="92"/>
    <n v="2706456269"/>
    <s v="Empresa BB"/>
    <s v="Manta"/>
    <s v="Manabi"/>
    <s v="Ana del Valle Hinojosa"/>
    <x v="2"/>
    <s v="Tarjeta de crédito"/>
    <s v="Almejas"/>
    <s v="Sopas"/>
    <x v="29"/>
    <n v="33"/>
    <n v="4458.3"/>
  </r>
  <r>
    <n v="167"/>
    <x v="31"/>
    <n v="6159315697"/>
    <s v="Empresa BB"/>
    <s v="Manta"/>
    <s v="Manabi"/>
    <s v="Ana del Valle Hinojosa"/>
    <x v="2"/>
    <s v="Tarjeta de crédito"/>
    <s v="Carne de cangrejo"/>
    <s v="Carne enlatada"/>
    <x v="27"/>
    <n v="47"/>
    <n v="12107.199999999999"/>
  </r>
  <r>
    <n v="168"/>
    <x v="141"/>
    <n v="2749029538"/>
    <s v="Empresa I"/>
    <s v="Guayaquil"/>
    <s v="Guayas"/>
    <s v="Robert Zárate Carrillo"/>
    <x v="1"/>
    <s v="Cheque"/>
    <s v="Ravioli"/>
    <s v="Pasta"/>
    <x v="38"/>
    <n v="61"/>
    <n v="16653"/>
  </r>
  <r>
    <n v="169"/>
    <x v="39"/>
    <n v="9017454158"/>
    <s v="Empresa I"/>
    <s v="Guayaquil"/>
    <s v="Guayas"/>
    <s v="Robert Zárate Carrillo"/>
    <x v="1"/>
    <s v="Cheque"/>
    <s v="Mozzarella"/>
    <s v="Productos lácteos"/>
    <x v="39"/>
    <n v="27"/>
    <n v="13154.399999999998"/>
  </r>
  <r>
    <n v="170"/>
    <x v="142"/>
    <n v="445300235"/>
    <s v="Empresa F"/>
    <s v="Ibarra"/>
    <s v="Imbabura"/>
    <s v="Luis Miguel Valdés Garza"/>
    <x v="0"/>
    <s v="Tarjeta de crédito"/>
    <s v="Cerveza"/>
    <s v="Bebidas"/>
    <x v="40"/>
    <n v="84"/>
    <n v="16464"/>
  </r>
  <r>
    <n v="171"/>
    <x v="143"/>
    <n v="3498781571"/>
    <s v="Empresa H"/>
    <s v="Riobamba"/>
    <s v="Chimborazo"/>
    <s v="Nancy Gil de la Peña"/>
    <x v="0"/>
    <s v="Cheque"/>
    <s v="Salsa curry"/>
    <s v="Salsas"/>
    <x v="26"/>
    <n v="91"/>
    <n v="50960"/>
  </r>
  <r>
    <n v="172"/>
    <x v="144"/>
    <n v="376477229"/>
    <s v="Empresa H"/>
    <s v="Riobamba"/>
    <s v="Chimborazo"/>
    <s v="Nancy Gil de la Peña"/>
    <x v="0"/>
    <s v="Cheque"/>
    <s v="Galletas de chocolate"/>
    <s v="Productos horneados"/>
    <x v="41"/>
    <n v="36"/>
    <n v="4636.7999999999993"/>
  </r>
  <r>
    <n v="173"/>
    <x v="111"/>
    <n v="1790721708"/>
    <s v="Empresa Y"/>
    <s v="Esmeraldas"/>
    <s v="Esmeraldas"/>
    <s v="Laura Gutiérrez Saenz"/>
    <x v="1"/>
    <s v="Efectivo"/>
    <s v="Bolillos"/>
    <s v="Productos horneados"/>
    <x v="24"/>
    <n v="34"/>
    <n v="4760"/>
  </r>
  <r>
    <n v="174"/>
    <x v="73"/>
    <n v="434033868"/>
    <s v="Empresa Z"/>
    <s v="Quito"/>
    <s v="Pichincha"/>
    <s v="Ana del Valle Hinojosa"/>
    <x v="2"/>
    <s v="Tarjeta de crédito"/>
    <s v="Aceite de oliva"/>
    <s v="Aceite"/>
    <x v="42"/>
    <n v="81"/>
    <n v="24210.9"/>
  </r>
  <r>
    <n v="175"/>
    <x v="120"/>
    <n v="3247684317"/>
    <s v="Empresa Z"/>
    <s v="Quito"/>
    <s v="Pichincha"/>
    <s v="Ana del Valle Hinojosa"/>
    <x v="2"/>
    <s v="Tarjeta de crédito"/>
    <s v="Almejas"/>
    <s v="Sopas"/>
    <x v="29"/>
    <n v="25"/>
    <n v="3377.5"/>
  </r>
  <r>
    <n v="176"/>
    <x v="145"/>
    <n v="6492121203"/>
    <s v="Empresa Z"/>
    <s v="Quito"/>
    <s v="Pichincha"/>
    <s v="Ana del Valle Hinojosa"/>
    <x v="2"/>
    <s v="Tarjeta de crédito"/>
    <s v="Carne de cangrejo"/>
    <s v="Carne enlatada"/>
    <x v="27"/>
    <n v="12"/>
    <n v="3091.2"/>
  </r>
  <r>
    <n v="177"/>
    <x v="140"/>
    <n v="1661667624"/>
    <s v="Empresa CC"/>
    <s v="Guayaquil"/>
    <s v="Guayas"/>
    <s v="José de Jesús Morales"/>
    <x v="0"/>
    <s v="Cheque"/>
    <s v="Cerveza"/>
    <s v="Bebidas"/>
    <x v="40"/>
    <n v="23"/>
    <n v="4508"/>
  </r>
  <r>
    <n v="178"/>
    <x v="146"/>
    <n v="1127190015"/>
    <s v="Empresa F"/>
    <s v="Ibarra"/>
    <s v="Imbabura"/>
    <s v="Luis Miguel Valdés Garza"/>
    <x v="2"/>
    <s v="Cheque"/>
    <s v="Chocolate"/>
    <s v="Dulces"/>
    <x v="30"/>
    <n v="76"/>
    <n v="13566"/>
  </r>
  <r>
    <n v="179"/>
    <x v="16"/>
    <n v="7862399002"/>
    <s v="Empresa D"/>
    <s v="Azogues"/>
    <s v="Canar"/>
    <s v="Andrés González Rico"/>
    <x v="1"/>
    <s v="Tarjeta de crédito"/>
    <s v="Mermelada de zarzamora"/>
    <s v="Mermeladas y jaleas"/>
    <x v="43"/>
    <n v="55"/>
    <n v="62370"/>
  </r>
  <r>
    <n v="180"/>
    <x v="131"/>
    <n v="9568142105"/>
    <s v="Empresa D"/>
    <s v="Azogues"/>
    <s v="Canar"/>
    <s v="Andrés González Rico"/>
    <x v="1"/>
    <s v="Tarjeta de crédito"/>
    <s v="Arroz de grano largo"/>
    <s v="Granos"/>
    <x v="44"/>
    <n v="19"/>
    <n v="1862"/>
  </r>
  <r>
    <n v="181"/>
    <x v="147"/>
    <n v="1181634254"/>
    <s v="Empresa H"/>
    <s v="Riobamba"/>
    <s v="Chimborazo"/>
    <s v="Nancy Gil de la Peña"/>
    <x v="2"/>
    <s v="Tarjeta de crédito"/>
    <s v="Mozzarella"/>
    <s v="Productos lácteos"/>
    <x v="39"/>
    <n v="27"/>
    <n v="13154.399999999998"/>
  </r>
  <r>
    <n v="182"/>
    <x v="61"/>
    <n v="5404968765"/>
    <s v="Empresa C"/>
    <s v="Machala"/>
    <s v="El Oro"/>
    <s v="Mayra Aguilar Sepúlveda"/>
    <x v="0"/>
    <s v="Efectivo"/>
    <s v="Jarabe"/>
    <s v="Condimentos"/>
    <x v="24"/>
    <n v="99"/>
    <n v="13860"/>
  </r>
  <r>
    <n v="183"/>
    <x v="148"/>
    <n v="2431996009"/>
    <s v="Empresa C"/>
    <s v="Machala"/>
    <s v="El Oro"/>
    <s v="Mayra Aguilar Sepúlveda"/>
    <x v="0"/>
    <s v="Efectivo"/>
    <s v="Salsa curry"/>
    <s v="Salsas"/>
    <x v="26"/>
    <n v="10"/>
    <n v="5600"/>
  </r>
  <r>
    <n v="184"/>
    <x v="101"/>
    <n v="6373385557"/>
    <s v="Empresa J"/>
    <s v="Esmeraldas"/>
    <s v="Esmeraldas"/>
    <s v="Laura Gutiérrez Saenz"/>
    <x v="0"/>
    <s v="Tarjeta de crédito"/>
    <s v="Almendras"/>
    <s v="Frutas secas"/>
    <x v="24"/>
    <n v="80"/>
    <n v="11200"/>
  </r>
  <r>
    <n v="185"/>
    <x v="82"/>
    <n v="5411926783"/>
    <s v="Empresa J"/>
    <s v="Esmeraldas"/>
    <s v="Esmeraldas"/>
    <s v="Laura Gutiérrez Saenz"/>
    <x v="1"/>
    <s v="Empresa de embarque D"/>
    <s v="Ciruelas secas"/>
    <s v="Frutas secas"/>
    <x v="25"/>
    <n v="27"/>
    <n v="1323"/>
  </r>
  <r>
    <n v="186"/>
    <x v="149"/>
    <n v="8397590471"/>
    <s v="Empresa K"/>
    <s v="Quito"/>
    <s v="Pichincha"/>
    <s v="Ana del Valle Hinojosa"/>
    <x v="2"/>
    <s v="Empresa de embarque D"/>
    <s v="Salsa curry"/>
    <s v="Salsas"/>
    <x v="26"/>
    <n v="97"/>
    <n v="54320"/>
  </r>
  <r>
    <n v="187"/>
    <x v="150"/>
    <n v="5905399576"/>
    <s v="Empresa A"/>
    <s v="Ambato"/>
    <s v="Tungurahua"/>
    <s v="Nancy Gil de la Peña"/>
    <x v="2"/>
    <s v="Empresa de embarque D"/>
    <s v="Carne de cangrejo"/>
    <s v="Carne enlatada"/>
    <x v="27"/>
    <n v="42"/>
    <n v="10819.199999999999"/>
  </r>
  <r>
    <n v="188"/>
    <x v="93"/>
    <n v="168682758"/>
    <s v="Empresa BB"/>
    <s v="Manta"/>
    <s v="Manabi"/>
    <s v="Ana del Valle Hinojosa"/>
    <x v="2"/>
    <s v="Tarjeta de crédito"/>
    <s v="Café"/>
    <s v="Bebidas"/>
    <x v="28"/>
    <n v="24"/>
    <n v="15456"/>
  </r>
  <r>
    <n v="189"/>
    <x v="151"/>
    <n v="4992553897"/>
    <s v="Empresa I"/>
    <s v="Guayaquil"/>
    <s v="Guayas"/>
    <s v="Robert Zárate Carrillo"/>
    <x v="1"/>
    <s v="Cheque"/>
    <s v="Almejas"/>
    <s v="Sopas"/>
    <x v="29"/>
    <n v="90"/>
    <n v="12159"/>
  </r>
  <r>
    <n v="190"/>
    <x v="92"/>
    <n v="9609810399"/>
    <s v="Empresa F"/>
    <s v="Ibarra"/>
    <s v="Imbabura"/>
    <s v="Luis Miguel Valdés Garza"/>
    <x v="0"/>
    <s v="Tarjeta de crédito"/>
    <s v="Chocolate"/>
    <s v="Dulces"/>
    <x v="30"/>
    <n v="28"/>
    <n v="4998"/>
  </r>
  <r>
    <n v="191"/>
    <x v="10"/>
    <n v="1537469039"/>
    <s v="Empresa BB"/>
    <s v="Manta"/>
    <s v="Manabi"/>
    <s v="Ana del Valle Hinojosa"/>
    <x v="2"/>
    <s v="Cheque"/>
    <s v="Café"/>
    <s v="Bebidas"/>
    <x v="28"/>
    <n v="28"/>
    <n v="18032"/>
  </r>
  <r>
    <n v="192"/>
    <x v="136"/>
    <n v="2018401595"/>
    <s v="Empresa H"/>
    <s v="Riobamba"/>
    <s v="Chimborazo"/>
    <s v="Nancy Gil de la Peña"/>
    <x v="2"/>
    <s v="Cheque"/>
    <s v="Chocolate"/>
    <s v="Dulces"/>
    <x v="30"/>
    <n v="57"/>
    <n v="10174.5"/>
  </r>
  <r>
    <n v="193"/>
    <x v="152"/>
    <n v="1129934476"/>
    <s v="Empresa J"/>
    <s v="Esmeraldas"/>
    <s v="Esmeraldas"/>
    <s v="Laura Gutiérrez Saenz"/>
    <x v="0"/>
    <s v="Tarjeta de crédito"/>
    <s v="Té verde"/>
    <s v="Bebidas"/>
    <x v="37"/>
    <n v="23"/>
    <n v="962.78"/>
  </r>
  <r>
    <n v="194"/>
    <x v="115"/>
    <n v="878400496"/>
    <s v="Empresa G"/>
    <s v="Guaranda"/>
    <s v="Guaranda"/>
    <s v="Nancy Gil de la Peña"/>
    <x v="3"/>
    <s v="Empresa de embarque D"/>
    <s v="Café"/>
    <s v="Bebidas"/>
    <x v="28"/>
    <n v="86"/>
    <n v="55384"/>
  </r>
  <r>
    <n v="195"/>
    <x v="153"/>
    <n v="6271764467"/>
    <s v="Empresa J"/>
    <s v="Esmeraldas"/>
    <s v="Esmeraldas"/>
    <s v="Laura Gutiérrez Saenz"/>
    <x v="1"/>
    <s v="Empresa de embarque D"/>
    <s v="Jalea de fresa"/>
    <s v="Mermeladas y jaleas"/>
    <x v="32"/>
    <n v="47"/>
    <n v="16450"/>
  </r>
  <r>
    <n v="196"/>
    <x v="154"/>
    <n v="5954546839"/>
    <s v="Empresa J"/>
    <s v="Esmeraldas"/>
    <s v="Esmeraldas"/>
    <s v="Laura Gutiérrez Saenz"/>
    <x v="1"/>
    <s v="Empresa de embarque D"/>
    <s v="Condimento cajún"/>
    <s v="Condimentos"/>
    <x v="31"/>
    <n v="97"/>
    <n v="29876"/>
  </r>
  <r>
    <n v="197"/>
    <x v="155"/>
    <n v="1007419194"/>
    <s v="Empresa J"/>
    <s v="Esmeraldas"/>
    <s v="Esmeraldas"/>
    <s v="Laura Gutiérrez Saenz"/>
    <x v="1"/>
    <s v="Empresa de embarque D"/>
    <s v="Galletas de chocolate"/>
    <s v="Productos horneados"/>
    <x v="41"/>
    <n v="96"/>
    <n v="12364.8"/>
  </r>
  <r>
    <n v="198"/>
    <x v="81"/>
    <n v="2749506386"/>
    <s v="Empresa K"/>
    <s v="Quito"/>
    <s v="Pichincha"/>
    <s v="Ana del Valle Hinojosa"/>
    <x v="2"/>
    <s v="Empresa de embarque D"/>
    <s v="Ciruelas secas"/>
    <s v="Frutas secas"/>
    <x v="25"/>
    <n v="31"/>
    <n v="1519"/>
  </r>
  <r>
    <n v="199"/>
    <x v="156"/>
    <n v="3279160134"/>
    <s v="Empresa K"/>
    <s v="Quito"/>
    <s v="Pichincha"/>
    <s v="Ana del Valle Hinojosa"/>
    <x v="2"/>
    <s v="Empresa de embarque D"/>
    <s v="Té verde"/>
    <s v="Bebidas"/>
    <x v="37"/>
    <n v="52"/>
    <n v="2176.7199999999998"/>
  </r>
  <r>
    <n v="200"/>
    <x v="80"/>
    <n v="6789089883"/>
    <s v="Empresa A"/>
    <s v="Ambato"/>
    <s v="Tungurahua"/>
    <s v="Nancy Gil de la Peña"/>
    <x v="3"/>
    <s v="Empresa de embarque D"/>
    <s v="Té chai"/>
    <s v="Bebidas"/>
    <x v="45"/>
    <n v="91"/>
    <n v="22932"/>
  </r>
  <r>
    <n v="201"/>
    <x v="157"/>
    <n v="7775981065"/>
    <s v="Empresa A"/>
    <s v="Ambato"/>
    <s v="Tungurahua"/>
    <s v="Nancy Gil de la Peña"/>
    <x v="3"/>
    <s v="Empresa de embarque D"/>
    <s v="Café"/>
    <s v="Bebidas"/>
    <x v="28"/>
    <n v="14"/>
    <n v="9016"/>
  </r>
  <r>
    <n v="202"/>
    <x v="83"/>
    <n v="5357417804"/>
    <s v="Empresa A"/>
    <s v="Ambato"/>
    <s v="Tungurahua"/>
    <s v="Nancy Gil de la Peña"/>
    <x v="3"/>
    <s v="Empresa de embarque D"/>
    <s v="Té verde"/>
    <s v="Bebidas"/>
    <x v="37"/>
    <n v="44"/>
    <n v="1841.84"/>
  </r>
  <r>
    <n v="203"/>
    <x v="158"/>
    <n v="4986720222"/>
    <s v="Empresa BB"/>
    <s v="Manta"/>
    <s v="Manabi"/>
    <s v="Ana del Valle Hinojosa"/>
    <x v="2"/>
    <s v="Tarjeta de crédito"/>
    <s v="Almejas"/>
    <s v="Sopas"/>
    <x v="29"/>
    <n v="97"/>
    <n v="13104.699999999999"/>
  </r>
  <r>
    <n v="204"/>
    <x v="159"/>
    <n v="9264353300"/>
    <s v="Empresa BB"/>
    <s v="Manta"/>
    <s v="Manabi"/>
    <s v="Ana del Valle Hinojosa"/>
    <x v="2"/>
    <s v="Tarjeta de crédito"/>
    <s v="Carne de cangrejo"/>
    <s v="Carne enlatada"/>
    <x v="27"/>
    <n v="80"/>
    <n v="20607.999999999996"/>
  </r>
  <r>
    <n v="205"/>
    <x v="160"/>
    <n v="4507840734"/>
    <s v="Empresa I"/>
    <s v="Guayaquil"/>
    <s v="Guayas"/>
    <s v="Robert Zárate Carrillo"/>
    <x v="1"/>
    <s v="Cheque"/>
    <s v="Ravioli"/>
    <s v="Pasta"/>
    <x v="38"/>
    <n v="66"/>
    <n v="18018"/>
  </r>
  <r>
    <n v="206"/>
    <x v="161"/>
    <n v="1926814553"/>
    <s v="Empresa I"/>
    <s v="Guayaquil"/>
    <s v="Guayas"/>
    <s v="Robert Zárate Carrillo"/>
    <x v="1"/>
    <s v="Cheque"/>
    <s v="Mozzarella"/>
    <s v="Productos lácteos"/>
    <x v="39"/>
    <n v="32"/>
    <n v="15590.399999999998"/>
  </r>
  <r>
    <n v="207"/>
    <x v="162"/>
    <n v="1115906573"/>
    <s v="Empresa F"/>
    <s v="Ibarra"/>
    <s v="Imbabura"/>
    <s v="Luis Miguel Valdés Garza"/>
    <x v="0"/>
    <s v="Tarjeta de crédito"/>
    <s v="Cerveza"/>
    <s v="Bebidas"/>
    <x v="40"/>
    <n v="52"/>
    <n v="10192"/>
  </r>
  <r>
    <n v="208"/>
    <x v="155"/>
    <n v="4298972271"/>
    <s v="Empresa H"/>
    <s v="Riobamba"/>
    <s v="Chimborazo"/>
    <s v="Nancy Gil de la Peña"/>
    <x v="0"/>
    <s v="Cheque"/>
    <s v="Salsa curry"/>
    <s v="Salsas"/>
    <x v="26"/>
    <n v="78"/>
    <n v="43680"/>
  </r>
  <r>
    <n v="209"/>
    <x v="163"/>
    <n v="1419202858"/>
    <s v="Empresa H"/>
    <s v="Riobamba"/>
    <s v="Chimborazo"/>
    <s v="Nancy Gil de la Peña"/>
    <x v="0"/>
    <s v="Cheque"/>
    <s v="Galletas de chocolate"/>
    <s v="Productos horneados"/>
    <x v="41"/>
    <n v="54"/>
    <n v="6955.1999999999989"/>
  </r>
  <r>
    <n v="210"/>
    <x v="52"/>
    <n v="3516608759"/>
    <s v="Empresa Y"/>
    <s v="Esmeraldas"/>
    <s v="Esmeraldas"/>
    <s v="Laura Gutiérrez Saenz"/>
    <x v="1"/>
    <s v="Efectivo"/>
    <s v="Bolillos"/>
    <s v="Productos horneados"/>
    <x v="24"/>
    <n v="55"/>
    <n v="7700"/>
  </r>
  <r>
    <n v="211"/>
    <x v="164"/>
    <n v="8191358442"/>
    <s v="Empresa Z"/>
    <s v="Quito"/>
    <s v="Pichincha"/>
    <s v="Ana del Valle Hinojosa"/>
    <x v="2"/>
    <s v="Tarjeta de crédito"/>
    <s v="Aceite de oliva"/>
    <s v="Aceite"/>
    <x v="42"/>
    <n v="60"/>
    <n v="17934.000000000004"/>
  </r>
  <r>
    <n v="212"/>
    <x v="165"/>
    <n v="8451227157"/>
    <s v="Empresa Z"/>
    <s v="Quito"/>
    <s v="Pichincha"/>
    <s v="Ana del Valle Hinojosa"/>
    <x v="2"/>
    <s v="Tarjeta de crédito"/>
    <s v="Almejas"/>
    <s v="Sopas"/>
    <x v="29"/>
    <n v="19"/>
    <n v="2566.9"/>
  </r>
  <r>
    <n v="213"/>
    <x v="166"/>
    <n v="9847155245"/>
    <s v="Empresa Z"/>
    <s v="Quito"/>
    <s v="Pichincha"/>
    <s v="Ana del Valle Hinojosa"/>
    <x v="2"/>
    <s v="Tarjeta de crédito"/>
    <s v="Carne de cangrejo"/>
    <s v="Carne enlatada"/>
    <x v="27"/>
    <n v="66"/>
    <n v="17001.599999999999"/>
  </r>
  <r>
    <n v="214"/>
    <x v="167"/>
    <n v="5189485028"/>
    <s v="Empresa CC"/>
    <s v="Guayaquil"/>
    <s v="Guayas"/>
    <s v="José de Jesús Morales"/>
    <x v="0"/>
    <s v="Cheque"/>
    <s v="Cerveza"/>
    <s v="Bebidas"/>
    <x v="40"/>
    <n v="42"/>
    <n v="8232"/>
  </r>
  <r>
    <n v="215"/>
    <x v="13"/>
    <n v="2367569858"/>
    <s v="Empresa F"/>
    <s v="Ibarra"/>
    <s v="Imbabura"/>
    <s v="Luis Miguel Valdés Garza"/>
    <x v="2"/>
    <s v="Cheque"/>
    <s v="Chocolate"/>
    <s v="Dulces"/>
    <x v="30"/>
    <n v="72"/>
    <n v="12852"/>
  </r>
  <r>
    <n v="216"/>
    <x v="168"/>
    <n v="1241520334"/>
    <s v="Empresa D"/>
    <s v="Azogues"/>
    <s v="Canar"/>
    <s v="Andrés González Rico"/>
    <x v="1"/>
    <s v="Tarjeta de crédito"/>
    <s v="Mermelada de zarzamora"/>
    <s v="Mermeladas y jaleas"/>
    <x v="43"/>
    <n v="32"/>
    <n v="36288"/>
  </r>
  <r>
    <n v="217"/>
    <x v="169"/>
    <n v="6999895697"/>
    <s v="Empresa D"/>
    <s v="Azogues"/>
    <s v="Canar"/>
    <s v="Andrés González Rico"/>
    <x v="1"/>
    <s v="Tarjeta de crédito"/>
    <s v="Arroz de grano largo"/>
    <s v="Granos"/>
    <x v="44"/>
    <n v="76"/>
    <n v="7448"/>
  </r>
  <r>
    <n v="218"/>
    <x v="141"/>
    <n v="2931440223"/>
    <s v="Empresa J"/>
    <s v="Esmeraldas"/>
    <s v="Esmeraldas"/>
    <s v="Laura Gutiérrez Saenz"/>
    <x v="1"/>
    <s v="Empresa de embarque D"/>
    <s v="Galletas de chocolate"/>
    <s v="Productos horneados"/>
    <x v="41"/>
    <n v="83"/>
    <n v="10690.399999999998"/>
  </r>
  <r>
    <n v="219"/>
    <x v="25"/>
    <n v="6045555436"/>
    <s v="Empresa K"/>
    <s v="Quito"/>
    <s v="Pichincha"/>
    <s v="Ana del Valle Hinojosa"/>
    <x v="2"/>
    <s v="Empresa de embarque D"/>
    <s v="Ciruelas secas"/>
    <s v="Frutas secas"/>
    <x v="25"/>
    <n v="91"/>
    <n v="4459"/>
  </r>
  <r>
    <n v="220"/>
    <x v="57"/>
    <n v="4985084204"/>
    <s v="Empresa K"/>
    <s v="Quito"/>
    <s v="Pichincha"/>
    <s v="Ana del Valle Hinojosa"/>
    <x v="2"/>
    <s v="Empresa de embarque D"/>
    <s v="Té verde"/>
    <s v="Bebidas"/>
    <x v="37"/>
    <n v="64"/>
    <n v="2679.04"/>
  </r>
  <r>
    <n v="221"/>
    <x v="99"/>
    <n v="8950774476"/>
    <s v="Empresa A"/>
    <s v="Ambato"/>
    <s v="Tungurahua"/>
    <s v="Nancy Gil de la Peña"/>
    <x v="3"/>
    <s v="Empresa de embarque D"/>
    <s v="Té chai"/>
    <s v="Bebidas"/>
    <x v="45"/>
    <n v="58"/>
    <n v="14616"/>
  </r>
  <r>
    <n v="222"/>
    <x v="170"/>
    <n v="4091794218"/>
    <s v="Empresa A"/>
    <s v="Ambato"/>
    <s v="Tungurahua"/>
    <s v="Nancy Gil de la Peña"/>
    <x v="3"/>
    <s v="Empresa de embarque D"/>
    <s v="Café"/>
    <s v="Bebidas"/>
    <x v="28"/>
    <n v="97"/>
    <n v="62468"/>
  </r>
  <r>
    <n v="223"/>
    <x v="153"/>
    <n v="2789876793"/>
    <s v="Empresa A"/>
    <s v="Ambato"/>
    <s v="Tungurahua"/>
    <s v="Nancy Gil de la Peña"/>
    <x v="3"/>
    <s v="Empresa de embarque D"/>
    <s v="Té verde"/>
    <s v="Bebidas"/>
    <x v="37"/>
    <n v="14"/>
    <n v="586.04"/>
  </r>
  <r>
    <n v="224"/>
    <x v="171"/>
    <n v="4338385582"/>
    <s v="Empresa BB"/>
    <s v="Manta"/>
    <s v="Manabi"/>
    <s v="Ana del Valle Hinojosa"/>
    <x v="2"/>
    <s v="Tarjeta de crédito"/>
    <s v="Almejas"/>
    <s v="Sopas"/>
    <x v="29"/>
    <n v="68"/>
    <n v="9186.7999999999993"/>
  </r>
  <r>
    <n v="225"/>
    <x v="144"/>
    <n v="9159410824"/>
    <s v="Empresa BB"/>
    <s v="Manta"/>
    <s v="Manabi"/>
    <s v="Ana del Valle Hinojosa"/>
    <x v="2"/>
    <s v="Tarjeta de crédito"/>
    <s v="Carne de cangrejo"/>
    <s v="Carne enlatada"/>
    <x v="27"/>
    <n v="32"/>
    <n v="8243.1999999999989"/>
  </r>
  <r>
    <n v="226"/>
    <x v="172"/>
    <n v="6562657766"/>
    <s v="Empresa I"/>
    <s v="Guayaquil"/>
    <s v="Guayas"/>
    <s v="Robert Zárate Carrillo"/>
    <x v="1"/>
    <s v="Cheque"/>
    <s v="Ravioli"/>
    <s v="Pasta"/>
    <x v="38"/>
    <n v="48"/>
    <n v="13104"/>
  </r>
  <r>
    <n v="227"/>
    <x v="173"/>
    <n v="4160634865"/>
    <s v="Empresa I"/>
    <s v="Guayaquil"/>
    <s v="Guayas"/>
    <s v="Robert Zárate Carrillo"/>
    <x v="1"/>
    <s v="Cheque"/>
    <s v="Mozzarella"/>
    <s v="Productos lácteos"/>
    <x v="39"/>
    <n v="57"/>
    <n v="27770.399999999998"/>
  </r>
  <r>
    <n v="228"/>
    <x v="147"/>
    <n v="142416687"/>
    <s v="Empresa F"/>
    <s v="Ibarra"/>
    <s v="Imbabura"/>
    <s v="Luis Miguel Valdés Garza"/>
    <x v="0"/>
    <s v="Tarjeta de crédito"/>
    <s v="Cerveza"/>
    <s v="Bebidas"/>
    <x v="40"/>
    <n v="67"/>
    <n v="13132"/>
  </r>
  <r>
    <n v="229"/>
    <x v="108"/>
    <n v="6114991349"/>
    <s v="Empresa H"/>
    <s v="Riobamba"/>
    <s v="Chimborazo"/>
    <s v="Nancy Gil de la Peña"/>
    <x v="0"/>
    <s v="Cheque"/>
    <s v="Salsa curry"/>
    <s v="Salsas"/>
    <x v="26"/>
    <n v="48"/>
    <n v="26880"/>
  </r>
  <r>
    <n v="230"/>
    <x v="174"/>
    <n v="6472352060"/>
    <s v="Empresa H"/>
    <s v="Riobamba"/>
    <s v="Chimborazo"/>
    <s v="Nancy Gil de la Peña"/>
    <x v="0"/>
    <s v="Cheque"/>
    <s v="Galletas de chocolate"/>
    <s v="Productos horneados"/>
    <x v="41"/>
    <n v="77"/>
    <n v="9917.5999999999985"/>
  </r>
  <r>
    <n v="231"/>
    <x v="138"/>
    <n v="5399077795"/>
    <s v="Empresa Y"/>
    <s v="Esmeraldas"/>
    <s v="Esmeraldas"/>
    <s v="Laura Gutiérrez Saenz"/>
    <x v="1"/>
    <s v="Efectivo"/>
    <s v="Bolillos"/>
    <s v="Productos horneados"/>
    <x v="24"/>
    <n v="94"/>
    <n v="13160"/>
  </r>
  <r>
    <n v="232"/>
    <x v="175"/>
    <n v="6275645168"/>
    <s v="Empresa Z"/>
    <s v="Quito"/>
    <s v="Pichincha"/>
    <s v="Ana del Valle Hinojosa"/>
    <x v="2"/>
    <s v="Tarjeta de crédito"/>
    <s v="Aceite de oliva"/>
    <s v="Aceite"/>
    <x v="42"/>
    <n v="54"/>
    <n v="16140.600000000002"/>
  </r>
  <r>
    <n v="233"/>
    <x v="51"/>
    <n v="597069969"/>
    <s v="Empresa Z"/>
    <s v="Quito"/>
    <s v="Pichincha"/>
    <s v="Ana del Valle Hinojosa"/>
    <x v="2"/>
    <s v="Tarjeta de crédito"/>
    <s v="Almejas"/>
    <s v="Sopas"/>
    <x v="29"/>
    <n v="43"/>
    <n v="5809.3"/>
  </r>
  <r>
    <n v="234"/>
    <x v="58"/>
    <n v="1323169656"/>
    <s v="Empresa Z"/>
    <s v="Quito"/>
    <s v="Pichincha"/>
    <s v="Ana del Valle Hinojosa"/>
    <x v="2"/>
    <s v="Tarjeta de crédito"/>
    <s v="Carne de cangrejo"/>
    <s v="Carne enlatada"/>
    <x v="27"/>
    <n v="71"/>
    <n v="18289.599999999999"/>
  </r>
  <r>
    <n v="235"/>
    <x v="176"/>
    <n v="2932971142"/>
    <s v="Empresa CC"/>
    <s v="Guayaquil"/>
    <s v="Guayas"/>
    <s v="José de Jesús Morales"/>
    <x v="0"/>
    <s v="Cheque"/>
    <s v="Cerveza"/>
    <s v="Bebidas"/>
    <x v="40"/>
    <n v="50"/>
    <n v="9800"/>
  </r>
  <r>
    <n v="236"/>
    <x v="177"/>
    <n v="3634141900"/>
    <s v="Empresa F"/>
    <s v="Ibarra"/>
    <s v="Imbabura"/>
    <s v="Luis Miguel Valdés Garza"/>
    <x v="2"/>
    <s v="Cheque"/>
    <s v="Chocolate"/>
    <s v="Dulces"/>
    <x v="30"/>
    <n v="96"/>
    <n v="17136"/>
  </r>
  <r>
    <n v="237"/>
    <x v="161"/>
    <n v="8872627168"/>
    <s v="Empresa D"/>
    <s v="Azogues"/>
    <s v="Canar"/>
    <s v="Andrés González Rico"/>
    <x v="1"/>
    <s v="Tarjeta de crédito"/>
    <s v="Mermelada de zarzamora"/>
    <s v="Mermeladas y jaleas"/>
    <x v="43"/>
    <n v="54"/>
    <n v="61236"/>
  </r>
  <r>
    <n v="238"/>
    <x v="178"/>
    <n v="5571010485"/>
    <s v="Empresa D"/>
    <s v="Azogues"/>
    <s v="Canar"/>
    <s v="Andrés González Rico"/>
    <x v="1"/>
    <s v="Tarjeta de crédito"/>
    <s v="Arroz de grano largo"/>
    <s v="Granos"/>
    <x v="44"/>
    <n v="39"/>
    <n v="3822"/>
  </r>
  <r>
    <n v="239"/>
    <x v="66"/>
    <n v="7703467924"/>
    <s v="Empresa H"/>
    <s v="Riobamba"/>
    <s v="Chimborazo"/>
    <s v="Nancy Gil de la Peña"/>
    <x v="2"/>
    <s v="Tarjeta de crédito"/>
    <s v="Mozzarella"/>
    <s v="Productos lácteos"/>
    <x v="39"/>
    <n v="63"/>
    <n v="30693.599999999995"/>
  </r>
  <r>
    <n v="240"/>
    <x v="143"/>
    <n v="7747820326"/>
    <s v="Empresa C"/>
    <s v="Machala"/>
    <s v="El Oro"/>
    <s v="Mayra Aguilar Sepúlveda"/>
    <x v="0"/>
    <s v="Efectivo"/>
    <s v="Jarabe"/>
    <s v="Condimentos"/>
    <x v="24"/>
    <n v="71"/>
    <n v="9940"/>
  </r>
  <r>
    <n v="241"/>
    <x v="179"/>
    <n v="5769101754"/>
    <s v="Empresa C"/>
    <s v="Machala"/>
    <s v="El Oro"/>
    <s v="Mayra Aguilar Sepúlveda"/>
    <x v="0"/>
    <s v="Efectivo"/>
    <s v="Salsa curry"/>
    <s v="Salsas"/>
    <x v="26"/>
    <n v="88"/>
    <n v="49280"/>
  </r>
  <r>
    <n v="242"/>
    <x v="81"/>
    <n v="7427615835"/>
    <s v="Empresa J"/>
    <s v="Esmeraldas"/>
    <s v="Esmeraldas"/>
    <s v="Laura Gutiérrez Saenz"/>
    <x v="0"/>
    <s v="Tarjeta de crédito"/>
    <s v="Almendras"/>
    <s v="Frutas secas"/>
    <x v="24"/>
    <n v="59"/>
    <n v="8260"/>
  </r>
  <r>
    <n v="243"/>
    <x v="180"/>
    <n v="242336558"/>
    <s v="Empresa F"/>
    <s v="Ibarra"/>
    <s v="Imbabura"/>
    <s v="Luis Miguel Valdés Garza"/>
    <x v="0"/>
    <s v="Tarjeta de crédito"/>
    <s v="Salsa curry"/>
    <s v="Salsas"/>
    <x v="26"/>
    <n v="94"/>
    <n v="52640"/>
  </r>
  <r>
    <n v="244"/>
    <x v="139"/>
    <n v="2520819737"/>
    <s v="Empresa BB"/>
    <s v="Manta"/>
    <s v="Manabi"/>
    <s v="Ana del Valle Hinojosa"/>
    <x v="2"/>
    <s v="Cheque"/>
    <s v="Café"/>
    <s v="Bebidas"/>
    <x v="28"/>
    <n v="86"/>
    <n v="55384"/>
  </r>
  <r>
    <n v="245"/>
    <x v="181"/>
    <n v="8828389188"/>
    <s v="Empresa H"/>
    <s v="Riobamba"/>
    <s v="Chimborazo"/>
    <s v="Nancy Gil de la Peña"/>
    <x v="2"/>
    <s v="Cheque"/>
    <s v="Chocolate"/>
    <s v="Dulces"/>
    <x v="30"/>
    <n v="61"/>
    <n v="10888.5"/>
  </r>
  <r>
    <n v="246"/>
    <x v="182"/>
    <n v="164422904"/>
    <s v="Empresa J"/>
    <s v="Esmeraldas"/>
    <s v="Esmeraldas"/>
    <s v="Laura Gutiérrez Saenz"/>
    <x v="0"/>
    <s v="Tarjeta de crédito"/>
    <s v="Té verde"/>
    <s v="Bebidas"/>
    <x v="37"/>
    <n v="32"/>
    <n v="1339.52"/>
  </r>
  <r>
    <n v="247"/>
    <x v="32"/>
    <n v="7991995786"/>
    <s v="Empresa G"/>
    <s v="Guaranda"/>
    <s v="Guaranda"/>
    <s v="Nancy Gil de la Peña"/>
    <x v="3"/>
    <s v="Empresa de embarque D"/>
    <s v="Café"/>
    <s v="Bebidas"/>
    <x v="28"/>
    <n v="62"/>
    <n v="39928"/>
  </r>
  <r>
    <n v="248"/>
    <x v="183"/>
    <n v="4149364306"/>
    <s v="Empresa J"/>
    <s v="Esmeraldas"/>
    <s v="Esmeraldas"/>
    <s v="Laura Gutiérrez Saenz"/>
    <x v="1"/>
    <s v="Empresa de embarque D"/>
    <s v="Jalea de fresa"/>
    <s v="Mermeladas y jaleas"/>
    <x v="32"/>
    <n v="60"/>
    <n v="21000"/>
  </r>
  <r>
    <n v="249"/>
    <x v="97"/>
    <n v="6397472642"/>
    <s v="Empresa J"/>
    <s v="Esmeraldas"/>
    <s v="Esmeraldas"/>
    <s v="Laura Gutiérrez Saenz"/>
    <x v="1"/>
    <s v="Empresa de embarque D"/>
    <s v="Condimento cajún"/>
    <s v="Condimentos"/>
    <x v="31"/>
    <n v="51"/>
    <n v="15708"/>
  </r>
  <r>
    <n v="250"/>
    <x v="73"/>
    <n v="1168651383"/>
    <s v="Empresa J"/>
    <s v="Esmeraldas"/>
    <s v="Esmeraldas"/>
    <s v="Laura Gutiérrez Saenz"/>
    <x v="1"/>
    <s v="Empresa de embarque D"/>
    <s v="Galletas de chocolate"/>
    <s v="Productos horneados"/>
    <x v="41"/>
    <n v="49"/>
    <n v="6311.1999999999989"/>
  </r>
  <r>
    <n v="251"/>
    <x v="184"/>
    <n v="1309311215"/>
    <s v="Empresa K"/>
    <s v="Quito"/>
    <s v="Pichincha"/>
    <s v="Ana del Valle Hinojosa"/>
    <x v="2"/>
    <s v="Empresa de embarque D"/>
    <s v="Ciruelas secas"/>
    <s v="Frutas secas"/>
    <x v="25"/>
    <n v="20"/>
    <n v="980"/>
  </r>
  <r>
    <n v="252"/>
    <x v="185"/>
    <n v="4552083877"/>
    <s v="Empresa K"/>
    <s v="Quito"/>
    <s v="Pichincha"/>
    <s v="Ana del Valle Hinojosa"/>
    <x v="2"/>
    <s v="Empresa de embarque D"/>
    <s v="Té verde"/>
    <s v="Bebidas"/>
    <x v="37"/>
    <n v="49"/>
    <n v="2051.14"/>
  </r>
  <r>
    <n v="253"/>
    <x v="186"/>
    <n v="6119453494"/>
    <s v="Empresa A"/>
    <s v="Ambato"/>
    <s v="Tungurahua"/>
    <s v="Nancy Gil de la Peña"/>
    <x v="3"/>
    <s v="Empresa de embarque D"/>
    <s v="Té chai"/>
    <s v="Bebidas"/>
    <x v="45"/>
    <n v="22"/>
    <n v="5544"/>
  </r>
  <r>
    <n v="254"/>
    <x v="55"/>
    <n v="8815781249"/>
    <s v="Empresa A"/>
    <s v="Ambato"/>
    <s v="Tungurahua"/>
    <s v="Nancy Gil de la Peña"/>
    <x v="3"/>
    <s v="Empresa de embarque D"/>
    <s v="Café"/>
    <s v="Bebidas"/>
    <x v="28"/>
    <n v="73"/>
    <n v="47012"/>
  </r>
  <r>
    <n v="255"/>
    <x v="180"/>
    <n v="5308869510"/>
    <s v="Empresa A"/>
    <s v="Ambato"/>
    <s v="Tungurahua"/>
    <s v="Nancy Gil de la Peña"/>
    <x v="3"/>
    <s v="Empresa de embarque D"/>
    <s v="Té verde"/>
    <s v="Bebidas"/>
    <x v="37"/>
    <n v="85"/>
    <n v="3558.1"/>
  </r>
  <r>
    <n v="256"/>
    <x v="187"/>
    <n v="9623390930"/>
    <s v="Empresa BB"/>
    <s v="Manta"/>
    <s v="Manabi"/>
    <s v="Ana del Valle Hinojosa"/>
    <x v="2"/>
    <s v="Tarjeta de crédito"/>
    <s v="Almejas"/>
    <s v="Sopas"/>
    <x v="29"/>
    <n v="44"/>
    <n v="5944.4"/>
  </r>
  <r>
    <n v="257"/>
    <x v="179"/>
    <n v="9925453816"/>
    <s v="Empresa BB"/>
    <s v="Manta"/>
    <s v="Manabi"/>
    <s v="Ana del Valle Hinojosa"/>
    <x v="2"/>
    <s v="Tarjeta de crédito"/>
    <s v="Carne de cangrejo"/>
    <s v="Carne enlatada"/>
    <x v="27"/>
    <n v="24"/>
    <n v="6182.4"/>
  </r>
  <r>
    <n v="258"/>
    <x v="172"/>
    <n v="6948053333"/>
    <s v="Empresa I"/>
    <s v="Guayaquil"/>
    <s v="Guayas"/>
    <s v="Robert Zárate Carrillo"/>
    <x v="1"/>
    <s v="Cheque"/>
    <s v="Ravioli"/>
    <s v="Pasta"/>
    <x v="38"/>
    <n v="64"/>
    <n v="17472"/>
  </r>
  <r>
    <n v="259"/>
    <x v="150"/>
    <n v="2060963898"/>
    <s v="Empresa I"/>
    <s v="Guayaquil"/>
    <s v="Guayas"/>
    <s v="Robert Zárate Carrillo"/>
    <x v="1"/>
    <s v="Cheque"/>
    <s v="Mozzarella"/>
    <s v="Productos lácteos"/>
    <x v="39"/>
    <n v="70"/>
    <n v="34103.999999999993"/>
  </r>
  <r>
    <n v="260"/>
    <x v="176"/>
    <n v="2582781913"/>
    <s v="Empresa F"/>
    <s v="Ibarra"/>
    <s v="Imbabura"/>
    <s v="Luis Miguel Valdés Garza"/>
    <x v="0"/>
    <s v="Tarjeta de crédito"/>
    <s v="Cerveza"/>
    <s v="Bebidas"/>
    <x v="40"/>
    <n v="98"/>
    <n v="19208"/>
  </r>
  <r>
    <n v="261"/>
    <x v="26"/>
    <n v="2732649952"/>
    <s v="Empresa H"/>
    <s v="Riobamba"/>
    <s v="Chimborazo"/>
    <s v="Nancy Gil de la Peña"/>
    <x v="0"/>
    <s v="Cheque"/>
    <s v="Salsa curry"/>
    <s v="Salsas"/>
    <x v="26"/>
    <n v="48"/>
    <n v="26880"/>
  </r>
  <r>
    <n v="262"/>
    <x v="142"/>
    <n v="4179453952"/>
    <s v="Empresa H"/>
    <s v="Riobamba"/>
    <s v="Chimborazo"/>
    <s v="Nancy Gil de la Peña"/>
    <x v="0"/>
    <s v="Cheque"/>
    <s v="Galletas de chocolate"/>
    <s v="Productos horneados"/>
    <x v="41"/>
    <n v="100"/>
    <n v="12879.999999999998"/>
  </r>
  <r>
    <n v="263"/>
    <x v="188"/>
    <n v="4339665341"/>
    <s v="Empresa Y"/>
    <s v="Esmeraldas"/>
    <s v="Esmeraldas"/>
    <s v="Laura Gutiérrez Saenz"/>
    <x v="1"/>
    <s v="Efectivo"/>
    <s v="Bolillos"/>
    <s v="Productos horneados"/>
    <x v="24"/>
    <n v="90"/>
    <n v="12600"/>
  </r>
  <r>
    <n v="264"/>
    <x v="189"/>
    <n v="9193900326"/>
    <s v="Empresa Z"/>
    <s v="Quito"/>
    <s v="Pichincha"/>
    <s v="Ana del Valle Hinojosa"/>
    <x v="2"/>
    <s v="Tarjeta de crédito"/>
    <s v="Aceite de oliva"/>
    <s v="Aceite"/>
    <x v="42"/>
    <n v="49"/>
    <n v="14646.100000000002"/>
  </r>
  <r>
    <n v="265"/>
    <x v="96"/>
    <n v="7474169055"/>
    <s v="Empresa Z"/>
    <s v="Quito"/>
    <s v="Pichincha"/>
    <s v="Ana del Valle Hinojosa"/>
    <x v="2"/>
    <s v="Tarjeta de crédito"/>
    <s v="Almejas"/>
    <s v="Sopas"/>
    <x v="29"/>
    <n v="71"/>
    <n v="9592.1"/>
  </r>
  <r>
    <n v="266"/>
    <x v="59"/>
    <n v="9750138179"/>
    <s v="Empresa Z"/>
    <s v="Quito"/>
    <s v="Pichincha"/>
    <s v="Ana del Valle Hinojosa"/>
    <x v="2"/>
    <s v="Tarjeta de crédito"/>
    <s v="Carne de cangrejo"/>
    <s v="Carne enlatada"/>
    <x v="27"/>
    <n v="10"/>
    <n v="2575.9999999999995"/>
  </r>
  <r>
    <n v="267"/>
    <x v="190"/>
    <n v="2294414293"/>
    <s v="Empresa CC"/>
    <s v="Guayaquil"/>
    <s v="Guayas"/>
    <s v="José de Jesús Morales"/>
    <x v="0"/>
    <s v="Cheque"/>
    <s v="Cerveza"/>
    <s v="Bebidas"/>
    <x v="40"/>
    <n v="78"/>
    <n v="15288"/>
  </r>
  <r>
    <n v="268"/>
    <x v="191"/>
    <n v="776426288"/>
    <s v="Empresa F"/>
    <s v="Ibarra"/>
    <s v="Imbabura"/>
    <s v="Luis Miguel Valdés Garza"/>
    <x v="2"/>
    <s v="Cheque"/>
    <s v="Chocolate"/>
    <s v="Dulces"/>
    <x v="30"/>
    <n v="44"/>
    <n v="7854"/>
  </r>
  <r>
    <n v="269"/>
    <x v="158"/>
    <n v="1245231958"/>
    <s v="Empresa D"/>
    <s v="Azogues"/>
    <s v="Canar"/>
    <s v="Andrés González Rico"/>
    <x v="1"/>
    <s v="Tarjeta de crédito"/>
    <s v="Mermelada de zarzamora"/>
    <s v="Mermeladas y jaleas"/>
    <x v="43"/>
    <n v="82"/>
    <n v="92988"/>
  </r>
  <r>
    <n v="270"/>
    <x v="192"/>
    <n v="2050724971"/>
    <s v="Empresa D"/>
    <s v="Azogues"/>
    <s v="Canar"/>
    <s v="Andrés González Rico"/>
    <x v="1"/>
    <s v="Tarjeta de crédito"/>
    <s v="Arroz de grano largo"/>
    <s v="Granos"/>
    <x v="44"/>
    <n v="29"/>
    <n v="2842"/>
  </r>
  <r>
    <n v="271"/>
    <x v="193"/>
    <n v="9478104719"/>
    <s v="Empresa H"/>
    <s v="Riobamba"/>
    <s v="Chimborazo"/>
    <s v="Nancy Gil de la Peña"/>
    <x v="2"/>
    <s v="Tarjeta de crédito"/>
    <s v="Mozzarella"/>
    <s v="Productos lácteos"/>
    <x v="39"/>
    <n v="93"/>
    <n v="45309.599999999991"/>
  </r>
  <r>
    <n v="272"/>
    <x v="160"/>
    <n v="7620759943"/>
    <s v="Empresa C"/>
    <s v="Machala"/>
    <s v="El Oro"/>
    <s v="Mayra Aguilar Sepúlveda"/>
    <x v="0"/>
    <s v="Efectivo"/>
    <s v="Jarabe"/>
    <s v="Condimentos"/>
    <x v="24"/>
    <n v="11"/>
    <n v="1540"/>
  </r>
  <r>
    <n v="273"/>
    <x v="194"/>
    <n v="9345003575"/>
    <s v="Empresa C"/>
    <s v="Machala"/>
    <s v="El Oro"/>
    <s v="Mayra Aguilar Sepúlveda"/>
    <x v="0"/>
    <s v="Efectivo"/>
    <s v="Salsa curry"/>
    <s v="Salsas"/>
    <x v="26"/>
    <n v="91"/>
    <n v="50960"/>
  </r>
  <r>
    <n v="274"/>
    <x v="47"/>
    <n v="5988072690"/>
    <s v="Empresa J"/>
    <s v="Esmeraldas"/>
    <s v="Esmeraldas"/>
    <s v="Laura Gutiérrez Saenz"/>
    <x v="0"/>
    <s v="Tarjeta de crédito"/>
    <s v="Almendras"/>
    <s v="Frutas secas"/>
    <x v="24"/>
    <n v="12"/>
    <n v="1680"/>
  </r>
  <r>
    <n v="275"/>
    <x v="195"/>
    <n v="5113488625"/>
    <s v="Empresa J"/>
    <s v="Esmeraldas"/>
    <s v="Esmeraldas"/>
    <s v="Laura Gutiérrez Saenz"/>
    <x v="1"/>
    <s v="Empresa de embarque D"/>
    <s v="Ciruelas secas"/>
    <s v="Frutas secas"/>
    <x v="25"/>
    <n v="78"/>
    <n v="3822"/>
  </r>
  <r>
    <n v="276"/>
    <x v="196"/>
    <n v="8021429259"/>
    <s v="Empresa K"/>
    <s v="Quito"/>
    <s v="Pichincha"/>
    <s v="Ana del Valle Hinojosa"/>
    <x v="2"/>
    <s v="Empresa de embarque D"/>
    <s v="Salsa curry"/>
    <s v="Salsas"/>
    <x v="26"/>
    <n v="60"/>
    <n v="33600"/>
  </r>
  <r>
    <n v="277"/>
    <x v="186"/>
    <n v="680211800"/>
    <s v="Empresa A"/>
    <s v="Ambato"/>
    <s v="Tungurahua"/>
    <s v="Nancy Gil de la Peña"/>
    <x v="2"/>
    <s v="Empresa de embarque D"/>
    <s v="Carne de cangrejo"/>
    <s v="Carne enlatada"/>
    <x v="27"/>
    <n v="23"/>
    <n v="5924.7999999999993"/>
  </r>
  <r>
    <n v="278"/>
    <x v="107"/>
    <n v="2635806056"/>
    <s v="Empresa BB"/>
    <s v="Manta"/>
    <s v="Manabi"/>
    <s v="Ana del Valle Hinojosa"/>
    <x v="2"/>
    <s v="Tarjeta de crédito"/>
    <s v="Café"/>
    <s v="Bebidas"/>
    <x v="28"/>
    <n v="34"/>
    <n v="21896"/>
  </r>
  <r>
    <n v="279"/>
    <x v="96"/>
    <n v="3338515953"/>
    <s v="Empresa I"/>
    <s v="Guayaquil"/>
    <s v="Guayas"/>
    <s v="Robert Zárate Carrillo"/>
    <x v="1"/>
    <s v="Cheque"/>
    <s v="Almejas"/>
    <s v="Sopas"/>
    <x v="29"/>
    <n v="89"/>
    <n v="12023.9"/>
  </r>
  <r>
    <n v="280"/>
    <x v="88"/>
    <n v="3075758565"/>
    <s v="Empresa F"/>
    <s v="Ibarra"/>
    <s v="Imbabura"/>
    <s v="Luis Miguel Valdés Garza"/>
    <x v="0"/>
    <s v="Tarjeta de crédito"/>
    <s v="Chocolate"/>
    <s v="Dulces"/>
    <x v="30"/>
    <n v="82"/>
    <n v="14637"/>
  </r>
  <r>
    <n v="281"/>
    <x v="92"/>
    <n v="5383209032"/>
    <s v="Empresa H"/>
    <s v="Riobamba"/>
    <s v="Chimborazo"/>
    <s v="Nancy Gil de la Peña"/>
    <x v="0"/>
    <s v="Cheque"/>
    <s v="Chocolate"/>
    <s v="Dulces"/>
    <x v="30"/>
    <n v="43"/>
    <n v="7675.5"/>
  </r>
  <r>
    <n v="282"/>
    <x v="1"/>
    <n v="9635546425"/>
    <s v="Empresa J"/>
    <s v="Esmeraldas"/>
    <s v="Esmeraldas"/>
    <s v="Laura Gutiérrez Saenz"/>
    <x v="1"/>
    <s v="Empresa de embarque D"/>
    <s v="Condimento cajún"/>
    <s v="Condimentos"/>
    <x v="31"/>
    <n v="96"/>
    <n v="29568"/>
  </r>
  <r>
    <n v="283"/>
    <x v="96"/>
    <n v="3501364052"/>
    <s v="Empresa J"/>
    <s v="Esmeraldas"/>
    <s v="Esmeraldas"/>
    <s v="Laura Gutiérrez Saenz"/>
    <x v="1"/>
    <s v="Empresa de embarque D"/>
    <s v="Galletas de chocolate"/>
    <s v="Productos horneados"/>
    <x v="41"/>
    <n v="34"/>
    <n v="4379.2"/>
  </r>
  <r>
    <n v="284"/>
    <x v="45"/>
    <n v="2226825043"/>
    <s v="Empresa K"/>
    <s v="Quito"/>
    <s v="Pichincha"/>
    <s v="Ana del Valle Hinojosa"/>
    <x v="2"/>
    <s v="Empresa de embarque D"/>
    <s v="Ciruelas secas"/>
    <s v="Frutas secas"/>
    <x v="25"/>
    <n v="42"/>
    <n v="2058"/>
  </r>
  <r>
    <n v="285"/>
    <x v="197"/>
    <n v="6321323029"/>
    <s v="Empresa K"/>
    <s v="Quito"/>
    <s v="Pichincha"/>
    <s v="Ana del Valle Hinojosa"/>
    <x v="2"/>
    <s v="Empresa de embarque D"/>
    <s v="Té verde"/>
    <s v="Bebidas"/>
    <x v="37"/>
    <n v="100"/>
    <n v="4186"/>
  </r>
  <r>
    <n v="286"/>
    <x v="172"/>
    <n v="3775524143"/>
    <s v="Empresa A"/>
    <s v="Ambato"/>
    <s v="Tungurahua"/>
    <s v="Nancy Gil de la Peña"/>
    <x v="3"/>
    <s v="Empresa de embarque D"/>
    <s v="Té chai"/>
    <s v="Bebidas"/>
    <x v="45"/>
    <n v="42"/>
    <n v="10584"/>
  </r>
  <r>
    <n v="287"/>
    <x v="198"/>
    <n v="9543041808"/>
    <s v="Empresa A"/>
    <s v="Ambato"/>
    <s v="Tungurahua"/>
    <s v="Nancy Gil de la Peña"/>
    <x v="3"/>
    <s v="Empresa de embarque D"/>
    <s v="Café"/>
    <s v="Bebidas"/>
    <x v="28"/>
    <n v="16"/>
    <n v="10304"/>
  </r>
  <r>
    <n v="288"/>
    <x v="199"/>
    <n v="547647770"/>
    <s v="Empresa A"/>
    <s v="Ambato"/>
    <s v="Tungurahua"/>
    <s v="Nancy Gil de la Peña"/>
    <x v="3"/>
    <s v="Empresa de embarque D"/>
    <s v="Té verde"/>
    <s v="Bebidas"/>
    <x v="37"/>
    <n v="22"/>
    <n v="920.92"/>
  </r>
  <r>
    <n v="289"/>
    <x v="88"/>
    <n v="7120228607"/>
    <s v="Empresa BB"/>
    <s v="Manta"/>
    <s v="Manabi"/>
    <s v="Ana del Valle Hinojosa"/>
    <x v="2"/>
    <s v="Tarjeta de crédito"/>
    <s v="Almejas"/>
    <s v="Sopas"/>
    <x v="29"/>
    <n v="46"/>
    <n v="6214.5999999999995"/>
  </r>
  <r>
    <n v="290"/>
    <x v="105"/>
    <n v="5554565190"/>
    <s v="Empresa BB"/>
    <s v="Manta"/>
    <s v="Manabi"/>
    <s v="Ana del Valle Hinojosa"/>
    <x v="2"/>
    <s v="Tarjeta de crédito"/>
    <s v="Carne de cangrejo"/>
    <s v="Carne enlatada"/>
    <x v="27"/>
    <n v="100"/>
    <n v="25759.999999999996"/>
  </r>
  <r>
    <n v="291"/>
    <x v="77"/>
    <n v="1644848787"/>
    <s v="Empresa I"/>
    <s v="Guayaquil"/>
    <s v="Guayas"/>
    <s v="Robert Zárate Carrillo"/>
    <x v="1"/>
    <s v="Cheque"/>
    <s v="Ravioli"/>
    <s v="Pasta"/>
    <x v="38"/>
    <n v="87"/>
    <n v="23751"/>
  </r>
  <r>
    <n v="292"/>
    <x v="83"/>
    <n v="8273786477"/>
    <s v="Empresa I"/>
    <s v="Guayaquil"/>
    <s v="Guayas"/>
    <s v="Robert Zárate Carrillo"/>
    <x v="1"/>
    <s v="Cheque"/>
    <s v="Mozzarella"/>
    <s v="Productos lácteos"/>
    <x v="39"/>
    <n v="58"/>
    <n v="28257.599999999995"/>
  </r>
  <r>
    <n v="293"/>
    <x v="200"/>
    <n v="1397118248"/>
    <s v="Empresa F"/>
    <s v="Ibarra"/>
    <s v="Imbabura"/>
    <s v="Luis Miguel Valdés Garza"/>
    <x v="0"/>
    <s v="Tarjeta de crédito"/>
    <s v="Cerveza"/>
    <s v="Bebidas"/>
    <x v="40"/>
    <n v="85"/>
    <n v="16660"/>
  </r>
  <r>
    <n v="294"/>
    <x v="148"/>
    <n v="4468604310"/>
    <s v="Empresa H"/>
    <s v="Riobamba"/>
    <s v="Chimborazo"/>
    <s v="Nancy Gil de la Peña"/>
    <x v="0"/>
    <s v="Cheque"/>
    <s v="Salsa curry"/>
    <s v="Salsas"/>
    <x v="26"/>
    <n v="28"/>
    <n v="15680"/>
  </r>
  <r>
    <n v="295"/>
    <x v="49"/>
    <n v="457458721"/>
    <s v="Empresa H"/>
    <s v="Riobamba"/>
    <s v="Chimborazo"/>
    <s v="Nancy Gil de la Peña"/>
    <x v="0"/>
    <s v="Cheque"/>
    <s v="Galletas de chocolate"/>
    <s v="Productos horneados"/>
    <x v="41"/>
    <n v="19"/>
    <n v="2447.1999999999998"/>
  </r>
  <r>
    <n v="296"/>
    <x v="201"/>
    <n v="7184663808"/>
    <s v="Empresa Y"/>
    <s v="Esmeraldas"/>
    <s v="Esmeraldas"/>
    <s v="Laura Gutiérrez Saenz"/>
    <x v="1"/>
    <s v="Efectivo"/>
    <s v="Bolillos"/>
    <s v="Productos horneados"/>
    <x v="24"/>
    <n v="99"/>
    <n v="13860"/>
  </r>
  <r>
    <n v="297"/>
    <x v="202"/>
    <n v="3449599231"/>
    <s v="Empresa Z"/>
    <s v="Quito"/>
    <s v="Pichincha"/>
    <s v="Ana del Valle Hinojosa"/>
    <x v="2"/>
    <s v="Tarjeta de crédito"/>
    <s v="Aceite de oliva"/>
    <s v="Aceite"/>
    <x v="42"/>
    <n v="69"/>
    <n v="20624.100000000002"/>
  </r>
  <r>
    <n v="298"/>
    <x v="172"/>
    <n v="3901461858"/>
    <s v="Empresa Z"/>
    <s v="Quito"/>
    <s v="Pichincha"/>
    <s v="Ana del Valle Hinojosa"/>
    <x v="2"/>
    <s v="Tarjeta de crédito"/>
    <s v="Almejas"/>
    <s v="Sopas"/>
    <x v="29"/>
    <n v="37"/>
    <n v="4998.7"/>
  </r>
  <r>
    <n v="299"/>
    <x v="44"/>
    <n v="6798892819"/>
    <s v="Empresa Z"/>
    <s v="Quito"/>
    <s v="Pichincha"/>
    <s v="Ana del Valle Hinojosa"/>
    <x v="2"/>
    <s v="Tarjeta de crédito"/>
    <s v="Carne de cangrejo"/>
    <s v="Carne enlatada"/>
    <x v="27"/>
    <n v="64"/>
    <n v="16486.399999999998"/>
  </r>
  <r>
    <n v="300"/>
    <x v="188"/>
    <n v="6897506437"/>
    <s v="Empresa CC"/>
    <s v="Guayaquil"/>
    <s v="Guayas"/>
    <s v="José de Jesús Morales"/>
    <x v="0"/>
    <s v="Cheque"/>
    <s v="Cerveza"/>
    <s v="Bebidas"/>
    <x v="40"/>
    <n v="38"/>
    <n v="7448"/>
  </r>
  <r>
    <n v="301"/>
    <x v="203"/>
    <n v="6298594113"/>
    <s v="Empresa F"/>
    <s v="Ibarra"/>
    <s v="Imbabura"/>
    <s v="Luis Miguel Valdés Garza"/>
    <x v="2"/>
    <s v="Cheque"/>
    <s v="Chocolate"/>
    <s v="Dulces"/>
    <x v="30"/>
    <n v="15"/>
    <n v="2677.5"/>
  </r>
  <r>
    <n v="302"/>
    <x v="180"/>
    <n v="6972691420"/>
    <s v="Empresa D"/>
    <s v="Azogues"/>
    <s v="Canar"/>
    <s v="Andrés González Rico"/>
    <x v="1"/>
    <s v="Tarjeta de crédito"/>
    <s v="Mermelada de zarzamora"/>
    <s v="Mermeladas y jaleas"/>
    <x v="43"/>
    <n v="52"/>
    <n v="58968"/>
  </r>
  <r>
    <n v="303"/>
    <x v="204"/>
    <n v="677992170"/>
    <s v="Empresa D"/>
    <s v="Azogues"/>
    <s v="Canar"/>
    <s v="Andrés González Rico"/>
    <x v="1"/>
    <s v="Tarjeta de crédito"/>
    <s v="Arroz de grano largo"/>
    <s v="Granos"/>
    <x v="44"/>
    <n v="37"/>
    <n v="3626"/>
  </r>
  <r>
    <n v="304"/>
    <x v="205"/>
    <n v="3501827064"/>
    <s v="Empresa H"/>
    <s v="Riobamba"/>
    <s v="Chimborazo"/>
    <s v="Nancy Gil de la Peña"/>
    <x v="2"/>
    <s v="Tarjeta de crédito"/>
    <s v="Mozzarella"/>
    <s v="Productos lácteos"/>
    <x v="39"/>
    <n v="24"/>
    <n v="11692.8"/>
  </r>
  <r>
    <n v="305"/>
    <x v="206"/>
    <n v="9140892367"/>
    <s v="Empresa C"/>
    <s v="Machala"/>
    <s v="El Oro"/>
    <s v="Mayra Aguilar Sepúlveda"/>
    <x v="0"/>
    <s v="Efectivo"/>
    <s v="Jarabe"/>
    <s v="Condimentos"/>
    <x v="24"/>
    <n v="36"/>
    <n v="5040"/>
  </r>
  <r>
    <n v="306"/>
    <x v="13"/>
    <n v="7570396760"/>
    <s v="Empresa C"/>
    <s v="Machala"/>
    <s v="El Oro"/>
    <s v="Mayra Aguilar Sepúlveda"/>
    <x v="0"/>
    <s v="Efectivo"/>
    <s v="Salsa curry"/>
    <s v="Salsas"/>
    <x v="26"/>
    <n v="24"/>
    <n v="13440"/>
  </r>
  <r>
    <n v="307"/>
    <x v="112"/>
    <n v="5368769086"/>
    <s v="Empresa J"/>
    <s v="Esmeraldas"/>
    <s v="Esmeraldas"/>
    <s v="Laura Gutiérrez Saenz"/>
    <x v="0"/>
    <s v="Tarjeta de crédito"/>
    <s v="Almendras"/>
    <s v="Frutas secas"/>
    <x v="24"/>
    <n v="20"/>
    <n v="2800"/>
  </r>
  <r>
    <n v="308"/>
    <x v="151"/>
    <n v="443042127"/>
    <s v="Empresa J"/>
    <s v="Esmeraldas"/>
    <s v="Esmeraldas"/>
    <s v="Laura Gutiérrez Saenz"/>
    <x v="1"/>
    <s v="Empresa de embarque D"/>
    <s v="Ciruelas secas"/>
    <s v="Frutas secas"/>
    <x v="25"/>
    <n v="11"/>
    <n v="539"/>
  </r>
  <r>
    <n v="309"/>
    <x v="207"/>
    <n v="3198859022"/>
    <s v="Empresa K"/>
    <s v="Quito"/>
    <s v="Pichincha"/>
    <s v="Ana del Valle Hinojosa"/>
    <x v="2"/>
    <s v="Empresa de embarque D"/>
    <s v="Salsa curry"/>
    <s v="Salsas"/>
    <x v="26"/>
    <n v="78"/>
    <n v="43680"/>
  </r>
  <r>
    <n v="310"/>
    <x v="153"/>
    <n v="2982674072"/>
    <s v="Empresa A"/>
    <s v="Ambato"/>
    <s v="Tungurahua"/>
    <s v="Nancy Gil de la Peña"/>
    <x v="2"/>
    <s v="Empresa de embarque D"/>
    <s v="Carne de cangrejo"/>
    <s v="Carne enlatada"/>
    <x v="27"/>
    <n v="76"/>
    <n v="19577.599999999999"/>
  </r>
  <r>
    <n v="311"/>
    <x v="149"/>
    <n v="1636086310"/>
    <s v="Empresa BB"/>
    <s v="Manta"/>
    <s v="Manabi"/>
    <s v="Ana del Valle Hinojosa"/>
    <x v="2"/>
    <s v="Tarjeta de crédito"/>
    <s v="Café"/>
    <s v="Bebidas"/>
    <x v="28"/>
    <n v="57"/>
    <n v="36708"/>
  </r>
  <r>
    <n v="312"/>
    <x v="82"/>
    <n v="9879315200"/>
    <s v="Empresa I"/>
    <s v="Guayaquil"/>
    <s v="Guayas"/>
    <s v="Robert Zárate Carrillo"/>
    <x v="1"/>
    <s v="Cheque"/>
    <s v="Almejas"/>
    <s v="Sopas"/>
    <x v="29"/>
    <n v="14"/>
    <n v="1891.3999999999999"/>
  </r>
  <r>
    <n v="313"/>
    <x v="208"/>
    <n v="3833780472"/>
    <s v="Empresa AA"/>
    <s v="Cuenca"/>
    <s v="Azuay"/>
    <s v="Mayra Aguilar Sepúlveda"/>
    <x v="0"/>
    <s v="Cheque"/>
    <s v="Cerveza"/>
    <s v="Bebidas"/>
    <x v="40"/>
    <n v="14"/>
    <n v="2744"/>
  </r>
  <r>
    <n v="314"/>
    <x v="209"/>
    <n v="1343389818"/>
    <s v="Empresa AA"/>
    <s v="Cuenca"/>
    <s v="Azuay"/>
    <s v="Mayra Aguilar Sepúlveda"/>
    <x v="0"/>
    <s v="Cheque"/>
    <s v="Ciruelas secas"/>
    <s v="Frutas secas"/>
    <x v="25"/>
    <n v="70"/>
    <n v="3430"/>
  </r>
  <r>
    <n v="315"/>
    <x v="210"/>
    <n v="3066920858"/>
    <s v="Empresa D"/>
    <s v="Azogues"/>
    <s v="Canar"/>
    <s v="Andrés González Rico"/>
    <x v="1"/>
    <s v="Tarjeta de crédito"/>
    <s v="Peras secas"/>
    <s v="Frutas secas"/>
    <x v="34"/>
    <n v="100"/>
    <n v="42000"/>
  </r>
  <r>
    <n v="316"/>
    <x v="53"/>
    <n v="3596038071"/>
    <s v="Empresa D"/>
    <s v="Azogues"/>
    <s v="Canar"/>
    <s v="Andrés González Rico"/>
    <x v="1"/>
    <s v="Tarjeta de crédito"/>
    <s v="Manzanas secas"/>
    <s v="Frutas secas"/>
    <x v="35"/>
    <n v="27"/>
    <n v="20034"/>
  </r>
  <r>
    <n v="317"/>
    <x v="24"/>
    <n v="8280434895"/>
    <s v="Empresa D"/>
    <s v="Azogues"/>
    <s v="Canar"/>
    <s v="Andrés González Rico"/>
    <x v="1"/>
    <s v="Tarjeta de crédito"/>
    <s v="Ciruelas secas"/>
    <s v="Frutas secas"/>
    <x v="25"/>
    <n v="70"/>
    <n v="3430"/>
  </r>
  <r>
    <n v="318"/>
    <x v="26"/>
    <n v="7983505639"/>
    <s v="Empresa L"/>
    <s v="Cuenca"/>
    <s v="Azuay"/>
    <s v="Mayra Aguilar Sepúlveda"/>
    <x v="0"/>
    <s v="Tarjeta de crédito"/>
    <s v="Té chai"/>
    <s v="Bebidas"/>
    <x v="45"/>
    <n v="57"/>
    <n v="14364"/>
  </r>
  <r>
    <n v="319"/>
    <x v="156"/>
    <n v="4943792001"/>
    <s v="Empresa L"/>
    <s v="Cuenca"/>
    <s v="Azuay"/>
    <s v="Mayra Aguilar Sepúlveda"/>
    <x v="0"/>
    <s v="Tarjeta de crédito"/>
    <s v="Café"/>
    <s v="Bebidas"/>
    <x v="28"/>
    <n v="83"/>
    <n v="53452"/>
  </r>
  <r>
    <n v="320"/>
    <x v="211"/>
    <n v="2679766092"/>
    <s v="Empresa H"/>
    <s v="Riobamba"/>
    <s v="Chimborazo"/>
    <s v="Nancy Gil de la Peña"/>
    <x v="2"/>
    <s v="Tarjeta de crédito"/>
    <s v="Galletas de chocolate"/>
    <s v="Productos horneados"/>
    <x v="41"/>
    <n v="76"/>
    <n v="9788.7999999999993"/>
  </r>
  <r>
    <n v="321"/>
    <x v="212"/>
    <n v="6256032641"/>
    <s v="Empresa D"/>
    <s v="Azogues"/>
    <s v="Canar"/>
    <s v="Andrés González Rico"/>
    <x v="2"/>
    <s v="Cheque"/>
    <s v="Galletas de chocolate"/>
    <s v="Productos horneados"/>
    <x v="41"/>
    <n v="80"/>
    <n v="10303.999999999998"/>
  </r>
  <r>
    <n v="322"/>
    <x v="213"/>
    <n v="8317306577"/>
    <s v="Empresa CC"/>
    <s v="Guayaquil"/>
    <s v="Guayas"/>
    <s v="José de Jesús Morales"/>
    <x v="0"/>
    <s v="Cheque"/>
    <s v="Chocolate"/>
    <s v="Dulces"/>
    <x v="30"/>
    <n v="47"/>
    <n v="8389.5"/>
  </r>
  <r>
    <n v="323"/>
    <x v="121"/>
    <n v="4952054948"/>
    <s v="Empresa C"/>
    <s v="Machala"/>
    <s v="El Oro"/>
    <s v="Mayra Aguilar Sepúlveda"/>
    <x v="0"/>
    <s v="Efectivo"/>
    <s v="Almejas"/>
    <s v="Sopas"/>
    <x v="29"/>
    <n v="96"/>
    <n v="12969.599999999999"/>
  </r>
  <r>
    <n v="324"/>
    <x v="214"/>
    <n v="7792270317"/>
    <s v="Empresa F"/>
    <s v="Ibarra"/>
    <s v="Imbabura"/>
    <s v="Luis Miguel Valdés Garza"/>
    <x v="0"/>
    <s v="Tarjeta de crédito"/>
    <s v="Salsa curry"/>
    <s v="Salsas"/>
    <x v="26"/>
    <n v="32"/>
    <n v="17920"/>
  </r>
  <r>
    <n v="325"/>
    <x v="10"/>
    <n v="8753687299"/>
    <s v="Empresa BB"/>
    <s v="Manta"/>
    <s v="Manabi"/>
    <s v="Ana del Valle Hinojosa"/>
    <x v="2"/>
    <s v="Cheque"/>
    <s v="Café"/>
    <s v="Bebidas"/>
    <x v="28"/>
    <n v="16"/>
    <n v="10304"/>
  </r>
  <r>
    <n v="326"/>
    <x v="213"/>
    <n v="3276376437"/>
    <s v="Empresa H"/>
    <s v="Riobamba"/>
    <s v="Chimborazo"/>
    <s v="Nancy Gil de la Peña"/>
    <x v="2"/>
    <s v="Cheque"/>
    <s v="Chocolate"/>
    <s v="Dulces"/>
    <x v="30"/>
    <n v="41"/>
    <n v="7318.5"/>
  </r>
  <r>
    <n v="327"/>
    <x v="202"/>
    <n v="6189400875"/>
    <s v="Empresa J"/>
    <s v="Esmeraldas"/>
    <s v="Esmeraldas"/>
    <s v="Laura Gutiérrez Saenz"/>
    <x v="0"/>
    <s v="Tarjeta de crédito"/>
    <s v="Té verde"/>
    <s v="Bebidas"/>
    <x v="37"/>
    <n v="41"/>
    <n v="1716.26"/>
  </r>
  <r>
    <n v="328"/>
    <x v="124"/>
    <n v="3440571177"/>
    <s v="Empresa G"/>
    <s v="Guaranda"/>
    <s v="Guaranda"/>
    <s v="Nancy Gil de la Peña"/>
    <x v="3"/>
    <s v="Empresa de embarque D"/>
    <s v="Café"/>
    <s v="Bebidas"/>
    <x v="28"/>
    <n v="41"/>
    <n v="26404"/>
  </r>
  <r>
    <n v="329"/>
    <x v="215"/>
    <n v="8874798513"/>
    <s v="Empresa J"/>
    <s v="Esmeraldas"/>
    <s v="Esmeraldas"/>
    <s v="Laura Gutiérrez Saenz"/>
    <x v="1"/>
    <s v="Empresa de embarque D"/>
    <s v="Jalea de fresa"/>
    <s v="Mermeladas y jaleas"/>
    <x v="32"/>
    <n v="94"/>
    <n v="32900"/>
  </r>
  <r>
    <n v="330"/>
    <x v="45"/>
    <n v="9730368433"/>
    <s v="Empresa J"/>
    <s v="Esmeraldas"/>
    <s v="Esmeraldas"/>
    <s v="Laura Gutiérrez Saenz"/>
    <x v="1"/>
    <s v="Empresa de embarque D"/>
    <s v="Condimento cajún"/>
    <s v="Condimentos"/>
    <x v="31"/>
    <n v="20"/>
    <n v="6160"/>
  </r>
  <r>
    <n v="331"/>
    <x v="32"/>
    <n v="6592275352"/>
    <s v="Empresa J"/>
    <s v="Esmeraldas"/>
    <s v="Esmeraldas"/>
    <s v="Laura Gutiérrez Saenz"/>
    <x v="1"/>
    <s v="Empresa de embarque D"/>
    <s v="Galletas de chocolate"/>
    <s v="Productos horneados"/>
    <x v="41"/>
    <n v="13"/>
    <n v="1674.3999999999999"/>
  </r>
  <r>
    <n v="332"/>
    <x v="51"/>
    <n v="9303282439"/>
    <s v="Empresa K"/>
    <s v="Quito"/>
    <s v="Pichincha"/>
    <s v="Ana del Valle Hinojosa"/>
    <x v="2"/>
    <s v="Empresa de embarque D"/>
    <s v="Ciruelas secas"/>
    <s v="Frutas secas"/>
    <x v="25"/>
    <n v="74"/>
    <n v="3626"/>
  </r>
  <r>
    <n v="333"/>
    <x v="171"/>
    <n v="8998167680"/>
    <s v="Empresa K"/>
    <s v="Quito"/>
    <s v="Pichincha"/>
    <s v="Ana del Valle Hinojosa"/>
    <x v="2"/>
    <s v="Empresa de embarque D"/>
    <s v="Té verde"/>
    <s v="Bebidas"/>
    <x v="37"/>
    <n v="53"/>
    <n v="2218.58"/>
  </r>
  <r>
    <n v="334"/>
    <x v="216"/>
    <n v="2058395697"/>
    <s v="Empresa A"/>
    <s v="Ambato"/>
    <s v="Tungurahua"/>
    <s v="Nancy Gil de la Peña"/>
    <x v="3"/>
    <s v="Empresa de embarque D"/>
    <s v="Té chai"/>
    <s v="Bebidas"/>
    <x v="45"/>
    <n v="99"/>
    <n v="24948"/>
  </r>
  <r>
    <n v="335"/>
    <x v="217"/>
    <n v="5534305664"/>
    <s v="Empresa A"/>
    <s v="Ambato"/>
    <s v="Tungurahua"/>
    <s v="Nancy Gil de la Peña"/>
    <x v="3"/>
    <s v="Empresa de embarque D"/>
    <s v="Café"/>
    <s v="Bebidas"/>
    <x v="28"/>
    <n v="89"/>
    <n v="57316"/>
  </r>
  <r>
    <n v="336"/>
    <x v="181"/>
    <n v="5417309832"/>
    <s v="Empresa A"/>
    <s v="Ambato"/>
    <s v="Tungurahua"/>
    <s v="Nancy Gil de la Peña"/>
    <x v="3"/>
    <s v="Empresa de embarque D"/>
    <s v="Té verde"/>
    <s v="Bebidas"/>
    <x v="37"/>
    <n v="64"/>
    <n v="2679.04"/>
  </r>
  <r>
    <n v="337"/>
    <x v="101"/>
    <n v="7626114952"/>
    <s v="Empresa BB"/>
    <s v="Manta"/>
    <s v="Manabi"/>
    <s v="Ana del Valle Hinojosa"/>
    <x v="2"/>
    <s v="Tarjeta de crédito"/>
    <s v="Almejas"/>
    <s v="Sopas"/>
    <x v="29"/>
    <n v="98"/>
    <n v="13239.8"/>
  </r>
  <r>
    <n v="338"/>
    <x v="218"/>
    <n v="7075151442"/>
    <s v="Empresa BB"/>
    <s v="Manta"/>
    <s v="Manabi"/>
    <s v="Ana del Valle Hinojosa"/>
    <x v="2"/>
    <s v="Tarjeta de crédito"/>
    <s v="Carne de cangrejo"/>
    <s v="Carne enlatada"/>
    <x v="27"/>
    <n v="86"/>
    <n v="22153.599999999999"/>
  </r>
  <r>
    <n v="339"/>
    <x v="31"/>
    <n v="4170346813"/>
    <s v="Empresa I"/>
    <s v="Guayaquil"/>
    <s v="Guayas"/>
    <s v="Robert Zárate Carrillo"/>
    <x v="1"/>
    <s v="Cheque"/>
    <s v="Ravioli"/>
    <s v="Pasta"/>
    <x v="38"/>
    <n v="20"/>
    <n v="5460"/>
  </r>
  <r>
    <n v="340"/>
    <x v="34"/>
    <n v="7181884746"/>
    <s v="Empresa I"/>
    <s v="Guayaquil"/>
    <s v="Guayas"/>
    <s v="Robert Zárate Carrillo"/>
    <x v="1"/>
    <s v="Cheque"/>
    <s v="Mozzarella"/>
    <s v="Productos lácteos"/>
    <x v="39"/>
    <n v="69"/>
    <n v="33616.799999999996"/>
  </r>
  <r>
    <n v="341"/>
    <x v="219"/>
    <n v="654398232"/>
    <s v="Empresa F"/>
    <s v="Ibarra"/>
    <s v="Imbabura"/>
    <s v="Luis Miguel Valdés Garza"/>
    <x v="0"/>
    <s v="Tarjeta de crédito"/>
    <s v="Cerveza"/>
    <s v="Bebidas"/>
    <x v="40"/>
    <n v="68"/>
    <n v="13328"/>
  </r>
  <r>
    <n v="342"/>
    <x v="81"/>
    <n v="6559752885"/>
    <s v="Empresa H"/>
    <s v="Riobamba"/>
    <s v="Chimborazo"/>
    <s v="Nancy Gil de la Peña"/>
    <x v="0"/>
    <s v="Cheque"/>
    <s v="Salsa curry"/>
    <s v="Salsas"/>
    <x v="26"/>
    <n v="52"/>
    <n v="29120"/>
  </r>
  <r>
    <n v="343"/>
    <x v="191"/>
    <n v="9428165637"/>
    <s v="Empresa H"/>
    <s v="Riobamba"/>
    <s v="Chimborazo"/>
    <s v="Nancy Gil de la Peña"/>
    <x v="0"/>
    <s v="Cheque"/>
    <s v="Galletas de chocolate"/>
    <s v="Productos horneados"/>
    <x v="41"/>
    <n v="40"/>
    <n v="5151.9999999999991"/>
  </r>
  <r>
    <n v="344"/>
    <x v="11"/>
    <n v="9902612158"/>
    <s v="Empresa Y"/>
    <s v="Esmeraldas"/>
    <s v="Esmeraldas"/>
    <s v="Laura Gutiérrez Saenz"/>
    <x v="1"/>
    <s v="Efectivo"/>
    <s v="Bolillos"/>
    <s v="Productos horneados"/>
    <x v="24"/>
    <n v="100"/>
    <n v="14000"/>
  </r>
  <r>
    <n v="345"/>
    <x v="56"/>
    <n v="9601886174"/>
    <s v="Empresa Z"/>
    <s v="Quito"/>
    <s v="Pichincha"/>
    <s v="Ana del Valle Hinojosa"/>
    <x v="2"/>
    <s v="Tarjeta de crédito"/>
    <s v="Aceite de oliva"/>
    <s v="Aceite"/>
    <x v="42"/>
    <n v="88"/>
    <n v="26303.200000000004"/>
  </r>
  <r>
    <n v="346"/>
    <x v="220"/>
    <n v="9194823962"/>
    <s v="Empresa Z"/>
    <s v="Quito"/>
    <s v="Pichincha"/>
    <s v="Ana del Valle Hinojosa"/>
    <x v="2"/>
    <s v="Tarjeta de crédito"/>
    <s v="Almejas"/>
    <s v="Sopas"/>
    <x v="29"/>
    <n v="46"/>
    <n v="6214.5999999999995"/>
  </r>
  <r>
    <n v="347"/>
    <x v="217"/>
    <n v="3580433044"/>
    <s v="Empresa Z"/>
    <s v="Quito"/>
    <s v="Pichincha"/>
    <s v="Ana del Valle Hinojosa"/>
    <x v="2"/>
    <s v="Tarjeta de crédito"/>
    <s v="Carne de cangrejo"/>
    <s v="Carne enlatada"/>
    <x v="27"/>
    <n v="93"/>
    <n v="23956.799999999996"/>
  </r>
  <r>
    <n v="348"/>
    <x v="148"/>
    <n v="7020598503"/>
    <s v="Empresa CC"/>
    <s v="Guayaquil"/>
    <s v="Guayas"/>
    <s v="José de Jesús Morales"/>
    <x v="0"/>
    <s v="Cheque"/>
    <s v="Cerveza"/>
    <s v="Bebidas"/>
    <x v="40"/>
    <n v="96"/>
    <n v="18816"/>
  </r>
  <r>
    <n v="349"/>
    <x v="101"/>
    <n v="8040421717"/>
    <s v="Empresa F"/>
    <s v="Ibarra"/>
    <s v="Imbabura"/>
    <s v="Luis Miguel Valdés Garza"/>
    <x v="2"/>
    <s v="Cheque"/>
    <s v="Chocolate"/>
    <s v="Dulces"/>
    <x v="30"/>
    <n v="12"/>
    <n v="2142"/>
  </r>
  <r>
    <n v="350"/>
    <x v="220"/>
    <n v="3654530055"/>
    <s v="Empresa D"/>
    <s v="Azogues"/>
    <s v="Canar"/>
    <s v="Andrés González Rico"/>
    <x v="1"/>
    <s v="Tarjeta de crédito"/>
    <s v="Mermelada de zarzamora"/>
    <s v="Mermeladas y jaleas"/>
    <x v="43"/>
    <n v="38"/>
    <n v="43092"/>
  </r>
  <r>
    <n v="351"/>
    <x v="221"/>
    <n v="2061527783"/>
    <s v="Empresa D"/>
    <s v="Azogues"/>
    <s v="Canar"/>
    <s v="Andrés González Rico"/>
    <x v="1"/>
    <s v="Tarjeta de crédito"/>
    <s v="Arroz de grano largo"/>
    <s v="Granos"/>
    <x v="44"/>
    <n v="42"/>
    <n v="4116"/>
  </r>
  <r>
    <n v="352"/>
    <x v="220"/>
    <n v="7896754000"/>
    <s v="Empresa H"/>
    <s v="Riobamba"/>
    <s v="Chimborazo"/>
    <s v="Nancy Gil de la Peña"/>
    <x v="2"/>
    <s v="Tarjeta de crédito"/>
    <s v="Mozzarella"/>
    <s v="Productos lácteos"/>
    <x v="39"/>
    <n v="100"/>
    <n v="48719.999999999993"/>
  </r>
  <r>
    <n v="353"/>
    <x v="222"/>
    <n v="7608023281"/>
    <s v="Empresa C"/>
    <s v="Machala"/>
    <s v="El Oro"/>
    <s v="Mayra Aguilar Sepúlveda"/>
    <x v="0"/>
    <s v="Efectivo"/>
    <s v="Jarabe"/>
    <s v="Condimentos"/>
    <x v="24"/>
    <n v="89"/>
    <n v="12460"/>
  </r>
  <r>
    <n v="354"/>
    <x v="8"/>
    <n v="1088259448"/>
    <s v="Empresa C"/>
    <s v="Machala"/>
    <s v="El Oro"/>
    <s v="Mayra Aguilar Sepúlveda"/>
    <x v="0"/>
    <s v="Efectivo"/>
    <s v="Salsa curry"/>
    <s v="Salsas"/>
    <x v="26"/>
    <n v="12"/>
    <n v="6720"/>
  </r>
  <r>
    <n v="355"/>
    <x v="223"/>
    <n v="8019968936"/>
    <s v="Empresa J"/>
    <s v="Esmeraldas"/>
    <s v="Esmeraldas"/>
    <s v="Laura Gutiérrez Saenz"/>
    <x v="0"/>
    <s v="Tarjeta de crédito"/>
    <s v="Almendras"/>
    <s v="Frutas secas"/>
    <x v="24"/>
    <n v="97"/>
    <n v="13580"/>
  </r>
  <r>
    <n v="356"/>
    <x v="178"/>
    <n v="767630917"/>
    <s v="Empresa J"/>
    <s v="Esmeraldas"/>
    <s v="Esmeraldas"/>
    <s v="Laura Gutiérrez Saenz"/>
    <x v="1"/>
    <s v="Empresa de embarque D"/>
    <s v="Ciruelas secas"/>
    <s v="Frutas secas"/>
    <x v="25"/>
    <n v="53"/>
    <n v="2597"/>
  </r>
  <r>
    <n v="357"/>
    <x v="224"/>
    <n v="8764802979"/>
    <s v="Empresa K"/>
    <s v="Quito"/>
    <s v="Pichincha"/>
    <s v="Ana del Valle Hinojosa"/>
    <x v="2"/>
    <s v="Empresa de embarque D"/>
    <s v="Salsa curry"/>
    <s v="Salsas"/>
    <x v="26"/>
    <n v="61"/>
    <n v="34160"/>
  </r>
  <r>
    <n v="358"/>
    <x v="225"/>
    <n v="1212476279"/>
    <s v="Empresa A"/>
    <s v="Ambato"/>
    <s v="Tungurahua"/>
    <s v="Nancy Gil de la Peña"/>
    <x v="2"/>
    <s v="Empresa de embarque D"/>
    <s v="Carne de cangrejo"/>
    <s v="Carne enlatada"/>
    <x v="27"/>
    <n v="45"/>
    <n v="11591.999999999998"/>
  </r>
  <r>
    <n v="359"/>
    <x v="201"/>
    <n v="8659179079"/>
    <s v="Empresa BB"/>
    <s v="Manta"/>
    <s v="Manabi"/>
    <s v="Ana del Valle Hinojosa"/>
    <x v="2"/>
    <s v="Tarjeta de crédito"/>
    <s v="Café"/>
    <s v="Bebidas"/>
    <x v="28"/>
    <n v="43"/>
    <n v="27692"/>
  </r>
  <r>
    <n v="360"/>
    <x v="226"/>
    <n v="4311827425"/>
    <s v="Empresa I"/>
    <s v="Guayaquil"/>
    <s v="Guayas"/>
    <s v="Robert Zárate Carrillo"/>
    <x v="1"/>
    <s v="Cheque"/>
    <s v="Almejas"/>
    <s v="Sopas"/>
    <x v="29"/>
    <n v="18"/>
    <n v="2431.7999999999997"/>
  </r>
  <r>
    <n v="361"/>
    <x v="65"/>
    <n v="7400116244"/>
    <s v="Empresa F"/>
    <s v="Ibarra"/>
    <s v="Imbabura"/>
    <s v="Luis Miguel Valdés Garza"/>
    <x v="0"/>
    <s v="Tarjeta de crédito"/>
    <s v="Chocolate"/>
    <s v="Dulces"/>
    <x v="30"/>
    <n v="41"/>
    <n v="7318.5"/>
  </r>
  <r>
    <n v="362"/>
    <x v="128"/>
    <n v="8550780121"/>
    <s v="Empresa H"/>
    <s v="Riobamba"/>
    <s v="Chimborazo"/>
    <s v="Nancy Gil de la Peña"/>
    <x v="0"/>
    <s v="Cheque"/>
    <s v="Chocolate"/>
    <s v="Dulces"/>
    <x v="30"/>
    <n v="19"/>
    <n v="3391.5"/>
  </r>
  <r>
    <n v="363"/>
    <x v="106"/>
    <n v="9461451917"/>
    <s v="Empresa Y"/>
    <s v="Esmeraldas"/>
    <s v="Esmeraldas"/>
    <s v="Laura Gutiérrez Saenz"/>
    <x v="1"/>
    <s v="Efectivo"/>
    <s v="Condimento cajún"/>
    <s v="Condimentos"/>
    <x v="31"/>
    <n v="65"/>
    <n v="20020"/>
  </r>
  <r>
    <n v="364"/>
    <x v="141"/>
    <n v="3160888933"/>
    <s v="Empresa Z"/>
    <s v="Quito"/>
    <s v="Pichincha"/>
    <s v="Ana del Valle Hinojosa"/>
    <x v="2"/>
    <s v="Tarjeta de crédito"/>
    <s v="Jalea de fresa"/>
    <s v="Mermeladas y jaleas"/>
    <x v="32"/>
    <n v="13"/>
    <n v="4550"/>
  </r>
  <r>
    <n v="365"/>
    <x v="125"/>
    <n v="6433254443"/>
    <s v="Empresa CC"/>
    <s v="Guayaquil"/>
    <s v="Guayas"/>
    <s v="José de Jesús Morales"/>
    <x v="0"/>
    <s v="Cheque"/>
    <s v="Cóctel de frutas"/>
    <s v="Frutas y vegetales"/>
    <x v="33"/>
    <n v="54"/>
    <n v="29484"/>
  </r>
  <r>
    <n v="366"/>
    <x v="116"/>
    <n v="8977261174"/>
    <s v="Empresa F"/>
    <s v="Ibarra"/>
    <s v="Imbabura"/>
    <s v="Luis Miguel Valdés Garza"/>
    <x v="2"/>
    <s v="Cheque"/>
    <s v="Peras secas"/>
    <s v="Frutas secas"/>
    <x v="34"/>
    <n v="33"/>
    <n v="13860"/>
  </r>
  <r>
    <n v="367"/>
    <x v="67"/>
    <n v="7770716054"/>
    <s v="Empresa F"/>
    <s v="Ibarra"/>
    <s v="Imbabura"/>
    <s v="Luis Miguel Valdés Garza"/>
    <x v="2"/>
    <s v="Cheque"/>
    <s v="Manzanas secas"/>
    <s v="Frutas secas"/>
    <x v="35"/>
    <n v="34"/>
    <n v="25228"/>
  </r>
  <r>
    <n v="368"/>
    <x v="227"/>
    <n v="2754807386"/>
    <s v="Empresa D"/>
    <s v="Azogues"/>
    <s v="Canar"/>
    <s v="Andrés González Rico"/>
    <x v="3"/>
    <s v="Empresa de embarque D"/>
    <s v="Pasta penne"/>
    <s v="Pasta"/>
    <x v="36"/>
    <n v="59"/>
    <n v="31388"/>
  </r>
  <r>
    <n v="369"/>
    <x v="228"/>
    <n v="3873424489"/>
    <s v="Empresa C"/>
    <s v="Machala"/>
    <s v="El Oro"/>
    <s v="Mayra Aguilar Sepúlveda"/>
    <x v="3"/>
    <s v="Empresa de embarque D"/>
    <s v="Té verde"/>
    <s v="Bebidas"/>
    <x v="37"/>
    <n v="24"/>
    <n v="1004.64"/>
  </r>
  <r>
    <n v="370"/>
    <x v="134"/>
    <n v="3823774876"/>
    <s v="Empresa A"/>
    <s v="Cuenca"/>
    <s v="Guayas"/>
    <s v="Laura Gutiérrez Saenz"/>
    <x v="2"/>
    <s v="Tarjeta de crédito"/>
    <s v="Almejas"/>
    <s v="Sopas"/>
    <x v="3"/>
    <n v="23"/>
    <n v="2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9C7216-6072-4311-A472-D24DC0546361}" name="TablaDinámica2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18:B20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axis="axisRow"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6"/>
  </rowFields>
  <rowItems count="2">
    <i>
      <x/>
    </i>
    <i t="grand">
      <x/>
    </i>
  </rowItems>
  <colItems count="1">
    <i/>
  </colItems>
  <dataFields count="1">
    <dataField name="Suma de Ventas" fld="13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0A6210-5439-4EFE-B45A-AF0820B70CD8}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5">
  <location ref="A1:B14" firstHeaderRow="1" firstDataRow="1" firstDataCol="1"/>
  <pivotFields count="15">
    <pivotField showAll="0"/>
    <pivotField axis="axisRow"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4"/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2825D-EC47-47F1-A29D-2D00F3277952}" name="TablaDinámica5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>
  <location ref="A64:B67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Row"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5"/>
  </rowFields>
  <rowItems count="3">
    <i>
      <x v="8"/>
    </i>
    <i>
      <x v="9"/>
    </i>
    <i t="grand">
      <x/>
    </i>
  </rowItems>
  <colItems count="1">
    <i/>
  </colItems>
  <dataFields count="1">
    <dataField name="Cuenta de Ventas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34924F-3D43-4D06-BBD0-8175945560C8}" name="TablaDiná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51:B56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axis="axisRow" dataField="1" showAll="0">
      <items count="9">
        <item h="1"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13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Ventas" fld="13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4D607-8028-4049-BDA2-6D942AA7952D}" name="TablaDinámica3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5">
  <location ref="A31:B40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axis="axisRow"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10"/>
  </rowFields>
  <rowItems count="9">
    <i>
      <x/>
    </i>
    <i>
      <x v="1"/>
    </i>
    <i>
      <x v="2"/>
    </i>
    <i>
      <x v="5"/>
    </i>
    <i>
      <x v="8"/>
    </i>
    <i>
      <x v="12"/>
    </i>
    <i>
      <x v="13"/>
    </i>
    <i>
      <x v="14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F6D02D-A37A-481E-AB3A-832DE33863CE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:F20" firstHeaderRow="1" firstDataRow="2" firstDataCol="1"/>
  <pivotFields count="16"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2"/>
        <item x="3"/>
        <item m="1" x="4"/>
        <item t="default"/>
      </items>
    </pivotField>
    <pivotField showAll="0"/>
    <pivotField showAll="0"/>
    <pivotField showAll="0"/>
    <pivotField showAll="0">
      <items count="47">
        <item x="6"/>
        <item x="3"/>
        <item x="0"/>
        <item x="2"/>
        <item x="17"/>
        <item x="10"/>
        <item x="4"/>
        <item x="22"/>
        <item x="14"/>
        <item x="8"/>
        <item x="7"/>
        <item x="21"/>
        <item x="9"/>
        <item x="1"/>
        <item x="16"/>
        <item x="20"/>
        <item x="15"/>
        <item x="12"/>
        <item x="37"/>
        <item x="5"/>
        <item x="19"/>
        <item x="13"/>
        <item x="11"/>
        <item x="25"/>
        <item x="18"/>
        <item x="44"/>
        <item x="41"/>
        <item x="29"/>
        <item x="24"/>
        <item x="30"/>
        <item x="40"/>
        <item x="45"/>
        <item x="27"/>
        <item x="38"/>
        <item x="42"/>
        <item x="31"/>
        <item x="32"/>
        <item x="34"/>
        <item x="39"/>
        <item x="36"/>
        <item x="33"/>
        <item x="26"/>
        <item x="28"/>
        <item x="35"/>
        <item x="43"/>
        <item x="23"/>
        <item t="default"/>
      </items>
    </pivotField>
    <pivotField showAll="0"/>
    <pivotField dataField="1" showAll="0"/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3">
    <field x="15"/>
    <field x="14"/>
    <field x="1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Suma de Ventas" fld="13" baseField="15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incia" xr10:uid="{83D1BB63-2542-4352-A571-10E61E3176A4}" sourceName="Provinci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11">
        <i x="6" s="1"/>
        <i x="9" s="1"/>
        <i x="0" s="1" nd="1"/>
        <i x="1" s="1" nd="1"/>
        <i x="2" s="1" nd="1"/>
        <i x="4" s="1" nd="1"/>
        <i x="7" s="1" nd="1"/>
        <i x="8" s="1" nd="1"/>
        <i x="3" s="1" nd="1"/>
        <i x="5" s="1" nd="1"/>
        <i x="1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2C69D981-A622-4972-B366-487EF6F5B174}" sourceName="Vendedor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8">
        <i x="5" s="1"/>
        <i x="1"/>
        <i x="3"/>
        <i x="6"/>
        <i x="4"/>
        <i x="0"/>
        <i x="2"/>
        <i x="7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50D798C1-FD75-4D28-8B16-0CAC0C8995F5}" sourceName="Categorí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15">
        <i x="13" s="1"/>
        <i x="0" s="1"/>
        <i x="8" s="1"/>
        <i x="1" s="1"/>
        <i x="6" s="1"/>
        <i x="5" s="1"/>
        <i x="4" s="1"/>
        <i x="11" s="1"/>
        <i x="7" s="1" nd="1"/>
        <i x="3" s="1" nd="1"/>
        <i x="12" s="1" nd="1"/>
        <i x="14" s="1" nd="1"/>
        <i x="9" s="1" nd="1"/>
        <i x="2" s="1" nd="1"/>
        <i x="1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50B4C40A-AC0B-47AB-BB4A-8EE103CC570E}" sourceName="Fech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368">
        <i x="10" s="1"/>
        <i x="162" s="1"/>
        <i x="102" s="1"/>
        <i x="224" s="1"/>
        <i x="132" s="1"/>
        <i x="285" s="1"/>
        <i x="103" s="1"/>
        <i x="225" s="1"/>
        <i x="133" s="1"/>
        <i x="13" s="1"/>
        <i x="318" s="1"/>
        <i x="287" s="1"/>
        <i x="257" s="1"/>
        <i x="227" s="1"/>
        <i x="45" s="1"/>
        <i x="196" s="1"/>
        <i x="135" s="1"/>
        <i x="319" s="1"/>
        <i x="288" s="1"/>
        <i x="167" s="1"/>
        <i x="136" s="1"/>
        <i x="289" s="1"/>
        <i x="16" s="1"/>
        <i x="47" s="1"/>
        <i x="290" s="1"/>
        <i x="260" s="1"/>
        <i x="48" s="1"/>
        <i x="353" s="1"/>
        <i x="49" s="1"/>
        <i x="170" s="1"/>
        <i x="262" s="1"/>
        <i x="110" s="1"/>
        <i x="171" s="1"/>
        <i x="324" s="1"/>
        <i x="263" s="1"/>
        <i x="92" s="1"/>
        <i x="1" s="1"/>
        <i x="61" s="1"/>
        <i x="122" s="1"/>
        <i x="245" s="1"/>
        <i x="21" s="1"/>
        <i x="52" s="1"/>
        <i x="113" s="1"/>
        <i x="53" s="1"/>
        <i x="204" s="1"/>
        <i x="266" s="1"/>
        <i x="55" s="1"/>
        <i x="268" s="1"/>
        <i x="85" s="1"/>
        <i x="330" s="1"/>
        <i x="299" s="1"/>
        <i x="117" s="1"/>
        <i x="239" s="1"/>
        <i x="178" s="1"/>
        <i x="240" s="1"/>
        <i x="271" s="1"/>
        <i x="28" s="1"/>
        <i x="60" s="1"/>
        <i x="215" s="1"/>
        <i x="337" s="1"/>
        <i x="2" s="1"/>
        <i x="276" s="1"/>
        <i x="246" s="1"/>
        <i x="243" s="1"/>
        <i x="152" s="1"/>
        <i x="338" s="1"/>
        <i x="308" s="1"/>
        <i x="247" s="1"/>
        <i x="339" s="1"/>
        <i x="36" s="1"/>
        <i x="187" s="1"/>
        <i x="279" s="1"/>
        <i x="249" s="1"/>
        <i x="7" s="1"/>
        <i x="189" s="1"/>
        <i x="128" s="1"/>
        <i x="160" s="1"/>
        <i x="313" s="1"/>
        <i x="344" s="1"/>
        <i x="0" s="1" nd="1"/>
        <i x="367" s="1" nd="1"/>
        <i x="101" s="1" nd="1"/>
        <i x="223" s="1" nd="1"/>
        <i x="345" s="1" nd="1"/>
        <i x="41" s="1" nd="1"/>
        <i x="192" s="1" nd="1"/>
        <i x="70" s="1" nd="1"/>
        <i x="131" s="1" nd="1"/>
        <i x="315" s="1" nd="1"/>
        <i x="284" s="1" nd="1"/>
        <i x="254" s="1" nd="1"/>
        <i x="346" s="1" nd="1"/>
        <i x="11" s="1" nd="1"/>
        <i x="42" s="1" nd="1"/>
        <i x="193" s="1" nd="1"/>
        <i x="163" s="1" nd="1"/>
        <i x="71" s="1" nd="1"/>
        <i x="316" s="1" nd="1"/>
        <i x="255" s="1" nd="1"/>
        <i x="347" s="1" nd="1"/>
        <i x="12" s="1" nd="1"/>
        <i x="43" s="1" nd="1"/>
        <i x="194" s="1" nd="1"/>
        <i x="164" s="1" nd="1"/>
        <i x="72" s="1" nd="1"/>
        <i x="317" s="1" nd="1"/>
        <i x="286" s="1" nd="1"/>
        <i x="256" s="1" nd="1"/>
        <i x="104" s="1" nd="1"/>
        <i x="226" s="1" nd="1"/>
        <i x="348" s="1" nd="1"/>
        <i x="44" s="1" nd="1"/>
        <i x="195" s="1" nd="1"/>
        <i x="165" s="1" nd="1"/>
        <i x="73" s="1" nd="1"/>
        <i x="134" s="1" nd="1"/>
        <i x="105" s="1" nd="1"/>
        <i x="349" s="1" nd="1"/>
        <i x="14" s="1" nd="1"/>
        <i x="166" s="1" nd="1"/>
        <i x="74" s="1" nd="1"/>
        <i x="258" s="1" nd="1"/>
        <i x="106" s="1" nd="1"/>
        <i x="228" s="1" nd="1"/>
        <i x="350" s="1" nd="1"/>
        <i x="15" s="1" nd="1"/>
        <i x="46" s="1" nd="1"/>
        <i x="197" s="1" nd="1"/>
        <i x="75" s="1" nd="1"/>
        <i x="320" s="1" nd="1"/>
        <i x="259" s="1" nd="1"/>
        <i x="107" s="1" nd="1"/>
        <i x="229" s="1" nd="1"/>
        <i x="351" s="1" nd="1"/>
        <i x="198" s="1" nd="1"/>
        <i x="168" s="1" nd="1"/>
        <i x="76" s="1" nd="1"/>
        <i x="137" s="1" nd="1"/>
        <i x="321" s="1" nd="1"/>
        <i x="108" s="1" nd="1"/>
        <i x="230" s="1" nd="1"/>
        <i x="352" s="1" nd="1"/>
        <i x="17" s="1" nd="1"/>
        <i x="199" s="1" nd="1"/>
        <i x="169" s="1" nd="1"/>
        <i x="77" s="1" nd="1"/>
        <i x="138" s="1" nd="1"/>
        <i x="322" s="1" nd="1"/>
        <i x="291" s="1" nd="1"/>
        <i x="261" s="1" nd="1"/>
        <i x="109" s="1" nd="1"/>
        <i x="231" s="1" nd="1"/>
        <i x="18" s="1" nd="1"/>
        <i x="200" s="1" nd="1"/>
        <i x="78" s="1" nd="1"/>
        <i x="139" s="1" nd="1"/>
        <i x="323" s="1" nd="1"/>
        <i x="292" s="1" nd="1"/>
        <i x="232" s="1" nd="1"/>
        <i x="354" s="1" nd="1"/>
        <i x="19" s="1" nd="1"/>
        <i x="50" s="1" nd="1"/>
        <i x="201" s="1" nd="1"/>
        <i x="79" s="1" nd="1"/>
        <i x="140" s="1" nd="1"/>
        <i x="293" s="1" nd="1"/>
        <i x="214" s="1" nd="1"/>
        <i x="336" s="1" nd="1"/>
        <i x="32" s="1" nd="1"/>
        <i x="183" s="1" nd="1"/>
        <i x="153" s="1" nd="1"/>
        <i x="306" s="1" nd="1"/>
        <i x="275" s="1" nd="1"/>
        <i x="111" s="1" nd="1"/>
        <i x="233" s="1" nd="1"/>
        <i x="355" s="1" nd="1"/>
        <i x="20" s="1" nd="1"/>
        <i x="51" s="1" nd="1"/>
        <i x="202" s="1" nd="1"/>
        <i x="172" s="1" nd="1"/>
        <i x="80" s="1" nd="1"/>
        <i x="141" s="1" nd="1"/>
        <i x="325" s="1" nd="1"/>
        <i x="294" s="1" nd="1"/>
        <i x="264" s="1" nd="1"/>
        <i x="112" s="1" nd="1"/>
        <i x="234" s="1" nd="1"/>
        <i x="356" s="1" nd="1"/>
        <i x="203" s="1" nd="1"/>
        <i x="173" s="1" nd="1"/>
        <i x="81" s="1" nd="1"/>
        <i x="142" s="1" nd="1"/>
        <i x="326" s="1" nd="1"/>
        <i x="295" s="1" nd="1"/>
        <i x="265" s="1" nd="1"/>
        <i x="235" s="1" nd="1"/>
        <i x="357" s="1" nd="1"/>
        <i x="22" s="1" nd="1"/>
        <i x="174" s="1" nd="1"/>
        <i x="82" s="1" nd="1"/>
        <i x="143" s="1" nd="1"/>
        <i x="327" s="1" nd="1"/>
        <i x="296" s="1" nd="1"/>
        <i x="114" s="1" nd="1"/>
        <i x="236" s="1" nd="1"/>
        <i x="358" s="1" nd="1"/>
        <i x="23" s="1" nd="1"/>
        <i x="54" s="1" nd="1"/>
        <i x="205" s="1" nd="1"/>
        <i x="175" s="1" nd="1"/>
        <i x="83" s="1" nd="1"/>
        <i x="144" s="1" nd="1"/>
        <i x="328" s="1" nd="1"/>
        <i x="297" s="1" nd="1"/>
        <i x="267" s="1" nd="1"/>
        <i x="115" s="1" nd="1"/>
        <i x="237" s="1" nd="1"/>
        <i x="359" s="1" nd="1"/>
        <i x="24" s="1" nd="1"/>
        <i x="206" s="1" nd="1"/>
        <i x="176" s="1" nd="1"/>
        <i x="84" s="1" nd="1"/>
        <i x="145" s="1" nd="1"/>
        <i x="329" s="1" nd="1"/>
        <i x="298" s="1" nd="1"/>
        <i x="116" s="1" nd="1"/>
        <i x="238" s="1" nd="1"/>
        <i x="360" s="1" nd="1"/>
        <i x="25" s="1" nd="1"/>
        <i x="56" s="1" nd="1"/>
        <i x="207" s="1" nd="1"/>
        <i x="177" s="1" nd="1"/>
        <i x="146" s="1" nd="1"/>
        <i x="269" s="1" nd="1"/>
        <i x="361" s="1" nd="1"/>
        <i x="26" s="1" nd="1"/>
        <i x="57" s="1" nd="1"/>
        <i x="208" s="1" nd="1"/>
        <i x="86" s="1" nd="1"/>
        <i x="147" s="1" nd="1"/>
        <i x="331" s="1" nd="1"/>
        <i x="300" s="1" nd="1"/>
        <i x="270" s="1" nd="1"/>
        <i x="118" s="1" nd="1"/>
        <i x="362" s="1" nd="1"/>
        <i x="27" s="1" nd="1"/>
        <i x="58" s="1" nd="1"/>
        <i x="209" s="1" nd="1"/>
        <i x="179" s="1" nd="1"/>
        <i x="87" s="1" nd="1"/>
        <i x="148" s="1" nd="1"/>
        <i x="332" s="1" nd="1"/>
        <i x="301" s="1" nd="1"/>
        <i x="119" s="1" nd="1"/>
        <i x="241" s="1" nd="1"/>
        <i x="363" s="1" nd="1"/>
        <i x="59" s="1" nd="1"/>
        <i x="210" s="1" nd="1"/>
        <i x="180" s="1" nd="1"/>
        <i x="88" s="1" nd="1"/>
        <i x="149" s="1" nd="1"/>
        <i x="333" s="1" nd="1"/>
        <i x="302" s="1" nd="1"/>
        <i x="272" s="1" nd="1"/>
        <i x="120" s="1" nd="1"/>
        <i x="242" s="1" nd="1"/>
        <i x="364" s="1" nd="1"/>
        <i x="29" s="1" nd="1"/>
        <i x="211" s="1" nd="1"/>
        <i x="181" s="1" nd="1"/>
        <i x="89" s="1" nd="1"/>
        <i x="150" s="1" nd="1"/>
        <i x="334" s="1" nd="1"/>
        <i x="303" s="1" nd="1"/>
        <i x="273" s="1" nd="1"/>
        <i x="93" s="1" nd="1"/>
        <i x="33" s="1" nd="1"/>
        <i x="184" s="1" nd="1"/>
        <i x="154" s="1" nd="1"/>
        <i x="62" s="1" nd="1"/>
        <i x="123" s="1" nd="1"/>
        <i x="307" s="1" nd="1"/>
        <i x="121" s="1" nd="1"/>
        <i x="365" s="1" nd="1"/>
        <i x="30" s="1" nd="1"/>
        <i x="212" s="1" nd="1"/>
        <i x="182" s="1" nd="1"/>
        <i x="90" s="1" nd="1"/>
        <i x="151" s="1" nd="1"/>
        <i x="335" s="1" nd="1"/>
        <i x="304" s="1" nd="1"/>
        <i x="274" s="1" nd="1"/>
        <i x="244" s="1" nd="1"/>
        <i x="366" s="1" nd="1"/>
        <i x="31" s="1" nd="1"/>
        <i x="213" s="1" nd="1"/>
        <i x="91" s="1" nd="1"/>
        <i x="305" s="1" nd="1"/>
        <i x="94" s="1" nd="1"/>
        <i x="216" s="1" nd="1"/>
        <i x="3" s="1" nd="1"/>
        <i x="34" s="1" nd="1"/>
        <i x="185" s="1" nd="1"/>
        <i x="155" s="1" nd="1"/>
        <i x="63" s="1" nd="1"/>
        <i x="124" s="1" nd="1"/>
        <i x="277" s="1" nd="1"/>
        <i x="95" s="1" nd="1"/>
        <i x="217" s="1" nd="1"/>
        <i x="4" s="1" nd="1"/>
        <i x="35" s="1" nd="1"/>
        <i x="186" s="1" nd="1"/>
        <i x="156" s="1" nd="1"/>
        <i x="64" s="1" nd="1"/>
        <i x="125" s="1" nd="1"/>
        <i x="309" s="1" nd="1"/>
        <i x="278" s="1" nd="1"/>
        <i x="248" s="1" nd="1"/>
        <i x="96" s="1" nd="1"/>
        <i x="218" s="1" nd="1"/>
        <i x="340" s="1" nd="1"/>
        <i x="5" s="1" nd="1"/>
        <i x="157" s="1" nd="1"/>
        <i x="65" s="1" nd="1"/>
        <i x="126" s="1" nd="1"/>
        <i x="310" s="1" nd="1"/>
        <i x="97" s="1" nd="1"/>
        <i x="219" s="1" nd="1"/>
        <i x="341" s="1" nd="1"/>
        <i x="6" s="1" nd="1"/>
        <i x="37" s="1" nd="1"/>
        <i x="188" s="1" nd="1"/>
        <i x="158" s="1" nd="1"/>
        <i x="66" s="1" nd="1"/>
        <i x="127" s="1" nd="1"/>
        <i x="311" s="1" nd="1"/>
        <i x="280" s="1" nd="1"/>
        <i x="250" s="1" nd="1"/>
        <i x="98" s="1" nd="1"/>
        <i x="220" s="1" nd="1"/>
        <i x="342" s="1" nd="1"/>
        <i x="38" s="1" nd="1"/>
        <i x="159" s="1" nd="1"/>
        <i x="67" s="1" nd="1"/>
        <i x="312" s="1" nd="1"/>
        <i x="281" s="1" nd="1"/>
        <i x="251" s="1" nd="1"/>
        <i x="99" s="1" nd="1"/>
        <i x="221" s="1" nd="1"/>
        <i x="343" s="1" nd="1"/>
        <i x="8" s="1" nd="1"/>
        <i x="39" s="1" nd="1"/>
        <i x="190" s="1" nd="1"/>
        <i x="68" s="1" nd="1"/>
        <i x="129" s="1" nd="1"/>
        <i x="282" s="1" nd="1"/>
        <i x="252" s="1" nd="1"/>
        <i x="100" s="1" nd="1"/>
        <i x="222" s="1" nd="1"/>
        <i x="9" s="1" nd="1"/>
        <i x="40" s="1" nd="1"/>
        <i x="191" s="1" nd="1"/>
        <i x="161" s="1" nd="1"/>
        <i x="69" s="1" nd="1"/>
        <i x="130" s="1" nd="1"/>
        <i x="314" s="1" nd="1"/>
        <i x="283" s="1" nd="1"/>
        <i x="25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incia" xr10:uid="{882DA3F5-BF8E-4F07-8ACA-A67844A9AA10}" cache="SegmentaciónDeDatos_Provincia" caption="Provincia" style="SlicerStyleDark1" rowHeight="241300"/>
  <slicer name="Vendedor" xr10:uid="{3834331F-6E7B-40D3-BB79-D55169B4EE27}" cache="SegmentaciónDeDatos_Vendedor" caption="Vendedor" style="SlicerStyleDark1" rowHeight="241300"/>
  <slicer name="Categoría" xr10:uid="{61644130-BA66-4234-9213-B2BD13858E5E}" cache="SegmentaciónDeDatos_Categoría" caption="Categoría" style="SlicerStyleDark1" rowHeight="241300"/>
  <slicer name="Fecha 1" xr10:uid="{96229E8E-39A6-4AF3-87B5-7CE49BC6B4F9}" cache="SegmentaciónDeDatos_Fecha" caption="Fecha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0B3582-3397-41A4-A177-D4618167160F}" name="Tabla2" displayName="Tabla2" ref="A1:P370" totalsRowShown="0">
  <autoFilter ref="A1:P370" xr:uid="{EC936EDA-6408-4437-917A-E2FB89AFC79D}"/>
  <sortState xmlns:xlrd2="http://schemas.microsoft.com/office/spreadsheetml/2017/richdata2" caseSensitive="1" ref="A2:P370">
    <sortCondition ref="A2:A370"/>
  </sortState>
  <tableColumns count="16">
    <tableColumn id="1" xr3:uid="{12B129D9-2902-4154-8913-A00DF4A06D83}" name="Documento"/>
    <tableColumn id="2" xr3:uid="{75AF0FAA-C8F8-4B05-B40A-0EDC46C50CB5}" name="Fecha"/>
    <tableColumn id="3" xr3:uid="{5885ED47-6193-4B8F-A008-2E89D41B56E2}" name="Id Cliente"/>
    <tableColumn id="4" xr3:uid="{320F90AD-EEE8-40B2-872C-7CB92B4D324C}" name="Cliente"/>
    <tableColumn id="5" xr3:uid="{8530D838-6299-4A0D-AF65-783898A7D9FF}" name="Ciudad"/>
    <tableColumn id="6" xr3:uid="{BC3AD459-0620-47C7-AF64-E62919A20421}" name="Provincia"/>
    <tableColumn id="7" xr3:uid="{4CC06A87-B64E-4F81-94B4-8B12FDFA05A2}" name="Vendedor"/>
    <tableColumn id="8" xr3:uid="{7A545C06-1389-406A-9B1C-96ED99AAC78E}" name="Empresa"/>
    <tableColumn id="9" xr3:uid="{EF4BD55F-D72C-452D-AA14-03F8B4664807}" name="Forma de pago"/>
    <tableColumn id="10" xr3:uid="{9D056D8C-E689-4384-835B-6B6BEBB89D62}" name="Producto"/>
    <tableColumn id="11" xr3:uid="{BA18B2C4-D548-4E80-8C50-587A28777F21}" name="Categoría"/>
    <tableColumn id="12" xr3:uid="{5C062326-E6C8-4506-9002-58EBE74C7519}" name="Precio"/>
    <tableColumn id="13" xr3:uid="{BFA60843-41A9-4516-B169-B0AB3AE898D8}" name="Cantidad"/>
    <tableColumn id="14" xr3:uid="{BB6C8558-EA8B-4DFD-ACE1-B19C2AF058F7}" name="Ventas"/>
    <tableColumn id="15" xr3:uid="{6DA3C854-00C9-4B5B-9668-CF6ACE184417}" name="dias">
      <calculatedColumnFormula>PROPER(TEXT(B2,"ddd."))</calculatedColumnFormula>
    </tableColumn>
    <tableColumn id="16" xr3:uid="{8F31F959-34DC-445B-BCE2-24D79CBF99AA}" name="mes">
      <calculatedColumnFormula>TEXT(B2,"mmmm")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425A72-4825-4302-A370-87701AAD6776}" name="Tabla1" displayName="Tabla1" ref="A1:N372" totalsRowShown="0" headerRowDxfId="5" dataDxfId="4" headerRowCellStyle="Millares" dataCellStyle="Millares">
  <autoFilter ref="A1:N372" xr:uid="{B824E5A0-EDC9-48A3-BA93-972324DF256C}"/>
  <tableColumns count="14">
    <tableColumn id="1" xr3:uid="{A81714CF-DC94-4E9D-B1D1-664DDCB01177}" name="Documento"/>
    <tableColumn id="2" xr3:uid="{906E13B9-8C97-4950-A582-C177D19BBB7E}" name="Fecha" dataDxfId="3"/>
    <tableColumn id="3" xr3:uid="{BCF4333D-940F-49D0-B47C-79C03868E5AB}" name="Id Cliente"/>
    <tableColumn id="4" xr3:uid="{C4691AD3-545E-4E6D-BE25-F2FC3CC2417E}" name="Cliente"/>
    <tableColumn id="5" xr3:uid="{E8A80C22-62D8-4E58-B566-2B8E2B5AC26A}" name="Ciudad"/>
    <tableColumn id="6" xr3:uid="{1369FD5B-03B2-4345-8E75-2B66A1A3A649}" name="Provincia"/>
    <tableColumn id="7" xr3:uid="{B919F6E9-5706-4CE7-8BFE-7BB54B97C2E8}" name="Vendedor"/>
    <tableColumn id="8" xr3:uid="{B0D2DCFD-CCDE-49DE-90F5-BCE81778E4DC}" name="Empresa"/>
    <tableColumn id="9" xr3:uid="{4D1C7265-7CF9-43D9-97AE-3F14A7CF47AF}" name="Forma de pago"/>
    <tableColumn id="10" xr3:uid="{94E242BF-5CDA-49E7-9C22-85293598FAA8}" name="Producto"/>
    <tableColumn id="11" xr3:uid="{8112DF7C-E6AB-45BA-9B12-A5DBBC172459}" name="Categoría"/>
    <tableColumn id="12" xr3:uid="{0C9323BD-48AE-47DB-8255-A5A11B64DC6D}" name="Precio" dataDxfId="2" dataCellStyle="Millares"/>
    <tableColumn id="13" xr3:uid="{4AD6AA6F-FE81-40FE-817D-2B96EBD8123F}" name="Cantidad" dataDxfId="1" dataCellStyle="Millares"/>
    <tableColumn id="14" xr3:uid="{9770B028-9868-4DE4-9D36-1D31F70617FD}" name="Ventas" dataDxfId="0" dataCellStyle="Millares">
      <calculatedColumnFormula>normalizar!$L2*normalizar!$M2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F2F38FDD-67CB-4BC7-89AA-DF9F55929D35}" sourceName="Fech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state minimalRefreshVersion="6" lastRefreshVersion="6" pivotCacheId="153937183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8637915-F3D5-476F-9A10-648C9894443F}" cache="NativeTimeline_Fecha" caption="Fecha" level="2" selectionLevel="2" scrollPosition="2020-01-01T00:00:00" style="TimeSlicerStyleLight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microsoft.com/office/2011/relationships/timeline" Target="../timelines/timelin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96CF9-529E-4DE2-818A-23E9635F26D7}">
  <sheetPr codeName="Hoja3">
    <tabColor rgb="FFFF0000"/>
  </sheetPr>
  <dimension ref="C1:AE371"/>
  <sheetViews>
    <sheetView topLeftCell="A2" workbookViewId="0">
      <selection activeCell="B2" sqref="B2:Q371"/>
    </sheetView>
  </sheetViews>
  <sheetFormatPr baseColWidth="10" defaultColWidth="10.85546875" defaultRowHeight="15" x14ac:dyDescent="0.25"/>
  <cols>
    <col min="1" max="1" width="4.28515625" customWidth="1"/>
    <col min="2" max="2" width="13.5703125" customWidth="1"/>
    <col min="3" max="3" width="10.7109375" style="1" bestFit="1" customWidth="1"/>
    <col min="4" max="4" width="12" customWidth="1"/>
    <col min="5" max="5" width="11.5703125" bestFit="1" customWidth="1"/>
    <col min="6" max="6" width="11" bestFit="1" customWidth="1"/>
    <col min="7" max="7" width="11.7109375" customWidth="1"/>
    <col min="8" max="8" width="23.140625" bestFit="1" customWidth="1"/>
    <col min="9" max="9" width="22.85546875" bestFit="1" customWidth="1"/>
    <col min="10" max="10" width="16.7109375" bestFit="1" customWidth="1"/>
    <col min="11" max="11" width="23.5703125" bestFit="1" customWidth="1"/>
    <col min="12" max="12" width="19.85546875" bestFit="1" customWidth="1"/>
    <col min="13" max="13" width="9.5703125" style="2" bestFit="1" customWidth="1"/>
    <col min="14" max="14" width="11.5703125" style="2" customWidth="1"/>
    <col min="15" max="15" width="11.5703125" style="2" bestFit="1" customWidth="1"/>
    <col min="16" max="17" width="11.5703125" style="2" customWidth="1"/>
    <col min="18" max="18" width="11.5703125" customWidth="1"/>
    <col min="19" max="19" width="13.28515625" style="2" bestFit="1" customWidth="1"/>
    <col min="20" max="20" width="15.85546875" bestFit="1" customWidth="1"/>
    <col min="21" max="21" width="3.85546875" customWidth="1"/>
    <col min="23" max="23" width="4.140625" customWidth="1"/>
    <col min="24" max="24" width="12.42578125" customWidth="1"/>
    <col min="25" max="25" width="4.42578125" customWidth="1"/>
    <col min="26" max="26" width="12.7109375" bestFit="1" customWidth="1"/>
    <col min="29" max="29" width="15.5703125" customWidth="1"/>
  </cols>
  <sheetData>
    <row r="1" spans="18:31" x14ac:dyDescent="0.25">
      <c r="AB1" t="s">
        <v>76</v>
      </c>
      <c r="AD1" t="s">
        <v>133</v>
      </c>
      <c r="AE1" t="s">
        <v>146</v>
      </c>
    </row>
    <row r="2" spans="18:31" s="3" customFormat="1" ht="30" customHeight="1" x14ac:dyDescent="0.25">
      <c r="R2"/>
      <c r="S2" s="5"/>
    </row>
    <row r="3" spans="18:31" x14ac:dyDescent="0.25">
      <c r="S3" s="2" t="b">
        <f>AND(Hoja4!$P2="abril",Hoja4!$O2="Jue.")</f>
        <v>1</v>
      </c>
      <c r="T3" t="str">
        <f>IF(AND(Hoja4!H2="Empresa de embarque B",Hoja4!I2="Cheque"),"dale","vaaa")</f>
        <v>dale</v>
      </c>
      <c r="V3" t="str">
        <f>IF(AND(Hoja4!H2="Empresa de embarque B",Hoja4!I2="Cheque",Hoja4!J2="Cerveza"),"dale","vaaa")</f>
        <v>dale</v>
      </c>
      <c r="X3" t="str">
        <f>IF(OR(Hoja4!H2="Empresa de embarque B",Hoja4!I2="Cheque",Hoja4!J2="cerveza"),"dale","vaaa")</f>
        <v>dale</v>
      </c>
      <c r="Z3" t="str">
        <f>IF(NOT(OR(Hoja4!I2="Cheque",Hoja4!J2="Cerveza")),"Aprobado","No Aprobado")</f>
        <v>No Aprobado</v>
      </c>
    </row>
    <row r="4" spans="18:31" x14ac:dyDescent="0.25">
      <c r="S4" s="2" t="b">
        <f>AND(Hoja4!$P3="abril",Hoja4!$O3="Jue.")</f>
        <v>0</v>
      </c>
      <c r="T4" t="str">
        <f>IF(AND(Hoja4!H3="Empresa de embarque B",Hoja4!I3="Cheque"),"dale","vaaa")</f>
        <v>dale</v>
      </c>
      <c r="V4" t="str">
        <f>IF(AND(Hoja4!H3="Empresa de embarque B",Hoja4!I3="Cheque",Hoja4!J3="Cerveza"),"dale","vaaa")</f>
        <v>vaaa</v>
      </c>
      <c r="X4" t="str">
        <f>IF(OR(Hoja4!H3="Empresa de embarque B",Hoja4!I3="Cheque",Hoja4!J3="cerveza"),"dale","vaaa")</f>
        <v>dale</v>
      </c>
      <c r="Z4" t="str">
        <f>IF(NOT(OR(Hoja4!I3="Cheque",Hoja4!J3="Cerveza")),"Aprobado","No Aprobado")</f>
        <v>No Aprobado</v>
      </c>
      <c r="AB4" s="3" t="s">
        <v>76</v>
      </c>
      <c r="AD4" s="5" t="s">
        <v>133</v>
      </c>
      <c r="AE4" s="5" t="s">
        <v>146</v>
      </c>
    </row>
    <row r="5" spans="18:31" x14ac:dyDescent="0.25">
      <c r="S5" s="2" t="b">
        <f>AND(Hoja4!$P4="abril",Hoja4!$O4="Jue.")</f>
        <v>0</v>
      </c>
      <c r="T5" t="str">
        <f>IF(AND(Hoja4!H4="Empresa de embarque B",Hoja4!I4="Cheque"),"dale","vaaa")</f>
        <v>vaaa</v>
      </c>
      <c r="V5" t="str">
        <f>IF(AND(Hoja4!H4="Empresa de embarque B",Hoja4!I4="Cheque",Hoja4!J4="Cerveza"),"dale","vaaa")</f>
        <v>vaaa</v>
      </c>
      <c r="X5" t="str">
        <f>IF(OR(Hoja4!H4="Empresa de embarque B",Hoja4!I4="Cheque",Hoja4!J4="cerveza"),"dale","vaaa")</f>
        <v>vaaa</v>
      </c>
      <c r="Z5" t="str">
        <f>IF(NOT(OR(Hoja4!I4="Cheque",Hoja4!J4="Cerveza")),"Aprobado","No Aprobado")</f>
        <v>Aprobado</v>
      </c>
      <c r="AB5" t="s">
        <v>8</v>
      </c>
      <c r="AD5" t="s">
        <v>134</v>
      </c>
      <c r="AE5" s="2" t="s">
        <v>152</v>
      </c>
    </row>
    <row r="6" spans="18:31" x14ac:dyDescent="0.25">
      <c r="S6" s="2" t="b">
        <f>AND(Hoja4!$P5="abril",Hoja4!$O5="Jue.")</f>
        <v>0</v>
      </c>
      <c r="T6" t="str">
        <f>IF(AND(Hoja4!H5="Empresa de embarque B",Hoja4!I5="Cheque"),"dale","vaaa")</f>
        <v>vaaa</v>
      </c>
      <c r="V6" t="str">
        <f>IF(AND(Hoja4!H5="Empresa de embarque B",Hoja4!I5="Cheque",Hoja4!J5="Cerveza"),"dale","vaaa")</f>
        <v>vaaa</v>
      </c>
      <c r="X6" t="str">
        <f>IF(OR(Hoja4!H5="Empresa de embarque B",Hoja4!I5="Cheque",Hoja4!J5="cerveza"),"dale","vaaa")</f>
        <v>vaaa</v>
      </c>
      <c r="Z6" t="str">
        <f>IF(NOT(OR(Hoja4!I5="Cheque",Hoja4!J5="Cerveza")),"Aprobado","No Aprobado")</f>
        <v>Aprobado</v>
      </c>
      <c r="AB6" t="s">
        <v>16</v>
      </c>
      <c r="AD6" t="s">
        <v>135</v>
      </c>
      <c r="AE6" s="2" t="s">
        <v>153</v>
      </c>
    </row>
    <row r="7" spans="18:31" x14ac:dyDescent="0.25">
      <c r="S7" s="2" t="b">
        <f>AND(Hoja4!$P6="abril",Hoja4!$O6="Jue.")</f>
        <v>1</v>
      </c>
      <c r="T7" t="str">
        <f>IF(AND(Hoja4!H6="Empresa de embarque B",Hoja4!I6="Cheque"),"dale","vaaa")</f>
        <v>vaaa</v>
      </c>
      <c r="V7" t="str">
        <f>IF(AND(Hoja4!H6="Empresa de embarque B",Hoja4!I6="Cheque",Hoja4!J6="Cerveza"),"dale","vaaa")</f>
        <v>vaaa</v>
      </c>
      <c r="X7" t="str">
        <f>IF(OR(Hoja4!H6="Empresa de embarque B",Hoja4!I6="Cheque",Hoja4!J6="cerveza"),"dale","vaaa")</f>
        <v>vaaa</v>
      </c>
      <c r="Z7" t="str">
        <f>IF(NOT(OR(Hoja4!I6="Cheque",Hoja4!J6="Cerveza")),"Aprobado","No Aprobado")</f>
        <v>Aprobado</v>
      </c>
      <c r="AB7" t="s">
        <v>25</v>
      </c>
      <c r="AD7" t="s">
        <v>136</v>
      </c>
      <c r="AE7" s="2" t="s">
        <v>149</v>
      </c>
    </row>
    <row r="8" spans="18:31" x14ac:dyDescent="0.25">
      <c r="S8" s="2" t="b">
        <f>AND(Hoja4!$P7="abril",Hoja4!$O7="Jue.")</f>
        <v>0</v>
      </c>
      <c r="T8" t="str">
        <f>IF(AND(Hoja4!H7="Empresa de embarque B",Hoja4!I7="Cheque"),"dale","vaaa")</f>
        <v>vaaa</v>
      </c>
      <c r="V8" t="str">
        <f>IF(AND(Hoja4!H7="Empresa de embarque B",Hoja4!I7="Cheque",Hoja4!J7="Cerveza"),"dale","vaaa")</f>
        <v>vaaa</v>
      </c>
      <c r="X8" t="str">
        <f>IF(OR(Hoja4!H7="Empresa de embarque B",Hoja4!I7="Cheque",Hoja4!J7="cerveza"),"dale","vaaa")</f>
        <v>dale</v>
      </c>
      <c r="Z8" t="str">
        <f>IF(NOT(OR(Hoja4!I7="Cheque",Hoja4!J7="Cerveza")),"Aprobado","No Aprobado")</f>
        <v>Aprobado</v>
      </c>
      <c r="AD8" t="s">
        <v>137</v>
      </c>
      <c r="AE8" s="2" t="s">
        <v>148</v>
      </c>
    </row>
    <row r="9" spans="18:31" x14ac:dyDescent="0.25">
      <c r="S9" s="2" t="b">
        <f>AND(Hoja4!$P8="abril",Hoja4!$O8="Jue.")</f>
        <v>0</v>
      </c>
      <c r="T9" t="str">
        <f>IF(AND(Hoja4!H8="Empresa de embarque B",Hoja4!I8="Cheque"),"dale","vaaa")</f>
        <v>vaaa</v>
      </c>
      <c r="V9" t="str">
        <f>IF(AND(Hoja4!H8="Empresa de embarque B",Hoja4!I8="Cheque",Hoja4!J8="Cerveza"),"dale","vaaa")</f>
        <v>vaaa</v>
      </c>
      <c r="X9" t="str">
        <f>IF(OR(Hoja4!H8="Empresa de embarque B",Hoja4!I8="Cheque",Hoja4!J8="cerveza"),"dale","vaaa")</f>
        <v>dale</v>
      </c>
      <c r="Z9" t="str">
        <f>IF(NOT(OR(Hoja4!I8="Cheque",Hoja4!J8="Cerveza")),"Aprobado","No Aprobado")</f>
        <v>Aprobado</v>
      </c>
      <c r="AD9" t="s">
        <v>138</v>
      </c>
      <c r="AE9" s="2" t="s">
        <v>150</v>
      </c>
    </row>
    <row r="10" spans="18:31" x14ac:dyDescent="0.25">
      <c r="S10" s="2" t="b">
        <f>AND(Hoja4!$P9="abril",Hoja4!$O9="Jue.")</f>
        <v>0</v>
      </c>
      <c r="T10" t="str">
        <f>IF(AND(Hoja4!H9="Empresa de embarque B",Hoja4!I9="Cheque"),"dale","vaaa")</f>
        <v>vaaa</v>
      </c>
      <c r="V10" t="str">
        <f>IF(AND(Hoja4!H9="Empresa de embarque B",Hoja4!I9="Cheque",Hoja4!J9="Cerveza"),"dale","vaaa")</f>
        <v>vaaa</v>
      </c>
      <c r="X10" t="str">
        <f>IF(OR(Hoja4!H9="Empresa de embarque B",Hoja4!I9="Cheque",Hoja4!J9="cerveza"),"dale","vaaa")</f>
        <v>vaaa</v>
      </c>
      <c r="Z10" t="str">
        <f>IF(NOT(OR(Hoja4!I9="Cheque",Hoja4!J9="Cerveza")),"Aprobado","No Aprobado")</f>
        <v>Aprobado</v>
      </c>
      <c r="AD10" t="s">
        <v>139</v>
      </c>
      <c r="AE10" s="2" t="s">
        <v>151</v>
      </c>
    </row>
    <row r="11" spans="18:31" x14ac:dyDescent="0.25">
      <c r="S11" s="2" t="b">
        <f>AND(Hoja4!$P10="abril",Hoja4!$O10="Jue.")</f>
        <v>0</v>
      </c>
      <c r="T11" t="str">
        <f>IF(AND(Hoja4!H10="Empresa de embarque B",Hoja4!I10="Cheque"),"dale","vaaa")</f>
        <v>vaaa</v>
      </c>
      <c r="V11" t="str">
        <f>IF(AND(Hoja4!H10="Empresa de embarque B",Hoja4!I10="Cheque",Hoja4!J10="Cerveza"),"dale","vaaa")</f>
        <v>vaaa</v>
      </c>
      <c r="X11" t="str">
        <f>IF(OR(Hoja4!H10="Empresa de embarque B",Hoja4!I10="Cheque",Hoja4!J10="cerveza"),"dale","vaaa")</f>
        <v>dale</v>
      </c>
      <c r="Z11" t="str">
        <f>IF(NOT(OR(Hoja4!I10="Cheque",Hoja4!J10="Cerveza")),"Aprobado","No Aprobado")</f>
        <v>No Aprobado</v>
      </c>
      <c r="AD11" t="s">
        <v>140</v>
      </c>
      <c r="AE11" s="2" t="s">
        <v>147</v>
      </c>
    </row>
    <row r="12" spans="18:31" x14ac:dyDescent="0.25">
      <c r="S12" s="2" t="b">
        <f>AND(Hoja4!$P11="abril",Hoja4!$O11="Jue.")</f>
        <v>0</v>
      </c>
      <c r="T12" t="str">
        <f>IF(AND(Hoja4!H11="Empresa de embarque B",Hoja4!I11="Cheque"),"dale","vaaa")</f>
        <v>dale</v>
      </c>
      <c r="V12" t="str">
        <f>IF(AND(Hoja4!H11="Empresa de embarque B",Hoja4!I11="Cheque",Hoja4!J11="Cerveza"),"dale","vaaa")</f>
        <v>vaaa</v>
      </c>
      <c r="X12" t="str">
        <f>IF(OR(Hoja4!H11="Empresa de embarque B",Hoja4!I11="Cheque",Hoja4!J11="cerveza"),"dale","vaaa")</f>
        <v>dale</v>
      </c>
      <c r="Z12" t="str">
        <f>IF(NOT(OR(Hoja4!I11="Cheque",Hoja4!J11="Cerveza")),"Aprobado","No Aprobado")</f>
        <v>No Aprobado</v>
      </c>
      <c r="AD12" t="s">
        <v>141</v>
      </c>
    </row>
    <row r="13" spans="18:31" x14ac:dyDescent="0.25">
      <c r="S13" s="2" t="b">
        <f>AND(Hoja4!$P12="abril",Hoja4!$O12="Jue.")</f>
        <v>0</v>
      </c>
      <c r="T13" t="str">
        <f>IF(AND(Hoja4!H12="Empresa de embarque B",Hoja4!I12="Cheque"),"dale","vaaa")</f>
        <v>vaaa</v>
      </c>
      <c r="V13" t="str">
        <f>IF(AND(Hoja4!H12="Empresa de embarque B",Hoja4!I12="Cheque",Hoja4!J12="Cerveza"),"dale","vaaa")</f>
        <v>vaaa</v>
      </c>
      <c r="X13" t="str">
        <f>IF(OR(Hoja4!H12="Empresa de embarque B",Hoja4!I12="Cheque",Hoja4!J12="cerveza"),"dale","vaaa")</f>
        <v>dale</v>
      </c>
      <c r="Z13" t="str">
        <f>IF(NOT(OR(Hoja4!I12="Cheque",Hoja4!J12="Cerveza")),"Aprobado","No Aprobado")</f>
        <v>Aprobado</v>
      </c>
      <c r="AD13" t="s">
        <v>142</v>
      </c>
    </row>
    <row r="14" spans="18:31" x14ac:dyDescent="0.25">
      <c r="S14" s="2" t="b">
        <f>AND(Hoja4!$P13="abril",Hoja4!$O13="Jue.")</f>
        <v>0</v>
      </c>
      <c r="T14" t="str">
        <f>IF(AND(Hoja4!H13="Empresa de embarque B",Hoja4!I13="Cheque"),"dale","vaaa")</f>
        <v>vaaa</v>
      </c>
      <c r="V14" t="str">
        <f>IF(AND(Hoja4!H13="Empresa de embarque B",Hoja4!I13="Cheque",Hoja4!J13="Cerveza"),"dale","vaaa")</f>
        <v>vaaa</v>
      </c>
      <c r="X14" t="str">
        <f>IF(OR(Hoja4!H13="Empresa de embarque B",Hoja4!I13="Cheque",Hoja4!J13="cerveza"),"dale","vaaa")</f>
        <v>dale</v>
      </c>
      <c r="Z14" t="str">
        <f>IF(NOT(OR(Hoja4!I13="Cheque",Hoja4!J13="Cerveza")),"Aprobado","No Aprobado")</f>
        <v>Aprobado</v>
      </c>
      <c r="AD14" t="s">
        <v>143</v>
      </c>
    </row>
    <row r="15" spans="18:31" x14ac:dyDescent="0.25">
      <c r="S15" s="2" t="b">
        <f>AND(Hoja4!$P14="abril",Hoja4!$O14="Jue.")</f>
        <v>0</v>
      </c>
      <c r="T15" t="str">
        <f>IF(AND(Hoja4!H14="Empresa de embarque B",Hoja4!I14="Cheque"),"dale","vaaa")</f>
        <v>vaaa</v>
      </c>
      <c r="V15" t="str">
        <f>IF(AND(Hoja4!H14="Empresa de embarque B",Hoja4!I14="Cheque",Hoja4!J14="Cerveza"),"dale","vaaa")</f>
        <v>vaaa</v>
      </c>
      <c r="X15" t="str">
        <f>IF(OR(Hoja4!H14="Empresa de embarque B",Hoja4!I14="Cheque",Hoja4!J14="cerveza"),"dale","vaaa")</f>
        <v>dale</v>
      </c>
      <c r="Z15" t="str">
        <f>IF(NOT(OR(Hoja4!I14="Cheque",Hoja4!J14="Cerveza")),"Aprobado","No Aprobado")</f>
        <v>No Aprobado</v>
      </c>
      <c r="AD15" t="s">
        <v>144</v>
      </c>
    </row>
    <row r="16" spans="18:31" x14ac:dyDescent="0.25">
      <c r="S16" s="2" t="b">
        <f>AND(Hoja4!$P15="abril",Hoja4!$O15="Jue.")</f>
        <v>0</v>
      </c>
      <c r="T16" t="str">
        <f>IF(AND(Hoja4!H15="Empresa de embarque B",Hoja4!I15="Cheque"),"dale","vaaa")</f>
        <v>vaaa</v>
      </c>
      <c r="V16" t="str">
        <f>IF(AND(Hoja4!H15="Empresa de embarque B",Hoja4!I15="Cheque",Hoja4!J15="Cerveza"),"dale","vaaa")</f>
        <v>vaaa</v>
      </c>
      <c r="X16" t="str">
        <f>IF(OR(Hoja4!H15="Empresa de embarque B",Hoja4!I15="Cheque",Hoja4!J15="cerveza"),"dale","vaaa")</f>
        <v>dale</v>
      </c>
      <c r="Z16" t="str">
        <f>IF(NOT(OR(Hoja4!I15="Cheque",Hoja4!J15="Cerveza")),"Aprobado","No Aprobado")</f>
        <v>No Aprobado</v>
      </c>
      <c r="AD16" t="s">
        <v>145</v>
      </c>
    </row>
    <row r="17" spans="19:26" x14ac:dyDescent="0.25">
      <c r="S17" s="2" t="b">
        <f>AND(Hoja4!$P16="abril",Hoja4!$O16="Jue.")</f>
        <v>0</v>
      </c>
      <c r="T17" t="str">
        <f>IF(AND(Hoja4!H16="Empresa de embarque B",Hoja4!I16="Cheque"),"dale","vaaa")</f>
        <v>vaaa</v>
      </c>
      <c r="V17" t="str">
        <f>IF(AND(Hoja4!H16="Empresa de embarque B",Hoja4!I16="Cheque",Hoja4!J16="Cerveza"),"dale","vaaa")</f>
        <v>vaaa</v>
      </c>
      <c r="X17" t="str">
        <f>IF(OR(Hoja4!H16="Empresa de embarque B",Hoja4!I16="Cheque",Hoja4!J16="cerveza"),"dale","vaaa")</f>
        <v>dale</v>
      </c>
      <c r="Z17" t="str">
        <f>IF(NOT(OR(Hoja4!I16="Cheque",Hoja4!J16="Cerveza")),"Aprobado","No Aprobado")</f>
        <v>Aprobado</v>
      </c>
    </row>
    <row r="18" spans="19:26" x14ac:dyDescent="0.25">
      <c r="S18" s="2" t="b">
        <f>AND(Hoja4!$P17="abril",Hoja4!$O17="Jue.")</f>
        <v>0</v>
      </c>
      <c r="T18" t="str">
        <f>IF(AND(Hoja4!H17="Empresa de embarque B",Hoja4!I17="Cheque"),"dale","vaaa")</f>
        <v>vaaa</v>
      </c>
      <c r="V18" t="str">
        <f>IF(AND(Hoja4!H17="Empresa de embarque B",Hoja4!I17="Cheque",Hoja4!J17="Cerveza"),"dale","vaaa")</f>
        <v>vaaa</v>
      </c>
      <c r="X18" t="str">
        <f>IF(OR(Hoja4!H17="Empresa de embarque B",Hoja4!I17="Cheque",Hoja4!J17="cerveza"),"dale","vaaa")</f>
        <v>vaaa</v>
      </c>
      <c r="Z18" t="str">
        <f>IF(NOT(OR(Hoja4!I17="Cheque",Hoja4!J17="Cerveza")),"Aprobado","No Aprobado")</f>
        <v>Aprobado</v>
      </c>
    </row>
    <row r="19" spans="19:26" x14ac:dyDescent="0.25">
      <c r="S19" s="2" t="b">
        <f>AND(Hoja4!$P18="abril",Hoja4!$O18="Jue.")</f>
        <v>0</v>
      </c>
      <c r="T19" t="str">
        <f>IF(AND(Hoja4!H18="Empresa de embarque B",Hoja4!I18="Cheque"),"dale","vaaa")</f>
        <v>vaaa</v>
      </c>
      <c r="V19" t="str">
        <f>IF(AND(Hoja4!H18="Empresa de embarque B",Hoja4!I18="Cheque",Hoja4!J18="Cerveza"),"dale","vaaa")</f>
        <v>vaaa</v>
      </c>
      <c r="X19" t="str">
        <f>IF(OR(Hoja4!H18="Empresa de embarque B",Hoja4!I18="Cheque",Hoja4!J18="cerveza"),"dale","vaaa")</f>
        <v>vaaa</v>
      </c>
      <c r="Z19" t="str">
        <f>IF(NOT(OR(Hoja4!I18="Cheque",Hoja4!J18="Cerveza")),"Aprobado","No Aprobado")</f>
        <v>Aprobado</v>
      </c>
    </row>
    <row r="20" spans="19:26" x14ac:dyDescent="0.25">
      <c r="S20" s="2" t="b">
        <f>AND(Hoja4!$P19="abril",Hoja4!$O19="Jue.")</f>
        <v>1</v>
      </c>
      <c r="T20" t="str">
        <f>IF(AND(Hoja4!H19="Empresa de embarque B",Hoja4!I19="Cheque"),"dale","vaaa")</f>
        <v>vaaa</v>
      </c>
      <c r="V20" t="str">
        <f>IF(AND(Hoja4!H19="Empresa de embarque B",Hoja4!I19="Cheque",Hoja4!J19="Cerveza"),"dale","vaaa")</f>
        <v>vaaa</v>
      </c>
      <c r="X20" t="str">
        <f>IF(OR(Hoja4!H19="Empresa de embarque B",Hoja4!I19="Cheque",Hoja4!J19="cerveza"),"dale","vaaa")</f>
        <v>vaaa</v>
      </c>
      <c r="Z20" t="str">
        <f>IF(NOT(OR(Hoja4!I19="Cheque",Hoja4!J19="Cerveza")),"Aprobado","No Aprobado")</f>
        <v>Aprobado</v>
      </c>
    </row>
    <row r="21" spans="19:26" x14ac:dyDescent="0.25">
      <c r="S21" s="2" t="b">
        <f>AND(Hoja4!$P20="abril",Hoja4!$O20="Jue.")</f>
        <v>0</v>
      </c>
      <c r="T21" t="str">
        <f>IF(AND(Hoja4!H20="Empresa de embarque B",Hoja4!I20="Cheque"),"dale","vaaa")</f>
        <v>vaaa</v>
      </c>
      <c r="V21" t="str">
        <f>IF(AND(Hoja4!H20="Empresa de embarque B",Hoja4!I20="Cheque",Hoja4!J20="Cerveza"),"dale","vaaa")</f>
        <v>vaaa</v>
      </c>
      <c r="X21" t="str">
        <f>IF(OR(Hoja4!H20="Empresa de embarque B",Hoja4!I20="Cheque",Hoja4!J20="cerveza"),"dale","vaaa")</f>
        <v>vaaa</v>
      </c>
      <c r="Z21" t="str">
        <f>IF(NOT(OR(Hoja4!I20="Cheque",Hoja4!J20="Cerveza")),"Aprobado","No Aprobado")</f>
        <v>Aprobado</v>
      </c>
    </row>
    <row r="22" spans="19:26" x14ac:dyDescent="0.25">
      <c r="S22" s="2" t="b">
        <f>AND(Hoja4!$P21="abril",Hoja4!$O21="Jue.")</f>
        <v>0</v>
      </c>
      <c r="T22" t="str">
        <f>IF(AND(Hoja4!H21="Empresa de embarque B",Hoja4!I21="Cheque"),"dale","vaaa")</f>
        <v>vaaa</v>
      </c>
      <c r="V22" t="str">
        <f>IF(AND(Hoja4!H21="Empresa de embarque B",Hoja4!I21="Cheque",Hoja4!J21="Cerveza"),"dale","vaaa")</f>
        <v>vaaa</v>
      </c>
      <c r="X22" t="str">
        <f>IF(OR(Hoja4!H21="Empresa de embarque B",Hoja4!I21="Cheque",Hoja4!J21="cerveza"),"dale","vaaa")</f>
        <v>vaaa</v>
      </c>
      <c r="Z22" t="str">
        <f>IF(NOT(OR(Hoja4!I21="Cheque",Hoja4!J21="Cerveza")),"Aprobado","No Aprobado")</f>
        <v>Aprobado</v>
      </c>
    </row>
    <row r="23" spans="19:26" x14ac:dyDescent="0.25">
      <c r="S23" s="2" t="b">
        <f>AND(Hoja4!$P22="abril",Hoja4!$O22="Jue.")</f>
        <v>0</v>
      </c>
      <c r="T23" t="str">
        <f>IF(AND(Hoja4!H22="Empresa de embarque B",Hoja4!I22="Cheque"),"dale","vaaa")</f>
        <v>vaaa</v>
      </c>
      <c r="V23" t="str">
        <f>IF(AND(Hoja4!H22="Empresa de embarque B",Hoja4!I22="Cheque",Hoja4!J22="Cerveza"),"dale","vaaa")</f>
        <v>vaaa</v>
      </c>
      <c r="X23" t="str">
        <f>IF(OR(Hoja4!H22="Empresa de embarque B",Hoja4!I22="Cheque",Hoja4!J22="cerveza"),"dale","vaaa")</f>
        <v>vaaa</v>
      </c>
      <c r="Z23" t="str">
        <f>IF(NOT(OR(Hoja4!I22="Cheque",Hoja4!J22="Cerveza")),"Aprobado","No Aprobado")</f>
        <v>Aprobado</v>
      </c>
    </row>
    <row r="24" spans="19:26" x14ac:dyDescent="0.25">
      <c r="S24" s="2" t="b">
        <f>AND(Hoja4!$P23="abril",Hoja4!$O23="Jue.")</f>
        <v>0</v>
      </c>
      <c r="T24" t="str">
        <f>IF(AND(Hoja4!H23="Empresa de embarque B",Hoja4!I23="Cheque"),"dale","vaaa")</f>
        <v>vaaa</v>
      </c>
      <c r="V24" t="str">
        <f>IF(AND(Hoja4!H23="Empresa de embarque B",Hoja4!I23="Cheque",Hoja4!J23="Cerveza"),"dale","vaaa")</f>
        <v>vaaa</v>
      </c>
      <c r="X24" t="str">
        <f>IF(OR(Hoja4!H23="Empresa de embarque B",Hoja4!I23="Cheque",Hoja4!J23="cerveza"),"dale","vaaa")</f>
        <v>vaaa</v>
      </c>
      <c r="Z24" t="str">
        <f>IF(NOT(OR(Hoja4!I23="Cheque",Hoja4!J23="Cerveza")),"Aprobado","No Aprobado")</f>
        <v>Aprobado</v>
      </c>
    </row>
    <row r="25" spans="19:26" x14ac:dyDescent="0.25">
      <c r="S25" s="2" t="b">
        <f>AND(Hoja4!$P24="abril",Hoja4!$O24="Jue.")</f>
        <v>0</v>
      </c>
      <c r="T25" t="str">
        <f>IF(AND(Hoja4!H24="Empresa de embarque B",Hoja4!I24="Cheque"),"dale","vaaa")</f>
        <v>vaaa</v>
      </c>
      <c r="V25" t="str">
        <f>IF(AND(Hoja4!H24="Empresa de embarque B",Hoja4!I24="Cheque",Hoja4!J24="Cerveza"),"dale","vaaa")</f>
        <v>vaaa</v>
      </c>
      <c r="X25" t="str">
        <f>IF(OR(Hoja4!H24="Empresa de embarque B",Hoja4!I24="Cheque",Hoja4!J24="cerveza"),"dale","vaaa")</f>
        <v>vaaa</v>
      </c>
      <c r="Z25" t="str">
        <f>IF(NOT(OR(Hoja4!I24="Cheque",Hoja4!J24="Cerveza")),"Aprobado","No Aprobado")</f>
        <v>Aprobado</v>
      </c>
    </row>
    <row r="26" spans="19:26" x14ac:dyDescent="0.25">
      <c r="S26" s="2" t="b">
        <f>AND(Hoja4!$P25="abril",Hoja4!$O25="Jue.")</f>
        <v>0</v>
      </c>
      <c r="T26" t="str">
        <f>IF(AND(Hoja4!H25="Empresa de embarque B",Hoja4!I25="Cheque"),"dale","vaaa")</f>
        <v>vaaa</v>
      </c>
      <c r="V26" t="str">
        <f>IF(AND(Hoja4!H25="Empresa de embarque B",Hoja4!I25="Cheque",Hoja4!J25="Cerveza"),"dale","vaaa")</f>
        <v>vaaa</v>
      </c>
      <c r="X26" t="str">
        <f>IF(OR(Hoja4!H25="Empresa de embarque B",Hoja4!I25="Cheque",Hoja4!J25="cerveza"),"dale","vaaa")</f>
        <v>vaaa</v>
      </c>
      <c r="Z26" t="str">
        <f>IF(NOT(OR(Hoja4!I25="Cheque",Hoja4!J25="Cerveza")),"Aprobado","No Aprobado")</f>
        <v>Aprobado</v>
      </c>
    </row>
    <row r="27" spans="19:26" x14ac:dyDescent="0.25">
      <c r="S27" s="2" t="b">
        <f>AND(Hoja4!$P26="abril",Hoja4!$O26="Jue.")</f>
        <v>0</v>
      </c>
      <c r="T27" t="str">
        <f>IF(AND(Hoja4!H26="Empresa de embarque B",Hoja4!I26="Cheque"),"dale","vaaa")</f>
        <v>vaaa</v>
      </c>
      <c r="V27" t="str">
        <f>IF(AND(Hoja4!H26="Empresa de embarque B",Hoja4!I26="Cheque",Hoja4!J26="Cerveza"),"dale","vaaa")</f>
        <v>vaaa</v>
      </c>
      <c r="X27" t="str">
        <f>IF(OR(Hoja4!H26="Empresa de embarque B",Hoja4!I26="Cheque",Hoja4!J26="cerveza"),"dale","vaaa")</f>
        <v>vaaa</v>
      </c>
      <c r="Z27" t="str">
        <f>IF(NOT(OR(Hoja4!I26="Cheque",Hoja4!J26="Cerveza")),"Aprobado","No Aprobado")</f>
        <v>Aprobado</v>
      </c>
    </row>
    <row r="28" spans="19:26" x14ac:dyDescent="0.25">
      <c r="S28" s="2" t="b">
        <f>AND(Hoja4!$P27="abril",Hoja4!$O27="Jue.")</f>
        <v>0</v>
      </c>
      <c r="T28" t="str">
        <f>IF(AND(Hoja4!H27="Empresa de embarque B",Hoja4!I27="Cheque"),"dale","vaaa")</f>
        <v>vaaa</v>
      </c>
      <c r="V28" t="str">
        <f>IF(AND(Hoja4!H27="Empresa de embarque B",Hoja4!I27="Cheque",Hoja4!J27="Cerveza"),"dale","vaaa")</f>
        <v>vaaa</v>
      </c>
      <c r="X28" t="str">
        <f>IF(OR(Hoja4!H27="Empresa de embarque B",Hoja4!I27="Cheque",Hoja4!J27="cerveza"),"dale","vaaa")</f>
        <v>vaaa</v>
      </c>
      <c r="Z28" t="str">
        <f>IF(NOT(OR(Hoja4!I27="Cheque",Hoja4!J27="Cerveza")),"Aprobado","No Aprobado")</f>
        <v>Aprobado</v>
      </c>
    </row>
    <row r="29" spans="19:26" x14ac:dyDescent="0.25">
      <c r="S29" s="2" t="b">
        <f>AND(Hoja4!$P28="abril",Hoja4!$O28="Jue.")</f>
        <v>0</v>
      </c>
      <c r="T29" t="str">
        <f>IF(AND(Hoja4!H28="Empresa de embarque B",Hoja4!I28="Cheque"),"dale","vaaa")</f>
        <v>vaaa</v>
      </c>
      <c r="V29" t="str">
        <f>IF(AND(Hoja4!H28="Empresa de embarque B",Hoja4!I28="Cheque",Hoja4!J28="Cerveza"),"dale","vaaa")</f>
        <v>vaaa</v>
      </c>
      <c r="X29" t="str">
        <f>IF(OR(Hoja4!H28="Empresa de embarque B",Hoja4!I28="Cheque",Hoja4!J28="cerveza"),"dale","vaaa")</f>
        <v>dale</v>
      </c>
      <c r="Z29" t="str">
        <f>IF(NOT(OR(Hoja4!I28="Cheque",Hoja4!J28="Cerveza")),"Aprobado","No Aprobado")</f>
        <v>No Aprobado</v>
      </c>
    </row>
    <row r="30" spans="19:26" x14ac:dyDescent="0.25">
      <c r="S30" s="2" t="b">
        <f>AND(Hoja4!$P29="abril",Hoja4!$O29="Jue.")</f>
        <v>0</v>
      </c>
      <c r="T30" t="str">
        <f>IF(AND(Hoja4!H29="Empresa de embarque B",Hoja4!I29="Cheque"),"dale","vaaa")</f>
        <v>vaaa</v>
      </c>
      <c r="V30" t="str">
        <f>IF(AND(Hoja4!H29="Empresa de embarque B",Hoja4!I29="Cheque",Hoja4!J29="Cerveza"),"dale","vaaa")</f>
        <v>vaaa</v>
      </c>
      <c r="X30" t="str">
        <f>IF(OR(Hoja4!H29="Empresa de embarque B",Hoja4!I29="Cheque",Hoja4!J29="cerveza"),"dale","vaaa")</f>
        <v>dale</v>
      </c>
      <c r="Z30" t="str">
        <f>IF(NOT(OR(Hoja4!I29="Cheque",Hoja4!J29="Cerveza")),"Aprobado","No Aprobado")</f>
        <v>No Aprobado</v>
      </c>
    </row>
    <row r="31" spans="19:26" x14ac:dyDescent="0.25">
      <c r="S31" s="2" t="b">
        <f>AND(Hoja4!$P30="abril",Hoja4!$O30="Jue.")</f>
        <v>0</v>
      </c>
      <c r="T31" t="str">
        <f>IF(AND(Hoja4!H30="Empresa de embarque B",Hoja4!I30="Cheque"),"dale","vaaa")</f>
        <v>vaaa</v>
      </c>
      <c r="V31" t="str">
        <f>IF(AND(Hoja4!H30="Empresa de embarque B",Hoja4!I30="Cheque",Hoja4!J30="Cerveza"),"dale","vaaa")</f>
        <v>vaaa</v>
      </c>
      <c r="X31" t="str">
        <f>IF(OR(Hoja4!H30="Empresa de embarque B",Hoja4!I30="Cheque",Hoja4!J30="cerveza"),"dale","vaaa")</f>
        <v>dale</v>
      </c>
      <c r="Z31" t="str">
        <f>IF(NOT(OR(Hoja4!I30="Cheque",Hoja4!J30="Cerveza")),"Aprobado","No Aprobado")</f>
        <v>No Aprobado</v>
      </c>
    </row>
    <row r="32" spans="19:26" x14ac:dyDescent="0.25">
      <c r="S32" s="2" t="b">
        <f>AND(Hoja4!$P31="abril",Hoja4!$O31="Jue.")</f>
        <v>0</v>
      </c>
      <c r="T32" t="str">
        <f>IF(AND(Hoja4!H31="Empresa de embarque B",Hoja4!I31="Cheque"),"dale","vaaa")</f>
        <v>dale</v>
      </c>
      <c r="V32" t="str">
        <f>IF(AND(Hoja4!H31="Empresa de embarque B",Hoja4!I31="Cheque",Hoja4!J31="Cerveza"),"dale","vaaa")</f>
        <v>vaaa</v>
      </c>
      <c r="X32" t="str">
        <f>IF(OR(Hoja4!H31="Empresa de embarque B",Hoja4!I31="Cheque",Hoja4!J31="cerveza"),"dale","vaaa")</f>
        <v>dale</v>
      </c>
      <c r="Z32" t="str">
        <f>IF(NOT(OR(Hoja4!I31="Cheque",Hoja4!J31="Cerveza")),"Aprobado","No Aprobado")</f>
        <v>No Aprobado</v>
      </c>
    </row>
    <row r="33" spans="19:26" x14ac:dyDescent="0.25">
      <c r="S33" s="2" t="b">
        <f>AND(Hoja4!$P32="abril",Hoja4!$O32="Jue.")</f>
        <v>0</v>
      </c>
      <c r="T33" t="str">
        <f>IF(AND(Hoja4!H32="Empresa de embarque B",Hoja4!I32="Cheque"),"dale","vaaa")</f>
        <v>vaaa</v>
      </c>
      <c r="V33" t="str">
        <f>IF(AND(Hoja4!H32="Empresa de embarque B",Hoja4!I32="Cheque",Hoja4!J32="Cerveza"),"dale","vaaa")</f>
        <v>vaaa</v>
      </c>
      <c r="X33" t="str">
        <f>IF(OR(Hoja4!H32="Empresa de embarque B",Hoja4!I32="Cheque",Hoja4!J32="cerveza"),"dale","vaaa")</f>
        <v>dale</v>
      </c>
      <c r="Z33" t="str">
        <f>IF(NOT(OR(Hoja4!I32="Cheque",Hoja4!J32="Cerveza")),"Aprobado","No Aprobado")</f>
        <v>Aprobado</v>
      </c>
    </row>
    <row r="34" spans="19:26" x14ac:dyDescent="0.25">
      <c r="S34" s="2" t="b">
        <f>AND(Hoja4!$P33="abril",Hoja4!$O33="Jue.")</f>
        <v>0</v>
      </c>
      <c r="T34" t="str">
        <f>IF(AND(Hoja4!H33="Empresa de embarque B",Hoja4!I33="Cheque"),"dale","vaaa")</f>
        <v>vaaa</v>
      </c>
      <c r="V34" t="str">
        <f>IF(AND(Hoja4!H33="Empresa de embarque B",Hoja4!I33="Cheque",Hoja4!J33="Cerveza"),"dale","vaaa")</f>
        <v>vaaa</v>
      </c>
      <c r="X34" t="str">
        <f>IF(OR(Hoja4!H33="Empresa de embarque B",Hoja4!I33="Cheque",Hoja4!J33="cerveza"),"dale","vaaa")</f>
        <v>dale</v>
      </c>
      <c r="Z34" t="str">
        <f>IF(NOT(OR(Hoja4!I33="Cheque",Hoja4!J33="Cerveza")),"Aprobado","No Aprobado")</f>
        <v>Aprobado</v>
      </c>
    </row>
    <row r="35" spans="19:26" x14ac:dyDescent="0.25">
      <c r="S35" s="2" t="b">
        <f>AND(Hoja4!$P34="abril",Hoja4!$O34="Jue.")</f>
        <v>0</v>
      </c>
      <c r="T35" t="str">
        <f>IF(AND(Hoja4!H34="Empresa de embarque B",Hoja4!I34="Cheque"),"dale","vaaa")</f>
        <v>vaaa</v>
      </c>
      <c r="V35" t="str">
        <f>IF(AND(Hoja4!H34="Empresa de embarque B",Hoja4!I34="Cheque",Hoja4!J34="Cerveza"),"dale","vaaa")</f>
        <v>vaaa</v>
      </c>
      <c r="X35" t="str">
        <f>IF(OR(Hoja4!H34="Empresa de embarque B",Hoja4!I34="Cheque",Hoja4!J34="cerveza"),"dale","vaaa")</f>
        <v>dale</v>
      </c>
      <c r="Z35" t="str">
        <f>IF(NOT(OR(Hoja4!I34="Cheque",Hoja4!J34="Cerveza")),"Aprobado","No Aprobado")</f>
        <v>Aprobado</v>
      </c>
    </row>
    <row r="36" spans="19:26" x14ac:dyDescent="0.25">
      <c r="S36" s="2" t="b">
        <f>AND(Hoja4!$P35="abril",Hoja4!$O35="Jue.")</f>
        <v>0</v>
      </c>
      <c r="T36" t="str">
        <f>IF(AND(Hoja4!H35="Empresa de embarque B",Hoja4!I35="Cheque"),"dale","vaaa")</f>
        <v>vaaa</v>
      </c>
      <c r="V36" t="str">
        <f>IF(AND(Hoja4!H35="Empresa de embarque B",Hoja4!I35="Cheque",Hoja4!J35="Cerveza"),"dale","vaaa")</f>
        <v>vaaa</v>
      </c>
      <c r="X36" t="str">
        <f>IF(OR(Hoja4!H35="Empresa de embarque B",Hoja4!I35="Cheque",Hoja4!J35="cerveza"),"dale","vaaa")</f>
        <v>dale</v>
      </c>
      <c r="Z36" t="str">
        <f>IF(NOT(OR(Hoja4!I35="Cheque",Hoja4!J35="Cerveza")),"Aprobado","No Aprobado")</f>
        <v>No Aprobado</v>
      </c>
    </row>
    <row r="37" spans="19:26" x14ac:dyDescent="0.25">
      <c r="S37" s="2" t="b">
        <f>AND(Hoja4!$P36="abril",Hoja4!$O36="Jue.")</f>
        <v>0</v>
      </c>
      <c r="T37" t="str">
        <f>IF(AND(Hoja4!H36="Empresa de embarque B",Hoja4!I36="Cheque"),"dale","vaaa")</f>
        <v>vaaa</v>
      </c>
      <c r="V37" t="str">
        <f>IF(AND(Hoja4!H36="Empresa de embarque B",Hoja4!I36="Cheque",Hoja4!J36="Cerveza"),"dale","vaaa")</f>
        <v>vaaa</v>
      </c>
      <c r="X37" t="str">
        <f>IF(OR(Hoja4!H36="Empresa de embarque B",Hoja4!I36="Cheque",Hoja4!J36="cerveza"),"dale","vaaa")</f>
        <v>dale</v>
      </c>
      <c r="Z37" t="str">
        <f>IF(NOT(OR(Hoja4!I36="Cheque",Hoja4!J36="Cerveza")),"Aprobado","No Aprobado")</f>
        <v>No Aprobado</v>
      </c>
    </row>
    <row r="38" spans="19:26" x14ac:dyDescent="0.25">
      <c r="S38" s="2" t="b">
        <f>AND(Hoja4!$P37="abril",Hoja4!$O37="Jue.")</f>
        <v>0</v>
      </c>
      <c r="T38" t="str">
        <f>IF(AND(Hoja4!H37="Empresa de embarque B",Hoja4!I37="Cheque"),"dale","vaaa")</f>
        <v>vaaa</v>
      </c>
      <c r="V38" t="str">
        <f>IF(AND(Hoja4!H37="Empresa de embarque B",Hoja4!I37="Cheque",Hoja4!J37="Cerveza"),"dale","vaaa")</f>
        <v>vaaa</v>
      </c>
      <c r="X38" t="str">
        <f>IF(OR(Hoja4!H37="Empresa de embarque B",Hoja4!I37="Cheque",Hoja4!J37="cerveza"),"dale","vaaa")</f>
        <v>dale</v>
      </c>
      <c r="Z38" t="str">
        <f>IF(NOT(OR(Hoja4!I37="Cheque",Hoja4!J37="Cerveza")),"Aprobado","No Aprobado")</f>
        <v>Aprobado</v>
      </c>
    </row>
    <row r="39" spans="19:26" x14ac:dyDescent="0.25">
      <c r="S39" s="2" t="b">
        <f>AND(Hoja4!$P38="abril",Hoja4!$O38="Jue.")</f>
        <v>0</v>
      </c>
      <c r="T39" t="str">
        <f>IF(AND(Hoja4!H38="Empresa de embarque B",Hoja4!I38="Cheque"),"dale","vaaa")</f>
        <v>vaaa</v>
      </c>
      <c r="V39" t="str">
        <f>IF(AND(Hoja4!H38="Empresa de embarque B",Hoja4!I38="Cheque",Hoja4!J38="Cerveza"),"dale","vaaa")</f>
        <v>vaaa</v>
      </c>
      <c r="X39" t="str">
        <f>IF(OR(Hoja4!H38="Empresa de embarque B",Hoja4!I38="Cheque",Hoja4!J38="cerveza"),"dale","vaaa")</f>
        <v>vaaa</v>
      </c>
      <c r="Z39" t="str">
        <f>IF(NOT(OR(Hoja4!I38="Cheque",Hoja4!J38="Cerveza")),"Aprobado","No Aprobado")</f>
        <v>Aprobado</v>
      </c>
    </row>
    <row r="40" spans="19:26" x14ac:dyDescent="0.25">
      <c r="S40" s="2" t="b">
        <f>AND(Hoja4!$P39="abril",Hoja4!$O39="Jue.")</f>
        <v>0</v>
      </c>
      <c r="T40" t="str">
        <f>IF(AND(Hoja4!H39="Empresa de embarque B",Hoja4!I39="Cheque"),"dale","vaaa")</f>
        <v>vaaa</v>
      </c>
      <c r="V40" t="str">
        <f>IF(AND(Hoja4!H39="Empresa de embarque B",Hoja4!I39="Cheque",Hoja4!J39="Cerveza"),"dale","vaaa")</f>
        <v>vaaa</v>
      </c>
      <c r="X40" t="str">
        <f>IF(OR(Hoja4!H39="Empresa de embarque B",Hoja4!I39="Cheque",Hoja4!J39="cerveza"),"dale","vaaa")</f>
        <v>vaaa</v>
      </c>
      <c r="Z40" t="str">
        <f>IF(NOT(OR(Hoja4!I39="Cheque",Hoja4!J39="Cerveza")),"Aprobado","No Aprobado")</f>
        <v>Aprobado</v>
      </c>
    </row>
    <row r="41" spans="19:26" x14ac:dyDescent="0.25">
      <c r="S41" s="2" t="b">
        <f>AND(Hoja4!$P40="abril",Hoja4!$O40="Jue.")</f>
        <v>0</v>
      </c>
      <c r="T41" t="str">
        <f>IF(AND(Hoja4!H40="Empresa de embarque B",Hoja4!I40="Cheque"),"dale","vaaa")</f>
        <v>vaaa</v>
      </c>
      <c r="V41" t="str">
        <f>IF(AND(Hoja4!H40="Empresa de embarque B",Hoja4!I40="Cheque",Hoja4!J40="Cerveza"),"dale","vaaa")</f>
        <v>vaaa</v>
      </c>
      <c r="X41" t="str">
        <f>IF(OR(Hoja4!H40="Empresa de embarque B",Hoja4!I40="Cheque",Hoja4!J40="cerveza"),"dale","vaaa")</f>
        <v>vaaa</v>
      </c>
      <c r="Z41" t="str">
        <f>IF(NOT(OR(Hoja4!I40="Cheque",Hoja4!J40="Cerveza")),"Aprobado","No Aprobado")</f>
        <v>Aprobado</v>
      </c>
    </row>
    <row r="42" spans="19:26" x14ac:dyDescent="0.25">
      <c r="S42" s="2" t="b">
        <f>AND(Hoja4!$P41="abril",Hoja4!$O41="Jue.")</f>
        <v>0</v>
      </c>
      <c r="T42" t="str">
        <f>IF(AND(Hoja4!H41="Empresa de embarque B",Hoja4!I41="Cheque"),"dale","vaaa")</f>
        <v>vaaa</v>
      </c>
      <c r="V42" t="str">
        <f>IF(AND(Hoja4!H41="Empresa de embarque B",Hoja4!I41="Cheque",Hoja4!J41="Cerveza"),"dale","vaaa")</f>
        <v>vaaa</v>
      </c>
      <c r="X42" t="str">
        <f>IF(OR(Hoja4!H41="Empresa de embarque B",Hoja4!I41="Cheque",Hoja4!J41="cerveza"),"dale","vaaa")</f>
        <v>vaaa</v>
      </c>
      <c r="Z42" t="str">
        <f>IF(NOT(OR(Hoja4!I41="Cheque",Hoja4!J41="Cerveza")),"Aprobado","No Aprobado")</f>
        <v>Aprobado</v>
      </c>
    </row>
    <row r="43" spans="19:26" x14ac:dyDescent="0.25">
      <c r="S43" s="2" t="b">
        <f>AND(Hoja4!$P42="abril",Hoja4!$O42="Jue.")</f>
        <v>0</v>
      </c>
      <c r="T43" t="str">
        <f>IF(AND(Hoja4!H42="Empresa de embarque B",Hoja4!I42="Cheque"),"dale","vaaa")</f>
        <v>vaaa</v>
      </c>
      <c r="V43" t="str">
        <f>IF(AND(Hoja4!H42="Empresa de embarque B",Hoja4!I42="Cheque",Hoja4!J42="Cerveza"),"dale","vaaa")</f>
        <v>vaaa</v>
      </c>
      <c r="X43" t="str">
        <f>IF(OR(Hoja4!H42="Empresa de embarque B",Hoja4!I42="Cheque",Hoja4!J42="cerveza"),"dale","vaaa")</f>
        <v>dale</v>
      </c>
      <c r="Z43" t="str">
        <f>IF(NOT(OR(Hoja4!I42="Cheque",Hoja4!J42="Cerveza")),"Aprobado","No Aprobado")</f>
        <v>No Aprobado</v>
      </c>
    </row>
    <row r="44" spans="19:26" x14ac:dyDescent="0.25">
      <c r="S44" s="2" t="b">
        <f>AND(Hoja4!$P43="abril",Hoja4!$O43="Jue.")</f>
        <v>0</v>
      </c>
      <c r="T44" t="str">
        <f>IF(AND(Hoja4!H43="Empresa de embarque B",Hoja4!I43="Cheque"),"dale","vaaa")</f>
        <v>vaaa</v>
      </c>
      <c r="V44" t="str">
        <f>IF(AND(Hoja4!H43="Empresa de embarque B",Hoja4!I43="Cheque",Hoja4!J43="Cerveza"),"dale","vaaa")</f>
        <v>vaaa</v>
      </c>
      <c r="X44" t="str">
        <f>IF(OR(Hoja4!H43="Empresa de embarque B",Hoja4!I43="Cheque",Hoja4!J43="cerveza"),"dale","vaaa")</f>
        <v>dale</v>
      </c>
      <c r="Z44" t="str">
        <f>IF(NOT(OR(Hoja4!I43="Cheque",Hoja4!J43="Cerveza")),"Aprobado","No Aprobado")</f>
        <v>Aprobado</v>
      </c>
    </row>
    <row r="45" spans="19:26" x14ac:dyDescent="0.25">
      <c r="S45" s="2" t="b">
        <f>AND(Hoja4!$P44="abril",Hoja4!$O44="Jue.")</f>
        <v>0</v>
      </c>
      <c r="T45" t="str">
        <f>IF(AND(Hoja4!H44="Empresa de embarque B",Hoja4!I44="Cheque"),"dale","vaaa")</f>
        <v>dale</v>
      </c>
      <c r="V45" t="str">
        <f>IF(AND(Hoja4!H44="Empresa de embarque B",Hoja4!I44="Cheque",Hoja4!J44="Cerveza"),"dale","vaaa")</f>
        <v>vaaa</v>
      </c>
      <c r="X45" t="str">
        <f>IF(OR(Hoja4!H44="Empresa de embarque B",Hoja4!I44="Cheque",Hoja4!J44="cerveza"),"dale","vaaa")</f>
        <v>dale</v>
      </c>
      <c r="Z45" t="str">
        <f>IF(NOT(OR(Hoja4!I44="Cheque",Hoja4!J44="Cerveza")),"Aprobado","No Aprobado")</f>
        <v>No Aprobado</v>
      </c>
    </row>
    <row r="46" spans="19:26" x14ac:dyDescent="0.25">
      <c r="S46" s="2" t="b">
        <f>AND(Hoja4!$P45="abril",Hoja4!$O45="Jue.")</f>
        <v>0</v>
      </c>
      <c r="T46" t="str">
        <f>IF(AND(Hoja4!H45="Empresa de embarque B",Hoja4!I45="Cheque"),"dale","vaaa")</f>
        <v>vaaa</v>
      </c>
      <c r="V46" t="str">
        <f>IF(AND(Hoja4!H45="Empresa de embarque B",Hoja4!I45="Cheque",Hoja4!J45="Cerveza"),"dale","vaaa")</f>
        <v>vaaa</v>
      </c>
      <c r="X46" t="str">
        <f>IF(OR(Hoja4!H45="Empresa de embarque B",Hoja4!I45="Cheque",Hoja4!J45="cerveza"),"dale","vaaa")</f>
        <v>vaaa</v>
      </c>
      <c r="Z46" t="str">
        <f>IF(NOT(OR(Hoja4!I45="Cheque",Hoja4!J45="Cerveza")),"Aprobado","No Aprobado")</f>
        <v>Aprobado</v>
      </c>
    </row>
    <row r="47" spans="19:26" x14ac:dyDescent="0.25">
      <c r="S47" s="2" t="b">
        <f>AND(Hoja4!$P46="abril",Hoja4!$O46="Jue.")</f>
        <v>0</v>
      </c>
      <c r="T47" t="str">
        <f>IF(AND(Hoja4!H46="Empresa de embarque B",Hoja4!I46="Cheque"),"dale","vaaa")</f>
        <v>vaaa</v>
      </c>
      <c r="V47" t="str">
        <f>IF(AND(Hoja4!H46="Empresa de embarque B",Hoja4!I46="Cheque",Hoja4!J46="Cerveza"),"dale","vaaa")</f>
        <v>vaaa</v>
      </c>
      <c r="X47" t="str">
        <f>IF(OR(Hoja4!H46="Empresa de embarque B",Hoja4!I46="Cheque",Hoja4!J46="cerveza"),"dale","vaaa")</f>
        <v>vaaa</v>
      </c>
      <c r="Z47" t="str">
        <f>IF(NOT(OR(Hoja4!I46="Cheque",Hoja4!J46="Cerveza")),"Aprobado","No Aprobado")</f>
        <v>Aprobado</v>
      </c>
    </row>
    <row r="48" spans="19:26" x14ac:dyDescent="0.25">
      <c r="S48" s="2" t="b">
        <f>AND(Hoja4!$P47="abril",Hoja4!$O47="Jue.")</f>
        <v>0</v>
      </c>
      <c r="T48" t="str">
        <f>IF(AND(Hoja4!H47="Empresa de embarque B",Hoja4!I47="Cheque"),"dale","vaaa")</f>
        <v>dale</v>
      </c>
      <c r="V48" t="str">
        <f>IF(AND(Hoja4!H47="Empresa de embarque B",Hoja4!I47="Cheque",Hoja4!J47="Cerveza"),"dale","vaaa")</f>
        <v>vaaa</v>
      </c>
      <c r="X48" t="str">
        <f>IF(OR(Hoja4!H47="Empresa de embarque B",Hoja4!I47="Cheque",Hoja4!J47="cerveza"),"dale","vaaa")</f>
        <v>dale</v>
      </c>
      <c r="Z48" t="str">
        <f>IF(NOT(OR(Hoja4!I47="Cheque",Hoja4!J47="Cerveza")),"Aprobado","No Aprobado")</f>
        <v>No Aprobado</v>
      </c>
    </row>
    <row r="49" spans="19:26" x14ac:dyDescent="0.25">
      <c r="S49" s="2" t="b">
        <f>AND(Hoja4!$P48="abril",Hoja4!$O48="Jue.")</f>
        <v>0</v>
      </c>
      <c r="T49" t="str">
        <f>IF(AND(Hoja4!H48="Empresa de embarque B",Hoja4!I48="Cheque"),"dale","vaaa")</f>
        <v>vaaa</v>
      </c>
      <c r="V49" t="str">
        <f>IF(AND(Hoja4!H48="Empresa de embarque B",Hoja4!I48="Cheque",Hoja4!J48="Cerveza"),"dale","vaaa")</f>
        <v>vaaa</v>
      </c>
      <c r="X49" t="str">
        <f>IF(OR(Hoja4!H48="Empresa de embarque B",Hoja4!I48="Cheque",Hoja4!J48="cerveza"),"dale","vaaa")</f>
        <v>dale</v>
      </c>
      <c r="Z49" t="str">
        <f>IF(NOT(OR(Hoja4!I48="Cheque",Hoja4!J48="Cerveza")),"Aprobado","No Aprobado")</f>
        <v>No Aprobado</v>
      </c>
    </row>
    <row r="50" spans="19:26" x14ac:dyDescent="0.25">
      <c r="S50" s="2" t="b">
        <f>AND(Hoja4!$P49="abril",Hoja4!$O49="Jue.")</f>
        <v>0</v>
      </c>
      <c r="T50" t="str">
        <f>IF(AND(Hoja4!H49="Empresa de embarque B",Hoja4!I49="Cheque"),"dale","vaaa")</f>
        <v>vaaa</v>
      </c>
      <c r="V50" t="str">
        <f>IF(AND(Hoja4!H49="Empresa de embarque B",Hoja4!I49="Cheque",Hoja4!J49="Cerveza"),"dale","vaaa")</f>
        <v>vaaa</v>
      </c>
      <c r="X50" t="str">
        <f>IF(OR(Hoja4!H49="Empresa de embarque B",Hoja4!I49="Cheque",Hoja4!J49="cerveza"),"dale","vaaa")</f>
        <v>dale</v>
      </c>
      <c r="Z50" t="str">
        <f>IF(NOT(OR(Hoja4!I49="Cheque",Hoja4!J49="Cerveza")),"Aprobado","No Aprobado")</f>
        <v>No Aprobado</v>
      </c>
    </row>
    <row r="51" spans="19:26" x14ac:dyDescent="0.25">
      <c r="S51" s="2" t="b">
        <f>AND(Hoja4!$P50="abril",Hoja4!$O50="Jue.")</f>
        <v>0</v>
      </c>
      <c r="T51" t="str">
        <f>IF(AND(Hoja4!H50="Empresa de embarque B",Hoja4!I50="Cheque"),"dale","vaaa")</f>
        <v>vaaa</v>
      </c>
      <c r="V51" t="str">
        <f>IF(AND(Hoja4!H50="Empresa de embarque B",Hoja4!I50="Cheque",Hoja4!J50="Cerveza"),"dale","vaaa")</f>
        <v>vaaa</v>
      </c>
      <c r="X51" t="str">
        <f>IF(OR(Hoja4!H50="Empresa de embarque B",Hoja4!I50="Cheque",Hoja4!J50="cerveza"),"dale","vaaa")</f>
        <v>vaaa</v>
      </c>
      <c r="Z51" t="str">
        <f>IF(NOT(OR(Hoja4!I50="Cheque",Hoja4!J50="Cerveza")),"Aprobado","No Aprobado")</f>
        <v>Aprobado</v>
      </c>
    </row>
    <row r="52" spans="19:26" x14ac:dyDescent="0.25">
      <c r="S52" s="2" t="b">
        <f>AND(Hoja4!$P51="abril",Hoja4!$O51="Jue.")</f>
        <v>0</v>
      </c>
      <c r="T52" t="str">
        <f>IF(AND(Hoja4!H51="Empresa de embarque B",Hoja4!I51="Cheque"),"dale","vaaa")</f>
        <v>vaaa</v>
      </c>
      <c r="V52" t="str">
        <f>IF(AND(Hoja4!H51="Empresa de embarque B",Hoja4!I51="Cheque",Hoja4!J51="Cerveza"),"dale","vaaa")</f>
        <v>vaaa</v>
      </c>
      <c r="X52" t="str">
        <f>IF(OR(Hoja4!H51="Empresa de embarque B",Hoja4!I51="Cheque",Hoja4!J51="cerveza"),"dale","vaaa")</f>
        <v>vaaa</v>
      </c>
      <c r="Z52" t="str">
        <f>IF(NOT(OR(Hoja4!I51="Cheque",Hoja4!J51="Cerveza")),"Aprobado","No Aprobado")</f>
        <v>Aprobado</v>
      </c>
    </row>
    <row r="53" spans="19:26" x14ac:dyDescent="0.25">
      <c r="S53" s="2" t="b">
        <f>AND(Hoja4!$P52="abril",Hoja4!$O52="Jue.")</f>
        <v>0</v>
      </c>
      <c r="T53" t="str">
        <f>IF(AND(Hoja4!H52="Empresa de embarque B",Hoja4!I52="Cheque"),"dale","vaaa")</f>
        <v>vaaa</v>
      </c>
      <c r="V53" t="str">
        <f>IF(AND(Hoja4!H52="Empresa de embarque B",Hoja4!I52="Cheque",Hoja4!J52="Cerveza"),"dale","vaaa")</f>
        <v>vaaa</v>
      </c>
      <c r="X53" t="str">
        <f>IF(OR(Hoja4!H52="Empresa de embarque B",Hoja4!I52="Cheque",Hoja4!J52="cerveza"),"dale","vaaa")</f>
        <v>dale</v>
      </c>
      <c r="Z53" t="str">
        <f>IF(NOT(OR(Hoja4!I52="Cheque",Hoja4!J52="Cerveza")),"Aprobado","No Aprobado")</f>
        <v>No Aprobado</v>
      </c>
    </row>
    <row r="54" spans="19:26" x14ac:dyDescent="0.25">
      <c r="S54" s="2" t="b">
        <f>AND(Hoja4!$P53="abril",Hoja4!$O53="Jue.")</f>
        <v>0</v>
      </c>
      <c r="T54" t="str">
        <f>IF(AND(Hoja4!H53="Empresa de embarque B",Hoja4!I53="Cheque"),"dale","vaaa")</f>
        <v>vaaa</v>
      </c>
      <c r="V54" t="str">
        <f>IF(AND(Hoja4!H53="Empresa de embarque B",Hoja4!I53="Cheque",Hoja4!J53="Cerveza"),"dale","vaaa")</f>
        <v>vaaa</v>
      </c>
      <c r="X54" t="str">
        <f>IF(OR(Hoja4!H53="Empresa de embarque B",Hoja4!I53="Cheque",Hoja4!J53="cerveza"),"dale","vaaa")</f>
        <v>dale</v>
      </c>
      <c r="Z54" t="str">
        <f>IF(NOT(OR(Hoja4!I53="Cheque",Hoja4!J53="Cerveza")),"Aprobado","No Aprobado")</f>
        <v>No Aprobado</v>
      </c>
    </row>
    <row r="55" spans="19:26" x14ac:dyDescent="0.25">
      <c r="S55" s="2" t="b">
        <f>AND(Hoja4!$P54="abril",Hoja4!$O54="Jue.")</f>
        <v>0</v>
      </c>
      <c r="T55" t="str">
        <f>IF(AND(Hoja4!H54="Empresa de embarque B",Hoja4!I54="Cheque"),"dale","vaaa")</f>
        <v>vaaa</v>
      </c>
      <c r="V55" t="str">
        <f>IF(AND(Hoja4!H54="Empresa de embarque B",Hoja4!I54="Cheque",Hoja4!J54="Cerveza"),"dale","vaaa")</f>
        <v>vaaa</v>
      </c>
      <c r="X55" t="str">
        <f>IF(OR(Hoja4!H54="Empresa de embarque B",Hoja4!I54="Cheque",Hoja4!J54="cerveza"),"dale","vaaa")</f>
        <v>dale</v>
      </c>
      <c r="Z55" t="str">
        <f>IF(NOT(OR(Hoja4!I54="Cheque",Hoja4!J54="Cerveza")),"Aprobado","No Aprobado")</f>
        <v>No Aprobado</v>
      </c>
    </row>
    <row r="56" spans="19:26" x14ac:dyDescent="0.25">
      <c r="S56" s="2" t="b">
        <f>AND(Hoja4!$P55="abril",Hoja4!$O55="Jue.")</f>
        <v>0</v>
      </c>
      <c r="T56" t="str">
        <f>IF(AND(Hoja4!H55="Empresa de embarque B",Hoja4!I55="Cheque"),"dale","vaaa")</f>
        <v>dale</v>
      </c>
      <c r="V56" t="str">
        <f>IF(AND(Hoja4!H55="Empresa de embarque B",Hoja4!I55="Cheque",Hoja4!J55="Cerveza"),"dale","vaaa")</f>
        <v>vaaa</v>
      </c>
      <c r="X56" t="str">
        <f>IF(OR(Hoja4!H55="Empresa de embarque B",Hoja4!I55="Cheque",Hoja4!J55="cerveza"),"dale","vaaa")</f>
        <v>dale</v>
      </c>
      <c r="Z56" t="str">
        <f>IF(NOT(OR(Hoja4!I55="Cheque",Hoja4!J55="Cerveza")),"Aprobado","No Aprobado")</f>
        <v>No Aprobado</v>
      </c>
    </row>
    <row r="57" spans="19:26" x14ac:dyDescent="0.25">
      <c r="S57" s="2" t="b">
        <f>AND(Hoja4!$P56="abril",Hoja4!$O56="Jue.")</f>
        <v>0</v>
      </c>
      <c r="T57" t="str">
        <f>IF(AND(Hoja4!H56="Empresa de embarque B",Hoja4!I56="Cheque"),"dale","vaaa")</f>
        <v>dale</v>
      </c>
      <c r="V57" t="str">
        <f>IF(AND(Hoja4!H56="Empresa de embarque B",Hoja4!I56="Cheque",Hoja4!J56="Cerveza"),"dale","vaaa")</f>
        <v>vaaa</v>
      </c>
      <c r="X57" t="str">
        <f>IF(OR(Hoja4!H56="Empresa de embarque B",Hoja4!I56="Cheque",Hoja4!J56="cerveza"),"dale","vaaa")</f>
        <v>dale</v>
      </c>
      <c r="Z57" t="str">
        <f>IF(NOT(OR(Hoja4!I56="Cheque",Hoja4!J56="Cerveza")),"Aprobado","No Aprobado")</f>
        <v>No Aprobado</v>
      </c>
    </row>
    <row r="58" spans="19:26" x14ac:dyDescent="0.25">
      <c r="S58" s="2" t="b">
        <f>AND(Hoja4!$P57="abril",Hoja4!$O57="Jue.")</f>
        <v>0</v>
      </c>
      <c r="T58" t="str">
        <f>IF(AND(Hoja4!H57="Empresa de embarque B",Hoja4!I57="Cheque"),"dale","vaaa")</f>
        <v>vaaa</v>
      </c>
      <c r="V58" t="str">
        <f>IF(AND(Hoja4!H57="Empresa de embarque B",Hoja4!I57="Cheque",Hoja4!J57="Cerveza"),"dale","vaaa")</f>
        <v>vaaa</v>
      </c>
      <c r="X58" t="str">
        <f>IF(OR(Hoja4!H57="Empresa de embarque B",Hoja4!I57="Cheque",Hoja4!J57="cerveza"),"dale","vaaa")</f>
        <v>vaaa</v>
      </c>
      <c r="Z58" t="str">
        <f>IF(NOT(OR(Hoja4!I57="Cheque",Hoja4!J57="Cerveza")),"Aprobado","No Aprobado")</f>
        <v>Aprobado</v>
      </c>
    </row>
    <row r="59" spans="19:26" x14ac:dyDescent="0.25">
      <c r="S59" s="2" t="b">
        <f>AND(Hoja4!$P58="abril",Hoja4!$O58="Jue.")</f>
        <v>0</v>
      </c>
      <c r="T59" t="str">
        <f>IF(AND(Hoja4!H58="Empresa de embarque B",Hoja4!I58="Cheque"),"dale","vaaa")</f>
        <v>vaaa</v>
      </c>
      <c r="V59" t="str">
        <f>IF(AND(Hoja4!H58="Empresa de embarque B",Hoja4!I58="Cheque",Hoja4!J58="Cerveza"),"dale","vaaa")</f>
        <v>vaaa</v>
      </c>
      <c r="X59" t="str">
        <f>IF(OR(Hoja4!H58="Empresa de embarque B",Hoja4!I58="Cheque",Hoja4!J58="cerveza"),"dale","vaaa")</f>
        <v>vaaa</v>
      </c>
      <c r="Z59" t="str">
        <f>IF(NOT(OR(Hoja4!I58="Cheque",Hoja4!J58="Cerveza")),"Aprobado","No Aprobado")</f>
        <v>Aprobado</v>
      </c>
    </row>
    <row r="60" spans="19:26" x14ac:dyDescent="0.25">
      <c r="S60" s="2" t="b">
        <f>AND(Hoja4!$P59="abril",Hoja4!$O59="Jue.")</f>
        <v>0</v>
      </c>
      <c r="T60" t="str">
        <f>IF(AND(Hoja4!H59="Empresa de embarque B",Hoja4!I59="Cheque"),"dale","vaaa")</f>
        <v>vaaa</v>
      </c>
      <c r="V60" t="str">
        <f>IF(AND(Hoja4!H59="Empresa de embarque B",Hoja4!I59="Cheque",Hoja4!J59="Cerveza"),"dale","vaaa")</f>
        <v>vaaa</v>
      </c>
      <c r="X60" t="str">
        <f>IF(OR(Hoja4!H59="Empresa de embarque B",Hoja4!I59="Cheque",Hoja4!J59="cerveza"),"dale","vaaa")</f>
        <v>vaaa</v>
      </c>
      <c r="Z60" t="str">
        <f>IF(NOT(OR(Hoja4!I59="Cheque",Hoja4!J59="Cerveza")),"Aprobado","No Aprobado")</f>
        <v>Aprobado</v>
      </c>
    </row>
    <row r="61" spans="19:26" x14ac:dyDescent="0.25">
      <c r="S61" s="2" t="b">
        <f>AND(Hoja4!$P60="abril",Hoja4!$O60="Jue.")</f>
        <v>0</v>
      </c>
      <c r="T61" t="str">
        <f>IF(AND(Hoja4!H60="Empresa de embarque B",Hoja4!I60="Cheque"),"dale","vaaa")</f>
        <v>vaaa</v>
      </c>
      <c r="V61" t="str">
        <f>IF(AND(Hoja4!H60="Empresa de embarque B",Hoja4!I60="Cheque",Hoja4!J60="Cerveza"),"dale","vaaa")</f>
        <v>vaaa</v>
      </c>
      <c r="X61" t="str">
        <f>IF(OR(Hoja4!H60="Empresa de embarque B",Hoja4!I60="Cheque",Hoja4!J60="cerveza"),"dale","vaaa")</f>
        <v>vaaa</v>
      </c>
      <c r="Z61" t="str">
        <f>IF(NOT(OR(Hoja4!I60="Cheque",Hoja4!J60="Cerveza")),"Aprobado","No Aprobado")</f>
        <v>Aprobado</v>
      </c>
    </row>
    <row r="62" spans="19:26" x14ac:dyDescent="0.25">
      <c r="S62" s="2" t="b">
        <f>AND(Hoja4!$P61="abril",Hoja4!$O61="Jue.")</f>
        <v>0</v>
      </c>
      <c r="T62" t="str">
        <f>IF(AND(Hoja4!H61="Empresa de embarque B",Hoja4!I61="Cheque"),"dale","vaaa")</f>
        <v>dale</v>
      </c>
      <c r="V62" t="str">
        <f>IF(AND(Hoja4!H61="Empresa de embarque B",Hoja4!I61="Cheque",Hoja4!J61="Cerveza"),"dale","vaaa")</f>
        <v>dale</v>
      </c>
      <c r="X62" t="str">
        <f>IF(OR(Hoja4!H61="Empresa de embarque B",Hoja4!I61="Cheque",Hoja4!J61="cerveza"),"dale","vaaa")</f>
        <v>dale</v>
      </c>
      <c r="Z62" t="str">
        <f>IF(NOT(OR(Hoja4!I61="Cheque",Hoja4!J61="Cerveza")),"Aprobado","No Aprobado")</f>
        <v>No Aprobado</v>
      </c>
    </row>
    <row r="63" spans="19:26" x14ac:dyDescent="0.25">
      <c r="S63" s="2" t="b">
        <f>AND(Hoja4!$P62="abril",Hoja4!$O62="Jue.")</f>
        <v>0</v>
      </c>
      <c r="T63" t="str">
        <f>IF(AND(Hoja4!H62="Empresa de embarque B",Hoja4!I62="Cheque"),"dale","vaaa")</f>
        <v>vaaa</v>
      </c>
      <c r="V63" t="str">
        <f>IF(AND(Hoja4!H62="Empresa de embarque B",Hoja4!I62="Cheque",Hoja4!J62="Cerveza"),"dale","vaaa")</f>
        <v>vaaa</v>
      </c>
      <c r="X63" t="str">
        <f>IF(OR(Hoja4!H62="Empresa de embarque B",Hoja4!I62="Cheque",Hoja4!J62="cerveza"),"dale","vaaa")</f>
        <v>dale</v>
      </c>
      <c r="Z63" t="str">
        <f>IF(NOT(OR(Hoja4!I62="Cheque",Hoja4!J62="Cerveza")),"Aprobado","No Aprobado")</f>
        <v>No Aprobado</v>
      </c>
    </row>
    <row r="64" spans="19:26" x14ac:dyDescent="0.25">
      <c r="S64" s="2" t="b">
        <f>AND(Hoja4!$P63="abril",Hoja4!$O63="Jue.")</f>
        <v>0</v>
      </c>
      <c r="T64" t="str">
        <f>IF(AND(Hoja4!H63="Empresa de embarque B",Hoja4!I63="Cheque"),"dale","vaaa")</f>
        <v>vaaa</v>
      </c>
      <c r="V64" t="str">
        <f>IF(AND(Hoja4!H63="Empresa de embarque B",Hoja4!I63="Cheque",Hoja4!J63="Cerveza"),"dale","vaaa")</f>
        <v>vaaa</v>
      </c>
      <c r="X64" t="str">
        <f>IF(OR(Hoja4!H63="Empresa de embarque B",Hoja4!I63="Cheque",Hoja4!J63="cerveza"),"dale","vaaa")</f>
        <v>vaaa</v>
      </c>
      <c r="Z64" t="str">
        <f>IF(NOT(OR(Hoja4!I63="Cheque",Hoja4!J63="Cerveza")),"Aprobado","No Aprobado")</f>
        <v>Aprobado</v>
      </c>
    </row>
    <row r="65" spans="19:26" x14ac:dyDescent="0.25">
      <c r="S65" s="2" t="b">
        <f>AND(Hoja4!$P64="abril",Hoja4!$O64="Jue.")</f>
        <v>0</v>
      </c>
      <c r="T65" t="str">
        <f>IF(AND(Hoja4!H64="Empresa de embarque B",Hoja4!I64="Cheque"),"dale","vaaa")</f>
        <v>vaaa</v>
      </c>
      <c r="V65" t="str">
        <f>IF(AND(Hoja4!H64="Empresa de embarque B",Hoja4!I64="Cheque",Hoja4!J64="Cerveza"),"dale","vaaa")</f>
        <v>vaaa</v>
      </c>
      <c r="X65" t="str">
        <f>IF(OR(Hoja4!H64="Empresa de embarque B",Hoja4!I64="Cheque",Hoja4!J64="cerveza"),"dale","vaaa")</f>
        <v>vaaa</v>
      </c>
      <c r="Z65" t="str">
        <f>IF(NOT(OR(Hoja4!I64="Cheque",Hoja4!J64="Cerveza")),"Aprobado","No Aprobado")</f>
        <v>Aprobado</v>
      </c>
    </row>
    <row r="66" spans="19:26" x14ac:dyDescent="0.25">
      <c r="S66" s="2" t="b">
        <f>AND(Hoja4!$P65="abril",Hoja4!$O65="Jue.")</f>
        <v>0</v>
      </c>
      <c r="T66" t="str">
        <f>IF(AND(Hoja4!H65="Empresa de embarque B",Hoja4!I65="Cheque"),"dale","vaaa")</f>
        <v>vaaa</v>
      </c>
      <c r="V66" t="str">
        <f>IF(AND(Hoja4!H65="Empresa de embarque B",Hoja4!I65="Cheque",Hoja4!J65="Cerveza"),"dale","vaaa")</f>
        <v>vaaa</v>
      </c>
      <c r="X66" t="str">
        <f>IF(OR(Hoja4!H65="Empresa de embarque B",Hoja4!I65="Cheque",Hoja4!J65="cerveza"),"dale","vaaa")</f>
        <v>vaaa</v>
      </c>
      <c r="Z66" t="str">
        <f>IF(NOT(OR(Hoja4!I65="Cheque",Hoja4!J65="Cerveza")),"Aprobado","No Aprobado")</f>
        <v>Aprobado</v>
      </c>
    </row>
    <row r="67" spans="19:26" x14ac:dyDescent="0.25">
      <c r="S67" s="2" t="b">
        <f>AND(Hoja4!$P66="abril",Hoja4!$O66="Jue.")</f>
        <v>0</v>
      </c>
      <c r="T67" t="str">
        <f>IF(AND(Hoja4!H66="Empresa de embarque B",Hoja4!I66="Cheque"),"dale","vaaa")</f>
        <v>vaaa</v>
      </c>
      <c r="V67" t="str">
        <f>IF(AND(Hoja4!H66="Empresa de embarque B",Hoja4!I66="Cheque",Hoja4!J66="Cerveza"),"dale","vaaa")</f>
        <v>vaaa</v>
      </c>
      <c r="X67" t="str">
        <f>IF(OR(Hoja4!H66="Empresa de embarque B",Hoja4!I66="Cheque",Hoja4!J66="cerveza"),"dale","vaaa")</f>
        <v>dale</v>
      </c>
      <c r="Z67" t="str">
        <f>IF(NOT(OR(Hoja4!I66="Cheque",Hoja4!J66="Cerveza")),"Aprobado","No Aprobado")</f>
        <v>Aprobado</v>
      </c>
    </row>
    <row r="68" spans="19:26" x14ac:dyDescent="0.25">
      <c r="S68" s="2" t="b">
        <f>AND(Hoja4!$P67="abril",Hoja4!$O67="Jue.")</f>
        <v>0</v>
      </c>
      <c r="T68" t="str">
        <f>IF(AND(Hoja4!H67="Empresa de embarque B",Hoja4!I67="Cheque"),"dale","vaaa")</f>
        <v>vaaa</v>
      </c>
      <c r="V68" t="str">
        <f>IF(AND(Hoja4!H67="Empresa de embarque B",Hoja4!I67="Cheque",Hoja4!J67="Cerveza"),"dale","vaaa")</f>
        <v>vaaa</v>
      </c>
      <c r="X68" t="str">
        <f>IF(OR(Hoja4!H67="Empresa de embarque B",Hoja4!I67="Cheque",Hoja4!J67="cerveza"),"dale","vaaa")</f>
        <v>dale</v>
      </c>
      <c r="Z68" t="str">
        <f>IF(NOT(OR(Hoja4!I67="Cheque",Hoja4!J67="Cerveza")),"Aprobado","No Aprobado")</f>
        <v>Aprobado</v>
      </c>
    </row>
    <row r="69" spans="19:26" x14ac:dyDescent="0.25">
      <c r="S69" s="2" t="b">
        <f>AND(Hoja4!$P68="abril",Hoja4!$O68="Jue.")</f>
        <v>0</v>
      </c>
      <c r="T69" t="str">
        <f>IF(AND(Hoja4!H68="Empresa de embarque B",Hoja4!I68="Cheque"),"dale","vaaa")</f>
        <v>vaaa</v>
      </c>
      <c r="V69" t="str">
        <f>IF(AND(Hoja4!H68="Empresa de embarque B",Hoja4!I68="Cheque",Hoja4!J68="Cerveza"),"dale","vaaa")</f>
        <v>vaaa</v>
      </c>
      <c r="X69" t="str">
        <f>IF(OR(Hoja4!H68="Empresa de embarque B",Hoja4!I68="Cheque",Hoja4!J68="cerveza"),"dale","vaaa")</f>
        <v>dale</v>
      </c>
      <c r="Z69" t="str">
        <f>IF(NOT(OR(Hoja4!I68="Cheque",Hoja4!J68="Cerveza")),"Aprobado","No Aprobado")</f>
        <v>Aprobado</v>
      </c>
    </row>
    <row r="70" spans="19:26" x14ac:dyDescent="0.25">
      <c r="S70" s="2" t="b">
        <f>AND(Hoja4!$P69="abril",Hoja4!$O69="Jue.")</f>
        <v>0</v>
      </c>
      <c r="T70" t="str">
        <f>IF(AND(Hoja4!H69="Empresa de embarque B",Hoja4!I69="Cheque"),"dale","vaaa")</f>
        <v>vaaa</v>
      </c>
      <c r="V70" t="str">
        <f>IF(AND(Hoja4!H69="Empresa de embarque B",Hoja4!I69="Cheque",Hoja4!J69="Cerveza"),"dale","vaaa")</f>
        <v>vaaa</v>
      </c>
      <c r="X70" t="str">
        <f>IF(OR(Hoja4!H69="Empresa de embarque B",Hoja4!I69="Cheque",Hoja4!J69="cerveza"),"dale","vaaa")</f>
        <v>vaaa</v>
      </c>
      <c r="Z70" t="str">
        <f>IF(NOT(OR(Hoja4!I69="Cheque",Hoja4!J69="Cerveza")),"Aprobado","No Aprobado")</f>
        <v>Aprobado</v>
      </c>
    </row>
    <row r="71" spans="19:26" x14ac:dyDescent="0.25">
      <c r="S71" s="2" t="b">
        <f>AND(Hoja4!$P70="abril",Hoja4!$O70="Jue.")</f>
        <v>0</v>
      </c>
      <c r="T71" t="str">
        <f>IF(AND(Hoja4!H70="Empresa de embarque B",Hoja4!I70="Cheque"),"dale","vaaa")</f>
        <v>vaaa</v>
      </c>
      <c r="V71" t="str">
        <f>IF(AND(Hoja4!H70="Empresa de embarque B",Hoja4!I70="Cheque",Hoja4!J70="Cerveza"),"dale","vaaa")</f>
        <v>vaaa</v>
      </c>
      <c r="X71" t="str">
        <f>IF(OR(Hoja4!H70="Empresa de embarque B",Hoja4!I70="Cheque",Hoja4!J70="cerveza"),"dale","vaaa")</f>
        <v>vaaa</v>
      </c>
      <c r="Z71" t="str">
        <f>IF(NOT(OR(Hoja4!I70="Cheque",Hoja4!J70="Cerveza")),"Aprobado","No Aprobado")</f>
        <v>Aprobado</v>
      </c>
    </row>
    <row r="72" spans="19:26" x14ac:dyDescent="0.25">
      <c r="S72" s="2" t="b">
        <f>AND(Hoja4!$P71="abril",Hoja4!$O71="Jue.")</f>
        <v>0</v>
      </c>
      <c r="T72" t="str">
        <f>IF(AND(Hoja4!H71="Empresa de embarque B",Hoja4!I71="Cheque"),"dale","vaaa")</f>
        <v>vaaa</v>
      </c>
      <c r="V72" t="str">
        <f>IF(AND(Hoja4!H71="Empresa de embarque B",Hoja4!I71="Cheque",Hoja4!J71="Cerveza"),"dale","vaaa")</f>
        <v>vaaa</v>
      </c>
      <c r="X72" t="str">
        <f>IF(OR(Hoja4!H71="Empresa de embarque B",Hoja4!I71="Cheque",Hoja4!J71="cerveza"),"dale","vaaa")</f>
        <v>vaaa</v>
      </c>
      <c r="Z72" t="str">
        <f>IF(NOT(OR(Hoja4!I71="Cheque",Hoja4!J71="Cerveza")),"Aprobado","No Aprobado")</f>
        <v>Aprobado</v>
      </c>
    </row>
    <row r="73" spans="19:26" x14ac:dyDescent="0.25">
      <c r="S73" s="2" t="b">
        <f>AND(Hoja4!$P72="abril",Hoja4!$O72="Jue.")</f>
        <v>0</v>
      </c>
      <c r="T73" t="str">
        <f>IF(AND(Hoja4!H72="Empresa de embarque B",Hoja4!I72="Cheque"),"dale","vaaa")</f>
        <v>vaaa</v>
      </c>
      <c r="V73" t="str">
        <f>IF(AND(Hoja4!H72="Empresa de embarque B",Hoja4!I72="Cheque",Hoja4!J72="Cerveza"),"dale","vaaa")</f>
        <v>vaaa</v>
      </c>
      <c r="X73" t="str">
        <f>IF(OR(Hoja4!H72="Empresa de embarque B",Hoja4!I72="Cheque",Hoja4!J72="cerveza"),"dale","vaaa")</f>
        <v>vaaa</v>
      </c>
      <c r="Z73" t="str">
        <f>IF(NOT(OR(Hoja4!I72="Cheque",Hoja4!J72="Cerveza")),"Aprobado","No Aprobado")</f>
        <v>Aprobado</v>
      </c>
    </row>
    <row r="74" spans="19:26" x14ac:dyDescent="0.25">
      <c r="S74" s="2" t="b">
        <f>AND(Hoja4!$P73="abril",Hoja4!$O73="Jue.")</f>
        <v>0</v>
      </c>
      <c r="T74" t="str">
        <f>IF(AND(Hoja4!H73="Empresa de embarque B",Hoja4!I73="Cheque"),"dale","vaaa")</f>
        <v>vaaa</v>
      </c>
      <c r="V74" t="str">
        <f>IF(AND(Hoja4!H73="Empresa de embarque B",Hoja4!I73="Cheque",Hoja4!J73="Cerveza"),"dale","vaaa")</f>
        <v>vaaa</v>
      </c>
      <c r="X74" t="str">
        <f>IF(OR(Hoja4!H73="Empresa de embarque B",Hoja4!I73="Cheque",Hoja4!J73="cerveza"),"dale","vaaa")</f>
        <v>vaaa</v>
      </c>
      <c r="Z74" t="str">
        <f>IF(NOT(OR(Hoja4!I73="Cheque",Hoja4!J73="Cerveza")),"Aprobado","No Aprobado")</f>
        <v>Aprobado</v>
      </c>
    </row>
    <row r="75" spans="19:26" x14ac:dyDescent="0.25">
      <c r="S75" s="2" t="b">
        <f>AND(Hoja4!$P74="abril",Hoja4!$O74="Jue.")</f>
        <v>0</v>
      </c>
      <c r="T75" t="str">
        <f>IF(AND(Hoja4!H74="Empresa de embarque B",Hoja4!I74="Cheque"),"dale","vaaa")</f>
        <v>vaaa</v>
      </c>
      <c r="V75" t="str">
        <f>IF(AND(Hoja4!H74="Empresa de embarque B",Hoja4!I74="Cheque",Hoja4!J74="Cerveza"),"dale","vaaa")</f>
        <v>vaaa</v>
      </c>
      <c r="X75" t="str">
        <f>IF(OR(Hoja4!H74="Empresa de embarque B",Hoja4!I74="Cheque",Hoja4!J74="cerveza"),"dale","vaaa")</f>
        <v>dale</v>
      </c>
      <c r="Z75" t="str">
        <f>IF(NOT(OR(Hoja4!I74="Cheque",Hoja4!J74="Cerveza")),"Aprobado","No Aprobado")</f>
        <v>Aprobado</v>
      </c>
    </row>
    <row r="76" spans="19:26" x14ac:dyDescent="0.25">
      <c r="S76" s="2" t="b">
        <f>AND(Hoja4!$P75="abril",Hoja4!$O75="Jue.")</f>
        <v>0</v>
      </c>
      <c r="T76" t="str">
        <f>IF(AND(Hoja4!H75="Empresa de embarque B",Hoja4!I75="Cheque"),"dale","vaaa")</f>
        <v>vaaa</v>
      </c>
      <c r="V76" t="str">
        <f>IF(AND(Hoja4!H75="Empresa de embarque B",Hoja4!I75="Cheque",Hoja4!J75="Cerveza"),"dale","vaaa")</f>
        <v>vaaa</v>
      </c>
      <c r="X76" t="str">
        <f>IF(OR(Hoja4!H75="Empresa de embarque B",Hoja4!I75="Cheque",Hoja4!J75="cerveza"),"dale","vaaa")</f>
        <v>dale</v>
      </c>
      <c r="Z76" t="str">
        <f>IF(NOT(OR(Hoja4!I75="Cheque",Hoja4!J75="Cerveza")),"Aprobado","No Aprobado")</f>
        <v>Aprobado</v>
      </c>
    </row>
    <row r="77" spans="19:26" x14ac:dyDescent="0.25">
      <c r="S77" s="2" t="b">
        <f>AND(Hoja4!$P76="abril",Hoja4!$O76="Jue.")</f>
        <v>0</v>
      </c>
      <c r="T77" t="str">
        <f>IF(AND(Hoja4!H76="Empresa de embarque B",Hoja4!I76="Cheque"),"dale","vaaa")</f>
        <v>vaaa</v>
      </c>
      <c r="V77" t="str">
        <f>IF(AND(Hoja4!H76="Empresa de embarque B",Hoja4!I76="Cheque",Hoja4!J76="Cerveza"),"dale","vaaa")</f>
        <v>vaaa</v>
      </c>
      <c r="X77" t="str">
        <f>IF(OR(Hoja4!H76="Empresa de embarque B",Hoja4!I76="Cheque",Hoja4!J76="cerveza"),"dale","vaaa")</f>
        <v>vaaa</v>
      </c>
      <c r="Z77" t="str">
        <f>IF(NOT(OR(Hoja4!I76="Cheque",Hoja4!J76="Cerveza")),"Aprobado","No Aprobado")</f>
        <v>Aprobado</v>
      </c>
    </row>
    <row r="78" spans="19:26" x14ac:dyDescent="0.25">
      <c r="S78" s="2" t="b">
        <f>AND(Hoja4!$P77="abril",Hoja4!$O77="Jue.")</f>
        <v>0</v>
      </c>
      <c r="T78" t="str">
        <f>IF(AND(Hoja4!H77="Empresa de embarque B",Hoja4!I77="Cheque"),"dale","vaaa")</f>
        <v>vaaa</v>
      </c>
      <c r="V78" t="str">
        <f>IF(AND(Hoja4!H77="Empresa de embarque B",Hoja4!I77="Cheque",Hoja4!J77="Cerveza"),"dale","vaaa")</f>
        <v>vaaa</v>
      </c>
      <c r="X78" t="str">
        <f>IF(OR(Hoja4!H77="Empresa de embarque B",Hoja4!I77="Cheque",Hoja4!J77="cerveza"),"dale","vaaa")</f>
        <v>dale</v>
      </c>
      <c r="Z78" t="str">
        <f>IF(NOT(OR(Hoja4!I77="Cheque",Hoja4!J77="Cerveza")),"Aprobado","No Aprobado")</f>
        <v>No Aprobado</v>
      </c>
    </row>
    <row r="79" spans="19:26" x14ac:dyDescent="0.25">
      <c r="S79" s="2" t="b">
        <f>AND(Hoja4!$P78="abril",Hoja4!$O78="Jue.")</f>
        <v>0</v>
      </c>
      <c r="T79" t="str">
        <f>IF(AND(Hoja4!H78="Empresa de embarque B",Hoja4!I78="Cheque"),"dale","vaaa")</f>
        <v>dale</v>
      </c>
      <c r="V79" t="str">
        <f>IF(AND(Hoja4!H78="Empresa de embarque B",Hoja4!I78="Cheque",Hoja4!J78="Cerveza"),"dale","vaaa")</f>
        <v>vaaa</v>
      </c>
      <c r="X79" t="str">
        <f>IF(OR(Hoja4!H78="Empresa de embarque B",Hoja4!I78="Cheque",Hoja4!J78="cerveza"),"dale","vaaa")</f>
        <v>dale</v>
      </c>
      <c r="Z79" t="str">
        <f>IF(NOT(OR(Hoja4!I78="Cheque",Hoja4!J78="Cerveza")),"Aprobado","No Aprobado")</f>
        <v>No Aprobado</v>
      </c>
    </row>
    <row r="80" spans="19:26" x14ac:dyDescent="0.25">
      <c r="S80" s="2" t="b">
        <f>AND(Hoja4!$P79="abril",Hoja4!$O79="Jue.")</f>
        <v>0</v>
      </c>
      <c r="T80" t="str">
        <f>IF(AND(Hoja4!H79="Empresa de embarque B",Hoja4!I79="Cheque"),"dale","vaaa")</f>
        <v>vaaa</v>
      </c>
      <c r="V80" t="str">
        <f>IF(AND(Hoja4!H79="Empresa de embarque B",Hoja4!I79="Cheque",Hoja4!J79="Cerveza"),"dale","vaaa")</f>
        <v>vaaa</v>
      </c>
      <c r="X80" t="str">
        <f>IF(OR(Hoja4!H79="Empresa de embarque B",Hoja4!I79="Cheque",Hoja4!J79="cerveza"),"dale","vaaa")</f>
        <v>dale</v>
      </c>
      <c r="Z80" t="str">
        <f>IF(NOT(OR(Hoja4!I79="Cheque",Hoja4!J79="Cerveza")),"Aprobado","No Aprobado")</f>
        <v>Aprobado</v>
      </c>
    </row>
    <row r="81" spans="19:26" x14ac:dyDescent="0.25">
      <c r="S81" s="2" t="b">
        <f>AND(Hoja4!$P80="abril",Hoja4!$O80="Jue.")</f>
        <v>0</v>
      </c>
      <c r="T81" t="str">
        <f>IF(AND(Hoja4!H80="Empresa de embarque B",Hoja4!I80="Cheque"),"dale","vaaa")</f>
        <v>vaaa</v>
      </c>
      <c r="V81" t="str">
        <f>IF(AND(Hoja4!H80="Empresa de embarque B",Hoja4!I80="Cheque",Hoja4!J80="Cerveza"),"dale","vaaa")</f>
        <v>vaaa</v>
      </c>
      <c r="X81" t="str">
        <f>IF(OR(Hoja4!H80="Empresa de embarque B",Hoja4!I80="Cheque",Hoja4!J80="cerveza"),"dale","vaaa")</f>
        <v>dale</v>
      </c>
      <c r="Z81" t="str">
        <f>IF(NOT(OR(Hoja4!I80="Cheque",Hoja4!J80="Cerveza")),"Aprobado","No Aprobado")</f>
        <v>Aprobado</v>
      </c>
    </row>
    <row r="82" spans="19:26" x14ac:dyDescent="0.25">
      <c r="S82" s="2" t="b">
        <f>AND(Hoja4!$P81="abril",Hoja4!$O81="Jue.")</f>
        <v>0</v>
      </c>
      <c r="T82" t="str">
        <f>IF(AND(Hoja4!H81="Empresa de embarque B",Hoja4!I81="Cheque"),"dale","vaaa")</f>
        <v>vaaa</v>
      </c>
      <c r="V82" t="str">
        <f>IF(AND(Hoja4!H81="Empresa de embarque B",Hoja4!I81="Cheque",Hoja4!J81="Cerveza"),"dale","vaaa")</f>
        <v>vaaa</v>
      </c>
      <c r="X82" t="str">
        <f>IF(OR(Hoja4!H81="Empresa de embarque B",Hoja4!I81="Cheque",Hoja4!J81="cerveza"),"dale","vaaa")</f>
        <v>dale</v>
      </c>
      <c r="Z82" t="str">
        <f>IF(NOT(OR(Hoja4!I81="Cheque",Hoja4!J81="Cerveza")),"Aprobado","No Aprobado")</f>
        <v>No Aprobado</v>
      </c>
    </row>
    <row r="83" spans="19:26" x14ac:dyDescent="0.25">
      <c r="S83" s="2" t="b">
        <f>AND(Hoja4!$P82="abril",Hoja4!$O82="Jue.")</f>
        <v>0</v>
      </c>
      <c r="T83" t="str">
        <f>IF(AND(Hoja4!H82="Empresa de embarque B",Hoja4!I82="Cheque"),"dale","vaaa")</f>
        <v>vaaa</v>
      </c>
      <c r="V83" t="str">
        <f>IF(AND(Hoja4!H82="Empresa de embarque B",Hoja4!I82="Cheque",Hoja4!J82="Cerveza"),"dale","vaaa")</f>
        <v>vaaa</v>
      </c>
      <c r="X83" t="str">
        <f>IF(OR(Hoja4!H82="Empresa de embarque B",Hoja4!I82="Cheque",Hoja4!J82="cerveza"),"dale","vaaa")</f>
        <v>dale</v>
      </c>
      <c r="Z83" t="str">
        <f>IF(NOT(OR(Hoja4!I82="Cheque",Hoja4!J82="Cerveza")),"Aprobado","No Aprobado")</f>
        <v>No Aprobado</v>
      </c>
    </row>
    <row r="84" spans="19:26" x14ac:dyDescent="0.25">
      <c r="S84" s="2" t="b">
        <f>AND(Hoja4!$P83="abril",Hoja4!$O83="Jue.")</f>
        <v>0</v>
      </c>
      <c r="T84" t="str">
        <f>IF(AND(Hoja4!H83="Empresa de embarque B",Hoja4!I83="Cheque"),"dale","vaaa")</f>
        <v>vaaa</v>
      </c>
      <c r="V84" t="str">
        <f>IF(AND(Hoja4!H83="Empresa de embarque B",Hoja4!I83="Cheque",Hoja4!J83="Cerveza"),"dale","vaaa")</f>
        <v>vaaa</v>
      </c>
      <c r="X84" t="str">
        <f>IF(OR(Hoja4!H83="Empresa de embarque B",Hoja4!I83="Cheque",Hoja4!J83="cerveza"),"dale","vaaa")</f>
        <v>dale</v>
      </c>
      <c r="Z84" t="str">
        <f>IF(NOT(OR(Hoja4!I83="Cheque",Hoja4!J83="Cerveza")),"Aprobado","No Aprobado")</f>
        <v>Aprobado</v>
      </c>
    </row>
    <row r="85" spans="19:26" x14ac:dyDescent="0.25">
      <c r="S85" s="2" t="b">
        <f>AND(Hoja4!$P84="abril",Hoja4!$O84="Jue.")</f>
        <v>0</v>
      </c>
      <c r="T85" t="str">
        <f>IF(AND(Hoja4!H84="Empresa de embarque B",Hoja4!I84="Cheque"),"dale","vaaa")</f>
        <v>vaaa</v>
      </c>
      <c r="V85" t="str">
        <f>IF(AND(Hoja4!H84="Empresa de embarque B",Hoja4!I84="Cheque",Hoja4!J84="Cerveza"),"dale","vaaa")</f>
        <v>vaaa</v>
      </c>
      <c r="X85" t="str">
        <f>IF(OR(Hoja4!H84="Empresa de embarque B",Hoja4!I84="Cheque",Hoja4!J84="cerveza"),"dale","vaaa")</f>
        <v>vaaa</v>
      </c>
      <c r="Z85" t="str">
        <f>IF(NOT(OR(Hoja4!I84="Cheque",Hoja4!J84="Cerveza")),"Aprobado","No Aprobado")</f>
        <v>Aprobado</v>
      </c>
    </row>
    <row r="86" spans="19:26" x14ac:dyDescent="0.25">
      <c r="S86" s="2" t="b">
        <f>AND(Hoja4!$P85="abril",Hoja4!$O85="Jue.")</f>
        <v>0</v>
      </c>
      <c r="T86" t="str">
        <f>IF(AND(Hoja4!H85="Empresa de embarque B",Hoja4!I85="Cheque"),"dale","vaaa")</f>
        <v>vaaa</v>
      </c>
      <c r="V86" t="str">
        <f>IF(AND(Hoja4!H85="Empresa de embarque B",Hoja4!I85="Cheque",Hoja4!J85="Cerveza"),"dale","vaaa")</f>
        <v>vaaa</v>
      </c>
      <c r="X86" t="str">
        <f>IF(OR(Hoja4!H85="Empresa de embarque B",Hoja4!I85="Cheque",Hoja4!J85="cerveza"),"dale","vaaa")</f>
        <v>vaaa</v>
      </c>
      <c r="Z86" t="str">
        <f>IF(NOT(OR(Hoja4!I85="Cheque",Hoja4!J85="Cerveza")),"Aprobado","No Aprobado")</f>
        <v>Aprobado</v>
      </c>
    </row>
    <row r="87" spans="19:26" x14ac:dyDescent="0.25">
      <c r="S87" s="2" t="b">
        <f>AND(Hoja4!$P86="abril",Hoja4!$O86="Jue.")</f>
        <v>0</v>
      </c>
      <c r="T87" t="str">
        <f>IF(AND(Hoja4!H86="Empresa de embarque B",Hoja4!I86="Cheque"),"dale","vaaa")</f>
        <v>vaaa</v>
      </c>
      <c r="V87" t="str">
        <f>IF(AND(Hoja4!H86="Empresa de embarque B",Hoja4!I86="Cheque",Hoja4!J86="Cerveza"),"dale","vaaa")</f>
        <v>vaaa</v>
      </c>
      <c r="X87" t="str">
        <f>IF(OR(Hoja4!H86="Empresa de embarque B",Hoja4!I86="Cheque",Hoja4!J86="cerveza"),"dale","vaaa")</f>
        <v>vaaa</v>
      </c>
      <c r="Z87" t="str">
        <f>IF(NOT(OR(Hoja4!I86="Cheque",Hoja4!J86="Cerveza")),"Aprobado","No Aprobado")</f>
        <v>Aprobado</v>
      </c>
    </row>
    <row r="88" spans="19:26" x14ac:dyDescent="0.25">
      <c r="S88" s="2" t="b">
        <f>AND(Hoja4!$P87="abril",Hoja4!$O87="Jue.")</f>
        <v>0</v>
      </c>
      <c r="T88" t="str">
        <f>IF(AND(Hoja4!H87="Empresa de embarque B",Hoja4!I87="Cheque"),"dale","vaaa")</f>
        <v>vaaa</v>
      </c>
      <c r="V88" t="str">
        <f>IF(AND(Hoja4!H87="Empresa de embarque B",Hoja4!I87="Cheque",Hoja4!J87="Cerveza"),"dale","vaaa")</f>
        <v>vaaa</v>
      </c>
      <c r="X88" t="str">
        <f>IF(OR(Hoja4!H87="Empresa de embarque B",Hoja4!I87="Cheque",Hoja4!J87="cerveza"),"dale","vaaa")</f>
        <v>vaaa</v>
      </c>
      <c r="Z88" t="str">
        <f>IF(NOT(OR(Hoja4!I87="Cheque",Hoja4!J87="Cerveza")),"Aprobado","No Aprobado")</f>
        <v>Aprobado</v>
      </c>
    </row>
    <row r="89" spans="19:26" x14ac:dyDescent="0.25">
      <c r="S89" s="2" t="b">
        <f>AND(Hoja4!$P88="abril",Hoja4!$O88="Jue.")</f>
        <v>0</v>
      </c>
      <c r="T89" t="str">
        <f>IF(AND(Hoja4!H88="Empresa de embarque B",Hoja4!I88="Cheque"),"dale","vaaa")</f>
        <v>vaaa</v>
      </c>
      <c r="V89" t="str">
        <f>IF(AND(Hoja4!H88="Empresa de embarque B",Hoja4!I88="Cheque",Hoja4!J88="Cerveza"),"dale","vaaa")</f>
        <v>vaaa</v>
      </c>
      <c r="X89" t="str">
        <f>IF(OR(Hoja4!H88="Empresa de embarque B",Hoja4!I88="Cheque",Hoja4!J88="cerveza"),"dale","vaaa")</f>
        <v>vaaa</v>
      </c>
      <c r="Z89" t="str">
        <f>IF(NOT(OR(Hoja4!I88="Cheque",Hoja4!J88="Cerveza")),"Aprobado","No Aprobado")</f>
        <v>Aprobado</v>
      </c>
    </row>
    <row r="90" spans="19:26" x14ac:dyDescent="0.25">
      <c r="S90" s="2" t="b">
        <f>AND(Hoja4!$P89="abril",Hoja4!$O89="Jue.")</f>
        <v>0</v>
      </c>
      <c r="T90" t="str">
        <f>IF(AND(Hoja4!H89="Empresa de embarque B",Hoja4!I89="Cheque"),"dale","vaaa")</f>
        <v>vaaa</v>
      </c>
      <c r="V90" t="str">
        <f>IF(AND(Hoja4!H89="Empresa de embarque B",Hoja4!I89="Cheque",Hoja4!J89="Cerveza"),"dale","vaaa")</f>
        <v>vaaa</v>
      </c>
      <c r="X90" t="str">
        <f>IF(OR(Hoja4!H89="Empresa de embarque B",Hoja4!I89="Cheque",Hoja4!J89="cerveza"),"dale","vaaa")</f>
        <v>vaaa</v>
      </c>
      <c r="Z90" t="str">
        <f>IF(NOT(OR(Hoja4!I89="Cheque",Hoja4!J89="Cerveza")),"Aprobado","No Aprobado")</f>
        <v>Aprobado</v>
      </c>
    </row>
    <row r="91" spans="19:26" x14ac:dyDescent="0.25">
      <c r="S91" s="2" t="b">
        <f>AND(Hoja4!$P90="abril",Hoja4!$O90="Jue.")</f>
        <v>0</v>
      </c>
      <c r="T91" t="str">
        <f>IF(AND(Hoja4!H90="Empresa de embarque B",Hoja4!I90="Cheque"),"dale","vaaa")</f>
        <v>vaaa</v>
      </c>
      <c r="V91" t="str">
        <f>IF(AND(Hoja4!H90="Empresa de embarque B",Hoja4!I90="Cheque",Hoja4!J90="Cerveza"),"dale","vaaa")</f>
        <v>vaaa</v>
      </c>
      <c r="X91" t="str">
        <f>IF(OR(Hoja4!H90="Empresa de embarque B",Hoja4!I90="Cheque",Hoja4!J90="cerveza"),"dale","vaaa")</f>
        <v>vaaa</v>
      </c>
      <c r="Z91" t="str">
        <f>IF(NOT(OR(Hoja4!I90="Cheque",Hoja4!J90="Cerveza")),"Aprobado","No Aprobado")</f>
        <v>Aprobado</v>
      </c>
    </row>
    <row r="92" spans="19:26" x14ac:dyDescent="0.25">
      <c r="S92" s="2" t="b">
        <f>AND(Hoja4!$P91="abril",Hoja4!$O91="Jue.")</f>
        <v>0</v>
      </c>
      <c r="T92" t="str">
        <f>IF(AND(Hoja4!H91="Empresa de embarque B",Hoja4!I91="Cheque"),"dale","vaaa")</f>
        <v>dale</v>
      </c>
      <c r="V92" t="str">
        <f>IF(AND(Hoja4!H91="Empresa de embarque B",Hoja4!I91="Cheque",Hoja4!J91="Cerveza"),"dale","vaaa")</f>
        <v>vaaa</v>
      </c>
      <c r="X92" t="str">
        <f>IF(OR(Hoja4!H91="Empresa de embarque B",Hoja4!I91="Cheque",Hoja4!J91="cerveza"),"dale","vaaa")</f>
        <v>dale</v>
      </c>
      <c r="Z92" t="str">
        <f>IF(NOT(OR(Hoja4!I91="Cheque",Hoja4!J91="Cerveza")),"Aprobado","No Aprobado")</f>
        <v>No Aprobado</v>
      </c>
    </row>
    <row r="93" spans="19:26" x14ac:dyDescent="0.25">
      <c r="S93" s="2" t="b">
        <f>AND(Hoja4!$P92="abril",Hoja4!$O92="Jue.")</f>
        <v>0</v>
      </c>
      <c r="T93" t="str">
        <f>IF(AND(Hoja4!H92="Empresa de embarque B",Hoja4!I92="Cheque"),"dale","vaaa")</f>
        <v>vaaa</v>
      </c>
      <c r="V93" t="str">
        <f>IF(AND(Hoja4!H92="Empresa de embarque B",Hoja4!I92="Cheque",Hoja4!J92="Cerveza"),"dale","vaaa")</f>
        <v>vaaa</v>
      </c>
      <c r="X93" t="str">
        <f>IF(OR(Hoja4!H92="Empresa de embarque B",Hoja4!I92="Cheque",Hoja4!J92="cerveza"),"dale","vaaa")</f>
        <v>dale</v>
      </c>
      <c r="Z93" t="str">
        <f>IF(NOT(OR(Hoja4!I92="Cheque",Hoja4!J92="Cerveza")),"Aprobado","No Aprobado")</f>
        <v>Aprobado</v>
      </c>
    </row>
    <row r="94" spans="19:26" x14ac:dyDescent="0.25">
      <c r="S94" s="2" t="b">
        <f>AND(Hoja4!$P93="abril",Hoja4!$O93="Jue.")</f>
        <v>0</v>
      </c>
      <c r="T94" t="str">
        <f>IF(AND(Hoja4!H93="Empresa de embarque B",Hoja4!I93="Cheque"),"dale","vaaa")</f>
        <v>vaaa</v>
      </c>
      <c r="V94" t="str">
        <f>IF(AND(Hoja4!H93="Empresa de embarque B",Hoja4!I93="Cheque",Hoja4!J93="Cerveza"),"dale","vaaa")</f>
        <v>vaaa</v>
      </c>
      <c r="X94" t="str">
        <f>IF(OR(Hoja4!H93="Empresa de embarque B",Hoja4!I93="Cheque",Hoja4!J93="cerveza"),"dale","vaaa")</f>
        <v>dale</v>
      </c>
      <c r="Z94" t="str">
        <f>IF(NOT(OR(Hoja4!I93="Cheque",Hoja4!J93="Cerveza")),"Aprobado","No Aprobado")</f>
        <v>Aprobado</v>
      </c>
    </row>
    <row r="95" spans="19:26" x14ac:dyDescent="0.25">
      <c r="S95" s="2" t="b">
        <f>AND(Hoja4!$P94="abril",Hoja4!$O94="Jue.")</f>
        <v>0</v>
      </c>
      <c r="T95" t="str">
        <f>IF(AND(Hoja4!H94="Empresa de embarque B",Hoja4!I94="Cheque"),"dale","vaaa")</f>
        <v>vaaa</v>
      </c>
      <c r="V95" t="str">
        <f>IF(AND(Hoja4!H94="Empresa de embarque B",Hoja4!I94="Cheque",Hoja4!J94="Cerveza"),"dale","vaaa")</f>
        <v>vaaa</v>
      </c>
      <c r="X95" t="str">
        <f>IF(OR(Hoja4!H94="Empresa de embarque B",Hoja4!I94="Cheque",Hoja4!J94="cerveza"),"dale","vaaa")</f>
        <v>dale</v>
      </c>
      <c r="Z95" t="str">
        <f>IF(NOT(OR(Hoja4!I94="Cheque",Hoja4!J94="Cerveza")),"Aprobado","No Aprobado")</f>
        <v>No Aprobado</v>
      </c>
    </row>
    <row r="96" spans="19:26" x14ac:dyDescent="0.25">
      <c r="S96" s="2" t="b">
        <f>AND(Hoja4!$P95="abril",Hoja4!$O95="Jue.")</f>
        <v>0</v>
      </c>
      <c r="T96" t="str">
        <f>IF(AND(Hoja4!H95="Empresa de embarque B",Hoja4!I95="Cheque"),"dale","vaaa")</f>
        <v>vaaa</v>
      </c>
      <c r="V96" t="str">
        <f>IF(AND(Hoja4!H95="Empresa de embarque B",Hoja4!I95="Cheque",Hoja4!J95="Cerveza"),"dale","vaaa")</f>
        <v>vaaa</v>
      </c>
      <c r="X96" t="str">
        <f>IF(OR(Hoja4!H95="Empresa de embarque B",Hoja4!I95="Cheque",Hoja4!J95="cerveza"),"dale","vaaa")</f>
        <v>dale</v>
      </c>
      <c r="Z96" t="str">
        <f>IF(NOT(OR(Hoja4!I95="Cheque",Hoja4!J95="Cerveza")),"Aprobado","No Aprobado")</f>
        <v>No Aprobado</v>
      </c>
    </row>
    <row r="97" spans="19:26" x14ac:dyDescent="0.25">
      <c r="S97" s="2" t="b">
        <f>AND(Hoja4!$P96="abril",Hoja4!$O96="Jue.")</f>
        <v>1</v>
      </c>
      <c r="T97" t="str">
        <f>IF(AND(Hoja4!H96="Empresa de embarque B",Hoja4!I96="Cheque"),"dale","vaaa")</f>
        <v>vaaa</v>
      </c>
      <c r="V97" t="str">
        <f>IF(AND(Hoja4!H96="Empresa de embarque B",Hoja4!I96="Cheque",Hoja4!J96="Cerveza"),"dale","vaaa")</f>
        <v>vaaa</v>
      </c>
      <c r="X97" t="str">
        <f>IF(OR(Hoja4!H96="Empresa de embarque B",Hoja4!I96="Cheque",Hoja4!J96="cerveza"),"dale","vaaa")</f>
        <v>dale</v>
      </c>
      <c r="Z97" t="str">
        <f>IF(NOT(OR(Hoja4!I96="Cheque",Hoja4!J96="Cerveza")),"Aprobado","No Aprobado")</f>
        <v>Aprobado</v>
      </c>
    </row>
    <row r="98" spans="19:26" x14ac:dyDescent="0.25">
      <c r="S98" s="2" t="b">
        <f>AND(Hoja4!$P97="abril",Hoja4!$O97="Jue.")</f>
        <v>1</v>
      </c>
      <c r="T98" t="str">
        <f>IF(AND(Hoja4!H97="Empresa de embarque B",Hoja4!I97="Cheque"),"dale","vaaa")</f>
        <v>vaaa</v>
      </c>
      <c r="V98" t="str">
        <f>IF(AND(Hoja4!H97="Empresa de embarque B",Hoja4!I97="Cheque",Hoja4!J97="Cerveza"),"dale","vaaa")</f>
        <v>vaaa</v>
      </c>
      <c r="X98" t="str">
        <f>IF(OR(Hoja4!H97="Empresa de embarque B",Hoja4!I97="Cheque",Hoja4!J97="cerveza"),"dale","vaaa")</f>
        <v>vaaa</v>
      </c>
      <c r="Z98" t="str">
        <f>IF(NOT(OR(Hoja4!I97="Cheque",Hoja4!J97="Cerveza")),"Aprobado","No Aprobado")</f>
        <v>Aprobado</v>
      </c>
    </row>
    <row r="99" spans="19:26" x14ac:dyDescent="0.25">
      <c r="S99" s="2" t="b">
        <f>AND(Hoja4!$P98="abril",Hoja4!$O98="Jue.")</f>
        <v>0</v>
      </c>
      <c r="T99" t="str">
        <f>IF(AND(Hoja4!H98="Empresa de embarque B",Hoja4!I98="Cheque"),"dale","vaaa")</f>
        <v>vaaa</v>
      </c>
      <c r="V99" t="str">
        <f>IF(AND(Hoja4!H98="Empresa de embarque B",Hoja4!I98="Cheque",Hoja4!J98="Cerveza"),"dale","vaaa")</f>
        <v>vaaa</v>
      </c>
      <c r="X99" t="str">
        <f>IF(OR(Hoja4!H98="Empresa de embarque B",Hoja4!I98="Cheque",Hoja4!J98="cerveza"),"dale","vaaa")</f>
        <v>vaaa</v>
      </c>
      <c r="Z99" t="str">
        <f>IF(NOT(OR(Hoja4!I98="Cheque",Hoja4!J98="Cerveza")),"Aprobado","No Aprobado")</f>
        <v>Aprobado</v>
      </c>
    </row>
    <row r="100" spans="19:26" x14ac:dyDescent="0.25">
      <c r="S100" s="2" t="b">
        <f>AND(Hoja4!$P99="abril",Hoja4!$O99="Jue.")</f>
        <v>0</v>
      </c>
      <c r="T100" t="str">
        <f>IF(AND(Hoja4!H99="Empresa de embarque B",Hoja4!I99="Cheque"),"dale","vaaa")</f>
        <v>vaaa</v>
      </c>
      <c r="V100" t="str">
        <f>IF(AND(Hoja4!H99="Empresa de embarque B",Hoja4!I99="Cheque",Hoja4!J99="Cerveza"),"dale","vaaa")</f>
        <v>vaaa</v>
      </c>
      <c r="X100" t="str">
        <f>IF(OR(Hoja4!H99="Empresa de embarque B",Hoja4!I99="Cheque",Hoja4!J99="cerveza"),"dale","vaaa")</f>
        <v>vaaa</v>
      </c>
      <c r="Z100" t="str">
        <f>IF(NOT(OR(Hoja4!I99="Cheque",Hoja4!J99="Cerveza")),"Aprobado","No Aprobado")</f>
        <v>Aprobado</v>
      </c>
    </row>
    <row r="101" spans="19:26" x14ac:dyDescent="0.25">
      <c r="S101" s="2" t="b">
        <f>AND(Hoja4!$P100="abril",Hoja4!$O100="Jue.")</f>
        <v>0</v>
      </c>
      <c r="T101" t="str">
        <f>IF(AND(Hoja4!H100="Empresa de embarque B",Hoja4!I100="Cheque"),"dale","vaaa")</f>
        <v>vaaa</v>
      </c>
      <c r="V101" t="str">
        <f>IF(AND(Hoja4!H100="Empresa de embarque B",Hoja4!I100="Cheque",Hoja4!J100="Cerveza"),"dale","vaaa")</f>
        <v>vaaa</v>
      </c>
      <c r="X101" t="str">
        <f>IF(OR(Hoja4!H100="Empresa de embarque B",Hoja4!I100="Cheque",Hoja4!J100="cerveza"),"dale","vaaa")</f>
        <v>vaaa</v>
      </c>
      <c r="Z101" t="str">
        <f>IF(NOT(OR(Hoja4!I100="Cheque",Hoja4!J100="Cerveza")),"Aprobado","No Aprobado")</f>
        <v>Aprobado</v>
      </c>
    </row>
    <row r="102" spans="19:26" x14ac:dyDescent="0.25">
      <c r="S102" s="2" t="b">
        <f>AND(Hoja4!$P101="abril",Hoja4!$O101="Jue.")</f>
        <v>0</v>
      </c>
      <c r="T102" t="str">
        <f>IF(AND(Hoja4!H101="Empresa de embarque B",Hoja4!I101="Cheque"),"dale","vaaa")</f>
        <v>vaaa</v>
      </c>
      <c r="V102" t="str">
        <f>IF(AND(Hoja4!H101="Empresa de embarque B",Hoja4!I101="Cheque",Hoja4!J101="Cerveza"),"dale","vaaa")</f>
        <v>vaaa</v>
      </c>
      <c r="X102" t="str">
        <f>IF(OR(Hoja4!H101="Empresa de embarque B",Hoja4!I101="Cheque",Hoja4!J101="cerveza"),"dale","vaaa")</f>
        <v>vaaa</v>
      </c>
      <c r="Z102" t="str">
        <f>IF(NOT(OR(Hoja4!I101="Cheque",Hoja4!J101="Cerveza")),"Aprobado","No Aprobado")</f>
        <v>Aprobado</v>
      </c>
    </row>
    <row r="103" spans="19:26" x14ac:dyDescent="0.25">
      <c r="S103" s="2" t="b">
        <f>AND(Hoja4!$P102="abril",Hoja4!$O102="Jue.")</f>
        <v>0</v>
      </c>
      <c r="T103" t="str">
        <f>IF(AND(Hoja4!H102="Empresa de embarque B",Hoja4!I102="Cheque"),"dale","vaaa")</f>
        <v>vaaa</v>
      </c>
      <c r="V103" t="str">
        <f>IF(AND(Hoja4!H102="Empresa de embarque B",Hoja4!I102="Cheque",Hoja4!J102="Cerveza"),"dale","vaaa")</f>
        <v>vaaa</v>
      </c>
      <c r="X103" t="str">
        <f>IF(OR(Hoja4!H102="Empresa de embarque B",Hoja4!I102="Cheque",Hoja4!J102="cerveza"),"dale","vaaa")</f>
        <v>vaaa</v>
      </c>
      <c r="Z103" t="str">
        <f>IF(NOT(OR(Hoja4!I102="Cheque",Hoja4!J102="Cerveza")),"Aprobado","No Aprobado")</f>
        <v>Aprobado</v>
      </c>
    </row>
    <row r="104" spans="19:26" x14ac:dyDescent="0.25">
      <c r="S104" s="2" t="b">
        <f>AND(Hoja4!$P103="abril",Hoja4!$O103="Jue.")</f>
        <v>0</v>
      </c>
      <c r="T104" t="str">
        <f>IF(AND(Hoja4!H103="Empresa de embarque B",Hoja4!I103="Cheque"),"dale","vaaa")</f>
        <v>vaaa</v>
      </c>
      <c r="V104" t="str">
        <f>IF(AND(Hoja4!H103="Empresa de embarque B",Hoja4!I103="Cheque",Hoja4!J103="Cerveza"),"dale","vaaa")</f>
        <v>vaaa</v>
      </c>
      <c r="X104" t="str">
        <f>IF(OR(Hoja4!H103="Empresa de embarque B",Hoja4!I103="Cheque",Hoja4!J103="cerveza"),"dale","vaaa")</f>
        <v>vaaa</v>
      </c>
      <c r="Z104" t="str">
        <f>IF(NOT(OR(Hoja4!I103="Cheque",Hoja4!J103="Cerveza")),"Aprobado","No Aprobado")</f>
        <v>Aprobado</v>
      </c>
    </row>
    <row r="105" spans="19:26" x14ac:dyDescent="0.25">
      <c r="S105" s="2" t="b">
        <f>AND(Hoja4!$P104="abril",Hoja4!$O104="Jue.")</f>
        <v>0</v>
      </c>
      <c r="T105" t="str">
        <f>IF(AND(Hoja4!H104="Empresa de embarque B",Hoja4!I104="Cheque"),"dale","vaaa")</f>
        <v>vaaa</v>
      </c>
      <c r="V105" t="str">
        <f>IF(AND(Hoja4!H104="Empresa de embarque B",Hoja4!I104="Cheque",Hoja4!J104="Cerveza"),"dale","vaaa")</f>
        <v>vaaa</v>
      </c>
      <c r="X105" t="str">
        <f>IF(OR(Hoja4!H104="Empresa de embarque B",Hoja4!I104="Cheque",Hoja4!J104="cerveza"),"dale","vaaa")</f>
        <v>vaaa</v>
      </c>
      <c r="Z105" t="str">
        <f>IF(NOT(OR(Hoja4!I104="Cheque",Hoja4!J104="Cerveza")),"Aprobado","No Aprobado")</f>
        <v>Aprobado</v>
      </c>
    </row>
    <row r="106" spans="19:26" x14ac:dyDescent="0.25">
      <c r="S106" s="2" t="b">
        <f>AND(Hoja4!$P105="abril",Hoja4!$O105="Jue.")</f>
        <v>0</v>
      </c>
      <c r="T106" t="str">
        <f>IF(AND(Hoja4!H105="Empresa de embarque B",Hoja4!I105="Cheque"),"dale","vaaa")</f>
        <v>vaaa</v>
      </c>
      <c r="V106" t="str">
        <f>IF(AND(Hoja4!H105="Empresa de embarque B",Hoja4!I105="Cheque",Hoja4!J105="Cerveza"),"dale","vaaa")</f>
        <v>vaaa</v>
      </c>
      <c r="X106" t="str">
        <f>IF(OR(Hoja4!H105="Empresa de embarque B",Hoja4!I105="Cheque",Hoja4!J105="cerveza"),"dale","vaaa")</f>
        <v>vaaa</v>
      </c>
      <c r="Z106" t="str">
        <f>IF(NOT(OR(Hoja4!I105="Cheque",Hoja4!J105="Cerveza")),"Aprobado","No Aprobado")</f>
        <v>Aprobado</v>
      </c>
    </row>
    <row r="107" spans="19:26" x14ac:dyDescent="0.25">
      <c r="S107" s="2" t="b">
        <f>AND(Hoja4!$P106="abril",Hoja4!$O106="Jue.")</f>
        <v>0</v>
      </c>
      <c r="T107" t="str">
        <f>IF(AND(Hoja4!H106="Empresa de embarque B",Hoja4!I106="Cheque"),"dale","vaaa")</f>
        <v>vaaa</v>
      </c>
      <c r="V107" t="str">
        <f>IF(AND(Hoja4!H106="Empresa de embarque B",Hoja4!I106="Cheque",Hoja4!J106="Cerveza"),"dale","vaaa")</f>
        <v>vaaa</v>
      </c>
      <c r="X107" t="str">
        <f>IF(OR(Hoja4!H106="Empresa de embarque B",Hoja4!I106="Cheque",Hoja4!J106="cerveza"),"dale","vaaa")</f>
        <v>vaaa</v>
      </c>
      <c r="Z107" t="str">
        <f>IF(NOT(OR(Hoja4!I106="Cheque",Hoja4!J106="Cerveza")),"Aprobado","No Aprobado")</f>
        <v>Aprobado</v>
      </c>
    </row>
    <row r="108" spans="19:26" x14ac:dyDescent="0.25">
      <c r="S108" s="2" t="b">
        <f>AND(Hoja4!$P107="abril",Hoja4!$O107="Jue.")</f>
        <v>0</v>
      </c>
      <c r="T108" t="str">
        <f>IF(AND(Hoja4!H107="Empresa de embarque B",Hoja4!I107="Cheque"),"dale","vaaa")</f>
        <v>vaaa</v>
      </c>
      <c r="V108" t="str">
        <f>IF(AND(Hoja4!H107="Empresa de embarque B",Hoja4!I107="Cheque",Hoja4!J107="Cerveza"),"dale","vaaa")</f>
        <v>vaaa</v>
      </c>
      <c r="X108" t="str">
        <f>IF(OR(Hoja4!H107="Empresa de embarque B",Hoja4!I107="Cheque",Hoja4!J107="cerveza"),"dale","vaaa")</f>
        <v>vaaa</v>
      </c>
      <c r="Z108" t="str">
        <f>IF(NOT(OR(Hoja4!I107="Cheque",Hoja4!J107="Cerveza")),"Aprobado","No Aprobado")</f>
        <v>Aprobado</v>
      </c>
    </row>
    <row r="109" spans="19:26" x14ac:dyDescent="0.25">
      <c r="S109" s="2" t="b">
        <f>AND(Hoja4!$P108="abril",Hoja4!$O108="Jue.")</f>
        <v>0</v>
      </c>
      <c r="T109" t="str">
        <f>IF(AND(Hoja4!H108="Empresa de embarque B",Hoja4!I108="Cheque"),"dale","vaaa")</f>
        <v>vaaa</v>
      </c>
      <c r="V109" t="str">
        <f>IF(AND(Hoja4!H108="Empresa de embarque B",Hoja4!I108="Cheque",Hoja4!J108="Cerveza"),"dale","vaaa")</f>
        <v>vaaa</v>
      </c>
      <c r="X109" t="str">
        <f>IF(OR(Hoja4!H108="Empresa de embarque B",Hoja4!I108="Cheque",Hoja4!J108="cerveza"),"dale","vaaa")</f>
        <v>dale</v>
      </c>
      <c r="Z109" t="str">
        <f>IF(NOT(OR(Hoja4!I108="Cheque",Hoja4!J108="Cerveza")),"Aprobado","No Aprobado")</f>
        <v>No Aprobado</v>
      </c>
    </row>
    <row r="110" spans="19:26" x14ac:dyDescent="0.25">
      <c r="S110" s="2" t="b">
        <f>AND(Hoja4!$P109="abril",Hoja4!$O109="Jue.")</f>
        <v>0</v>
      </c>
      <c r="T110" t="str">
        <f>IF(AND(Hoja4!H109="Empresa de embarque B",Hoja4!I109="Cheque"),"dale","vaaa")</f>
        <v>vaaa</v>
      </c>
      <c r="V110" t="str">
        <f>IF(AND(Hoja4!H109="Empresa de embarque B",Hoja4!I109="Cheque",Hoja4!J109="Cerveza"),"dale","vaaa")</f>
        <v>vaaa</v>
      </c>
      <c r="X110" t="str">
        <f>IF(OR(Hoja4!H109="Empresa de embarque B",Hoja4!I109="Cheque",Hoja4!J109="cerveza"),"dale","vaaa")</f>
        <v>dale</v>
      </c>
      <c r="Z110" t="str">
        <f>IF(NOT(OR(Hoja4!I109="Cheque",Hoja4!J109="Cerveza")),"Aprobado","No Aprobado")</f>
        <v>No Aprobado</v>
      </c>
    </row>
    <row r="111" spans="19:26" x14ac:dyDescent="0.25">
      <c r="S111" s="2" t="b">
        <f>AND(Hoja4!$P110="abril",Hoja4!$O110="Jue.")</f>
        <v>0</v>
      </c>
      <c r="T111" t="str">
        <f>IF(AND(Hoja4!H110="Empresa de embarque B",Hoja4!I110="Cheque"),"dale","vaaa")</f>
        <v>vaaa</v>
      </c>
      <c r="V111" t="str">
        <f>IF(AND(Hoja4!H110="Empresa de embarque B",Hoja4!I110="Cheque",Hoja4!J110="Cerveza"),"dale","vaaa")</f>
        <v>vaaa</v>
      </c>
      <c r="X111" t="str">
        <f>IF(OR(Hoja4!H110="Empresa de embarque B",Hoja4!I110="Cheque",Hoja4!J110="cerveza"),"dale","vaaa")</f>
        <v>dale</v>
      </c>
      <c r="Z111" t="str">
        <f>IF(NOT(OR(Hoja4!I110="Cheque",Hoja4!J110="Cerveza")),"Aprobado","No Aprobado")</f>
        <v>No Aprobado</v>
      </c>
    </row>
    <row r="112" spans="19:26" x14ac:dyDescent="0.25">
      <c r="S112" s="2" t="b">
        <f>AND(Hoja4!$P111="abril",Hoja4!$O111="Jue.")</f>
        <v>0</v>
      </c>
      <c r="T112" t="str">
        <f>IF(AND(Hoja4!H111="Empresa de embarque B",Hoja4!I111="Cheque"),"dale","vaaa")</f>
        <v>dale</v>
      </c>
      <c r="V112" t="str">
        <f>IF(AND(Hoja4!H111="Empresa de embarque B",Hoja4!I111="Cheque",Hoja4!J111="Cerveza"),"dale","vaaa")</f>
        <v>vaaa</v>
      </c>
      <c r="X112" t="str">
        <f>IF(OR(Hoja4!H111="Empresa de embarque B",Hoja4!I111="Cheque",Hoja4!J111="cerveza"),"dale","vaaa")</f>
        <v>dale</v>
      </c>
      <c r="Z112" t="str">
        <f>IF(NOT(OR(Hoja4!I111="Cheque",Hoja4!J111="Cerveza")),"Aprobado","No Aprobado")</f>
        <v>No Aprobado</v>
      </c>
    </row>
    <row r="113" spans="19:26" x14ac:dyDescent="0.25">
      <c r="S113" s="2" t="b">
        <f>AND(Hoja4!$P112="abril",Hoja4!$O112="Jue.")</f>
        <v>0</v>
      </c>
      <c r="T113" t="str">
        <f>IF(AND(Hoja4!H112="Empresa de embarque B",Hoja4!I112="Cheque"),"dale","vaaa")</f>
        <v>dale</v>
      </c>
      <c r="V113" t="str">
        <f>IF(AND(Hoja4!H112="Empresa de embarque B",Hoja4!I112="Cheque",Hoja4!J112="Cerveza"),"dale","vaaa")</f>
        <v>vaaa</v>
      </c>
      <c r="X113" t="str">
        <f>IF(OR(Hoja4!H112="Empresa de embarque B",Hoja4!I112="Cheque",Hoja4!J112="cerveza"),"dale","vaaa")</f>
        <v>dale</v>
      </c>
      <c r="Z113" t="str">
        <f>IF(NOT(OR(Hoja4!I112="Cheque",Hoja4!J112="Cerveza")),"Aprobado","No Aprobado")</f>
        <v>No Aprobado</v>
      </c>
    </row>
    <row r="114" spans="19:26" x14ac:dyDescent="0.25">
      <c r="S114" s="2" t="b">
        <f>AND(Hoja4!$P113="abril",Hoja4!$O113="Jue.")</f>
        <v>0</v>
      </c>
      <c r="T114" t="str">
        <f>IF(AND(Hoja4!H113="Empresa de embarque B",Hoja4!I113="Cheque"),"dale","vaaa")</f>
        <v>vaaa</v>
      </c>
      <c r="V114" t="str">
        <f>IF(AND(Hoja4!H113="Empresa de embarque B",Hoja4!I113="Cheque",Hoja4!J113="Cerveza"),"dale","vaaa")</f>
        <v>vaaa</v>
      </c>
      <c r="X114" t="str">
        <f>IF(OR(Hoja4!H113="Empresa de embarque B",Hoja4!I113="Cheque",Hoja4!J113="cerveza"),"dale","vaaa")</f>
        <v>vaaa</v>
      </c>
      <c r="Z114" t="str">
        <f>IF(NOT(OR(Hoja4!I113="Cheque",Hoja4!J113="Cerveza")),"Aprobado","No Aprobado")</f>
        <v>Aprobado</v>
      </c>
    </row>
    <row r="115" spans="19:26" x14ac:dyDescent="0.25">
      <c r="S115" s="2" t="b">
        <f>AND(Hoja4!$P114="abril",Hoja4!$O114="Jue.")</f>
        <v>0</v>
      </c>
      <c r="T115" t="str">
        <f>IF(AND(Hoja4!H114="Empresa de embarque B",Hoja4!I114="Cheque"),"dale","vaaa")</f>
        <v>vaaa</v>
      </c>
      <c r="V115" t="str">
        <f>IF(AND(Hoja4!H114="Empresa de embarque B",Hoja4!I114="Cheque",Hoja4!J114="Cerveza"),"dale","vaaa")</f>
        <v>vaaa</v>
      </c>
      <c r="X115" t="str">
        <f>IF(OR(Hoja4!H114="Empresa de embarque B",Hoja4!I114="Cheque",Hoja4!J114="cerveza"),"dale","vaaa")</f>
        <v>vaaa</v>
      </c>
      <c r="Z115" t="str">
        <f>IF(NOT(OR(Hoja4!I114="Cheque",Hoja4!J114="Cerveza")),"Aprobado","No Aprobado")</f>
        <v>Aprobado</v>
      </c>
    </row>
    <row r="116" spans="19:26" x14ac:dyDescent="0.25">
      <c r="S116" s="2" t="b">
        <f>AND(Hoja4!$P115="abril",Hoja4!$O115="Jue.")</f>
        <v>0</v>
      </c>
      <c r="T116" t="str">
        <f>IF(AND(Hoja4!H115="Empresa de embarque B",Hoja4!I115="Cheque"),"dale","vaaa")</f>
        <v>vaaa</v>
      </c>
      <c r="V116" t="str">
        <f>IF(AND(Hoja4!H115="Empresa de embarque B",Hoja4!I115="Cheque",Hoja4!J115="Cerveza"),"dale","vaaa")</f>
        <v>vaaa</v>
      </c>
      <c r="X116" t="str">
        <f>IF(OR(Hoja4!H115="Empresa de embarque B",Hoja4!I115="Cheque",Hoja4!J115="cerveza"),"dale","vaaa")</f>
        <v>vaaa</v>
      </c>
      <c r="Z116" t="str">
        <f>IF(NOT(OR(Hoja4!I115="Cheque",Hoja4!J115="Cerveza")),"Aprobado","No Aprobado")</f>
        <v>Aprobado</v>
      </c>
    </row>
    <row r="117" spans="19:26" x14ac:dyDescent="0.25">
      <c r="S117" s="2" t="b">
        <f>AND(Hoja4!$P116="abril",Hoja4!$O116="Jue.")</f>
        <v>0</v>
      </c>
      <c r="T117" t="str">
        <f>IF(AND(Hoja4!H116="Empresa de embarque B",Hoja4!I116="Cheque"),"dale","vaaa")</f>
        <v>vaaa</v>
      </c>
      <c r="V117" t="str">
        <f>IF(AND(Hoja4!H116="Empresa de embarque B",Hoja4!I116="Cheque",Hoja4!J116="Cerveza"),"dale","vaaa")</f>
        <v>vaaa</v>
      </c>
      <c r="X117" t="str">
        <f>IF(OR(Hoja4!H116="Empresa de embarque B",Hoja4!I116="Cheque",Hoja4!J116="cerveza"),"dale","vaaa")</f>
        <v>vaaa</v>
      </c>
      <c r="Z117" t="str">
        <f>IF(NOT(OR(Hoja4!I116="Cheque",Hoja4!J116="Cerveza")),"Aprobado","No Aprobado")</f>
        <v>Aprobado</v>
      </c>
    </row>
    <row r="118" spans="19:26" x14ac:dyDescent="0.25">
      <c r="S118" s="2" t="b">
        <f>AND(Hoja4!$P117="abril",Hoja4!$O117="Jue.")</f>
        <v>0</v>
      </c>
      <c r="T118" t="str">
        <f>IF(AND(Hoja4!H117="Empresa de embarque B",Hoja4!I117="Cheque"),"dale","vaaa")</f>
        <v>dale</v>
      </c>
      <c r="V118" t="str">
        <f>IF(AND(Hoja4!H117="Empresa de embarque B",Hoja4!I117="Cheque",Hoja4!J117="Cerveza"),"dale","vaaa")</f>
        <v>dale</v>
      </c>
      <c r="X118" t="str">
        <f>IF(OR(Hoja4!H117="Empresa de embarque B",Hoja4!I117="Cheque",Hoja4!J117="cerveza"),"dale","vaaa")</f>
        <v>dale</v>
      </c>
      <c r="Z118" t="str">
        <f>IF(NOT(OR(Hoja4!I117="Cheque",Hoja4!J117="Cerveza")),"Aprobado","No Aprobado")</f>
        <v>No Aprobado</v>
      </c>
    </row>
    <row r="119" spans="19:26" x14ac:dyDescent="0.25">
      <c r="S119" s="2" t="b">
        <f>AND(Hoja4!$P118="abril",Hoja4!$O118="Jue.")</f>
        <v>0</v>
      </c>
      <c r="T119" t="str">
        <f>IF(AND(Hoja4!H118="Empresa de embarque B",Hoja4!I118="Cheque"),"dale","vaaa")</f>
        <v>vaaa</v>
      </c>
      <c r="V119" t="str">
        <f>IF(AND(Hoja4!H118="Empresa de embarque B",Hoja4!I118="Cheque",Hoja4!J118="Cerveza"),"dale","vaaa")</f>
        <v>vaaa</v>
      </c>
      <c r="X119" t="str">
        <f>IF(OR(Hoja4!H118="Empresa de embarque B",Hoja4!I118="Cheque",Hoja4!J118="cerveza"),"dale","vaaa")</f>
        <v>dale</v>
      </c>
      <c r="Z119" t="str">
        <f>IF(NOT(OR(Hoja4!I118="Cheque",Hoja4!J118="Cerveza")),"Aprobado","No Aprobado")</f>
        <v>No Aprobado</v>
      </c>
    </row>
    <row r="120" spans="19:26" x14ac:dyDescent="0.25">
      <c r="S120" s="2" t="b">
        <f>AND(Hoja4!$P119="abril",Hoja4!$O119="Jue.")</f>
        <v>0</v>
      </c>
      <c r="T120" t="str">
        <f>IF(AND(Hoja4!H119="Empresa de embarque B",Hoja4!I119="Cheque"),"dale","vaaa")</f>
        <v>vaaa</v>
      </c>
      <c r="V120" t="str">
        <f>IF(AND(Hoja4!H119="Empresa de embarque B",Hoja4!I119="Cheque",Hoja4!J119="Cerveza"),"dale","vaaa")</f>
        <v>vaaa</v>
      </c>
      <c r="X120" t="str">
        <f>IF(OR(Hoja4!H119="Empresa de embarque B",Hoja4!I119="Cheque",Hoja4!J119="cerveza"),"dale","vaaa")</f>
        <v>vaaa</v>
      </c>
      <c r="Z120" t="str">
        <f>IF(NOT(OR(Hoja4!I119="Cheque",Hoja4!J119="Cerveza")),"Aprobado","No Aprobado")</f>
        <v>Aprobado</v>
      </c>
    </row>
    <row r="121" spans="19:26" x14ac:dyDescent="0.25">
      <c r="S121" s="2" t="b">
        <f>AND(Hoja4!$P120="abril",Hoja4!$O120="Jue.")</f>
        <v>0</v>
      </c>
      <c r="T121" t="str">
        <f>IF(AND(Hoja4!H120="Empresa de embarque B",Hoja4!I120="Cheque"),"dale","vaaa")</f>
        <v>vaaa</v>
      </c>
      <c r="V121" t="str">
        <f>IF(AND(Hoja4!H120="Empresa de embarque B",Hoja4!I120="Cheque",Hoja4!J120="Cerveza"),"dale","vaaa")</f>
        <v>vaaa</v>
      </c>
      <c r="X121" t="str">
        <f>IF(OR(Hoja4!H120="Empresa de embarque B",Hoja4!I120="Cheque",Hoja4!J120="cerveza"),"dale","vaaa")</f>
        <v>vaaa</v>
      </c>
      <c r="Z121" t="str">
        <f>IF(NOT(OR(Hoja4!I120="Cheque",Hoja4!J120="Cerveza")),"Aprobado","No Aprobado")</f>
        <v>Aprobado</v>
      </c>
    </row>
    <row r="122" spans="19:26" x14ac:dyDescent="0.25">
      <c r="S122" s="2" t="b">
        <f>AND(Hoja4!$P121="abril",Hoja4!$O121="Jue.")</f>
        <v>0</v>
      </c>
      <c r="T122" t="str">
        <f>IF(AND(Hoja4!H121="Empresa de embarque B",Hoja4!I121="Cheque"),"dale","vaaa")</f>
        <v>vaaa</v>
      </c>
      <c r="V122" t="str">
        <f>IF(AND(Hoja4!H121="Empresa de embarque B",Hoja4!I121="Cheque",Hoja4!J121="Cerveza"),"dale","vaaa")</f>
        <v>vaaa</v>
      </c>
      <c r="X122" t="str">
        <f>IF(OR(Hoja4!H121="Empresa de embarque B",Hoja4!I121="Cheque",Hoja4!J121="cerveza"),"dale","vaaa")</f>
        <v>vaaa</v>
      </c>
      <c r="Z122" t="str">
        <f>IF(NOT(OR(Hoja4!I121="Cheque",Hoja4!J121="Cerveza")),"Aprobado","No Aprobado")</f>
        <v>Aprobado</v>
      </c>
    </row>
    <row r="123" spans="19:26" x14ac:dyDescent="0.25">
      <c r="S123" s="2" t="b">
        <f>AND(Hoja4!$P122="abril",Hoja4!$O122="Jue.")</f>
        <v>0</v>
      </c>
      <c r="T123" t="str">
        <f>IF(AND(Hoja4!H122="Empresa de embarque B",Hoja4!I122="Cheque"),"dale","vaaa")</f>
        <v>vaaa</v>
      </c>
      <c r="V123" t="str">
        <f>IF(AND(Hoja4!H122="Empresa de embarque B",Hoja4!I122="Cheque",Hoja4!J122="Cerveza"),"dale","vaaa")</f>
        <v>vaaa</v>
      </c>
      <c r="X123" t="str">
        <f>IF(OR(Hoja4!H122="Empresa de embarque B",Hoja4!I122="Cheque",Hoja4!J122="cerveza"),"dale","vaaa")</f>
        <v>dale</v>
      </c>
      <c r="Z123" t="str">
        <f>IF(NOT(OR(Hoja4!I122="Cheque",Hoja4!J122="Cerveza")),"Aprobado","No Aprobado")</f>
        <v>Aprobado</v>
      </c>
    </row>
    <row r="124" spans="19:26" x14ac:dyDescent="0.25">
      <c r="S124" s="2" t="b">
        <f>AND(Hoja4!$P123="abril",Hoja4!$O123="Jue.")</f>
        <v>0</v>
      </c>
      <c r="T124" t="str">
        <f>IF(AND(Hoja4!H123="Empresa de embarque B",Hoja4!I123="Cheque"),"dale","vaaa")</f>
        <v>vaaa</v>
      </c>
      <c r="V124" t="str">
        <f>IF(AND(Hoja4!H123="Empresa de embarque B",Hoja4!I123="Cheque",Hoja4!J123="Cerveza"),"dale","vaaa")</f>
        <v>vaaa</v>
      </c>
      <c r="X124" t="str">
        <f>IF(OR(Hoja4!H123="Empresa de embarque B",Hoja4!I123="Cheque",Hoja4!J123="cerveza"),"dale","vaaa")</f>
        <v>dale</v>
      </c>
      <c r="Z124" t="str">
        <f>IF(NOT(OR(Hoja4!I123="Cheque",Hoja4!J123="Cerveza")),"Aprobado","No Aprobado")</f>
        <v>Aprobado</v>
      </c>
    </row>
    <row r="125" spans="19:26" x14ac:dyDescent="0.25">
      <c r="S125" s="2" t="b">
        <f>AND(Hoja4!$P124="abril",Hoja4!$O124="Jue.")</f>
        <v>0</v>
      </c>
      <c r="T125" t="str">
        <f>IF(AND(Hoja4!H124="Empresa de embarque B",Hoja4!I124="Cheque"),"dale","vaaa")</f>
        <v>vaaa</v>
      </c>
      <c r="V125" t="str">
        <f>IF(AND(Hoja4!H124="Empresa de embarque B",Hoja4!I124="Cheque",Hoja4!J124="Cerveza"),"dale","vaaa")</f>
        <v>vaaa</v>
      </c>
      <c r="X125" t="str">
        <f>IF(OR(Hoja4!H124="Empresa de embarque B",Hoja4!I124="Cheque",Hoja4!J124="cerveza"),"dale","vaaa")</f>
        <v>vaaa</v>
      </c>
      <c r="Z125" t="str">
        <f>IF(NOT(OR(Hoja4!I124="Cheque",Hoja4!J124="Cerveza")),"Aprobado","No Aprobado")</f>
        <v>Aprobado</v>
      </c>
    </row>
    <row r="126" spans="19:26" x14ac:dyDescent="0.25">
      <c r="S126" s="2" t="b">
        <f>AND(Hoja4!$P125="abril",Hoja4!$O125="Jue.")</f>
        <v>0</v>
      </c>
      <c r="T126" t="str">
        <f>IF(AND(Hoja4!H125="Empresa de embarque B",Hoja4!I125="Cheque"),"dale","vaaa")</f>
        <v>vaaa</v>
      </c>
      <c r="V126" t="str">
        <f>IF(AND(Hoja4!H125="Empresa de embarque B",Hoja4!I125="Cheque",Hoja4!J125="Cerveza"),"dale","vaaa")</f>
        <v>vaaa</v>
      </c>
      <c r="X126" t="str">
        <f>IF(OR(Hoja4!H125="Empresa de embarque B",Hoja4!I125="Cheque",Hoja4!J125="cerveza"),"dale","vaaa")</f>
        <v>vaaa</v>
      </c>
      <c r="Z126" t="str">
        <f>IF(NOT(OR(Hoja4!I125="Cheque",Hoja4!J125="Cerveza")),"Aprobado","No Aprobado")</f>
        <v>Aprobado</v>
      </c>
    </row>
    <row r="127" spans="19:26" x14ac:dyDescent="0.25">
      <c r="S127" s="2" t="b">
        <f>AND(Hoja4!$P126="abril",Hoja4!$O126="Jue.")</f>
        <v>0</v>
      </c>
      <c r="T127" t="str">
        <f>IF(AND(Hoja4!H126="Empresa de embarque B",Hoja4!I126="Cheque"),"dale","vaaa")</f>
        <v>vaaa</v>
      </c>
      <c r="V127" t="str">
        <f>IF(AND(Hoja4!H126="Empresa de embarque B",Hoja4!I126="Cheque",Hoja4!J126="Cerveza"),"dale","vaaa")</f>
        <v>vaaa</v>
      </c>
      <c r="X127" t="str">
        <f>IF(OR(Hoja4!H126="Empresa de embarque B",Hoja4!I126="Cheque",Hoja4!J126="cerveza"),"dale","vaaa")</f>
        <v>vaaa</v>
      </c>
      <c r="Z127" t="str">
        <f>IF(NOT(OR(Hoja4!I126="Cheque",Hoja4!J126="Cerveza")),"Aprobado","No Aprobado")</f>
        <v>Aprobado</v>
      </c>
    </row>
    <row r="128" spans="19:26" x14ac:dyDescent="0.25">
      <c r="S128" s="2" t="b">
        <f>AND(Hoja4!$P127="abril",Hoja4!$O127="Jue.")</f>
        <v>0</v>
      </c>
      <c r="T128" t="str">
        <f>IF(AND(Hoja4!H127="Empresa de embarque B",Hoja4!I127="Cheque"),"dale","vaaa")</f>
        <v>vaaa</v>
      </c>
      <c r="V128" t="str">
        <f>IF(AND(Hoja4!H127="Empresa de embarque B",Hoja4!I127="Cheque",Hoja4!J127="Cerveza"),"dale","vaaa")</f>
        <v>vaaa</v>
      </c>
      <c r="X128" t="str">
        <f>IF(OR(Hoja4!H127="Empresa de embarque B",Hoja4!I127="Cheque",Hoja4!J127="cerveza"),"dale","vaaa")</f>
        <v>vaaa</v>
      </c>
      <c r="Z128" t="str">
        <f>IF(NOT(OR(Hoja4!I127="Cheque",Hoja4!J127="Cerveza")),"Aprobado","No Aprobado")</f>
        <v>Aprobado</v>
      </c>
    </row>
    <row r="129" spans="19:26" x14ac:dyDescent="0.25">
      <c r="S129" s="2" t="b">
        <f>AND(Hoja4!$P128="abril",Hoja4!$O128="Jue.")</f>
        <v>0</v>
      </c>
      <c r="T129" t="str">
        <f>IF(AND(Hoja4!H128="Empresa de embarque B",Hoja4!I128="Cheque"),"dale","vaaa")</f>
        <v>vaaa</v>
      </c>
      <c r="V129" t="str">
        <f>IF(AND(Hoja4!H128="Empresa de embarque B",Hoja4!I128="Cheque",Hoja4!J128="Cerveza"),"dale","vaaa")</f>
        <v>vaaa</v>
      </c>
      <c r="X129" t="str">
        <f>IF(OR(Hoja4!H128="Empresa de embarque B",Hoja4!I128="Cheque",Hoja4!J128="cerveza"),"dale","vaaa")</f>
        <v>vaaa</v>
      </c>
      <c r="Z129" t="str">
        <f>IF(NOT(OR(Hoja4!I128="Cheque",Hoja4!J128="Cerveza")),"Aprobado","No Aprobado")</f>
        <v>Aprobado</v>
      </c>
    </row>
    <row r="130" spans="19:26" x14ac:dyDescent="0.25">
      <c r="S130" s="2" t="b">
        <f>AND(Hoja4!$P129="abril",Hoja4!$O129="Jue.")</f>
        <v>0</v>
      </c>
      <c r="T130" t="str">
        <f>IF(AND(Hoja4!H129="Empresa de embarque B",Hoja4!I129="Cheque"),"dale","vaaa")</f>
        <v>vaaa</v>
      </c>
      <c r="V130" t="str">
        <f>IF(AND(Hoja4!H129="Empresa de embarque B",Hoja4!I129="Cheque",Hoja4!J129="Cerveza"),"dale","vaaa")</f>
        <v>vaaa</v>
      </c>
      <c r="X130" t="str">
        <f>IF(OR(Hoja4!H129="Empresa de embarque B",Hoja4!I129="Cheque",Hoja4!J129="cerveza"),"dale","vaaa")</f>
        <v>vaaa</v>
      </c>
      <c r="Z130" t="str">
        <f>IF(NOT(OR(Hoja4!I129="Cheque",Hoja4!J129="Cerveza")),"Aprobado","No Aprobado")</f>
        <v>Aprobado</v>
      </c>
    </row>
    <row r="131" spans="19:26" x14ac:dyDescent="0.25">
      <c r="S131" s="2" t="b">
        <f>AND(Hoja4!$P130="abril",Hoja4!$O130="Jue.")</f>
        <v>0</v>
      </c>
      <c r="T131" t="str">
        <f>IF(AND(Hoja4!H130="Empresa de embarque B",Hoja4!I130="Cheque"),"dale","vaaa")</f>
        <v>vaaa</v>
      </c>
      <c r="V131" t="str">
        <f>IF(AND(Hoja4!H130="Empresa de embarque B",Hoja4!I130="Cheque",Hoja4!J130="Cerveza"),"dale","vaaa")</f>
        <v>vaaa</v>
      </c>
      <c r="X131" t="str">
        <f>IF(OR(Hoja4!H130="Empresa de embarque B",Hoja4!I130="Cheque",Hoja4!J130="cerveza"),"dale","vaaa")</f>
        <v>vaaa</v>
      </c>
      <c r="Z131" t="str">
        <f>IF(NOT(OR(Hoja4!I130="Cheque",Hoja4!J130="Cerveza")),"Aprobado","No Aprobado")</f>
        <v>Aprobado</v>
      </c>
    </row>
    <row r="132" spans="19:26" x14ac:dyDescent="0.25">
      <c r="S132" s="2" t="b">
        <f>AND(Hoja4!$P131="abril",Hoja4!$O131="Jue.")</f>
        <v>0</v>
      </c>
      <c r="T132" t="str">
        <f>IF(AND(Hoja4!H131="Empresa de embarque B",Hoja4!I131="Cheque"),"dale","vaaa")</f>
        <v>vaaa</v>
      </c>
      <c r="V132" t="str">
        <f>IF(AND(Hoja4!H131="Empresa de embarque B",Hoja4!I131="Cheque",Hoja4!J131="Cerveza"),"dale","vaaa")</f>
        <v>vaaa</v>
      </c>
      <c r="X132" t="str">
        <f>IF(OR(Hoja4!H131="Empresa de embarque B",Hoja4!I131="Cheque",Hoja4!J131="cerveza"),"dale","vaaa")</f>
        <v>vaaa</v>
      </c>
      <c r="Z132" t="str">
        <f>IF(NOT(OR(Hoja4!I131="Cheque",Hoja4!J131="Cerveza")),"Aprobado","No Aprobado")</f>
        <v>Aprobado</v>
      </c>
    </row>
    <row r="133" spans="19:26" x14ac:dyDescent="0.25">
      <c r="S133" s="2" t="b">
        <f>AND(Hoja4!$P132="abril",Hoja4!$O132="Jue.")</f>
        <v>0</v>
      </c>
      <c r="T133" t="str">
        <f>IF(AND(Hoja4!H132="Empresa de embarque B",Hoja4!I132="Cheque"),"dale","vaaa")</f>
        <v>vaaa</v>
      </c>
      <c r="V133" t="str">
        <f>IF(AND(Hoja4!H132="Empresa de embarque B",Hoja4!I132="Cheque",Hoja4!J132="Cerveza"),"dale","vaaa")</f>
        <v>vaaa</v>
      </c>
      <c r="X133" t="str">
        <f>IF(OR(Hoja4!H132="Empresa de embarque B",Hoja4!I132="Cheque",Hoja4!J132="cerveza"),"dale","vaaa")</f>
        <v>vaaa</v>
      </c>
      <c r="Z133" t="str">
        <f>IF(NOT(OR(Hoja4!I132="Cheque",Hoja4!J132="Cerveza")),"Aprobado","No Aprobado")</f>
        <v>Aprobado</v>
      </c>
    </row>
    <row r="134" spans="19:26" x14ac:dyDescent="0.25">
      <c r="S134" s="2" t="b">
        <f>AND(Hoja4!$P133="abril",Hoja4!$O133="Jue.")</f>
        <v>0</v>
      </c>
      <c r="T134" t="str">
        <f>IF(AND(Hoja4!H133="Empresa de embarque B",Hoja4!I133="Cheque"),"dale","vaaa")</f>
        <v>vaaa</v>
      </c>
      <c r="V134" t="str">
        <f>IF(AND(Hoja4!H133="Empresa de embarque B",Hoja4!I133="Cheque",Hoja4!J133="Cerveza"),"dale","vaaa")</f>
        <v>vaaa</v>
      </c>
      <c r="X134" t="str">
        <f>IF(OR(Hoja4!H133="Empresa de embarque B",Hoja4!I133="Cheque",Hoja4!J133="cerveza"),"dale","vaaa")</f>
        <v>vaaa</v>
      </c>
      <c r="Z134" t="str">
        <f>IF(NOT(OR(Hoja4!I133="Cheque",Hoja4!J133="Cerveza")),"Aprobado","No Aprobado")</f>
        <v>Aprobado</v>
      </c>
    </row>
    <row r="135" spans="19:26" x14ac:dyDescent="0.25">
      <c r="S135" s="2" t="b">
        <f>AND(Hoja4!$P134="abril",Hoja4!$O134="Jue.")</f>
        <v>0</v>
      </c>
      <c r="T135" t="str">
        <f>IF(AND(Hoja4!H134="Empresa de embarque B",Hoja4!I134="Cheque"),"dale","vaaa")</f>
        <v>vaaa</v>
      </c>
      <c r="V135" t="str">
        <f>IF(AND(Hoja4!H134="Empresa de embarque B",Hoja4!I134="Cheque",Hoja4!J134="Cerveza"),"dale","vaaa")</f>
        <v>vaaa</v>
      </c>
      <c r="X135" t="str">
        <f>IF(OR(Hoja4!H134="Empresa de embarque B",Hoja4!I134="Cheque",Hoja4!J134="cerveza"),"dale","vaaa")</f>
        <v>vaaa</v>
      </c>
      <c r="Z135" t="str">
        <f>IF(NOT(OR(Hoja4!I134="Cheque",Hoja4!J134="Cerveza")),"Aprobado","No Aprobado")</f>
        <v>Aprobado</v>
      </c>
    </row>
    <row r="136" spans="19:26" x14ac:dyDescent="0.25">
      <c r="S136" s="2" t="b">
        <f>AND(Hoja4!$P135="abril",Hoja4!$O135="Jue.")</f>
        <v>0</v>
      </c>
      <c r="T136" t="str">
        <f>IF(AND(Hoja4!H135="Empresa de embarque B",Hoja4!I135="Cheque"),"dale","vaaa")</f>
        <v>vaaa</v>
      </c>
      <c r="V136" t="str">
        <f>IF(AND(Hoja4!H135="Empresa de embarque B",Hoja4!I135="Cheque",Hoja4!J135="Cerveza"),"dale","vaaa")</f>
        <v>vaaa</v>
      </c>
      <c r="X136" t="str">
        <f>IF(OR(Hoja4!H135="Empresa de embarque B",Hoja4!I135="Cheque",Hoja4!J135="cerveza"),"dale","vaaa")</f>
        <v>dale</v>
      </c>
      <c r="Z136" t="str">
        <f>IF(NOT(OR(Hoja4!I135="Cheque",Hoja4!J135="Cerveza")),"Aprobado","No Aprobado")</f>
        <v>No Aprobado</v>
      </c>
    </row>
    <row r="137" spans="19:26" x14ac:dyDescent="0.25">
      <c r="S137" s="2" t="b">
        <f>AND(Hoja4!$P136="abril",Hoja4!$O136="Jue.")</f>
        <v>0</v>
      </c>
      <c r="T137" t="str">
        <f>IF(AND(Hoja4!H136="Empresa de embarque B",Hoja4!I136="Cheque"),"dale","vaaa")</f>
        <v>vaaa</v>
      </c>
      <c r="V137" t="str">
        <f>IF(AND(Hoja4!H136="Empresa de embarque B",Hoja4!I136="Cheque",Hoja4!J136="Cerveza"),"dale","vaaa")</f>
        <v>vaaa</v>
      </c>
      <c r="X137" t="str">
        <f>IF(OR(Hoja4!H136="Empresa de embarque B",Hoja4!I136="Cheque",Hoja4!J136="cerveza"),"dale","vaaa")</f>
        <v>dale</v>
      </c>
      <c r="Z137" t="str">
        <f>IF(NOT(OR(Hoja4!I136="Cheque",Hoja4!J136="Cerveza")),"Aprobado","No Aprobado")</f>
        <v>No Aprobado</v>
      </c>
    </row>
    <row r="138" spans="19:26" x14ac:dyDescent="0.25">
      <c r="S138" s="2" t="b">
        <f>AND(Hoja4!$P137="abril",Hoja4!$O137="Jue.")</f>
        <v>0</v>
      </c>
      <c r="T138" t="str">
        <f>IF(AND(Hoja4!H137="Empresa de embarque B",Hoja4!I137="Cheque"),"dale","vaaa")</f>
        <v>vaaa</v>
      </c>
      <c r="V138" t="str">
        <f>IF(AND(Hoja4!H137="Empresa de embarque B",Hoja4!I137="Cheque",Hoja4!J137="Cerveza"),"dale","vaaa")</f>
        <v>vaaa</v>
      </c>
      <c r="X138" t="str">
        <f>IF(OR(Hoja4!H137="Empresa de embarque B",Hoja4!I137="Cheque",Hoja4!J137="cerveza"),"dale","vaaa")</f>
        <v>dale</v>
      </c>
      <c r="Z138" t="str">
        <f>IF(NOT(OR(Hoja4!I137="Cheque",Hoja4!J137="Cerveza")),"Aprobado","No Aprobado")</f>
        <v>No Aprobado</v>
      </c>
    </row>
    <row r="139" spans="19:26" x14ac:dyDescent="0.25">
      <c r="S139" s="2" t="b">
        <f>AND(Hoja4!$P138="abril",Hoja4!$O138="Jue.")</f>
        <v>0</v>
      </c>
      <c r="T139" t="str">
        <f>IF(AND(Hoja4!H138="Empresa de embarque B",Hoja4!I138="Cheque"),"dale","vaaa")</f>
        <v>dale</v>
      </c>
      <c r="V139" t="str">
        <f>IF(AND(Hoja4!H138="Empresa de embarque B",Hoja4!I138="Cheque",Hoja4!J138="Cerveza"),"dale","vaaa")</f>
        <v>vaaa</v>
      </c>
      <c r="X139" t="str">
        <f>IF(OR(Hoja4!H138="Empresa de embarque B",Hoja4!I138="Cheque",Hoja4!J138="cerveza"),"dale","vaaa")</f>
        <v>dale</v>
      </c>
      <c r="Z139" t="str">
        <f>IF(NOT(OR(Hoja4!I138="Cheque",Hoja4!J138="Cerveza")),"Aprobado","No Aprobado")</f>
        <v>No Aprobado</v>
      </c>
    </row>
    <row r="140" spans="19:26" x14ac:dyDescent="0.25">
      <c r="S140" s="2" t="b">
        <f>AND(Hoja4!$P139="abril",Hoja4!$O139="Jue.")</f>
        <v>0</v>
      </c>
      <c r="T140" t="str">
        <f>IF(AND(Hoja4!H139="Empresa de embarque B",Hoja4!I139="Cheque"),"dale","vaaa")</f>
        <v>dale</v>
      </c>
      <c r="V140" t="str">
        <f>IF(AND(Hoja4!H139="Empresa de embarque B",Hoja4!I139="Cheque",Hoja4!J139="Cerveza"),"dale","vaaa")</f>
        <v>vaaa</v>
      </c>
      <c r="X140" t="str">
        <f>IF(OR(Hoja4!H139="Empresa de embarque B",Hoja4!I139="Cheque",Hoja4!J139="cerveza"),"dale","vaaa")</f>
        <v>dale</v>
      </c>
      <c r="Z140" t="str">
        <f>IF(NOT(OR(Hoja4!I139="Cheque",Hoja4!J139="Cerveza")),"Aprobado","No Aprobado")</f>
        <v>No Aprobado</v>
      </c>
    </row>
    <row r="141" spans="19:26" x14ac:dyDescent="0.25">
      <c r="S141" s="2" t="b">
        <f>AND(Hoja4!$P140="abril",Hoja4!$O140="Jue.")</f>
        <v>0</v>
      </c>
      <c r="T141" t="str">
        <f>IF(AND(Hoja4!H140="Empresa de embarque B",Hoja4!I140="Cheque"),"dale","vaaa")</f>
        <v>vaaa</v>
      </c>
      <c r="V141" t="str">
        <f>IF(AND(Hoja4!H140="Empresa de embarque B",Hoja4!I140="Cheque",Hoja4!J140="Cerveza"),"dale","vaaa")</f>
        <v>vaaa</v>
      </c>
      <c r="X141" t="str">
        <f>IF(OR(Hoja4!H140="Empresa de embarque B",Hoja4!I140="Cheque",Hoja4!J140="cerveza"),"dale","vaaa")</f>
        <v>vaaa</v>
      </c>
      <c r="Z141" t="str">
        <f>IF(NOT(OR(Hoja4!I140="Cheque",Hoja4!J140="Cerveza")),"Aprobado","No Aprobado")</f>
        <v>Aprobado</v>
      </c>
    </row>
    <row r="142" spans="19:26" x14ac:dyDescent="0.25">
      <c r="S142" s="2" t="b">
        <f>AND(Hoja4!$P141="abril",Hoja4!$O141="Jue.")</f>
        <v>0</v>
      </c>
      <c r="T142" t="str">
        <f>IF(AND(Hoja4!H141="Empresa de embarque B",Hoja4!I141="Cheque"),"dale","vaaa")</f>
        <v>vaaa</v>
      </c>
      <c r="V142" t="str">
        <f>IF(AND(Hoja4!H141="Empresa de embarque B",Hoja4!I141="Cheque",Hoja4!J141="Cerveza"),"dale","vaaa")</f>
        <v>vaaa</v>
      </c>
      <c r="X142" t="str">
        <f>IF(OR(Hoja4!H141="Empresa de embarque B",Hoja4!I141="Cheque",Hoja4!J141="cerveza"),"dale","vaaa")</f>
        <v>vaaa</v>
      </c>
      <c r="Z142" t="str">
        <f>IF(NOT(OR(Hoja4!I141="Cheque",Hoja4!J141="Cerveza")),"Aprobado","No Aprobado")</f>
        <v>Aprobado</v>
      </c>
    </row>
    <row r="143" spans="19:26" x14ac:dyDescent="0.25">
      <c r="S143" s="2" t="b">
        <f>AND(Hoja4!$P142="abril",Hoja4!$O142="Jue.")</f>
        <v>0</v>
      </c>
      <c r="T143" t="str">
        <f>IF(AND(Hoja4!H142="Empresa de embarque B",Hoja4!I142="Cheque"),"dale","vaaa")</f>
        <v>vaaa</v>
      </c>
      <c r="V143" t="str">
        <f>IF(AND(Hoja4!H142="Empresa de embarque B",Hoja4!I142="Cheque",Hoja4!J142="Cerveza"),"dale","vaaa")</f>
        <v>vaaa</v>
      </c>
      <c r="X143" t="str">
        <f>IF(OR(Hoja4!H142="Empresa de embarque B",Hoja4!I142="Cheque",Hoja4!J142="cerveza"),"dale","vaaa")</f>
        <v>vaaa</v>
      </c>
      <c r="Z143" t="str">
        <f>IF(NOT(OR(Hoja4!I142="Cheque",Hoja4!J142="Cerveza")),"Aprobado","No Aprobado")</f>
        <v>Aprobado</v>
      </c>
    </row>
    <row r="144" spans="19:26" x14ac:dyDescent="0.25">
      <c r="S144" s="2" t="b">
        <f>AND(Hoja4!$P143="abril",Hoja4!$O143="Jue.")</f>
        <v>0</v>
      </c>
      <c r="T144" t="str">
        <f>IF(AND(Hoja4!H143="Empresa de embarque B",Hoja4!I143="Cheque"),"dale","vaaa")</f>
        <v>vaaa</v>
      </c>
      <c r="V144" t="str">
        <f>IF(AND(Hoja4!H143="Empresa de embarque B",Hoja4!I143="Cheque",Hoja4!J143="Cerveza"),"dale","vaaa")</f>
        <v>vaaa</v>
      </c>
      <c r="X144" t="str">
        <f>IF(OR(Hoja4!H143="Empresa de embarque B",Hoja4!I143="Cheque",Hoja4!J143="cerveza"),"dale","vaaa")</f>
        <v>vaaa</v>
      </c>
      <c r="Z144" t="str">
        <f>IF(NOT(OR(Hoja4!I143="Cheque",Hoja4!J143="Cerveza")),"Aprobado","No Aprobado")</f>
        <v>Aprobado</v>
      </c>
    </row>
    <row r="145" spans="19:26" x14ac:dyDescent="0.25">
      <c r="S145" s="2" t="b">
        <f>AND(Hoja4!$P144="abril",Hoja4!$O144="Jue.")</f>
        <v>0</v>
      </c>
      <c r="T145" t="str">
        <f>IF(AND(Hoja4!H144="Empresa de embarque B",Hoja4!I144="Cheque"),"dale","vaaa")</f>
        <v>dale</v>
      </c>
      <c r="V145" t="str">
        <f>IF(AND(Hoja4!H144="Empresa de embarque B",Hoja4!I144="Cheque",Hoja4!J144="Cerveza"),"dale","vaaa")</f>
        <v>dale</v>
      </c>
      <c r="X145" t="str">
        <f>IF(OR(Hoja4!H144="Empresa de embarque B",Hoja4!I144="Cheque",Hoja4!J144="cerveza"),"dale","vaaa")</f>
        <v>dale</v>
      </c>
      <c r="Z145" t="str">
        <f>IF(NOT(OR(Hoja4!I144="Cheque",Hoja4!J144="Cerveza")),"Aprobado","No Aprobado")</f>
        <v>No Aprobado</v>
      </c>
    </row>
    <row r="146" spans="19:26" x14ac:dyDescent="0.25">
      <c r="S146" s="2" t="b">
        <f>AND(Hoja4!$P145="abril",Hoja4!$O145="Jue.")</f>
        <v>0</v>
      </c>
      <c r="T146" t="str">
        <f>IF(AND(Hoja4!H145="Empresa de embarque B",Hoja4!I145="Cheque"),"dale","vaaa")</f>
        <v>vaaa</v>
      </c>
      <c r="V146" t="str">
        <f>IF(AND(Hoja4!H145="Empresa de embarque B",Hoja4!I145="Cheque",Hoja4!J145="Cerveza"),"dale","vaaa")</f>
        <v>vaaa</v>
      </c>
      <c r="X146" t="str">
        <f>IF(OR(Hoja4!H145="Empresa de embarque B",Hoja4!I145="Cheque",Hoja4!J145="cerveza"),"dale","vaaa")</f>
        <v>dale</v>
      </c>
      <c r="Z146" t="str">
        <f>IF(NOT(OR(Hoja4!I145="Cheque",Hoja4!J145="Cerveza")),"Aprobado","No Aprobado")</f>
        <v>No Aprobado</v>
      </c>
    </row>
    <row r="147" spans="19:26" x14ac:dyDescent="0.25">
      <c r="S147" s="2" t="b">
        <f>AND(Hoja4!$P146="abril",Hoja4!$O146="Jue.")</f>
        <v>0</v>
      </c>
      <c r="T147" t="str">
        <f>IF(AND(Hoja4!H146="Empresa de embarque B",Hoja4!I146="Cheque"),"dale","vaaa")</f>
        <v>vaaa</v>
      </c>
      <c r="V147" t="str">
        <f>IF(AND(Hoja4!H146="Empresa de embarque B",Hoja4!I146="Cheque",Hoja4!J146="Cerveza"),"dale","vaaa")</f>
        <v>vaaa</v>
      </c>
      <c r="X147" t="str">
        <f>IF(OR(Hoja4!H146="Empresa de embarque B",Hoja4!I146="Cheque",Hoja4!J146="cerveza"),"dale","vaaa")</f>
        <v>vaaa</v>
      </c>
      <c r="Z147" t="str">
        <f>IF(NOT(OR(Hoja4!I146="Cheque",Hoja4!J146="Cerveza")),"Aprobado","No Aprobado")</f>
        <v>Aprobado</v>
      </c>
    </row>
    <row r="148" spans="19:26" x14ac:dyDescent="0.25">
      <c r="S148" s="2" t="b">
        <f>AND(Hoja4!$P147="abril",Hoja4!$O147="Jue.")</f>
        <v>0</v>
      </c>
      <c r="T148" t="str">
        <f>IF(AND(Hoja4!H147="Empresa de embarque B",Hoja4!I147="Cheque"),"dale","vaaa")</f>
        <v>vaaa</v>
      </c>
      <c r="V148" t="str">
        <f>IF(AND(Hoja4!H147="Empresa de embarque B",Hoja4!I147="Cheque",Hoja4!J147="Cerveza"),"dale","vaaa")</f>
        <v>vaaa</v>
      </c>
      <c r="X148" t="str">
        <f>IF(OR(Hoja4!H147="Empresa de embarque B",Hoja4!I147="Cheque",Hoja4!J147="cerveza"),"dale","vaaa")</f>
        <v>vaaa</v>
      </c>
      <c r="Z148" t="str">
        <f>IF(NOT(OR(Hoja4!I147="Cheque",Hoja4!J147="Cerveza")),"Aprobado","No Aprobado")</f>
        <v>Aprobado</v>
      </c>
    </row>
    <row r="149" spans="19:26" x14ac:dyDescent="0.25">
      <c r="S149" s="2" t="b">
        <f>AND(Hoja4!$P148="abril",Hoja4!$O148="Jue.")</f>
        <v>0</v>
      </c>
      <c r="T149" t="str">
        <f>IF(AND(Hoja4!H148="Empresa de embarque B",Hoja4!I148="Cheque"),"dale","vaaa")</f>
        <v>vaaa</v>
      </c>
      <c r="V149" t="str">
        <f>IF(AND(Hoja4!H148="Empresa de embarque B",Hoja4!I148="Cheque",Hoja4!J148="Cerveza"),"dale","vaaa")</f>
        <v>vaaa</v>
      </c>
      <c r="X149" t="str">
        <f>IF(OR(Hoja4!H148="Empresa de embarque B",Hoja4!I148="Cheque",Hoja4!J148="cerveza"),"dale","vaaa")</f>
        <v>vaaa</v>
      </c>
      <c r="Z149" t="str">
        <f>IF(NOT(OR(Hoja4!I148="Cheque",Hoja4!J148="Cerveza")),"Aprobado","No Aprobado")</f>
        <v>Aprobado</v>
      </c>
    </row>
    <row r="150" spans="19:26" x14ac:dyDescent="0.25">
      <c r="S150" s="2" t="b">
        <f>AND(Hoja4!$P149="abril",Hoja4!$O149="Jue.")</f>
        <v>0</v>
      </c>
      <c r="T150" t="str">
        <f>IF(AND(Hoja4!H149="Empresa de embarque B",Hoja4!I149="Cheque"),"dale","vaaa")</f>
        <v>vaaa</v>
      </c>
      <c r="V150" t="str">
        <f>IF(AND(Hoja4!H149="Empresa de embarque B",Hoja4!I149="Cheque",Hoja4!J149="Cerveza"),"dale","vaaa")</f>
        <v>vaaa</v>
      </c>
      <c r="X150" t="str">
        <f>IF(OR(Hoja4!H149="Empresa de embarque B",Hoja4!I149="Cheque",Hoja4!J149="cerveza"),"dale","vaaa")</f>
        <v>dale</v>
      </c>
      <c r="Z150" t="str">
        <f>IF(NOT(OR(Hoja4!I149="Cheque",Hoja4!J149="Cerveza")),"Aprobado","No Aprobado")</f>
        <v>Aprobado</v>
      </c>
    </row>
    <row r="151" spans="19:26" x14ac:dyDescent="0.25">
      <c r="S151" s="2" t="b">
        <f>AND(Hoja4!$P150="abril",Hoja4!$O150="Jue.")</f>
        <v>1</v>
      </c>
      <c r="T151" t="str">
        <f>IF(AND(Hoja4!H150="Empresa de embarque B",Hoja4!I150="Cheque"),"dale","vaaa")</f>
        <v>vaaa</v>
      </c>
      <c r="V151" t="str">
        <f>IF(AND(Hoja4!H150="Empresa de embarque B",Hoja4!I150="Cheque",Hoja4!J150="Cerveza"),"dale","vaaa")</f>
        <v>vaaa</v>
      </c>
      <c r="X151" t="str">
        <f>IF(OR(Hoja4!H150="Empresa de embarque B",Hoja4!I150="Cheque",Hoja4!J150="cerveza"),"dale","vaaa")</f>
        <v>dale</v>
      </c>
      <c r="Z151" t="str">
        <f>IF(NOT(OR(Hoja4!I150="Cheque",Hoja4!J150="Cerveza")),"Aprobado","No Aprobado")</f>
        <v>Aprobado</v>
      </c>
    </row>
    <row r="152" spans="19:26" x14ac:dyDescent="0.25">
      <c r="S152" s="2" t="b">
        <f>AND(Hoja4!$P151="abril",Hoja4!$O151="Jue.")</f>
        <v>0</v>
      </c>
      <c r="T152" t="str">
        <f>IF(AND(Hoja4!H151="Empresa de embarque B",Hoja4!I151="Cheque"),"dale","vaaa")</f>
        <v>vaaa</v>
      </c>
      <c r="V152" t="str">
        <f>IF(AND(Hoja4!H151="Empresa de embarque B",Hoja4!I151="Cheque",Hoja4!J151="Cerveza"),"dale","vaaa")</f>
        <v>vaaa</v>
      </c>
      <c r="X152" t="str">
        <f>IF(OR(Hoja4!H151="Empresa de embarque B",Hoja4!I151="Cheque",Hoja4!J151="cerveza"),"dale","vaaa")</f>
        <v>dale</v>
      </c>
      <c r="Z152" t="str">
        <f>IF(NOT(OR(Hoja4!I151="Cheque",Hoja4!J151="Cerveza")),"Aprobado","No Aprobado")</f>
        <v>Aprobado</v>
      </c>
    </row>
    <row r="153" spans="19:26" x14ac:dyDescent="0.25">
      <c r="S153" s="2" t="b">
        <f>AND(Hoja4!$P152="abril",Hoja4!$O152="Jue.")</f>
        <v>0</v>
      </c>
      <c r="T153" t="str">
        <f>IF(AND(Hoja4!H152="Empresa de embarque B",Hoja4!I152="Cheque"),"dale","vaaa")</f>
        <v>vaaa</v>
      </c>
      <c r="V153" t="str">
        <f>IF(AND(Hoja4!H152="Empresa de embarque B",Hoja4!I152="Cheque",Hoja4!J152="Cerveza"),"dale","vaaa")</f>
        <v>vaaa</v>
      </c>
      <c r="X153" t="str">
        <f>IF(OR(Hoja4!H152="Empresa de embarque B",Hoja4!I152="Cheque",Hoja4!J152="cerveza"),"dale","vaaa")</f>
        <v>vaaa</v>
      </c>
      <c r="Z153" t="str">
        <f>IF(NOT(OR(Hoja4!I152="Cheque",Hoja4!J152="Cerveza")),"Aprobado","No Aprobado")</f>
        <v>Aprobado</v>
      </c>
    </row>
    <row r="154" spans="19:26" x14ac:dyDescent="0.25">
      <c r="S154" s="2" t="b">
        <f>AND(Hoja4!$P153="abril",Hoja4!$O153="Jue.")</f>
        <v>0</v>
      </c>
      <c r="T154" t="str">
        <f>IF(AND(Hoja4!H153="Empresa de embarque B",Hoja4!I153="Cheque"),"dale","vaaa")</f>
        <v>vaaa</v>
      </c>
      <c r="V154" t="str">
        <f>IF(AND(Hoja4!H153="Empresa de embarque B",Hoja4!I153="Cheque",Hoja4!J153="Cerveza"),"dale","vaaa")</f>
        <v>vaaa</v>
      </c>
      <c r="X154" t="str">
        <f>IF(OR(Hoja4!H153="Empresa de embarque B",Hoja4!I153="Cheque",Hoja4!J153="cerveza"),"dale","vaaa")</f>
        <v>vaaa</v>
      </c>
      <c r="Z154" t="str">
        <f>IF(NOT(OR(Hoja4!I153="Cheque",Hoja4!J153="Cerveza")),"Aprobado","No Aprobado")</f>
        <v>Aprobado</v>
      </c>
    </row>
    <row r="155" spans="19:26" x14ac:dyDescent="0.25">
      <c r="S155" s="2" t="b">
        <f>AND(Hoja4!$P154="abril",Hoja4!$O154="Jue.")</f>
        <v>0</v>
      </c>
      <c r="T155" t="str">
        <f>IF(AND(Hoja4!H154="Empresa de embarque B",Hoja4!I154="Cheque"),"dale","vaaa")</f>
        <v>vaaa</v>
      </c>
      <c r="V155" t="str">
        <f>IF(AND(Hoja4!H154="Empresa de embarque B",Hoja4!I154="Cheque",Hoja4!J154="Cerveza"),"dale","vaaa")</f>
        <v>vaaa</v>
      </c>
      <c r="X155" t="str">
        <f>IF(OR(Hoja4!H154="Empresa de embarque B",Hoja4!I154="Cheque",Hoja4!J154="cerveza"),"dale","vaaa")</f>
        <v>vaaa</v>
      </c>
      <c r="Z155" t="str">
        <f>IF(NOT(OR(Hoja4!I154="Cheque",Hoja4!J154="Cerveza")),"Aprobado","No Aprobado")</f>
        <v>Aprobado</v>
      </c>
    </row>
    <row r="156" spans="19:26" x14ac:dyDescent="0.25">
      <c r="S156" s="2" t="b">
        <f>AND(Hoja4!$P155="abril",Hoja4!$O155="Jue.")</f>
        <v>0</v>
      </c>
      <c r="T156" t="str">
        <f>IF(AND(Hoja4!H155="Empresa de embarque B",Hoja4!I155="Cheque"),"dale","vaaa")</f>
        <v>vaaa</v>
      </c>
      <c r="V156" t="str">
        <f>IF(AND(Hoja4!H155="Empresa de embarque B",Hoja4!I155="Cheque",Hoja4!J155="Cerveza"),"dale","vaaa")</f>
        <v>vaaa</v>
      </c>
      <c r="X156" t="str">
        <f>IF(OR(Hoja4!H155="Empresa de embarque B",Hoja4!I155="Cheque",Hoja4!J155="cerveza"),"dale","vaaa")</f>
        <v>vaaa</v>
      </c>
      <c r="Z156" t="str">
        <f>IF(NOT(OR(Hoja4!I155="Cheque",Hoja4!J155="Cerveza")),"Aprobado","No Aprobado")</f>
        <v>Aprobado</v>
      </c>
    </row>
    <row r="157" spans="19:26" x14ac:dyDescent="0.25">
      <c r="S157" s="2" t="b">
        <f>AND(Hoja4!$P156="abril",Hoja4!$O156="Jue.")</f>
        <v>0</v>
      </c>
      <c r="T157" t="str">
        <f>IF(AND(Hoja4!H156="Empresa de embarque B",Hoja4!I156="Cheque"),"dale","vaaa")</f>
        <v>vaaa</v>
      </c>
      <c r="V157" t="str">
        <f>IF(AND(Hoja4!H156="Empresa de embarque B",Hoja4!I156="Cheque",Hoja4!J156="Cerveza"),"dale","vaaa")</f>
        <v>vaaa</v>
      </c>
      <c r="X157" t="str">
        <f>IF(OR(Hoja4!H156="Empresa de embarque B",Hoja4!I156="Cheque",Hoja4!J156="cerveza"),"dale","vaaa")</f>
        <v>dale</v>
      </c>
      <c r="Z157" t="str">
        <f>IF(NOT(OR(Hoja4!I156="Cheque",Hoja4!J156="Cerveza")),"Aprobado","No Aprobado")</f>
        <v>No Aprobado</v>
      </c>
    </row>
    <row r="158" spans="19:26" x14ac:dyDescent="0.25">
      <c r="S158" s="2" t="b">
        <f>AND(Hoja4!$P157="abril",Hoja4!$O157="Jue.")</f>
        <v>0</v>
      </c>
      <c r="T158" t="str">
        <f>IF(AND(Hoja4!H157="Empresa de embarque B",Hoja4!I157="Cheque"),"dale","vaaa")</f>
        <v>vaaa</v>
      </c>
      <c r="V158" t="str">
        <f>IF(AND(Hoja4!H157="Empresa de embarque B",Hoja4!I157="Cheque",Hoja4!J157="Cerveza"),"dale","vaaa")</f>
        <v>vaaa</v>
      </c>
      <c r="X158" t="str">
        <f>IF(OR(Hoja4!H157="Empresa de embarque B",Hoja4!I157="Cheque",Hoja4!J157="cerveza"),"dale","vaaa")</f>
        <v>dale</v>
      </c>
      <c r="Z158" t="str">
        <f>IF(NOT(OR(Hoja4!I157="Cheque",Hoja4!J157="Cerveza")),"Aprobado","No Aprobado")</f>
        <v>Aprobado</v>
      </c>
    </row>
    <row r="159" spans="19:26" x14ac:dyDescent="0.25">
      <c r="S159" s="2" t="b">
        <f>AND(Hoja4!$P158="abril",Hoja4!$O158="Jue.")</f>
        <v>0</v>
      </c>
      <c r="T159" t="str">
        <f>IF(AND(Hoja4!H158="Empresa de embarque B",Hoja4!I158="Cheque"),"dale","vaaa")</f>
        <v>dale</v>
      </c>
      <c r="V159" t="str">
        <f>IF(AND(Hoja4!H158="Empresa de embarque B",Hoja4!I158="Cheque",Hoja4!J158="Cerveza"),"dale","vaaa")</f>
        <v>vaaa</v>
      </c>
      <c r="X159" t="str">
        <f>IF(OR(Hoja4!H158="Empresa de embarque B",Hoja4!I158="Cheque",Hoja4!J158="cerveza"),"dale","vaaa")</f>
        <v>dale</v>
      </c>
      <c r="Z159" t="str">
        <f>IF(NOT(OR(Hoja4!I158="Cheque",Hoja4!J158="Cerveza")),"Aprobado","No Aprobado")</f>
        <v>No Aprobado</v>
      </c>
    </row>
    <row r="160" spans="19:26" x14ac:dyDescent="0.25">
      <c r="S160" s="2" t="b">
        <f>AND(Hoja4!$P159="abril",Hoja4!$O159="Jue.")</f>
        <v>0</v>
      </c>
      <c r="T160" t="str">
        <f>IF(AND(Hoja4!H159="Empresa de embarque B",Hoja4!I159="Cheque"),"dale","vaaa")</f>
        <v>vaaa</v>
      </c>
      <c r="V160" t="str">
        <f>IF(AND(Hoja4!H159="Empresa de embarque B",Hoja4!I159="Cheque",Hoja4!J159="Cerveza"),"dale","vaaa")</f>
        <v>vaaa</v>
      </c>
      <c r="X160" t="str">
        <f>IF(OR(Hoja4!H159="Empresa de embarque B",Hoja4!I159="Cheque",Hoja4!J159="cerveza"),"dale","vaaa")</f>
        <v>vaaa</v>
      </c>
      <c r="Z160" t="str">
        <f>IF(NOT(OR(Hoja4!I159="Cheque",Hoja4!J159="Cerveza")),"Aprobado","No Aprobado")</f>
        <v>Aprobado</v>
      </c>
    </row>
    <row r="161" spans="19:26" x14ac:dyDescent="0.25">
      <c r="S161" s="2" t="b">
        <f>AND(Hoja4!$P160="abril",Hoja4!$O160="Jue.")</f>
        <v>0</v>
      </c>
      <c r="T161" t="str">
        <f>IF(AND(Hoja4!H160="Empresa de embarque B",Hoja4!I160="Cheque"),"dale","vaaa")</f>
        <v>vaaa</v>
      </c>
      <c r="V161" t="str">
        <f>IF(AND(Hoja4!H160="Empresa de embarque B",Hoja4!I160="Cheque",Hoja4!J160="Cerveza"),"dale","vaaa")</f>
        <v>vaaa</v>
      </c>
      <c r="X161" t="str">
        <f>IF(OR(Hoja4!H160="Empresa de embarque B",Hoja4!I160="Cheque",Hoja4!J160="cerveza"),"dale","vaaa")</f>
        <v>vaaa</v>
      </c>
      <c r="Z161" t="str">
        <f>IF(NOT(OR(Hoja4!I160="Cheque",Hoja4!J160="Cerveza")),"Aprobado","No Aprobado")</f>
        <v>Aprobado</v>
      </c>
    </row>
    <row r="162" spans="19:26" x14ac:dyDescent="0.25">
      <c r="S162" s="2" t="b">
        <f>AND(Hoja4!$P161="abril",Hoja4!$O161="Jue.")</f>
        <v>0</v>
      </c>
      <c r="T162" t="str">
        <f>IF(AND(Hoja4!H161="Empresa de embarque B",Hoja4!I161="Cheque"),"dale","vaaa")</f>
        <v>dale</v>
      </c>
      <c r="V162" t="str">
        <f>IF(AND(Hoja4!H161="Empresa de embarque B",Hoja4!I161="Cheque",Hoja4!J161="Cerveza"),"dale","vaaa")</f>
        <v>vaaa</v>
      </c>
      <c r="X162" t="str">
        <f>IF(OR(Hoja4!H161="Empresa de embarque B",Hoja4!I161="Cheque",Hoja4!J161="cerveza"),"dale","vaaa")</f>
        <v>dale</v>
      </c>
      <c r="Z162" t="str">
        <f>IF(NOT(OR(Hoja4!I161="Cheque",Hoja4!J161="Cerveza")),"Aprobado","No Aprobado")</f>
        <v>No Aprobado</v>
      </c>
    </row>
    <row r="163" spans="19:26" x14ac:dyDescent="0.25">
      <c r="S163" s="2" t="b">
        <f>AND(Hoja4!$P162="abril",Hoja4!$O162="Jue.")</f>
        <v>0</v>
      </c>
      <c r="T163" t="str">
        <f>IF(AND(Hoja4!H162="Empresa de embarque B",Hoja4!I162="Cheque"),"dale","vaaa")</f>
        <v>vaaa</v>
      </c>
      <c r="V163" t="str">
        <f>IF(AND(Hoja4!H162="Empresa de embarque B",Hoja4!I162="Cheque",Hoja4!J162="Cerveza"),"dale","vaaa")</f>
        <v>vaaa</v>
      </c>
      <c r="X163" t="str">
        <f>IF(OR(Hoja4!H162="Empresa de embarque B",Hoja4!I162="Cheque",Hoja4!J162="cerveza"),"dale","vaaa")</f>
        <v>dale</v>
      </c>
      <c r="Z163" t="str">
        <f>IF(NOT(OR(Hoja4!I162="Cheque",Hoja4!J162="Cerveza")),"Aprobado","No Aprobado")</f>
        <v>No Aprobado</v>
      </c>
    </row>
    <row r="164" spans="19:26" x14ac:dyDescent="0.25">
      <c r="S164" s="2" t="b">
        <f>AND(Hoja4!$P163="abril",Hoja4!$O163="Jue.")</f>
        <v>0</v>
      </c>
      <c r="T164" t="str">
        <f>IF(AND(Hoja4!H163="Empresa de embarque B",Hoja4!I163="Cheque"),"dale","vaaa")</f>
        <v>vaaa</v>
      </c>
      <c r="V164" t="str">
        <f>IF(AND(Hoja4!H163="Empresa de embarque B",Hoja4!I163="Cheque",Hoja4!J163="Cerveza"),"dale","vaaa")</f>
        <v>vaaa</v>
      </c>
      <c r="X164" t="str">
        <f>IF(OR(Hoja4!H163="Empresa de embarque B",Hoja4!I163="Cheque",Hoja4!J163="cerveza"),"dale","vaaa")</f>
        <v>dale</v>
      </c>
      <c r="Z164" t="str">
        <f>IF(NOT(OR(Hoja4!I163="Cheque",Hoja4!J163="Cerveza")),"Aprobado","No Aprobado")</f>
        <v>No Aprobado</v>
      </c>
    </row>
    <row r="165" spans="19:26" x14ac:dyDescent="0.25">
      <c r="S165" s="2" t="b">
        <f>AND(Hoja4!$P164="abril",Hoja4!$O164="Jue.")</f>
        <v>0</v>
      </c>
      <c r="T165" t="str">
        <f>IF(AND(Hoja4!H164="Empresa de embarque B",Hoja4!I164="Cheque"),"dale","vaaa")</f>
        <v>vaaa</v>
      </c>
      <c r="V165" t="str">
        <f>IF(AND(Hoja4!H164="Empresa de embarque B",Hoja4!I164="Cheque",Hoja4!J164="Cerveza"),"dale","vaaa")</f>
        <v>vaaa</v>
      </c>
      <c r="X165" t="str">
        <f>IF(OR(Hoja4!H164="Empresa de embarque B",Hoja4!I164="Cheque",Hoja4!J164="cerveza"),"dale","vaaa")</f>
        <v>vaaa</v>
      </c>
      <c r="Z165" t="str">
        <f>IF(NOT(OR(Hoja4!I164="Cheque",Hoja4!J164="Cerveza")),"Aprobado","No Aprobado")</f>
        <v>Aprobado</v>
      </c>
    </row>
    <row r="166" spans="19:26" x14ac:dyDescent="0.25">
      <c r="S166" s="2" t="b">
        <f>AND(Hoja4!$P165="abril",Hoja4!$O165="Jue.")</f>
        <v>0</v>
      </c>
      <c r="T166" t="str">
        <f>IF(AND(Hoja4!H165="Empresa de embarque B",Hoja4!I165="Cheque"),"dale","vaaa")</f>
        <v>vaaa</v>
      </c>
      <c r="V166" t="str">
        <f>IF(AND(Hoja4!H165="Empresa de embarque B",Hoja4!I165="Cheque",Hoja4!J165="Cerveza"),"dale","vaaa")</f>
        <v>vaaa</v>
      </c>
      <c r="X166" t="str">
        <f>IF(OR(Hoja4!H165="Empresa de embarque B",Hoja4!I165="Cheque",Hoja4!J165="cerveza"),"dale","vaaa")</f>
        <v>vaaa</v>
      </c>
      <c r="Z166" t="str">
        <f>IF(NOT(OR(Hoja4!I165="Cheque",Hoja4!J165="Cerveza")),"Aprobado","No Aprobado")</f>
        <v>Aprobado</v>
      </c>
    </row>
    <row r="167" spans="19:26" x14ac:dyDescent="0.25">
      <c r="S167" s="2" t="b">
        <f>AND(Hoja4!$P166="abril",Hoja4!$O166="Jue.")</f>
        <v>0</v>
      </c>
      <c r="T167" t="str">
        <f>IF(AND(Hoja4!H166="Empresa de embarque B",Hoja4!I166="Cheque"),"dale","vaaa")</f>
        <v>vaaa</v>
      </c>
      <c r="V167" t="str">
        <f>IF(AND(Hoja4!H166="Empresa de embarque B",Hoja4!I166="Cheque",Hoja4!J166="Cerveza"),"dale","vaaa")</f>
        <v>vaaa</v>
      </c>
      <c r="X167" t="str">
        <f>IF(OR(Hoja4!H166="Empresa de embarque B",Hoja4!I166="Cheque",Hoja4!J166="cerveza"),"dale","vaaa")</f>
        <v>vaaa</v>
      </c>
      <c r="Z167" t="str">
        <f>IF(NOT(OR(Hoja4!I166="Cheque",Hoja4!J166="Cerveza")),"Aprobado","No Aprobado")</f>
        <v>Aprobado</v>
      </c>
    </row>
    <row r="168" spans="19:26" x14ac:dyDescent="0.25">
      <c r="S168" s="2" t="b">
        <f>AND(Hoja4!$P167="abril",Hoja4!$O167="Jue.")</f>
        <v>0</v>
      </c>
      <c r="T168" t="str">
        <f>IF(AND(Hoja4!H167="Empresa de embarque B",Hoja4!I167="Cheque"),"dale","vaaa")</f>
        <v>vaaa</v>
      </c>
      <c r="V168" t="str">
        <f>IF(AND(Hoja4!H167="Empresa de embarque B",Hoja4!I167="Cheque",Hoja4!J167="Cerveza"),"dale","vaaa")</f>
        <v>vaaa</v>
      </c>
      <c r="X168" t="str">
        <f>IF(OR(Hoja4!H167="Empresa de embarque B",Hoja4!I167="Cheque",Hoja4!J167="cerveza"),"dale","vaaa")</f>
        <v>vaaa</v>
      </c>
      <c r="Z168" t="str">
        <f>IF(NOT(OR(Hoja4!I167="Cheque",Hoja4!J167="Cerveza")),"Aprobado","No Aprobado")</f>
        <v>Aprobado</v>
      </c>
    </row>
    <row r="169" spans="19:26" x14ac:dyDescent="0.25">
      <c r="S169" s="2" t="b">
        <f>AND(Hoja4!$P168="abril",Hoja4!$O168="Jue.")</f>
        <v>0</v>
      </c>
      <c r="T169" t="str">
        <f>IF(AND(Hoja4!H168="Empresa de embarque B",Hoja4!I168="Cheque"),"dale","vaaa")</f>
        <v>vaaa</v>
      </c>
      <c r="V169" t="str">
        <f>IF(AND(Hoja4!H168="Empresa de embarque B",Hoja4!I168="Cheque",Hoja4!J168="Cerveza"),"dale","vaaa")</f>
        <v>vaaa</v>
      </c>
      <c r="X169" t="str">
        <f>IF(OR(Hoja4!H168="Empresa de embarque B",Hoja4!I168="Cheque",Hoja4!J168="cerveza"),"dale","vaaa")</f>
        <v>vaaa</v>
      </c>
      <c r="Z169" t="str">
        <f>IF(NOT(OR(Hoja4!I168="Cheque",Hoja4!J168="Cerveza")),"Aprobado","No Aprobado")</f>
        <v>Aprobado</v>
      </c>
    </row>
    <row r="170" spans="19:26" x14ac:dyDescent="0.25">
      <c r="S170" s="2" t="b">
        <f>AND(Hoja4!$P169="abril",Hoja4!$O169="Jue.")</f>
        <v>0</v>
      </c>
      <c r="T170" t="str">
        <f>IF(AND(Hoja4!H169="Empresa de embarque B",Hoja4!I169="Cheque"),"dale","vaaa")</f>
        <v>vaaa</v>
      </c>
      <c r="V170" t="str">
        <f>IF(AND(Hoja4!H169="Empresa de embarque B",Hoja4!I169="Cheque",Hoja4!J169="Cerveza"),"dale","vaaa")</f>
        <v>vaaa</v>
      </c>
      <c r="X170" t="str">
        <f>IF(OR(Hoja4!H169="Empresa de embarque B",Hoja4!I169="Cheque",Hoja4!J169="cerveza"),"dale","vaaa")</f>
        <v>dale</v>
      </c>
      <c r="Z170" t="str">
        <f>IF(NOT(OR(Hoja4!I169="Cheque",Hoja4!J169="Cerveza")),"Aprobado","No Aprobado")</f>
        <v>No Aprobado</v>
      </c>
    </row>
    <row r="171" spans="19:26" x14ac:dyDescent="0.25">
      <c r="S171" s="2" t="b">
        <f>AND(Hoja4!$P170="abril",Hoja4!$O170="Jue.")</f>
        <v>0</v>
      </c>
      <c r="T171" t="str">
        <f>IF(AND(Hoja4!H170="Empresa de embarque B",Hoja4!I170="Cheque"),"dale","vaaa")</f>
        <v>vaaa</v>
      </c>
      <c r="V171" t="str">
        <f>IF(AND(Hoja4!H170="Empresa de embarque B",Hoja4!I170="Cheque",Hoja4!J170="Cerveza"),"dale","vaaa")</f>
        <v>vaaa</v>
      </c>
      <c r="X171" t="str">
        <f>IF(OR(Hoja4!H170="Empresa de embarque B",Hoja4!I170="Cheque",Hoja4!J170="cerveza"),"dale","vaaa")</f>
        <v>dale</v>
      </c>
      <c r="Z171" t="str">
        <f>IF(NOT(OR(Hoja4!I170="Cheque",Hoja4!J170="Cerveza")),"Aprobado","No Aprobado")</f>
        <v>No Aprobado</v>
      </c>
    </row>
    <row r="172" spans="19:26" x14ac:dyDescent="0.25">
      <c r="S172" s="2" t="b">
        <f>AND(Hoja4!$P171="abril",Hoja4!$O171="Jue.")</f>
        <v>0</v>
      </c>
      <c r="T172" t="str">
        <f>IF(AND(Hoja4!H171="Empresa de embarque B",Hoja4!I171="Cheque"),"dale","vaaa")</f>
        <v>vaaa</v>
      </c>
      <c r="V172" t="str">
        <f>IF(AND(Hoja4!H171="Empresa de embarque B",Hoja4!I171="Cheque",Hoja4!J171="Cerveza"),"dale","vaaa")</f>
        <v>vaaa</v>
      </c>
      <c r="X172" t="str">
        <f>IF(OR(Hoja4!H171="Empresa de embarque B",Hoja4!I171="Cheque",Hoja4!J171="cerveza"),"dale","vaaa")</f>
        <v>dale</v>
      </c>
      <c r="Z172" t="str">
        <f>IF(NOT(OR(Hoja4!I171="Cheque",Hoja4!J171="Cerveza")),"Aprobado","No Aprobado")</f>
        <v>No Aprobado</v>
      </c>
    </row>
    <row r="173" spans="19:26" x14ac:dyDescent="0.25">
      <c r="S173" s="2" t="b">
        <f>AND(Hoja4!$P172="abril",Hoja4!$O172="Jue.")</f>
        <v>0</v>
      </c>
      <c r="T173" t="str">
        <f>IF(AND(Hoja4!H172="Empresa de embarque B",Hoja4!I172="Cheque"),"dale","vaaa")</f>
        <v>dale</v>
      </c>
      <c r="V173" t="str">
        <f>IF(AND(Hoja4!H172="Empresa de embarque B",Hoja4!I172="Cheque",Hoja4!J172="Cerveza"),"dale","vaaa")</f>
        <v>vaaa</v>
      </c>
      <c r="X173" t="str">
        <f>IF(OR(Hoja4!H172="Empresa de embarque B",Hoja4!I172="Cheque",Hoja4!J172="cerveza"),"dale","vaaa")</f>
        <v>dale</v>
      </c>
      <c r="Z173" t="str">
        <f>IF(NOT(OR(Hoja4!I172="Cheque",Hoja4!J172="Cerveza")),"Aprobado","No Aprobado")</f>
        <v>No Aprobado</v>
      </c>
    </row>
    <row r="174" spans="19:26" x14ac:dyDescent="0.25">
      <c r="S174" s="2" t="b">
        <f>AND(Hoja4!$P173="abril",Hoja4!$O173="Jue.")</f>
        <v>0</v>
      </c>
      <c r="T174" t="str">
        <f>IF(AND(Hoja4!H173="Empresa de embarque B",Hoja4!I173="Cheque"),"dale","vaaa")</f>
        <v>dale</v>
      </c>
      <c r="V174" t="str">
        <f>IF(AND(Hoja4!H173="Empresa de embarque B",Hoja4!I173="Cheque",Hoja4!J173="Cerveza"),"dale","vaaa")</f>
        <v>vaaa</v>
      </c>
      <c r="X174" t="str">
        <f>IF(OR(Hoja4!H173="Empresa de embarque B",Hoja4!I173="Cheque",Hoja4!J173="cerveza"),"dale","vaaa")</f>
        <v>dale</v>
      </c>
      <c r="Z174" t="str">
        <f>IF(NOT(OR(Hoja4!I173="Cheque",Hoja4!J173="Cerveza")),"Aprobado","No Aprobado")</f>
        <v>No Aprobado</v>
      </c>
    </row>
    <row r="175" spans="19:26" x14ac:dyDescent="0.25">
      <c r="S175" s="2" t="b">
        <f>AND(Hoja4!$P174="abril",Hoja4!$O174="Jue.")</f>
        <v>0</v>
      </c>
      <c r="T175" t="str">
        <f>IF(AND(Hoja4!H174="Empresa de embarque B",Hoja4!I174="Cheque"),"dale","vaaa")</f>
        <v>vaaa</v>
      </c>
      <c r="V175" t="str">
        <f>IF(AND(Hoja4!H174="Empresa de embarque B",Hoja4!I174="Cheque",Hoja4!J174="Cerveza"),"dale","vaaa")</f>
        <v>vaaa</v>
      </c>
      <c r="X175" t="str">
        <f>IF(OR(Hoja4!H174="Empresa de embarque B",Hoja4!I174="Cheque",Hoja4!J174="cerveza"),"dale","vaaa")</f>
        <v>vaaa</v>
      </c>
      <c r="Z175" t="str">
        <f>IF(NOT(OR(Hoja4!I174="Cheque",Hoja4!J174="Cerveza")),"Aprobado","No Aprobado")</f>
        <v>Aprobado</v>
      </c>
    </row>
    <row r="176" spans="19:26" x14ac:dyDescent="0.25">
      <c r="S176" s="2" t="b">
        <f>AND(Hoja4!$P175="abril",Hoja4!$O175="Jue.")</f>
        <v>0</v>
      </c>
      <c r="T176" t="str">
        <f>IF(AND(Hoja4!H175="Empresa de embarque B",Hoja4!I175="Cheque"),"dale","vaaa")</f>
        <v>vaaa</v>
      </c>
      <c r="V176" t="str">
        <f>IF(AND(Hoja4!H175="Empresa de embarque B",Hoja4!I175="Cheque",Hoja4!J175="Cerveza"),"dale","vaaa")</f>
        <v>vaaa</v>
      </c>
      <c r="X176" t="str">
        <f>IF(OR(Hoja4!H175="Empresa de embarque B",Hoja4!I175="Cheque",Hoja4!J175="cerveza"),"dale","vaaa")</f>
        <v>vaaa</v>
      </c>
      <c r="Z176" t="str">
        <f>IF(NOT(OR(Hoja4!I175="Cheque",Hoja4!J175="Cerveza")),"Aprobado","No Aprobado")</f>
        <v>Aprobado</v>
      </c>
    </row>
    <row r="177" spans="19:26" x14ac:dyDescent="0.25">
      <c r="S177" s="2" t="b">
        <f>AND(Hoja4!$P176="abril",Hoja4!$O176="Jue.")</f>
        <v>0</v>
      </c>
      <c r="T177" t="str">
        <f>IF(AND(Hoja4!H176="Empresa de embarque B",Hoja4!I176="Cheque"),"dale","vaaa")</f>
        <v>vaaa</v>
      </c>
      <c r="V177" t="str">
        <f>IF(AND(Hoja4!H176="Empresa de embarque B",Hoja4!I176="Cheque",Hoja4!J176="Cerveza"),"dale","vaaa")</f>
        <v>vaaa</v>
      </c>
      <c r="X177" t="str">
        <f>IF(OR(Hoja4!H176="Empresa de embarque B",Hoja4!I176="Cheque",Hoja4!J176="cerveza"),"dale","vaaa")</f>
        <v>vaaa</v>
      </c>
      <c r="Z177" t="str">
        <f>IF(NOT(OR(Hoja4!I176="Cheque",Hoja4!J176="Cerveza")),"Aprobado","No Aprobado")</f>
        <v>Aprobado</v>
      </c>
    </row>
    <row r="178" spans="19:26" x14ac:dyDescent="0.25">
      <c r="S178" s="2" t="b">
        <f>AND(Hoja4!$P177="abril",Hoja4!$O177="Jue.")</f>
        <v>0</v>
      </c>
      <c r="T178" t="str">
        <f>IF(AND(Hoja4!H177="Empresa de embarque B",Hoja4!I177="Cheque"),"dale","vaaa")</f>
        <v>vaaa</v>
      </c>
      <c r="V178" t="str">
        <f>IF(AND(Hoja4!H177="Empresa de embarque B",Hoja4!I177="Cheque",Hoja4!J177="Cerveza"),"dale","vaaa")</f>
        <v>vaaa</v>
      </c>
      <c r="X178" t="str">
        <f>IF(OR(Hoja4!H177="Empresa de embarque B",Hoja4!I177="Cheque",Hoja4!J177="cerveza"),"dale","vaaa")</f>
        <v>vaaa</v>
      </c>
      <c r="Z178" t="str">
        <f>IF(NOT(OR(Hoja4!I177="Cheque",Hoja4!J177="Cerveza")),"Aprobado","No Aprobado")</f>
        <v>Aprobado</v>
      </c>
    </row>
    <row r="179" spans="19:26" x14ac:dyDescent="0.25">
      <c r="S179" s="2" t="b">
        <f>AND(Hoja4!$P178="abril",Hoja4!$O178="Jue.")</f>
        <v>0</v>
      </c>
      <c r="T179" t="str">
        <f>IF(AND(Hoja4!H178="Empresa de embarque B",Hoja4!I178="Cheque"),"dale","vaaa")</f>
        <v>dale</v>
      </c>
      <c r="V179" t="str">
        <f>IF(AND(Hoja4!H178="Empresa de embarque B",Hoja4!I178="Cheque",Hoja4!J178="Cerveza"),"dale","vaaa")</f>
        <v>dale</v>
      </c>
      <c r="X179" t="str">
        <f>IF(OR(Hoja4!H178="Empresa de embarque B",Hoja4!I178="Cheque",Hoja4!J178="cerveza"),"dale","vaaa")</f>
        <v>dale</v>
      </c>
      <c r="Z179" t="str">
        <f>IF(NOT(OR(Hoja4!I178="Cheque",Hoja4!J178="Cerveza")),"Aprobado","No Aprobado")</f>
        <v>No Aprobado</v>
      </c>
    </row>
    <row r="180" spans="19:26" x14ac:dyDescent="0.25">
      <c r="S180" s="2" t="b">
        <f>AND(Hoja4!$P179="abril",Hoja4!$O179="Jue.")</f>
        <v>0</v>
      </c>
      <c r="T180" t="str">
        <f>IF(AND(Hoja4!H179="Empresa de embarque B",Hoja4!I179="Cheque"),"dale","vaaa")</f>
        <v>vaaa</v>
      </c>
      <c r="V180" t="str">
        <f>IF(AND(Hoja4!H179="Empresa de embarque B",Hoja4!I179="Cheque",Hoja4!J179="Cerveza"),"dale","vaaa")</f>
        <v>vaaa</v>
      </c>
      <c r="X180" t="str">
        <f>IF(OR(Hoja4!H179="Empresa de embarque B",Hoja4!I179="Cheque",Hoja4!J179="cerveza"),"dale","vaaa")</f>
        <v>dale</v>
      </c>
      <c r="Z180" t="str">
        <f>IF(NOT(OR(Hoja4!I179="Cheque",Hoja4!J179="Cerveza")),"Aprobado","No Aprobado")</f>
        <v>No Aprobado</v>
      </c>
    </row>
    <row r="181" spans="19:26" x14ac:dyDescent="0.25">
      <c r="S181" s="2" t="b">
        <f>AND(Hoja4!$P180="abril",Hoja4!$O180="Jue.")</f>
        <v>1</v>
      </c>
      <c r="T181" t="str">
        <f>IF(AND(Hoja4!H180="Empresa de embarque B",Hoja4!I180="Cheque"),"dale","vaaa")</f>
        <v>vaaa</v>
      </c>
      <c r="V181" t="str">
        <f>IF(AND(Hoja4!H180="Empresa de embarque B",Hoja4!I180="Cheque",Hoja4!J180="Cerveza"),"dale","vaaa")</f>
        <v>vaaa</v>
      </c>
      <c r="X181" t="str">
        <f>IF(OR(Hoja4!H180="Empresa de embarque B",Hoja4!I180="Cheque",Hoja4!J180="cerveza"),"dale","vaaa")</f>
        <v>vaaa</v>
      </c>
      <c r="Z181" t="str">
        <f>IF(NOT(OR(Hoja4!I180="Cheque",Hoja4!J180="Cerveza")),"Aprobado","No Aprobado")</f>
        <v>Aprobado</v>
      </c>
    </row>
    <row r="182" spans="19:26" x14ac:dyDescent="0.25">
      <c r="S182" s="2" t="b">
        <f>AND(Hoja4!$P181="abril",Hoja4!$O181="Jue.")</f>
        <v>0</v>
      </c>
      <c r="T182" t="str">
        <f>IF(AND(Hoja4!H181="Empresa de embarque B",Hoja4!I181="Cheque"),"dale","vaaa")</f>
        <v>vaaa</v>
      </c>
      <c r="V182" t="str">
        <f>IF(AND(Hoja4!H181="Empresa de embarque B",Hoja4!I181="Cheque",Hoja4!J181="Cerveza"),"dale","vaaa")</f>
        <v>vaaa</v>
      </c>
      <c r="X182" t="str">
        <f>IF(OR(Hoja4!H181="Empresa de embarque B",Hoja4!I181="Cheque",Hoja4!J181="cerveza"),"dale","vaaa")</f>
        <v>vaaa</v>
      </c>
      <c r="Z182" t="str">
        <f>IF(NOT(OR(Hoja4!I181="Cheque",Hoja4!J181="Cerveza")),"Aprobado","No Aprobado")</f>
        <v>Aprobado</v>
      </c>
    </row>
    <row r="183" spans="19:26" x14ac:dyDescent="0.25">
      <c r="S183" s="2" t="b">
        <f>AND(Hoja4!$P182="abril",Hoja4!$O182="Jue.")</f>
        <v>0</v>
      </c>
      <c r="T183" t="str">
        <f>IF(AND(Hoja4!H182="Empresa de embarque B",Hoja4!I182="Cheque"),"dale","vaaa")</f>
        <v>vaaa</v>
      </c>
      <c r="V183" t="str">
        <f>IF(AND(Hoja4!H182="Empresa de embarque B",Hoja4!I182="Cheque",Hoja4!J182="Cerveza"),"dale","vaaa")</f>
        <v>vaaa</v>
      </c>
      <c r="X183" t="str">
        <f>IF(OR(Hoja4!H182="Empresa de embarque B",Hoja4!I182="Cheque",Hoja4!J182="cerveza"),"dale","vaaa")</f>
        <v>vaaa</v>
      </c>
      <c r="Z183" t="str">
        <f>IF(NOT(OR(Hoja4!I182="Cheque",Hoja4!J182="Cerveza")),"Aprobado","No Aprobado")</f>
        <v>Aprobado</v>
      </c>
    </row>
    <row r="184" spans="19:26" x14ac:dyDescent="0.25">
      <c r="S184" s="2" t="b">
        <f>AND(Hoja4!$P183="abril",Hoja4!$O183="Jue.")</f>
        <v>0</v>
      </c>
      <c r="T184" t="str">
        <f>IF(AND(Hoja4!H183="Empresa de embarque B",Hoja4!I183="Cheque"),"dale","vaaa")</f>
        <v>vaaa</v>
      </c>
      <c r="V184" t="str">
        <f>IF(AND(Hoja4!H183="Empresa de embarque B",Hoja4!I183="Cheque",Hoja4!J183="Cerveza"),"dale","vaaa")</f>
        <v>vaaa</v>
      </c>
      <c r="X184" t="str">
        <f>IF(OR(Hoja4!H183="Empresa de embarque B",Hoja4!I183="Cheque",Hoja4!J183="cerveza"),"dale","vaaa")</f>
        <v>dale</v>
      </c>
      <c r="Z184" t="str">
        <f>IF(NOT(OR(Hoja4!I183="Cheque",Hoja4!J183="Cerveza")),"Aprobado","No Aprobado")</f>
        <v>Aprobado</v>
      </c>
    </row>
    <row r="185" spans="19:26" x14ac:dyDescent="0.25">
      <c r="S185" s="2" t="b">
        <f>AND(Hoja4!$P184="abril",Hoja4!$O184="Jue.")</f>
        <v>0</v>
      </c>
      <c r="T185" t="str">
        <f>IF(AND(Hoja4!H184="Empresa de embarque B",Hoja4!I184="Cheque"),"dale","vaaa")</f>
        <v>vaaa</v>
      </c>
      <c r="V185" t="str">
        <f>IF(AND(Hoja4!H184="Empresa de embarque B",Hoja4!I184="Cheque",Hoja4!J184="Cerveza"),"dale","vaaa")</f>
        <v>vaaa</v>
      </c>
      <c r="X185" t="str">
        <f>IF(OR(Hoja4!H184="Empresa de embarque B",Hoja4!I184="Cheque",Hoja4!J184="cerveza"),"dale","vaaa")</f>
        <v>dale</v>
      </c>
      <c r="Z185" t="str">
        <f>IF(NOT(OR(Hoja4!I184="Cheque",Hoja4!J184="Cerveza")),"Aprobado","No Aprobado")</f>
        <v>Aprobado</v>
      </c>
    </row>
    <row r="186" spans="19:26" x14ac:dyDescent="0.25">
      <c r="S186" s="2" t="b">
        <f>AND(Hoja4!$P185="abril",Hoja4!$O185="Jue.")</f>
        <v>0</v>
      </c>
      <c r="T186" t="str">
        <f>IF(AND(Hoja4!H185="Empresa de embarque B",Hoja4!I185="Cheque"),"dale","vaaa")</f>
        <v>vaaa</v>
      </c>
      <c r="V186" t="str">
        <f>IF(AND(Hoja4!H185="Empresa de embarque B",Hoja4!I185="Cheque",Hoja4!J185="Cerveza"),"dale","vaaa")</f>
        <v>vaaa</v>
      </c>
      <c r="X186" t="str">
        <f>IF(OR(Hoja4!H185="Empresa de embarque B",Hoja4!I185="Cheque",Hoja4!J185="cerveza"),"dale","vaaa")</f>
        <v>dale</v>
      </c>
      <c r="Z186" t="str">
        <f>IF(NOT(OR(Hoja4!I185="Cheque",Hoja4!J185="Cerveza")),"Aprobado","No Aprobado")</f>
        <v>Aprobado</v>
      </c>
    </row>
    <row r="187" spans="19:26" x14ac:dyDescent="0.25">
      <c r="S187" s="2" t="b">
        <f>AND(Hoja4!$P186="abril",Hoja4!$O186="Jue.")</f>
        <v>0</v>
      </c>
      <c r="T187" t="str">
        <f>IF(AND(Hoja4!H186="Empresa de embarque B",Hoja4!I186="Cheque"),"dale","vaaa")</f>
        <v>vaaa</v>
      </c>
      <c r="V187" t="str">
        <f>IF(AND(Hoja4!H186="Empresa de embarque B",Hoja4!I186="Cheque",Hoja4!J186="Cerveza"),"dale","vaaa")</f>
        <v>vaaa</v>
      </c>
      <c r="X187" t="str">
        <f>IF(OR(Hoja4!H186="Empresa de embarque B",Hoja4!I186="Cheque",Hoja4!J186="cerveza"),"dale","vaaa")</f>
        <v>vaaa</v>
      </c>
      <c r="Z187" t="str">
        <f>IF(NOT(OR(Hoja4!I186="Cheque",Hoja4!J186="Cerveza")),"Aprobado","No Aprobado")</f>
        <v>Aprobado</v>
      </c>
    </row>
    <row r="188" spans="19:26" x14ac:dyDescent="0.25">
      <c r="S188" s="2" t="b">
        <f>AND(Hoja4!$P187="abril",Hoja4!$O187="Jue.")</f>
        <v>0</v>
      </c>
      <c r="T188" t="str">
        <f>IF(AND(Hoja4!H187="Empresa de embarque B",Hoja4!I187="Cheque"),"dale","vaaa")</f>
        <v>vaaa</v>
      </c>
      <c r="V188" t="str">
        <f>IF(AND(Hoja4!H187="Empresa de embarque B",Hoja4!I187="Cheque",Hoja4!J187="Cerveza"),"dale","vaaa")</f>
        <v>vaaa</v>
      </c>
      <c r="X188" t="str">
        <f>IF(OR(Hoja4!H187="Empresa de embarque B",Hoja4!I187="Cheque",Hoja4!J187="cerveza"),"dale","vaaa")</f>
        <v>vaaa</v>
      </c>
      <c r="Z188" t="str">
        <f>IF(NOT(OR(Hoja4!I187="Cheque",Hoja4!J187="Cerveza")),"Aprobado","No Aprobado")</f>
        <v>Aprobado</v>
      </c>
    </row>
    <row r="189" spans="19:26" x14ac:dyDescent="0.25">
      <c r="S189" s="2" t="b">
        <f>AND(Hoja4!$P188="abril",Hoja4!$O188="Jue.")</f>
        <v>0</v>
      </c>
      <c r="T189" t="str">
        <f>IF(AND(Hoja4!H188="Empresa de embarque B",Hoja4!I188="Cheque"),"dale","vaaa")</f>
        <v>vaaa</v>
      </c>
      <c r="V189" t="str">
        <f>IF(AND(Hoja4!H188="Empresa de embarque B",Hoja4!I188="Cheque",Hoja4!J188="Cerveza"),"dale","vaaa")</f>
        <v>vaaa</v>
      </c>
      <c r="X189" t="str">
        <f>IF(OR(Hoja4!H188="Empresa de embarque B",Hoja4!I188="Cheque",Hoja4!J188="cerveza"),"dale","vaaa")</f>
        <v>vaaa</v>
      </c>
      <c r="Z189" t="str">
        <f>IF(NOT(OR(Hoja4!I188="Cheque",Hoja4!J188="Cerveza")),"Aprobado","No Aprobado")</f>
        <v>Aprobado</v>
      </c>
    </row>
    <row r="190" spans="19:26" x14ac:dyDescent="0.25">
      <c r="S190" s="2" t="b">
        <f>AND(Hoja4!$P189="abril",Hoja4!$O189="Jue.")</f>
        <v>0</v>
      </c>
      <c r="T190" t="str">
        <f>IF(AND(Hoja4!H189="Empresa de embarque B",Hoja4!I189="Cheque"),"dale","vaaa")</f>
        <v>vaaa</v>
      </c>
      <c r="V190" t="str">
        <f>IF(AND(Hoja4!H189="Empresa de embarque B",Hoja4!I189="Cheque",Hoja4!J189="Cerveza"),"dale","vaaa")</f>
        <v>vaaa</v>
      </c>
      <c r="X190" t="str">
        <f>IF(OR(Hoja4!H189="Empresa de embarque B",Hoja4!I189="Cheque",Hoja4!J189="cerveza"),"dale","vaaa")</f>
        <v>vaaa</v>
      </c>
      <c r="Z190" t="str">
        <f>IF(NOT(OR(Hoja4!I189="Cheque",Hoja4!J189="Cerveza")),"Aprobado","No Aprobado")</f>
        <v>Aprobado</v>
      </c>
    </row>
    <row r="191" spans="19:26" x14ac:dyDescent="0.25">
      <c r="S191" s="2" t="b">
        <f>AND(Hoja4!$P190="abril",Hoja4!$O190="Jue.")</f>
        <v>0</v>
      </c>
      <c r="T191" t="str">
        <f>IF(AND(Hoja4!H190="Empresa de embarque B",Hoja4!I190="Cheque"),"dale","vaaa")</f>
        <v>vaaa</v>
      </c>
      <c r="V191" t="str">
        <f>IF(AND(Hoja4!H190="Empresa de embarque B",Hoja4!I190="Cheque",Hoja4!J190="Cerveza"),"dale","vaaa")</f>
        <v>vaaa</v>
      </c>
      <c r="X191" t="str">
        <f>IF(OR(Hoja4!H190="Empresa de embarque B",Hoja4!I190="Cheque",Hoja4!J190="cerveza"),"dale","vaaa")</f>
        <v>dale</v>
      </c>
      <c r="Z191" t="str">
        <f>IF(NOT(OR(Hoja4!I190="Cheque",Hoja4!J190="Cerveza")),"Aprobado","No Aprobado")</f>
        <v>No Aprobado</v>
      </c>
    </row>
    <row r="192" spans="19:26" x14ac:dyDescent="0.25">
      <c r="S192" s="2" t="b">
        <f>AND(Hoja4!$P191="abril",Hoja4!$O191="Jue.")</f>
        <v>0</v>
      </c>
      <c r="T192" t="str">
        <f>IF(AND(Hoja4!H191="Empresa de embarque B",Hoja4!I191="Cheque"),"dale","vaaa")</f>
        <v>vaaa</v>
      </c>
      <c r="V192" t="str">
        <f>IF(AND(Hoja4!H191="Empresa de embarque B",Hoja4!I191="Cheque",Hoja4!J191="Cerveza"),"dale","vaaa")</f>
        <v>vaaa</v>
      </c>
      <c r="X192" t="str">
        <f>IF(OR(Hoja4!H191="Empresa de embarque B",Hoja4!I191="Cheque",Hoja4!J191="cerveza"),"dale","vaaa")</f>
        <v>dale</v>
      </c>
      <c r="Z192" t="str">
        <f>IF(NOT(OR(Hoja4!I191="Cheque",Hoja4!J191="Cerveza")),"Aprobado","No Aprobado")</f>
        <v>Aprobado</v>
      </c>
    </row>
    <row r="193" spans="19:26" x14ac:dyDescent="0.25">
      <c r="S193" s="2" t="b">
        <f>AND(Hoja4!$P192="abril",Hoja4!$O192="Jue.")</f>
        <v>0</v>
      </c>
      <c r="T193" t="str">
        <f>IF(AND(Hoja4!H192="Empresa de embarque B",Hoja4!I192="Cheque"),"dale","vaaa")</f>
        <v>vaaa</v>
      </c>
      <c r="V193" t="str">
        <f>IF(AND(Hoja4!H192="Empresa de embarque B",Hoja4!I192="Cheque",Hoja4!J192="Cerveza"),"dale","vaaa")</f>
        <v>vaaa</v>
      </c>
      <c r="X193" t="str">
        <f>IF(OR(Hoja4!H192="Empresa de embarque B",Hoja4!I192="Cheque",Hoja4!J192="cerveza"),"dale","vaaa")</f>
        <v>dale</v>
      </c>
      <c r="Z193" t="str">
        <f>IF(NOT(OR(Hoja4!I192="Cheque",Hoja4!J192="Cerveza")),"Aprobado","No Aprobado")</f>
        <v>No Aprobado</v>
      </c>
    </row>
    <row r="194" spans="19:26" x14ac:dyDescent="0.25">
      <c r="S194" s="2" t="b">
        <f>AND(Hoja4!$P193="abril",Hoja4!$O193="Jue.")</f>
        <v>0</v>
      </c>
      <c r="T194" t="str">
        <f>IF(AND(Hoja4!H193="Empresa de embarque B",Hoja4!I193="Cheque"),"dale","vaaa")</f>
        <v>vaaa</v>
      </c>
      <c r="V194" t="str">
        <f>IF(AND(Hoja4!H193="Empresa de embarque B",Hoja4!I193="Cheque",Hoja4!J193="Cerveza"),"dale","vaaa")</f>
        <v>vaaa</v>
      </c>
      <c r="X194" t="str">
        <f>IF(OR(Hoja4!H193="Empresa de embarque B",Hoja4!I193="Cheque",Hoja4!J193="cerveza"),"dale","vaaa")</f>
        <v>dale</v>
      </c>
      <c r="Z194" t="str">
        <f>IF(NOT(OR(Hoja4!I193="Cheque",Hoja4!J193="Cerveza")),"Aprobado","No Aprobado")</f>
        <v>No Aprobado</v>
      </c>
    </row>
    <row r="195" spans="19:26" x14ac:dyDescent="0.25">
      <c r="S195" s="2" t="b">
        <f>AND(Hoja4!$P194="abril",Hoja4!$O194="Jue.")</f>
        <v>0</v>
      </c>
      <c r="T195" t="str">
        <f>IF(AND(Hoja4!H194="Empresa de embarque B",Hoja4!I194="Cheque"),"dale","vaaa")</f>
        <v>vaaa</v>
      </c>
      <c r="V195" t="str">
        <f>IF(AND(Hoja4!H194="Empresa de embarque B",Hoja4!I194="Cheque",Hoja4!J194="Cerveza"),"dale","vaaa")</f>
        <v>vaaa</v>
      </c>
      <c r="X195" t="str">
        <f>IF(OR(Hoja4!H194="Empresa de embarque B",Hoja4!I194="Cheque",Hoja4!J194="cerveza"),"dale","vaaa")</f>
        <v>dale</v>
      </c>
      <c r="Z195" t="str">
        <f>IF(NOT(OR(Hoja4!I194="Cheque",Hoja4!J194="Cerveza")),"Aprobado","No Aprobado")</f>
        <v>Aprobado</v>
      </c>
    </row>
    <row r="196" spans="19:26" x14ac:dyDescent="0.25">
      <c r="S196" s="2" t="b">
        <f>AND(Hoja4!$P195="abril",Hoja4!$O195="Jue.")</f>
        <v>0</v>
      </c>
      <c r="T196" t="str">
        <f>IF(AND(Hoja4!H195="Empresa de embarque B",Hoja4!I195="Cheque"),"dale","vaaa")</f>
        <v>vaaa</v>
      </c>
      <c r="V196" t="str">
        <f>IF(AND(Hoja4!H195="Empresa de embarque B",Hoja4!I195="Cheque",Hoja4!J195="Cerveza"),"dale","vaaa")</f>
        <v>vaaa</v>
      </c>
      <c r="X196" t="str">
        <f>IF(OR(Hoja4!H195="Empresa de embarque B",Hoja4!I195="Cheque",Hoja4!J195="cerveza"),"dale","vaaa")</f>
        <v>vaaa</v>
      </c>
      <c r="Z196" t="str">
        <f>IF(NOT(OR(Hoja4!I195="Cheque",Hoja4!J195="Cerveza")),"Aprobado","No Aprobado")</f>
        <v>Aprobado</v>
      </c>
    </row>
    <row r="197" spans="19:26" x14ac:dyDescent="0.25">
      <c r="S197" s="2" t="b">
        <f>AND(Hoja4!$P196="abril",Hoja4!$O196="Jue.")</f>
        <v>0</v>
      </c>
      <c r="T197" t="str">
        <f>IF(AND(Hoja4!H196="Empresa de embarque B",Hoja4!I196="Cheque"),"dale","vaaa")</f>
        <v>vaaa</v>
      </c>
      <c r="V197" t="str">
        <f>IF(AND(Hoja4!H196="Empresa de embarque B",Hoja4!I196="Cheque",Hoja4!J196="Cerveza"),"dale","vaaa")</f>
        <v>vaaa</v>
      </c>
      <c r="X197" t="str">
        <f>IF(OR(Hoja4!H196="Empresa de embarque B",Hoja4!I196="Cheque",Hoja4!J196="cerveza"),"dale","vaaa")</f>
        <v>vaaa</v>
      </c>
      <c r="Z197" t="str">
        <f>IF(NOT(OR(Hoja4!I196="Cheque",Hoja4!J196="Cerveza")),"Aprobado","No Aprobado")</f>
        <v>Aprobado</v>
      </c>
    </row>
    <row r="198" spans="19:26" x14ac:dyDescent="0.25">
      <c r="S198" s="2" t="b">
        <f>AND(Hoja4!$P197="abril",Hoja4!$O197="Jue.")</f>
        <v>0</v>
      </c>
      <c r="T198" t="str">
        <f>IF(AND(Hoja4!H197="Empresa de embarque B",Hoja4!I197="Cheque"),"dale","vaaa")</f>
        <v>vaaa</v>
      </c>
      <c r="V198" t="str">
        <f>IF(AND(Hoja4!H197="Empresa de embarque B",Hoja4!I197="Cheque",Hoja4!J197="Cerveza"),"dale","vaaa")</f>
        <v>vaaa</v>
      </c>
      <c r="X198" t="str">
        <f>IF(OR(Hoja4!H197="Empresa de embarque B",Hoja4!I197="Cheque",Hoja4!J197="cerveza"),"dale","vaaa")</f>
        <v>vaaa</v>
      </c>
      <c r="Z198" t="str">
        <f>IF(NOT(OR(Hoja4!I197="Cheque",Hoja4!J197="Cerveza")),"Aprobado","No Aprobado")</f>
        <v>Aprobado</v>
      </c>
    </row>
    <row r="199" spans="19:26" x14ac:dyDescent="0.25">
      <c r="S199" s="2" t="b">
        <f>AND(Hoja4!$P198="abril",Hoja4!$O198="Jue.")</f>
        <v>0</v>
      </c>
      <c r="T199" t="str">
        <f>IF(AND(Hoja4!H198="Empresa de embarque B",Hoja4!I198="Cheque"),"dale","vaaa")</f>
        <v>vaaa</v>
      </c>
      <c r="V199" t="str">
        <f>IF(AND(Hoja4!H198="Empresa de embarque B",Hoja4!I198="Cheque",Hoja4!J198="Cerveza"),"dale","vaaa")</f>
        <v>vaaa</v>
      </c>
      <c r="X199" t="str">
        <f>IF(OR(Hoja4!H198="Empresa de embarque B",Hoja4!I198="Cheque",Hoja4!J198="cerveza"),"dale","vaaa")</f>
        <v>vaaa</v>
      </c>
      <c r="Z199" t="str">
        <f>IF(NOT(OR(Hoja4!I198="Cheque",Hoja4!J198="Cerveza")),"Aprobado","No Aprobado")</f>
        <v>Aprobado</v>
      </c>
    </row>
    <row r="200" spans="19:26" x14ac:dyDescent="0.25">
      <c r="S200" s="2" t="b">
        <f>AND(Hoja4!$P199="abril",Hoja4!$O199="Jue.")</f>
        <v>0</v>
      </c>
      <c r="T200" t="str">
        <f>IF(AND(Hoja4!H199="Empresa de embarque B",Hoja4!I199="Cheque"),"dale","vaaa")</f>
        <v>vaaa</v>
      </c>
      <c r="V200" t="str">
        <f>IF(AND(Hoja4!H199="Empresa de embarque B",Hoja4!I199="Cheque",Hoja4!J199="Cerveza"),"dale","vaaa")</f>
        <v>vaaa</v>
      </c>
      <c r="X200" t="str">
        <f>IF(OR(Hoja4!H199="Empresa de embarque B",Hoja4!I199="Cheque",Hoja4!J199="cerveza"),"dale","vaaa")</f>
        <v>vaaa</v>
      </c>
      <c r="Z200" t="str">
        <f>IF(NOT(OR(Hoja4!I199="Cheque",Hoja4!J199="Cerveza")),"Aprobado","No Aprobado")</f>
        <v>Aprobado</v>
      </c>
    </row>
    <row r="201" spans="19:26" x14ac:dyDescent="0.25">
      <c r="S201" s="2" t="b">
        <f>AND(Hoja4!$P200="abril",Hoja4!$O200="Jue.")</f>
        <v>0</v>
      </c>
      <c r="T201" t="str">
        <f>IF(AND(Hoja4!H200="Empresa de embarque B",Hoja4!I200="Cheque"),"dale","vaaa")</f>
        <v>vaaa</v>
      </c>
      <c r="V201" t="str">
        <f>IF(AND(Hoja4!H200="Empresa de embarque B",Hoja4!I200="Cheque",Hoja4!J200="Cerveza"),"dale","vaaa")</f>
        <v>vaaa</v>
      </c>
      <c r="X201" t="str">
        <f>IF(OR(Hoja4!H200="Empresa de embarque B",Hoja4!I200="Cheque",Hoja4!J200="cerveza"),"dale","vaaa")</f>
        <v>vaaa</v>
      </c>
      <c r="Z201" t="str">
        <f>IF(NOT(OR(Hoja4!I200="Cheque",Hoja4!J200="Cerveza")),"Aprobado","No Aprobado")</f>
        <v>Aprobado</v>
      </c>
    </row>
    <row r="202" spans="19:26" x14ac:dyDescent="0.25">
      <c r="S202" s="2" t="b">
        <f>AND(Hoja4!$P201="abril",Hoja4!$O201="Jue.")</f>
        <v>0</v>
      </c>
      <c r="T202" t="str">
        <f>IF(AND(Hoja4!H201="Empresa de embarque B",Hoja4!I201="Cheque"),"dale","vaaa")</f>
        <v>vaaa</v>
      </c>
      <c r="V202" t="str">
        <f>IF(AND(Hoja4!H201="Empresa de embarque B",Hoja4!I201="Cheque",Hoja4!J201="Cerveza"),"dale","vaaa")</f>
        <v>vaaa</v>
      </c>
      <c r="X202" t="str">
        <f>IF(OR(Hoja4!H201="Empresa de embarque B",Hoja4!I201="Cheque",Hoja4!J201="cerveza"),"dale","vaaa")</f>
        <v>vaaa</v>
      </c>
      <c r="Z202" t="str">
        <f>IF(NOT(OR(Hoja4!I201="Cheque",Hoja4!J201="Cerveza")),"Aprobado","No Aprobado")</f>
        <v>Aprobado</v>
      </c>
    </row>
    <row r="203" spans="19:26" x14ac:dyDescent="0.25">
      <c r="S203" s="2" t="b">
        <f>AND(Hoja4!$P202="abril",Hoja4!$O202="Jue.")</f>
        <v>0</v>
      </c>
      <c r="T203" t="str">
        <f>IF(AND(Hoja4!H202="Empresa de embarque B",Hoja4!I202="Cheque"),"dale","vaaa")</f>
        <v>vaaa</v>
      </c>
      <c r="V203" t="str">
        <f>IF(AND(Hoja4!H202="Empresa de embarque B",Hoja4!I202="Cheque",Hoja4!J202="Cerveza"),"dale","vaaa")</f>
        <v>vaaa</v>
      </c>
      <c r="X203" t="str">
        <f>IF(OR(Hoja4!H202="Empresa de embarque B",Hoja4!I202="Cheque",Hoja4!J202="cerveza"),"dale","vaaa")</f>
        <v>vaaa</v>
      </c>
      <c r="Z203" t="str">
        <f>IF(NOT(OR(Hoja4!I202="Cheque",Hoja4!J202="Cerveza")),"Aprobado","No Aprobado")</f>
        <v>Aprobado</v>
      </c>
    </row>
    <row r="204" spans="19:26" x14ac:dyDescent="0.25">
      <c r="S204" s="2" t="b">
        <f>AND(Hoja4!$P203="abril",Hoja4!$O203="Jue.")</f>
        <v>1</v>
      </c>
      <c r="T204" t="str">
        <f>IF(AND(Hoja4!H203="Empresa de embarque B",Hoja4!I203="Cheque"),"dale","vaaa")</f>
        <v>vaaa</v>
      </c>
      <c r="V204" t="str">
        <f>IF(AND(Hoja4!H203="Empresa de embarque B",Hoja4!I203="Cheque",Hoja4!J203="Cerveza"),"dale","vaaa")</f>
        <v>vaaa</v>
      </c>
      <c r="X204" t="str">
        <f>IF(OR(Hoja4!H203="Empresa de embarque B",Hoja4!I203="Cheque",Hoja4!J203="cerveza"),"dale","vaaa")</f>
        <v>vaaa</v>
      </c>
      <c r="Z204" t="str">
        <f>IF(NOT(OR(Hoja4!I203="Cheque",Hoja4!J203="Cerveza")),"Aprobado","No Aprobado")</f>
        <v>Aprobado</v>
      </c>
    </row>
    <row r="205" spans="19:26" x14ac:dyDescent="0.25">
      <c r="S205" s="2" t="b">
        <f>AND(Hoja4!$P204="abril",Hoja4!$O204="Jue.")</f>
        <v>0</v>
      </c>
      <c r="T205" t="str">
        <f>IF(AND(Hoja4!H204="Empresa de embarque B",Hoja4!I204="Cheque"),"dale","vaaa")</f>
        <v>vaaa</v>
      </c>
      <c r="V205" t="str">
        <f>IF(AND(Hoja4!H204="Empresa de embarque B",Hoja4!I204="Cheque",Hoja4!J204="Cerveza"),"dale","vaaa")</f>
        <v>vaaa</v>
      </c>
      <c r="X205" t="str">
        <f>IF(OR(Hoja4!H204="Empresa de embarque B",Hoja4!I204="Cheque",Hoja4!J204="cerveza"),"dale","vaaa")</f>
        <v>vaaa</v>
      </c>
      <c r="Z205" t="str">
        <f>IF(NOT(OR(Hoja4!I204="Cheque",Hoja4!J204="Cerveza")),"Aprobado","No Aprobado")</f>
        <v>Aprobado</v>
      </c>
    </row>
    <row r="206" spans="19:26" x14ac:dyDescent="0.25">
      <c r="S206" s="2" t="b">
        <f>AND(Hoja4!$P205="abril",Hoja4!$O205="Jue.")</f>
        <v>0</v>
      </c>
      <c r="T206" t="str">
        <f>IF(AND(Hoja4!H205="Empresa de embarque B",Hoja4!I205="Cheque"),"dale","vaaa")</f>
        <v>vaaa</v>
      </c>
      <c r="V206" t="str">
        <f>IF(AND(Hoja4!H205="Empresa de embarque B",Hoja4!I205="Cheque",Hoja4!J205="Cerveza"),"dale","vaaa")</f>
        <v>vaaa</v>
      </c>
      <c r="X206" t="str">
        <f>IF(OR(Hoja4!H205="Empresa de embarque B",Hoja4!I205="Cheque",Hoja4!J205="cerveza"),"dale","vaaa")</f>
        <v>vaaa</v>
      </c>
      <c r="Z206" t="str">
        <f>IF(NOT(OR(Hoja4!I205="Cheque",Hoja4!J205="Cerveza")),"Aprobado","No Aprobado")</f>
        <v>Aprobado</v>
      </c>
    </row>
    <row r="207" spans="19:26" x14ac:dyDescent="0.25">
      <c r="S207" s="2" t="b">
        <f>AND(Hoja4!$P206="abril",Hoja4!$O206="Jue.")</f>
        <v>0</v>
      </c>
      <c r="T207" t="str">
        <f>IF(AND(Hoja4!H206="Empresa de embarque B",Hoja4!I206="Cheque"),"dale","vaaa")</f>
        <v>vaaa</v>
      </c>
      <c r="V207" t="str">
        <f>IF(AND(Hoja4!H206="Empresa de embarque B",Hoja4!I206="Cheque",Hoja4!J206="Cerveza"),"dale","vaaa")</f>
        <v>vaaa</v>
      </c>
      <c r="X207" t="str">
        <f>IF(OR(Hoja4!H206="Empresa de embarque B",Hoja4!I206="Cheque",Hoja4!J206="cerveza"),"dale","vaaa")</f>
        <v>dale</v>
      </c>
      <c r="Z207" t="str">
        <f>IF(NOT(OR(Hoja4!I206="Cheque",Hoja4!J206="Cerveza")),"Aprobado","No Aprobado")</f>
        <v>No Aprobado</v>
      </c>
    </row>
    <row r="208" spans="19:26" x14ac:dyDescent="0.25">
      <c r="S208" s="2" t="b">
        <f>AND(Hoja4!$P207="abril",Hoja4!$O207="Jue.")</f>
        <v>0</v>
      </c>
      <c r="T208" t="str">
        <f>IF(AND(Hoja4!H207="Empresa de embarque B",Hoja4!I207="Cheque"),"dale","vaaa")</f>
        <v>vaaa</v>
      </c>
      <c r="V208" t="str">
        <f>IF(AND(Hoja4!H207="Empresa de embarque B",Hoja4!I207="Cheque",Hoja4!J207="Cerveza"),"dale","vaaa")</f>
        <v>vaaa</v>
      </c>
      <c r="X208" t="str">
        <f>IF(OR(Hoja4!H207="Empresa de embarque B",Hoja4!I207="Cheque",Hoja4!J207="cerveza"),"dale","vaaa")</f>
        <v>dale</v>
      </c>
      <c r="Z208" t="str">
        <f>IF(NOT(OR(Hoja4!I207="Cheque",Hoja4!J207="Cerveza")),"Aprobado","No Aprobado")</f>
        <v>No Aprobado</v>
      </c>
    </row>
    <row r="209" spans="19:26" x14ac:dyDescent="0.25">
      <c r="S209" s="2" t="b">
        <f>AND(Hoja4!$P208="abril",Hoja4!$O208="Jue.")</f>
        <v>0</v>
      </c>
      <c r="T209" t="str">
        <f>IF(AND(Hoja4!H208="Empresa de embarque B",Hoja4!I208="Cheque"),"dale","vaaa")</f>
        <v>vaaa</v>
      </c>
      <c r="V209" t="str">
        <f>IF(AND(Hoja4!H208="Empresa de embarque B",Hoja4!I208="Cheque",Hoja4!J208="Cerveza"),"dale","vaaa")</f>
        <v>vaaa</v>
      </c>
      <c r="X209" t="str">
        <f>IF(OR(Hoja4!H208="Empresa de embarque B",Hoja4!I208="Cheque",Hoja4!J208="cerveza"),"dale","vaaa")</f>
        <v>dale</v>
      </c>
      <c r="Z209" t="str">
        <f>IF(NOT(OR(Hoja4!I208="Cheque",Hoja4!J208="Cerveza")),"Aprobado","No Aprobado")</f>
        <v>No Aprobado</v>
      </c>
    </row>
    <row r="210" spans="19:26" x14ac:dyDescent="0.25">
      <c r="S210" s="2" t="b">
        <f>AND(Hoja4!$P209="abril",Hoja4!$O209="Jue.")</f>
        <v>0</v>
      </c>
      <c r="T210" t="str">
        <f>IF(AND(Hoja4!H209="Empresa de embarque B",Hoja4!I209="Cheque"),"dale","vaaa")</f>
        <v>dale</v>
      </c>
      <c r="V210" t="str">
        <f>IF(AND(Hoja4!H209="Empresa de embarque B",Hoja4!I209="Cheque",Hoja4!J209="Cerveza"),"dale","vaaa")</f>
        <v>vaaa</v>
      </c>
      <c r="X210" t="str">
        <f>IF(OR(Hoja4!H209="Empresa de embarque B",Hoja4!I209="Cheque",Hoja4!J209="cerveza"),"dale","vaaa")</f>
        <v>dale</v>
      </c>
      <c r="Z210" t="str">
        <f>IF(NOT(OR(Hoja4!I209="Cheque",Hoja4!J209="Cerveza")),"Aprobado","No Aprobado")</f>
        <v>No Aprobado</v>
      </c>
    </row>
    <row r="211" spans="19:26" x14ac:dyDescent="0.25">
      <c r="S211" s="2" t="b">
        <f>AND(Hoja4!$P210="abril",Hoja4!$O210="Jue.")</f>
        <v>0</v>
      </c>
      <c r="T211" t="str">
        <f>IF(AND(Hoja4!H210="Empresa de embarque B",Hoja4!I210="Cheque"),"dale","vaaa")</f>
        <v>dale</v>
      </c>
      <c r="V211" t="str">
        <f>IF(AND(Hoja4!H210="Empresa de embarque B",Hoja4!I210="Cheque",Hoja4!J210="Cerveza"),"dale","vaaa")</f>
        <v>vaaa</v>
      </c>
      <c r="X211" t="str">
        <f>IF(OR(Hoja4!H210="Empresa de embarque B",Hoja4!I210="Cheque",Hoja4!J210="cerveza"),"dale","vaaa")</f>
        <v>dale</v>
      </c>
      <c r="Z211" t="str">
        <f>IF(NOT(OR(Hoja4!I210="Cheque",Hoja4!J210="Cerveza")),"Aprobado","No Aprobado")</f>
        <v>No Aprobado</v>
      </c>
    </row>
    <row r="212" spans="19:26" x14ac:dyDescent="0.25">
      <c r="S212" s="2" t="b">
        <f>AND(Hoja4!$P211="abril",Hoja4!$O211="Jue.")</f>
        <v>0</v>
      </c>
      <c r="T212" t="str">
        <f>IF(AND(Hoja4!H211="Empresa de embarque B",Hoja4!I211="Cheque"),"dale","vaaa")</f>
        <v>vaaa</v>
      </c>
      <c r="V212" t="str">
        <f>IF(AND(Hoja4!H211="Empresa de embarque B",Hoja4!I211="Cheque",Hoja4!J211="Cerveza"),"dale","vaaa")</f>
        <v>vaaa</v>
      </c>
      <c r="X212" t="str">
        <f>IF(OR(Hoja4!H211="Empresa de embarque B",Hoja4!I211="Cheque",Hoja4!J211="cerveza"),"dale","vaaa")</f>
        <v>vaaa</v>
      </c>
      <c r="Z212" t="str">
        <f>IF(NOT(OR(Hoja4!I211="Cheque",Hoja4!J211="Cerveza")),"Aprobado","No Aprobado")</f>
        <v>Aprobado</v>
      </c>
    </row>
    <row r="213" spans="19:26" x14ac:dyDescent="0.25">
      <c r="S213" s="2" t="b">
        <f>AND(Hoja4!$P212="abril",Hoja4!$O212="Jue.")</f>
        <v>0</v>
      </c>
      <c r="T213" t="str">
        <f>IF(AND(Hoja4!H212="Empresa de embarque B",Hoja4!I212="Cheque"),"dale","vaaa")</f>
        <v>vaaa</v>
      </c>
      <c r="V213" t="str">
        <f>IF(AND(Hoja4!H212="Empresa de embarque B",Hoja4!I212="Cheque",Hoja4!J212="Cerveza"),"dale","vaaa")</f>
        <v>vaaa</v>
      </c>
      <c r="X213" t="str">
        <f>IF(OR(Hoja4!H212="Empresa de embarque B",Hoja4!I212="Cheque",Hoja4!J212="cerveza"),"dale","vaaa")</f>
        <v>vaaa</v>
      </c>
      <c r="Z213" t="str">
        <f>IF(NOT(OR(Hoja4!I212="Cheque",Hoja4!J212="Cerveza")),"Aprobado","No Aprobado")</f>
        <v>Aprobado</v>
      </c>
    </row>
    <row r="214" spans="19:26" x14ac:dyDescent="0.25">
      <c r="S214" s="2" t="b">
        <f>AND(Hoja4!$P213="abril",Hoja4!$O213="Jue.")</f>
        <v>0</v>
      </c>
      <c r="T214" t="str">
        <f>IF(AND(Hoja4!H213="Empresa de embarque B",Hoja4!I213="Cheque"),"dale","vaaa")</f>
        <v>vaaa</v>
      </c>
      <c r="V214" t="str">
        <f>IF(AND(Hoja4!H213="Empresa de embarque B",Hoja4!I213="Cheque",Hoja4!J213="Cerveza"),"dale","vaaa")</f>
        <v>vaaa</v>
      </c>
      <c r="X214" t="str">
        <f>IF(OR(Hoja4!H213="Empresa de embarque B",Hoja4!I213="Cheque",Hoja4!J213="cerveza"),"dale","vaaa")</f>
        <v>vaaa</v>
      </c>
      <c r="Z214" t="str">
        <f>IF(NOT(OR(Hoja4!I213="Cheque",Hoja4!J213="Cerveza")),"Aprobado","No Aprobado")</f>
        <v>Aprobado</v>
      </c>
    </row>
    <row r="215" spans="19:26" x14ac:dyDescent="0.25">
      <c r="S215" s="2" t="b">
        <f>AND(Hoja4!$P214="abril",Hoja4!$O214="Jue.")</f>
        <v>0</v>
      </c>
      <c r="T215" t="str">
        <f>IF(AND(Hoja4!H214="Empresa de embarque B",Hoja4!I214="Cheque"),"dale","vaaa")</f>
        <v>vaaa</v>
      </c>
      <c r="V215" t="str">
        <f>IF(AND(Hoja4!H214="Empresa de embarque B",Hoja4!I214="Cheque",Hoja4!J214="Cerveza"),"dale","vaaa")</f>
        <v>vaaa</v>
      </c>
      <c r="X215" t="str">
        <f>IF(OR(Hoja4!H214="Empresa de embarque B",Hoja4!I214="Cheque",Hoja4!J214="cerveza"),"dale","vaaa")</f>
        <v>vaaa</v>
      </c>
      <c r="Z215" t="str">
        <f>IF(NOT(OR(Hoja4!I214="Cheque",Hoja4!J214="Cerveza")),"Aprobado","No Aprobado")</f>
        <v>Aprobado</v>
      </c>
    </row>
    <row r="216" spans="19:26" x14ac:dyDescent="0.25">
      <c r="S216" s="2" t="b">
        <f>AND(Hoja4!$P215="abril",Hoja4!$O215="Jue.")</f>
        <v>0</v>
      </c>
      <c r="T216" t="str">
        <f>IF(AND(Hoja4!H215="Empresa de embarque B",Hoja4!I215="Cheque"),"dale","vaaa")</f>
        <v>dale</v>
      </c>
      <c r="V216" t="str">
        <f>IF(AND(Hoja4!H215="Empresa de embarque B",Hoja4!I215="Cheque",Hoja4!J215="Cerveza"),"dale","vaaa")</f>
        <v>dale</v>
      </c>
      <c r="X216" t="str">
        <f>IF(OR(Hoja4!H215="Empresa de embarque B",Hoja4!I215="Cheque",Hoja4!J215="cerveza"),"dale","vaaa")</f>
        <v>dale</v>
      </c>
      <c r="Z216" t="str">
        <f>IF(NOT(OR(Hoja4!I215="Cheque",Hoja4!J215="Cerveza")),"Aprobado","No Aprobado")</f>
        <v>No Aprobado</v>
      </c>
    </row>
    <row r="217" spans="19:26" x14ac:dyDescent="0.25">
      <c r="S217" s="2" t="b">
        <f>AND(Hoja4!$P216="abril",Hoja4!$O216="Jue.")</f>
        <v>0</v>
      </c>
      <c r="T217" t="str">
        <f>IF(AND(Hoja4!H216="Empresa de embarque B",Hoja4!I216="Cheque"),"dale","vaaa")</f>
        <v>vaaa</v>
      </c>
      <c r="V217" t="str">
        <f>IF(AND(Hoja4!H216="Empresa de embarque B",Hoja4!I216="Cheque",Hoja4!J216="Cerveza"),"dale","vaaa")</f>
        <v>vaaa</v>
      </c>
      <c r="X217" t="str">
        <f>IF(OR(Hoja4!H216="Empresa de embarque B",Hoja4!I216="Cheque",Hoja4!J216="cerveza"),"dale","vaaa")</f>
        <v>dale</v>
      </c>
      <c r="Z217" t="str">
        <f>IF(NOT(OR(Hoja4!I216="Cheque",Hoja4!J216="Cerveza")),"Aprobado","No Aprobado")</f>
        <v>No Aprobado</v>
      </c>
    </row>
    <row r="218" spans="19:26" x14ac:dyDescent="0.25">
      <c r="S218" s="2" t="b">
        <f>AND(Hoja4!$P217="abril",Hoja4!$O217="Jue.")</f>
        <v>0</v>
      </c>
      <c r="T218" t="str">
        <f>IF(AND(Hoja4!H217="Empresa de embarque B",Hoja4!I217="Cheque"),"dale","vaaa")</f>
        <v>vaaa</v>
      </c>
      <c r="V218" t="str">
        <f>IF(AND(Hoja4!H217="Empresa de embarque B",Hoja4!I217="Cheque",Hoja4!J217="Cerveza"),"dale","vaaa")</f>
        <v>vaaa</v>
      </c>
      <c r="X218" t="str">
        <f>IF(OR(Hoja4!H217="Empresa de embarque B",Hoja4!I217="Cheque",Hoja4!J217="cerveza"),"dale","vaaa")</f>
        <v>vaaa</v>
      </c>
      <c r="Z218" t="str">
        <f>IF(NOT(OR(Hoja4!I217="Cheque",Hoja4!J217="Cerveza")),"Aprobado","No Aprobado")</f>
        <v>Aprobado</v>
      </c>
    </row>
    <row r="219" spans="19:26" x14ac:dyDescent="0.25">
      <c r="S219" s="2" t="b">
        <f>AND(Hoja4!$P218="abril",Hoja4!$O218="Jue.")</f>
        <v>0</v>
      </c>
      <c r="T219" t="str">
        <f>IF(AND(Hoja4!H218="Empresa de embarque B",Hoja4!I218="Cheque"),"dale","vaaa")</f>
        <v>vaaa</v>
      </c>
      <c r="V219" t="str">
        <f>IF(AND(Hoja4!H218="Empresa de embarque B",Hoja4!I218="Cheque",Hoja4!J218="Cerveza"),"dale","vaaa")</f>
        <v>vaaa</v>
      </c>
      <c r="X219" t="str">
        <f>IF(OR(Hoja4!H218="Empresa de embarque B",Hoja4!I218="Cheque",Hoja4!J218="cerveza"),"dale","vaaa")</f>
        <v>vaaa</v>
      </c>
      <c r="Z219" t="str">
        <f>IF(NOT(OR(Hoja4!I218="Cheque",Hoja4!J218="Cerveza")),"Aprobado","No Aprobado")</f>
        <v>Aprobado</v>
      </c>
    </row>
    <row r="220" spans="19:26" x14ac:dyDescent="0.25">
      <c r="S220" s="2" t="b">
        <f>AND(Hoja4!$P219="abril",Hoja4!$O219="Jue.")</f>
        <v>0</v>
      </c>
      <c r="T220" t="str">
        <f>IF(AND(Hoja4!H219="Empresa de embarque B",Hoja4!I219="Cheque"),"dale","vaaa")</f>
        <v>vaaa</v>
      </c>
      <c r="V220" t="str">
        <f>IF(AND(Hoja4!H219="Empresa de embarque B",Hoja4!I219="Cheque",Hoja4!J219="Cerveza"),"dale","vaaa")</f>
        <v>vaaa</v>
      </c>
      <c r="X220" t="str">
        <f>IF(OR(Hoja4!H219="Empresa de embarque B",Hoja4!I219="Cheque",Hoja4!J219="cerveza"),"dale","vaaa")</f>
        <v>vaaa</v>
      </c>
      <c r="Z220" t="str">
        <f>IF(NOT(OR(Hoja4!I219="Cheque",Hoja4!J219="Cerveza")),"Aprobado","No Aprobado")</f>
        <v>Aprobado</v>
      </c>
    </row>
    <row r="221" spans="19:26" x14ac:dyDescent="0.25">
      <c r="S221" s="2" t="b">
        <f>AND(Hoja4!$P220="abril",Hoja4!$O220="Jue.")</f>
        <v>0</v>
      </c>
      <c r="T221" t="str">
        <f>IF(AND(Hoja4!H220="Empresa de embarque B",Hoja4!I220="Cheque"),"dale","vaaa")</f>
        <v>vaaa</v>
      </c>
      <c r="V221" t="str">
        <f>IF(AND(Hoja4!H220="Empresa de embarque B",Hoja4!I220="Cheque",Hoja4!J220="Cerveza"),"dale","vaaa")</f>
        <v>vaaa</v>
      </c>
      <c r="X221" t="str">
        <f>IF(OR(Hoja4!H220="Empresa de embarque B",Hoja4!I220="Cheque",Hoja4!J220="cerveza"),"dale","vaaa")</f>
        <v>vaaa</v>
      </c>
      <c r="Z221" t="str">
        <f>IF(NOT(OR(Hoja4!I220="Cheque",Hoja4!J220="Cerveza")),"Aprobado","No Aprobado")</f>
        <v>Aprobado</v>
      </c>
    </row>
    <row r="222" spans="19:26" x14ac:dyDescent="0.25">
      <c r="S222" s="2" t="b">
        <f>AND(Hoja4!$P221="abril",Hoja4!$O221="Jue.")</f>
        <v>0</v>
      </c>
      <c r="T222" t="str">
        <f>IF(AND(Hoja4!H221="Empresa de embarque B",Hoja4!I221="Cheque"),"dale","vaaa")</f>
        <v>vaaa</v>
      </c>
      <c r="V222" t="str">
        <f>IF(AND(Hoja4!H221="Empresa de embarque B",Hoja4!I221="Cheque",Hoja4!J221="Cerveza"),"dale","vaaa")</f>
        <v>vaaa</v>
      </c>
      <c r="X222" t="str">
        <f>IF(OR(Hoja4!H221="Empresa de embarque B",Hoja4!I221="Cheque",Hoja4!J221="cerveza"),"dale","vaaa")</f>
        <v>vaaa</v>
      </c>
      <c r="Z222" t="str">
        <f>IF(NOT(OR(Hoja4!I221="Cheque",Hoja4!J221="Cerveza")),"Aprobado","No Aprobado")</f>
        <v>Aprobado</v>
      </c>
    </row>
    <row r="223" spans="19:26" x14ac:dyDescent="0.25">
      <c r="S223" s="2" t="b">
        <f>AND(Hoja4!$P222="abril",Hoja4!$O222="Jue.")</f>
        <v>0</v>
      </c>
      <c r="T223" t="str">
        <f>IF(AND(Hoja4!H222="Empresa de embarque B",Hoja4!I222="Cheque"),"dale","vaaa")</f>
        <v>vaaa</v>
      </c>
      <c r="V223" t="str">
        <f>IF(AND(Hoja4!H222="Empresa de embarque B",Hoja4!I222="Cheque",Hoja4!J222="Cerveza"),"dale","vaaa")</f>
        <v>vaaa</v>
      </c>
      <c r="X223" t="str">
        <f>IF(OR(Hoja4!H222="Empresa de embarque B",Hoja4!I222="Cheque",Hoja4!J222="cerveza"),"dale","vaaa")</f>
        <v>vaaa</v>
      </c>
      <c r="Z223" t="str">
        <f>IF(NOT(OR(Hoja4!I222="Cheque",Hoja4!J222="Cerveza")),"Aprobado","No Aprobado")</f>
        <v>Aprobado</v>
      </c>
    </row>
    <row r="224" spans="19:26" x14ac:dyDescent="0.25">
      <c r="S224" s="2" t="b">
        <f>AND(Hoja4!$P223="abril",Hoja4!$O223="Jue.")</f>
        <v>0</v>
      </c>
      <c r="T224" t="str">
        <f>IF(AND(Hoja4!H223="Empresa de embarque B",Hoja4!I223="Cheque"),"dale","vaaa")</f>
        <v>vaaa</v>
      </c>
      <c r="V224" t="str">
        <f>IF(AND(Hoja4!H223="Empresa de embarque B",Hoja4!I223="Cheque",Hoja4!J223="Cerveza"),"dale","vaaa")</f>
        <v>vaaa</v>
      </c>
      <c r="X224" t="str">
        <f>IF(OR(Hoja4!H223="Empresa de embarque B",Hoja4!I223="Cheque",Hoja4!J223="cerveza"),"dale","vaaa")</f>
        <v>vaaa</v>
      </c>
      <c r="Z224" t="str">
        <f>IF(NOT(OR(Hoja4!I223="Cheque",Hoja4!J223="Cerveza")),"Aprobado","No Aprobado")</f>
        <v>Aprobado</v>
      </c>
    </row>
    <row r="225" spans="19:26" x14ac:dyDescent="0.25">
      <c r="S225" s="2" t="b">
        <f>AND(Hoja4!$P224="abril",Hoja4!$O224="Jue.")</f>
        <v>0</v>
      </c>
      <c r="T225" t="str">
        <f>IF(AND(Hoja4!H224="Empresa de embarque B",Hoja4!I224="Cheque"),"dale","vaaa")</f>
        <v>vaaa</v>
      </c>
      <c r="V225" t="str">
        <f>IF(AND(Hoja4!H224="Empresa de embarque B",Hoja4!I224="Cheque",Hoja4!J224="Cerveza"),"dale","vaaa")</f>
        <v>vaaa</v>
      </c>
      <c r="X225" t="str">
        <f>IF(OR(Hoja4!H224="Empresa de embarque B",Hoja4!I224="Cheque",Hoja4!J224="cerveza"),"dale","vaaa")</f>
        <v>vaaa</v>
      </c>
      <c r="Z225" t="str">
        <f>IF(NOT(OR(Hoja4!I224="Cheque",Hoja4!J224="Cerveza")),"Aprobado","No Aprobado")</f>
        <v>Aprobado</v>
      </c>
    </row>
    <row r="226" spans="19:26" x14ac:dyDescent="0.25">
      <c r="S226" s="2" t="b">
        <f>AND(Hoja4!$P225="abril",Hoja4!$O225="Jue.")</f>
        <v>0</v>
      </c>
      <c r="T226" t="str">
        <f>IF(AND(Hoja4!H225="Empresa de embarque B",Hoja4!I225="Cheque"),"dale","vaaa")</f>
        <v>vaaa</v>
      </c>
      <c r="V226" t="str">
        <f>IF(AND(Hoja4!H225="Empresa de embarque B",Hoja4!I225="Cheque",Hoja4!J225="Cerveza"),"dale","vaaa")</f>
        <v>vaaa</v>
      </c>
      <c r="X226" t="str">
        <f>IF(OR(Hoja4!H225="Empresa de embarque B",Hoja4!I225="Cheque",Hoja4!J225="cerveza"),"dale","vaaa")</f>
        <v>vaaa</v>
      </c>
      <c r="Z226" t="str">
        <f>IF(NOT(OR(Hoja4!I225="Cheque",Hoja4!J225="Cerveza")),"Aprobado","No Aprobado")</f>
        <v>Aprobado</v>
      </c>
    </row>
    <row r="227" spans="19:26" x14ac:dyDescent="0.25">
      <c r="S227" s="2" t="b">
        <f>AND(Hoja4!$P226="abril",Hoja4!$O226="Jue.")</f>
        <v>0</v>
      </c>
      <c r="T227" t="str">
        <f>IF(AND(Hoja4!H226="Empresa de embarque B",Hoja4!I226="Cheque"),"dale","vaaa")</f>
        <v>vaaa</v>
      </c>
      <c r="V227" t="str">
        <f>IF(AND(Hoja4!H226="Empresa de embarque B",Hoja4!I226="Cheque",Hoja4!J226="Cerveza"),"dale","vaaa")</f>
        <v>vaaa</v>
      </c>
      <c r="X227" t="str">
        <f>IF(OR(Hoja4!H226="Empresa de embarque B",Hoja4!I226="Cheque",Hoja4!J226="cerveza"),"dale","vaaa")</f>
        <v>vaaa</v>
      </c>
      <c r="Z227" t="str">
        <f>IF(NOT(OR(Hoja4!I226="Cheque",Hoja4!J226="Cerveza")),"Aprobado","No Aprobado")</f>
        <v>Aprobado</v>
      </c>
    </row>
    <row r="228" spans="19:26" x14ac:dyDescent="0.25">
      <c r="S228" s="2" t="b">
        <f>AND(Hoja4!$P227="abril",Hoja4!$O227="Jue.")</f>
        <v>0</v>
      </c>
      <c r="T228" t="str">
        <f>IF(AND(Hoja4!H227="Empresa de embarque B",Hoja4!I227="Cheque"),"dale","vaaa")</f>
        <v>vaaa</v>
      </c>
      <c r="V228" t="str">
        <f>IF(AND(Hoja4!H227="Empresa de embarque B",Hoja4!I227="Cheque",Hoja4!J227="Cerveza"),"dale","vaaa")</f>
        <v>vaaa</v>
      </c>
      <c r="X228" t="str">
        <f>IF(OR(Hoja4!H227="Empresa de embarque B",Hoja4!I227="Cheque",Hoja4!J227="cerveza"),"dale","vaaa")</f>
        <v>dale</v>
      </c>
      <c r="Z228" t="str">
        <f>IF(NOT(OR(Hoja4!I227="Cheque",Hoja4!J227="Cerveza")),"Aprobado","No Aprobado")</f>
        <v>No Aprobado</v>
      </c>
    </row>
    <row r="229" spans="19:26" x14ac:dyDescent="0.25">
      <c r="S229" s="2" t="b">
        <f>AND(Hoja4!$P228="abril",Hoja4!$O228="Jue.")</f>
        <v>0</v>
      </c>
      <c r="T229" t="str">
        <f>IF(AND(Hoja4!H228="Empresa de embarque B",Hoja4!I228="Cheque"),"dale","vaaa")</f>
        <v>vaaa</v>
      </c>
      <c r="V229" t="str">
        <f>IF(AND(Hoja4!H228="Empresa de embarque B",Hoja4!I228="Cheque",Hoja4!J228="Cerveza"),"dale","vaaa")</f>
        <v>vaaa</v>
      </c>
      <c r="X229" t="str">
        <f>IF(OR(Hoja4!H228="Empresa de embarque B",Hoja4!I228="Cheque",Hoja4!J228="cerveza"),"dale","vaaa")</f>
        <v>dale</v>
      </c>
      <c r="Z229" t="str">
        <f>IF(NOT(OR(Hoja4!I228="Cheque",Hoja4!J228="Cerveza")),"Aprobado","No Aprobado")</f>
        <v>No Aprobado</v>
      </c>
    </row>
    <row r="230" spans="19:26" x14ac:dyDescent="0.25">
      <c r="S230" s="2" t="b">
        <f>AND(Hoja4!$P229="abril",Hoja4!$O229="Jue.")</f>
        <v>0</v>
      </c>
      <c r="T230" t="str">
        <f>IF(AND(Hoja4!H229="Empresa de embarque B",Hoja4!I229="Cheque"),"dale","vaaa")</f>
        <v>vaaa</v>
      </c>
      <c r="V230" t="str">
        <f>IF(AND(Hoja4!H229="Empresa de embarque B",Hoja4!I229="Cheque",Hoja4!J229="Cerveza"),"dale","vaaa")</f>
        <v>vaaa</v>
      </c>
      <c r="X230" t="str">
        <f>IF(OR(Hoja4!H229="Empresa de embarque B",Hoja4!I229="Cheque",Hoja4!J229="cerveza"),"dale","vaaa")</f>
        <v>dale</v>
      </c>
      <c r="Z230" t="str">
        <f>IF(NOT(OR(Hoja4!I229="Cheque",Hoja4!J229="Cerveza")),"Aprobado","No Aprobado")</f>
        <v>No Aprobado</v>
      </c>
    </row>
    <row r="231" spans="19:26" x14ac:dyDescent="0.25">
      <c r="S231" s="2" t="b">
        <f>AND(Hoja4!$P230="abril",Hoja4!$O230="Jue.")</f>
        <v>0</v>
      </c>
      <c r="T231" t="str">
        <f>IF(AND(Hoja4!H230="Empresa de embarque B",Hoja4!I230="Cheque"),"dale","vaaa")</f>
        <v>dale</v>
      </c>
      <c r="V231" t="str">
        <f>IF(AND(Hoja4!H230="Empresa de embarque B",Hoja4!I230="Cheque",Hoja4!J230="Cerveza"),"dale","vaaa")</f>
        <v>vaaa</v>
      </c>
      <c r="X231" t="str">
        <f>IF(OR(Hoja4!H230="Empresa de embarque B",Hoja4!I230="Cheque",Hoja4!J230="cerveza"),"dale","vaaa")</f>
        <v>dale</v>
      </c>
      <c r="Z231" t="str">
        <f>IF(NOT(OR(Hoja4!I230="Cheque",Hoja4!J230="Cerveza")),"Aprobado","No Aprobado")</f>
        <v>No Aprobado</v>
      </c>
    </row>
    <row r="232" spans="19:26" x14ac:dyDescent="0.25">
      <c r="S232" s="2" t="b">
        <f>AND(Hoja4!$P231="abril",Hoja4!$O231="Jue.")</f>
        <v>0</v>
      </c>
      <c r="T232" t="str">
        <f>IF(AND(Hoja4!H231="Empresa de embarque B",Hoja4!I231="Cheque"),"dale","vaaa")</f>
        <v>dale</v>
      </c>
      <c r="V232" t="str">
        <f>IF(AND(Hoja4!H231="Empresa de embarque B",Hoja4!I231="Cheque",Hoja4!J231="Cerveza"),"dale","vaaa")</f>
        <v>vaaa</v>
      </c>
      <c r="X232" t="str">
        <f>IF(OR(Hoja4!H231="Empresa de embarque B",Hoja4!I231="Cheque",Hoja4!J231="cerveza"),"dale","vaaa")</f>
        <v>dale</v>
      </c>
      <c r="Z232" t="str">
        <f>IF(NOT(OR(Hoja4!I231="Cheque",Hoja4!J231="Cerveza")),"Aprobado","No Aprobado")</f>
        <v>No Aprobado</v>
      </c>
    </row>
    <row r="233" spans="19:26" x14ac:dyDescent="0.25">
      <c r="S233" s="2" t="b">
        <f>AND(Hoja4!$P232="abril",Hoja4!$O232="Jue.")</f>
        <v>0</v>
      </c>
      <c r="T233" t="str">
        <f>IF(AND(Hoja4!H232="Empresa de embarque B",Hoja4!I232="Cheque"),"dale","vaaa")</f>
        <v>vaaa</v>
      </c>
      <c r="V233" t="str">
        <f>IF(AND(Hoja4!H232="Empresa de embarque B",Hoja4!I232="Cheque",Hoja4!J232="Cerveza"),"dale","vaaa")</f>
        <v>vaaa</v>
      </c>
      <c r="X233" t="str">
        <f>IF(OR(Hoja4!H232="Empresa de embarque B",Hoja4!I232="Cheque",Hoja4!J232="cerveza"),"dale","vaaa")</f>
        <v>vaaa</v>
      </c>
      <c r="Z233" t="str">
        <f>IF(NOT(OR(Hoja4!I232="Cheque",Hoja4!J232="Cerveza")),"Aprobado","No Aprobado")</f>
        <v>Aprobado</v>
      </c>
    </row>
    <row r="234" spans="19:26" x14ac:dyDescent="0.25">
      <c r="S234" s="2" t="b">
        <f>AND(Hoja4!$P233="abril",Hoja4!$O233="Jue.")</f>
        <v>0</v>
      </c>
      <c r="T234" t="str">
        <f>IF(AND(Hoja4!H233="Empresa de embarque B",Hoja4!I233="Cheque"),"dale","vaaa")</f>
        <v>vaaa</v>
      </c>
      <c r="V234" t="str">
        <f>IF(AND(Hoja4!H233="Empresa de embarque B",Hoja4!I233="Cheque",Hoja4!J233="Cerveza"),"dale","vaaa")</f>
        <v>vaaa</v>
      </c>
      <c r="X234" t="str">
        <f>IF(OR(Hoja4!H233="Empresa de embarque B",Hoja4!I233="Cheque",Hoja4!J233="cerveza"),"dale","vaaa")</f>
        <v>vaaa</v>
      </c>
      <c r="Z234" t="str">
        <f>IF(NOT(OR(Hoja4!I233="Cheque",Hoja4!J233="Cerveza")),"Aprobado","No Aprobado")</f>
        <v>Aprobado</v>
      </c>
    </row>
    <row r="235" spans="19:26" x14ac:dyDescent="0.25">
      <c r="S235" s="2" t="b">
        <f>AND(Hoja4!$P234="abril",Hoja4!$O234="Jue.")</f>
        <v>0</v>
      </c>
      <c r="T235" t="str">
        <f>IF(AND(Hoja4!H234="Empresa de embarque B",Hoja4!I234="Cheque"),"dale","vaaa")</f>
        <v>vaaa</v>
      </c>
      <c r="V235" t="str">
        <f>IF(AND(Hoja4!H234="Empresa de embarque B",Hoja4!I234="Cheque",Hoja4!J234="Cerveza"),"dale","vaaa")</f>
        <v>vaaa</v>
      </c>
      <c r="X235" t="str">
        <f>IF(OR(Hoja4!H234="Empresa de embarque B",Hoja4!I234="Cheque",Hoja4!J234="cerveza"),"dale","vaaa")</f>
        <v>vaaa</v>
      </c>
      <c r="Z235" t="str">
        <f>IF(NOT(OR(Hoja4!I234="Cheque",Hoja4!J234="Cerveza")),"Aprobado","No Aprobado")</f>
        <v>Aprobado</v>
      </c>
    </row>
    <row r="236" spans="19:26" x14ac:dyDescent="0.25">
      <c r="S236" s="2" t="b">
        <f>AND(Hoja4!$P235="abril",Hoja4!$O235="Jue.")</f>
        <v>0</v>
      </c>
      <c r="T236" t="str">
        <f>IF(AND(Hoja4!H235="Empresa de embarque B",Hoja4!I235="Cheque"),"dale","vaaa")</f>
        <v>vaaa</v>
      </c>
      <c r="V236" t="str">
        <f>IF(AND(Hoja4!H235="Empresa de embarque B",Hoja4!I235="Cheque",Hoja4!J235="Cerveza"),"dale","vaaa")</f>
        <v>vaaa</v>
      </c>
      <c r="X236" t="str">
        <f>IF(OR(Hoja4!H235="Empresa de embarque B",Hoja4!I235="Cheque",Hoja4!J235="cerveza"),"dale","vaaa")</f>
        <v>vaaa</v>
      </c>
      <c r="Z236" t="str">
        <f>IF(NOT(OR(Hoja4!I235="Cheque",Hoja4!J235="Cerveza")),"Aprobado","No Aprobado")</f>
        <v>Aprobado</v>
      </c>
    </row>
    <row r="237" spans="19:26" x14ac:dyDescent="0.25">
      <c r="S237" s="2" t="b">
        <f>AND(Hoja4!$P236="abril",Hoja4!$O236="Jue.")</f>
        <v>0</v>
      </c>
      <c r="T237" t="str">
        <f>IF(AND(Hoja4!H236="Empresa de embarque B",Hoja4!I236="Cheque"),"dale","vaaa")</f>
        <v>dale</v>
      </c>
      <c r="V237" t="str">
        <f>IF(AND(Hoja4!H236="Empresa de embarque B",Hoja4!I236="Cheque",Hoja4!J236="Cerveza"),"dale","vaaa")</f>
        <v>dale</v>
      </c>
      <c r="X237" t="str">
        <f>IF(OR(Hoja4!H236="Empresa de embarque B",Hoja4!I236="Cheque",Hoja4!J236="cerveza"),"dale","vaaa")</f>
        <v>dale</v>
      </c>
      <c r="Z237" t="str">
        <f>IF(NOT(OR(Hoja4!I236="Cheque",Hoja4!J236="Cerveza")),"Aprobado","No Aprobado")</f>
        <v>No Aprobado</v>
      </c>
    </row>
    <row r="238" spans="19:26" x14ac:dyDescent="0.25">
      <c r="S238" s="2" t="b">
        <f>AND(Hoja4!$P237="abril",Hoja4!$O237="Jue.")</f>
        <v>0</v>
      </c>
      <c r="T238" t="str">
        <f>IF(AND(Hoja4!H237="Empresa de embarque B",Hoja4!I237="Cheque"),"dale","vaaa")</f>
        <v>vaaa</v>
      </c>
      <c r="V238" t="str">
        <f>IF(AND(Hoja4!H237="Empresa de embarque B",Hoja4!I237="Cheque",Hoja4!J237="Cerveza"),"dale","vaaa")</f>
        <v>vaaa</v>
      </c>
      <c r="X238" t="str">
        <f>IF(OR(Hoja4!H237="Empresa de embarque B",Hoja4!I237="Cheque",Hoja4!J237="cerveza"),"dale","vaaa")</f>
        <v>dale</v>
      </c>
      <c r="Z238" t="str">
        <f>IF(NOT(OR(Hoja4!I237="Cheque",Hoja4!J237="Cerveza")),"Aprobado","No Aprobado")</f>
        <v>No Aprobado</v>
      </c>
    </row>
    <row r="239" spans="19:26" x14ac:dyDescent="0.25">
      <c r="S239" s="2" t="b">
        <f>AND(Hoja4!$P238="abril",Hoja4!$O238="Jue.")</f>
        <v>0</v>
      </c>
      <c r="T239" t="str">
        <f>IF(AND(Hoja4!H238="Empresa de embarque B",Hoja4!I238="Cheque"),"dale","vaaa")</f>
        <v>vaaa</v>
      </c>
      <c r="V239" t="str">
        <f>IF(AND(Hoja4!H238="Empresa de embarque B",Hoja4!I238="Cheque",Hoja4!J238="Cerveza"),"dale","vaaa")</f>
        <v>vaaa</v>
      </c>
      <c r="X239" t="str">
        <f>IF(OR(Hoja4!H238="Empresa de embarque B",Hoja4!I238="Cheque",Hoja4!J238="cerveza"),"dale","vaaa")</f>
        <v>vaaa</v>
      </c>
      <c r="Z239" t="str">
        <f>IF(NOT(OR(Hoja4!I238="Cheque",Hoja4!J238="Cerveza")),"Aprobado","No Aprobado")</f>
        <v>Aprobado</v>
      </c>
    </row>
    <row r="240" spans="19:26" x14ac:dyDescent="0.25">
      <c r="S240" s="2" t="b">
        <f>AND(Hoja4!$P239="abril",Hoja4!$O239="Jue.")</f>
        <v>0</v>
      </c>
      <c r="T240" t="str">
        <f>IF(AND(Hoja4!H239="Empresa de embarque B",Hoja4!I239="Cheque"),"dale","vaaa")</f>
        <v>vaaa</v>
      </c>
      <c r="V240" t="str">
        <f>IF(AND(Hoja4!H239="Empresa de embarque B",Hoja4!I239="Cheque",Hoja4!J239="Cerveza"),"dale","vaaa")</f>
        <v>vaaa</v>
      </c>
      <c r="X240" t="str">
        <f>IF(OR(Hoja4!H239="Empresa de embarque B",Hoja4!I239="Cheque",Hoja4!J239="cerveza"),"dale","vaaa")</f>
        <v>vaaa</v>
      </c>
      <c r="Z240" t="str">
        <f>IF(NOT(OR(Hoja4!I239="Cheque",Hoja4!J239="Cerveza")),"Aprobado","No Aprobado")</f>
        <v>Aprobado</v>
      </c>
    </row>
    <row r="241" spans="19:26" x14ac:dyDescent="0.25">
      <c r="S241" s="2" t="b">
        <f>AND(Hoja4!$P240="abril",Hoja4!$O240="Jue.")</f>
        <v>0</v>
      </c>
      <c r="T241" t="str">
        <f>IF(AND(Hoja4!H240="Empresa de embarque B",Hoja4!I240="Cheque"),"dale","vaaa")</f>
        <v>vaaa</v>
      </c>
      <c r="V241" t="str">
        <f>IF(AND(Hoja4!H240="Empresa de embarque B",Hoja4!I240="Cheque",Hoja4!J240="Cerveza"),"dale","vaaa")</f>
        <v>vaaa</v>
      </c>
      <c r="X241" t="str">
        <f>IF(OR(Hoja4!H240="Empresa de embarque B",Hoja4!I240="Cheque",Hoja4!J240="cerveza"),"dale","vaaa")</f>
        <v>vaaa</v>
      </c>
      <c r="Z241" t="str">
        <f>IF(NOT(OR(Hoja4!I240="Cheque",Hoja4!J240="Cerveza")),"Aprobado","No Aprobado")</f>
        <v>Aprobado</v>
      </c>
    </row>
    <row r="242" spans="19:26" x14ac:dyDescent="0.25">
      <c r="S242" s="2" t="b">
        <f>AND(Hoja4!$P241="abril",Hoja4!$O241="Jue.")</f>
        <v>0</v>
      </c>
      <c r="T242" t="str">
        <f>IF(AND(Hoja4!H241="Empresa de embarque B",Hoja4!I241="Cheque"),"dale","vaaa")</f>
        <v>vaaa</v>
      </c>
      <c r="V242" t="str">
        <f>IF(AND(Hoja4!H241="Empresa de embarque B",Hoja4!I241="Cheque",Hoja4!J241="Cerveza"),"dale","vaaa")</f>
        <v>vaaa</v>
      </c>
      <c r="X242" t="str">
        <f>IF(OR(Hoja4!H241="Empresa de embarque B",Hoja4!I241="Cheque",Hoja4!J241="cerveza"),"dale","vaaa")</f>
        <v>dale</v>
      </c>
      <c r="Z242" t="str">
        <f>IF(NOT(OR(Hoja4!I241="Cheque",Hoja4!J241="Cerveza")),"Aprobado","No Aprobado")</f>
        <v>Aprobado</v>
      </c>
    </row>
    <row r="243" spans="19:26" x14ac:dyDescent="0.25">
      <c r="S243" s="2" t="b">
        <f>AND(Hoja4!$P242="abril",Hoja4!$O242="Jue.")</f>
        <v>0</v>
      </c>
      <c r="T243" t="str">
        <f>IF(AND(Hoja4!H242="Empresa de embarque B",Hoja4!I242="Cheque"),"dale","vaaa")</f>
        <v>vaaa</v>
      </c>
      <c r="V243" t="str">
        <f>IF(AND(Hoja4!H242="Empresa de embarque B",Hoja4!I242="Cheque",Hoja4!J242="Cerveza"),"dale","vaaa")</f>
        <v>vaaa</v>
      </c>
      <c r="X243" t="str">
        <f>IF(OR(Hoja4!H242="Empresa de embarque B",Hoja4!I242="Cheque",Hoja4!J242="cerveza"),"dale","vaaa")</f>
        <v>dale</v>
      </c>
      <c r="Z243" t="str">
        <f>IF(NOT(OR(Hoja4!I242="Cheque",Hoja4!J242="Cerveza")),"Aprobado","No Aprobado")</f>
        <v>Aprobado</v>
      </c>
    </row>
    <row r="244" spans="19:26" x14ac:dyDescent="0.25">
      <c r="S244" s="2" t="b">
        <f>AND(Hoja4!$P243="abril",Hoja4!$O243="Jue.")</f>
        <v>0</v>
      </c>
      <c r="T244" t="str">
        <f>IF(AND(Hoja4!H243="Empresa de embarque B",Hoja4!I243="Cheque"),"dale","vaaa")</f>
        <v>vaaa</v>
      </c>
      <c r="V244" t="str">
        <f>IF(AND(Hoja4!H243="Empresa de embarque B",Hoja4!I243="Cheque",Hoja4!J243="Cerveza"),"dale","vaaa")</f>
        <v>vaaa</v>
      </c>
      <c r="X244" t="str">
        <f>IF(OR(Hoja4!H243="Empresa de embarque B",Hoja4!I243="Cheque",Hoja4!J243="cerveza"),"dale","vaaa")</f>
        <v>dale</v>
      </c>
      <c r="Z244" t="str">
        <f>IF(NOT(OR(Hoja4!I243="Cheque",Hoja4!J243="Cerveza")),"Aprobado","No Aprobado")</f>
        <v>Aprobado</v>
      </c>
    </row>
    <row r="245" spans="19:26" x14ac:dyDescent="0.25">
      <c r="S245" s="2" t="b">
        <f>AND(Hoja4!$P244="abril",Hoja4!$O244="Jue.")</f>
        <v>0</v>
      </c>
      <c r="T245" t="str">
        <f>IF(AND(Hoja4!H244="Empresa de embarque B",Hoja4!I244="Cheque"),"dale","vaaa")</f>
        <v>vaaa</v>
      </c>
      <c r="V245" t="str">
        <f>IF(AND(Hoja4!H244="Empresa de embarque B",Hoja4!I244="Cheque",Hoja4!J244="Cerveza"),"dale","vaaa")</f>
        <v>vaaa</v>
      </c>
      <c r="X245" t="str">
        <f>IF(OR(Hoja4!H244="Empresa de embarque B",Hoja4!I244="Cheque",Hoja4!J244="cerveza"),"dale","vaaa")</f>
        <v>dale</v>
      </c>
      <c r="Z245" t="str">
        <f>IF(NOT(OR(Hoja4!I244="Cheque",Hoja4!J244="Cerveza")),"Aprobado","No Aprobado")</f>
        <v>Aprobado</v>
      </c>
    </row>
    <row r="246" spans="19:26" x14ac:dyDescent="0.25">
      <c r="S246" s="2" t="b">
        <f>AND(Hoja4!$P245="abril",Hoja4!$O245="Jue.")</f>
        <v>0</v>
      </c>
      <c r="T246" t="str">
        <f>IF(AND(Hoja4!H245="Empresa de embarque B",Hoja4!I245="Cheque"),"dale","vaaa")</f>
        <v>vaaa</v>
      </c>
      <c r="V246" t="str">
        <f>IF(AND(Hoja4!H245="Empresa de embarque B",Hoja4!I245="Cheque",Hoja4!J245="Cerveza"),"dale","vaaa")</f>
        <v>vaaa</v>
      </c>
      <c r="X246" t="str">
        <f>IF(OR(Hoja4!H245="Empresa de embarque B",Hoja4!I245="Cheque",Hoja4!J245="cerveza"),"dale","vaaa")</f>
        <v>dale</v>
      </c>
      <c r="Z246" t="str">
        <f>IF(NOT(OR(Hoja4!I245="Cheque",Hoja4!J245="Cerveza")),"Aprobado","No Aprobado")</f>
        <v>No Aprobado</v>
      </c>
    </row>
    <row r="247" spans="19:26" x14ac:dyDescent="0.25">
      <c r="S247" s="2" t="b">
        <f>AND(Hoja4!$P246="abril",Hoja4!$O246="Jue.")</f>
        <v>0</v>
      </c>
      <c r="T247" t="str">
        <f>IF(AND(Hoja4!H246="Empresa de embarque B",Hoja4!I246="Cheque"),"dale","vaaa")</f>
        <v>vaaa</v>
      </c>
      <c r="V247" t="str">
        <f>IF(AND(Hoja4!H246="Empresa de embarque B",Hoja4!I246="Cheque",Hoja4!J246="Cerveza"),"dale","vaaa")</f>
        <v>vaaa</v>
      </c>
      <c r="X247" t="str">
        <f>IF(OR(Hoja4!H246="Empresa de embarque B",Hoja4!I246="Cheque",Hoja4!J246="cerveza"),"dale","vaaa")</f>
        <v>dale</v>
      </c>
      <c r="Z247" t="str">
        <f>IF(NOT(OR(Hoja4!I246="Cheque",Hoja4!J246="Cerveza")),"Aprobado","No Aprobado")</f>
        <v>No Aprobado</v>
      </c>
    </row>
    <row r="248" spans="19:26" x14ac:dyDescent="0.25">
      <c r="S248" s="2" t="b">
        <f>AND(Hoja4!$P247="abril",Hoja4!$O247="Jue.")</f>
        <v>0</v>
      </c>
      <c r="T248" t="str">
        <f>IF(AND(Hoja4!H247="Empresa de embarque B",Hoja4!I247="Cheque"),"dale","vaaa")</f>
        <v>vaaa</v>
      </c>
      <c r="V248" t="str">
        <f>IF(AND(Hoja4!H247="Empresa de embarque B",Hoja4!I247="Cheque",Hoja4!J247="Cerveza"),"dale","vaaa")</f>
        <v>vaaa</v>
      </c>
      <c r="X248" t="str">
        <f>IF(OR(Hoja4!H247="Empresa de embarque B",Hoja4!I247="Cheque",Hoja4!J247="cerveza"),"dale","vaaa")</f>
        <v>dale</v>
      </c>
      <c r="Z248" t="str">
        <f>IF(NOT(OR(Hoja4!I247="Cheque",Hoja4!J247="Cerveza")),"Aprobado","No Aprobado")</f>
        <v>Aprobado</v>
      </c>
    </row>
    <row r="249" spans="19:26" x14ac:dyDescent="0.25">
      <c r="S249" s="2" t="b">
        <f>AND(Hoja4!$P248="abril",Hoja4!$O248="Jue.")</f>
        <v>0</v>
      </c>
      <c r="T249" t="str">
        <f>IF(AND(Hoja4!H248="Empresa de embarque B",Hoja4!I248="Cheque"),"dale","vaaa")</f>
        <v>vaaa</v>
      </c>
      <c r="V249" t="str">
        <f>IF(AND(Hoja4!H248="Empresa de embarque B",Hoja4!I248="Cheque",Hoja4!J248="Cerveza"),"dale","vaaa")</f>
        <v>vaaa</v>
      </c>
      <c r="X249" t="str">
        <f>IF(OR(Hoja4!H248="Empresa de embarque B",Hoja4!I248="Cheque",Hoja4!J248="cerveza"),"dale","vaaa")</f>
        <v>vaaa</v>
      </c>
      <c r="Z249" t="str">
        <f>IF(NOT(OR(Hoja4!I248="Cheque",Hoja4!J248="Cerveza")),"Aprobado","No Aprobado")</f>
        <v>Aprobado</v>
      </c>
    </row>
    <row r="250" spans="19:26" x14ac:dyDescent="0.25">
      <c r="S250" s="2" t="b">
        <f>AND(Hoja4!$P249="abril",Hoja4!$O249="Jue.")</f>
        <v>0</v>
      </c>
      <c r="T250" t="str">
        <f>IF(AND(Hoja4!H249="Empresa de embarque B",Hoja4!I249="Cheque"),"dale","vaaa")</f>
        <v>vaaa</v>
      </c>
      <c r="V250" t="str">
        <f>IF(AND(Hoja4!H249="Empresa de embarque B",Hoja4!I249="Cheque",Hoja4!J249="Cerveza"),"dale","vaaa")</f>
        <v>vaaa</v>
      </c>
      <c r="X250" t="str">
        <f>IF(OR(Hoja4!H249="Empresa de embarque B",Hoja4!I249="Cheque",Hoja4!J249="cerveza"),"dale","vaaa")</f>
        <v>vaaa</v>
      </c>
      <c r="Z250" t="str">
        <f>IF(NOT(OR(Hoja4!I249="Cheque",Hoja4!J249="Cerveza")),"Aprobado","No Aprobado")</f>
        <v>Aprobado</v>
      </c>
    </row>
    <row r="251" spans="19:26" x14ac:dyDescent="0.25">
      <c r="S251" s="2" t="b">
        <f>AND(Hoja4!$P250="abril",Hoja4!$O250="Jue.")</f>
        <v>0</v>
      </c>
      <c r="T251" t="str">
        <f>IF(AND(Hoja4!H250="Empresa de embarque B",Hoja4!I250="Cheque"),"dale","vaaa")</f>
        <v>vaaa</v>
      </c>
      <c r="V251" t="str">
        <f>IF(AND(Hoja4!H250="Empresa de embarque B",Hoja4!I250="Cheque",Hoja4!J250="Cerveza"),"dale","vaaa")</f>
        <v>vaaa</v>
      </c>
      <c r="X251" t="str">
        <f>IF(OR(Hoja4!H250="Empresa de embarque B",Hoja4!I250="Cheque",Hoja4!J250="cerveza"),"dale","vaaa")</f>
        <v>vaaa</v>
      </c>
      <c r="Z251" t="str">
        <f>IF(NOT(OR(Hoja4!I250="Cheque",Hoja4!J250="Cerveza")),"Aprobado","No Aprobado")</f>
        <v>Aprobado</v>
      </c>
    </row>
    <row r="252" spans="19:26" x14ac:dyDescent="0.25">
      <c r="S252" s="2" t="b">
        <f>AND(Hoja4!$P251="abril",Hoja4!$O251="Jue.")</f>
        <v>0</v>
      </c>
      <c r="T252" t="str">
        <f>IF(AND(Hoja4!H251="Empresa de embarque B",Hoja4!I251="Cheque"),"dale","vaaa")</f>
        <v>vaaa</v>
      </c>
      <c r="V252" t="str">
        <f>IF(AND(Hoja4!H251="Empresa de embarque B",Hoja4!I251="Cheque",Hoja4!J251="Cerveza"),"dale","vaaa")</f>
        <v>vaaa</v>
      </c>
      <c r="X252" t="str">
        <f>IF(OR(Hoja4!H251="Empresa de embarque B",Hoja4!I251="Cheque",Hoja4!J251="cerveza"),"dale","vaaa")</f>
        <v>vaaa</v>
      </c>
      <c r="Z252" t="str">
        <f>IF(NOT(OR(Hoja4!I251="Cheque",Hoja4!J251="Cerveza")),"Aprobado","No Aprobado")</f>
        <v>Aprobado</v>
      </c>
    </row>
    <row r="253" spans="19:26" x14ac:dyDescent="0.25">
      <c r="S253" s="2" t="b">
        <f>AND(Hoja4!$P252="abril",Hoja4!$O252="Jue.")</f>
        <v>0</v>
      </c>
      <c r="T253" t="str">
        <f>IF(AND(Hoja4!H252="Empresa de embarque B",Hoja4!I252="Cheque"),"dale","vaaa")</f>
        <v>vaaa</v>
      </c>
      <c r="V253" t="str">
        <f>IF(AND(Hoja4!H252="Empresa de embarque B",Hoja4!I252="Cheque",Hoja4!J252="Cerveza"),"dale","vaaa")</f>
        <v>vaaa</v>
      </c>
      <c r="X253" t="str">
        <f>IF(OR(Hoja4!H252="Empresa de embarque B",Hoja4!I252="Cheque",Hoja4!J252="cerveza"),"dale","vaaa")</f>
        <v>vaaa</v>
      </c>
      <c r="Z253" t="str">
        <f>IF(NOT(OR(Hoja4!I252="Cheque",Hoja4!J252="Cerveza")),"Aprobado","No Aprobado")</f>
        <v>Aprobado</v>
      </c>
    </row>
    <row r="254" spans="19:26" x14ac:dyDescent="0.25">
      <c r="S254" s="2" t="b">
        <f>AND(Hoja4!$P253="abril",Hoja4!$O253="Jue.")</f>
        <v>0</v>
      </c>
      <c r="T254" t="str">
        <f>IF(AND(Hoja4!H253="Empresa de embarque B",Hoja4!I253="Cheque"),"dale","vaaa")</f>
        <v>vaaa</v>
      </c>
      <c r="V254" t="str">
        <f>IF(AND(Hoja4!H253="Empresa de embarque B",Hoja4!I253="Cheque",Hoja4!J253="Cerveza"),"dale","vaaa")</f>
        <v>vaaa</v>
      </c>
      <c r="X254" t="str">
        <f>IF(OR(Hoja4!H253="Empresa de embarque B",Hoja4!I253="Cheque",Hoja4!J253="cerveza"),"dale","vaaa")</f>
        <v>vaaa</v>
      </c>
      <c r="Z254" t="str">
        <f>IF(NOT(OR(Hoja4!I253="Cheque",Hoja4!J253="Cerveza")),"Aprobado","No Aprobado")</f>
        <v>Aprobado</v>
      </c>
    </row>
    <row r="255" spans="19:26" x14ac:dyDescent="0.25">
      <c r="S255" s="2" t="b">
        <f>AND(Hoja4!$P254="abril",Hoja4!$O254="Jue.")</f>
        <v>0</v>
      </c>
      <c r="T255" t="str">
        <f>IF(AND(Hoja4!H254="Empresa de embarque B",Hoja4!I254="Cheque"),"dale","vaaa")</f>
        <v>vaaa</v>
      </c>
      <c r="V255" t="str">
        <f>IF(AND(Hoja4!H254="Empresa de embarque B",Hoja4!I254="Cheque",Hoja4!J254="Cerveza"),"dale","vaaa")</f>
        <v>vaaa</v>
      </c>
      <c r="X255" t="str">
        <f>IF(OR(Hoja4!H254="Empresa de embarque B",Hoja4!I254="Cheque",Hoja4!J254="cerveza"),"dale","vaaa")</f>
        <v>vaaa</v>
      </c>
      <c r="Z255" t="str">
        <f>IF(NOT(OR(Hoja4!I254="Cheque",Hoja4!J254="Cerveza")),"Aprobado","No Aprobado")</f>
        <v>Aprobado</v>
      </c>
    </row>
    <row r="256" spans="19:26" x14ac:dyDescent="0.25">
      <c r="S256" s="2" t="b">
        <f>AND(Hoja4!$P255="abril",Hoja4!$O255="Jue.")</f>
        <v>0</v>
      </c>
      <c r="T256" t="str">
        <f>IF(AND(Hoja4!H255="Empresa de embarque B",Hoja4!I255="Cheque"),"dale","vaaa")</f>
        <v>vaaa</v>
      </c>
      <c r="V256" t="str">
        <f>IF(AND(Hoja4!H255="Empresa de embarque B",Hoja4!I255="Cheque",Hoja4!J255="Cerveza"),"dale","vaaa")</f>
        <v>vaaa</v>
      </c>
      <c r="X256" t="str">
        <f>IF(OR(Hoja4!H255="Empresa de embarque B",Hoja4!I255="Cheque",Hoja4!J255="cerveza"),"dale","vaaa")</f>
        <v>vaaa</v>
      </c>
      <c r="Z256" t="str">
        <f>IF(NOT(OR(Hoja4!I255="Cheque",Hoja4!J255="Cerveza")),"Aprobado","No Aprobado")</f>
        <v>Aprobado</v>
      </c>
    </row>
    <row r="257" spans="19:26" x14ac:dyDescent="0.25">
      <c r="S257" s="2" t="b">
        <f>AND(Hoja4!$P256="abril",Hoja4!$O256="Jue.")</f>
        <v>0</v>
      </c>
      <c r="T257" t="str">
        <f>IF(AND(Hoja4!H256="Empresa de embarque B",Hoja4!I256="Cheque"),"dale","vaaa")</f>
        <v>vaaa</v>
      </c>
      <c r="V257" t="str">
        <f>IF(AND(Hoja4!H256="Empresa de embarque B",Hoja4!I256="Cheque",Hoja4!J256="Cerveza"),"dale","vaaa")</f>
        <v>vaaa</v>
      </c>
      <c r="X257" t="str">
        <f>IF(OR(Hoja4!H256="Empresa de embarque B",Hoja4!I256="Cheque",Hoja4!J256="cerveza"),"dale","vaaa")</f>
        <v>vaaa</v>
      </c>
      <c r="Z257" t="str">
        <f>IF(NOT(OR(Hoja4!I256="Cheque",Hoja4!J256="Cerveza")),"Aprobado","No Aprobado")</f>
        <v>Aprobado</v>
      </c>
    </row>
    <row r="258" spans="19:26" x14ac:dyDescent="0.25">
      <c r="S258" s="2" t="b">
        <f>AND(Hoja4!$P257="abril",Hoja4!$O257="Jue.")</f>
        <v>0</v>
      </c>
      <c r="T258" t="str">
        <f>IF(AND(Hoja4!H257="Empresa de embarque B",Hoja4!I257="Cheque"),"dale","vaaa")</f>
        <v>vaaa</v>
      </c>
      <c r="V258" t="str">
        <f>IF(AND(Hoja4!H257="Empresa de embarque B",Hoja4!I257="Cheque",Hoja4!J257="Cerveza"),"dale","vaaa")</f>
        <v>vaaa</v>
      </c>
      <c r="X258" t="str">
        <f>IF(OR(Hoja4!H257="Empresa de embarque B",Hoja4!I257="Cheque",Hoja4!J257="cerveza"),"dale","vaaa")</f>
        <v>vaaa</v>
      </c>
      <c r="Z258" t="str">
        <f>IF(NOT(OR(Hoja4!I257="Cheque",Hoja4!J257="Cerveza")),"Aprobado","No Aprobado")</f>
        <v>Aprobado</v>
      </c>
    </row>
    <row r="259" spans="19:26" x14ac:dyDescent="0.25">
      <c r="S259" s="2" t="b">
        <f>AND(Hoja4!$P258="abril",Hoja4!$O258="Jue.")</f>
        <v>0</v>
      </c>
      <c r="T259" t="str">
        <f>IF(AND(Hoja4!H258="Empresa de embarque B",Hoja4!I258="Cheque"),"dale","vaaa")</f>
        <v>vaaa</v>
      </c>
      <c r="V259" t="str">
        <f>IF(AND(Hoja4!H258="Empresa de embarque B",Hoja4!I258="Cheque",Hoja4!J258="Cerveza"),"dale","vaaa")</f>
        <v>vaaa</v>
      </c>
      <c r="X259" t="str">
        <f>IF(OR(Hoja4!H258="Empresa de embarque B",Hoja4!I258="Cheque",Hoja4!J258="cerveza"),"dale","vaaa")</f>
        <v>vaaa</v>
      </c>
      <c r="Z259" t="str">
        <f>IF(NOT(OR(Hoja4!I258="Cheque",Hoja4!J258="Cerveza")),"Aprobado","No Aprobado")</f>
        <v>Aprobado</v>
      </c>
    </row>
    <row r="260" spans="19:26" x14ac:dyDescent="0.25">
      <c r="S260" s="2" t="b">
        <f>AND(Hoja4!$P259="abril",Hoja4!$O259="Jue.")</f>
        <v>0</v>
      </c>
      <c r="T260" t="str">
        <f>IF(AND(Hoja4!H259="Empresa de embarque B",Hoja4!I259="Cheque"),"dale","vaaa")</f>
        <v>vaaa</v>
      </c>
      <c r="V260" t="str">
        <f>IF(AND(Hoja4!H259="Empresa de embarque B",Hoja4!I259="Cheque",Hoja4!J259="Cerveza"),"dale","vaaa")</f>
        <v>vaaa</v>
      </c>
      <c r="X260" t="str">
        <f>IF(OR(Hoja4!H259="Empresa de embarque B",Hoja4!I259="Cheque",Hoja4!J259="cerveza"),"dale","vaaa")</f>
        <v>dale</v>
      </c>
      <c r="Z260" t="str">
        <f>IF(NOT(OR(Hoja4!I259="Cheque",Hoja4!J259="Cerveza")),"Aprobado","No Aprobado")</f>
        <v>No Aprobado</v>
      </c>
    </row>
    <row r="261" spans="19:26" x14ac:dyDescent="0.25">
      <c r="S261" s="2" t="b">
        <f>AND(Hoja4!$P260="abril",Hoja4!$O260="Jue.")</f>
        <v>0</v>
      </c>
      <c r="T261" t="str">
        <f>IF(AND(Hoja4!H260="Empresa de embarque B",Hoja4!I260="Cheque"),"dale","vaaa")</f>
        <v>vaaa</v>
      </c>
      <c r="V261" t="str">
        <f>IF(AND(Hoja4!H260="Empresa de embarque B",Hoja4!I260="Cheque",Hoja4!J260="Cerveza"),"dale","vaaa")</f>
        <v>vaaa</v>
      </c>
      <c r="X261" t="str">
        <f>IF(OR(Hoja4!H260="Empresa de embarque B",Hoja4!I260="Cheque",Hoja4!J260="cerveza"),"dale","vaaa")</f>
        <v>dale</v>
      </c>
      <c r="Z261" t="str">
        <f>IF(NOT(OR(Hoja4!I260="Cheque",Hoja4!J260="Cerveza")),"Aprobado","No Aprobado")</f>
        <v>No Aprobado</v>
      </c>
    </row>
    <row r="262" spans="19:26" x14ac:dyDescent="0.25">
      <c r="S262" s="2" t="b">
        <f>AND(Hoja4!$P261="abril",Hoja4!$O261="Jue.")</f>
        <v>0</v>
      </c>
      <c r="T262" t="str">
        <f>IF(AND(Hoja4!H261="Empresa de embarque B",Hoja4!I261="Cheque"),"dale","vaaa")</f>
        <v>vaaa</v>
      </c>
      <c r="V262" t="str">
        <f>IF(AND(Hoja4!H261="Empresa de embarque B",Hoja4!I261="Cheque",Hoja4!J261="Cerveza"),"dale","vaaa")</f>
        <v>vaaa</v>
      </c>
      <c r="X262" t="str">
        <f>IF(OR(Hoja4!H261="Empresa de embarque B",Hoja4!I261="Cheque",Hoja4!J261="cerveza"),"dale","vaaa")</f>
        <v>dale</v>
      </c>
      <c r="Z262" t="str">
        <f>IF(NOT(OR(Hoja4!I261="Cheque",Hoja4!J261="Cerveza")),"Aprobado","No Aprobado")</f>
        <v>No Aprobado</v>
      </c>
    </row>
    <row r="263" spans="19:26" x14ac:dyDescent="0.25">
      <c r="S263" s="2" t="b">
        <f>AND(Hoja4!$P262="abril",Hoja4!$O262="Jue.")</f>
        <v>0</v>
      </c>
      <c r="T263" t="str">
        <f>IF(AND(Hoja4!H262="Empresa de embarque B",Hoja4!I262="Cheque"),"dale","vaaa")</f>
        <v>dale</v>
      </c>
      <c r="V263" t="str">
        <f>IF(AND(Hoja4!H262="Empresa de embarque B",Hoja4!I262="Cheque",Hoja4!J262="Cerveza"),"dale","vaaa")</f>
        <v>vaaa</v>
      </c>
      <c r="X263" t="str">
        <f>IF(OR(Hoja4!H262="Empresa de embarque B",Hoja4!I262="Cheque",Hoja4!J262="cerveza"),"dale","vaaa")</f>
        <v>dale</v>
      </c>
      <c r="Z263" t="str">
        <f>IF(NOT(OR(Hoja4!I262="Cheque",Hoja4!J262="Cerveza")),"Aprobado","No Aprobado")</f>
        <v>No Aprobado</v>
      </c>
    </row>
    <row r="264" spans="19:26" x14ac:dyDescent="0.25">
      <c r="S264" s="2" t="b">
        <f>AND(Hoja4!$P263="abril",Hoja4!$O263="Jue.")</f>
        <v>0</v>
      </c>
      <c r="T264" t="str">
        <f>IF(AND(Hoja4!H263="Empresa de embarque B",Hoja4!I263="Cheque"),"dale","vaaa")</f>
        <v>dale</v>
      </c>
      <c r="V264" t="str">
        <f>IF(AND(Hoja4!H263="Empresa de embarque B",Hoja4!I263="Cheque",Hoja4!J263="Cerveza"),"dale","vaaa")</f>
        <v>vaaa</v>
      </c>
      <c r="X264" t="str">
        <f>IF(OR(Hoja4!H263="Empresa de embarque B",Hoja4!I263="Cheque",Hoja4!J263="cerveza"),"dale","vaaa")</f>
        <v>dale</v>
      </c>
      <c r="Z264" t="str">
        <f>IF(NOT(OR(Hoja4!I263="Cheque",Hoja4!J263="Cerveza")),"Aprobado","No Aprobado")</f>
        <v>No Aprobado</v>
      </c>
    </row>
    <row r="265" spans="19:26" x14ac:dyDescent="0.25">
      <c r="S265" s="2" t="b">
        <f>AND(Hoja4!$P264="abril",Hoja4!$O264="Jue.")</f>
        <v>0</v>
      </c>
      <c r="T265" t="str">
        <f>IF(AND(Hoja4!H264="Empresa de embarque B",Hoja4!I264="Cheque"),"dale","vaaa")</f>
        <v>vaaa</v>
      </c>
      <c r="V265" t="str">
        <f>IF(AND(Hoja4!H264="Empresa de embarque B",Hoja4!I264="Cheque",Hoja4!J264="Cerveza"),"dale","vaaa")</f>
        <v>vaaa</v>
      </c>
      <c r="X265" t="str">
        <f>IF(OR(Hoja4!H264="Empresa de embarque B",Hoja4!I264="Cheque",Hoja4!J264="cerveza"),"dale","vaaa")</f>
        <v>vaaa</v>
      </c>
      <c r="Z265" t="str">
        <f>IF(NOT(OR(Hoja4!I264="Cheque",Hoja4!J264="Cerveza")),"Aprobado","No Aprobado")</f>
        <v>Aprobado</v>
      </c>
    </row>
    <row r="266" spans="19:26" x14ac:dyDescent="0.25">
      <c r="S266" s="2" t="b">
        <f>AND(Hoja4!$P265="abril",Hoja4!$O265="Jue.")</f>
        <v>0</v>
      </c>
      <c r="T266" t="str">
        <f>IF(AND(Hoja4!H265="Empresa de embarque B",Hoja4!I265="Cheque"),"dale","vaaa")</f>
        <v>vaaa</v>
      </c>
      <c r="V266" t="str">
        <f>IF(AND(Hoja4!H265="Empresa de embarque B",Hoja4!I265="Cheque",Hoja4!J265="Cerveza"),"dale","vaaa")</f>
        <v>vaaa</v>
      </c>
      <c r="X266" t="str">
        <f>IF(OR(Hoja4!H265="Empresa de embarque B",Hoja4!I265="Cheque",Hoja4!J265="cerveza"),"dale","vaaa")</f>
        <v>vaaa</v>
      </c>
      <c r="Z266" t="str">
        <f>IF(NOT(OR(Hoja4!I265="Cheque",Hoja4!J265="Cerveza")),"Aprobado","No Aprobado")</f>
        <v>Aprobado</v>
      </c>
    </row>
    <row r="267" spans="19:26" x14ac:dyDescent="0.25">
      <c r="S267" s="2" t="b">
        <f>AND(Hoja4!$P266="abril",Hoja4!$O266="Jue.")</f>
        <v>0</v>
      </c>
      <c r="T267" t="str">
        <f>IF(AND(Hoja4!H266="Empresa de embarque B",Hoja4!I266="Cheque"),"dale","vaaa")</f>
        <v>vaaa</v>
      </c>
      <c r="V267" t="str">
        <f>IF(AND(Hoja4!H266="Empresa de embarque B",Hoja4!I266="Cheque",Hoja4!J266="Cerveza"),"dale","vaaa")</f>
        <v>vaaa</v>
      </c>
      <c r="X267" t="str">
        <f>IF(OR(Hoja4!H266="Empresa de embarque B",Hoja4!I266="Cheque",Hoja4!J266="cerveza"),"dale","vaaa")</f>
        <v>vaaa</v>
      </c>
      <c r="Z267" t="str">
        <f>IF(NOT(OR(Hoja4!I266="Cheque",Hoja4!J266="Cerveza")),"Aprobado","No Aprobado")</f>
        <v>Aprobado</v>
      </c>
    </row>
    <row r="268" spans="19:26" x14ac:dyDescent="0.25">
      <c r="S268" s="2" t="b">
        <f>AND(Hoja4!$P267="abril",Hoja4!$O267="Jue.")</f>
        <v>0</v>
      </c>
      <c r="T268" t="str">
        <f>IF(AND(Hoja4!H267="Empresa de embarque B",Hoja4!I267="Cheque"),"dale","vaaa")</f>
        <v>vaaa</v>
      </c>
      <c r="V268" t="str">
        <f>IF(AND(Hoja4!H267="Empresa de embarque B",Hoja4!I267="Cheque",Hoja4!J267="Cerveza"),"dale","vaaa")</f>
        <v>vaaa</v>
      </c>
      <c r="X268" t="str">
        <f>IF(OR(Hoja4!H267="Empresa de embarque B",Hoja4!I267="Cheque",Hoja4!J267="cerveza"),"dale","vaaa")</f>
        <v>vaaa</v>
      </c>
      <c r="Z268" t="str">
        <f>IF(NOT(OR(Hoja4!I267="Cheque",Hoja4!J267="Cerveza")),"Aprobado","No Aprobado")</f>
        <v>Aprobado</v>
      </c>
    </row>
    <row r="269" spans="19:26" x14ac:dyDescent="0.25">
      <c r="S269" s="2" t="b">
        <f>AND(Hoja4!$P268="abril",Hoja4!$O268="Jue.")</f>
        <v>0</v>
      </c>
      <c r="T269" t="str">
        <f>IF(AND(Hoja4!H268="Empresa de embarque B",Hoja4!I268="Cheque"),"dale","vaaa")</f>
        <v>dale</v>
      </c>
      <c r="V269" t="str">
        <f>IF(AND(Hoja4!H268="Empresa de embarque B",Hoja4!I268="Cheque",Hoja4!J268="Cerveza"),"dale","vaaa")</f>
        <v>dale</v>
      </c>
      <c r="X269" t="str">
        <f>IF(OR(Hoja4!H268="Empresa de embarque B",Hoja4!I268="Cheque",Hoja4!J268="cerveza"),"dale","vaaa")</f>
        <v>dale</v>
      </c>
      <c r="Z269" t="str">
        <f>IF(NOT(OR(Hoja4!I268="Cheque",Hoja4!J268="Cerveza")),"Aprobado","No Aprobado")</f>
        <v>No Aprobado</v>
      </c>
    </row>
    <row r="270" spans="19:26" x14ac:dyDescent="0.25">
      <c r="S270" s="2" t="b">
        <f>AND(Hoja4!$P269="abril",Hoja4!$O269="Jue.")</f>
        <v>0</v>
      </c>
      <c r="T270" t="str">
        <f>IF(AND(Hoja4!H269="Empresa de embarque B",Hoja4!I269="Cheque"),"dale","vaaa")</f>
        <v>vaaa</v>
      </c>
      <c r="V270" t="str">
        <f>IF(AND(Hoja4!H269="Empresa de embarque B",Hoja4!I269="Cheque",Hoja4!J269="Cerveza"),"dale","vaaa")</f>
        <v>vaaa</v>
      </c>
      <c r="X270" t="str">
        <f>IF(OR(Hoja4!H269="Empresa de embarque B",Hoja4!I269="Cheque",Hoja4!J269="cerveza"),"dale","vaaa")</f>
        <v>dale</v>
      </c>
      <c r="Z270" t="str">
        <f>IF(NOT(OR(Hoja4!I269="Cheque",Hoja4!J269="Cerveza")),"Aprobado","No Aprobado")</f>
        <v>No Aprobado</v>
      </c>
    </row>
    <row r="271" spans="19:26" x14ac:dyDescent="0.25">
      <c r="S271" s="2" t="b">
        <f>AND(Hoja4!$P270="abril",Hoja4!$O270="Jue.")</f>
        <v>0</v>
      </c>
      <c r="T271" t="str">
        <f>IF(AND(Hoja4!H270="Empresa de embarque B",Hoja4!I270="Cheque"),"dale","vaaa")</f>
        <v>vaaa</v>
      </c>
      <c r="V271" t="str">
        <f>IF(AND(Hoja4!H270="Empresa de embarque B",Hoja4!I270="Cheque",Hoja4!J270="Cerveza"),"dale","vaaa")</f>
        <v>vaaa</v>
      </c>
      <c r="X271" t="str">
        <f>IF(OR(Hoja4!H270="Empresa de embarque B",Hoja4!I270="Cheque",Hoja4!J270="cerveza"),"dale","vaaa")</f>
        <v>vaaa</v>
      </c>
      <c r="Z271" t="str">
        <f>IF(NOT(OR(Hoja4!I270="Cheque",Hoja4!J270="Cerveza")),"Aprobado","No Aprobado")</f>
        <v>Aprobado</v>
      </c>
    </row>
    <row r="272" spans="19:26" x14ac:dyDescent="0.25">
      <c r="S272" s="2" t="b">
        <f>AND(Hoja4!$P271="abril",Hoja4!$O271="Jue.")</f>
        <v>0</v>
      </c>
      <c r="T272" t="str">
        <f>IF(AND(Hoja4!H271="Empresa de embarque B",Hoja4!I271="Cheque"),"dale","vaaa")</f>
        <v>vaaa</v>
      </c>
      <c r="V272" t="str">
        <f>IF(AND(Hoja4!H271="Empresa de embarque B",Hoja4!I271="Cheque",Hoja4!J271="Cerveza"),"dale","vaaa")</f>
        <v>vaaa</v>
      </c>
      <c r="X272" t="str">
        <f>IF(OR(Hoja4!H271="Empresa de embarque B",Hoja4!I271="Cheque",Hoja4!J271="cerveza"),"dale","vaaa")</f>
        <v>vaaa</v>
      </c>
      <c r="Z272" t="str">
        <f>IF(NOT(OR(Hoja4!I271="Cheque",Hoja4!J271="Cerveza")),"Aprobado","No Aprobado")</f>
        <v>Aprobado</v>
      </c>
    </row>
    <row r="273" spans="19:26" x14ac:dyDescent="0.25">
      <c r="S273" s="2" t="b">
        <f>AND(Hoja4!$P272="abril",Hoja4!$O272="Jue.")</f>
        <v>0</v>
      </c>
      <c r="T273" t="str">
        <f>IF(AND(Hoja4!H272="Empresa de embarque B",Hoja4!I272="Cheque"),"dale","vaaa")</f>
        <v>vaaa</v>
      </c>
      <c r="V273" t="str">
        <f>IF(AND(Hoja4!H272="Empresa de embarque B",Hoja4!I272="Cheque",Hoja4!J272="Cerveza"),"dale","vaaa")</f>
        <v>vaaa</v>
      </c>
      <c r="X273" t="str">
        <f>IF(OR(Hoja4!H272="Empresa de embarque B",Hoja4!I272="Cheque",Hoja4!J272="cerveza"),"dale","vaaa")</f>
        <v>vaaa</v>
      </c>
      <c r="Z273" t="str">
        <f>IF(NOT(OR(Hoja4!I272="Cheque",Hoja4!J272="Cerveza")),"Aprobado","No Aprobado")</f>
        <v>Aprobado</v>
      </c>
    </row>
    <row r="274" spans="19:26" x14ac:dyDescent="0.25">
      <c r="S274" s="2" t="b">
        <f>AND(Hoja4!$P273="abril",Hoja4!$O273="Jue.")</f>
        <v>0</v>
      </c>
      <c r="T274" t="str">
        <f>IF(AND(Hoja4!H273="Empresa de embarque B",Hoja4!I273="Cheque"),"dale","vaaa")</f>
        <v>vaaa</v>
      </c>
      <c r="V274" t="str">
        <f>IF(AND(Hoja4!H273="Empresa de embarque B",Hoja4!I273="Cheque",Hoja4!J273="Cerveza"),"dale","vaaa")</f>
        <v>vaaa</v>
      </c>
      <c r="X274" t="str">
        <f>IF(OR(Hoja4!H273="Empresa de embarque B",Hoja4!I273="Cheque",Hoja4!J273="cerveza"),"dale","vaaa")</f>
        <v>dale</v>
      </c>
      <c r="Z274" t="str">
        <f>IF(NOT(OR(Hoja4!I273="Cheque",Hoja4!J273="Cerveza")),"Aprobado","No Aprobado")</f>
        <v>Aprobado</v>
      </c>
    </row>
    <row r="275" spans="19:26" x14ac:dyDescent="0.25">
      <c r="S275" s="2" t="b">
        <f>AND(Hoja4!$P274="abril",Hoja4!$O274="Jue.")</f>
        <v>0</v>
      </c>
      <c r="T275" t="str">
        <f>IF(AND(Hoja4!H274="Empresa de embarque B",Hoja4!I274="Cheque"),"dale","vaaa")</f>
        <v>vaaa</v>
      </c>
      <c r="V275" t="str">
        <f>IF(AND(Hoja4!H274="Empresa de embarque B",Hoja4!I274="Cheque",Hoja4!J274="Cerveza"),"dale","vaaa")</f>
        <v>vaaa</v>
      </c>
      <c r="X275" t="str">
        <f>IF(OR(Hoja4!H274="Empresa de embarque B",Hoja4!I274="Cheque",Hoja4!J274="cerveza"),"dale","vaaa")</f>
        <v>dale</v>
      </c>
      <c r="Z275" t="str">
        <f>IF(NOT(OR(Hoja4!I274="Cheque",Hoja4!J274="Cerveza")),"Aprobado","No Aprobado")</f>
        <v>Aprobado</v>
      </c>
    </row>
    <row r="276" spans="19:26" x14ac:dyDescent="0.25">
      <c r="S276" s="2" t="b">
        <f>AND(Hoja4!$P275="abril",Hoja4!$O275="Jue.")</f>
        <v>0</v>
      </c>
      <c r="T276" t="str">
        <f>IF(AND(Hoja4!H275="Empresa de embarque B",Hoja4!I275="Cheque"),"dale","vaaa")</f>
        <v>vaaa</v>
      </c>
      <c r="V276" t="str">
        <f>IF(AND(Hoja4!H275="Empresa de embarque B",Hoja4!I275="Cheque",Hoja4!J275="Cerveza"),"dale","vaaa")</f>
        <v>vaaa</v>
      </c>
      <c r="X276" t="str">
        <f>IF(OR(Hoja4!H275="Empresa de embarque B",Hoja4!I275="Cheque",Hoja4!J275="cerveza"),"dale","vaaa")</f>
        <v>dale</v>
      </c>
      <c r="Z276" t="str">
        <f>IF(NOT(OR(Hoja4!I275="Cheque",Hoja4!J275="Cerveza")),"Aprobado","No Aprobado")</f>
        <v>Aprobado</v>
      </c>
    </row>
    <row r="277" spans="19:26" x14ac:dyDescent="0.25">
      <c r="S277" s="2" t="b">
        <f>AND(Hoja4!$P276="abril",Hoja4!$O276="Jue.")</f>
        <v>0</v>
      </c>
      <c r="T277" t="str">
        <f>IF(AND(Hoja4!H276="Empresa de embarque B",Hoja4!I276="Cheque"),"dale","vaaa")</f>
        <v>vaaa</v>
      </c>
      <c r="V277" t="str">
        <f>IF(AND(Hoja4!H276="Empresa de embarque B",Hoja4!I276="Cheque",Hoja4!J276="Cerveza"),"dale","vaaa")</f>
        <v>vaaa</v>
      </c>
      <c r="X277" t="str">
        <f>IF(OR(Hoja4!H276="Empresa de embarque B",Hoja4!I276="Cheque",Hoja4!J276="cerveza"),"dale","vaaa")</f>
        <v>vaaa</v>
      </c>
      <c r="Z277" t="str">
        <f>IF(NOT(OR(Hoja4!I276="Cheque",Hoja4!J276="Cerveza")),"Aprobado","No Aprobado")</f>
        <v>Aprobado</v>
      </c>
    </row>
    <row r="278" spans="19:26" x14ac:dyDescent="0.25">
      <c r="S278" s="2" t="b">
        <f>AND(Hoja4!$P277="abril",Hoja4!$O277="Jue.")</f>
        <v>0</v>
      </c>
      <c r="T278" t="str">
        <f>IF(AND(Hoja4!H277="Empresa de embarque B",Hoja4!I277="Cheque"),"dale","vaaa")</f>
        <v>vaaa</v>
      </c>
      <c r="V278" t="str">
        <f>IF(AND(Hoja4!H277="Empresa de embarque B",Hoja4!I277="Cheque",Hoja4!J277="Cerveza"),"dale","vaaa")</f>
        <v>vaaa</v>
      </c>
      <c r="X278" t="str">
        <f>IF(OR(Hoja4!H277="Empresa de embarque B",Hoja4!I277="Cheque",Hoja4!J277="cerveza"),"dale","vaaa")</f>
        <v>vaaa</v>
      </c>
      <c r="Z278" t="str">
        <f>IF(NOT(OR(Hoja4!I277="Cheque",Hoja4!J277="Cerveza")),"Aprobado","No Aprobado")</f>
        <v>Aprobado</v>
      </c>
    </row>
    <row r="279" spans="19:26" x14ac:dyDescent="0.25">
      <c r="S279" s="2" t="b">
        <f>AND(Hoja4!$P278="abril",Hoja4!$O278="Jue.")</f>
        <v>0</v>
      </c>
      <c r="T279" t="str">
        <f>IF(AND(Hoja4!H278="Empresa de embarque B",Hoja4!I278="Cheque"),"dale","vaaa")</f>
        <v>vaaa</v>
      </c>
      <c r="V279" t="str">
        <f>IF(AND(Hoja4!H278="Empresa de embarque B",Hoja4!I278="Cheque",Hoja4!J278="Cerveza"),"dale","vaaa")</f>
        <v>vaaa</v>
      </c>
      <c r="X279" t="str">
        <f>IF(OR(Hoja4!H278="Empresa de embarque B",Hoja4!I278="Cheque",Hoja4!J278="cerveza"),"dale","vaaa")</f>
        <v>vaaa</v>
      </c>
      <c r="Z279" t="str">
        <f>IF(NOT(OR(Hoja4!I278="Cheque",Hoja4!J278="Cerveza")),"Aprobado","No Aprobado")</f>
        <v>Aprobado</v>
      </c>
    </row>
    <row r="280" spans="19:26" x14ac:dyDescent="0.25">
      <c r="S280" s="2" t="b">
        <f>AND(Hoja4!$P279="abril",Hoja4!$O279="Jue.")</f>
        <v>0</v>
      </c>
      <c r="T280" t="str">
        <f>IF(AND(Hoja4!H279="Empresa de embarque B",Hoja4!I279="Cheque"),"dale","vaaa")</f>
        <v>vaaa</v>
      </c>
      <c r="V280" t="str">
        <f>IF(AND(Hoja4!H279="Empresa de embarque B",Hoja4!I279="Cheque",Hoja4!J279="Cerveza"),"dale","vaaa")</f>
        <v>vaaa</v>
      </c>
      <c r="X280" t="str">
        <f>IF(OR(Hoja4!H279="Empresa de embarque B",Hoja4!I279="Cheque",Hoja4!J279="cerveza"),"dale","vaaa")</f>
        <v>vaaa</v>
      </c>
      <c r="Z280" t="str">
        <f>IF(NOT(OR(Hoja4!I279="Cheque",Hoja4!J279="Cerveza")),"Aprobado","No Aprobado")</f>
        <v>Aprobado</v>
      </c>
    </row>
    <row r="281" spans="19:26" x14ac:dyDescent="0.25">
      <c r="S281" s="2" t="b">
        <f>AND(Hoja4!$P280="abril",Hoja4!$O280="Jue.")</f>
        <v>0</v>
      </c>
      <c r="T281" t="str">
        <f>IF(AND(Hoja4!H280="Empresa de embarque B",Hoja4!I280="Cheque"),"dale","vaaa")</f>
        <v>vaaa</v>
      </c>
      <c r="V281" t="str">
        <f>IF(AND(Hoja4!H280="Empresa de embarque B",Hoja4!I280="Cheque",Hoja4!J280="Cerveza"),"dale","vaaa")</f>
        <v>vaaa</v>
      </c>
      <c r="X281" t="str">
        <f>IF(OR(Hoja4!H280="Empresa de embarque B",Hoja4!I280="Cheque",Hoja4!J280="cerveza"),"dale","vaaa")</f>
        <v>dale</v>
      </c>
      <c r="Z281" t="str">
        <f>IF(NOT(OR(Hoja4!I280="Cheque",Hoja4!J280="Cerveza")),"Aprobado","No Aprobado")</f>
        <v>No Aprobado</v>
      </c>
    </row>
    <row r="282" spans="19:26" x14ac:dyDescent="0.25">
      <c r="S282" s="2" t="b">
        <f>AND(Hoja4!$P281="abril",Hoja4!$O281="Jue.")</f>
        <v>0</v>
      </c>
      <c r="T282" t="str">
        <f>IF(AND(Hoja4!H281="Empresa de embarque B",Hoja4!I281="Cheque"),"dale","vaaa")</f>
        <v>vaaa</v>
      </c>
      <c r="V282" t="str">
        <f>IF(AND(Hoja4!H281="Empresa de embarque B",Hoja4!I281="Cheque",Hoja4!J281="Cerveza"),"dale","vaaa")</f>
        <v>vaaa</v>
      </c>
      <c r="X282" t="str">
        <f>IF(OR(Hoja4!H281="Empresa de embarque B",Hoja4!I281="Cheque",Hoja4!J281="cerveza"),"dale","vaaa")</f>
        <v>dale</v>
      </c>
      <c r="Z282" t="str">
        <f>IF(NOT(OR(Hoja4!I281="Cheque",Hoja4!J281="Cerveza")),"Aprobado","No Aprobado")</f>
        <v>Aprobado</v>
      </c>
    </row>
    <row r="283" spans="19:26" x14ac:dyDescent="0.25">
      <c r="S283" s="2" t="b">
        <f>AND(Hoja4!$P282="abril",Hoja4!$O282="Jue.")</f>
        <v>0</v>
      </c>
      <c r="T283" t="str">
        <f>IF(AND(Hoja4!H282="Empresa de embarque B",Hoja4!I282="Cheque"),"dale","vaaa")</f>
        <v>dale</v>
      </c>
      <c r="V283" t="str">
        <f>IF(AND(Hoja4!H282="Empresa de embarque B",Hoja4!I282="Cheque",Hoja4!J282="Cerveza"),"dale","vaaa")</f>
        <v>vaaa</v>
      </c>
      <c r="X283" t="str">
        <f>IF(OR(Hoja4!H282="Empresa de embarque B",Hoja4!I282="Cheque",Hoja4!J282="cerveza"),"dale","vaaa")</f>
        <v>dale</v>
      </c>
      <c r="Z283" t="str">
        <f>IF(NOT(OR(Hoja4!I282="Cheque",Hoja4!J282="Cerveza")),"Aprobado","No Aprobado")</f>
        <v>No Aprobado</v>
      </c>
    </row>
    <row r="284" spans="19:26" x14ac:dyDescent="0.25">
      <c r="S284" s="2" t="b">
        <f>AND(Hoja4!$P283="abril",Hoja4!$O283="Jue.")</f>
        <v>0</v>
      </c>
      <c r="T284" t="str">
        <f>IF(AND(Hoja4!H283="Empresa de embarque B",Hoja4!I283="Cheque"),"dale","vaaa")</f>
        <v>vaaa</v>
      </c>
      <c r="V284" t="str">
        <f>IF(AND(Hoja4!H283="Empresa de embarque B",Hoja4!I283="Cheque",Hoja4!J283="Cerveza"),"dale","vaaa")</f>
        <v>vaaa</v>
      </c>
      <c r="X284" t="str">
        <f>IF(OR(Hoja4!H283="Empresa de embarque B",Hoja4!I283="Cheque",Hoja4!J283="cerveza"),"dale","vaaa")</f>
        <v>vaaa</v>
      </c>
      <c r="Z284" t="str">
        <f>IF(NOT(OR(Hoja4!I283="Cheque",Hoja4!J283="Cerveza")),"Aprobado","No Aprobado")</f>
        <v>Aprobado</v>
      </c>
    </row>
    <row r="285" spans="19:26" x14ac:dyDescent="0.25">
      <c r="S285" s="2" t="b">
        <f>AND(Hoja4!$P284="abril",Hoja4!$O284="Jue.")</f>
        <v>0</v>
      </c>
      <c r="T285" t="str">
        <f>IF(AND(Hoja4!H284="Empresa de embarque B",Hoja4!I284="Cheque"),"dale","vaaa")</f>
        <v>vaaa</v>
      </c>
      <c r="V285" t="str">
        <f>IF(AND(Hoja4!H284="Empresa de embarque B",Hoja4!I284="Cheque",Hoja4!J284="Cerveza"),"dale","vaaa")</f>
        <v>vaaa</v>
      </c>
      <c r="X285" t="str">
        <f>IF(OR(Hoja4!H284="Empresa de embarque B",Hoja4!I284="Cheque",Hoja4!J284="cerveza"),"dale","vaaa")</f>
        <v>vaaa</v>
      </c>
      <c r="Z285" t="str">
        <f>IF(NOT(OR(Hoja4!I284="Cheque",Hoja4!J284="Cerveza")),"Aprobado","No Aprobado")</f>
        <v>Aprobado</v>
      </c>
    </row>
    <row r="286" spans="19:26" x14ac:dyDescent="0.25">
      <c r="S286" s="2" t="b">
        <f>AND(Hoja4!$P285="abril",Hoja4!$O285="Jue.")</f>
        <v>0</v>
      </c>
      <c r="T286" t="str">
        <f>IF(AND(Hoja4!H285="Empresa de embarque B",Hoja4!I285="Cheque"),"dale","vaaa")</f>
        <v>vaaa</v>
      </c>
      <c r="V286" t="str">
        <f>IF(AND(Hoja4!H285="Empresa de embarque B",Hoja4!I285="Cheque",Hoja4!J285="Cerveza"),"dale","vaaa")</f>
        <v>vaaa</v>
      </c>
      <c r="X286" t="str">
        <f>IF(OR(Hoja4!H285="Empresa de embarque B",Hoja4!I285="Cheque",Hoja4!J285="cerveza"),"dale","vaaa")</f>
        <v>vaaa</v>
      </c>
      <c r="Z286" t="str">
        <f>IF(NOT(OR(Hoja4!I285="Cheque",Hoja4!J285="Cerveza")),"Aprobado","No Aprobado")</f>
        <v>Aprobado</v>
      </c>
    </row>
    <row r="287" spans="19:26" x14ac:dyDescent="0.25">
      <c r="S287" s="2" t="b">
        <f>AND(Hoja4!$P286="abril",Hoja4!$O286="Jue.")</f>
        <v>0</v>
      </c>
      <c r="T287" t="str">
        <f>IF(AND(Hoja4!H286="Empresa de embarque B",Hoja4!I286="Cheque"),"dale","vaaa")</f>
        <v>vaaa</v>
      </c>
      <c r="V287" t="str">
        <f>IF(AND(Hoja4!H286="Empresa de embarque B",Hoja4!I286="Cheque",Hoja4!J286="Cerveza"),"dale","vaaa")</f>
        <v>vaaa</v>
      </c>
      <c r="X287" t="str">
        <f>IF(OR(Hoja4!H286="Empresa de embarque B",Hoja4!I286="Cheque",Hoja4!J286="cerveza"),"dale","vaaa")</f>
        <v>vaaa</v>
      </c>
      <c r="Z287" t="str">
        <f>IF(NOT(OR(Hoja4!I286="Cheque",Hoja4!J286="Cerveza")),"Aprobado","No Aprobado")</f>
        <v>Aprobado</v>
      </c>
    </row>
    <row r="288" spans="19:26" x14ac:dyDescent="0.25">
      <c r="S288" s="2" t="b">
        <f>AND(Hoja4!$P287="abril",Hoja4!$O287="Jue.")</f>
        <v>0</v>
      </c>
      <c r="T288" t="str">
        <f>IF(AND(Hoja4!H287="Empresa de embarque B",Hoja4!I287="Cheque"),"dale","vaaa")</f>
        <v>vaaa</v>
      </c>
      <c r="V288" t="str">
        <f>IF(AND(Hoja4!H287="Empresa de embarque B",Hoja4!I287="Cheque",Hoja4!J287="Cerveza"),"dale","vaaa")</f>
        <v>vaaa</v>
      </c>
      <c r="X288" t="str">
        <f>IF(OR(Hoja4!H287="Empresa de embarque B",Hoja4!I287="Cheque",Hoja4!J287="cerveza"),"dale","vaaa")</f>
        <v>vaaa</v>
      </c>
      <c r="Z288" t="str">
        <f>IF(NOT(OR(Hoja4!I287="Cheque",Hoja4!J287="Cerveza")),"Aprobado","No Aprobado")</f>
        <v>Aprobado</v>
      </c>
    </row>
    <row r="289" spans="19:26" x14ac:dyDescent="0.25">
      <c r="S289" s="2" t="b">
        <f>AND(Hoja4!$P288="abril",Hoja4!$O288="Jue.")</f>
        <v>0</v>
      </c>
      <c r="T289" t="str">
        <f>IF(AND(Hoja4!H288="Empresa de embarque B",Hoja4!I288="Cheque"),"dale","vaaa")</f>
        <v>vaaa</v>
      </c>
      <c r="V289" t="str">
        <f>IF(AND(Hoja4!H288="Empresa de embarque B",Hoja4!I288="Cheque",Hoja4!J288="Cerveza"),"dale","vaaa")</f>
        <v>vaaa</v>
      </c>
      <c r="X289" t="str">
        <f>IF(OR(Hoja4!H288="Empresa de embarque B",Hoja4!I288="Cheque",Hoja4!J288="cerveza"),"dale","vaaa")</f>
        <v>vaaa</v>
      </c>
      <c r="Z289" t="str">
        <f>IF(NOT(OR(Hoja4!I288="Cheque",Hoja4!J288="Cerveza")),"Aprobado","No Aprobado")</f>
        <v>Aprobado</v>
      </c>
    </row>
    <row r="290" spans="19:26" x14ac:dyDescent="0.25">
      <c r="S290" s="2" t="b">
        <f>AND(Hoja4!$P289="abril",Hoja4!$O289="Jue.")</f>
        <v>0</v>
      </c>
      <c r="T290" t="str">
        <f>IF(AND(Hoja4!H289="Empresa de embarque B",Hoja4!I289="Cheque"),"dale","vaaa")</f>
        <v>vaaa</v>
      </c>
      <c r="V290" t="str">
        <f>IF(AND(Hoja4!H289="Empresa de embarque B",Hoja4!I289="Cheque",Hoja4!J289="Cerveza"),"dale","vaaa")</f>
        <v>vaaa</v>
      </c>
      <c r="X290" t="str">
        <f>IF(OR(Hoja4!H289="Empresa de embarque B",Hoja4!I289="Cheque",Hoja4!J289="cerveza"),"dale","vaaa")</f>
        <v>vaaa</v>
      </c>
      <c r="Z290" t="str">
        <f>IF(NOT(OR(Hoja4!I289="Cheque",Hoja4!J289="Cerveza")),"Aprobado","No Aprobado")</f>
        <v>Aprobado</v>
      </c>
    </row>
    <row r="291" spans="19:26" x14ac:dyDescent="0.25">
      <c r="S291" s="2" t="b">
        <f>AND(Hoja4!$P290="abril",Hoja4!$O290="Jue.")</f>
        <v>0</v>
      </c>
      <c r="T291" t="str">
        <f>IF(AND(Hoja4!H290="Empresa de embarque B",Hoja4!I290="Cheque"),"dale","vaaa")</f>
        <v>vaaa</v>
      </c>
      <c r="V291" t="str">
        <f>IF(AND(Hoja4!H290="Empresa de embarque B",Hoja4!I290="Cheque",Hoja4!J290="Cerveza"),"dale","vaaa")</f>
        <v>vaaa</v>
      </c>
      <c r="X291" t="str">
        <f>IF(OR(Hoja4!H290="Empresa de embarque B",Hoja4!I290="Cheque",Hoja4!J290="cerveza"),"dale","vaaa")</f>
        <v>vaaa</v>
      </c>
      <c r="Z291" t="str">
        <f>IF(NOT(OR(Hoja4!I290="Cheque",Hoja4!J290="Cerveza")),"Aprobado","No Aprobado")</f>
        <v>Aprobado</v>
      </c>
    </row>
    <row r="292" spans="19:26" x14ac:dyDescent="0.25">
      <c r="S292" s="2" t="b">
        <f>AND(Hoja4!$P291="abril",Hoja4!$O291="Jue.")</f>
        <v>0</v>
      </c>
      <c r="T292" t="str">
        <f>IF(AND(Hoja4!H291="Empresa de embarque B",Hoja4!I291="Cheque"),"dale","vaaa")</f>
        <v>vaaa</v>
      </c>
      <c r="V292" t="str">
        <f>IF(AND(Hoja4!H291="Empresa de embarque B",Hoja4!I291="Cheque",Hoja4!J291="Cerveza"),"dale","vaaa")</f>
        <v>vaaa</v>
      </c>
      <c r="X292" t="str">
        <f>IF(OR(Hoja4!H291="Empresa de embarque B",Hoja4!I291="Cheque",Hoja4!J291="cerveza"),"dale","vaaa")</f>
        <v>vaaa</v>
      </c>
      <c r="Z292" t="str">
        <f>IF(NOT(OR(Hoja4!I291="Cheque",Hoja4!J291="Cerveza")),"Aprobado","No Aprobado")</f>
        <v>Aprobado</v>
      </c>
    </row>
    <row r="293" spans="19:26" x14ac:dyDescent="0.25">
      <c r="S293" s="2" t="b">
        <f>AND(Hoja4!$P292="abril",Hoja4!$O292="Jue.")</f>
        <v>0</v>
      </c>
      <c r="T293" t="str">
        <f>IF(AND(Hoja4!H292="Empresa de embarque B",Hoja4!I292="Cheque"),"dale","vaaa")</f>
        <v>vaaa</v>
      </c>
      <c r="V293" t="str">
        <f>IF(AND(Hoja4!H292="Empresa de embarque B",Hoja4!I292="Cheque",Hoja4!J292="Cerveza"),"dale","vaaa")</f>
        <v>vaaa</v>
      </c>
      <c r="X293" t="str">
        <f>IF(OR(Hoja4!H292="Empresa de embarque B",Hoja4!I292="Cheque",Hoja4!J292="cerveza"),"dale","vaaa")</f>
        <v>dale</v>
      </c>
      <c r="Z293" t="str">
        <f>IF(NOT(OR(Hoja4!I292="Cheque",Hoja4!J292="Cerveza")),"Aprobado","No Aprobado")</f>
        <v>No Aprobado</v>
      </c>
    </row>
    <row r="294" spans="19:26" x14ac:dyDescent="0.25">
      <c r="S294" s="2" t="b">
        <f>AND(Hoja4!$P293="abril",Hoja4!$O293="Jue.")</f>
        <v>1</v>
      </c>
      <c r="T294" t="str">
        <f>IF(AND(Hoja4!H293="Empresa de embarque B",Hoja4!I293="Cheque"),"dale","vaaa")</f>
        <v>vaaa</v>
      </c>
      <c r="V294" t="str">
        <f>IF(AND(Hoja4!H293="Empresa de embarque B",Hoja4!I293="Cheque",Hoja4!J293="Cerveza"),"dale","vaaa")</f>
        <v>vaaa</v>
      </c>
      <c r="X294" t="str">
        <f>IF(OR(Hoja4!H293="Empresa de embarque B",Hoja4!I293="Cheque",Hoja4!J293="cerveza"),"dale","vaaa")</f>
        <v>dale</v>
      </c>
      <c r="Z294" t="str">
        <f>IF(NOT(OR(Hoja4!I293="Cheque",Hoja4!J293="Cerveza")),"Aprobado","No Aprobado")</f>
        <v>No Aprobado</v>
      </c>
    </row>
    <row r="295" spans="19:26" x14ac:dyDescent="0.25">
      <c r="S295" s="2" t="b">
        <f>AND(Hoja4!$P294="abril",Hoja4!$O294="Jue.")</f>
        <v>0</v>
      </c>
      <c r="T295" t="str">
        <f>IF(AND(Hoja4!H294="Empresa de embarque B",Hoja4!I294="Cheque"),"dale","vaaa")</f>
        <v>vaaa</v>
      </c>
      <c r="V295" t="str">
        <f>IF(AND(Hoja4!H294="Empresa de embarque B",Hoja4!I294="Cheque",Hoja4!J294="Cerveza"),"dale","vaaa")</f>
        <v>vaaa</v>
      </c>
      <c r="X295" t="str">
        <f>IF(OR(Hoja4!H294="Empresa de embarque B",Hoja4!I294="Cheque",Hoja4!J294="cerveza"),"dale","vaaa")</f>
        <v>dale</v>
      </c>
      <c r="Z295" t="str">
        <f>IF(NOT(OR(Hoja4!I294="Cheque",Hoja4!J294="Cerveza")),"Aprobado","No Aprobado")</f>
        <v>No Aprobado</v>
      </c>
    </row>
    <row r="296" spans="19:26" x14ac:dyDescent="0.25">
      <c r="S296" s="2" t="b">
        <f>AND(Hoja4!$P295="abril",Hoja4!$O295="Jue.")</f>
        <v>0</v>
      </c>
      <c r="T296" t="str">
        <f>IF(AND(Hoja4!H295="Empresa de embarque B",Hoja4!I295="Cheque"),"dale","vaaa")</f>
        <v>dale</v>
      </c>
      <c r="V296" t="str">
        <f>IF(AND(Hoja4!H295="Empresa de embarque B",Hoja4!I295="Cheque",Hoja4!J295="Cerveza"),"dale","vaaa")</f>
        <v>vaaa</v>
      </c>
      <c r="X296" t="str">
        <f>IF(OR(Hoja4!H295="Empresa de embarque B",Hoja4!I295="Cheque",Hoja4!J295="cerveza"),"dale","vaaa")</f>
        <v>dale</v>
      </c>
      <c r="Z296" t="str">
        <f>IF(NOT(OR(Hoja4!I295="Cheque",Hoja4!J295="Cerveza")),"Aprobado","No Aprobado")</f>
        <v>No Aprobado</v>
      </c>
    </row>
    <row r="297" spans="19:26" x14ac:dyDescent="0.25">
      <c r="S297" s="2" t="b">
        <f>AND(Hoja4!$P296="abril",Hoja4!$O296="Jue.")</f>
        <v>0</v>
      </c>
      <c r="T297" t="str">
        <f>IF(AND(Hoja4!H296="Empresa de embarque B",Hoja4!I296="Cheque"),"dale","vaaa")</f>
        <v>dale</v>
      </c>
      <c r="V297" t="str">
        <f>IF(AND(Hoja4!H296="Empresa de embarque B",Hoja4!I296="Cheque",Hoja4!J296="Cerveza"),"dale","vaaa")</f>
        <v>vaaa</v>
      </c>
      <c r="X297" t="str">
        <f>IF(OR(Hoja4!H296="Empresa de embarque B",Hoja4!I296="Cheque",Hoja4!J296="cerveza"),"dale","vaaa")</f>
        <v>dale</v>
      </c>
      <c r="Z297" t="str">
        <f>IF(NOT(OR(Hoja4!I296="Cheque",Hoja4!J296="Cerveza")),"Aprobado","No Aprobado")</f>
        <v>No Aprobado</v>
      </c>
    </row>
    <row r="298" spans="19:26" x14ac:dyDescent="0.25">
      <c r="S298" s="2" t="b">
        <f>AND(Hoja4!$P297="abril",Hoja4!$O297="Jue.")</f>
        <v>0</v>
      </c>
      <c r="T298" t="str">
        <f>IF(AND(Hoja4!H297="Empresa de embarque B",Hoja4!I297="Cheque"),"dale","vaaa")</f>
        <v>vaaa</v>
      </c>
      <c r="V298" t="str">
        <f>IF(AND(Hoja4!H297="Empresa de embarque B",Hoja4!I297="Cheque",Hoja4!J297="Cerveza"),"dale","vaaa")</f>
        <v>vaaa</v>
      </c>
      <c r="X298" t="str">
        <f>IF(OR(Hoja4!H297="Empresa de embarque B",Hoja4!I297="Cheque",Hoja4!J297="cerveza"),"dale","vaaa")</f>
        <v>vaaa</v>
      </c>
      <c r="Z298" t="str">
        <f>IF(NOT(OR(Hoja4!I297="Cheque",Hoja4!J297="Cerveza")),"Aprobado","No Aprobado")</f>
        <v>Aprobado</v>
      </c>
    </row>
    <row r="299" spans="19:26" x14ac:dyDescent="0.25">
      <c r="S299" s="2" t="b">
        <f>AND(Hoja4!$P298="abril",Hoja4!$O298="Jue.")</f>
        <v>0</v>
      </c>
      <c r="T299" t="str">
        <f>IF(AND(Hoja4!H298="Empresa de embarque B",Hoja4!I298="Cheque"),"dale","vaaa")</f>
        <v>vaaa</v>
      </c>
      <c r="V299" t="str">
        <f>IF(AND(Hoja4!H298="Empresa de embarque B",Hoja4!I298="Cheque",Hoja4!J298="Cerveza"),"dale","vaaa")</f>
        <v>vaaa</v>
      </c>
      <c r="X299" t="str">
        <f>IF(OR(Hoja4!H298="Empresa de embarque B",Hoja4!I298="Cheque",Hoja4!J298="cerveza"),"dale","vaaa")</f>
        <v>vaaa</v>
      </c>
      <c r="Z299" t="str">
        <f>IF(NOT(OR(Hoja4!I298="Cheque",Hoja4!J298="Cerveza")),"Aprobado","No Aprobado")</f>
        <v>Aprobado</v>
      </c>
    </row>
    <row r="300" spans="19:26" x14ac:dyDescent="0.25">
      <c r="S300" s="2" t="b">
        <f>AND(Hoja4!$P299="abril",Hoja4!$O299="Jue.")</f>
        <v>0</v>
      </c>
      <c r="T300" t="str">
        <f>IF(AND(Hoja4!H299="Empresa de embarque B",Hoja4!I299="Cheque"),"dale","vaaa")</f>
        <v>vaaa</v>
      </c>
      <c r="V300" t="str">
        <f>IF(AND(Hoja4!H299="Empresa de embarque B",Hoja4!I299="Cheque",Hoja4!J299="Cerveza"),"dale","vaaa")</f>
        <v>vaaa</v>
      </c>
      <c r="X300" t="str">
        <f>IF(OR(Hoja4!H299="Empresa de embarque B",Hoja4!I299="Cheque",Hoja4!J299="cerveza"),"dale","vaaa")</f>
        <v>vaaa</v>
      </c>
      <c r="Z300" t="str">
        <f>IF(NOT(OR(Hoja4!I299="Cheque",Hoja4!J299="Cerveza")),"Aprobado","No Aprobado")</f>
        <v>Aprobado</v>
      </c>
    </row>
    <row r="301" spans="19:26" x14ac:dyDescent="0.25">
      <c r="S301" s="2" t="b">
        <f>AND(Hoja4!$P300="abril",Hoja4!$O300="Jue.")</f>
        <v>0</v>
      </c>
      <c r="T301" t="str">
        <f>IF(AND(Hoja4!H300="Empresa de embarque B",Hoja4!I300="Cheque"),"dale","vaaa")</f>
        <v>vaaa</v>
      </c>
      <c r="V301" t="str">
        <f>IF(AND(Hoja4!H300="Empresa de embarque B",Hoja4!I300="Cheque",Hoja4!J300="Cerveza"),"dale","vaaa")</f>
        <v>vaaa</v>
      </c>
      <c r="X301" t="str">
        <f>IF(OR(Hoja4!H300="Empresa de embarque B",Hoja4!I300="Cheque",Hoja4!J300="cerveza"),"dale","vaaa")</f>
        <v>vaaa</v>
      </c>
      <c r="Z301" t="str">
        <f>IF(NOT(OR(Hoja4!I300="Cheque",Hoja4!J300="Cerveza")),"Aprobado","No Aprobado")</f>
        <v>Aprobado</v>
      </c>
    </row>
    <row r="302" spans="19:26" x14ac:dyDescent="0.25">
      <c r="S302" s="2" t="b">
        <f>AND(Hoja4!$P301="abril",Hoja4!$O301="Jue.")</f>
        <v>0</v>
      </c>
      <c r="T302" t="str">
        <f>IF(AND(Hoja4!H301="Empresa de embarque B",Hoja4!I301="Cheque"),"dale","vaaa")</f>
        <v>dale</v>
      </c>
      <c r="V302" t="str">
        <f>IF(AND(Hoja4!H301="Empresa de embarque B",Hoja4!I301="Cheque",Hoja4!J301="Cerveza"),"dale","vaaa")</f>
        <v>dale</v>
      </c>
      <c r="X302" t="str">
        <f>IF(OR(Hoja4!H301="Empresa de embarque B",Hoja4!I301="Cheque",Hoja4!J301="cerveza"),"dale","vaaa")</f>
        <v>dale</v>
      </c>
      <c r="Z302" t="str">
        <f>IF(NOT(OR(Hoja4!I301="Cheque",Hoja4!J301="Cerveza")),"Aprobado","No Aprobado")</f>
        <v>No Aprobado</v>
      </c>
    </row>
    <row r="303" spans="19:26" x14ac:dyDescent="0.25">
      <c r="S303" s="2" t="b">
        <f>AND(Hoja4!$P302="abril",Hoja4!$O302="Jue.")</f>
        <v>0</v>
      </c>
      <c r="T303" t="str">
        <f>IF(AND(Hoja4!H302="Empresa de embarque B",Hoja4!I302="Cheque"),"dale","vaaa")</f>
        <v>vaaa</v>
      </c>
      <c r="V303" t="str">
        <f>IF(AND(Hoja4!H302="Empresa de embarque B",Hoja4!I302="Cheque",Hoja4!J302="Cerveza"),"dale","vaaa")</f>
        <v>vaaa</v>
      </c>
      <c r="X303" t="str">
        <f>IF(OR(Hoja4!H302="Empresa de embarque B",Hoja4!I302="Cheque",Hoja4!J302="cerveza"),"dale","vaaa")</f>
        <v>dale</v>
      </c>
      <c r="Z303" t="str">
        <f>IF(NOT(OR(Hoja4!I302="Cheque",Hoja4!J302="Cerveza")),"Aprobado","No Aprobado")</f>
        <v>No Aprobado</v>
      </c>
    </row>
    <row r="304" spans="19:26" x14ac:dyDescent="0.25">
      <c r="S304" s="2" t="b">
        <f>AND(Hoja4!$P303="abril",Hoja4!$O303="Jue.")</f>
        <v>0</v>
      </c>
      <c r="T304" t="str">
        <f>IF(AND(Hoja4!H303="Empresa de embarque B",Hoja4!I303="Cheque"),"dale","vaaa")</f>
        <v>vaaa</v>
      </c>
      <c r="V304" t="str">
        <f>IF(AND(Hoja4!H303="Empresa de embarque B",Hoja4!I303="Cheque",Hoja4!J303="Cerveza"),"dale","vaaa")</f>
        <v>vaaa</v>
      </c>
      <c r="X304" t="str">
        <f>IF(OR(Hoja4!H303="Empresa de embarque B",Hoja4!I303="Cheque",Hoja4!J303="cerveza"),"dale","vaaa")</f>
        <v>vaaa</v>
      </c>
      <c r="Z304" t="str">
        <f>IF(NOT(OR(Hoja4!I303="Cheque",Hoja4!J303="Cerveza")),"Aprobado","No Aprobado")</f>
        <v>Aprobado</v>
      </c>
    </row>
    <row r="305" spans="19:26" x14ac:dyDescent="0.25">
      <c r="S305" s="2" t="b">
        <f>AND(Hoja4!$P304="abril",Hoja4!$O304="Jue.")</f>
        <v>0</v>
      </c>
      <c r="T305" t="str">
        <f>IF(AND(Hoja4!H304="Empresa de embarque B",Hoja4!I304="Cheque"),"dale","vaaa")</f>
        <v>vaaa</v>
      </c>
      <c r="V305" t="str">
        <f>IF(AND(Hoja4!H304="Empresa de embarque B",Hoja4!I304="Cheque",Hoja4!J304="Cerveza"),"dale","vaaa")</f>
        <v>vaaa</v>
      </c>
      <c r="X305" t="str">
        <f>IF(OR(Hoja4!H304="Empresa de embarque B",Hoja4!I304="Cheque",Hoja4!J304="cerveza"),"dale","vaaa")</f>
        <v>vaaa</v>
      </c>
      <c r="Z305" t="str">
        <f>IF(NOT(OR(Hoja4!I304="Cheque",Hoja4!J304="Cerveza")),"Aprobado","No Aprobado")</f>
        <v>Aprobado</v>
      </c>
    </row>
    <row r="306" spans="19:26" x14ac:dyDescent="0.25">
      <c r="S306" s="2" t="b">
        <f>AND(Hoja4!$P305="abril",Hoja4!$O305="Jue.")</f>
        <v>0</v>
      </c>
      <c r="T306" t="str">
        <f>IF(AND(Hoja4!H305="Empresa de embarque B",Hoja4!I305="Cheque"),"dale","vaaa")</f>
        <v>vaaa</v>
      </c>
      <c r="V306" t="str">
        <f>IF(AND(Hoja4!H305="Empresa de embarque B",Hoja4!I305="Cheque",Hoja4!J305="Cerveza"),"dale","vaaa")</f>
        <v>vaaa</v>
      </c>
      <c r="X306" t="str">
        <f>IF(OR(Hoja4!H305="Empresa de embarque B",Hoja4!I305="Cheque",Hoja4!J305="cerveza"),"dale","vaaa")</f>
        <v>vaaa</v>
      </c>
      <c r="Z306" t="str">
        <f>IF(NOT(OR(Hoja4!I305="Cheque",Hoja4!J305="Cerveza")),"Aprobado","No Aprobado")</f>
        <v>Aprobado</v>
      </c>
    </row>
    <row r="307" spans="19:26" x14ac:dyDescent="0.25">
      <c r="S307" s="2" t="b">
        <f>AND(Hoja4!$P306="abril",Hoja4!$O306="Jue.")</f>
        <v>0</v>
      </c>
      <c r="T307" t="str">
        <f>IF(AND(Hoja4!H306="Empresa de embarque B",Hoja4!I306="Cheque"),"dale","vaaa")</f>
        <v>vaaa</v>
      </c>
      <c r="V307" t="str">
        <f>IF(AND(Hoja4!H306="Empresa de embarque B",Hoja4!I306="Cheque",Hoja4!J306="Cerveza"),"dale","vaaa")</f>
        <v>vaaa</v>
      </c>
      <c r="X307" t="str">
        <f>IF(OR(Hoja4!H306="Empresa de embarque B",Hoja4!I306="Cheque",Hoja4!J306="cerveza"),"dale","vaaa")</f>
        <v>dale</v>
      </c>
      <c r="Z307" t="str">
        <f>IF(NOT(OR(Hoja4!I306="Cheque",Hoja4!J306="Cerveza")),"Aprobado","No Aprobado")</f>
        <v>Aprobado</v>
      </c>
    </row>
    <row r="308" spans="19:26" x14ac:dyDescent="0.25">
      <c r="S308" s="2" t="b">
        <f>AND(Hoja4!$P307="abril",Hoja4!$O307="Jue.")</f>
        <v>0</v>
      </c>
      <c r="T308" t="str">
        <f>IF(AND(Hoja4!H307="Empresa de embarque B",Hoja4!I307="Cheque"),"dale","vaaa")</f>
        <v>vaaa</v>
      </c>
      <c r="V308" t="str">
        <f>IF(AND(Hoja4!H307="Empresa de embarque B",Hoja4!I307="Cheque",Hoja4!J307="Cerveza"),"dale","vaaa")</f>
        <v>vaaa</v>
      </c>
      <c r="X308" t="str">
        <f>IF(OR(Hoja4!H307="Empresa de embarque B",Hoja4!I307="Cheque",Hoja4!J307="cerveza"),"dale","vaaa")</f>
        <v>dale</v>
      </c>
      <c r="Z308" t="str">
        <f>IF(NOT(OR(Hoja4!I307="Cheque",Hoja4!J307="Cerveza")),"Aprobado","No Aprobado")</f>
        <v>Aprobado</v>
      </c>
    </row>
    <row r="309" spans="19:26" x14ac:dyDescent="0.25">
      <c r="S309" s="2" t="b">
        <f>AND(Hoja4!$P308="abril",Hoja4!$O308="Jue.")</f>
        <v>0</v>
      </c>
      <c r="T309" t="str">
        <f>IF(AND(Hoja4!H308="Empresa de embarque B",Hoja4!I308="Cheque"),"dale","vaaa")</f>
        <v>vaaa</v>
      </c>
      <c r="V309" t="str">
        <f>IF(AND(Hoja4!H308="Empresa de embarque B",Hoja4!I308="Cheque",Hoja4!J308="Cerveza"),"dale","vaaa")</f>
        <v>vaaa</v>
      </c>
      <c r="X309" t="str">
        <f>IF(OR(Hoja4!H308="Empresa de embarque B",Hoja4!I308="Cheque",Hoja4!J308="cerveza"),"dale","vaaa")</f>
        <v>dale</v>
      </c>
      <c r="Z309" t="str">
        <f>IF(NOT(OR(Hoja4!I308="Cheque",Hoja4!J308="Cerveza")),"Aprobado","No Aprobado")</f>
        <v>Aprobado</v>
      </c>
    </row>
    <row r="310" spans="19:26" x14ac:dyDescent="0.25">
      <c r="S310" s="2" t="b">
        <f>AND(Hoja4!$P309="abril",Hoja4!$O309="Jue.")</f>
        <v>0</v>
      </c>
      <c r="T310" t="str">
        <f>IF(AND(Hoja4!H309="Empresa de embarque B",Hoja4!I309="Cheque"),"dale","vaaa")</f>
        <v>vaaa</v>
      </c>
      <c r="V310" t="str">
        <f>IF(AND(Hoja4!H309="Empresa de embarque B",Hoja4!I309="Cheque",Hoja4!J309="Cerveza"),"dale","vaaa")</f>
        <v>vaaa</v>
      </c>
      <c r="X310" t="str">
        <f>IF(OR(Hoja4!H309="Empresa de embarque B",Hoja4!I309="Cheque",Hoja4!J309="cerveza"),"dale","vaaa")</f>
        <v>vaaa</v>
      </c>
      <c r="Z310" t="str">
        <f>IF(NOT(OR(Hoja4!I309="Cheque",Hoja4!J309="Cerveza")),"Aprobado","No Aprobado")</f>
        <v>Aprobado</v>
      </c>
    </row>
    <row r="311" spans="19:26" x14ac:dyDescent="0.25">
      <c r="S311" s="2" t="b">
        <f>AND(Hoja4!$P310="abril",Hoja4!$O310="Jue.")</f>
        <v>0</v>
      </c>
      <c r="T311" t="str">
        <f>IF(AND(Hoja4!H310="Empresa de embarque B",Hoja4!I310="Cheque"),"dale","vaaa")</f>
        <v>vaaa</v>
      </c>
      <c r="V311" t="str">
        <f>IF(AND(Hoja4!H310="Empresa de embarque B",Hoja4!I310="Cheque",Hoja4!J310="Cerveza"),"dale","vaaa")</f>
        <v>vaaa</v>
      </c>
      <c r="X311" t="str">
        <f>IF(OR(Hoja4!H310="Empresa de embarque B",Hoja4!I310="Cheque",Hoja4!J310="cerveza"),"dale","vaaa")</f>
        <v>vaaa</v>
      </c>
      <c r="Z311" t="str">
        <f>IF(NOT(OR(Hoja4!I310="Cheque",Hoja4!J310="Cerveza")),"Aprobado","No Aprobado")</f>
        <v>Aprobado</v>
      </c>
    </row>
    <row r="312" spans="19:26" x14ac:dyDescent="0.25">
      <c r="S312" s="2" t="b">
        <f>AND(Hoja4!$P311="abril",Hoja4!$O311="Jue.")</f>
        <v>0</v>
      </c>
      <c r="T312" t="str">
        <f>IF(AND(Hoja4!H311="Empresa de embarque B",Hoja4!I311="Cheque"),"dale","vaaa")</f>
        <v>vaaa</v>
      </c>
      <c r="V312" t="str">
        <f>IF(AND(Hoja4!H311="Empresa de embarque B",Hoja4!I311="Cheque",Hoja4!J311="Cerveza"),"dale","vaaa")</f>
        <v>vaaa</v>
      </c>
      <c r="X312" t="str">
        <f>IF(OR(Hoja4!H311="Empresa de embarque B",Hoja4!I311="Cheque",Hoja4!J311="cerveza"),"dale","vaaa")</f>
        <v>vaaa</v>
      </c>
      <c r="Z312" t="str">
        <f>IF(NOT(OR(Hoja4!I311="Cheque",Hoja4!J311="Cerveza")),"Aprobado","No Aprobado")</f>
        <v>Aprobado</v>
      </c>
    </row>
    <row r="313" spans="19:26" x14ac:dyDescent="0.25">
      <c r="S313" s="2" t="b">
        <f>AND(Hoja4!$P312="abril",Hoja4!$O312="Jue.")</f>
        <v>0</v>
      </c>
      <c r="T313" t="str">
        <f>IF(AND(Hoja4!H312="Empresa de embarque B",Hoja4!I312="Cheque"),"dale","vaaa")</f>
        <v>vaaa</v>
      </c>
      <c r="V313" t="str">
        <f>IF(AND(Hoja4!H312="Empresa de embarque B",Hoja4!I312="Cheque",Hoja4!J312="Cerveza"),"dale","vaaa")</f>
        <v>vaaa</v>
      </c>
      <c r="X313" t="str">
        <f>IF(OR(Hoja4!H312="Empresa de embarque B",Hoja4!I312="Cheque",Hoja4!J312="cerveza"),"dale","vaaa")</f>
        <v>vaaa</v>
      </c>
      <c r="Z313" t="str">
        <f>IF(NOT(OR(Hoja4!I312="Cheque",Hoja4!J312="Cerveza")),"Aprobado","No Aprobado")</f>
        <v>Aprobado</v>
      </c>
    </row>
    <row r="314" spans="19:26" x14ac:dyDescent="0.25">
      <c r="S314" s="2" t="b">
        <f>AND(Hoja4!$P313="abril",Hoja4!$O313="Jue.")</f>
        <v>0</v>
      </c>
      <c r="T314" t="str">
        <f>IF(AND(Hoja4!H313="Empresa de embarque B",Hoja4!I313="Cheque"),"dale","vaaa")</f>
        <v>vaaa</v>
      </c>
      <c r="V314" t="str">
        <f>IF(AND(Hoja4!H313="Empresa de embarque B",Hoja4!I313="Cheque",Hoja4!J313="Cerveza"),"dale","vaaa")</f>
        <v>vaaa</v>
      </c>
      <c r="X314" t="str">
        <f>IF(OR(Hoja4!H313="Empresa de embarque B",Hoja4!I313="Cheque",Hoja4!J313="cerveza"),"dale","vaaa")</f>
        <v>dale</v>
      </c>
      <c r="Z314" t="str">
        <f>IF(NOT(OR(Hoja4!I313="Cheque",Hoja4!J313="Cerveza")),"Aprobado","No Aprobado")</f>
        <v>No Aprobado</v>
      </c>
    </row>
    <row r="315" spans="19:26" x14ac:dyDescent="0.25">
      <c r="S315" s="2" t="b">
        <f>AND(Hoja4!$P314="abril",Hoja4!$O314="Jue.")</f>
        <v>0</v>
      </c>
      <c r="T315" t="str">
        <f>IF(AND(Hoja4!H314="Empresa de embarque B",Hoja4!I314="Cheque"),"dale","vaaa")</f>
        <v>dale</v>
      </c>
      <c r="V315" t="str">
        <f>IF(AND(Hoja4!H314="Empresa de embarque B",Hoja4!I314="Cheque",Hoja4!J314="Cerveza"),"dale","vaaa")</f>
        <v>dale</v>
      </c>
      <c r="X315" t="str">
        <f>IF(OR(Hoja4!H314="Empresa de embarque B",Hoja4!I314="Cheque",Hoja4!J314="cerveza"),"dale","vaaa")</f>
        <v>dale</v>
      </c>
      <c r="Z315" t="str">
        <f>IF(NOT(OR(Hoja4!I314="Cheque",Hoja4!J314="Cerveza")),"Aprobado","No Aprobado")</f>
        <v>No Aprobado</v>
      </c>
    </row>
    <row r="316" spans="19:26" x14ac:dyDescent="0.25">
      <c r="S316" s="2" t="b">
        <f>AND(Hoja4!$P315="abril",Hoja4!$O315="Jue.")</f>
        <v>0</v>
      </c>
      <c r="T316" t="str">
        <f>IF(AND(Hoja4!H315="Empresa de embarque B",Hoja4!I315="Cheque"),"dale","vaaa")</f>
        <v>dale</v>
      </c>
      <c r="V316" t="str">
        <f>IF(AND(Hoja4!H315="Empresa de embarque B",Hoja4!I315="Cheque",Hoja4!J315="Cerveza"),"dale","vaaa")</f>
        <v>vaaa</v>
      </c>
      <c r="X316" t="str">
        <f>IF(OR(Hoja4!H315="Empresa de embarque B",Hoja4!I315="Cheque",Hoja4!J315="cerveza"),"dale","vaaa")</f>
        <v>dale</v>
      </c>
      <c r="Z316" t="str">
        <f>IF(NOT(OR(Hoja4!I315="Cheque",Hoja4!J315="Cerveza")),"Aprobado","No Aprobado")</f>
        <v>No Aprobado</v>
      </c>
    </row>
    <row r="317" spans="19:26" x14ac:dyDescent="0.25">
      <c r="S317" s="2" t="b">
        <f>AND(Hoja4!$P316="abril",Hoja4!$O316="Jue.")</f>
        <v>0</v>
      </c>
      <c r="T317" t="str">
        <f>IF(AND(Hoja4!H316="Empresa de embarque B",Hoja4!I316="Cheque"),"dale","vaaa")</f>
        <v>vaaa</v>
      </c>
      <c r="V317" t="str">
        <f>IF(AND(Hoja4!H316="Empresa de embarque B",Hoja4!I316="Cheque",Hoja4!J316="Cerveza"),"dale","vaaa")</f>
        <v>vaaa</v>
      </c>
      <c r="X317" t="str">
        <f>IF(OR(Hoja4!H316="Empresa de embarque B",Hoja4!I316="Cheque",Hoja4!J316="cerveza"),"dale","vaaa")</f>
        <v>vaaa</v>
      </c>
      <c r="Z317" t="str">
        <f>IF(NOT(OR(Hoja4!I316="Cheque",Hoja4!J316="Cerveza")),"Aprobado","No Aprobado")</f>
        <v>Aprobado</v>
      </c>
    </row>
    <row r="318" spans="19:26" x14ac:dyDescent="0.25">
      <c r="S318" s="2" t="b">
        <f>AND(Hoja4!$P317="abril",Hoja4!$O317="Jue.")</f>
        <v>0</v>
      </c>
      <c r="T318" t="str">
        <f>IF(AND(Hoja4!H317="Empresa de embarque B",Hoja4!I317="Cheque"),"dale","vaaa")</f>
        <v>vaaa</v>
      </c>
      <c r="V318" t="str">
        <f>IF(AND(Hoja4!H317="Empresa de embarque B",Hoja4!I317="Cheque",Hoja4!J317="Cerveza"),"dale","vaaa")</f>
        <v>vaaa</v>
      </c>
      <c r="X318" t="str">
        <f>IF(OR(Hoja4!H317="Empresa de embarque B",Hoja4!I317="Cheque",Hoja4!J317="cerveza"),"dale","vaaa")</f>
        <v>vaaa</v>
      </c>
      <c r="Z318" t="str">
        <f>IF(NOT(OR(Hoja4!I317="Cheque",Hoja4!J317="Cerveza")),"Aprobado","No Aprobado")</f>
        <v>Aprobado</v>
      </c>
    </row>
    <row r="319" spans="19:26" x14ac:dyDescent="0.25">
      <c r="S319" s="2" t="b">
        <f>AND(Hoja4!$P318="abril",Hoja4!$O318="Jue.")</f>
        <v>0</v>
      </c>
      <c r="T319" t="str">
        <f>IF(AND(Hoja4!H318="Empresa de embarque B",Hoja4!I318="Cheque"),"dale","vaaa")</f>
        <v>vaaa</v>
      </c>
      <c r="V319" t="str">
        <f>IF(AND(Hoja4!H318="Empresa de embarque B",Hoja4!I318="Cheque",Hoja4!J318="Cerveza"),"dale","vaaa")</f>
        <v>vaaa</v>
      </c>
      <c r="X319" t="str">
        <f>IF(OR(Hoja4!H318="Empresa de embarque B",Hoja4!I318="Cheque",Hoja4!J318="cerveza"),"dale","vaaa")</f>
        <v>vaaa</v>
      </c>
      <c r="Z319" t="str">
        <f>IF(NOT(OR(Hoja4!I318="Cheque",Hoja4!J318="Cerveza")),"Aprobado","No Aprobado")</f>
        <v>Aprobado</v>
      </c>
    </row>
    <row r="320" spans="19:26" x14ac:dyDescent="0.25">
      <c r="S320" s="2" t="b">
        <f>AND(Hoja4!$P319="abril",Hoja4!$O319="Jue.")</f>
        <v>0</v>
      </c>
      <c r="T320" t="str">
        <f>IF(AND(Hoja4!H319="Empresa de embarque B",Hoja4!I319="Cheque"),"dale","vaaa")</f>
        <v>vaaa</v>
      </c>
      <c r="V320" t="str">
        <f>IF(AND(Hoja4!H319="Empresa de embarque B",Hoja4!I319="Cheque",Hoja4!J319="Cerveza"),"dale","vaaa")</f>
        <v>vaaa</v>
      </c>
      <c r="X320" t="str">
        <f>IF(OR(Hoja4!H319="Empresa de embarque B",Hoja4!I319="Cheque",Hoja4!J319="cerveza"),"dale","vaaa")</f>
        <v>dale</v>
      </c>
      <c r="Z320" t="str">
        <f>IF(NOT(OR(Hoja4!I319="Cheque",Hoja4!J319="Cerveza")),"Aprobado","No Aprobado")</f>
        <v>Aprobado</v>
      </c>
    </row>
    <row r="321" spans="19:26" x14ac:dyDescent="0.25">
      <c r="S321" s="2" t="b">
        <f>AND(Hoja4!$P320="abril",Hoja4!$O320="Jue.")</f>
        <v>0</v>
      </c>
      <c r="T321" t="str">
        <f>IF(AND(Hoja4!H320="Empresa de embarque B",Hoja4!I320="Cheque"),"dale","vaaa")</f>
        <v>vaaa</v>
      </c>
      <c r="V321" t="str">
        <f>IF(AND(Hoja4!H320="Empresa de embarque B",Hoja4!I320="Cheque",Hoja4!J320="Cerveza"),"dale","vaaa")</f>
        <v>vaaa</v>
      </c>
      <c r="X321" t="str">
        <f>IF(OR(Hoja4!H320="Empresa de embarque B",Hoja4!I320="Cheque",Hoja4!J320="cerveza"),"dale","vaaa")</f>
        <v>dale</v>
      </c>
      <c r="Z321" t="str">
        <f>IF(NOT(OR(Hoja4!I320="Cheque",Hoja4!J320="Cerveza")),"Aprobado","No Aprobado")</f>
        <v>Aprobado</v>
      </c>
    </row>
    <row r="322" spans="19:26" x14ac:dyDescent="0.25">
      <c r="S322" s="2" t="b">
        <f>AND(Hoja4!$P321="abril",Hoja4!$O321="Jue.")</f>
        <v>0</v>
      </c>
      <c r="T322" t="str">
        <f>IF(AND(Hoja4!H321="Empresa de embarque B",Hoja4!I321="Cheque"),"dale","vaaa")</f>
        <v>vaaa</v>
      </c>
      <c r="V322" t="str">
        <f>IF(AND(Hoja4!H321="Empresa de embarque B",Hoja4!I321="Cheque",Hoja4!J321="Cerveza"),"dale","vaaa")</f>
        <v>vaaa</v>
      </c>
      <c r="X322" t="str">
        <f>IF(OR(Hoja4!H321="Empresa de embarque B",Hoja4!I321="Cheque",Hoja4!J321="cerveza"),"dale","vaaa")</f>
        <v>vaaa</v>
      </c>
      <c r="Z322" t="str">
        <f>IF(NOT(OR(Hoja4!I321="Cheque",Hoja4!J321="Cerveza")),"Aprobado","No Aprobado")</f>
        <v>Aprobado</v>
      </c>
    </row>
    <row r="323" spans="19:26" x14ac:dyDescent="0.25">
      <c r="S323" s="2" t="b">
        <f>AND(Hoja4!$P322="abril",Hoja4!$O322="Jue.")</f>
        <v>0</v>
      </c>
      <c r="T323" t="str">
        <f>IF(AND(Hoja4!H322="Empresa de embarque B",Hoja4!I322="Cheque"),"dale","vaaa")</f>
        <v>vaaa</v>
      </c>
      <c r="V323" t="str">
        <f>IF(AND(Hoja4!H322="Empresa de embarque B",Hoja4!I322="Cheque",Hoja4!J322="Cerveza"),"dale","vaaa")</f>
        <v>vaaa</v>
      </c>
      <c r="X323" t="str">
        <f>IF(OR(Hoja4!H322="Empresa de embarque B",Hoja4!I322="Cheque",Hoja4!J322="cerveza"),"dale","vaaa")</f>
        <v>dale</v>
      </c>
      <c r="Z323" t="str">
        <f>IF(NOT(OR(Hoja4!I322="Cheque",Hoja4!J322="Cerveza")),"Aprobado","No Aprobado")</f>
        <v>No Aprobado</v>
      </c>
    </row>
    <row r="324" spans="19:26" x14ac:dyDescent="0.25">
      <c r="S324" s="2" t="b">
        <f>AND(Hoja4!$P323="abril",Hoja4!$O323="Jue.")</f>
        <v>0</v>
      </c>
      <c r="T324" t="str">
        <f>IF(AND(Hoja4!H323="Empresa de embarque B",Hoja4!I323="Cheque"),"dale","vaaa")</f>
        <v>dale</v>
      </c>
      <c r="V324" t="str">
        <f>IF(AND(Hoja4!H323="Empresa de embarque B",Hoja4!I323="Cheque",Hoja4!J323="Cerveza"),"dale","vaaa")</f>
        <v>vaaa</v>
      </c>
      <c r="X324" t="str">
        <f>IF(OR(Hoja4!H323="Empresa de embarque B",Hoja4!I323="Cheque",Hoja4!J323="cerveza"),"dale","vaaa")</f>
        <v>dale</v>
      </c>
      <c r="Z324" t="str">
        <f>IF(NOT(OR(Hoja4!I323="Cheque",Hoja4!J323="Cerveza")),"Aprobado","No Aprobado")</f>
        <v>No Aprobado</v>
      </c>
    </row>
    <row r="325" spans="19:26" x14ac:dyDescent="0.25">
      <c r="S325" s="2" t="b">
        <f>AND(Hoja4!$P324="abril",Hoja4!$O324="Jue.")</f>
        <v>0</v>
      </c>
      <c r="T325" t="str">
        <f>IF(AND(Hoja4!H324="Empresa de embarque B",Hoja4!I324="Cheque"),"dale","vaaa")</f>
        <v>vaaa</v>
      </c>
      <c r="V325" t="str">
        <f>IF(AND(Hoja4!H324="Empresa de embarque B",Hoja4!I324="Cheque",Hoja4!J324="Cerveza"),"dale","vaaa")</f>
        <v>vaaa</v>
      </c>
      <c r="X325" t="str">
        <f>IF(OR(Hoja4!H324="Empresa de embarque B",Hoja4!I324="Cheque",Hoja4!J324="cerveza"),"dale","vaaa")</f>
        <v>dale</v>
      </c>
      <c r="Z325" t="str">
        <f>IF(NOT(OR(Hoja4!I324="Cheque",Hoja4!J324="Cerveza")),"Aprobado","No Aprobado")</f>
        <v>Aprobado</v>
      </c>
    </row>
    <row r="326" spans="19:26" x14ac:dyDescent="0.25">
      <c r="S326" s="2" t="b">
        <f>AND(Hoja4!$P325="abril",Hoja4!$O325="Jue.")</f>
        <v>0</v>
      </c>
      <c r="T326" t="str">
        <f>IF(AND(Hoja4!H325="Empresa de embarque B",Hoja4!I325="Cheque"),"dale","vaaa")</f>
        <v>vaaa</v>
      </c>
      <c r="V326" t="str">
        <f>IF(AND(Hoja4!H325="Empresa de embarque B",Hoja4!I325="Cheque",Hoja4!J325="Cerveza"),"dale","vaaa")</f>
        <v>vaaa</v>
      </c>
      <c r="X326" t="str">
        <f>IF(OR(Hoja4!H325="Empresa de embarque B",Hoja4!I325="Cheque",Hoja4!J325="cerveza"),"dale","vaaa")</f>
        <v>dale</v>
      </c>
      <c r="Z326" t="str">
        <f>IF(NOT(OR(Hoja4!I325="Cheque",Hoja4!J325="Cerveza")),"Aprobado","No Aprobado")</f>
        <v>Aprobado</v>
      </c>
    </row>
    <row r="327" spans="19:26" x14ac:dyDescent="0.25">
      <c r="S327" s="2" t="b">
        <f>AND(Hoja4!$P326="abril",Hoja4!$O326="Jue.")</f>
        <v>0</v>
      </c>
      <c r="T327" t="str">
        <f>IF(AND(Hoja4!H326="Empresa de embarque B",Hoja4!I326="Cheque"),"dale","vaaa")</f>
        <v>vaaa</v>
      </c>
      <c r="V327" t="str">
        <f>IF(AND(Hoja4!H326="Empresa de embarque B",Hoja4!I326="Cheque",Hoja4!J326="Cerveza"),"dale","vaaa")</f>
        <v>vaaa</v>
      </c>
      <c r="X327" t="str">
        <f>IF(OR(Hoja4!H326="Empresa de embarque B",Hoja4!I326="Cheque",Hoja4!J326="cerveza"),"dale","vaaa")</f>
        <v>dale</v>
      </c>
      <c r="Z327" t="str">
        <f>IF(NOT(OR(Hoja4!I326="Cheque",Hoja4!J326="Cerveza")),"Aprobado","No Aprobado")</f>
        <v>No Aprobado</v>
      </c>
    </row>
    <row r="328" spans="19:26" x14ac:dyDescent="0.25">
      <c r="S328" s="2" t="b">
        <f>AND(Hoja4!$P327="abril",Hoja4!$O327="Jue.")</f>
        <v>0</v>
      </c>
      <c r="T328" t="str">
        <f>IF(AND(Hoja4!H327="Empresa de embarque B",Hoja4!I327="Cheque"),"dale","vaaa")</f>
        <v>vaaa</v>
      </c>
      <c r="V328" t="str">
        <f>IF(AND(Hoja4!H327="Empresa de embarque B",Hoja4!I327="Cheque",Hoja4!J327="Cerveza"),"dale","vaaa")</f>
        <v>vaaa</v>
      </c>
      <c r="X328" t="str">
        <f>IF(OR(Hoja4!H327="Empresa de embarque B",Hoja4!I327="Cheque",Hoja4!J327="cerveza"),"dale","vaaa")</f>
        <v>dale</v>
      </c>
      <c r="Z328" t="str">
        <f>IF(NOT(OR(Hoja4!I327="Cheque",Hoja4!J327="Cerveza")),"Aprobado","No Aprobado")</f>
        <v>No Aprobado</v>
      </c>
    </row>
    <row r="329" spans="19:26" x14ac:dyDescent="0.25">
      <c r="S329" s="2" t="b">
        <f>AND(Hoja4!$P328="abril",Hoja4!$O328="Jue.")</f>
        <v>0</v>
      </c>
      <c r="T329" t="str">
        <f>IF(AND(Hoja4!H328="Empresa de embarque B",Hoja4!I328="Cheque"),"dale","vaaa")</f>
        <v>vaaa</v>
      </c>
      <c r="V329" t="str">
        <f>IF(AND(Hoja4!H328="Empresa de embarque B",Hoja4!I328="Cheque",Hoja4!J328="Cerveza"),"dale","vaaa")</f>
        <v>vaaa</v>
      </c>
      <c r="X329" t="str">
        <f>IF(OR(Hoja4!H328="Empresa de embarque B",Hoja4!I328="Cheque",Hoja4!J328="cerveza"),"dale","vaaa")</f>
        <v>dale</v>
      </c>
      <c r="Z329" t="str">
        <f>IF(NOT(OR(Hoja4!I328="Cheque",Hoja4!J328="Cerveza")),"Aprobado","No Aprobado")</f>
        <v>Aprobado</v>
      </c>
    </row>
    <row r="330" spans="19:26" x14ac:dyDescent="0.25">
      <c r="S330" s="2" t="b">
        <f>AND(Hoja4!$P329="abril",Hoja4!$O329="Jue.")</f>
        <v>0</v>
      </c>
      <c r="T330" t="str">
        <f>IF(AND(Hoja4!H329="Empresa de embarque B",Hoja4!I329="Cheque"),"dale","vaaa")</f>
        <v>vaaa</v>
      </c>
      <c r="V330" t="str">
        <f>IF(AND(Hoja4!H329="Empresa de embarque B",Hoja4!I329="Cheque",Hoja4!J329="Cerveza"),"dale","vaaa")</f>
        <v>vaaa</v>
      </c>
      <c r="X330" t="str">
        <f>IF(OR(Hoja4!H329="Empresa de embarque B",Hoja4!I329="Cheque",Hoja4!J329="cerveza"),"dale","vaaa")</f>
        <v>vaaa</v>
      </c>
      <c r="Z330" t="str">
        <f>IF(NOT(OR(Hoja4!I329="Cheque",Hoja4!J329="Cerveza")),"Aprobado","No Aprobado")</f>
        <v>Aprobado</v>
      </c>
    </row>
    <row r="331" spans="19:26" x14ac:dyDescent="0.25">
      <c r="S331" s="2" t="b">
        <f>AND(Hoja4!$P330="abril",Hoja4!$O330="Jue.")</f>
        <v>0</v>
      </c>
      <c r="T331" t="str">
        <f>IF(AND(Hoja4!H330="Empresa de embarque B",Hoja4!I330="Cheque"),"dale","vaaa")</f>
        <v>vaaa</v>
      </c>
      <c r="V331" t="str">
        <f>IF(AND(Hoja4!H330="Empresa de embarque B",Hoja4!I330="Cheque",Hoja4!J330="Cerveza"),"dale","vaaa")</f>
        <v>vaaa</v>
      </c>
      <c r="X331" t="str">
        <f>IF(OR(Hoja4!H330="Empresa de embarque B",Hoja4!I330="Cheque",Hoja4!J330="cerveza"),"dale","vaaa")</f>
        <v>vaaa</v>
      </c>
      <c r="Z331" t="str">
        <f>IF(NOT(OR(Hoja4!I330="Cheque",Hoja4!J330="Cerveza")),"Aprobado","No Aprobado")</f>
        <v>Aprobado</v>
      </c>
    </row>
    <row r="332" spans="19:26" x14ac:dyDescent="0.25">
      <c r="S332" s="2" t="b">
        <f>AND(Hoja4!$P331="abril",Hoja4!$O331="Jue.")</f>
        <v>0</v>
      </c>
      <c r="T332" t="str">
        <f>IF(AND(Hoja4!H331="Empresa de embarque B",Hoja4!I331="Cheque"),"dale","vaaa")</f>
        <v>vaaa</v>
      </c>
      <c r="V332" t="str">
        <f>IF(AND(Hoja4!H331="Empresa de embarque B",Hoja4!I331="Cheque",Hoja4!J331="Cerveza"),"dale","vaaa")</f>
        <v>vaaa</v>
      </c>
      <c r="X332" t="str">
        <f>IF(OR(Hoja4!H331="Empresa de embarque B",Hoja4!I331="Cheque",Hoja4!J331="cerveza"),"dale","vaaa")</f>
        <v>vaaa</v>
      </c>
      <c r="Z332" t="str">
        <f>IF(NOT(OR(Hoja4!I331="Cheque",Hoja4!J331="Cerveza")),"Aprobado","No Aprobado")</f>
        <v>Aprobado</v>
      </c>
    </row>
    <row r="333" spans="19:26" x14ac:dyDescent="0.25">
      <c r="S333" s="2" t="b">
        <f>AND(Hoja4!$P332="abril",Hoja4!$O332="Jue.")</f>
        <v>0</v>
      </c>
      <c r="T333" t="str">
        <f>IF(AND(Hoja4!H332="Empresa de embarque B",Hoja4!I332="Cheque"),"dale","vaaa")</f>
        <v>vaaa</v>
      </c>
      <c r="V333" t="str">
        <f>IF(AND(Hoja4!H332="Empresa de embarque B",Hoja4!I332="Cheque",Hoja4!J332="Cerveza"),"dale","vaaa")</f>
        <v>vaaa</v>
      </c>
      <c r="X333" t="str">
        <f>IF(OR(Hoja4!H332="Empresa de embarque B",Hoja4!I332="Cheque",Hoja4!J332="cerveza"),"dale","vaaa")</f>
        <v>vaaa</v>
      </c>
      <c r="Z333" t="str">
        <f>IF(NOT(OR(Hoja4!I332="Cheque",Hoja4!J332="Cerveza")),"Aprobado","No Aprobado")</f>
        <v>Aprobado</v>
      </c>
    </row>
    <row r="334" spans="19:26" x14ac:dyDescent="0.25">
      <c r="S334" s="2" t="b">
        <f>AND(Hoja4!$P333="abril",Hoja4!$O333="Jue.")</f>
        <v>0</v>
      </c>
      <c r="T334" t="str">
        <f>IF(AND(Hoja4!H333="Empresa de embarque B",Hoja4!I333="Cheque"),"dale","vaaa")</f>
        <v>vaaa</v>
      </c>
      <c r="V334" t="str">
        <f>IF(AND(Hoja4!H333="Empresa de embarque B",Hoja4!I333="Cheque",Hoja4!J333="Cerveza"),"dale","vaaa")</f>
        <v>vaaa</v>
      </c>
      <c r="X334" t="str">
        <f>IF(OR(Hoja4!H333="Empresa de embarque B",Hoja4!I333="Cheque",Hoja4!J333="cerveza"),"dale","vaaa")</f>
        <v>vaaa</v>
      </c>
      <c r="Z334" t="str">
        <f>IF(NOT(OR(Hoja4!I333="Cheque",Hoja4!J333="Cerveza")),"Aprobado","No Aprobado")</f>
        <v>Aprobado</v>
      </c>
    </row>
    <row r="335" spans="19:26" x14ac:dyDescent="0.25">
      <c r="S335" s="2" t="b">
        <f>AND(Hoja4!$P334="abril",Hoja4!$O334="Jue.")</f>
        <v>0</v>
      </c>
      <c r="T335" t="str">
        <f>IF(AND(Hoja4!H334="Empresa de embarque B",Hoja4!I334="Cheque"),"dale","vaaa")</f>
        <v>vaaa</v>
      </c>
      <c r="V335" t="str">
        <f>IF(AND(Hoja4!H334="Empresa de embarque B",Hoja4!I334="Cheque",Hoja4!J334="Cerveza"),"dale","vaaa")</f>
        <v>vaaa</v>
      </c>
      <c r="X335" t="str">
        <f>IF(OR(Hoja4!H334="Empresa de embarque B",Hoja4!I334="Cheque",Hoja4!J334="cerveza"),"dale","vaaa")</f>
        <v>vaaa</v>
      </c>
      <c r="Z335" t="str">
        <f>IF(NOT(OR(Hoja4!I334="Cheque",Hoja4!J334="Cerveza")),"Aprobado","No Aprobado")</f>
        <v>Aprobado</v>
      </c>
    </row>
    <row r="336" spans="19:26" x14ac:dyDescent="0.25">
      <c r="S336" s="2" t="b">
        <f>AND(Hoja4!$P335="abril",Hoja4!$O335="Jue.")</f>
        <v>0</v>
      </c>
      <c r="T336" t="str">
        <f>IF(AND(Hoja4!H335="Empresa de embarque B",Hoja4!I335="Cheque"),"dale","vaaa")</f>
        <v>vaaa</v>
      </c>
      <c r="V336" t="str">
        <f>IF(AND(Hoja4!H335="Empresa de embarque B",Hoja4!I335="Cheque",Hoja4!J335="Cerveza"),"dale","vaaa")</f>
        <v>vaaa</v>
      </c>
      <c r="X336" t="str">
        <f>IF(OR(Hoja4!H335="Empresa de embarque B",Hoja4!I335="Cheque",Hoja4!J335="cerveza"),"dale","vaaa")</f>
        <v>vaaa</v>
      </c>
      <c r="Z336" t="str">
        <f>IF(NOT(OR(Hoja4!I335="Cheque",Hoja4!J335="Cerveza")),"Aprobado","No Aprobado")</f>
        <v>Aprobado</v>
      </c>
    </row>
    <row r="337" spans="19:26" x14ac:dyDescent="0.25">
      <c r="S337" s="2" t="b">
        <f>AND(Hoja4!$P336="abril",Hoja4!$O336="Jue.")</f>
        <v>0</v>
      </c>
      <c r="T337" t="str">
        <f>IF(AND(Hoja4!H336="Empresa de embarque B",Hoja4!I336="Cheque"),"dale","vaaa")</f>
        <v>vaaa</v>
      </c>
      <c r="V337" t="str">
        <f>IF(AND(Hoja4!H336="Empresa de embarque B",Hoja4!I336="Cheque",Hoja4!J336="Cerveza"),"dale","vaaa")</f>
        <v>vaaa</v>
      </c>
      <c r="X337" t="str">
        <f>IF(OR(Hoja4!H336="Empresa de embarque B",Hoja4!I336="Cheque",Hoja4!J336="cerveza"),"dale","vaaa")</f>
        <v>vaaa</v>
      </c>
      <c r="Z337" t="str">
        <f>IF(NOT(OR(Hoja4!I336="Cheque",Hoja4!J336="Cerveza")),"Aprobado","No Aprobado")</f>
        <v>Aprobado</v>
      </c>
    </row>
    <row r="338" spans="19:26" x14ac:dyDescent="0.25">
      <c r="S338" s="2" t="b">
        <f>AND(Hoja4!$P337="abril",Hoja4!$O337="Jue.")</f>
        <v>0</v>
      </c>
      <c r="T338" t="str">
        <f>IF(AND(Hoja4!H337="Empresa de embarque B",Hoja4!I337="Cheque"),"dale","vaaa")</f>
        <v>vaaa</v>
      </c>
      <c r="V338" t="str">
        <f>IF(AND(Hoja4!H337="Empresa de embarque B",Hoja4!I337="Cheque",Hoja4!J337="Cerveza"),"dale","vaaa")</f>
        <v>vaaa</v>
      </c>
      <c r="X338" t="str">
        <f>IF(OR(Hoja4!H337="Empresa de embarque B",Hoja4!I337="Cheque",Hoja4!J337="cerveza"),"dale","vaaa")</f>
        <v>vaaa</v>
      </c>
      <c r="Z338" t="str">
        <f>IF(NOT(OR(Hoja4!I337="Cheque",Hoja4!J337="Cerveza")),"Aprobado","No Aprobado")</f>
        <v>Aprobado</v>
      </c>
    </row>
    <row r="339" spans="19:26" x14ac:dyDescent="0.25">
      <c r="S339" s="2" t="b">
        <f>AND(Hoja4!$P338="abril",Hoja4!$O338="Jue.")</f>
        <v>0</v>
      </c>
      <c r="T339" t="str">
        <f>IF(AND(Hoja4!H338="Empresa de embarque B",Hoja4!I338="Cheque"),"dale","vaaa")</f>
        <v>vaaa</v>
      </c>
      <c r="V339" t="str">
        <f>IF(AND(Hoja4!H338="Empresa de embarque B",Hoja4!I338="Cheque",Hoja4!J338="Cerveza"),"dale","vaaa")</f>
        <v>vaaa</v>
      </c>
      <c r="X339" t="str">
        <f>IF(OR(Hoja4!H338="Empresa de embarque B",Hoja4!I338="Cheque",Hoja4!J338="cerveza"),"dale","vaaa")</f>
        <v>vaaa</v>
      </c>
      <c r="Z339" t="str">
        <f>IF(NOT(OR(Hoja4!I338="Cheque",Hoja4!J338="Cerveza")),"Aprobado","No Aprobado")</f>
        <v>Aprobado</v>
      </c>
    </row>
    <row r="340" spans="19:26" x14ac:dyDescent="0.25">
      <c r="S340" s="2" t="b">
        <f>AND(Hoja4!$P339="abril",Hoja4!$O339="Jue.")</f>
        <v>0</v>
      </c>
      <c r="T340" t="str">
        <f>IF(AND(Hoja4!H339="Empresa de embarque B",Hoja4!I339="Cheque"),"dale","vaaa")</f>
        <v>vaaa</v>
      </c>
      <c r="V340" t="str">
        <f>IF(AND(Hoja4!H339="Empresa de embarque B",Hoja4!I339="Cheque",Hoja4!J339="Cerveza"),"dale","vaaa")</f>
        <v>vaaa</v>
      </c>
      <c r="X340" t="str">
        <f>IF(OR(Hoja4!H339="Empresa de embarque B",Hoja4!I339="Cheque",Hoja4!J339="cerveza"),"dale","vaaa")</f>
        <v>vaaa</v>
      </c>
      <c r="Z340" t="str">
        <f>IF(NOT(OR(Hoja4!I339="Cheque",Hoja4!J339="Cerveza")),"Aprobado","No Aprobado")</f>
        <v>Aprobado</v>
      </c>
    </row>
    <row r="341" spans="19:26" x14ac:dyDescent="0.25">
      <c r="S341" s="2" t="b">
        <f>AND(Hoja4!$P340="abril",Hoja4!$O340="Jue.")</f>
        <v>0</v>
      </c>
      <c r="T341" t="str">
        <f>IF(AND(Hoja4!H340="Empresa de embarque B",Hoja4!I340="Cheque"),"dale","vaaa")</f>
        <v>vaaa</v>
      </c>
      <c r="V341" t="str">
        <f>IF(AND(Hoja4!H340="Empresa de embarque B",Hoja4!I340="Cheque",Hoja4!J340="Cerveza"),"dale","vaaa")</f>
        <v>vaaa</v>
      </c>
      <c r="X341" t="str">
        <f>IF(OR(Hoja4!H340="Empresa de embarque B",Hoja4!I340="Cheque",Hoja4!J340="cerveza"),"dale","vaaa")</f>
        <v>dale</v>
      </c>
      <c r="Z341" t="str">
        <f>IF(NOT(OR(Hoja4!I340="Cheque",Hoja4!J340="Cerveza")),"Aprobado","No Aprobado")</f>
        <v>No Aprobado</v>
      </c>
    </row>
    <row r="342" spans="19:26" x14ac:dyDescent="0.25">
      <c r="S342" s="2" t="b">
        <f>AND(Hoja4!$P341="abril",Hoja4!$O341="Jue.")</f>
        <v>0</v>
      </c>
      <c r="T342" t="str">
        <f>IF(AND(Hoja4!H341="Empresa de embarque B",Hoja4!I341="Cheque"),"dale","vaaa")</f>
        <v>vaaa</v>
      </c>
      <c r="V342" t="str">
        <f>IF(AND(Hoja4!H341="Empresa de embarque B",Hoja4!I341="Cheque",Hoja4!J341="Cerveza"),"dale","vaaa")</f>
        <v>vaaa</v>
      </c>
      <c r="X342" t="str">
        <f>IF(OR(Hoja4!H341="Empresa de embarque B",Hoja4!I341="Cheque",Hoja4!J341="cerveza"),"dale","vaaa")</f>
        <v>dale</v>
      </c>
      <c r="Z342" t="str">
        <f>IF(NOT(OR(Hoja4!I341="Cheque",Hoja4!J341="Cerveza")),"Aprobado","No Aprobado")</f>
        <v>No Aprobado</v>
      </c>
    </row>
    <row r="343" spans="19:26" x14ac:dyDescent="0.25">
      <c r="S343" s="2" t="b">
        <f>AND(Hoja4!$P342="abril",Hoja4!$O342="Jue.")</f>
        <v>0</v>
      </c>
      <c r="T343" t="str">
        <f>IF(AND(Hoja4!H342="Empresa de embarque B",Hoja4!I342="Cheque"),"dale","vaaa")</f>
        <v>vaaa</v>
      </c>
      <c r="V343" t="str">
        <f>IF(AND(Hoja4!H342="Empresa de embarque B",Hoja4!I342="Cheque",Hoja4!J342="Cerveza"),"dale","vaaa")</f>
        <v>vaaa</v>
      </c>
      <c r="X343" t="str">
        <f>IF(OR(Hoja4!H342="Empresa de embarque B",Hoja4!I342="Cheque",Hoja4!J342="cerveza"),"dale","vaaa")</f>
        <v>dale</v>
      </c>
      <c r="Z343" t="str">
        <f>IF(NOT(OR(Hoja4!I342="Cheque",Hoja4!J342="Cerveza")),"Aprobado","No Aprobado")</f>
        <v>No Aprobado</v>
      </c>
    </row>
    <row r="344" spans="19:26" x14ac:dyDescent="0.25">
      <c r="S344" s="2" t="b">
        <f>AND(Hoja4!$P343="abril",Hoja4!$O343="Jue.")</f>
        <v>0</v>
      </c>
      <c r="T344" t="str">
        <f>IF(AND(Hoja4!H343="Empresa de embarque B",Hoja4!I343="Cheque"),"dale","vaaa")</f>
        <v>dale</v>
      </c>
      <c r="V344" t="str">
        <f>IF(AND(Hoja4!H343="Empresa de embarque B",Hoja4!I343="Cheque",Hoja4!J343="Cerveza"),"dale","vaaa")</f>
        <v>vaaa</v>
      </c>
      <c r="X344" t="str">
        <f>IF(OR(Hoja4!H343="Empresa de embarque B",Hoja4!I343="Cheque",Hoja4!J343="cerveza"),"dale","vaaa")</f>
        <v>dale</v>
      </c>
      <c r="Z344" t="str">
        <f>IF(NOT(OR(Hoja4!I343="Cheque",Hoja4!J343="Cerveza")),"Aprobado","No Aprobado")</f>
        <v>No Aprobado</v>
      </c>
    </row>
    <row r="345" spans="19:26" x14ac:dyDescent="0.25">
      <c r="S345" s="2" t="b">
        <f>AND(Hoja4!$P344="abril",Hoja4!$O344="Jue.")</f>
        <v>0</v>
      </c>
      <c r="T345" t="str">
        <f>IF(AND(Hoja4!H344="Empresa de embarque B",Hoja4!I344="Cheque"),"dale","vaaa")</f>
        <v>dale</v>
      </c>
      <c r="V345" t="str">
        <f>IF(AND(Hoja4!H344="Empresa de embarque B",Hoja4!I344="Cheque",Hoja4!J344="Cerveza"),"dale","vaaa")</f>
        <v>vaaa</v>
      </c>
      <c r="X345" t="str">
        <f>IF(OR(Hoja4!H344="Empresa de embarque B",Hoja4!I344="Cheque",Hoja4!J344="cerveza"),"dale","vaaa")</f>
        <v>dale</v>
      </c>
      <c r="Z345" t="str">
        <f>IF(NOT(OR(Hoja4!I344="Cheque",Hoja4!J344="Cerveza")),"Aprobado","No Aprobado")</f>
        <v>No Aprobado</v>
      </c>
    </row>
    <row r="346" spans="19:26" x14ac:dyDescent="0.25">
      <c r="S346" s="2" t="b">
        <f>AND(Hoja4!$P345="abril",Hoja4!$O345="Jue.")</f>
        <v>0</v>
      </c>
      <c r="T346" t="str">
        <f>IF(AND(Hoja4!H345="Empresa de embarque B",Hoja4!I345="Cheque"),"dale","vaaa")</f>
        <v>vaaa</v>
      </c>
      <c r="V346" t="str">
        <f>IF(AND(Hoja4!H345="Empresa de embarque B",Hoja4!I345="Cheque",Hoja4!J345="Cerveza"),"dale","vaaa")</f>
        <v>vaaa</v>
      </c>
      <c r="X346" t="str">
        <f>IF(OR(Hoja4!H345="Empresa de embarque B",Hoja4!I345="Cheque",Hoja4!J345="cerveza"),"dale","vaaa")</f>
        <v>vaaa</v>
      </c>
      <c r="Z346" t="str">
        <f>IF(NOT(OR(Hoja4!I345="Cheque",Hoja4!J345="Cerveza")),"Aprobado","No Aprobado")</f>
        <v>Aprobado</v>
      </c>
    </row>
    <row r="347" spans="19:26" x14ac:dyDescent="0.25">
      <c r="S347" s="2" t="b">
        <f>AND(Hoja4!$P346="abril",Hoja4!$O346="Jue.")</f>
        <v>0</v>
      </c>
      <c r="T347" t="str">
        <f>IF(AND(Hoja4!H346="Empresa de embarque B",Hoja4!I346="Cheque"),"dale","vaaa")</f>
        <v>vaaa</v>
      </c>
      <c r="V347" t="str">
        <f>IF(AND(Hoja4!H346="Empresa de embarque B",Hoja4!I346="Cheque",Hoja4!J346="Cerveza"),"dale","vaaa")</f>
        <v>vaaa</v>
      </c>
      <c r="X347" t="str">
        <f>IF(OR(Hoja4!H346="Empresa de embarque B",Hoja4!I346="Cheque",Hoja4!J346="cerveza"),"dale","vaaa")</f>
        <v>vaaa</v>
      </c>
      <c r="Z347" t="str">
        <f>IF(NOT(OR(Hoja4!I346="Cheque",Hoja4!J346="Cerveza")),"Aprobado","No Aprobado")</f>
        <v>Aprobado</v>
      </c>
    </row>
    <row r="348" spans="19:26" x14ac:dyDescent="0.25">
      <c r="S348" s="2" t="b">
        <f>AND(Hoja4!$P347="abril",Hoja4!$O347="Jue.")</f>
        <v>0</v>
      </c>
      <c r="T348" t="str">
        <f>IF(AND(Hoja4!H347="Empresa de embarque B",Hoja4!I347="Cheque"),"dale","vaaa")</f>
        <v>vaaa</v>
      </c>
      <c r="V348" t="str">
        <f>IF(AND(Hoja4!H347="Empresa de embarque B",Hoja4!I347="Cheque",Hoja4!J347="Cerveza"),"dale","vaaa")</f>
        <v>vaaa</v>
      </c>
      <c r="X348" t="str">
        <f>IF(OR(Hoja4!H347="Empresa de embarque B",Hoja4!I347="Cheque",Hoja4!J347="cerveza"),"dale","vaaa")</f>
        <v>vaaa</v>
      </c>
      <c r="Z348" t="str">
        <f>IF(NOT(OR(Hoja4!I347="Cheque",Hoja4!J347="Cerveza")),"Aprobado","No Aprobado")</f>
        <v>Aprobado</v>
      </c>
    </row>
    <row r="349" spans="19:26" x14ac:dyDescent="0.25">
      <c r="S349" s="2" t="b">
        <f>AND(Hoja4!$P348="abril",Hoja4!$O348="Jue.")</f>
        <v>0</v>
      </c>
      <c r="T349" t="str">
        <f>IF(AND(Hoja4!H348="Empresa de embarque B",Hoja4!I348="Cheque"),"dale","vaaa")</f>
        <v>vaaa</v>
      </c>
      <c r="V349" t="str">
        <f>IF(AND(Hoja4!H348="Empresa de embarque B",Hoja4!I348="Cheque",Hoja4!J348="Cerveza"),"dale","vaaa")</f>
        <v>vaaa</v>
      </c>
      <c r="X349" t="str">
        <f>IF(OR(Hoja4!H348="Empresa de embarque B",Hoja4!I348="Cheque",Hoja4!J348="cerveza"),"dale","vaaa")</f>
        <v>vaaa</v>
      </c>
      <c r="Z349" t="str">
        <f>IF(NOT(OR(Hoja4!I348="Cheque",Hoja4!J348="Cerveza")),"Aprobado","No Aprobado")</f>
        <v>Aprobado</v>
      </c>
    </row>
    <row r="350" spans="19:26" x14ac:dyDescent="0.25">
      <c r="S350" s="2" t="b">
        <f>AND(Hoja4!$P349="abril",Hoja4!$O349="Jue.")</f>
        <v>0</v>
      </c>
      <c r="T350" t="str">
        <f>IF(AND(Hoja4!H349="Empresa de embarque B",Hoja4!I349="Cheque"),"dale","vaaa")</f>
        <v>dale</v>
      </c>
      <c r="V350" t="str">
        <f>IF(AND(Hoja4!H349="Empresa de embarque B",Hoja4!I349="Cheque",Hoja4!J349="Cerveza"),"dale","vaaa")</f>
        <v>dale</v>
      </c>
      <c r="X350" t="str">
        <f>IF(OR(Hoja4!H349="Empresa de embarque B",Hoja4!I349="Cheque",Hoja4!J349="cerveza"),"dale","vaaa")</f>
        <v>dale</v>
      </c>
      <c r="Z350" t="str">
        <f>IF(NOT(OR(Hoja4!I349="Cheque",Hoja4!J349="Cerveza")),"Aprobado","No Aprobado")</f>
        <v>No Aprobado</v>
      </c>
    </row>
    <row r="351" spans="19:26" x14ac:dyDescent="0.25">
      <c r="S351" s="2" t="b">
        <f>AND(Hoja4!$P350="abril",Hoja4!$O350="Jue.")</f>
        <v>0</v>
      </c>
      <c r="T351" t="str">
        <f>IF(AND(Hoja4!H350="Empresa de embarque B",Hoja4!I350="Cheque"),"dale","vaaa")</f>
        <v>vaaa</v>
      </c>
      <c r="V351" t="str">
        <f>IF(AND(Hoja4!H350="Empresa de embarque B",Hoja4!I350="Cheque",Hoja4!J350="Cerveza"),"dale","vaaa")</f>
        <v>vaaa</v>
      </c>
      <c r="X351" t="str">
        <f>IF(OR(Hoja4!H350="Empresa de embarque B",Hoja4!I350="Cheque",Hoja4!J350="cerveza"),"dale","vaaa")</f>
        <v>dale</v>
      </c>
      <c r="Z351" t="str">
        <f>IF(NOT(OR(Hoja4!I350="Cheque",Hoja4!J350="Cerveza")),"Aprobado","No Aprobado")</f>
        <v>No Aprobado</v>
      </c>
    </row>
    <row r="352" spans="19:26" x14ac:dyDescent="0.25">
      <c r="S352" s="2" t="b">
        <f>AND(Hoja4!$P351="abril",Hoja4!$O351="Jue.")</f>
        <v>0</v>
      </c>
      <c r="T352" t="str">
        <f>IF(AND(Hoja4!H351="Empresa de embarque B",Hoja4!I351="Cheque"),"dale","vaaa")</f>
        <v>vaaa</v>
      </c>
      <c r="V352" t="str">
        <f>IF(AND(Hoja4!H351="Empresa de embarque B",Hoja4!I351="Cheque",Hoja4!J351="Cerveza"),"dale","vaaa")</f>
        <v>vaaa</v>
      </c>
      <c r="X352" t="str">
        <f>IF(OR(Hoja4!H351="Empresa de embarque B",Hoja4!I351="Cheque",Hoja4!J351="cerveza"),"dale","vaaa")</f>
        <v>vaaa</v>
      </c>
      <c r="Z352" t="str">
        <f>IF(NOT(OR(Hoja4!I351="Cheque",Hoja4!J351="Cerveza")),"Aprobado","No Aprobado")</f>
        <v>Aprobado</v>
      </c>
    </row>
    <row r="353" spans="19:26" x14ac:dyDescent="0.25">
      <c r="S353" s="2" t="b">
        <f>AND(Hoja4!$P352="abril",Hoja4!$O352="Jue.")</f>
        <v>0</v>
      </c>
      <c r="T353" t="str">
        <f>IF(AND(Hoja4!H352="Empresa de embarque B",Hoja4!I352="Cheque"),"dale","vaaa")</f>
        <v>vaaa</v>
      </c>
      <c r="V353" t="str">
        <f>IF(AND(Hoja4!H352="Empresa de embarque B",Hoja4!I352="Cheque",Hoja4!J352="Cerveza"),"dale","vaaa")</f>
        <v>vaaa</v>
      </c>
      <c r="X353" t="str">
        <f>IF(OR(Hoja4!H352="Empresa de embarque B",Hoja4!I352="Cheque",Hoja4!J352="cerveza"),"dale","vaaa")</f>
        <v>vaaa</v>
      </c>
      <c r="Z353" t="str">
        <f>IF(NOT(OR(Hoja4!I352="Cheque",Hoja4!J352="Cerveza")),"Aprobado","No Aprobado")</f>
        <v>Aprobado</v>
      </c>
    </row>
    <row r="354" spans="19:26" x14ac:dyDescent="0.25">
      <c r="S354" s="2" t="b">
        <f>AND(Hoja4!$P353="abril",Hoja4!$O353="Jue.")</f>
        <v>0</v>
      </c>
      <c r="T354" t="str">
        <f>IF(AND(Hoja4!H353="Empresa de embarque B",Hoja4!I353="Cheque"),"dale","vaaa")</f>
        <v>vaaa</v>
      </c>
      <c r="V354" t="str">
        <f>IF(AND(Hoja4!H353="Empresa de embarque B",Hoja4!I353="Cheque",Hoja4!J353="Cerveza"),"dale","vaaa")</f>
        <v>vaaa</v>
      </c>
      <c r="X354" t="str">
        <f>IF(OR(Hoja4!H353="Empresa de embarque B",Hoja4!I353="Cheque",Hoja4!J353="cerveza"),"dale","vaaa")</f>
        <v>vaaa</v>
      </c>
      <c r="Z354" t="str">
        <f>IF(NOT(OR(Hoja4!I353="Cheque",Hoja4!J353="Cerveza")),"Aprobado","No Aprobado")</f>
        <v>Aprobado</v>
      </c>
    </row>
    <row r="355" spans="19:26" x14ac:dyDescent="0.25">
      <c r="S355" s="2" t="b">
        <f>AND(Hoja4!$P354="abril",Hoja4!$O354="Jue.")</f>
        <v>0</v>
      </c>
      <c r="T355" t="str">
        <f>IF(AND(Hoja4!H354="Empresa de embarque B",Hoja4!I354="Cheque"),"dale","vaaa")</f>
        <v>vaaa</v>
      </c>
      <c r="V355" t="str">
        <f>IF(AND(Hoja4!H354="Empresa de embarque B",Hoja4!I354="Cheque",Hoja4!J354="Cerveza"),"dale","vaaa")</f>
        <v>vaaa</v>
      </c>
      <c r="X355" t="str">
        <f>IF(OR(Hoja4!H354="Empresa de embarque B",Hoja4!I354="Cheque",Hoja4!J354="cerveza"),"dale","vaaa")</f>
        <v>dale</v>
      </c>
      <c r="Z355" t="str">
        <f>IF(NOT(OR(Hoja4!I354="Cheque",Hoja4!J354="Cerveza")),"Aprobado","No Aprobado")</f>
        <v>Aprobado</v>
      </c>
    </row>
    <row r="356" spans="19:26" x14ac:dyDescent="0.25">
      <c r="S356" s="2" t="b">
        <f>AND(Hoja4!$P355="abril",Hoja4!$O355="Jue.")</f>
        <v>0</v>
      </c>
      <c r="T356" t="str">
        <f>IF(AND(Hoja4!H355="Empresa de embarque B",Hoja4!I355="Cheque"),"dale","vaaa")</f>
        <v>vaaa</v>
      </c>
      <c r="V356" t="str">
        <f>IF(AND(Hoja4!H355="Empresa de embarque B",Hoja4!I355="Cheque",Hoja4!J355="Cerveza"),"dale","vaaa")</f>
        <v>vaaa</v>
      </c>
      <c r="X356" t="str">
        <f>IF(OR(Hoja4!H355="Empresa de embarque B",Hoja4!I355="Cheque",Hoja4!J355="cerveza"),"dale","vaaa")</f>
        <v>dale</v>
      </c>
      <c r="Z356" t="str">
        <f>IF(NOT(OR(Hoja4!I355="Cheque",Hoja4!J355="Cerveza")),"Aprobado","No Aprobado")</f>
        <v>Aprobado</v>
      </c>
    </row>
    <row r="357" spans="19:26" x14ac:dyDescent="0.25">
      <c r="S357" s="2" t="b">
        <f>AND(Hoja4!$P356="abril",Hoja4!$O356="Jue.")</f>
        <v>0</v>
      </c>
      <c r="T357" t="str">
        <f>IF(AND(Hoja4!H356="Empresa de embarque B",Hoja4!I356="Cheque"),"dale","vaaa")</f>
        <v>vaaa</v>
      </c>
      <c r="V357" t="str">
        <f>IF(AND(Hoja4!H356="Empresa de embarque B",Hoja4!I356="Cheque",Hoja4!J356="Cerveza"),"dale","vaaa")</f>
        <v>vaaa</v>
      </c>
      <c r="X357" t="str">
        <f>IF(OR(Hoja4!H356="Empresa de embarque B",Hoja4!I356="Cheque",Hoja4!J356="cerveza"),"dale","vaaa")</f>
        <v>dale</v>
      </c>
      <c r="Z357" t="str">
        <f>IF(NOT(OR(Hoja4!I356="Cheque",Hoja4!J356="Cerveza")),"Aprobado","No Aprobado")</f>
        <v>Aprobado</v>
      </c>
    </row>
    <row r="358" spans="19:26" x14ac:dyDescent="0.25">
      <c r="S358" s="2" t="b">
        <f>AND(Hoja4!$P357="abril",Hoja4!$O357="Jue.")</f>
        <v>0</v>
      </c>
      <c r="T358" t="str">
        <f>IF(AND(Hoja4!H357="Empresa de embarque B",Hoja4!I357="Cheque"),"dale","vaaa")</f>
        <v>vaaa</v>
      </c>
      <c r="V358" t="str">
        <f>IF(AND(Hoja4!H357="Empresa de embarque B",Hoja4!I357="Cheque",Hoja4!J357="Cerveza"),"dale","vaaa")</f>
        <v>vaaa</v>
      </c>
      <c r="X358" t="str">
        <f>IF(OR(Hoja4!H357="Empresa de embarque B",Hoja4!I357="Cheque",Hoja4!J357="cerveza"),"dale","vaaa")</f>
        <v>vaaa</v>
      </c>
      <c r="Z358" t="str">
        <f>IF(NOT(OR(Hoja4!I357="Cheque",Hoja4!J357="Cerveza")),"Aprobado","No Aprobado")</f>
        <v>Aprobado</v>
      </c>
    </row>
    <row r="359" spans="19:26" x14ac:dyDescent="0.25">
      <c r="S359" s="2" t="b">
        <f>AND(Hoja4!$P358="abril",Hoja4!$O358="Jue.")</f>
        <v>0</v>
      </c>
      <c r="T359" t="str">
        <f>IF(AND(Hoja4!H358="Empresa de embarque B",Hoja4!I358="Cheque"),"dale","vaaa")</f>
        <v>vaaa</v>
      </c>
      <c r="V359" t="str">
        <f>IF(AND(Hoja4!H358="Empresa de embarque B",Hoja4!I358="Cheque",Hoja4!J358="Cerveza"),"dale","vaaa")</f>
        <v>vaaa</v>
      </c>
      <c r="X359" t="str">
        <f>IF(OR(Hoja4!H358="Empresa de embarque B",Hoja4!I358="Cheque",Hoja4!J358="cerveza"),"dale","vaaa")</f>
        <v>vaaa</v>
      </c>
      <c r="Z359" t="str">
        <f>IF(NOT(OR(Hoja4!I358="Cheque",Hoja4!J358="Cerveza")),"Aprobado","No Aprobado")</f>
        <v>Aprobado</v>
      </c>
    </row>
    <row r="360" spans="19:26" x14ac:dyDescent="0.25">
      <c r="S360" s="2" t="b">
        <f>AND(Hoja4!$P359="abril",Hoja4!$O359="Jue.")</f>
        <v>0</v>
      </c>
      <c r="T360" t="str">
        <f>IF(AND(Hoja4!H359="Empresa de embarque B",Hoja4!I359="Cheque"),"dale","vaaa")</f>
        <v>vaaa</v>
      </c>
      <c r="V360" t="str">
        <f>IF(AND(Hoja4!H359="Empresa de embarque B",Hoja4!I359="Cheque",Hoja4!J359="Cerveza"),"dale","vaaa")</f>
        <v>vaaa</v>
      </c>
      <c r="X360" t="str">
        <f>IF(OR(Hoja4!H359="Empresa de embarque B",Hoja4!I359="Cheque",Hoja4!J359="cerveza"),"dale","vaaa")</f>
        <v>vaaa</v>
      </c>
      <c r="Z360" t="str">
        <f>IF(NOT(OR(Hoja4!I359="Cheque",Hoja4!J359="Cerveza")),"Aprobado","No Aprobado")</f>
        <v>Aprobado</v>
      </c>
    </row>
    <row r="361" spans="19:26" x14ac:dyDescent="0.25">
      <c r="S361" s="2" t="b">
        <f>AND(Hoja4!$P360="abril",Hoja4!$O360="Jue.")</f>
        <v>0</v>
      </c>
      <c r="T361" t="str">
        <f>IF(AND(Hoja4!H360="Empresa de embarque B",Hoja4!I360="Cheque"),"dale","vaaa")</f>
        <v>vaaa</v>
      </c>
      <c r="V361" t="str">
        <f>IF(AND(Hoja4!H360="Empresa de embarque B",Hoja4!I360="Cheque",Hoja4!J360="Cerveza"),"dale","vaaa")</f>
        <v>vaaa</v>
      </c>
      <c r="X361" t="str">
        <f>IF(OR(Hoja4!H360="Empresa de embarque B",Hoja4!I360="Cheque",Hoja4!J360="cerveza"),"dale","vaaa")</f>
        <v>vaaa</v>
      </c>
      <c r="Z361" t="str">
        <f>IF(NOT(OR(Hoja4!I360="Cheque",Hoja4!J360="Cerveza")),"Aprobado","No Aprobado")</f>
        <v>Aprobado</v>
      </c>
    </row>
    <row r="362" spans="19:26" x14ac:dyDescent="0.25">
      <c r="S362" s="2" t="b">
        <f>AND(Hoja4!$P361="abril",Hoja4!$O361="Jue.")</f>
        <v>0</v>
      </c>
      <c r="T362" t="str">
        <f>IF(AND(Hoja4!H361="Empresa de embarque B",Hoja4!I361="Cheque"),"dale","vaaa")</f>
        <v>vaaa</v>
      </c>
      <c r="V362" t="str">
        <f>IF(AND(Hoja4!H361="Empresa de embarque B",Hoja4!I361="Cheque",Hoja4!J361="Cerveza"),"dale","vaaa")</f>
        <v>vaaa</v>
      </c>
      <c r="X362" t="str">
        <f>IF(OR(Hoja4!H361="Empresa de embarque B",Hoja4!I361="Cheque",Hoja4!J361="cerveza"),"dale","vaaa")</f>
        <v>dale</v>
      </c>
      <c r="Z362" t="str">
        <f>IF(NOT(OR(Hoja4!I361="Cheque",Hoja4!J361="Cerveza")),"Aprobado","No Aprobado")</f>
        <v>No Aprobado</v>
      </c>
    </row>
    <row r="363" spans="19:26" x14ac:dyDescent="0.25">
      <c r="S363" s="2" t="b">
        <f>AND(Hoja4!$P362="abril",Hoja4!$O362="Jue.")</f>
        <v>0</v>
      </c>
      <c r="T363" t="str">
        <f>IF(AND(Hoja4!H362="Empresa de embarque B",Hoja4!I362="Cheque"),"dale","vaaa")</f>
        <v>vaaa</v>
      </c>
      <c r="V363" t="str">
        <f>IF(AND(Hoja4!H362="Empresa de embarque B",Hoja4!I362="Cheque",Hoja4!J362="Cerveza"),"dale","vaaa")</f>
        <v>vaaa</v>
      </c>
      <c r="X363" t="str">
        <f>IF(OR(Hoja4!H362="Empresa de embarque B",Hoja4!I362="Cheque",Hoja4!J362="cerveza"),"dale","vaaa")</f>
        <v>dale</v>
      </c>
      <c r="Z363" t="str">
        <f>IF(NOT(OR(Hoja4!I362="Cheque",Hoja4!J362="Cerveza")),"Aprobado","No Aprobado")</f>
        <v>Aprobado</v>
      </c>
    </row>
    <row r="364" spans="19:26" x14ac:dyDescent="0.25">
      <c r="S364" s="2" t="b">
        <f>AND(Hoja4!$P363="abril",Hoja4!$O363="Jue.")</f>
        <v>0</v>
      </c>
      <c r="T364" t="str">
        <f>IF(AND(Hoja4!H363="Empresa de embarque B",Hoja4!I363="Cheque"),"dale","vaaa")</f>
        <v>dale</v>
      </c>
      <c r="V364" t="str">
        <f>IF(AND(Hoja4!H363="Empresa de embarque B",Hoja4!I363="Cheque",Hoja4!J363="Cerveza"),"dale","vaaa")</f>
        <v>vaaa</v>
      </c>
      <c r="X364" t="str">
        <f>IF(OR(Hoja4!H363="Empresa de embarque B",Hoja4!I363="Cheque",Hoja4!J363="cerveza"),"dale","vaaa")</f>
        <v>dale</v>
      </c>
      <c r="Z364" t="str">
        <f>IF(NOT(OR(Hoja4!I363="Cheque",Hoja4!J363="Cerveza")),"Aprobado","No Aprobado")</f>
        <v>No Aprobado</v>
      </c>
    </row>
    <row r="365" spans="19:26" x14ac:dyDescent="0.25">
      <c r="S365" s="2" t="b">
        <f>AND(Hoja4!$P364="abril",Hoja4!$O364="Jue.")</f>
        <v>0</v>
      </c>
      <c r="T365" t="str">
        <f>IF(AND(Hoja4!H364="Empresa de embarque B",Hoja4!I364="Cheque"),"dale","vaaa")</f>
        <v>vaaa</v>
      </c>
      <c r="V365" t="str">
        <f>IF(AND(Hoja4!H364="Empresa de embarque B",Hoja4!I364="Cheque",Hoja4!J364="Cerveza"),"dale","vaaa")</f>
        <v>vaaa</v>
      </c>
      <c r="X365" t="str">
        <f>IF(OR(Hoja4!H364="Empresa de embarque B",Hoja4!I364="Cheque",Hoja4!J364="cerveza"),"dale","vaaa")</f>
        <v>vaaa</v>
      </c>
      <c r="Z365" t="str">
        <f>IF(NOT(OR(Hoja4!I364="Cheque",Hoja4!J364="Cerveza")),"Aprobado","No Aprobado")</f>
        <v>Aprobado</v>
      </c>
    </row>
    <row r="366" spans="19:26" x14ac:dyDescent="0.25">
      <c r="S366" s="2" t="b">
        <f>AND(Hoja4!$P365="abril",Hoja4!$O365="Jue.")</f>
        <v>0</v>
      </c>
      <c r="T366" t="str">
        <f>IF(AND(Hoja4!H365="Empresa de embarque B",Hoja4!I365="Cheque"),"dale","vaaa")</f>
        <v>vaaa</v>
      </c>
      <c r="V366" t="str">
        <f>IF(AND(Hoja4!H365="Empresa de embarque B",Hoja4!I365="Cheque",Hoja4!J365="Cerveza"),"dale","vaaa")</f>
        <v>vaaa</v>
      </c>
      <c r="X366" t="str">
        <f>IF(OR(Hoja4!H365="Empresa de embarque B",Hoja4!I365="Cheque",Hoja4!J365="cerveza"),"dale","vaaa")</f>
        <v>vaaa</v>
      </c>
      <c r="Z366" t="str">
        <f>IF(NOT(OR(Hoja4!I365="Cheque",Hoja4!J365="Cerveza")),"Aprobado","No Aprobado")</f>
        <v>Aprobado</v>
      </c>
    </row>
    <row r="367" spans="19:26" x14ac:dyDescent="0.25">
      <c r="S367" s="2" t="b">
        <f>AND(Hoja4!$P366="abril",Hoja4!$O366="Jue.")</f>
        <v>0</v>
      </c>
      <c r="T367" t="str">
        <f>IF(AND(Hoja4!H366="Empresa de embarque B",Hoja4!I366="Cheque"),"dale","vaaa")</f>
        <v>dale</v>
      </c>
      <c r="V367" t="str">
        <f>IF(AND(Hoja4!H366="Empresa de embarque B",Hoja4!I366="Cheque",Hoja4!J366="Cerveza"),"dale","vaaa")</f>
        <v>vaaa</v>
      </c>
      <c r="X367" t="str">
        <f>IF(OR(Hoja4!H366="Empresa de embarque B",Hoja4!I366="Cheque",Hoja4!J366="cerveza"),"dale","vaaa")</f>
        <v>dale</v>
      </c>
      <c r="Z367" t="str">
        <f>IF(NOT(OR(Hoja4!I366="Cheque",Hoja4!J366="Cerveza")),"Aprobado","No Aprobado")</f>
        <v>No Aprobado</v>
      </c>
    </row>
    <row r="368" spans="19:26" x14ac:dyDescent="0.25">
      <c r="S368" s="2" t="b">
        <f>AND(Hoja4!$P367="abril",Hoja4!$O367="Jue.")</f>
        <v>0</v>
      </c>
      <c r="T368" t="str">
        <f>IF(AND(Hoja4!H367="Empresa de embarque B",Hoja4!I367="Cheque"),"dale","vaaa")</f>
        <v>vaaa</v>
      </c>
      <c r="V368" t="str">
        <f>IF(AND(Hoja4!H367="Empresa de embarque B",Hoja4!I367="Cheque",Hoja4!J367="Cerveza"),"dale","vaaa")</f>
        <v>vaaa</v>
      </c>
      <c r="X368" t="str">
        <f>IF(OR(Hoja4!H367="Empresa de embarque B",Hoja4!I367="Cheque",Hoja4!J367="cerveza"),"dale","vaaa")</f>
        <v>dale</v>
      </c>
      <c r="Z368" t="str">
        <f>IF(NOT(OR(Hoja4!I367="Cheque",Hoja4!J367="Cerveza")),"Aprobado","No Aprobado")</f>
        <v>No Aprobado</v>
      </c>
    </row>
    <row r="369" spans="19:26" x14ac:dyDescent="0.25">
      <c r="S369" s="2" t="b">
        <f>AND(Hoja4!$P368="abril",Hoja4!$O368="Jue.")</f>
        <v>0</v>
      </c>
      <c r="T369" t="str">
        <f>IF(AND(Hoja4!H368="Empresa de embarque B",Hoja4!I368="Cheque"),"dale","vaaa")</f>
        <v>vaaa</v>
      </c>
      <c r="V369" t="str">
        <f>IF(AND(Hoja4!H368="Empresa de embarque B",Hoja4!I368="Cheque",Hoja4!J368="Cerveza"),"dale","vaaa")</f>
        <v>vaaa</v>
      </c>
      <c r="X369" t="str">
        <f>IF(OR(Hoja4!H368="Empresa de embarque B",Hoja4!I368="Cheque",Hoja4!J368="cerveza"),"dale","vaaa")</f>
        <v>dale</v>
      </c>
      <c r="Z369" t="str">
        <f>IF(NOT(OR(Hoja4!I368="Cheque",Hoja4!J368="Cerveza")),"Aprobado","No Aprobado")</f>
        <v>No Aprobado</v>
      </c>
    </row>
    <row r="370" spans="19:26" x14ac:dyDescent="0.25">
      <c r="S370" s="2" t="b">
        <f>AND(Hoja4!$P369="abril",Hoja4!$O369="Jue.")</f>
        <v>0</v>
      </c>
      <c r="T370" t="str">
        <f>IF(AND(Hoja4!H369="Empresa de embarque B",Hoja4!I369="Cheque"),"dale","vaaa")</f>
        <v>vaaa</v>
      </c>
      <c r="V370" t="str">
        <f>IF(AND(Hoja4!H369="Empresa de embarque B",Hoja4!I369="Cheque",Hoja4!J369="Cerveza"),"dale","vaaa")</f>
        <v>vaaa</v>
      </c>
      <c r="X370" t="str">
        <f>IF(OR(Hoja4!H369="Empresa de embarque B",Hoja4!I369="Cheque",Hoja4!J369="cerveza"),"dale","vaaa")</f>
        <v>vaaa</v>
      </c>
      <c r="Z370" t="str">
        <f>IF(NOT(OR(Hoja4!I369="Cheque",Hoja4!J369="Cerveza")),"Aprobado","No Aprobado")</f>
        <v>Aprobado</v>
      </c>
    </row>
    <row r="371" spans="19:26" x14ac:dyDescent="0.25">
      <c r="S371" s="2" t="b">
        <f>AND(Hoja4!$P370="abril",Hoja4!$O370="Jue.")</f>
        <v>0</v>
      </c>
      <c r="T371" t="str">
        <f>IF(AND(Hoja4!H370="Empresa de embarque B",Hoja4!I370="Cheque"),"dale","vaaa")</f>
        <v>vaaa</v>
      </c>
      <c r="V371" t="str">
        <f>IF(AND(Hoja4!H370="Empresa de embarque B",Hoja4!I370="Cheque",Hoja4!J370="Cerveza"),"dale","vaaa")</f>
        <v>vaaa</v>
      </c>
      <c r="X371" t="str">
        <f>IF(OR(Hoja4!H370="Empresa de embarque B",Hoja4!I370="Cheque",Hoja4!J370="cerveza"),"dale","vaaa")</f>
        <v>vaaa</v>
      </c>
      <c r="Z371" t="str">
        <f>IF(NOT(OR(Hoja4!I370="Cheque",Hoja4!J370="Cerveza")),"Aprobado","No Aprobado")</f>
        <v>Aprobado</v>
      </c>
    </row>
  </sheetData>
  <sortState xmlns:xlrd2="http://schemas.microsoft.com/office/spreadsheetml/2017/richdata2" ref="B3:Q371">
    <sortCondition ref="B3:B371" customList="enero,febrero,marzo,abril,mayo,junio,julio,agosto,septiembre,octubre,noviembre,diciembre"/>
  </sortState>
  <conditionalFormatting sqref="X3:X371">
    <cfRule type="cellIs" dxfId="9" priority="8" operator="equal">
      <formula>"dale"</formula>
    </cfRule>
    <cfRule type="iconSet" priority="9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C212-799F-4CC5-AEF5-759F3DAF3283}">
  <dimension ref="A1:BC370"/>
  <sheetViews>
    <sheetView topLeftCell="K347" workbookViewId="0">
      <selection activeCell="W1" sqref="W1"/>
    </sheetView>
  </sheetViews>
  <sheetFormatPr baseColWidth="10" defaultRowHeight="15" x14ac:dyDescent="0.25"/>
  <cols>
    <col min="1" max="1" width="13.42578125" customWidth="1"/>
    <col min="3" max="3" width="11.7109375" customWidth="1"/>
    <col min="7" max="7" width="12" customWidth="1"/>
    <col min="9" max="9" width="16.140625" customWidth="1"/>
    <col min="11" max="11" width="11.5703125" customWidth="1"/>
    <col min="32" max="32" width="20.28515625" bestFit="1" customWidth="1"/>
    <col min="33" max="35" width="20.28515625" customWidth="1"/>
    <col min="36" max="36" width="20.28515625" bestFit="1" customWidth="1"/>
    <col min="54" max="54" width="11.42578125" customWidth="1"/>
    <col min="55" max="55" width="11.85546875" customWidth="1"/>
  </cols>
  <sheetData>
    <row r="1" spans="1:55" x14ac:dyDescent="0.25">
      <c r="A1" t="s">
        <v>73</v>
      </c>
      <c r="B1" t="s">
        <v>74</v>
      </c>
      <c r="C1" t="s">
        <v>79</v>
      </c>
      <c r="D1" t="s">
        <v>100</v>
      </c>
      <c r="E1" t="s">
        <v>0</v>
      </c>
      <c r="F1" t="s">
        <v>75</v>
      </c>
      <c r="G1" t="s">
        <v>1</v>
      </c>
      <c r="H1" t="s">
        <v>76</v>
      </c>
      <c r="I1" t="s">
        <v>2</v>
      </c>
      <c r="J1" t="s">
        <v>77</v>
      </c>
      <c r="K1" t="s">
        <v>3</v>
      </c>
      <c r="L1" t="s">
        <v>78</v>
      </c>
      <c r="M1" t="s">
        <v>4</v>
      </c>
      <c r="N1" t="s">
        <v>115</v>
      </c>
      <c r="O1" t="s">
        <v>146</v>
      </c>
      <c r="P1" t="s">
        <v>133</v>
      </c>
      <c r="S1" t="s">
        <v>162</v>
      </c>
      <c r="T1" t="s">
        <v>73</v>
      </c>
      <c r="U1" cm="1">
        <f t="array" ref="U1">_xlfn.IFS(T1=S9,1,T1=T9,2,T1=U9,3,T1=V9,4,T1=W9,5,T1=X9,6,T1=Y9,7,T1=Z9,8,T1=AA9,9,T1=AB9,10,T1=AC9,11,T1=AD9,12,T1=AE9,13,T1=AF9,14,T1=AL9,15,T1=AK9,16)</f>
        <v>1</v>
      </c>
      <c r="W1" t="s">
        <v>169</v>
      </c>
      <c r="X1">
        <f>IF(W1="Ascendente",1,-1)</f>
        <v>-1</v>
      </c>
      <c r="Y1" t="s">
        <v>168</v>
      </c>
      <c r="AQ1">
        <v>2</v>
      </c>
      <c r="AR1">
        <v>1</v>
      </c>
      <c r="AT1" cm="1">
        <f t="array" ref="AT1:AT5">FREQUENCY(AQ1:AQ6,AR1:AR4)</f>
        <v>1</v>
      </c>
      <c r="BB1" t="s">
        <v>156</v>
      </c>
      <c r="BC1" t="str" cm="1">
        <f t="array" ref="BC1:BC12">_xlfn._xlws.SORT(_xlfn.UNIQUE(Tabla2[mes]))</f>
        <v>abril</v>
      </c>
    </row>
    <row r="2" spans="1:55" x14ac:dyDescent="0.25">
      <c r="A2" s="8">
        <v>1</v>
      </c>
      <c r="B2">
        <v>43930</v>
      </c>
      <c r="C2">
        <v>9259377217</v>
      </c>
      <c r="D2" t="s">
        <v>6</v>
      </c>
      <c r="E2" t="s">
        <v>80</v>
      </c>
      <c r="F2" t="s">
        <v>95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>
        <v>14</v>
      </c>
      <c r="M2">
        <v>10</v>
      </c>
      <c r="N2">
        <f>Hoja4!$L2*Hoja4!$M2</f>
        <v>140</v>
      </c>
      <c r="O2" t="str">
        <f t="shared" ref="O2:O65" si="0">PROPER(TEXT(B2,"ddd."))</f>
        <v>Jue.</v>
      </c>
      <c r="P2" t="str">
        <f t="shared" ref="P2:P65" si="1">TEXT(B2,"mmmm")</f>
        <v>abril</v>
      </c>
      <c r="Y2" t="s">
        <v>169</v>
      </c>
      <c r="AQ2">
        <v>2</v>
      </c>
      <c r="AR2">
        <v>2</v>
      </c>
      <c r="AT2">
        <v>3</v>
      </c>
      <c r="BB2" t="s">
        <v>157</v>
      </c>
      <c r="BC2" t="str">
        <v>agosto</v>
      </c>
    </row>
    <row r="3" spans="1:55" x14ac:dyDescent="0.25">
      <c r="A3">
        <v>2</v>
      </c>
      <c r="B3">
        <v>44068</v>
      </c>
      <c r="C3">
        <v>6185253419</v>
      </c>
      <c r="D3" t="s">
        <v>6</v>
      </c>
      <c r="E3" t="s">
        <v>80</v>
      </c>
      <c r="F3" t="s">
        <v>95</v>
      </c>
      <c r="G3" t="s">
        <v>7</v>
      </c>
      <c r="H3" t="s">
        <v>8</v>
      </c>
      <c r="I3" t="s">
        <v>9</v>
      </c>
      <c r="J3" t="s">
        <v>12</v>
      </c>
      <c r="K3" t="s">
        <v>13</v>
      </c>
      <c r="L3">
        <v>34</v>
      </c>
      <c r="M3">
        <v>1</v>
      </c>
      <c r="N3">
        <f>Hoja4!$L3*Hoja4!$M3</f>
        <v>34</v>
      </c>
      <c r="O3" t="str">
        <f t="shared" si="0"/>
        <v>Mar.</v>
      </c>
      <c r="P3" t="str">
        <f t="shared" si="1"/>
        <v>agosto</v>
      </c>
      <c r="AQ3">
        <v>1</v>
      </c>
      <c r="AR3">
        <v>3</v>
      </c>
      <c r="AT3">
        <v>1</v>
      </c>
      <c r="BB3" t="s">
        <v>158</v>
      </c>
      <c r="BC3" t="str">
        <v>diciembre</v>
      </c>
    </row>
    <row r="4" spans="1:55" x14ac:dyDescent="0.25">
      <c r="A4">
        <v>3</v>
      </c>
      <c r="B4">
        <v>43908</v>
      </c>
      <c r="C4">
        <v>2308885942</v>
      </c>
      <c r="D4" t="s">
        <v>14</v>
      </c>
      <c r="E4" t="s">
        <v>81</v>
      </c>
      <c r="F4" t="s">
        <v>94</v>
      </c>
      <c r="G4" t="s">
        <v>15</v>
      </c>
      <c r="H4" t="s">
        <v>16</v>
      </c>
      <c r="I4" t="s">
        <v>17</v>
      </c>
      <c r="J4" t="s">
        <v>18</v>
      </c>
      <c r="K4" t="s">
        <v>13</v>
      </c>
      <c r="L4">
        <v>14</v>
      </c>
      <c r="M4">
        <v>57</v>
      </c>
      <c r="N4">
        <f>Hoja4!$L4*Hoja4!$M4</f>
        <v>798</v>
      </c>
      <c r="O4" t="str">
        <f t="shared" si="0"/>
        <v>Mié.</v>
      </c>
      <c r="P4" t="str">
        <f t="shared" si="1"/>
        <v>marzo</v>
      </c>
      <c r="AQ4">
        <v>2</v>
      </c>
      <c r="AR4">
        <v>4</v>
      </c>
      <c r="AT4">
        <v>1</v>
      </c>
      <c r="BB4" t="s">
        <v>155</v>
      </c>
      <c r="BC4" t="str">
        <v>enero</v>
      </c>
    </row>
    <row r="5" spans="1:55" x14ac:dyDescent="0.25">
      <c r="A5">
        <v>4</v>
      </c>
      <c r="B5">
        <v>43974</v>
      </c>
      <c r="C5">
        <v>6199717898</v>
      </c>
      <c r="D5" t="s">
        <v>14</v>
      </c>
      <c r="E5" t="s">
        <v>81</v>
      </c>
      <c r="F5" t="s">
        <v>94</v>
      </c>
      <c r="G5" t="s">
        <v>15</v>
      </c>
      <c r="H5" t="s">
        <v>16</v>
      </c>
      <c r="I5" t="s">
        <v>17</v>
      </c>
      <c r="J5" t="s">
        <v>19</v>
      </c>
      <c r="K5" t="s">
        <v>13</v>
      </c>
      <c r="L5">
        <v>16</v>
      </c>
      <c r="M5">
        <v>72</v>
      </c>
      <c r="N5">
        <f>Hoja4!$L5*Hoja4!$M5</f>
        <v>1152</v>
      </c>
      <c r="O5" t="str">
        <f t="shared" si="0"/>
        <v>Sáb.</v>
      </c>
      <c r="P5" t="str">
        <f t="shared" si="1"/>
        <v>mayo</v>
      </c>
      <c r="AQ5">
        <v>4</v>
      </c>
      <c r="AT5">
        <v>0</v>
      </c>
      <c r="BB5" t="s">
        <v>159</v>
      </c>
      <c r="BC5" t="str">
        <v>febrero</v>
      </c>
    </row>
    <row r="6" spans="1:55" x14ac:dyDescent="0.25">
      <c r="A6">
        <v>5</v>
      </c>
      <c r="B6">
        <v>43944</v>
      </c>
      <c r="C6">
        <v>5540683029</v>
      </c>
      <c r="D6" t="s">
        <v>14</v>
      </c>
      <c r="E6" t="s">
        <v>81</v>
      </c>
      <c r="F6" t="s">
        <v>94</v>
      </c>
      <c r="G6" t="s">
        <v>15</v>
      </c>
      <c r="H6" t="s">
        <v>16</v>
      </c>
      <c r="I6" t="s">
        <v>17</v>
      </c>
      <c r="J6" t="s">
        <v>12</v>
      </c>
      <c r="K6" t="s">
        <v>13</v>
      </c>
      <c r="L6">
        <v>12</v>
      </c>
      <c r="M6">
        <v>68</v>
      </c>
      <c r="N6">
        <f>Hoja4!$L6*Hoja4!$M6</f>
        <v>816</v>
      </c>
      <c r="O6" t="str">
        <f t="shared" si="0"/>
        <v>Jue.</v>
      </c>
      <c r="P6" t="str">
        <f t="shared" si="1"/>
        <v>abril</v>
      </c>
      <c r="AQ6">
        <v>3</v>
      </c>
      <c r="BB6" t="s">
        <v>160</v>
      </c>
      <c r="BC6" t="str">
        <v>julio</v>
      </c>
    </row>
    <row r="7" spans="1:55" x14ac:dyDescent="0.25">
      <c r="A7">
        <v>6</v>
      </c>
      <c r="B7">
        <v>44184</v>
      </c>
      <c r="C7">
        <v>6343955045</v>
      </c>
      <c r="D7" t="s">
        <v>20</v>
      </c>
      <c r="E7" t="s">
        <v>80</v>
      </c>
      <c r="F7" t="s">
        <v>95</v>
      </c>
      <c r="G7" t="s">
        <v>7</v>
      </c>
      <c r="H7" t="s">
        <v>8</v>
      </c>
      <c r="I7" t="s">
        <v>17</v>
      </c>
      <c r="J7" t="s">
        <v>21</v>
      </c>
      <c r="K7" t="s">
        <v>11</v>
      </c>
      <c r="L7">
        <v>22</v>
      </c>
      <c r="M7">
        <v>29</v>
      </c>
      <c r="N7">
        <f>Hoja4!$L7*Hoja4!$M7</f>
        <v>638</v>
      </c>
      <c r="O7" t="str">
        <f t="shared" si="0"/>
        <v>Sáb.</v>
      </c>
      <c r="P7" t="str">
        <f t="shared" si="1"/>
        <v>diciembre</v>
      </c>
      <c r="BB7" t="s">
        <v>161</v>
      </c>
      <c r="BC7" t="str">
        <v>junio</v>
      </c>
    </row>
    <row r="8" spans="1:55" x14ac:dyDescent="0.25">
      <c r="A8">
        <v>7</v>
      </c>
      <c r="B8">
        <v>44133</v>
      </c>
      <c r="C8">
        <v>1572125717</v>
      </c>
      <c r="D8" t="s">
        <v>20</v>
      </c>
      <c r="E8" t="s">
        <v>80</v>
      </c>
      <c r="F8" t="s">
        <v>95</v>
      </c>
      <c r="G8" t="s">
        <v>7</v>
      </c>
      <c r="H8" t="s">
        <v>8</v>
      </c>
      <c r="I8" t="s">
        <v>17</v>
      </c>
      <c r="J8" t="s">
        <v>22</v>
      </c>
      <c r="K8" t="s">
        <v>11</v>
      </c>
      <c r="L8">
        <v>42</v>
      </c>
      <c r="M8">
        <v>41</v>
      </c>
      <c r="N8">
        <f>Hoja4!$L8*Hoja4!$M8</f>
        <v>1722</v>
      </c>
      <c r="O8" t="str">
        <f t="shared" si="0"/>
        <v>Jue.</v>
      </c>
      <c r="P8" t="str">
        <f t="shared" si="1"/>
        <v>octubre</v>
      </c>
      <c r="AP8" t="s">
        <v>167</v>
      </c>
      <c r="AQ8">
        <f>LEN(AP8)</f>
        <v>6</v>
      </c>
      <c r="BB8" t="s">
        <v>162</v>
      </c>
      <c r="BC8" t="str">
        <v>marzo</v>
      </c>
    </row>
    <row r="9" spans="1:55" x14ac:dyDescent="0.25">
      <c r="A9">
        <v>8</v>
      </c>
      <c r="B9">
        <v>43863</v>
      </c>
      <c r="C9">
        <v>3776895536</v>
      </c>
      <c r="D9" t="s">
        <v>23</v>
      </c>
      <c r="E9" t="s">
        <v>86</v>
      </c>
      <c r="F9" t="s">
        <v>82</v>
      </c>
      <c r="G9" t="s">
        <v>24</v>
      </c>
      <c r="H9" t="s">
        <v>25</v>
      </c>
      <c r="I9" t="s">
        <v>17</v>
      </c>
      <c r="J9" t="s">
        <v>26</v>
      </c>
      <c r="K9" t="s">
        <v>27</v>
      </c>
      <c r="L9">
        <v>11</v>
      </c>
      <c r="M9">
        <v>18</v>
      </c>
      <c r="N9">
        <f>Hoja4!$L9*Hoja4!$M9</f>
        <v>198</v>
      </c>
      <c r="O9" t="str">
        <f t="shared" si="0"/>
        <v>Dom.</v>
      </c>
      <c r="P9" t="str">
        <f t="shared" si="1"/>
        <v>febrero</v>
      </c>
      <c r="S9" t="str" cm="1">
        <f t="array" ref="S9:AH9">A1:P1</f>
        <v>Documento</v>
      </c>
      <c r="T9" t="str">
        <v>Fecha</v>
      </c>
      <c r="U9" t="str">
        <v>Id Cliente</v>
      </c>
      <c r="V9" t="str">
        <v>Cliente</v>
      </c>
      <c r="W9" t="str">
        <v>Ciudad</v>
      </c>
      <c r="X9" t="str">
        <v>Provincia</v>
      </c>
      <c r="Y9" t="str">
        <v>Vendedor</v>
      </c>
      <c r="Z9" t="str">
        <v>Empresa</v>
      </c>
      <c r="AA9" t="str">
        <v>Forma de pago</v>
      </c>
      <c r="AB9" t="str">
        <v>Producto</v>
      </c>
      <c r="AC9" t="str">
        <v>Categoría</v>
      </c>
      <c r="AD9" t="str">
        <v>Precio</v>
      </c>
      <c r="AE9" t="str">
        <v>Cantidad</v>
      </c>
      <c r="AF9" t="str">
        <v>Ventas</v>
      </c>
      <c r="AG9" t="str">
        <v>dias</v>
      </c>
      <c r="AH9" t="str">
        <v>mes</v>
      </c>
      <c r="BB9" t="s">
        <v>163</v>
      </c>
      <c r="BC9" t="str">
        <v>mayo</v>
      </c>
    </row>
    <row r="10" spans="1:55" x14ac:dyDescent="0.25">
      <c r="A10">
        <v>9</v>
      </c>
      <c r="B10">
        <v>44158</v>
      </c>
      <c r="C10">
        <v>390733860</v>
      </c>
      <c r="D10" t="s">
        <v>14</v>
      </c>
      <c r="E10" t="s">
        <v>81</v>
      </c>
      <c r="F10" t="s">
        <v>94</v>
      </c>
      <c r="G10" t="s">
        <v>15</v>
      </c>
      <c r="H10" t="s">
        <v>25</v>
      </c>
      <c r="I10" t="s">
        <v>9</v>
      </c>
      <c r="J10" t="s">
        <v>26</v>
      </c>
      <c r="K10" t="s">
        <v>27</v>
      </c>
      <c r="L10">
        <v>29</v>
      </c>
      <c r="M10">
        <v>73</v>
      </c>
      <c r="N10">
        <f>Hoja4!$L10*Hoja4!$M10</f>
        <v>2117</v>
      </c>
      <c r="O10" t="str">
        <f t="shared" si="0"/>
        <v>Lun.</v>
      </c>
      <c r="P10" t="str">
        <f t="shared" si="1"/>
        <v>noviembre</v>
      </c>
      <c r="S10" cm="1">
        <f t="array" ref="S10:AH45">_xlfn._xlws.SORT(_xlfn._xlws.FILTER(datos,date=$S$1),U1,X1)</f>
        <v>365</v>
      </c>
      <c r="T10" s="15">
        <v>44046</v>
      </c>
      <c r="U10">
        <v>6433254443</v>
      </c>
      <c r="V10" t="str">
        <v>Empresa CC</v>
      </c>
      <c r="W10" t="str">
        <v>Guayaquil</v>
      </c>
      <c r="X10" t="str">
        <v>Guayas</v>
      </c>
      <c r="Y10" t="str">
        <v>José de Jesús Morales</v>
      </c>
      <c r="Z10" t="str">
        <v>Empresa de embarque B</v>
      </c>
      <c r="AA10" t="str">
        <v>Cheque</v>
      </c>
      <c r="AB10" t="str">
        <v>Cóctel de frutas</v>
      </c>
      <c r="AC10" t="str">
        <v>Frutas y vegetales</v>
      </c>
      <c r="AD10">
        <v>546</v>
      </c>
      <c r="AE10">
        <v>54</v>
      </c>
      <c r="AF10">
        <v>29484</v>
      </c>
      <c r="AG10" t="str">
        <v>Lun.</v>
      </c>
      <c r="AH10" t="str">
        <v>agosto</v>
      </c>
      <c r="AI10">
        <f>SUMIF($AG$10:$AG$45,AM10,$AF$10:$AF$45)</f>
        <v>190204</v>
      </c>
      <c r="AJ10">
        <f t="array" ref="AJ10">SUM(IF($AK$10:$AK$45=AN10,$AF$10:$AF$45))</f>
        <v>190204</v>
      </c>
      <c r="AK10" cm="1">
        <f t="array" ref="AK10">_xlfn.IFS(AG10=$AM$10,1,AG10=$AM$11,2,AG10=$AM$12,3,AG10=$AM$13,4,AG10=$AM$14,5,AG10=$AM$15,6,AG10=$AM$16,7)</f>
        <v>1</v>
      </c>
      <c r="AM10" t="s">
        <v>152</v>
      </c>
      <c r="AN10">
        <v>1</v>
      </c>
      <c r="AO10" cm="1">
        <f t="array" ref="AO10:AO17">FREQUENCY(AK10:AK45,AN10:AN16)</f>
        <v>3</v>
      </c>
      <c r="AP10">
        <f>MATCH(AP8,AC10:AC12,0)</f>
        <v>3</v>
      </c>
      <c r="BB10" t="s">
        <v>164</v>
      </c>
      <c r="BC10" t="str">
        <v>noviembre</v>
      </c>
    </row>
    <row r="11" spans="1:55" x14ac:dyDescent="0.25">
      <c r="A11">
        <v>10</v>
      </c>
      <c r="B11">
        <v>43863</v>
      </c>
      <c r="C11">
        <v>2456709195</v>
      </c>
      <c r="D11" t="s">
        <v>28</v>
      </c>
      <c r="E11" t="s">
        <v>89</v>
      </c>
      <c r="F11" t="s">
        <v>84</v>
      </c>
      <c r="G11" t="s">
        <v>29</v>
      </c>
      <c r="H11" t="s">
        <v>8</v>
      </c>
      <c r="I11" t="s">
        <v>9</v>
      </c>
      <c r="J11" t="s">
        <v>30</v>
      </c>
      <c r="K11" t="s">
        <v>31</v>
      </c>
      <c r="L11">
        <v>12</v>
      </c>
      <c r="M11">
        <v>79</v>
      </c>
      <c r="N11">
        <f>Hoja4!$L11*Hoja4!$M11</f>
        <v>948</v>
      </c>
      <c r="O11" t="str">
        <f t="shared" si="0"/>
        <v>Dom.</v>
      </c>
      <c r="P11" t="str">
        <f t="shared" si="1"/>
        <v>febrero</v>
      </c>
      <c r="S11">
        <v>325</v>
      </c>
      <c r="T11" s="15">
        <v>44045</v>
      </c>
      <c r="U11">
        <v>8753687299</v>
      </c>
      <c r="V11" t="str">
        <v>Empresa BB</v>
      </c>
      <c r="W11" t="str">
        <v>Manta</v>
      </c>
      <c r="X11" t="str">
        <v>Manabi</v>
      </c>
      <c r="Y11" t="str">
        <v>Ana del Valle Hinojosa</v>
      </c>
      <c r="Z11" t="str">
        <v>Empresa de embarque C</v>
      </c>
      <c r="AA11" t="str">
        <v>Cheque</v>
      </c>
      <c r="AB11" t="str">
        <v>Café</v>
      </c>
      <c r="AC11" t="str">
        <v>Bebidas</v>
      </c>
      <c r="AD11">
        <v>644</v>
      </c>
      <c r="AE11">
        <v>16</v>
      </c>
      <c r="AF11">
        <v>10304</v>
      </c>
      <c r="AG11" t="str">
        <v>Dom.</v>
      </c>
      <c r="AH11" t="str">
        <v>agosto</v>
      </c>
      <c r="AI11">
        <f t="shared" ref="AI11:AI16" si="2">SUMIF($AG$10:$AG$45,AM11,$AF$10:$AF$45)</f>
        <v>61119.5</v>
      </c>
      <c r="AJ11" cm="1">
        <f t="array" ref="AJ11">SUM(IF($AK$10:$AK$45=AN11,$AF$10:$AF$45))</f>
        <v>61119.5</v>
      </c>
      <c r="AK11" cm="1">
        <f t="array" ref="AK11">_xlfn.IFS(AG11=$AM$10,1,AG11=$AM$11,2,AG11=$AM$12,3,AG11=$AM$13,4,AG11=$AM$14,5,AG11=$AM$15,6,AG11=$AM$16,7)</f>
        <v>7</v>
      </c>
      <c r="AM11" t="s">
        <v>153</v>
      </c>
      <c r="AN11">
        <v>2</v>
      </c>
      <c r="AO11">
        <v>5</v>
      </c>
      <c r="BB11" t="s">
        <v>165</v>
      </c>
      <c r="BC11" t="str">
        <v>octubre</v>
      </c>
    </row>
    <row r="12" spans="1:55" x14ac:dyDescent="0.25">
      <c r="A12">
        <v>11</v>
      </c>
      <c r="B12">
        <v>43999</v>
      </c>
      <c r="C12">
        <v>5766090086</v>
      </c>
      <c r="D12" t="s">
        <v>32</v>
      </c>
      <c r="E12" t="s">
        <v>93</v>
      </c>
      <c r="F12" t="s">
        <v>96</v>
      </c>
      <c r="G12" t="s">
        <v>7</v>
      </c>
      <c r="H12" t="s">
        <v>8</v>
      </c>
      <c r="I12" t="s">
        <v>33</v>
      </c>
      <c r="J12" t="s">
        <v>34</v>
      </c>
      <c r="K12" t="s">
        <v>35</v>
      </c>
      <c r="L12">
        <v>28</v>
      </c>
      <c r="M12">
        <v>37</v>
      </c>
      <c r="N12">
        <f>Hoja4!$L12*Hoja4!$M12</f>
        <v>1036</v>
      </c>
      <c r="O12" t="str">
        <f t="shared" si="0"/>
        <v>Mié.</v>
      </c>
      <c r="P12" t="str">
        <f t="shared" si="1"/>
        <v>junio</v>
      </c>
      <c r="S12">
        <v>324</v>
      </c>
      <c r="T12" s="15">
        <v>44059</v>
      </c>
      <c r="U12">
        <v>7792270317</v>
      </c>
      <c r="V12" t="str">
        <v>Empresa F</v>
      </c>
      <c r="W12" t="str">
        <v>Ibarra</v>
      </c>
      <c r="X12" t="str">
        <v>Imbabura</v>
      </c>
      <c r="Y12" t="str">
        <v>Luis Miguel Valdés Garza</v>
      </c>
      <c r="Z12" t="str">
        <v>Empresa de embarque B</v>
      </c>
      <c r="AA12" t="str">
        <v>Tarjeta de crédito</v>
      </c>
      <c r="AB12" t="str">
        <v>Salsa curry</v>
      </c>
      <c r="AC12" t="str">
        <v>Salsas</v>
      </c>
      <c r="AD12">
        <v>560</v>
      </c>
      <c r="AE12">
        <v>32</v>
      </c>
      <c r="AF12">
        <v>17920</v>
      </c>
      <c r="AG12" t="str">
        <v>Dom.</v>
      </c>
      <c r="AH12" t="str">
        <v>agosto</v>
      </c>
      <c r="AI12">
        <f t="shared" si="2"/>
        <v>47307.4</v>
      </c>
      <c r="AJ12" cm="1">
        <f t="array" ref="AJ12">SUM(IF($AK$10:$AK$45=AN12,$AF$10:$AF$45))</f>
        <v>47307.4</v>
      </c>
      <c r="AK12" cm="1">
        <f t="array" ref="AK12">_xlfn.IFS(AG12=$AM$10,1,AG12=$AM$11,2,AG12=$AM$12,3,AG12=$AM$13,4,AG12=$AM$14,5,AG12=$AM$15,6,AG12=$AM$16,7)</f>
        <v>7</v>
      </c>
      <c r="AM12" t="s">
        <v>149</v>
      </c>
      <c r="AN12">
        <v>3</v>
      </c>
      <c r="AO12">
        <v>6</v>
      </c>
      <c r="AS12">
        <f>COUNTIF($AQ$1:$AQ$6,AR1)</f>
        <v>1</v>
      </c>
      <c r="BB12" t="s">
        <v>166</v>
      </c>
      <c r="BC12" t="str">
        <v>septiembre</v>
      </c>
    </row>
    <row r="13" spans="1:55" x14ac:dyDescent="0.25">
      <c r="A13">
        <v>12</v>
      </c>
      <c r="B13">
        <v>44045</v>
      </c>
      <c r="C13">
        <v>4872781256</v>
      </c>
      <c r="D13" t="s">
        <v>36</v>
      </c>
      <c r="E13" t="s">
        <v>92</v>
      </c>
      <c r="F13" t="s">
        <v>99</v>
      </c>
      <c r="G13" t="s">
        <v>37</v>
      </c>
      <c r="H13" t="s">
        <v>8</v>
      </c>
      <c r="I13" t="s">
        <v>17</v>
      </c>
      <c r="J13" t="s">
        <v>38</v>
      </c>
      <c r="K13" t="s">
        <v>39</v>
      </c>
      <c r="L13">
        <v>33</v>
      </c>
      <c r="M13">
        <v>64</v>
      </c>
      <c r="N13">
        <f>Hoja4!$L13*Hoja4!$M13</f>
        <v>2112</v>
      </c>
      <c r="O13" t="str">
        <f t="shared" si="0"/>
        <v>Dom.</v>
      </c>
      <c r="P13" t="str">
        <f t="shared" si="1"/>
        <v>agosto</v>
      </c>
      <c r="S13">
        <v>317</v>
      </c>
      <c r="T13" s="15">
        <v>44055</v>
      </c>
      <c r="U13">
        <v>8280434895</v>
      </c>
      <c r="V13" t="str">
        <v>Empresa D</v>
      </c>
      <c r="W13" t="str">
        <v>Azogues</v>
      </c>
      <c r="X13" t="str">
        <v>Canar</v>
      </c>
      <c r="Y13" t="str">
        <v>Andrés González Rico</v>
      </c>
      <c r="Z13" t="str">
        <v>Empresa de embarque A</v>
      </c>
      <c r="AA13" t="str">
        <v>Tarjeta de crédito</v>
      </c>
      <c r="AB13" t="str">
        <v>Ciruelas secas</v>
      </c>
      <c r="AC13" t="str">
        <v>Frutas secas</v>
      </c>
      <c r="AD13">
        <v>49</v>
      </c>
      <c r="AE13">
        <v>70</v>
      </c>
      <c r="AF13">
        <v>3430</v>
      </c>
      <c r="AG13" t="str">
        <v>Mié.</v>
      </c>
      <c r="AH13" t="str">
        <v>agosto</v>
      </c>
      <c r="AI13">
        <f t="shared" si="2"/>
        <v>98751.8</v>
      </c>
      <c r="AJ13" cm="1">
        <f t="array" ref="AJ13">SUM(IF($AK$10:$AK$45=AN13,$AF$10:$AF$45))</f>
        <v>98751.8</v>
      </c>
      <c r="AK13" cm="1">
        <f t="array" ref="AK13">_xlfn.IFS(AG13=$AM$10,1,AG13=$AM$11,2,AG13=$AM$12,3,AG13=$AM$13,4,AG13=$AM$14,5,AG13=$AM$15,6,AG13=$AM$16,7)</f>
        <v>3</v>
      </c>
      <c r="AM13" t="s">
        <v>148</v>
      </c>
      <c r="AN13">
        <v>4</v>
      </c>
      <c r="AO13">
        <v>6</v>
      </c>
      <c r="AS13">
        <f>COUNTIF($AQ$1:$AQ$6,AR2)</f>
        <v>3</v>
      </c>
    </row>
    <row r="14" spans="1:55" x14ac:dyDescent="0.25">
      <c r="A14">
        <v>13</v>
      </c>
      <c r="B14">
        <v>43843</v>
      </c>
      <c r="C14">
        <v>4213140599</v>
      </c>
      <c r="D14" t="s">
        <v>40</v>
      </c>
      <c r="E14" t="s">
        <v>97</v>
      </c>
      <c r="F14" t="s">
        <v>88</v>
      </c>
      <c r="G14" t="s">
        <v>41</v>
      </c>
      <c r="H14" t="s">
        <v>25</v>
      </c>
      <c r="I14" t="s">
        <v>9</v>
      </c>
      <c r="J14" t="s">
        <v>22</v>
      </c>
      <c r="K14" s="12" t="s">
        <v>11</v>
      </c>
      <c r="L14">
        <v>21</v>
      </c>
      <c r="M14">
        <v>96</v>
      </c>
      <c r="N14">
        <f>Hoja4!$L14*Hoja4!$M14</f>
        <v>2016</v>
      </c>
      <c r="O14" t="str">
        <f t="shared" si="0"/>
        <v>Lun.</v>
      </c>
      <c r="P14" t="str">
        <f t="shared" si="1"/>
        <v>enero</v>
      </c>
      <c r="S14">
        <v>312</v>
      </c>
      <c r="T14" s="15">
        <v>44069</v>
      </c>
      <c r="U14">
        <v>9879315200</v>
      </c>
      <c r="V14" t="str">
        <v>Empresa I</v>
      </c>
      <c r="W14" t="str">
        <v>Guayaquil</v>
      </c>
      <c r="X14" t="str">
        <v>Guayas</v>
      </c>
      <c r="Y14" t="str">
        <v>Robert Zárate Carrillo</v>
      </c>
      <c r="Z14" t="str">
        <v>Empresa de embarque A</v>
      </c>
      <c r="AA14" t="str">
        <v>Cheque</v>
      </c>
      <c r="AB14" t="str">
        <v>Almejas</v>
      </c>
      <c r="AC14" t="str">
        <v>Sopas</v>
      </c>
      <c r="AD14">
        <v>135.1</v>
      </c>
      <c r="AE14">
        <v>14</v>
      </c>
      <c r="AF14">
        <v>1891.3999999999999</v>
      </c>
      <c r="AG14" t="str">
        <v>Mié.</v>
      </c>
      <c r="AH14" t="str">
        <v>agosto</v>
      </c>
      <c r="AI14">
        <f t="shared" si="2"/>
        <v>47028.799999999996</v>
      </c>
      <c r="AJ14" cm="1">
        <f t="array" ref="AJ14">SUM(IF($AK$10:$AK$45=AN14,$AF$10:$AF$45))</f>
        <v>47028.799999999996</v>
      </c>
      <c r="AK14" cm="1">
        <f t="array" ref="AK14">_xlfn.IFS(AG14=$AM$10,1,AG14=$AM$11,2,AG14=$AM$12,3,AG14=$AM$13,4,AG14=$AM$14,5,AG14=$AM$15,6,AG14=$AM$16,7)</f>
        <v>3</v>
      </c>
      <c r="AM14" t="s">
        <v>150</v>
      </c>
      <c r="AN14">
        <v>5</v>
      </c>
      <c r="AO14">
        <v>3</v>
      </c>
      <c r="AS14">
        <f>COUNTIF($AQ$1:$AQ$6,AR3)</f>
        <v>1</v>
      </c>
    </row>
    <row r="15" spans="1:55" x14ac:dyDescent="0.25">
      <c r="A15">
        <v>14</v>
      </c>
      <c r="B15">
        <v>43861</v>
      </c>
      <c r="C15">
        <v>9433063552</v>
      </c>
      <c r="D15" t="s">
        <v>23</v>
      </c>
      <c r="E15" t="s">
        <v>86</v>
      </c>
      <c r="F15" t="s">
        <v>82</v>
      </c>
      <c r="G15" t="s">
        <v>24</v>
      </c>
      <c r="H15" t="s">
        <v>25</v>
      </c>
      <c r="I15" t="s">
        <v>9</v>
      </c>
      <c r="J15" t="s">
        <v>30</v>
      </c>
      <c r="K15" t="s">
        <v>31</v>
      </c>
      <c r="L15">
        <v>46</v>
      </c>
      <c r="M15">
        <v>86</v>
      </c>
      <c r="N15">
        <f>Hoja4!$L15*Hoja4!$M15</f>
        <v>3956</v>
      </c>
      <c r="O15" t="str">
        <f t="shared" si="0"/>
        <v>Vie.</v>
      </c>
      <c r="P15" t="str">
        <f t="shared" si="1"/>
        <v>enero</v>
      </c>
      <c r="S15">
        <v>304</v>
      </c>
      <c r="T15" s="15">
        <v>44063</v>
      </c>
      <c r="U15">
        <v>3501827064</v>
      </c>
      <c r="V15" t="str">
        <v>Empresa H</v>
      </c>
      <c r="W15" t="str">
        <v>Riobamba</v>
      </c>
      <c r="X15" t="str">
        <v>Chimborazo</v>
      </c>
      <c r="Y15" t="str">
        <v>Nancy Gil de la Peña</v>
      </c>
      <c r="Z15" t="str">
        <v>Empresa de embarque C</v>
      </c>
      <c r="AA15" t="str">
        <v>Tarjeta de crédito</v>
      </c>
      <c r="AB15" t="str">
        <v>Mozzarella</v>
      </c>
      <c r="AC15" t="str">
        <v>Productos lácteos</v>
      </c>
      <c r="AD15">
        <v>487.19999999999993</v>
      </c>
      <c r="AE15">
        <v>24</v>
      </c>
      <c r="AF15">
        <v>11692.8</v>
      </c>
      <c r="AG15" t="str">
        <v>Jue.</v>
      </c>
      <c r="AH15" t="str">
        <v>agosto</v>
      </c>
      <c r="AI15">
        <f t="shared" si="2"/>
        <v>24734</v>
      </c>
      <c r="AJ15" cm="1">
        <f t="array" ref="AJ15">SUM(IF($AK$10:$AK$45=AN15,$AF$10:$AF$45))</f>
        <v>24734</v>
      </c>
      <c r="AK15" cm="1">
        <f t="array" ref="AK15">_xlfn.IFS(AG15=$AM$10,1,AG15=$AM$11,2,AG15=$AM$12,3,AG15=$AM$13,4,AG15=$AM$14,5,AG15=$AM$15,6,AG15=$AM$16,7)</f>
        <v>4</v>
      </c>
      <c r="AM15" t="s">
        <v>151</v>
      </c>
      <c r="AN15">
        <v>6</v>
      </c>
      <c r="AO15">
        <v>3</v>
      </c>
      <c r="AS15">
        <f>COUNTIF($AQ$1:$AQ$6,AR4)</f>
        <v>1</v>
      </c>
    </row>
    <row r="16" spans="1:55" x14ac:dyDescent="0.25">
      <c r="A16">
        <v>15</v>
      </c>
      <c r="B16">
        <v>44037</v>
      </c>
      <c r="C16">
        <v>8539365209</v>
      </c>
      <c r="D16" t="s">
        <v>42</v>
      </c>
      <c r="E16" t="s">
        <v>91</v>
      </c>
      <c r="F16" t="s">
        <v>91</v>
      </c>
      <c r="G16" t="s">
        <v>43</v>
      </c>
      <c r="H16" t="s">
        <v>8</v>
      </c>
      <c r="I16" t="s">
        <v>17</v>
      </c>
      <c r="J16" t="s">
        <v>44</v>
      </c>
      <c r="K16" t="s">
        <v>11</v>
      </c>
      <c r="L16">
        <v>41</v>
      </c>
      <c r="M16">
        <v>96</v>
      </c>
      <c r="N16">
        <f>Hoja4!$L16*Hoja4!$M16</f>
        <v>3936</v>
      </c>
      <c r="O16" t="str">
        <f t="shared" si="0"/>
        <v>Sáb.</v>
      </c>
      <c r="P16" t="str">
        <f t="shared" si="1"/>
        <v>julio</v>
      </c>
      <c r="S16">
        <v>293</v>
      </c>
      <c r="T16" s="15">
        <v>44062</v>
      </c>
      <c r="U16">
        <v>1397118248</v>
      </c>
      <c r="V16" t="str">
        <v>Empresa F</v>
      </c>
      <c r="W16" t="str">
        <v>Ibarra</v>
      </c>
      <c r="X16" t="str">
        <v>Imbabura</v>
      </c>
      <c r="Y16" t="str">
        <v>Luis Miguel Valdés Garza</v>
      </c>
      <c r="Z16" t="str">
        <v>Empresa de embarque B</v>
      </c>
      <c r="AA16" t="str">
        <v>Tarjeta de crédito</v>
      </c>
      <c r="AB16" t="str">
        <v>Cerveza</v>
      </c>
      <c r="AC16" t="str">
        <v>Bebidas</v>
      </c>
      <c r="AD16">
        <v>196</v>
      </c>
      <c r="AE16">
        <v>85</v>
      </c>
      <c r="AF16">
        <v>16660</v>
      </c>
      <c r="AG16" t="str">
        <v>Mié.</v>
      </c>
      <c r="AH16" t="str">
        <v>agosto</v>
      </c>
      <c r="AI16">
        <f t="shared" si="2"/>
        <v>95821</v>
      </c>
      <c r="AJ16" cm="1">
        <f t="array" ref="AJ16">SUM(IF($AK$10:$AK$45=AN16,$AF$10:$AF$45))</f>
        <v>95821</v>
      </c>
      <c r="AK16" cm="1">
        <f t="array" ref="AK16">_xlfn.IFS(AG16=$AM$10,1,AG16=$AM$11,2,AG16=$AM$12,3,AG16=$AM$13,4,AG16=$AM$14,5,AG16=$AM$15,6,AG16=$AM$16,7)</f>
        <v>3</v>
      </c>
      <c r="AM16" t="s">
        <v>147</v>
      </c>
      <c r="AN16">
        <v>7</v>
      </c>
      <c r="AO16">
        <v>10</v>
      </c>
    </row>
    <row r="17" spans="1:41" x14ac:dyDescent="0.25">
      <c r="A17">
        <v>16</v>
      </c>
      <c r="B17">
        <v>44009</v>
      </c>
      <c r="C17">
        <v>6983099686</v>
      </c>
      <c r="D17" t="s">
        <v>45</v>
      </c>
      <c r="E17" t="s">
        <v>87</v>
      </c>
      <c r="F17" t="s">
        <v>87</v>
      </c>
      <c r="G17" t="s">
        <v>24</v>
      </c>
      <c r="J17" t="s">
        <v>22</v>
      </c>
      <c r="K17" t="s">
        <v>11</v>
      </c>
      <c r="L17">
        <v>45</v>
      </c>
      <c r="M17">
        <v>97</v>
      </c>
      <c r="N17">
        <f>Hoja4!$L17*Hoja4!$M17</f>
        <v>4365</v>
      </c>
      <c r="O17" t="str">
        <f t="shared" si="0"/>
        <v>Sáb.</v>
      </c>
      <c r="P17" t="str">
        <f t="shared" si="1"/>
        <v>junio</v>
      </c>
      <c r="S17">
        <v>287</v>
      </c>
      <c r="T17" s="15">
        <v>44044</v>
      </c>
      <c r="U17">
        <v>9543041808</v>
      </c>
      <c r="V17" t="str">
        <v>Empresa A</v>
      </c>
      <c r="W17" t="str">
        <v>Ambato</v>
      </c>
      <c r="X17" t="str">
        <v>Tungurahua</v>
      </c>
      <c r="Y17" t="str">
        <v>Nancy Gil de la Peña</v>
      </c>
      <c r="Z17">
        <v>0</v>
      </c>
      <c r="AA17">
        <v>0</v>
      </c>
      <c r="AB17" t="str">
        <v>Café</v>
      </c>
      <c r="AC17" t="str">
        <v>Bebidas</v>
      </c>
      <c r="AD17">
        <v>644</v>
      </c>
      <c r="AE17">
        <v>16</v>
      </c>
      <c r="AF17">
        <v>10304</v>
      </c>
      <c r="AG17" t="str">
        <v>Sáb.</v>
      </c>
      <c r="AH17" t="str">
        <v>agosto</v>
      </c>
      <c r="AK17" cm="1">
        <f t="array" ref="AK17">_xlfn.IFS(AG17=$AM$10,1,AG17=$AM$11,2,AG17=$AM$12,3,AG17=$AM$13,4,AG17=$AM$14,5,AG17=$AM$15,6,AG17=$AM$16,7)</f>
        <v>6</v>
      </c>
      <c r="AO17">
        <v>0</v>
      </c>
    </row>
    <row r="18" spans="1:41" x14ac:dyDescent="0.25">
      <c r="A18">
        <v>17</v>
      </c>
      <c r="B18">
        <v>44065</v>
      </c>
      <c r="C18">
        <v>3008945605</v>
      </c>
      <c r="D18" t="s">
        <v>42</v>
      </c>
      <c r="E18" t="s">
        <v>91</v>
      </c>
      <c r="F18" t="s">
        <v>91</v>
      </c>
      <c r="G18" t="s">
        <v>43</v>
      </c>
      <c r="H18" t="s">
        <v>16</v>
      </c>
      <c r="J18" t="s">
        <v>46</v>
      </c>
      <c r="K18" t="s">
        <v>47</v>
      </c>
      <c r="L18">
        <v>26</v>
      </c>
      <c r="M18">
        <v>65</v>
      </c>
      <c r="N18">
        <f>Hoja4!$L18*Hoja4!$M18</f>
        <v>1690</v>
      </c>
      <c r="O18" t="str">
        <f t="shared" si="0"/>
        <v>Sáb.</v>
      </c>
      <c r="P18" t="str">
        <f t="shared" si="1"/>
        <v>agosto</v>
      </c>
      <c r="S18">
        <v>283</v>
      </c>
      <c r="T18" s="15">
        <v>44073</v>
      </c>
      <c r="U18">
        <v>3501364052</v>
      </c>
      <c r="V18" t="str">
        <v>Empresa J</v>
      </c>
      <c r="W18" t="str">
        <v>Esmeraldas</v>
      </c>
      <c r="X18" t="str">
        <v>Esmeraldas</v>
      </c>
      <c r="Y18" t="str">
        <v>Laura Gutiérrez Saenz</v>
      </c>
      <c r="Z18" t="str">
        <v>Empresa de embarque A</v>
      </c>
      <c r="AA18">
        <v>0</v>
      </c>
      <c r="AB18" t="str">
        <v>Galletas de chocolate</v>
      </c>
      <c r="AC18" t="str">
        <v>Productos horneados</v>
      </c>
      <c r="AD18">
        <v>128.79999999999998</v>
      </c>
      <c r="AE18">
        <v>34</v>
      </c>
      <c r="AF18">
        <v>4379.2</v>
      </c>
      <c r="AG18" t="str">
        <v>Dom.</v>
      </c>
      <c r="AH18" t="str">
        <v>agosto</v>
      </c>
      <c r="AK18" cm="1">
        <f t="array" ref="AK18">_xlfn.IFS(AG18=$AM$10,1,AG18=$AM$11,2,AG18=$AM$12,3,AG18=$AM$13,4,AG18=$AM$14,5,AG18=$AM$15,6,AG18=$AM$16,7)</f>
        <v>7</v>
      </c>
    </row>
    <row r="19" spans="1:41" x14ac:dyDescent="0.25">
      <c r="A19">
        <v>18</v>
      </c>
      <c r="B19">
        <v>43937</v>
      </c>
      <c r="C19">
        <v>5388305959</v>
      </c>
      <c r="D19" t="s">
        <v>42</v>
      </c>
      <c r="E19" t="s">
        <v>91</v>
      </c>
      <c r="F19" t="s">
        <v>91</v>
      </c>
      <c r="G19" t="s">
        <v>43</v>
      </c>
      <c r="H19" t="s">
        <v>16</v>
      </c>
      <c r="J19" t="s">
        <v>48</v>
      </c>
      <c r="K19" t="s">
        <v>49</v>
      </c>
      <c r="L19">
        <v>40</v>
      </c>
      <c r="M19">
        <v>88</v>
      </c>
      <c r="N19">
        <f>Hoja4!$L19*Hoja4!$M19</f>
        <v>3520</v>
      </c>
      <c r="O19" t="str">
        <f t="shared" si="0"/>
        <v>Jue.</v>
      </c>
      <c r="P19" t="str">
        <f t="shared" si="1"/>
        <v>abril</v>
      </c>
      <c r="S19">
        <v>282</v>
      </c>
      <c r="T19" s="15">
        <v>44068</v>
      </c>
      <c r="U19">
        <v>9635546425</v>
      </c>
      <c r="V19" t="str">
        <v>Empresa J</v>
      </c>
      <c r="W19" t="str">
        <v>Esmeraldas</v>
      </c>
      <c r="X19" t="str">
        <v>Esmeraldas</v>
      </c>
      <c r="Y19" t="str">
        <v>Laura Gutiérrez Saenz</v>
      </c>
      <c r="Z19" t="str">
        <v>Empresa de embarque A</v>
      </c>
      <c r="AA19">
        <v>0</v>
      </c>
      <c r="AB19" t="str">
        <v>Condimento cajún</v>
      </c>
      <c r="AC19" t="str">
        <v>Condimentos</v>
      </c>
      <c r="AD19">
        <v>308</v>
      </c>
      <c r="AE19">
        <v>96</v>
      </c>
      <c r="AF19">
        <v>29568</v>
      </c>
      <c r="AG19" t="str">
        <v>Mar.</v>
      </c>
      <c r="AH19" t="str">
        <v>agosto</v>
      </c>
      <c r="AK19" cm="1">
        <f t="array" ref="AK19">_xlfn.IFS(AG19=$AM$10,1,AG19=$AM$11,2,AG19=$AM$12,3,AG19=$AM$13,4,AG19=$AM$14,5,AG19=$AM$15,6,AG19=$AM$16,7)</f>
        <v>2</v>
      </c>
      <c r="AM19" t="str" cm="1">
        <f t="array" ref="AM19:AM25">_xlfn.UNIQUE(AG10:AG45)</f>
        <v>Lun.</v>
      </c>
    </row>
    <row r="20" spans="1:41" x14ac:dyDescent="0.25">
      <c r="A20">
        <v>19</v>
      </c>
      <c r="B20">
        <v>44172</v>
      </c>
      <c r="C20">
        <v>438272084</v>
      </c>
      <c r="D20" t="s">
        <v>42</v>
      </c>
      <c r="E20" t="s">
        <v>91</v>
      </c>
      <c r="F20" t="s">
        <v>91</v>
      </c>
      <c r="G20" t="s">
        <v>43</v>
      </c>
      <c r="H20" t="s">
        <v>16</v>
      </c>
      <c r="J20" t="s">
        <v>26</v>
      </c>
      <c r="K20" t="s">
        <v>27</v>
      </c>
      <c r="L20">
        <v>12</v>
      </c>
      <c r="M20">
        <v>60</v>
      </c>
      <c r="N20">
        <f>Hoja4!$L20*Hoja4!$M20</f>
        <v>720</v>
      </c>
      <c r="O20" t="str">
        <f t="shared" si="0"/>
        <v>Lun.</v>
      </c>
      <c r="P20" t="str">
        <f t="shared" si="1"/>
        <v>diciembre</v>
      </c>
      <c r="S20">
        <v>279</v>
      </c>
      <c r="T20" s="15">
        <v>44073</v>
      </c>
      <c r="U20">
        <v>3338515953</v>
      </c>
      <c r="V20" t="str">
        <v>Empresa I</v>
      </c>
      <c r="W20" t="str">
        <v>Guayaquil</v>
      </c>
      <c r="X20" t="str">
        <v>Guayas</v>
      </c>
      <c r="Y20" t="str">
        <v>Robert Zárate Carrillo</v>
      </c>
      <c r="Z20" t="str">
        <v>Empresa de embarque A</v>
      </c>
      <c r="AA20" t="str">
        <v>Cheque</v>
      </c>
      <c r="AB20" t="str">
        <v>Almejas</v>
      </c>
      <c r="AC20" t="str">
        <v>Sopas</v>
      </c>
      <c r="AD20">
        <v>135.1</v>
      </c>
      <c r="AE20">
        <v>89</v>
      </c>
      <c r="AF20">
        <v>12023.9</v>
      </c>
      <c r="AG20" t="str">
        <v>Dom.</v>
      </c>
      <c r="AH20" t="str">
        <v>agosto</v>
      </c>
      <c r="AK20" cm="1">
        <f t="array" ref="AK20">_xlfn.IFS(AG20=$AM$10,1,AG20=$AM$11,2,AG20=$AM$12,3,AG20=$AM$13,4,AG20=$AM$14,5,AG20=$AM$15,6,AG20=$AM$16,7)</f>
        <v>7</v>
      </c>
      <c r="AM20" t="str">
        <v>Dom.</v>
      </c>
    </row>
    <row r="21" spans="1:41" x14ac:dyDescent="0.25">
      <c r="A21">
        <v>20</v>
      </c>
      <c r="B21">
        <v>43875</v>
      </c>
      <c r="C21">
        <v>2536792311</v>
      </c>
      <c r="D21" t="s">
        <v>50</v>
      </c>
      <c r="E21" t="s">
        <v>85</v>
      </c>
      <c r="F21" t="s">
        <v>83</v>
      </c>
      <c r="G21" t="s">
        <v>41</v>
      </c>
      <c r="H21" t="s">
        <v>25</v>
      </c>
      <c r="J21" t="s">
        <v>12</v>
      </c>
      <c r="K21" t="s">
        <v>13</v>
      </c>
      <c r="L21">
        <v>35</v>
      </c>
      <c r="M21">
        <v>96</v>
      </c>
      <c r="N21">
        <f>Hoja4!$L21*Hoja4!$M21</f>
        <v>3360</v>
      </c>
      <c r="O21" t="str">
        <f t="shared" si="0"/>
        <v>Vie.</v>
      </c>
      <c r="P21" t="str">
        <f t="shared" si="1"/>
        <v>febrero</v>
      </c>
      <c r="S21">
        <v>265</v>
      </c>
      <c r="T21" s="15">
        <v>44073</v>
      </c>
      <c r="U21">
        <v>7474169055</v>
      </c>
      <c r="V21" t="str">
        <v>Empresa Z</v>
      </c>
      <c r="W21" t="str">
        <v>Quito</v>
      </c>
      <c r="X21" t="str">
        <v>Pichincha</v>
      </c>
      <c r="Y21" t="str">
        <v>Ana del Valle Hinojosa</v>
      </c>
      <c r="Z21" t="str">
        <v>Empresa de embarque C</v>
      </c>
      <c r="AA21" t="str">
        <v>Tarjeta de crédito</v>
      </c>
      <c r="AB21" t="str">
        <v>Almejas</v>
      </c>
      <c r="AC21" t="str">
        <v>Sopas</v>
      </c>
      <c r="AD21">
        <v>135.1</v>
      </c>
      <c r="AE21">
        <v>71</v>
      </c>
      <c r="AF21">
        <v>9592.1</v>
      </c>
      <c r="AG21" t="str">
        <v>Dom.</v>
      </c>
      <c r="AH21" t="str">
        <v>agosto</v>
      </c>
      <c r="AK21" cm="1">
        <f t="array" ref="AK21">_xlfn.IFS(AG21=$AM$10,1,AG21=$AM$11,2,AG21=$AM$12,3,AG21=$AM$13,4,AG21=$AM$14,5,AG21=$AM$15,6,AG21=$AM$16,7)</f>
        <v>7</v>
      </c>
      <c r="AM21" t="str">
        <v>Mié.</v>
      </c>
    </row>
    <row r="22" spans="1:41" x14ac:dyDescent="0.25">
      <c r="A22">
        <v>21</v>
      </c>
      <c r="B22">
        <v>44138</v>
      </c>
      <c r="C22">
        <v>7813757711</v>
      </c>
      <c r="D22" t="s">
        <v>50</v>
      </c>
      <c r="E22" t="s">
        <v>85</v>
      </c>
      <c r="F22" t="s">
        <v>83</v>
      </c>
      <c r="G22" t="s">
        <v>41</v>
      </c>
      <c r="H22" t="s">
        <v>25</v>
      </c>
      <c r="J22" t="s">
        <v>44</v>
      </c>
      <c r="K22" t="s">
        <v>11</v>
      </c>
      <c r="L22">
        <v>20</v>
      </c>
      <c r="M22">
        <v>50</v>
      </c>
      <c r="N22">
        <f>Hoja4!$L22*Hoja4!$M22</f>
        <v>1000</v>
      </c>
      <c r="O22" t="str">
        <f t="shared" si="0"/>
        <v>Mar.</v>
      </c>
      <c r="P22" t="str">
        <f t="shared" si="1"/>
        <v>noviembre</v>
      </c>
      <c r="S22">
        <v>192</v>
      </c>
      <c r="T22" s="15">
        <v>44049</v>
      </c>
      <c r="U22">
        <v>2018401595</v>
      </c>
      <c r="V22" t="str">
        <v>Empresa H</v>
      </c>
      <c r="W22" t="str">
        <v>Riobamba</v>
      </c>
      <c r="X22" t="str">
        <v>Chimborazo</v>
      </c>
      <c r="Y22" t="str">
        <v>Nancy Gil de la Peña</v>
      </c>
      <c r="Z22" t="str">
        <v>Empresa de embarque C</v>
      </c>
      <c r="AA22" t="str">
        <v>Cheque</v>
      </c>
      <c r="AB22" t="str">
        <v>Chocolate</v>
      </c>
      <c r="AC22" t="str">
        <v>Dulces</v>
      </c>
      <c r="AD22">
        <v>178.5</v>
      </c>
      <c r="AE22">
        <v>57</v>
      </c>
      <c r="AF22">
        <v>10174.5</v>
      </c>
      <c r="AG22" t="str">
        <v>Jue.</v>
      </c>
      <c r="AH22" t="str">
        <v>agosto</v>
      </c>
      <c r="AK22" cm="1">
        <f t="array" ref="AK22">_xlfn.IFS(AG22=$AM$10,1,AG22=$AM$11,2,AG22=$AM$12,3,AG22=$AM$13,4,AG22=$AM$14,5,AG22=$AM$15,6,AG22=$AM$16,7)</f>
        <v>4</v>
      </c>
      <c r="AM22" t="str">
        <v>Jue.</v>
      </c>
    </row>
    <row r="23" spans="1:41" x14ac:dyDescent="0.25">
      <c r="A23">
        <v>22</v>
      </c>
      <c r="B23">
        <v>43918</v>
      </c>
      <c r="C23">
        <v>4786931679</v>
      </c>
      <c r="D23" t="s">
        <v>51</v>
      </c>
      <c r="E23" t="s">
        <v>90</v>
      </c>
      <c r="F23" t="s">
        <v>98</v>
      </c>
      <c r="G23" t="s">
        <v>24</v>
      </c>
      <c r="J23" t="s">
        <v>21</v>
      </c>
      <c r="K23" t="s">
        <v>11</v>
      </c>
      <c r="L23">
        <v>50</v>
      </c>
      <c r="M23">
        <v>75</v>
      </c>
      <c r="N23">
        <f>Hoja4!$L23*Hoja4!$M23</f>
        <v>3750</v>
      </c>
      <c r="O23" t="str">
        <f t="shared" si="0"/>
        <v>Sáb.</v>
      </c>
      <c r="P23" t="str">
        <f t="shared" si="1"/>
        <v>marzo</v>
      </c>
      <c r="S23">
        <v>191</v>
      </c>
      <c r="T23" s="15">
        <v>44045</v>
      </c>
      <c r="U23">
        <v>1537469039</v>
      </c>
      <c r="V23" t="str">
        <v>Empresa BB</v>
      </c>
      <c r="W23" t="str">
        <v>Manta</v>
      </c>
      <c r="X23" t="str">
        <v>Manabi</v>
      </c>
      <c r="Y23" t="str">
        <v>Ana del Valle Hinojosa</v>
      </c>
      <c r="Z23" t="str">
        <v>Empresa de embarque C</v>
      </c>
      <c r="AA23" t="str">
        <v>Cheque</v>
      </c>
      <c r="AB23" t="str">
        <v>Café</v>
      </c>
      <c r="AC23" t="str">
        <v>Bebidas</v>
      </c>
      <c r="AD23">
        <v>644</v>
      </c>
      <c r="AE23">
        <v>28</v>
      </c>
      <c r="AF23">
        <v>18032</v>
      </c>
      <c r="AG23" t="str">
        <v>Dom.</v>
      </c>
      <c r="AH23" t="str">
        <v>agosto</v>
      </c>
      <c r="AK23" cm="1">
        <f t="array" ref="AK23">_xlfn.IFS(AG23=$AM$10,1,AG23=$AM$11,2,AG23=$AM$12,3,AG23=$AM$13,4,AG23=$AM$14,5,AG23=$AM$15,6,AG23=$AM$16,7)</f>
        <v>7</v>
      </c>
      <c r="AM23" t="str">
        <v>Sáb.</v>
      </c>
    </row>
    <row r="24" spans="1:41" x14ac:dyDescent="0.25">
      <c r="A24">
        <v>23</v>
      </c>
      <c r="B24">
        <v>44039</v>
      </c>
      <c r="C24">
        <v>3021659728</v>
      </c>
      <c r="D24" t="s">
        <v>51</v>
      </c>
      <c r="E24" t="s">
        <v>90</v>
      </c>
      <c r="F24" t="s">
        <v>98</v>
      </c>
      <c r="G24" t="s">
        <v>24</v>
      </c>
      <c r="J24" t="s">
        <v>22</v>
      </c>
      <c r="K24" t="s">
        <v>11</v>
      </c>
      <c r="L24">
        <v>21</v>
      </c>
      <c r="M24">
        <v>4</v>
      </c>
      <c r="N24">
        <f>Hoja4!$L24*Hoja4!$M24</f>
        <v>84</v>
      </c>
      <c r="O24" t="str">
        <f t="shared" si="0"/>
        <v>Lun.</v>
      </c>
      <c r="P24" t="str">
        <f t="shared" si="1"/>
        <v>julio</v>
      </c>
      <c r="S24">
        <v>185</v>
      </c>
      <c r="T24" s="15">
        <v>44069</v>
      </c>
      <c r="U24">
        <v>5411926783</v>
      </c>
      <c r="V24" t="str">
        <v>Empresa J</v>
      </c>
      <c r="W24" t="str">
        <v>Esmeraldas</v>
      </c>
      <c r="X24" t="str">
        <v>Esmeraldas</v>
      </c>
      <c r="Y24" t="str">
        <v>Laura Gutiérrez Saenz</v>
      </c>
      <c r="Z24" t="str">
        <v>Empresa de embarque A</v>
      </c>
      <c r="AA24">
        <v>0</v>
      </c>
      <c r="AB24" t="str">
        <v>Ciruelas secas</v>
      </c>
      <c r="AC24" t="str">
        <v>Frutas secas</v>
      </c>
      <c r="AD24">
        <v>49</v>
      </c>
      <c r="AE24">
        <v>27</v>
      </c>
      <c r="AF24">
        <v>1323</v>
      </c>
      <c r="AG24" t="str">
        <v>Mié.</v>
      </c>
      <c r="AH24" t="str">
        <v>agosto</v>
      </c>
      <c r="AK24" cm="1">
        <f t="array" ref="AK24">_xlfn.IFS(AG24=$AM$10,1,AG24=$AM$11,2,AG24=$AM$12,3,AG24=$AM$13,4,AG24=$AM$14,5,AG24=$AM$15,6,AG24=$AM$16,7)</f>
        <v>3</v>
      </c>
      <c r="AM24" t="str">
        <v>Mar.</v>
      </c>
    </row>
    <row r="25" spans="1:41" x14ac:dyDescent="0.25">
      <c r="A25">
        <v>24</v>
      </c>
      <c r="B25">
        <v>43993</v>
      </c>
      <c r="C25">
        <v>2591950684</v>
      </c>
      <c r="D25" t="s">
        <v>51</v>
      </c>
      <c r="E25" t="s">
        <v>90</v>
      </c>
      <c r="F25" t="s">
        <v>98</v>
      </c>
      <c r="G25" t="s">
        <v>24</v>
      </c>
      <c r="J25" t="s">
        <v>44</v>
      </c>
      <c r="K25" t="s">
        <v>11</v>
      </c>
      <c r="L25">
        <v>43</v>
      </c>
      <c r="M25">
        <v>18</v>
      </c>
      <c r="N25">
        <f>Hoja4!$L25*Hoja4!$M25</f>
        <v>774</v>
      </c>
      <c r="O25" t="str">
        <f t="shared" si="0"/>
        <v>Jue.</v>
      </c>
      <c r="P25" t="str">
        <f t="shared" si="1"/>
        <v>junio</v>
      </c>
      <c r="S25">
        <v>182</v>
      </c>
      <c r="T25" s="15">
        <v>44052</v>
      </c>
      <c r="U25">
        <v>5404968765</v>
      </c>
      <c r="V25" t="str">
        <v>Empresa C</v>
      </c>
      <c r="W25" t="str">
        <v>Machala</v>
      </c>
      <c r="X25" t="str">
        <v>El Oro</v>
      </c>
      <c r="Y25" t="str">
        <v>Mayra Aguilar Sepúlveda</v>
      </c>
      <c r="Z25" t="str">
        <v>Empresa de embarque B</v>
      </c>
      <c r="AA25" t="str">
        <v>Efectivo</v>
      </c>
      <c r="AB25" t="str">
        <v>Jarabe</v>
      </c>
      <c r="AC25" t="str">
        <v>Condimentos</v>
      </c>
      <c r="AD25">
        <v>140</v>
      </c>
      <c r="AE25">
        <v>99</v>
      </c>
      <c r="AF25">
        <v>13860</v>
      </c>
      <c r="AG25" t="str">
        <v>Dom.</v>
      </c>
      <c r="AH25" t="str">
        <v>agosto</v>
      </c>
      <c r="AK25" cm="1">
        <f t="array" ref="AK25">_xlfn.IFS(AG25=$AM$10,1,AG25=$AM$11,2,AG25=$AM$12,3,AG25=$AM$13,4,AG25=$AM$14,5,AG25=$AM$15,6,AG25=$AM$16,7)</f>
        <v>7</v>
      </c>
      <c r="AM25" t="str">
        <v>Vie.</v>
      </c>
    </row>
    <row r="26" spans="1:41" x14ac:dyDescent="0.25">
      <c r="A26">
        <v>25</v>
      </c>
      <c r="B26">
        <v>43885</v>
      </c>
      <c r="C26">
        <v>9326361454</v>
      </c>
      <c r="D26" t="s">
        <v>40</v>
      </c>
      <c r="E26" t="s">
        <v>97</v>
      </c>
      <c r="F26" t="s">
        <v>88</v>
      </c>
      <c r="G26" t="s">
        <v>41</v>
      </c>
      <c r="H26" t="s">
        <v>25</v>
      </c>
      <c r="I26" t="s">
        <v>17</v>
      </c>
      <c r="J26" t="s">
        <v>34</v>
      </c>
      <c r="K26" t="s">
        <v>35</v>
      </c>
      <c r="L26">
        <v>26</v>
      </c>
      <c r="M26">
        <v>49</v>
      </c>
      <c r="N26">
        <f>Hoja4!$L26*Hoja4!$M26</f>
        <v>1274</v>
      </c>
      <c r="O26" t="str">
        <f t="shared" si="0"/>
        <v>Lun.</v>
      </c>
      <c r="P26" t="str">
        <f t="shared" si="1"/>
        <v>febrero</v>
      </c>
      <c r="S26">
        <v>175</v>
      </c>
      <c r="T26" s="15">
        <v>44054</v>
      </c>
      <c r="U26">
        <v>3247684317</v>
      </c>
      <c r="V26" t="str">
        <v>Empresa Z</v>
      </c>
      <c r="W26" t="str">
        <v>Quito</v>
      </c>
      <c r="X26" t="str">
        <v>Pichincha</v>
      </c>
      <c r="Y26" t="str">
        <v>Ana del Valle Hinojosa</v>
      </c>
      <c r="Z26" t="str">
        <v>Empresa de embarque C</v>
      </c>
      <c r="AA26" t="str">
        <v>Tarjeta de crédito</v>
      </c>
      <c r="AB26" t="str">
        <v>Almejas</v>
      </c>
      <c r="AC26" t="str">
        <v>Sopas</v>
      </c>
      <c r="AD26">
        <v>135.1</v>
      </c>
      <c r="AE26">
        <v>25</v>
      </c>
      <c r="AF26">
        <v>3377.5</v>
      </c>
      <c r="AG26" t="str">
        <v>Mar.</v>
      </c>
      <c r="AH26" t="str">
        <v>agosto</v>
      </c>
      <c r="AK26" cm="1">
        <f t="array" ref="AK26">_xlfn.IFS(AG26=$AM$10,1,AG26=$AM$11,2,AG26=$AM$12,3,AG26=$AM$13,4,AG26=$AM$14,5,AG26=$AM$15,6,AG26=$AM$16,7)</f>
        <v>2</v>
      </c>
    </row>
    <row r="27" spans="1:41" x14ac:dyDescent="0.25">
      <c r="A27">
        <v>26</v>
      </c>
      <c r="B27">
        <v>44055</v>
      </c>
      <c r="C27">
        <v>3769138349</v>
      </c>
      <c r="D27" t="s">
        <v>40</v>
      </c>
      <c r="E27" t="s">
        <v>97</v>
      </c>
      <c r="F27" t="s">
        <v>88</v>
      </c>
      <c r="G27" t="s">
        <v>41</v>
      </c>
      <c r="H27" t="s">
        <v>25</v>
      </c>
      <c r="I27" t="s">
        <v>17</v>
      </c>
      <c r="J27" t="s">
        <v>52</v>
      </c>
      <c r="K27" t="s">
        <v>53</v>
      </c>
      <c r="L27">
        <v>39</v>
      </c>
      <c r="M27">
        <v>21</v>
      </c>
      <c r="N27">
        <f>Hoja4!$L27*Hoja4!$M27</f>
        <v>819</v>
      </c>
      <c r="O27" t="str">
        <f t="shared" si="0"/>
        <v>Mié.</v>
      </c>
      <c r="P27" t="str">
        <f t="shared" si="1"/>
        <v>agosto</v>
      </c>
      <c r="S27">
        <v>162</v>
      </c>
      <c r="T27" s="15">
        <v>44064</v>
      </c>
      <c r="U27">
        <v>5739621013</v>
      </c>
      <c r="V27" t="str">
        <v>Empresa F</v>
      </c>
      <c r="W27" t="str">
        <v>Ibarra</v>
      </c>
      <c r="X27" t="str">
        <v>Imbabura</v>
      </c>
      <c r="Y27" t="str">
        <v>Luis Miguel Valdés Garza</v>
      </c>
      <c r="Z27" t="str">
        <v>Empresa de embarque C</v>
      </c>
      <c r="AA27" t="str">
        <v>Cheque</v>
      </c>
      <c r="AB27" t="str">
        <v>Manzanas secas</v>
      </c>
      <c r="AC27" t="str">
        <v>Frutas secas</v>
      </c>
      <c r="AD27">
        <v>742</v>
      </c>
      <c r="AE27">
        <v>14</v>
      </c>
      <c r="AF27">
        <v>10388</v>
      </c>
      <c r="AG27" t="str">
        <v>Vie.</v>
      </c>
      <c r="AH27" t="str">
        <v>agosto</v>
      </c>
      <c r="AK27" cm="1">
        <f t="array" ref="AK27">_xlfn.IFS(AG27=$AM$10,1,AG27=$AM$11,2,AG27=$AM$12,3,AG27=$AM$13,4,AG27=$AM$14,5,AG27=$AM$15,6,AG27=$AM$16,7)</f>
        <v>5</v>
      </c>
    </row>
    <row r="28" spans="1:41" x14ac:dyDescent="0.25">
      <c r="A28">
        <v>27</v>
      </c>
      <c r="B28">
        <v>43908</v>
      </c>
      <c r="C28">
        <v>5871657714</v>
      </c>
      <c r="D28" t="s">
        <v>54</v>
      </c>
      <c r="E28" t="s">
        <v>89</v>
      </c>
      <c r="F28" t="s">
        <v>84</v>
      </c>
      <c r="G28" t="s">
        <v>55</v>
      </c>
      <c r="H28" t="s">
        <v>16</v>
      </c>
      <c r="I28" t="s">
        <v>9</v>
      </c>
      <c r="J28" t="s">
        <v>56</v>
      </c>
      <c r="K28" t="s">
        <v>57</v>
      </c>
      <c r="L28">
        <v>33</v>
      </c>
      <c r="M28">
        <v>8</v>
      </c>
      <c r="N28">
        <f>Hoja4!$L28*Hoja4!$M28</f>
        <v>264</v>
      </c>
      <c r="O28" t="str">
        <f t="shared" si="0"/>
        <v>Mié.</v>
      </c>
      <c r="P28" t="str">
        <f t="shared" si="1"/>
        <v>marzo</v>
      </c>
      <c r="S28">
        <v>160</v>
      </c>
      <c r="T28" s="15">
        <v>44049</v>
      </c>
      <c r="U28">
        <v>7169314881</v>
      </c>
      <c r="V28" t="str">
        <v>Empresa CC</v>
      </c>
      <c r="W28" t="str">
        <v>Guayaquil</v>
      </c>
      <c r="X28" t="str">
        <v>Guayas</v>
      </c>
      <c r="Y28" t="str">
        <v>José de Jesús Morales</v>
      </c>
      <c r="Z28" t="str">
        <v>Empresa de embarque B</v>
      </c>
      <c r="AA28" t="str">
        <v>Cheque</v>
      </c>
      <c r="AB28" t="str">
        <v>Cóctel de frutas</v>
      </c>
      <c r="AC28" t="str">
        <v>Frutas y vegetales</v>
      </c>
      <c r="AD28">
        <v>546</v>
      </c>
      <c r="AE28">
        <v>98</v>
      </c>
      <c r="AF28">
        <v>53508</v>
      </c>
      <c r="AG28" t="str">
        <v>Jue.</v>
      </c>
      <c r="AH28" t="str">
        <v>agosto</v>
      </c>
      <c r="AK28" cm="1">
        <f t="array" ref="AK28">_xlfn.IFS(AG28=$AM$10,1,AG28=$AM$11,2,AG28=$AM$12,3,AG28=$AM$13,4,AG28=$AM$14,5,AG28=$AM$15,6,AG28=$AM$16,7)</f>
        <v>4</v>
      </c>
    </row>
    <row r="29" spans="1:41" x14ac:dyDescent="0.25">
      <c r="A29">
        <v>28</v>
      </c>
      <c r="B29">
        <v>43965</v>
      </c>
      <c r="C29">
        <v>1534553307</v>
      </c>
      <c r="D29" t="s">
        <v>54</v>
      </c>
      <c r="E29" t="s">
        <v>89</v>
      </c>
      <c r="F29" t="s">
        <v>84</v>
      </c>
      <c r="G29" t="s">
        <v>55</v>
      </c>
      <c r="H29" t="s">
        <v>16</v>
      </c>
      <c r="I29" t="s">
        <v>9</v>
      </c>
      <c r="J29" t="s">
        <v>58</v>
      </c>
      <c r="K29" t="s">
        <v>59</v>
      </c>
      <c r="L29">
        <v>46</v>
      </c>
      <c r="M29">
        <v>82</v>
      </c>
      <c r="N29">
        <f>Hoja4!$L29*Hoja4!$M29</f>
        <v>3772</v>
      </c>
      <c r="O29" t="str">
        <f t="shared" si="0"/>
        <v>Jue.</v>
      </c>
      <c r="P29" t="str">
        <f t="shared" si="1"/>
        <v>mayo</v>
      </c>
      <c r="S29">
        <v>147</v>
      </c>
      <c r="T29" s="15">
        <v>44056</v>
      </c>
      <c r="U29">
        <v>3475726472</v>
      </c>
      <c r="V29" t="str">
        <v>Empresa H</v>
      </c>
      <c r="W29" t="str">
        <v>Riobamba</v>
      </c>
      <c r="X29" t="str">
        <v>Chimborazo</v>
      </c>
      <c r="Y29" t="str">
        <v>Nancy Gil de la Peña</v>
      </c>
      <c r="Z29" t="str">
        <v>Empresa de embarque C</v>
      </c>
      <c r="AA29" t="str">
        <v>Tarjeta de crédito</v>
      </c>
      <c r="AB29" t="str">
        <v>Mozzarella</v>
      </c>
      <c r="AC29" t="str">
        <v>Productos lácteos</v>
      </c>
      <c r="AD29">
        <v>487.19999999999993</v>
      </c>
      <c r="AE29">
        <v>30</v>
      </c>
      <c r="AF29">
        <v>14615.999999999998</v>
      </c>
      <c r="AG29" t="str">
        <v>Jue.</v>
      </c>
      <c r="AH29" t="str">
        <v>agosto</v>
      </c>
      <c r="AK29" cm="1">
        <f t="array" ref="AK29">_xlfn.IFS(AG29=$AM$10,1,AG29=$AM$11,2,AG29=$AM$12,3,AG29=$AM$13,4,AG29=$AM$14,5,AG29=$AM$15,6,AG29=$AM$16,7)</f>
        <v>4</v>
      </c>
    </row>
    <row r="30" spans="1:41" x14ac:dyDescent="0.25">
      <c r="A30">
        <v>29</v>
      </c>
      <c r="B30">
        <v>44146</v>
      </c>
      <c r="C30">
        <v>8474620707</v>
      </c>
      <c r="D30" t="s">
        <v>36</v>
      </c>
      <c r="E30" t="s">
        <v>92</v>
      </c>
      <c r="F30" t="s">
        <v>99</v>
      </c>
      <c r="G30" t="s">
        <v>37</v>
      </c>
      <c r="H30" t="s">
        <v>8</v>
      </c>
      <c r="I30" t="s">
        <v>17</v>
      </c>
      <c r="J30" t="s">
        <v>10</v>
      </c>
      <c r="K30" t="s">
        <v>11</v>
      </c>
      <c r="L30">
        <v>32</v>
      </c>
      <c r="M30">
        <v>75</v>
      </c>
      <c r="N30">
        <f>Hoja4!$L30*Hoja4!$M30</f>
        <v>2400</v>
      </c>
      <c r="O30" t="str">
        <f t="shared" si="0"/>
        <v>Mié.</v>
      </c>
      <c r="P30" t="str">
        <f t="shared" si="1"/>
        <v>noviembre</v>
      </c>
      <c r="S30">
        <v>145</v>
      </c>
      <c r="T30" s="15">
        <v>44046</v>
      </c>
      <c r="U30">
        <v>5585231955</v>
      </c>
      <c r="V30" t="str">
        <v>Empresa D</v>
      </c>
      <c r="W30" t="str">
        <v>Azogues</v>
      </c>
      <c r="X30" t="str">
        <v>Canar</v>
      </c>
      <c r="Y30" t="str">
        <v>Andrés González Rico</v>
      </c>
      <c r="Z30" t="str">
        <v>Empresa de embarque A</v>
      </c>
      <c r="AA30" t="str">
        <v>Tarjeta de crédito</v>
      </c>
      <c r="AB30" t="str">
        <v>Mermelada de zarzamora</v>
      </c>
      <c r="AC30" t="str">
        <v>Mermeladas y jaleas</v>
      </c>
      <c r="AD30">
        <v>1134</v>
      </c>
      <c r="AE30">
        <v>98</v>
      </c>
      <c r="AF30">
        <v>111132</v>
      </c>
      <c r="AG30" t="str">
        <v>Lun.</v>
      </c>
      <c r="AH30" t="str">
        <v>agosto</v>
      </c>
      <c r="AK30" cm="1">
        <f t="array" ref="AK30">_xlfn.IFS(AG30=$AM$10,1,AG30=$AM$11,2,AG30=$AM$12,3,AG30=$AM$13,4,AG30=$AM$14,5,AG30=$AM$15,6,AG30=$AM$16,7)</f>
        <v>1</v>
      </c>
    </row>
    <row r="31" spans="1:41" x14ac:dyDescent="0.25">
      <c r="A31">
        <v>30</v>
      </c>
      <c r="B31">
        <v>44144</v>
      </c>
      <c r="C31">
        <v>3530767380</v>
      </c>
      <c r="D31" t="s">
        <v>23</v>
      </c>
      <c r="E31" t="s">
        <v>86</v>
      </c>
      <c r="F31" t="s">
        <v>82</v>
      </c>
      <c r="G31" t="s">
        <v>24</v>
      </c>
      <c r="H31" t="s">
        <v>8</v>
      </c>
      <c r="I31" t="s">
        <v>9</v>
      </c>
      <c r="J31" t="s">
        <v>38</v>
      </c>
      <c r="K31" t="s">
        <v>39</v>
      </c>
      <c r="L31">
        <v>34</v>
      </c>
      <c r="M31">
        <v>3</v>
      </c>
      <c r="N31">
        <f>Hoja4!$L31*Hoja4!$M31</f>
        <v>102</v>
      </c>
      <c r="O31" t="str">
        <f t="shared" si="0"/>
        <v>Lun.</v>
      </c>
      <c r="P31" t="str">
        <f t="shared" si="1"/>
        <v>noviembre</v>
      </c>
      <c r="S31">
        <v>139</v>
      </c>
      <c r="T31" s="15">
        <v>44054</v>
      </c>
      <c r="U31">
        <v>4818692078</v>
      </c>
      <c r="V31" t="str">
        <v>Empresa Y</v>
      </c>
      <c r="W31" t="str">
        <v>Esmeraldas</v>
      </c>
      <c r="X31" t="str">
        <v>Esmeraldas</v>
      </c>
      <c r="Y31" t="str">
        <v>Laura Gutiérrez Saenz</v>
      </c>
      <c r="Z31" t="str">
        <v>Empresa de embarque A</v>
      </c>
      <c r="AA31" t="str">
        <v>Efectivo</v>
      </c>
      <c r="AB31" t="str">
        <v>Bolillos</v>
      </c>
      <c r="AC31" t="str">
        <v>Productos horneados</v>
      </c>
      <c r="AD31">
        <v>140</v>
      </c>
      <c r="AE31">
        <v>49</v>
      </c>
      <c r="AF31">
        <v>6860</v>
      </c>
      <c r="AG31" t="str">
        <v>Mar.</v>
      </c>
      <c r="AH31" t="str">
        <v>agosto</v>
      </c>
      <c r="AK31" cm="1">
        <f t="array" ref="AK31">_xlfn.IFS(AG31=$AM$10,1,AG31=$AM$11,2,AG31=$AM$12,3,AG31=$AM$13,4,AG31=$AM$14,5,AG31=$AM$15,6,AG31=$AM$16,7)</f>
        <v>2</v>
      </c>
    </row>
    <row r="32" spans="1:41" x14ac:dyDescent="0.25">
      <c r="A32">
        <v>31</v>
      </c>
      <c r="B32">
        <v>43845</v>
      </c>
      <c r="C32">
        <v>6673950624</v>
      </c>
      <c r="D32" t="s">
        <v>32</v>
      </c>
      <c r="E32" t="s">
        <v>93</v>
      </c>
      <c r="F32" t="s">
        <v>96</v>
      </c>
      <c r="G32" t="s">
        <v>7</v>
      </c>
      <c r="H32" t="s">
        <v>8</v>
      </c>
      <c r="I32" t="s">
        <v>33</v>
      </c>
      <c r="J32" t="s">
        <v>60</v>
      </c>
      <c r="K32" t="s">
        <v>49</v>
      </c>
      <c r="L32">
        <v>24</v>
      </c>
      <c r="M32">
        <v>33</v>
      </c>
      <c r="N32">
        <f>Hoja4!$L32*Hoja4!$M32</f>
        <v>792</v>
      </c>
      <c r="O32" t="str">
        <f t="shared" si="0"/>
        <v>Mié.</v>
      </c>
      <c r="P32" t="str">
        <f t="shared" si="1"/>
        <v>enero</v>
      </c>
      <c r="S32">
        <v>137</v>
      </c>
      <c r="T32" s="15">
        <v>44047</v>
      </c>
      <c r="U32">
        <v>1196729221</v>
      </c>
      <c r="V32" t="str">
        <v>Empresa H</v>
      </c>
      <c r="W32" t="str">
        <v>Riobamba</v>
      </c>
      <c r="X32" t="str">
        <v>Chimborazo</v>
      </c>
      <c r="Y32" t="str">
        <v>Nancy Gil de la Peña</v>
      </c>
      <c r="Z32" t="str">
        <v>Empresa de embarque B</v>
      </c>
      <c r="AA32" t="str">
        <v>Cheque</v>
      </c>
      <c r="AB32" t="str">
        <v>Salsa curry</v>
      </c>
      <c r="AC32" t="str">
        <v>Salsas</v>
      </c>
      <c r="AD32">
        <v>560</v>
      </c>
      <c r="AE32">
        <v>38</v>
      </c>
      <c r="AF32">
        <v>21280</v>
      </c>
      <c r="AG32" t="str">
        <v>Mar.</v>
      </c>
      <c r="AH32" t="str">
        <v>agosto</v>
      </c>
      <c r="AK32" cm="1">
        <f t="array" ref="AK32">_xlfn.IFS(AG32=$AM$10,1,AG32=$AM$11,2,AG32=$AM$12,3,AG32=$AM$13,4,AG32=$AM$14,5,AG32=$AM$15,6,AG32=$AM$16,7)</f>
        <v>2</v>
      </c>
    </row>
    <row r="33" spans="1:37" x14ac:dyDescent="0.25">
      <c r="A33">
        <v>32</v>
      </c>
      <c r="B33">
        <v>43967</v>
      </c>
      <c r="C33">
        <v>7137547321</v>
      </c>
      <c r="D33" t="s">
        <v>32</v>
      </c>
      <c r="E33" t="s">
        <v>93</v>
      </c>
      <c r="F33" t="s">
        <v>96</v>
      </c>
      <c r="G33" t="s">
        <v>7</v>
      </c>
      <c r="H33" t="s">
        <v>8</v>
      </c>
      <c r="I33" t="s">
        <v>33</v>
      </c>
      <c r="J33" t="s">
        <v>38</v>
      </c>
      <c r="L33">
        <v>21</v>
      </c>
      <c r="M33">
        <v>51</v>
      </c>
      <c r="N33">
        <f>Hoja4!$L33*Hoja4!$M33</f>
        <v>1071</v>
      </c>
      <c r="O33" t="str">
        <f t="shared" si="0"/>
        <v>Sáb.</v>
      </c>
      <c r="P33" t="str">
        <f t="shared" si="1"/>
        <v>mayo</v>
      </c>
      <c r="S33">
        <v>136</v>
      </c>
      <c r="T33" s="15">
        <v>44058</v>
      </c>
      <c r="U33">
        <v>2071690973</v>
      </c>
      <c r="V33" t="str">
        <v>Empresa F</v>
      </c>
      <c r="W33" t="str">
        <v>Ibarra</v>
      </c>
      <c r="X33" t="str">
        <v>Imbabura</v>
      </c>
      <c r="Y33" t="str">
        <v>Luis Miguel Valdés Garza</v>
      </c>
      <c r="Z33" t="str">
        <v>Empresa de embarque B</v>
      </c>
      <c r="AA33" t="str">
        <v>Tarjeta de crédito</v>
      </c>
      <c r="AB33" t="str">
        <v>Cerveza</v>
      </c>
      <c r="AC33" t="str">
        <v>Bebidas</v>
      </c>
      <c r="AD33">
        <v>196</v>
      </c>
      <c r="AE33">
        <v>65</v>
      </c>
      <c r="AF33">
        <v>12740</v>
      </c>
      <c r="AG33" t="str">
        <v>Sáb.</v>
      </c>
      <c r="AH33" t="str">
        <v>agosto</v>
      </c>
      <c r="AK33" cm="1">
        <f t="array" ref="AK33">_xlfn.IFS(AG33=$AM$10,1,AG33=$AM$11,2,AG33=$AM$12,3,AG33=$AM$13,4,AG33=$AM$14,5,AG33=$AM$15,6,AG33=$AM$16,7)</f>
        <v>6</v>
      </c>
    </row>
    <row r="34" spans="1:37" x14ac:dyDescent="0.25">
      <c r="A34">
        <v>33</v>
      </c>
      <c r="B34">
        <v>43862</v>
      </c>
      <c r="C34">
        <v>9655985375</v>
      </c>
      <c r="D34" t="s">
        <v>36</v>
      </c>
      <c r="E34" t="s">
        <v>92</v>
      </c>
      <c r="F34" t="s">
        <v>99</v>
      </c>
      <c r="G34" t="s">
        <v>37</v>
      </c>
      <c r="H34" t="s">
        <v>8</v>
      </c>
      <c r="I34" t="s">
        <v>17</v>
      </c>
      <c r="K34" t="s">
        <v>5</v>
      </c>
      <c r="O34" t="str">
        <f t="shared" si="0"/>
        <v>Sáb.</v>
      </c>
      <c r="P34" t="str">
        <f t="shared" si="1"/>
        <v>febrero</v>
      </c>
      <c r="S34">
        <v>133</v>
      </c>
      <c r="T34" s="15">
        <v>44057</v>
      </c>
      <c r="U34">
        <v>2633840866</v>
      </c>
      <c r="V34" t="str">
        <v>Empresa BB</v>
      </c>
      <c r="W34" t="str">
        <v>Manta</v>
      </c>
      <c r="X34" t="str">
        <v>Manabi</v>
      </c>
      <c r="Y34" t="str">
        <v>Ana del Valle Hinojosa</v>
      </c>
      <c r="Z34" t="str">
        <v>Empresa de embarque C</v>
      </c>
      <c r="AA34" t="str">
        <v>Tarjeta de crédito</v>
      </c>
      <c r="AB34" t="str">
        <v>Carne de cangrejo</v>
      </c>
      <c r="AC34" t="str">
        <v>Carne enlatada</v>
      </c>
      <c r="AD34">
        <v>257.59999999999997</v>
      </c>
      <c r="AE34">
        <v>98</v>
      </c>
      <c r="AF34">
        <v>25244.799999999996</v>
      </c>
      <c r="AG34" t="str">
        <v>Vie.</v>
      </c>
      <c r="AH34" t="str">
        <v>agosto</v>
      </c>
      <c r="AK34" cm="1">
        <f t="array" ref="AK34">_xlfn.IFS(AG34=$AM$10,1,AG34=$AM$11,2,AG34=$AM$12,3,AG34=$AM$13,4,AG34=$AM$14,5,AG34=$AM$15,6,AG34=$AM$16,7)</f>
        <v>5</v>
      </c>
    </row>
    <row r="35" spans="1:37" x14ac:dyDescent="0.25">
      <c r="A35">
        <v>34</v>
      </c>
      <c r="B35">
        <v>44167</v>
      </c>
      <c r="C35">
        <v>299812367</v>
      </c>
      <c r="D35" t="s">
        <v>40</v>
      </c>
      <c r="E35" t="s">
        <v>97</v>
      </c>
      <c r="F35" t="s">
        <v>88</v>
      </c>
      <c r="G35" t="s">
        <v>41</v>
      </c>
      <c r="H35" t="s">
        <v>25</v>
      </c>
      <c r="I35" t="s">
        <v>9</v>
      </c>
      <c r="K35" t="s">
        <v>5</v>
      </c>
      <c r="O35" t="str">
        <f t="shared" si="0"/>
        <v>Mié.</v>
      </c>
      <c r="P35" t="str">
        <f t="shared" si="1"/>
        <v>diciembre</v>
      </c>
      <c r="S35">
        <v>111</v>
      </c>
      <c r="T35" s="15">
        <v>44073</v>
      </c>
      <c r="U35">
        <v>9950546196</v>
      </c>
      <c r="V35" t="str">
        <v>Empresa H</v>
      </c>
      <c r="W35" t="str">
        <v>Riobamba</v>
      </c>
      <c r="X35" t="str">
        <v>Chimborazo</v>
      </c>
      <c r="Y35" t="str">
        <v>Nancy Gil de la Peña</v>
      </c>
      <c r="Z35" t="str">
        <v>Empresa de embarque B</v>
      </c>
      <c r="AA35" t="str">
        <v>Cheque</v>
      </c>
      <c r="AB35" t="str">
        <v>Galletas de chocolate</v>
      </c>
      <c r="AC35" t="str">
        <v>Productos horneados</v>
      </c>
      <c r="AD35">
        <v>128.79999999999998</v>
      </c>
      <c r="AE35">
        <v>51</v>
      </c>
      <c r="AF35">
        <v>6568.7999999999993</v>
      </c>
      <c r="AG35" t="str">
        <v>Dom.</v>
      </c>
      <c r="AH35" t="str">
        <v>agosto</v>
      </c>
      <c r="AK35" cm="1">
        <f t="array" ref="AK35">_xlfn.IFS(AG35=$AM$10,1,AG35=$AM$11,2,AG35=$AM$12,3,AG35=$AM$13,4,AG35=$AM$14,5,AG35=$AM$15,6,AG35=$AM$16,7)</f>
        <v>7</v>
      </c>
    </row>
    <row r="36" spans="1:37" x14ac:dyDescent="0.25">
      <c r="A36">
        <v>35</v>
      </c>
      <c r="B36">
        <v>43870</v>
      </c>
      <c r="C36">
        <v>7779151222</v>
      </c>
      <c r="D36" t="s">
        <v>23</v>
      </c>
      <c r="E36" t="s">
        <v>86</v>
      </c>
      <c r="F36" t="s">
        <v>82</v>
      </c>
      <c r="G36" t="s">
        <v>24</v>
      </c>
      <c r="H36" t="s">
        <v>25</v>
      </c>
      <c r="I36" t="s">
        <v>9</v>
      </c>
      <c r="K36" t="s">
        <v>5</v>
      </c>
      <c r="O36" t="str">
        <f t="shared" si="0"/>
        <v>Dom.</v>
      </c>
      <c r="P36" t="str">
        <f t="shared" si="1"/>
        <v>febrero</v>
      </c>
      <c r="S36">
        <v>106</v>
      </c>
      <c r="T36" s="15">
        <v>44070</v>
      </c>
      <c r="U36">
        <v>6501127347</v>
      </c>
      <c r="V36" t="str">
        <v>Empresa BB</v>
      </c>
      <c r="W36" t="str">
        <v>Manta</v>
      </c>
      <c r="X36" t="str">
        <v>Manabi</v>
      </c>
      <c r="Y36" t="str">
        <v>Ana del Valle Hinojosa</v>
      </c>
      <c r="Z36" t="str">
        <v>Empresa de embarque C</v>
      </c>
      <c r="AA36" t="str">
        <v>Tarjeta de crédito</v>
      </c>
      <c r="AB36" t="str">
        <v>Carne de cangrejo</v>
      </c>
      <c r="AC36" t="str">
        <v>Carne enlatada</v>
      </c>
      <c r="AD36">
        <v>257.59999999999997</v>
      </c>
      <c r="AE36">
        <v>25</v>
      </c>
      <c r="AF36">
        <v>6439.9999999999991</v>
      </c>
      <c r="AG36" t="str">
        <v>Jue.</v>
      </c>
      <c r="AH36" t="str">
        <v>agosto</v>
      </c>
      <c r="AK36" cm="1">
        <f t="array" ref="AK36">_xlfn.IFS(AG36=$AM$10,1,AG36=$AM$11,2,AG36=$AM$12,3,AG36=$AM$13,4,AG36=$AM$14,5,AG36=$AM$15,6,AG36=$AM$16,7)</f>
        <v>4</v>
      </c>
    </row>
    <row r="37" spans="1:37" x14ac:dyDescent="0.25">
      <c r="A37">
        <v>36</v>
      </c>
      <c r="B37">
        <v>44192</v>
      </c>
      <c r="C37">
        <v>9282360094</v>
      </c>
      <c r="D37" t="s">
        <v>42</v>
      </c>
      <c r="E37" t="s">
        <v>91</v>
      </c>
      <c r="F37" t="s">
        <v>91</v>
      </c>
      <c r="G37" t="s">
        <v>43</v>
      </c>
      <c r="H37" t="s">
        <v>8</v>
      </c>
      <c r="I37" t="s">
        <v>17</v>
      </c>
      <c r="J37" t="s">
        <v>61</v>
      </c>
      <c r="K37" t="s">
        <v>13</v>
      </c>
      <c r="L37">
        <v>140</v>
      </c>
      <c r="M37">
        <v>47</v>
      </c>
      <c r="N37">
        <f>Hoja4!$L37*Hoja4!$M37</f>
        <v>6580</v>
      </c>
      <c r="O37" t="str">
        <f t="shared" si="0"/>
        <v>Dom.</v>
      </c>
      <c r="P37" t="str">
        <f t="shared" si="1"/>
        <v>diciembre</v>
      </c>
      <c r="S37">
        <v>103</v>
      </c>
      <c r="T37" s="15">
        <v>44074</v>
      </c>
      <c r="U37">
        <v>5541796483</v>
      </c>
      <c r="V37" t="str">
        <v>Empresa A</v>
      </c>
      <c r="W37" t="str">
        <v>Ambato</v>
      </c>
      <c r="X37" t="str">
        <v>Tungurahua</v>
      </c>
      <c r="Y37" t="str">
        <v>Nancy Gil de la Peña</v>
      </c>
      <c r="Z37">
        <v>0</v>
      </c>
      <c r="AA37">
        <v>0</v>
      </c>
      <c r="AB37" t="str">
        <v>Café</v>
      </c>
      <c r="AC37" t="str">
        <v>Bebidas</v>
      </c>
      <c r="AD37">
        <v>644</v>
      </c>
      <c r="AE37">
        <v>77</v>
      </c>
      <c r="AF37">
        <v>49588</v>
      </c>
      <c r="AG37" t="str">
        <v>Lun.</v>
      </c>
      <c r="AH37" t="str">
        <v>agosto</v>
      </c>
      <c r="AK37" cm="1">
        <f t="array" ref="AK37">_xlfn.IFS(AG37=$AM$10,1,AG37=$AM$11,2,AG37=$AM$12,3,AG37=$AM$13,4,AG37=$AM$14,5,AG37=$AM$15,6,AG37=$AM$16,7)</f>
        <v>1</v>
      </c>
    </row>
    <row r="38" spans="1:37" x14ac:dyDescent="0.25">
      <c r="A38">
        <v>37</v>
      </c>
      <c r="B38">
        <v>43982</v>
      </c>
      <c r="C38">
        <v>6935804403</v>
      </c>
      <c r="D38" t="s">
        <v>42</v>
      </c>
      <c r="E38" t="s">
        <v>91</v>
      </c>
      <c r="F38" t="s">
        <v>91</v>
      </c>
      <c r="G38" t="s">
        <v>43</v>
      </c>
      <c r="H38" t="s">
        <v>16</v>
      </c>
      <c r="J38" t="s">
        <v>12</v>
      </c>
      <c r="K38" t="s">
        <v>13</v>
      </c>
      <c r="L38">
        <v>49</v>
      </c>
      <c r="M38">
        <v>49</v>
      </c>
      <c r="N38">
        <f>Hoja4!$L38*Hoja4!$M38</f>
        <v>2401</v>
      </c>
      <c r="O38" t="str">
        <f t="shared" si="0"/>
        <v>Dom.</v>
      </c>
      <c r="P38" t="str">
        <f t="shared" si="1"/>
        <v>mayo</v>
      </c>
      <c r="S38">
        <v>93</v>
      </c>
      <c r="T38" s="15">
        <v>44069</v>
      </c>
      <c r="U38">
        <v>5306800000</v>
      </c>
      <c r="V38" t="str">
        <v>Empresa BB</v>
      </c>
      <c r="W38" t="str">
        <v>Manta</v>
      </c>
      <c r="X38" t="str">
        <v>Manabi</v>
      </c>
      <c r="Y38" t="str">
        <v>Ana del Valle Hinojosa</v>
      </c>
      <c r="Z38" t="str">
        <v>Empresa de embarque C</v>
      </c>
      <c r="AA38" t="str">
        <v>Cheque</v>
      </c>
      <c r="AB38" t="str">
        <v>Café</v>
      </c>
      <c r="AC38" t="str">
        <v>Bebidas</v>
      </c>
      <c r="AD38">
        <v>644</v>
      </c>
      <c r="AE38">
        <v>36</v>
      </c>
      <c r="AF38">
        <v>23184</v>
      </c>
      <c r="AG38" t="str">
        <v>Mié.</v>
      </c>
      <c r="AH38" t="str">
        <v>agosto</v>
      </c>
      <c r="AK38" cm="1">
        <f t="array" ref="AK38">_xlfn.IFS(AG38=$AM$10,1,AG38=$AM$11,2,AG38=$AM$12,3,AG38=$AM$13,4,AG38=$AM$14,5,AG38=$AM$15,6,AG38=$AM$16,7)</f>
        <v>3</v>
      </c>
    </row>
    <row r="39" spans="1:37" x14ac:dyDescent="0.25">
      <c r="A39">
        <v>38</v>
      </c>
      <c r="B39">
        <v>43952</v>
      </c>
      <c r="C39">
        <v>3650322132</v>
      </c>
      <c r="D39" t="s">
        <v>50</v>
      </c>
      <c r="E39" t="s">
        <v>85</v>
      </c>
      <c r="F39" t="s">
        <v>83</v>
      </c>
      <c r="G39" t="s">
        <v>41</v>
      </c>
      <c r="H39" t="s">
        <v>25</v>
      </c>
      <c r="J39" t="s">
        <v>38</v>
      </c>
      <c r="K39" t="s">
        <v>39</v>
      </c>
      <c r="L39">
        <v>560</v>
      </c>
      <c r="M39">
        <v>72</v>
      </c>
      <c r="N39">
        <f>Hoja4!$L39*Hoja4!$M39</f>
        <v>40320</v>
      </c>
      <c r="O39" t="str">
        <f t="shared" si="0"/>
        <v>Vie.</v>
      </c>
      <c r="P39" t="str">
        <f t="shared" si="1"/>
        <v>mayo</v>
      </c>
      <c r="S39">
        <v>85</v>
      </c>
      <c r="T39" s="15">
        <v>44071</v>
      </c>
      <c r="U39">
        <v>8859429908</v>
      </c>
      <c r="V39" t="str">
        <v>Empresa J</v>
      </c>
      <c r="W39" t="str">
        <v>Esmeraldas</v>
      </c>
      <c r="X39" t="str">
        <v>Esmeraldas</v>
      </c>
      <c r="Y39" t="str">
        <v>Laura Gutiérrez Saenz</v>
      </c>
      <c r="Z39" t="str">
        <v>Empresa de embarque A</v>
      </c>
      <c r="AA39">
        <v>0</v>
      </c>
      <c r="AB39" t="str">
        <v>Condimento cajún</v>
      </c>
      <c r="AC39" t="str">
        <v>Condimentos</v>
      </c>
      <c r="AD39">
        <v>308</v>
      </c>
      <c r="AE39">
        <v>37</v>
      </c>
      <c r="AF39">
        <v>11396</v>
      </c>
      <c r="AG39" t="str">
        <v>Vie.</v>
      </c>
      <c r="AH39" t="str">
        <v>agosto</v>
      </c>
      <c r="AK39" cm="1">
        <f t="array" ref="AK39">_xlfn.IFS(AG39=$AM$10,1,AG39=$AM$11,2,AG39=$AM$12,3,AG39=$AM$13,4,AG39=$AM$14,5,AG39=$AM$15,6,AG39=$AM$16,7)</f>
        <v>5</v>
      </c>
    </row>
    <row r="40" spans="1:37" x14ac:dyDescent="0.25">
      <c r="A40">
        <v>39</v>
      </c>
      <c r="B40">
        <v>43965</v>
      </c>
      <c r="C40">
        <v>1985754250</v>
      </c>
      <c r="D40" t="s">
        <v>51</v>
      </c>
      <c r="E40" t="s">
        <v>90</v>
      </c>
      <c r="F40" t="s">
        <v>98</v>
      </c>
      <c r="G40" t="s">
        <v>24</v>
      </c>
      <c r="H40" t="s">
        <v>25</v>
      </c>
      <c r="J40" t="s">
        <v>52</v>
      </c>
      <c r="K40" t="s">
        <v>53</v>
      </c>
      <c r="L40">
        <v>257.59999999999997</v>
      </c>
      <c r="M40">
        <v>13</v>
      </c>
      <c r="N40">
        <f>Hoja4!$L40*Hoja4!$M40</f>
        <v>3348.7999999999997</v>
      </c>
      <c r="O40" t="str">
        <f t="shared" si="0"/>
        <v>Jue.</v>
      </c>
      <c r="P40" t="str">
        <f t="shared" si="1"/>
        <v>mayo</v>
      </c>
      <c r="S40">
        <v>68</v>
      </c>
      <c r="T40" s="15">
        <v>44052</v>
      </c>
      <c r="U40">
        <v>289513623</v>
      </c>
      <c r="V40" t="str">
        <v>Empresa J</v>
      </c>
      <c r="W40" t="str">
        <v>Esmeraldas</v>
      </c>
      <c r="X40" t="str">
        <v>Esmeraldas</v>
      </c>
      <c r="Y40" t="str">
        <v>Laura Gutiérrez Saenz</v>
      </c>
      <c r="Z40" t="str">
        <v>Empresa de embarque A</v>
      </c>
      <c r="AA40">
        <v>0</v>
      </c>
      <c r="AB40" t="str">
        <v>Ciruelas secas</v>
      </c>
      <c r="AC40" t="str">
        <v>Frutas secas</v>
      </c>
      <c r="AD40">
        <v>49</v>
      </c>
      <c r="AE40">
        <v>21</v>
      </c>
      <c r="AF40">
        <v>1029</v>
      </c>
      <c r="AG40" t="str">
        <v>Dom.</v>
      </c>
      <c r="AH40" t="str">
        <v>agosto</v>
      </c>
      <c r="AK40" cm="1">
        <f t="array" ref="AK40">_xlfn.IFS(AG40=$AM$10,1,AG40=$AM$11,2,AG40=$AM$12,3,AG40=$AM$13,4,AG40=$AM$14,5,AG40=$AM$15,6,AG40=$AM$16,7)</f>
        <v>7</v>
      </c>
    </row>
    <row r="41" spans="1:37" x14ac:dyDescent="0.25">
      <c r="A41">
        <v>40</v>
      </c>
      <c r="B41">
        <v>44090</v>
      </c>
      <c r="C41">
        <v>7293507918</v>
      </c>
      <c r="D41" t="s">
        <v>40</v>
      </c>
      <c r="E41" t="s">
        <v>97</v>
      </c>
      <c r="F41" t="s">
        <v>88</v>
      </c>
      <c r="G41" t="s">
        <v>41</v>
      </c>
      <c r="H41" t="s">
        <v>25</v>
      </c>
      <c r="I41" t="s">
        <v>17</v>
      </c>
      <c r="J41" t="s">
        <v>22</v>
      </c>
      <c r="K41" t="s">
        <v>11</v>
      </c>
      <c r="L41">
        <v>644</v>
      </c>
      <c r="M41">
        <v>32</v>
      </c>
      <c r="N41">
        <f>Hoja4!$L41*Hoja4!$M41</f>
        <v>20608</v>
      </c>
      <c r="O41" t="str">
        <f t="shared" si="0"/>
        <v>Mié.</v>
      </c>
      <c r="P41" t="str">
        <f t="shared" si="1"/>
        <v>septiembre</v>
      </c>
      <c r="S41">
        <v>43</v>
      </c>
      <c r="T41" s="15">
        <v>44070</v>
      </c>
      <c r="U41">
        <v>3986713828</v>
      </c>
      <c r="V41" t="str">
        <v>Empresa H</v>
      </c>
      <c r="W41" t="str">
        <v>Riobamba</v>
      </c>
      <c r="X41" t="str">
        <v>Chimborazo</v>
      </c>
      <c r="Y41" t="str">
        <v>Nancy Gil de la Peña</v>
      </c>
      <c r="Z41" t="str">
        <v>Empresa de embarque B</v>
      </c>
      <c r="AA41" t="str">
        <v>Cheque</v>
      </c>
      <c r="AB41" t="str">
        <v>Chocolate</v>
      </c>
      <c r="AC41" t="str">
        <v>Dulces</v>
      </c>
      <c r="AD41">
        <v>178.5</v>
      </c>
      <c r="AE41">
        <v>13</v>
      </c>
      <c r="AF41">
        <v>2320.5</v>
      </c>
      <c r="AG41" t="str">
        <v>Jue.</v>
      </c>
      <c r="AH41" t="str">
        <v>agosto</v>
      </c>
      <c r="AK41" cm="1">
        <f t="array" ref="AK41">_xlfn.IFS(AG41=$AM$10,1,AG41=$AM$11,2,AG41=$AM$12,3,AG41=$AM$13,4,AG41=$AM$14,5,AG41=$AM$15,6,AG41=$AM$16,7)</f>
        <v>4</v>
      </c>
    </row>
    <row r="42" spans="1:37" x14ac:dyDescent="0.25">
      <c r="A42">
        <v>41</v>
      </c>
      <c r="B42">
        <v>43983</v>
      </c>
      <c r="C42">
        <v>3459323228</v>
      </c>
      <c r="D42" t="s">
        <v>54</v>
      </c>
      <c r="E42" t="s">
        <v>89</v>
      </c>
      <c r="F42" t="s">
        <v>84</v>
      </c>
      <c r="G42" t="s">
        <v>55</v>
      </c>
      <c r="H42" t="s">
        <v>16</v>
      </c>
      <c r="I42" t="s">
        <v>9</v>
      </c>
      <c r="J42" t="s">
        <v>34</v>
      </c>
      <c r="K42" t="s">
        <v>35</v>
      </c>
      <c r="L42">
        <v>135.1</v>
      </c>
      <c r="M42">
        <v>27</v>
      </c>
      <c r="N42">
        <f>Hoja4!$L42*Hoja4!$M42</f>
        <v>3647.7</v>
      </c>
      <c r="O42" t="str">
        <f t="shared" si="0"/>
        <v>Lun.</v>
      </c>
      <c r="P42" t="str">
        <f t="shared" si="1"/>
        <v>junio</v>
      </c>
      <c r="S42">
        <v>26</v>
      </c>
      <c r="T42" s="15">
        <v>44055</v>
      </c>
      <c r="U42">
        <v>3769138349</v>
      </c>
      <c r="V42" t="str">
        <v>Empresa BB</v>
      </c>
      <c r="W42" t="str">
        <v>Manta</v>
      </c>
      <c r="X42" t="str">
        <v>Manabi</v>
      </c>
      <c r="Y42" t="str">
        <v>Ana del Valle Hinojosa</v>
      </c>
      <c r="Z42" t="str">
        <v>Empresa de embarque C</v>
      </c>
      <c r="AA42" t="str">
        <v>Tarjeta de crédito</v>
      </c>
      <c r="AB42" t="str">
        <v>Carne de cangrejo</v>
      </c>
      <c r="AC42" t="str">
        <v>Carne enlatada</v>
      </c>
      <c r="AD42">
        <v>39</v>
      </c>
      <c r="AE42">
        <v>21</v>
      </c>
      <c r="AF42">
        <v>819</v>
      </c>
      <c r="AG42" t="str">
        <v>Mié.</v>
      </c>
      <c r="AH42" t="str">
        <v>agosto</v>
      </c>
      <c r="AK42" cm="1">
        <f t="array" ref="AK42">_xlfn.IFS(AG42=$AM$10,1,AG42=$AM$11,2,AG42=$AM$12,3,AG42=$AM$13,4,AG42=$AM$14,5,AG42=$AM$15,6,AG42=$AM$16,7)</f>
        <v>3</v>
      </c>
    </row>
    <row r="43" spans="1:37" x14ac:dyDescent="0.25">
      <c r="A43">
        <v>42</v>
      </c>
      <c r="B43">
        <v>43999</v>
      </c>
      <c r="C43">
        <v>1144627655</v>
      </c>
      <c r="D43" t="s">
        <v>36</v>
      </c>
      <c r="E43" t="s">
        <v>92</v>
      </c>
      <c r="F43" t="s">
        <v>99</v>
      </c>
      <c r="G43" t="s">
        <v>37</v>
      </c>
      <c r="H43" t="s">
        <v>8</v>
      </c>
      <c r="I43" t="s">
        <v>17</v>
      </c>
      <c r="J43" t="s">
        <v>30</v>
      </c>
      <c r="K43" t="s">
        <v>31</v>
      </c>
      <c r="L43">
        <v>178.5</v>
      </c>
      <c r="M43">
        <v>71</v>
      </c>
      <c r="N43">
        <f>Hoja4!$L43*Hoja4!$M43</f>
        <v>12673.5</v>
      </c>
      <c r="O43" t="str">
        <f t="shared" si="0"/>
        <v>Mié.</v>
      </c>
      <c r="P43" t="str">
        <f t="shared" si="1"/>
        <v>junio</v>
      </c>
      <c r="S43">
        <v>17</v>
      </c>
      <c r="T43">
        <v>44065</v>
      </c>
      <c r="U43">
        <v>3008945605</v>
      </c>
      <c r="V43" t="str">
        <v>Empresa J</v>
      </c>
      <c r="W43" t="str">
        <v>Esmeraldas</v>
      </c>
      <c r="X43" t="str">
        <v>Esmeraldas</v>
      </c>
      <c r="Y43" t="str">
        <v>Laura Gutiérrez Saenz</v>
      </c>
      <c r="Z43" t="str">
        <v>Empresa de embarque A</v>
      </c>
      <c r="AA43">
        <v>0</v>
      </c>
      <c r="AB43" t="str">
        <v>Jalea de fresa</v>
      </c>
      <c r="AC43" t="str">
        <v>Mermeladas y jaleas</v>
      </c>
      <c r="AD43">
        <v>26</v>
      </c>
      <c r="AE43">
        <v>65</v>
      </c>
      <c r="AF43">
        <v>1690</v>
      </c>
      <c r="AG43" t="str">
        <v>Sáb.</v>
      </c>
      <c r="AH43" t="str">
        <v>agosto</v>
      </c>
      <c r="AK43" cm="1">
        <f t="array" ref="AK43">_xlfn.IFS(AG43=$AM$10,1,AG43=$AM$11,2,AG43=$AM$12,3,AG43=$AM$13,4,AG43=$AM$14,5,AG43=$AM$15,6,AG43=$AM$16,7)</f>
        <v>6</v>
      </c>
    </row>
    <row r="44" spans="1:37" x14ac:dyDescent="0.25">
      <c r="A44">
        <v>43</v>
      </c>
      <c r="B44">
        <v>44070</v>
      </c>
      <c r="C44">
        <v>3986713828</v>
      </c>
      <c r="D44" t="s">
        <v>23</v>
      </c>
      <c r="E44" t="s">
        <v>86</v>
      </c>
      <c r="F44" t="s">
        <v>82</v>
      </c>
      <c r="G44" t="s">
        <v>24</v>
      </c>
      <c r="H44" t="s">
        <v>8</v>
      </c>
      <c r="I44" t="s">
        <v>9</v>
      </c>
      <c r="J44" t="s">
        <v>30</v>
      </c>
      <c r="K44" t="s">
        <v>31</v>
      </c>
      <c r="L44">
        <v>178.5</v>
      </c>
      <c r="M44">
        <v>13</v>
      </c>
      <c r="N44">
        <f>Hoja4!$L44*Hoja4!$M44</f>
        <v>2320.5</v>
      </c>
      <c r="O44" t="str">
        <f t="shared" si="0"/>
        <v>Jue.</v>
      </c>
      <c r="P44" t="str">
        <f t="shared" si="1"/>
        <v>agosto</v>
      </c>
      <c r="S44">
        <v>12</v>
      </c>
      <c r="T44">
        <v>44045</v>
      </c>
      <c r="U44">
        <v>4872781256</v>
      </c>
      <c r="V44" t="str">
        <v>Empresa F</v>
      </c>
      <c r="W44" t="str">
        <v>Ibarra</v>
      </c>
      <c r="X44" t="str">
        <v>Imbabura</v>
      </c>
      <c r="Y44" t="str">
        <v>Luis Miguel Valdés Garza</v>
      </c>
      <c r="Z44" t="str">
        <v>Empresa de embarque B</v>
      </c>
      <c r="AA44" t="str">
        <v>Tarjeta de crédito</v>
      </c>
      <c r="AB44" t="str">
        <v>Salsa curry</v>
      </c>
      <c r="AC44" t="str">
        <v>Salsas</v>
      </c>
      <c r="AD44">
        <v>33</v>
      </c>
      <c r="AE44">
        <v>64</v>
      </c>
      <c r="AF44">
        <v>2112</v>
      </c>
      <c r="AG44" t="str">
        <v>Dom.</v>
      </c>
      <c r="AH44" t="str">
        <v>agosto</v>
      </c>
      <c r="AK44" cm="1">
        <f t="array" ref="AK44">_xlfn.IFS(AG44=$AM$10,1,AG44=$AM$11,2,AG44=$AM$12,3,AG44=$AM$13,4,AG44=$AM$14,5,AG44=$AM$15,6,AG44=$AM$16,7)</f>
        <v>7</v>
      </c>
    </row>
    <row r="45" spans="1:37" x14ac:dyDescent="0.25">
      <c r="A45">
        <v>44</v>
      </c>
      <c r="B45">
        <v>43998</v>
      </c>
      <c r="C45">
        <v>9350633665</v>
      </c>
      <c r="D45" t="s">
        <v>62</v>
      </c>
      <c r="E45" t="s">
        <v>91</v>
      </c>
      <c r="F45" t="s">
        <v>91</v>
      </c>
      <c r="G45" t="s">
        <v>43</v>
      </c>
      <c r="H45" t="s">
        <v>16</v>
      </c>
      <c r="I45" t="s">
        <v>33</v>
      </c>
      <c r="J45" t="s">
        <v>48</v>
      </c>
      <c r="K45" t="s">
        <v>49</v>
      </c>
      <c r="L45">
        <v>308</v>
      </c>
      <c r="M45">
        <v>98</v>
      </c>
      <c r="N45">
        <f>Hoja4!$L45*Hoja4!$M45</f>
        <v>30184</v>
      </c>
      <c r="O45" t="str">
        <f t="shared" si="0"/>
        <v>Mar.</v>
      </c>
      <c r="P45" t="str">
        <f t="shared" si="1"/>
        <v>junio</v>
      </c>
      <c r="S45">
        <v>2</v>
      </c>
      <c r="T45">
        <v>44068</v>
      </c>
      <c r="U45">
        <v>6185253419</v>
      </c>
      <c r="V45" t="str">
        <v>Empresa AA</v>
      </c>
      <c r="W45" t="str">
        <v>Cuenca</v>
      </c>
      <c r="X45" t="str">
        <v>Azuay</v>
      </c>
      <c r="Y45" t="str">
        <v>Mayra Aguilar Sepúlveda</v>
      </c>
      <c r="Z45" t="str">
        <v>Empresa de embarque B</v>
      </c>
      <c r="AA45" t="str">
        <v>Cheque</v>
      </c>
      <c r="AB45" t="str">
        <v>Ciruelas secas</v>
      </c>
      <c r="AC45" t="str">
        <v>Frutas secas</v>
      </c>
      <c r="AD45">
        <v>34</v>
      </c>
      <c r="AE45">
        <v>1</v>
      </c>
      <c r="AF45">
        <v>34</v>
      </c>
      <c r="AG45" t="str">
        <v>Mar.</v>
      </c>
      <c r="AH45" t="str">
        <v>agosto</v>
      </c>
      <c r="AK45" cm="1">
        <f t="array" ref="AK45">_xlfn.IFS(AG45=$AM$10,1,AG45=$AM$11,2,AG45=$AM$12,3,AG45=$AM$13,4,AG45=$AM$14,5,AG45=$AM$15,6,AG45=$AM$16,7)</f>
        <v>2</v>
      </c>
    </row>
    <row r="46" spans="1:37" x14ac:dyDescent="0.25">
      <c r="A46">
        <v>45</v>
      </c>
      <c r="B46">
        <v>44129</v>
      </c>
      <c r="C46">
        <v>4918639925</v>
      </c>
      <c r="D46" t="s">
        <v>63</v>
      </c>
      <c r="E46" t="s">
        <v>85</v>
      </c>
      <c r="F46" t="s">
        <v>83</v>
      </c>
      <c r="G46" t="s">
        <v>41</v>
      </c>
      <c r="H46" t="s">
        <v>25</v>
      </c>
      <c r="I46" t="s">
        <v>17</v>
      </c>
      <c r="J46" t="s">
        <v>46</v>
      </c>
      <c r="K46" t="s">
        <v>47</v>
      </c>
      <c r="L46">
        <v>350</v>
      </c>
      <c r="M46">
        <v>21</v>
      </c>
      <c r="N46">
        <f>Hoja4!$L46*Hoja4!$M46</f>
        <v>7350</v>
      </c>
      <c r="O46" t="str">
        <f t="shared" si="0"/>
        <v>Dom.</v>
      </c>
      <c r="P46" t="str">
        <f t="shared" si="1"/>
        <v>octubre</v>
      </c>
    </row>
    <row r="47" spans="1:37" x14ac:dyDescent="0.25">
      <c r="A47">
        <v>46</v>
      </c>
      <c r="B47">
        <v>44165</v>
      </c>
      <c r="C47">
        <v>9630006862</v>
      </c>
      <c r="D47" t="s">
        <v>28</v>
      </c>
      <c r="E47" t="s">
        <v>89</v>
      </c>
      <c r="F47" t="s">
        <v>84</v>
      </c>
      <c r="G47" t="s">
        <v>29</v>
      </c>
      <c r="H47" t="s">
        <v>8</v>
      </c>
      <c r="I47" t="s">
        <v>9</v>
      </c>
      <c r="J47" t="s">
        <v>64</v>
      </c>
      <c r="K47" t="s">
        <v>65</v>
      </c>
      <c r="L47">
        <v>546</v>
      </c>
      <c r="M47">
        <v>26</v>
      </c>
      <c r="N47">
        <f>Hoja4!$L47*Hoja4!$M47</f>
        <v>14196</v>
      </c>
      <c r="O47" t="str">
        <f t="shared" si="0"/>
        <v>Lun.</v>
      </c>
      <c r="P47" t="str">
        <f t="shared" si="1"/>
        <v>noviembre</v>
      </c>
    </row>
    <row r="48" spans="1:37" x14ac:dyDescent="0.25">
      <c r="A48">
        <v>47</v>
      </c>
      <c r="B48">
        <v>43920</v>
      </c>
      <c r="C48">
        <v>9029002933</v>
      </c>
      <c r="D48" t="s">
        <v>36</v>
      </c>
      <c r="E48" t="s">
        <v>92</v>
      </c>
      <c r="F48" t="s">
        <v>99</v>
      </c>
      <c r="G48" t="s">
        <v>37</v>
      </c>
      <c r="H48" t="s">
        <v>25</v>
      </c>
      <c r="I48" t="s">
        <v>9</v>
      </c>
      <c r="J48" t="s">
        <v>18</v>
      </c>
      <c r="K48" t="s">
        <v>13</v>
      </c>
      <c r="L48">
        <v>420</v>
      </c>
      <c r="M48">
        <v>96</v>
      </c>
      <c r="N48">
        <f>Hoja4!$L48*Hoja4!$M48</f>
        <v>40320</v>
      </c>
      <c r="O48" t="str">
        <f t="shared" si="0"/>
        <v>Lun.</v>
      </c>
      <c r="P48" t="str">
        <f t="shared" si="1"/>
        <v>marzo</v>
      </c>
    </row>
    <row r="49" spans="1:16" x14ac:dyDescent="0.25">
      <c r="A49">
        <v>48</v>
      </c>
      <c r="B49">
        <v>43880</v>
      </c>
      <c r="C49">
        <v>5702300844</v>
      </c>
      <c r="D49" t="s">
        <v>36</v>
      </c>
      <c r="E49" t="s">
        <v>92</v>
      </c>
      <c r="F49" t="s">
        <v>99</v>
      </c>
      <c r="G49" t="s">
        <v>37</v>
      </c>
      <c r="H49" t="s">
        <v>25</v>
      </c>
      <c r="I49" t="s">
        <v>9</v>
      </c>
      <c r="J49" t="s">
        <v>19</v>
      </c>
      <c r="K49" t="s">
        <v>13</v>
      </c>
      <c r="L49">
        <v>742</v>
      </c>
      <c r="M49">
        <v>16</v>
      </c>
      <c r="N49">
        <f>Hoja4!$L49*Hoja4!$M49</f>
        <v>11872</v>
      </c>
      <c r="O49" t="str">
        <f t="shared" si="0"/>
        <v>Mié.</v>
      </c>
      <c r="P49" t="str">
        <f t="shared" si="1"/>
        <v>febrero</v>
      </c>
    </row>
    <row r="50" spans="1:16" x14ac:dyDescent="0.25">
      <c r="A50">
        <v>49</v>
      </c>
      <c r="B50">
        <v>43922</v>
      </c>
      <c r="C50">
        <v>6885713027</v>
      </c>
      <c r="D50" t="s">
        <v>14</v>
      </c>
      <c r="E50" t="s">
        <v>81</v>
      </c>
      <c r="F50" t="s">
        <v>94</v>
      </c>
      <c r="G50" t="s">
        <v>15</v>
      </c>
      <c r="J50" t="s">
        <v>66</v>
      </c>
      <c r="K50" t="s">
        <v>57</v>
      </c>
      <c r="L50">
        <v>532</v>
      </c>
      <c r="M50">
        <v>96</v>
      </c>
      <c r="N50">
        <f>Hoja4!$L50*Hoja4!$M50</f>
        <v>51072</v>
      </c>
      <c r="O50" t="str">
        <f t="shared" si="0"/>
        <v>Mié.</v>
      </c>
      <c r="P50" t="str">
        <f t="shared" si="1"/>
        <v>abril</v>
      </c>
    </row>
    <row r="51" spans="1:16" x14ac:dyDescent="0.25">
      <c r="A51">
        <v>50</v>
      </c>
      <c r="B51">
        <v>43861</v>
      </c>
      <c r="C51">
        <v>5156178317</v>
      </c>
      <c r="D51" t="s">
        <v>32</v>
      </c>
      <c r="E51" t="s">
        <v>93</v>
      </c>
      <c r="F51" t="s">
        <v>96</v>
      </c>
      <c r="G51" t="s">
        <v>7</v>
      </c>
      <c r="J51" t="s">
        <v>44</v>
      </c>
      <c r="K51" t="s">
        <v>11</v>
      </c>
      <c r="L51">
        <v>41.86</v>
      </c>
      <c r="M51">
        <v>75</v>
      </c>
      <c r="N51">
        <f>Hoja4!$L51*Hoja4!$M51</f>
        <v>3139.5</v>
      </c>
      <c r="O51" t="str">
        <f t="shared" si="0"/>
        <v>Vie.</v>
      </c>
      <c r="P51" t="str">
        <f t="shared" si="1"/>
        <v>enero</v>
      </c>
    </row>
    <row r="52" spans="1:16" x14ac:dyDescent="0.25">
      <c r="A52">
        <v>51</v>
      </c>
      <c r="B52">
        <v>43992</v>
      </c>
      <c r="C52">
        <v>9993785470</v>
      </c>
      <c r="D52" t="s">
        <v>54</v>
      </c>
      <c r="E52" t="s">
        <v>89</v>
      </c>
      <c r="F52" t="s">
        <v>84</v>
      </c>
      <c r="G52" t="s">
        <v>55</v>
      </c>
      <c r="H52" t="s">
        <v>16</v>
      </c>
      <c r="I52" t="s">
        <v>9</v>
      </c>
      <c r="J52" t="s">
        <v>56</v>
      </c>
      <c r="K52" t="s">
        <v>57</v>
      </c>
      <c r="L52">
        <v>273</v>
      </c>
      <c r="M52">
        <v>55</v>
      </c>
      <c r="N52">
        <f>Hoja4!$L52*Hoja4!$M52</f>
        <v>15015</v>
      </c>
      <c r="O52" t="str">
        <f t="shared" si="0"/>
        <v>Mié.</v>
      </c>
      <c r="P52" t="str">
        <f t="shared" si="1"/>
        <v>junio</v>
      </c>
    </row>
    <row r="53" spans="1:16" x14ac:dyDescent="0.25">
      <c r="A53">
        <v>52</v>
      </c>
      <c r="B53">
        <v>44107</v>
      </c>
      <c r="C53">
        <v>2344903076</v>
      </c>
      <c r="D53" t="s">
        <v>54</v>
      </c>
      <c r="E53" t="s">
        <v>89</v>
      </c>
      <c r="F53" t="s">
        <v>84</v>
      </c>
      <c r="G53" t="s">
        <v>55</v>
      </c>
      <c r="H53" t="s">
        <v>16</v>
      </c>
      <c r="I53" t="s">
        <v>9</v>
      </c>
      <c r="J53" t="s">
        <v>58</v>
      </c>
      <c r="K53" t="s">
        <v>59</v>
      </c>
      <c r="L53">
        <v>487.19999999999993</v>
      </c>
      <c r="M53">
        <v>11</v>
      </c>
      <c r="N53">
        <f>Hoja4!$L53*Hoja4!$M53</f>
        <v>5359.1999999999989</v>
      </c>
      <c r="O53" t="str">
        <f t="shared" si="0"/>
        <v>Sáb.</v>
      </c>
      <c r="P53" t="str">
        <f t="shared" si="1"/>
        <v>octubre</v>
      </c>
    </row>
    <row r="54" spans="1:16" x14ac:dyDescent="0.25">
      <c r="A54">
        <v>53</v>
      </c>
      <c r="B54">
        <v>44123</v>
      </c>
      <c r="C54">
        <v>5773601950</v>
      </c>
      <c r="D54" t="s">
        <v>36</v>
      </c>
      <c r="E54" t="s">
        <v>92</v>
      </c>
      <c r="F54" t="s">
        <v>99</v>
      </c>
      <c r="G54" t="s">
        <v>37</v>
      </c>
      <c r="H54" t="s">
        <v>8</v>
      </c>
      <c r="I54" t="s">
        <v>17</v>
      </c>
      <c r="J54" t="s">
        <v>10</v>
      </c>
      <c r="K54" t="s">
        <v>11</v>
      </c>
      <c r="L54">
        <v>196</v>
      </c>
      <c r="M54">
        <v>53</v>
      </c>
      <c r="N54">
        <f>Hoja4!$L54*Hoja4!$M54</f>
        <v>10388</v>
      </c>
      <c r="O54" t="str">
        <f t="shared" si="0"/>
        <v>Lun.</v>
      </c>
      <c r="P54" t="str">
        <f t="shared" si="1"/>
        <v>octubre</v>
      </c>
    </row>
    <row r="55" spans="1:16" x14ac:dyDescent="0.25">
      <c r="A55">
        <v>54</v>
      </c>
      <c r="B55">
        <v>44088</v>
      </c>
      <c r="C55">
        <v>4818078168</v>
      </c>
      <c r="D55" t="s">
        <v>23</v>
      </c>
      <c r="E55" t="s">
        <v>86</v>
      </c>
      <c r="F55" t="s">
        <v>82</v>
      </c>
      <c r="G55" t="s">
        <v>24</v>
      </c>
      <c r="H55" t="s">
        <v>8</v>
      </c>
      <c r="I55" t="s">
        <v>9</v>
      </c>
      <c r="J55" t="s">
        <v>38</v>
      </c>
      <c r="K55" t="s">
        <v>39</v>
      </c>
      <c r="L55">
        <v>560</v>
      </c>
      <c r="M55">
        <v>85</v>
      </c>
      <c r="N55">
        <f>Hoja4!$L55*Hoja4!$M55</f>
        <v>47600</v>
      </c>
      <c r="O55" t="str">
        <f t="shared" si="0"/>
        <v>Lun.</v>
      </c>
      <c r="P55" t="str">
        <f t="shared" si="1"/>
        <v>septiembre</v>
      </c>
    </row>
    <row r="56" spans="1:16" x14ac:dyDescent="0.25">
      <c r="A56">
        <v>55</v>
      </c>
      <c r="B56">
        <v>44178</v>
      </c>
      <c r="C56">
        <v>9107195581</v>
      </c>
      <c r="D56" t="s">
        <v>23</v>
      </c>
      <c r="E56" t="s">
        <v>86</v>
      </c>
      <c r="F56" t="s">
        <v>82</v>
      </c>
      <c r="G56" t="s">
        <v>24</v>
      </c>
      <c r="H56" t="s">
        <v>8</v>
      </c>
      <c r="I56" t="s">
        <v>9</v>
      </c>
      <c r="J56" t="s">
        <v>26</v>
      </c>
      <c r="K56" t="s">
        <v>27</v>
      </c>
      <c r="L56">
        <v>128.79999999999998</v>
      </c>
      <c r="M56">
        <v>97</v>
      </c>
      <c r="N56">
        <f>Hoja4!$L56*Hoja4!$M56</f>
        <v>12493.599999999999</v>
      </c>
      <c r="O56" t="str">
        <f t="shared" si="0"/>
        <v>Dom.</v>
      </c>
      <c r="P56" t="str">
        <f t="shared" si="1"/>
        <v>diciembre</v>
      </c>
    </row>
    <row r="57" spans="1:16" x14ac:dyDescent="0.25">
      <c r="A57">
        <v>56</v>
      </c>
      <c r="B57">
        <v>43964</v>
      </c>
      <c r="C57">
        <v>5806733138</v>
      </c>
      <c r="D57" t="s">
        <v>62</v>
      </c>
      <c r="E57" t="s">
        <v>91</v>
      </c>
      <c r="F57" t="s">
        <v>91</v>
      </c>
      <c r="G57" t="s">
        <v>43</v>
      </c>
      <c r="H57" t="s">
        <v>16</v>
      </c>
      <c r="I57" t="s">
        <v>33</v>
      </c>
      <c r="J57" t="s">
        <v>67</v>
      </c>
      <c r="K57" t="s">
        <v>27</v>
      </c>
      <c r="L57">
        <v>140</v>
      </c>
      <c r="M57">
        <v>46</v>
      </c>
      <c r="N57">
        <f>Hoja4!$L57*Hoja4!$M57</f>
        <v>6440</v>
      </c>
      <c r="O57" t="str">
        <f t="shared" si="0"/>
        <v>Mié.</v>
      </c>
      <c r="P57" t="str">
        <f t="shared" si="1"/>
        <v>mayo</v>
      </c>
    </row>
    <row r="58" spans="1:16" x14ac:dyDescent="0.25">
      <c r="A58">
        <v>57</v>
      </c>
      <c r="B58">
        <v>43882</v>
      </c>
      <c r="C58">
        <v>3059258597</v>
      </c>
      <c r="D58" t="s">
        <v>63</v>
      </c>
      <c r="E58" t="s">
        <v>85</v>
      </c>
      <c r="F58" t="s">
        <v>83</v>
      </c>
      <c r="G58" t="s">
        <v>41</v>
      </c>
      <c r="H58" t="s">
        <v>25</v>
      </c>
      <c r="I58" t="s">
        <v>17</v>
      </c>
      <c r="J58" t="s">
        <v>68</v>
      </c>
      <c r="K58" t="s">
        <v>69</v>
      </c>
      <c r="L58">
        <v>298.90000000000003</v>
      </c>
      <c r="M58">
        <v>97</v>
      </c>
      <c r="N58">
        <f>Hoja4!$L58*Hoja4!$M58</f>
        <v>28993.300000000003</v>
      </c>
      <c r="O58" t="str">
        <f t="shared" si="0"/>
        <v>Vie.</v>
      </c>
      <c r="P58" t="str">
        <f t="shared" si="1"/>
        <v>febrero</v>
      </c>
    </row>
    <row r="59" spans="1:16" x14ac:dyDescent="0.25">
      <c r="A59">
        <v>58</v>
      </c>
      <c r="B59">
        <v>44154</v>
      </c>
      <c r="C59">
        <v>586395005</v>
      </c>
      <c r="D59" t="s">
        <v>63</v>
      </c>
      <c r="E59" t="s">
        <v>85</v>
      </c>
      <c r="F59" t="s">
        <v>83</v>
      </c>
      <c r="G59" t="s">
        <v>41</v>
      </c>
      <c r="H59" t="s">
        <v>25</v>
      </c>
      <c r="I59" t="s">
        <v>17</v>
      </c>
      <c r="J59" t="s">
        <v>34</v>
      </c>
      <c r="K59" t="s">
        <v>35</v>
      </c>
      <c r="L59">
        <v>135.1</v>
      </c>
      <c r="M59">
        <v>97</v>
      </c>
      <c r="N59">
        <f>Hoja4!$L59*Hoja4!$M59</f>
        <v>13104.699999999999</v>
      </c>
      <c r="O59" t="str">
        <f t="shared" si="0"/>
        <v>Jue.</v>
      </c>
      <c r="P59" t="str">
        <f t="shared" si="1"/>
        <v>noviembre</v>
      </c>
    </row>
    <row r="60" spans="1:16" x14ac:dyDescent="0.25">
      <c r="A60">
        <v>59</v>
      </c>
      <c r="B60">
        <v>44075</v>
      </c>
      <c r="C60">
        <v>9281389647</v>
      </c>
      <c r="D60" t="s">
        <v>63</v>
      </c>
      <c r="E60" t="s">
        <v>85</v>
      </c>
      <c r="F60" t="s">
        <v>83</v>
      </c>
      <c r="G60" t="s">
        <v>41</v>
      </c>
      <c r="H60" t="s">
        <v>25</v>
      </c>
      <c r="I60" t="s">
        <v>17</v>
      </c>
      <c r="J60" t="s">
        <v>52</v>
      </c>
      <c r="K60" t="s">
        <v>53</v>
      </c>
      <c r="L60">
        <v>257.59999999999997</v>
      </c>
      <c r="M60">
        <v>65</v>
      </c>
      <c r="N60">
        <f>Hoja4!$L60*Hoja4!$M60</f>
        <v>16743.999999999996</v>
      </c>
      <c r="O60" t="str">
        <f t="shared" si="0"/>
        <v>Mar.</v>
      </c>
      <c r="P60" t="str">
        <f t="shared" si="1"/>
        <v>septiembre</v>
      </c>
    </row>
    <row r="61" spans="1:16" x14ac:dyDescent="0.25">
      <c r="A61">
        <v>60</v>
      </c>
      <c r="B61">
        <v>44171</v>
      </c>
      <c r="C61">
        <v>2230409971</v>
      </c>
      <c r="D61" t="s">
        <v>28</v>
      </c>
      <c r="E61" t="s">
        <v>89</v>
      </c>
      <c r="F61" t="s">
        <v>84</v>
      </c>
      <c r="G61" t="s">
        <v>29</v>
      </c>
      <c r="H61" t="s">
        <v>8</v>
      </c>
      <c r="I61" t="s">
        <v>9</v>
      </c>
      <c r="J61" t="s">
        <v>10</v>
      </c>
      <c r="K61" t="s">
        <v>11</v>
      </c>
      <c r="L61">
        <v>196</v>
      </c>
      <c r="M61">
        <v>72</v>
      </c>
      <c r="N61">
        <f>Hoja4!$L61*Hoja4!$M61</f>
        <v>14112</v>
      </c>
      <c r="O61" t="str">
        <f t="shared" si="0"/>
        <v>Dom.</v>
      </c>
      <c r="P61" t="str">
        <f t="shared" si="1"/>
        <v>diciembre</v>
      </c>
    </row>
    <row r="62" spans="1:16" x14ac:dyDescent="0.25">
      <c r="A62">
        <v>61</v>
      </c>
      <c r="B62">
        <v>43982</v>
      </c>
      <c r="C62">
        <v>498762200</v>
      </c>
      <c r="D62" t="s">
        <v>36</v>
      </c>
      <c r="E62" t="s">
        <v>92</v>
      </c>
      <c r="F62" t="s">
        <v>99</v>
      </c>
      <c r="G62" t="s">
        <v>37</v>
      </c>
      <c r="H62" t="s">
        <v>25</v>
      </c>
      <c r="I62" t="s">
        <v>9</v>
      </c>
      <c r="J62" t="s">
        <v>30</v>
      </c>
      <c r="K62" t="s">
        <v>31</v>
      </c>
      <c r="L62">
        <v>178.5</v>
      </c>
      <c r="M62">
        <v>16</v>
      </c>
      <c r="N62">
        <f>Hoja4!$L62*Hoja4!$M62</f>
        <v>2856</v>
      </c>
      <c r="O62" t="str">
        <f t="shared" si="0"/>
        <v>Dom.</v>
      </c>
      <c r="P62" t="str">
        <f t="shared" si="1"/>
        <v>mayo</v>
      </c>
    </row>
    <row r="63" spans="1:16" x14ac:dyDescent="0.25">
      <c r="A63">
        <v>62</v>
      </c>
      <c r="B63">
        <v>43855</v>
      </c>
      <c r="C63">
        <v>5059332572</v>
      </c>
      <c r="D63" t="s">
        <v>14</v>
      </c>
      <c r="E63" t="s">
        <v>81</v>
      </c>
      <c r="F63" t="s">
        <v>94</v>
      </c>
      <c r="G63" t="s">
        <v>15</v>
      </c>
      <c r="H63" t="s">
        <v>16</v>
      </c>
      <c r="I63" t="s">
        <v>17</v>
      </c>
      <c r="J63" t="s">
        <v>70</v>
      </c>
      <c r="K63" t="s">
        <v>47</v>
      </c>
      <c r="L63">
        <v>1134</v>
      </c>
      <c r="M63">
        <v>77</v>
      </c>
      <c r="N63">
        <f>Hoja4!$L63*Hoja4!$M63</f>
        <v>87318</v>
      </c>
      <c r="O63" t="str">
        <f t="shared" si="0"/>
        <v>Sáb.</v>
      </c>
      <c r="P63" t="str">
        <f t="shared" si="1"/>
        <v>enero</v>
      </c>
    </row>
    <row r="64" spans="1:16" x14ac:dyDescent="0.25">
      <c r="A64">
        <v>63</v>
      </c>
      <c r="B64">
        <v>44034</v>
      </c>
      <c r="C64">
        <v>807667000</v>
      </c>
      <c r="D64" t="s">
        <v>14</v>
      </c>
      <c r="E64" t="s">
        <v>81</v>
      </c>
      <c r="F64" t="s">
        <v>94</v>
      </c>
      <c r="G64" t="s">
        <v>15</v>
      </c>
      <c r="H64" t="s">
        <v>16</v>
      </c>
      <c r="I64" t="s">
        <v>17</v>
      </c>
      <c r="J64" t="s">
        <v>71</v>
      </c>
      <c r="K64" t="s">
        <v>72</v>
      </c>
      <c r="L64">
        <v>98</v>
      </c>
      <c r="M64">
        <v>37</v>
      </c>
      <c r="N64">
        <f>Hoja4!$L64*Hoja4!$M64</f>
        <v>3626</v>
      </c>
      <c r="O64" t="str">
        <f t="shared" si="0"/>
        <v>Mié.</v>
      </c>
      <c r="P64" t="str">
        <f t="shared" si="1"/>
        <v>julio</v>
      </c>
    </row>
    <row r="65" spans="1:16" x14ac:dyDescent="0.25">
      <c r="A65">
        <v>64</v>
      </c>
      <c r="B65">
        <v>44117</v>
      </c>
      <c r="C65">
        <v>4320869422</v>
      </c>
      <c r="D65" t="s">
        <v>23</v>
      </c>
      <c r="E65" t="s">
        <v>86</v>
      </c>
      <c r="F65" t="s">
        <v>82</v>
      </c>
      <c r="G65" t="s">
        <v>24</v>
      </c>
      <c r="H65" t="s">
        <v>25</v>
      </c>
      <c r="I65" t="s">
        <v>17</v>
      </c>
      <c r="J65" t="s">
        <v>58</v>
      </c>
      <c r="K65" t="s">
        <v>59</v>
      </c>
      <c r="L65">
        <v>487.19999999999993</v>
      </c>
      <c r="M65">
        <v>63</v>
      </c>
      <c r="N65">
        <f>Hoja4!$L65*Hoja4!$M65</f>
        <v>30693.599999999995</v>
      </c>
      <c r="O65" t="str">
        <f t="shared" si="0"/>
        <v>Mar.</v>
      </c>
      <c r="P65" t="str">
        <f t="shared" si="1"/>
        <v>octubre</v>
      </c>
    </row>
    <row r="66" spans="1:16" x14ac:dyDescent="0.25">
      <c r="A66">
        <v>65</v>
      </c>
      <c r="B66">
        <v>44174</v>
      </c>
      <c r="C66">
        <v>7227542762</v>
      </c>
      <c r="D66" t="s">
        <v>32</v>
      </c>
      <c r="E66" t="s">
        <v>93</v>
      </c>
      <c r="F66" t="s">
        <v>96</v>
      </c>
      <c r="G66" t="s">
        <v>7</v>
      </c>
      <c r="H66" t="s">
        <v>8</v>
      </c>
      <c r="I66" t="s">
        <v>33</v>
      </c>
      <c r="J66" t="s">
        <v>60</v>
      </c>
      <c r="K66" t="s">
        <v>49</v>
      </c>
      <c r="L66">
        <v>140</v>
      </c>
      <c r="M66">
        <v>48</v>
      </c>
      <c r="N66">
        <f>Hoja4!$L66*Hoja4!$M66</f>
        <v>6720</v>
      </c>
      <c r="O66" t="str">
        <f t="shared" ref="O66:O129" si="3">PROPER(TEXT(B66,"ddd."))</f>
        <v>Mié.</v>
      </c>
      <c r="P66" t="str">
        <f t="shared" ref="P66:P129" si="4">TEXT(B66,"mmmm")</f>
        <v>diciembre</v>
      </c>
    </row>
    <row r="67" spans="1:16" x14ac:dyDescent="0.25">
      <c r="A67">
        <v>66</v>
      </c>
      <c r="B67">
        <v>43890</v>
      </c>
      <c r="C67">
        <v>4844854212</v>
      </c>
      <c r="D67" t="s">
        <v>32</v>
      </c>
      <c r="E67" t="s">
        <v>93</v>
      </c>
      <c r="F67" t="s">
        <v>96</v>
      </c>
      <c r="G67" t="s">
        <v>7</v>
      </c>
      <c r="H67" t="s">
        <v>8</v>
      </c>
      <c r="I67" t="s">
        <v>33</v>
      </c>
      <c r="J67" t="s">
        <v>38</v>
      </c>
      <c r="K67" t="s">
        <v>39</v>
      </c>
      <c r="L67">
        <v>560</v>
      </c>
      <c r="M67">
        <v>71</v>
      </c>
      <c r="N67">
        <f>Hoja4!$L67*Hoja4!$M67</f>
        <v>39760</v>
      </c>
      <c r="O67" t="str">
        <f t="shared" si="3"/>
        <v>Sáb.</v>
      </c>
      <c r="P67" t="str">
        <f t="shared" si="4"/>
        <v>febrero</v>
      </c>
    </row>
    <row r="68" spans="1:16" x14ac:dyDescent="0.25">
      <c r="A68">
        <v>67</v>
      </c>
      <c r="B68">
        <v>43945</v>
      </c>
      <c r="C68">
        <v>6476704094</v>
      </c>
      <c r="D68" t="s">
        <v>42</v>
      </c>
      <c r="E68" t="s">
        <v>91</v>
      </c>
      <c r="F68" t="s">
        <v>91</v>
      </c>
      <c r="G68" t="s">
        <v>43</v>
      </c>
      <c r="H68" t="s">
        <v>8</v>
      </c>
      <c r="I68" t="s">
        <v>17</v>
      </c>
      <c r="J68" t="s">
        <v>61</v>
      </c>
      <c r="K68" t="s">
        <v>13</v>
      </c>
      <c r="L68">
        <v>140</v>
      </c>
      <c r="M68">
        <v>55</v>
      </c>
      <c r="N68">
        <f>Hoja4!$L68*Hoja4!$M68</f>
        <v>7700</v>
      </c>
      <c r="O68" t="str">
        <f t="shared" si="3"/>
        <v>Vie.</v>
      </c>
      <c r="P68" t="str">
        <f t="shared" si="4"/>
        <v>abril</v>
      </c>
    </row>
    <row r="69" spans="1:16" x14ac:dyDescent="0.25">
      <c r="A69">
        <v>68</v>
      </c>
      <c r="B69">
        <v>44052</v>
      </c>
      <c r="C69">
        <v>289513623</v>
      </c>
      <c r="D69" t="s">
        <v>42</v>
      </c>
      <c r="E69" t="s">
        <v>91</v>
      </c>
      <c r="F69" t="s">
        <v>91</v>
      </c>
      <c r="G69" t="s">
        <v>43</v>
      </c>
      <c r="H69" t="s">
        <v>16</v>
      </c>
      <c r="J69" t="s">
        <v>12</v>
      </c>
      <c r="K69" t="s">
        <v>13</v>
      </c>
      <c r="L69">
        <v>49</v>
      </c>
      <c r="M69">
        <v>21</v>
      </c>
      <c r="N69">
        <f>Hoja4!$L69*Hoja4!$M69</f>
        <v>1029</v>
      </c>
      <c r="O69" t="str">
        <f t="shared" si="3"/>
        <v>Dom.</v>
      </c>
      <c r="P69" t="str">
        <f t="shared" si="4"/>
        <v>agosto</v>
      </c>
    </row>
    <row r="70" spans="1:16" x14ac:dyDescent="0.25">
      <c r="A70">
        <v>69</v>
      </c>
      <c r="B70">
        <v>44115</v>
      </c>
      <c r="C70">
        <v>4360909288</v>
      </c>
      <c r="D70" t="s">
        <v>50</v>
      </c>
      <c r="E70" t="s">
        <v>85</v>
      </c>
      <c r="F70" t="s">
        <v>83</v>
      </c>
      <c r="G70" t="s">
        <v>41</v>
      </c>
      <c r="H70" t="s">
        <v>25</v>
      </c>
      <c r="J70" t="s">
        <v>38</v>
      </c>
      <c r="K70" t="s">
        <v>39</v>
      </c>
      <c r="L70">
        <v>560</v>
      </c>
      <c r="M70">
        <v>67</v>
      </c>
      <c r="N70">
        <f>Hoja4!$L70*Hoja4!$M70</f>
        <v>37520</v>
      </c>
      <c r="O70" t="str">
        <f t="shared" si="3"/>
        <v>Dom.</v>
      </c>
      <c r="P70" t="str">
        <f t="shared" si="4"/>
        <v>octubre</v>
      </c>
    </row>
    <row r="71" spans="1:16" x14ac:dyDescent="0.25">
      <c r="A71">
        <v>70</v>
      </c>
      <c r="B71">
        <v>43966</v>
      </c>
      <c r="C71">
        <v>1569352924</v>
      </c>
      <c r="D71" t="s">
        <v>51</v>
      </c>
      <c r="E71" t="s">
        <v>90</v>
      </c>
      <c r="F71" t="s">
        <v>98</v>
      </c>
      <c r="G71" t="s">
        <v>24</v>
      </c>
      <c r="H71" t="s">
        <v>25</v>
      </c>
      <c r="J71" t="s">
        <v>52</v>
      </c>
      <c r="K71" t="s">
        <v>53</v>
      </c>
      <c r="L71">
        <v>257.59999999999997</v>
      </c>
      <c r="M71">
        <v>75</v>
      </c>
      <c r="N71">
        <f>Hoja4!$L71*Hoja4!$M71</f>
        <v>19319.999999999996</v>
      </c>
      <c r="O71" t="str">
        <f t="shared" si="3"/>
        <v>Vie.</v>
      </c>
      <c r="P71" t="str">
        <f t="shared" si="4"/>
        <v>mayo</v>
      </c>
    </row>
    <row r="72" spans="1:16" x14ac:dyDescent="0.25">
      <c r="A72">
        <v>71</v>
      </c>
      <c r="B72">
        <v>43962</v>
      </c>
      <c r="C72">
        <v>4417023777</v>
      </c>
      <c r="D72" t="s">
        <v>40</v>
      </c>
      <c r="E72" t="s">
        <v>97</v>
      </c>
      <c r="F72" t="s">
        <v>88</v>
      </c>
      <c r="G72" t="s">
        <v>41</v>
      </c>
      <c r="H72" t="s">
        <v>25</v>
      </c>
      <c r="I72" t="s">
        <v>17</v>
      </c>
      <c r="J72" t="s">
        <v>22</v>
      </c>
      <c r="K72" t="s">
        <v>11</v>
      </c>
      <c r="L72">
        <v>644</v>
      </c>
      <c r="M72">
        <v>17</v>
      </c>
      <c r="N72">
        <f>Hoja4!$L72*Hoja4!$M72</f>
        <v>10948</v>
      </c>
      <c r="O72" t="str">
        <f t="shared" si="3"/>
        <v>Lun.</v>
      </c>
      <c r="P72" t="str">
        <f t="shared" si="4"/>
        <v>mayo</v>
      </c>
    </row>
    <row r="73" spans="1:16" x14ac:dyDescent="0.25">
      <c r="A73">
        <v>72</v>
      </c>
      <c r="B73">
        <v>43845</v>
      </c>
      <c r="C73">
        <v>5213348963</v>
      </c>
      <c r="D73" t="s">
        <v>14</v>
      </c>
      <c r="E73" t="s">
        <v>81</v>
      </c>
      <c r="F73" t="s">
        <v>94</v>
      </c>
      <c r="G73" t="s">
        <v>15</v>
      </c>
      <c r="H73" t="s">
        <v>16</v>
      </c>
      <c r="I73" t="s">
        <v>17</v>
      </c>
      <c r="J73" t="s">
        <v>12</v>
      </c>
      <c r="K73" t="s">
        <v>13</v>
      </c>
      <c r="L73">
        <v>49</v>
      </c>
      <c r="M73">
        <v>48</v>
      </c>
      <c r="N73">
        <f>Hoja4!$L73*Hoja4!$M73</f>
        <v>2352</v>
      </c>
      <c r="O73" t="str">
        <f t="shared" si="3"/>
        <v>Mié.</v>
      </c>
      <c r="P73" t="str">
        <f t="shared" si="4"/>
        <v>enero</v>
      </c>
    </row>
    <row r="74" spans="1:16" x14ac:dyDescent="0.25">
      <c r="A74">
        <v>73</v>
      </c>
      <c r="B74">
        <v>44010</v>
      </c>
      <c r="C74">
        <v>6039525395</v>
      </c>
      <c r="D74" t="s">
        <v>20</v>
      </c>
      <c r="E74" t="s">
        <v>80</v>
      </c>
      <c r="F74" t="s">
        <v>95</v>
      </c>
      <c r="G74" t="s">
        <v>7</v>
      </c>
      <c r="H74" t="s">
        <v>8</v>
      </c>
      <c r="I74" t="s">
        <v>17</v>
      </c>
      <c r="J74" t="s">
        <v>21</v>
      </c>
      <c r="K74" t="s">
        <v>11</v>
      </c>
      <c r="L74">
        <v>252</v>
      </c>
      <c r="M74">
        <v>74</v>
      </c>
      <c r="N74">
        <f>Hoja4!$L74*Hoja4!$M74</f>
        <v>18648</v>
      </c>
      <c r="O74" t="str">
        <f t="shared" si="3"/>
        <v>Dom.</v>
      </c>
      <c r="P74" t="str">
        <f t="shared" si="4"/>
        <v>junio</v>
      </c>
    </row>
    <row r="75" spans="1:16" x14ac:dyDescent="0.25">
      <c r="A75">
        <v>74</v>
      </c>
      <c r="B75">
        <v>44123</v>
      </c>
      <c r="C75">
        <v>7564866770</v>
      </c>
      <c r="D75" t="s">
        <v>20</v>
      </c>
      <c r="E75" t="s">
        <v>80</v>
      </c>
      <c r="F75" t="s">
        <v>95</v>
      </c>
      <c r="G75" t="s">
        <v>7</v>
      </c>
      <c r="H75" t="s">
        <v>8</v>
      </c>
      <c r="I75" t="s">
        <v>17</v>
      </c>
      <c r="J75" t="s">
        <v>22</v>
      </c>
      <c r="K75" t="s">
        <v>11</v>
      </c>
      <c r="L75">
        <v>644</v>
      </c>
      <c r="M75">
        <v>96</v>
      </c>
      <c r="N75">
        <f>Hoja4!$L75*Hoja4!$M75</f>
        <v>61824</v>
      </c>
      <c r="O75" t="str">
        <f t="shared" si="3"/>
        <v>Lun.</v>
      </c>
      <c r="P75" t="str">
        <f t="shared" si="4"/>
        <v>octubre</v>
      </c>
    </row>
    <row r="76" spans="1:16" x14ac:dyDescent="0.25">
      <c r="A76">
        <v>75</v>
      </c>
      <c r="B76">
        <v>43976</v>
      </c>
      <c r="C76">
        <v>9161740728</v>
      </c>
      <c r="D76" t="s">
        <v>23</v>
      </c>
      <c r="E76" t="s">
        <v>86</v>
      </c>
      <c r="F76" t="s">
        <v>82</v>
      </c>
      <c r="G76" t="s">
        <v>24</v>
      </c>
      <c r="H76" t="s">
        <v>25</v>
      </c>
      <c r="I76" t="s">
        <v>17</v>
      </c>
      <c r="J76" t="s">
        <v>26</v>
      </c>
      <c r="K76" t="s">
        <v>27</v>
      </c>
      <c r="L76">
        <v>128.79999999999998</v>
      </c>
      <c r="M76">
        <v>12</v>
      </c>
      <c r="N76">
        <f>Hoja4!$L76*Hoja4!$M76</f>
        <v>1545.6</v>
      </c>
      <c r="O76" t="str">
        <f t="shared" si="3"/>
        <v>Lun.</v>
      </c>
      <c r="P76" t="str">
        <f t="shared" si="4"/>
        <v>mayo</v>
      </c>
    </row>
    <row r="77" spans="1:16" x14ac:dyDescent="0.25">
      <c r="A77">
        <v>76</v>
      </c>
      <c r="B77">
        <v>43939</v>
      </c>
      <c r="C77">
        <v>5854661633</v>
      </c>
      <c r="D77" t="s">
        <v>14</v>
      </c>
      <c r="E77" t="s">
        <v>81</v>
      </c>
      <c r="F77" t="s">
        <v>94</v>
      </c>
      <c r="G77" t="s">
        <v>15</v>
      </c>
      <c r="H77" t="s">
        <v>25</v>
      </c>
      <c r="I77" t="s">
        <v>9</v>
      </c>
      <c r="J77" t="s">
        <v>26</v>
      </c>
      <c r="K77" t="s">
        <v>27</v>
      </c>
      <c r="L77">
        <v>128.79999999999998</v>
      </c>
      <c r="M77">
        <v>62</v>
      </c>
      <c r="N77">
        <f>Hoja4!$L77*Hoja4!$M77</f>
        <v>7985.5999999999985</v>
      </c>
      <c r="O77" t="str">
        <f t="shared" si="3"/>
        <v>Sáb.</v>
      </c>
      <c r="P77" t="str">
        <f t="shared" si="4"/>
        <v>abril</v>
      </c>
    </row>
    <row r="78" spans="1:16" x14ac:dyDescent="0.25">
      <c r="A78">
        <v>77</v>
      </c>
      <c r="B78">
        <v>43995</v>
      </c>
      <c r="C78">
        <v>9782824487</v>
      </c>
      <c r="D78" t="s">
        <v>28</v>
      </c>
      <c r="E78" t="s">
        <v>89</v>
      </c>
      <c r="F78" t="s">
        <v>84</v>
      </c>
      <c r="G78" t="s">
        <v>29</v>
      </c>
      <c r="H78" t="s">
        <v>8</v>
      </c>
      <c r="I78" t="s">
        <v>9</v>
      </c>
      <c r="J78" t="s">
        <v>30</v>
      </c>
      <c r="K78" t="s">
        <v>31</v>
      </c>
      <c r="L78">
        <v>178.5</v>
      </c>
      <c r="M78">
        <v>35</v>
      </c>
      <c r="N78">
        <f>Hoja4!$L78*Hoja4!$M78</f>
        <v>6247.5</v>
      </c>
      <c r="O78" t="str">
        <f t="shared" si="3"/>
        <v>Sáb.</v>
      </c>
      <c r="P78" t="str">
        <f t="shared" si="4"/>
        <v>junio</v>
      </c>
    </row>
    <row r="79" spans="1:16" x14ac:dyDescent="0.25">
      <c r="A79">
        <v>78</v>
      </c>
      <c r="B79">
        <v>43888</v>
      </c>
      <c r="C79">
        <v>5368581132</v>
      </c>
      <c r="D79" t="s">
        <v>32</v>
      </c>
      <c r="E79" t="s">
        <v>93</v>
      </c>
      <c r="F79" t="s">
        <v>96</v>
      </c>
      <c r="G79" t="s">
        <v>7</v>
      </c>
      <c r="H79" t="s">
        <v>8</v>
      </c>
      <c r="I79" t="s">
        <v>33</v>
      </c>
      <c r="J79" t="s">
        <v>34</v>
      </c>
      <c r="K79" t="s">
        <v>35</v>
      </c>
      <c r="L79">
        <v>135.1</v>
      </c>
      <c r="M79">
        <v>95</v>
      </c>
      <c r="N79">
        <f>Hoja4!$L79*Hoja4!$M79</f>
        <v>12834.5</v>
      </c>
      <c r="O79" t="str">
        <f t="shared" si="3"/>
        <v>Jue.</v>
      </c>
      <c r="P79" t="str">
        <f t="shared" si="4"/>
        <v>febrero</v>
      </c>
    </row>
    <row r="80" spans="1:16" x14ac:dyDescent="0.25">
      <c r="A80">
        <v>79</v>
      </c>
      <c r="B80">
        <v>43991</v>
      </c>
      <c r="C80">
        <v>1972466220</v>
      </c>
      <c r="D80" t="s">
        <v>36</v>
      </c>
      <c r="E80" t="s">
        <v>92</v>
      </c>
      <c r="F80" t="s">
        <v>99</v>
      </c>
      <c r="G80" t="s">
        <v>37</v>
      </c>
      <c r="H80" t="s">
        <v>8</v>
      </c>
      <c r="I80" t="s">
        <v>17</v>
      </c>
      <c r="J80" t="s">
        <v>38</v>
      </c>
      <c r="K80" t="s">
        <v>39</v>
      </c>
      <c r="L80">
        <v>560</v>
      </c>
      <c r="M80">
        <v>17</v>
      </c>
      <c r="N80">
        <f>Hoja4!$L80*Hoja4!$M80</f>
        <v>9520</v>
      </c>
      <c r="O80" t="str">
        <f t="shared" si="3"/>
        <v>Mar.</v>
      </c>
      <c r="P80" t="str">
        <f t="shared" si="4"/>
        <v>junio</v>
      </c>
    </row>
    <row r="81" spans="1:16" x14ac:dyDescent="0.25">
      <c r="A81">
        <v>80</v>
      </c>
      <c r="B81">
        <v>44149</v>
      </c>
      <c r="C81">
        <v>6835780904</v>
      </c>
      <c r="D81" t="s">
        <v>40</v>
      </c>
      <c r="E81" t="s">
        <v>97</v>
      </c>
      <c r="F81" t="s">
        <v>88</v>
      </c>
      <c r="G81" t="s">
        <v>41</v>
      </c>
      <c r="H81" t="s">
        <v>25</v>
      </c>
      <c r="I81" t="s">
        <v>9</v>
      </c>
      <c r="J81" t="s">
        <v>22</v>
      </c>
      <c r="K81" t="s">
        <v>11</v>
      </c>
      <c r="L81">
        <v>644</v>
      </c>
      <c r="M81">
        <v>96</v>
      </c>
      <c r="N81">
        <f>Hoja4!$L81*Hoja4!$M81</f>
        <v>61824</v>
      </c>
      <c r="O81" t="str">
        <f t="shared" si="3"/>
        <v>Sáb.</v>
      </c>
      <c r="P81" t="str">
        <f t="shared" si="4"/>
        <v>noviembre</v>
      </c>
    </row>
    <row r="82" spans="1:16" x14ac:dyDescent="0.25">
      <c r="A82">
        <v>81</v>
      </c>
      <c r="B82">
        <v>44029</v>
      </c>
      <c r="C82">
        <v>9361876990</v>
      </c>
      <c r="D82" t="s">
        <v>23</v>
      </c>
      <c r="E82" t="s">
        <v>86</v>
      </c>
      <c r="F82" t="s">
        <v>82</v>
      </c>
      <c r="G82" t="s">
        <v>24</v>
      </c>
      <c r="H82" t="s">
        <v>25</v>
      </c>
      <c r="I82" t="s">
        <v>9</v>
      </c>
      <c r="J82" t="s">
        <v>30</v>
      </c>
      <c r="K82" t="s">
        <v>31</v>
      </c>
      <c r="L82">
        <v>178.5</v>
      </c>
      <c r="M82">
        <v>83</v>
      </c>
      <c r="N82">
        <f>Hoja4!$L82*Hoja4!$M82</f>
        <v>14815.5</v>
      </c>
      <c r="O82" t="str">
        <f t="shared" si="3"/>
        <v>Vie.</v>
      </c>
      <c r="P82" t="str">
        <f t="shared" si="4"/>
        <v>julio</v>
      </c>
    </row>
    <row r="83" spans="1:16" x14ac:dyDescent="0.25">
      <c r="A83">
        <v>82</v>
      </c>
      <c r="B83">
        <v>43831</v>
      </c>
      <c r="C83">
        <v>7655628230</v>
      </c>
      <c r="D83" t="s">
        <v>42</v>
      </c>
      <c r="E83" t="s">
        <v>91</v>
      </c>
      <c r="F83" t="s">
        <v>91</v>
      </c>
      <c r="G83" t="s">
        <v>43</v>
      </c>
      <c r="H83" t="s">
        <v>8</v>
      </c>
      <c r="I83" t="s">
        <v>17</v>
      </c>
      <c r="J83" t="s">
        <v>44</v>
      </c>
      <c r="K83" t="s">
        <v>11</v>
      </c>
      <c r="L83">
        <v>41.86</v>
      </c>
      <c r="M83">
        <v>88</v>
      </c>
      <c r="N83">
        <f>Hoja4!$L83*Hoja4!$M83</f>
        <v>3683.68</v>
      </c>
      <c r="O83" t="str">
        <f t="shared" si="3"/>
        <v>Mié.</v>
      </c>
      <c r="P83" t="str">
        <f t="shared" si="4"/>
        <v>enero</v>
      </c>
    </row>
    <row r="84" spans="1:16" x14ac:dyDescent="0.25">
      <c r="A84">
        <v>83</v>
      </c>
      <c r="B84">
        <v>43952</v>
      </c>
      <c r="C84">
        <v>6770397729</v>
      </c>
      <c r="D84" t="s">
        <v>45</v>
      </c>
      <c r="E84" t="s">
        <v>87</v>
      </c>
      <c r="F84" t="s">
        <v>87</v>
      </c>
      <c r="G84" t="s">
        <v>24</v>
      </c>
      <c r="J84" t="s">
        <v>22</v>
      </c>
      <c r="K84" t="s">
        <v>11</v>
      </c>
      <c r="L84">
        <v>644</v>
      </c>
      <c r="M84">
        <v>59</v>
      </c>
      <c r="N84">
        <f>Hoja4!$L84*Hoja4!$M84</f>
        <v>37996</v>
      </c>
      <c r="O84" t="str">
        <f t="shared" si="3"/>
        <v>Vie.</v>
      </c>
      <c r="P84" t="str">
        <f t="shared" si="4"/>
        <v>mayo</v>
      </c>
    </row>
    <row r="85" spans="1:16" x14ac:dyDescent="0.25">
      <c r="A85">
        <v>84</v>
      </c>
      <c r="B85">
        <v>44099</v>
      </c>
      <c r="C85">
        <v>6622149015</v>
      </c>
      <c r="D85" t="s">
        <v>42</v>
      </c>
      <c r="E85" t="s">
        <v>91</v>
      </c>
      <c r="F85" t="s">
        <v>91</v>
      </c>
      <c r="G85" t="s">
        <v>43</v>
      </c>
      <c r="H85" t="s">
        <v>16</v>
      </c>
      <c r="J85" t="s">
        <v>46</v>
      </c>
      <c r="K85" t="s">
        <v>47</v>
      </c>
      <c r="L85">
        <v>350</v>
      </c>
      <c r="M85">
        <v>27</v>
      </c>
      <c r="N85">
        <f>Hoja4!$L85*Hoja4!$M85</f>
        <v>9450</v>
      </c>
      <c r="O85" t="str">
        <f t="shared" si="3"/>
        <v>Vie.</v>
      </c>
      <c r="P85" t="str">
        <f t="shared" si="4"/>
        <v>septiembre</v>
      </c>
    </row>
    <row r="86" spans="1:16" x14ac:dyDescent="0.25">
      <c r="A86">
        <v>85</v>
      </c>
      <c r="B86">
        <v>44071</v>
      </c>
      <c r="C86">
        <v>8859429908</v>
      </c>
      <c r="D86" t="s">
        <v>42</v>
      </c>
      <c r="E86" t="s">
        <v>91</v>
      </c>
      <c r="F86" t="s">
        <v>91</v>
      </c>
      <c r="G86" t="s">
        <v>43</v>
      </c>
      <c r="H86" t="s">
        <v>16</v>
      </c>
      <c r="J86" t="s">
        <v>48</v>
      </c>
      <c r="K86" t="s">
        <v>49</v>
      </c>
      <c r="L86">
        <v>308</v>
      </c>
      <c r="M86">
        <v>37</v>
      </c>
      <c r="N86">
        <f>Hoja4!$L86*Hoja4!$M86</f>
        <v>11396</v>
      </c>
      <c r="O86" t="str">
        <f t="shared" si="3"/>
        <v>Vie.</v>
      </c>
      <c r="P86" t="str">
        <f t="shared" si="4"/>
        <v>agosto</v>
      </c>
    </row>
    <row r="87" spans="1:16" x14ac:dyDescent="0.25">
      <c r="A87">
        <v>86</v>
      </c>
      <c r="B87">
        <v>44104</v>
      </c>
      <c r="C87">
        <v>146252536</v>
      </c>
      <c r="D87" t="s">
        <v>42</v>
      </c>
      <c r="E87" t="s">
        <v>91</v>
      </c>
      <c r="F87" t="s">
        <v>91</v>
      </c>
      <c r="G87" t="s">
        <v>43</v>
      </c>
      <c r="H87" t="s">
        <v>16</v>
      </c>
      <c r="J87" t="s">
        <v>26</v>
      </c>
      <c r="K87" t="s">
        <v>27</v>
      </c>
      <c r="L87">
        <v>128.79999999999998</v>
      </c>
      <c r="M87">
        <v>75</v>
      </c>
      <c r="N87">
        <f>Hoja4!$L87*Hoja4!$M87</f>
        <v>9659.9999999999982</v>
      </c>
      <c r="O87" t="str">
        <f t="shared" si="3"/>
        <v>Mié.</v>
      </c>
      <c r="P87" t="str">
        <f t="shared" si="4"/>
        <v>septiembre</v>
      </c>
    </row>
    <row r="88" spans="1:16" x14ac:dyDescent="0.25">
      <c r="A88">
        <v>87</v>
      </c>
      <c r="B88">
        <v>43866</v>
      </c>
      <c r="C88">
        <v>9010865731</v>
      </c>
      <c r="D88" t="s">
        <v>50</v>
      </c>
      <c r="E88" t="s">
        <v>85</v>
      </c>
      <c r="F88" t="s">
        <v>83</v>
      </c>
      <c r="G88" t="s">
        <v>41</v>
      </c>
      <c r="H88" t="s">
        <v>25</v>
      </c>
      <c r="J88" t="s">
        <v>12</v>
      </c>
      <c r="K88" t="s">
        <v>13</v>
      </c>
      <c r="L88">
        <v>49</v>
      </c>
      <c r="M88">
        <v>71</v>
      </c>
      <c r="N88">
        <f>Hoja4!$L88*Hoja4!$M88</f>
        <v>3479</v>
      </c>
      <c r="O88" t="str">
        <f t="shared" si="3"/>
        <v>Mié.</v>
      </c>
      <c r="P88" t="str">
        <f t="shared" si="4"/>
        <v>febrero</v>
      </c>
    </row>
    <row r="89" spans="1:16" x14ac:dyDescent="0.25">
      <c r="A89">
        <v>88</v>
      </c>
      <c r="B89">
        <v>44017</v>
      </c>
      <c r="C89">
        <v>9076170123</v>
      </c>
      <c r="D89" t="s">
        <v>50</v>
      </c>
      <c r="E89" t="s">
        <v>85</v>
      </c>
      <c r="F89" t="s">
        <v>83</v>
      </c>
      <c r="G89" t="s">
        <v>41</v>
      </c>
      <c r="H89" t="s">
        <v>25</v>
      </c>
      <c r="J89" t="s">
        <v>44</v>
      </c>
      <c r="K89" t="s">
        <v>11</v>
      </c>
      <c r="L89">
        <v>41.86</v>
      </c>
      <c r="M89">
        <v>88</v>
      </c>
      <c r="N89">
        <f>Hoja4!$L89*Hoja4!$M89</f>
        <v>3683.68</v>
      </c>
      <c r="O89" t="str">
        <f t="shared" si="3"/>
        <v>Dom.</v>
      </c>
      <c r="P89" t="str">
        <f t="shared" si="4"/>
        <v>julio</v>
      </c>
    </row>
    <row r="90" spans="1:16" x14ac:dyDescent="0.25">
      <c r="A90">
        <v>89</v>
      </c>
      <c r="B90">
        <v>43924</v>
      </c>
      <c r="C90">
        <v>4412491838</v>
      </c>
      <c r="D90" t="s">
        <v>51</v>
      </c>
      <c r="E90" t="s">
        <v>90</v>
      </c>
      <c r="F90" t="s">
        <v>98</v>
      </c>
      <c r="G90" t="s">
        <v>24</v>
      </c>
      <c r="J90" t="s">
        <v>21</v>
      </c>
      <c r="K90" t="s">
        <v>11</v>
      </c>
      <c r="L90">
        <v>252</v>
      </c>
      <c r="M90">
        <v>55</v>
      </c>
      <c r="N90">
        <f>Hoja4!$L90*Hoja4!$M90</f>
        <v>13860</v>
      </c>
      <c r="O90" t="str">
        <f t="shared" si="3"/>
        <v>Vie.</v>
      </c>
      <c r="P90" t="str">
        <f t="shared" si="4"/>
        <v>abril</v>
      </c>
    </row>
    <row r="91" spans="1:16" x14ac:dyDescent="0.25">
      <c r="A91">
        <v>90</v>
      </c>
      <c r="B91">
        <v>43964</v>
      </c>
      <c r="C91">
        <v>7223227521</v>
      </c>
      <c r="D91" t="s">
        <v>28</v>
      </c>
      <c r="E91" t="s">
        <v>89</v>
      </c>
      <c r="F91" t="s">
        <v>84</v>
      </c>
      <c r="G91" t="s">
        <v>29</v>
      </c>
      <c r="H91" t="s">
        <v>8</v>
      </c>
      <c r="I91" t="s">
        <v>9</v>
      </c>
      <c r="J91" t="s">
        <v>30</v>
      </c>
      <c r="K91" t="s">
        <v>31</v>
      </c>
      <c r="L91">
        <v>178.5</v>
      </c>
      <c r="M91">
        <v>14</v>
      </c>
      <c r="N91">
        <f>Hoja4!$L91*Hoja4!$M91</f>
        <v>2499</v>
      </c>
      <c r="O91" t="str">
        <f t="shared" si="3"/>
        <v>Mié.</v>
      </c>
      <c r="P91" t="str">
        <f t="shared" si="4"/>
        <v>mayo</v>
      </c>
    </row>
    <row r="92" spans="1:16" x14ac:dyDescent="0.25">
      <c r="A92">
        <v>91</v>
      </c>
      <c r="B92">
        <v>43994</v>
      </c>
      <c r="C92">
        <v>9595973394</v>
      </c>
      <c r="D92" t="s">
        <v>32</v>
      </c>
      <c r="E92" t="s">
        <v>93</v>
      </c>
      <c r="F92" t="s">
        <v>96</v>
      </c>
      <c r="G92" t="s">
        <v>7</v>
      </c>
      <c r="H92" t="s">
        <v>8</v>
      </c>
      <c r="I92" t="s">
        <v>33</v>
      </c>
      <c r="J92" t="s">
        <v>34</v>
      </c>
      <c r="K92" t="s">
        <v>35</v>
      </c>
      <c r="L92">
        <v>135.1</v>
      </c>
      <c r="M92">
        <v>43</v>
      </c>
      <c r="N92">
        <f>Hoja4!$L92*Hoja4!$M92</f>
        <v>5809.3</v>
      </c>
      <c r="O92" t="str">
        <f t="shared" si="3"/>
        <v>Vie.</v>
      </c>
      <c r="P92" t="str">
        <f t="shared" si="4"/>
        <v>junio</v>
      </c>
    </row>
    <row r="93" spans="1:16" x14ac:dyDescent="0.25">
      <c r="A93">
        <v>92</v>
      </c>
      <c r="B93">
        <v>43891</v>
      </c>
      <c r="C93">
        <v>2755531090</v>
      </c>
      <c r="D93" t="s">
        <v>36</v>
      </c>
      <c r="E93" t="s">
        <v>92</v>
      </c>
      <c r="F93" t="s">
        <v>99</v>
      </c>
      <c r="G93" t="s">
        <v>37</v>
      </c>
      <c r="H93" t="s">
        <v>8</v>
      </c>
      <c r="I93" t="s">
        <v>17</v>
      </c>
      <c r="J93" t="s">
        <v>38</v>
      </c>
      <c r="K93" t="s">
        <v>39</v>
      </c>
      <c r="L93">
        <v>560</v>
      </c>
      <c r="M93">
        <v>63</v>
      </c>
      <c r="N93">
        <f>Hoja4!$L93*Hoja4!$M93</f>
        <v>35280</v>
      </c>
      <c r="O93" t="str">
        <f t="shared" si="3"/>
        <v>Dom.</v>
      </c>
      <c r="P93" t="str">
        <f t="shared" si="4"/>
        <v>marzo</v>
      </c>
    </row>
    <row r="94" spans="1:16" x14ac:dyDescent="0.25">
      <c r="A94">
        <v>93</v>
      </c>
      <c r="B94">
        <v>44069</v>
      </c>
      <c r="C94">
        <v>5306800000</v>
      </c>
      <c r="D94" t="s">
        <v>40</v>
      </c>
      <c r="E94" t="s">
        <v>97</v>
      </c>
      <c r="F94" t="s">
        <v>88</v>
      </c>
      <c r="G94" t="s">
        <v>41</v>
      </c>
      <c r="H94" t="s">
        <v>25</v>
      </c>
      <c r="I94" t="s">
        <v>9</v>
      </c>
      <c r="J94" t="s">
        <v>22</v>
      </c>
      <c r="K94" t="s">
        <v>11</v>
      </c>
      <c r="L94">
        <v>644</v>
      </c>
      <c r="M94">
        <v>36</v>
      </c>
      <c r="N94">
        <f>Hoja4!$L94*Hoja4!$M94</f>
        <v>23184</v>
      </c>
      <c r="O94" t="str">
        <f t="shared" si="3"/>
        <v>Mié.</v>
      </c>
      <c r="P94" t="str">
        <f t="shared" si="4"/>
        <v>agosto</v>
      </c>
    </row>
    <row r="95" spans="1:16" x14ac:dyDescent="0.25">
      <c r="A95">
        <v>94</v>
      </c>
      <c r="B95">
        <v>44171</v>
      </c>
      <c r="C95">
        <v>6768826719</v>
      </c>
      <c r="D95" t="s">
        <v>23</v>
      </c>
      <c r="E95" t="s">
        <v>86</v>
      </c>
      <c r="F95" t="s">
        <v>82</v>
      </c>
      <c r="G95" t="s">
        <v>24</v>
      </c>
      <c r="H95" t="s">
        <v>25</v>
      </c>
      <c r="I95" t="s">
        <v>9</v>
      </c>
      <c r="J95" t="s">
        <v>30</v>
      </c>
      <c r="K95" t="s">
        <v>31</v>
      </c>
      <c r="L95">
        <v>178.5</v>
      </c>
      <c r="M95">
        <v>41</v>
      </c>
      <c r="N95">
        <f>Hoja4!$L95*Hoja4!$M95</f>
        <v>7318.5</v>
      </c>
      <c r="O95" t="str">
        <f t="shared" si="3"/>
        <v>Dom.</v>
      </c>
      <c r="P95" t="str">
        <f t="shared" si="4"/>
        <v>diciembre</v>
      </c>
    </row>
    <row r="96" spans="1:16" x14ac:dyDescent="0.25">
      <c r="A96">
        <v>95</v>
      </c>
      <c r="B96">
        <v>43923</v>
      </c>
      <c r="C96">
        <v>7945500000</v>
      </c>
      <c r="D96" t="s">
        <v>42</v>
      </c>
      <c r="E96" t="s">
        <v>91</v>
      </c>
      <c r="F96" t="s">
        <v>91</v>
      </c>
      <c r="G96" t="s">
        <v>43</v>
      </c>
      <c r="H96" t="s">
        <v>8</v>
      </c>
      <c r="I96" t="s">
        <v>17</v>
      </c>
      <c r="J96" t="s">
        <v>44</v>
      </c>
      <c r="K96" t="s">
        <v>11</v>
      </c>
      <c r="L96">
        <v>41.86</v>
      </c>
      <c r="M96">
        <v>35</v>
      </c>
      <c r="N96">
        <f>Hoja4!$L96*Hoja4!$M96</f>
        <v>1465.1</v>
      </c>
      <c r="O96" t="str">
        <f t="shared" si="3"/>
        <v>Jue.</v>
      </c>
      <c r="P96" t="str">
        <f t="shared" si="4"/>
        <v>abril</v>
      </c>
    </row>
    <row r="97" spans="1:16" x14ac:dyDescent="0.25">
      <c r="A97">
        <v>96</v>
      </c>
      <c r="B97">
        <v>43923</v>
      </c>
      <c r="C97">
        <v>4671327569</v>
      </c>
      <c r="D97" t="s">
        <v>45</v>
      </c>
      <c r="E97" t="s">
        <v>87</v>
      </c>
      <c r="F97" t="s">
        <v>87</v>
      </c>
      <c r="G97" t="s">
        <v>24</v>
      </c>
      <c r="J97" t="s">
        <v>22</v>
      </c>
      <c r="K97" t="s">
        <v>11</v>
      </c>
      <c r="L97">
        <v>644</v>
      </c>
      <c r="M97">
        <v>31</v>
      </c>
      <c r="N97">
        <f>Hoja4!$L97*Hoja4!$M97</f>
        <v>19964</v>
      </c>
      <c r="O97" t="str">
        <f t="shared" si="3"/>
        <v>Jue.</v>
      </c>
      <c r="P97" t="str">
        <f t="shared" si="4"/>
        <v>abril</v>
      </c>
    </row>
    <row r="98" spans="1:16" x14ac:dyDescent="0.25">
      <c r="A98">
        <v>97</v>
      </c>
      <c r="B98">
        <v>44100</v>
      </c>
      <c r="C98">
        <v>5750783013</v>
      </c>
      <c r="D98" t="s">
        <v>42</v>
      </c>
      <c r="E98" t="s">
        <v>91</v>
      </c>
      <c r="F98" t="s">
        <v>91</v>
      </c>
      <c r="G98" t="s">
        <v>43</v>
      </c>
      <c r="H98" t="s">
        <v>16</v>
      </c>
      <c r="J98" t="s">
        <v>46</v>
      </c>
      <c r="K98" t="s">
        <v>47</v>
      </c>
      <c r="L98">
        <v>350</v>
      </c>
      <c r="M98">
        <v>52</v>
      </c>
      <c r="N98">
        <f>Hoja4!$L98*Hoja4!$M98</f>
        <v>18200</v>
      </c>
      <c r="O98" t="str">
        <f t="shared" si="3"/>
        <v>Sáb.</v>
      </c>
      <c r="P98" t="str">
        <f t="shared" si="4"/>
        <v>septiembre</v>
      </c>
    </row>
    <row r="99" spans="1:16" x14ac:dyDescent="0.25">
      <c r="A99">
        <v>98</v>
      </c>
      <c r="B99">
        <v>44024</v>
      </c>
      <c r="C99">
        <v>1216202808</v>
      </c>
      <c r="D99" t="s">
        <v>42</v>
      </c>
      <c r="E99" t="s">
        <v>91</v>
      </c>
      <c r="F99" t="s">
        <v>91</v>
      </c>
      <c r="G99" t="s">
        <v>43</v>
      </c>
      <c r="H99" t="s">
        <v>16</v>
      </c>
      <c r="J99" t="s">
        <v>48</v>
      </c>
      <c r="K99" t="s">
        <v>49</v>
      </c>
      <c r="L99">
        <v>308</v>
      </c>
      <c r="M99">
        <v>30</v>
      </c>
      <c r="N99">
        <f>Hoja4!$L99*Hoja4!$M99</f>
        <v>9240</v>
      </c>
      <c r="O99" t="str">
        <f t="shared" si="3"/>
        <v>Dom.</v>
      </c>
      <c r="P99" t="str">
        <f t="shared" si="4"/>
        <v>julio</v>
      </c>
    </row>
    <row r="100" spans="1:16" x14ac:dyDescent="0.25">
      <c r="A100">
        <v>99</v>
      </c>
      <c r="B100">
        <v>43934</v>
      </c>
      <c r="C100">
        <v>7167041532</v>
      </c>
      <c r="D100" t="s">
        <v>42</v>
      </c>
      <c r="E100" t="s">
        <v>91</v>
      </c>
      <c r="F100" t="s">
        <v>91</v>
      </c>
      <c r="G100" t="s">
        <v>43</v>
      </c>
      <c r="H100" t="s">
        <v>16</v>
      </c>
      <c r="J100" t="s">
        <v>26</v>
      </c>
      <c r="K100" t="s">
        <v>27</v>
      </c>
      <c r="L100">
        <v>128.79999999999998</v>
      </c>
      <c r="M100">
        <v>41</v>
      </c>
      <c r="N100">
        <f>Hoja4!$L100*Hoja4!$M100</f>
        <v>5280.7999999999993</v>
      </c>
      <c r="O100" t="str">
        <f t="shared" si="3"/>
        <v>Lun.</v>
      </c>
      <c r="P100" t="str">
        <f t="shared" si="4"/>
        <v>abril</v>
      </c>
    </row>
    <row r="101" spans="1:16" x14ac:dyDescent="0.25">
      <c r="A101">
        <v>100</v>
      </c>
      <c r="B101">
        <v>44096</v>
      </c>
      <c r="C101">
        <v>2241191338</v>
      </c>
      <c r="D101" t="s">
        <v>50</v>
      </c>
      <c r="E101" t="s">
        <v>85</v>
      </c>
      <c r="F101" t="s">
        <v>83</v>
      </c>
      <c r="G101" t="s">
        <v>41</v>
      </c>
      <c r="H101" t="s">
        <v>25</v>
      </c>
      <c r="J101" t="s">
        <v>12</v>
      </c>
      <c r="K101" t="s">
        <v>13</v>
      </c>
      <c r="L101">
        <v>49</v>
      </c>
      <c r="M101">
        <v>44</v>
      </c>
      <c r="N101">
        <f>Hoja4!$L101*Hoja4!$M101</f>
        <v>2156</v>
      </c>
      <c r="O101" t="str">
        <f t="shared" si="3"/>
        <v>Mar.</v>
      </c>
      <c r="P101" t="str">
        <f t="shared" si="4"/>
        <v>septiembre</v>
      </c>
    </row>
    <row r="102" spans="1:16" x14ac:dyDescent="0.25">
      <c r="A102">
        <v>101</v>
      </c>
      <c r="B102">
        <v>44106</v>
      </c>
      <c r="C102">
        <v>806264266</v>
      </c>
      <c r="D102" t="s">
        <v>50</v>
      </c>
      <c r="E102" t="s">
        <v>85</v>
      </c>
      <c r="F102" t="s">
        <v>83</v>
      </c>
      <c r="G102" t="s">
        <v>41</v>
      </c>
      <c r="H102" t="s">
        <v>25</v>
      </c>
      <c r="J102" t="s">
        <v>44</v>
      </c>
      <c r="K102" t="s">
        <v>11</v>
      </c>
      <c r="L102">
        <v>41.86</v>
      </c>
      <c r="M102">
        <v>77</v>
      </c>
      <c r="N102">
        <f>Hoja4!$L102*Hoja4!$M102</f>
        <v>3223.22</v>
      </c>
      <c r="O102" t="str">
        <f t="shared" si="3"/>
        <v>Vie.</v>
      </c>
      <c r="P102" t="str">
        <f t="shared" si="4"/>
        <v>octubre</v>
      </c>
    </row>
    <row r="103" spans="1:16" x14ac:dyDescent="0.25">
      <c r="A103">
        <v>102</v>
      </c>
      <c r="B103">
        <v>43902</v>
      </c>
      <c r="C103">
        <v>3820174684</v>
      </c>
      <c r="D103" t="s">
        <v>51</v>
      </c>
      <c r="E103" t="s">
        <v>90</v>
      </c>
      <c r="F103" t="s">
        <v>98</v>
      </c>
      <c r="G103" t="s">
        <v>24</v>
      </c>
      <c r="J103" t="s">
        <v>21</v>
      </c>
      <c r="K103" t="s">
        <v>11</v>
      </c>
      <c r="L103">
        <v>252</v>
      </c>
      <c r="M103">
        <v>29</v>
      </c>
      <c r="N103">
        <f>Hoja4!$L103*Hoja4!$M103</f>
        <v>7308</v>
      </c>
      <c r="O103" t="str">
        <f t="shared" si="3"/>
        <v>Jue.</v>
      </c>
      <c r="P103" t="str">
        <f t="shared" si="4"/>
        <v>marzo</v>
      </c>
    </row>
    <row r="104" spans="1:16" x14ac:dyDescent="0.25">
      <c r="A104">
        <v>103</v>
      </c>
      <c r="B104">
        <v>44074</v>
      </c>
      <c r="C104">
        <v>5541796483</v>
      </c>
      <c r="D104" t="s">
        <v>51</v>
      </c>
      <c r="E104" t="s">
        <v>90</v>
      </c>
      <c r="F104" t="s">
        <v>98</v>
      </c>
      <c r="G104" t="s">
        <v>24</v>
      </c>
      <c r="J104" t="s">
        <v>22</v>
      </c>
      <c r="K104" t="s">
        <v>11</v>
      </c>
      <c r="L104">
        <v>644</v>
      </c>
      <c r="M104">
        <v>77</v>
      </c>
      <c r="N104">
        <f>Hoja4!$L104*Hoja4!$M104</f>
        <v>49588</v>
      </c>
      <c r="O104" t="str">
        <f t="shared" si="3"/>
        <v>Lun.</v>
      </c>
      <c r="P104" t="str">
        <f t="shared" si="4"/>
        <v>agosto</v>
      </c>
    </row>
    <row r="105" spans="1:16" x14ac:dyDescent="0.25">
      <c r="A105">
        <v>104</v>
      </c>
      <c r="B105">
        <v>44025</v>
      </c>
      <c r="C105">
        <v>7096714976</v>
      </c>
      <c r="D105" t="s">
        <v>51</v>
      </c>
      <c r="E105" t="s">
        <v>90</v>
      </c>
      <c r="F105" t="s">
        <v>98</v>
      </c>
      <c r="G105" t="s">
        <v>24</v>
      </c>
      <c r="J105" t="s">
        <v>44</v>
      </c>
      <c r="K105" t="s">
        <v>11</v>
      </c>
      <c r="L105">
        <v>41.86</v>
      </c>
      <c r="M105">
        <v>73</v>
      </c>
      <c r="N105">
        <f>Hoja4!$L105*Hoja4!$M105</f>
        <v>3055.7799999999997</v>
      </c>
      <c r="O105" t="str">
        <f t="shared" si="3"/>
        <v>Lun.</v>
      </c>
      <c r="P105" t="str">
        <f t="shared" si="4"/>
        <v>julio</v>
      </c>
    </row>
    <row r="106" spans="1:16" x14ac:dyDescent="0.25">
      <c r="A106">
        <v>105</v>
      </c>
      <c r="B106">
        <v>44160</v>
      </c>
      <c r="C106">
        <v>2543114862</v>
      </c>
      <c r="D106" t="s">
        <v>40</v>
      </c>
      <c r="E106" t="s">
        <v>97</v>
      </c>
      <c r="F106" t="s">
        <v>88</v>
      </c>
      <c r="G106" t="s">
        <v>41</v>
      </c>
      <c r="H106" t="s">
        <v>25</v>
      </c>
      <c r="I106" t="s">
        <v>17</v>
      </c>
      <c r="J106" t="s">
        <v>34</v>
      </c>
      <c r="K106" t="s">
        <v>35</v>
      </c>
      <c r="L106">
        <v>135.1</v>
      </c>
      <c r="M106">
        <v>74</v>
      </c>
      <c r="N106">
        <f>Hoja4!$L106*Hoja4!$M106</f>
        <v>9997.4</v>
      </c>
      <c r="O106" t="str">
        <f t="shared" si="3"/>
        <v>Mié.</v>
      </c>
      <c r="P106" t="str">
        <f t="shared" si="4"/>
        <v>noviembre</v>
      </c>
    </row>
    <row r="107" spans="1:16" x14ac:dyDescent="0.25">
      <c r="A107">
        <v>106</v>
      </c>
      <c r="B107">
        <v>44070</v>
      </c>
      <c r="C107">
        <v>6501127347</v>
      </c>
      <c r="D107" t="s">
        <v>40</v>
      </c>
      <c r="E107" t="s">
        <v>97</v>
      </c>
      <c r="F107" t="s">
        <v>88</v>
      </c>
      <c r="G107" t="s">
        <v>41</v>
      </c>
      <c r="H107" t="s">
        <v>25</v>
      </c>
      <c r="I107" t="s">
        <v>17</v>
      </c>
      <c r="J107" t="s">
        <v>52</v>
      </c>
      <c r="K107" t="s">
        <v>53</v>
      </c>
      <c r="L107">
        <v>257.59999999999997</v>
      </c>
      <c r="M107">
        <v>25</v>
      </c>
      <c r="N107">
        <f>Hoja4!$L107*Hoja4!$M107</f>
        <v>6439.9999999999991</v>
      </c>
      <c r="O107" t="str">
        <f t="shared" si="3"/>
        <v>Jue.</v>
      </c>
      <c r="P107" t="str">
        <f t="shared" si="4"/>
        <v>agosto</v>
      </c>
    </row>
    <row r="108" spans="1:16" x14ac:dyDescent="0.25">
      <c r="A108">
        <v>107</v>
      </c>
      <c r="B108">
        <v>43947</v>
      </c>
      <c r="C108">
        <v>1322296163</v>
      </c>
      <c r="D108" t="s">
        <v>54</v>
      </c>
      <c r="E108" t="s">
        <v>89</v>
      </c>
      <c r="F108" t="s">
        <v>84</v>
      </c>
      <c r="G108" t="s">
        <v>55</v>
      </c>
      <c r="H108" t="s">
        <v>16</v>
      </c>
      <c r="I108" t="s">
        <v>9</v>
      </c>
      <c r="J108" t="s">
        <v>56</v>
      </c>
      <c r="K108" t="s">
        <v>57</v>
      </c>
      <c r="L108">
        <v>273</v>
      </c>
      <c r="M108">
        <v>82</v>
      </c>
      <c r="N108">
        <f>Hoja4!$L108*Hoja4!$M108</f>
        <v>22386</v>
      </c>
      <c r="O108" t="str">
        <f t="shared" si="3"/>
        <v>Dom.</v>
      </c>
      <c r="P108" t="str">
        <f t="shared" si="4"/>
        <v>abril</v>
      </c>
    </row>
    <row r="109" spans="1:16" x14ac:dyDescent="0.25">
      <c r="A109">
        <v>108</v>
      </c>
      <c r="B109">
        <v>44122</v>
      </c>
      <c r="C109">
        <v>5162222472</v>
      </c>
      <c r="D109" t="s">
        <v>54</v>
      </c>
      <c r="E109" t="s">
        <v>89</v>
      </c>
      <c r="F109" t="s">
        <v>84</v>
      </c>
      <c r="G109" t="s">
        <v>55</v>
      </c>
      <c r="H109" t="s">
        <v>16</v>
      </c>
      <c r="I109" t="s">
        <v>9</v>
      </c>
      <c r="J109" t="s">
        <v>58</v>
      </c>
      <c r="K109" t="s">
        <v>59</v>
      </c>
      <c r="L109">
        <v>487.19999999999993</v>
      </c>
      <c r="M109">
        <v>37</v>
      </c>
      <c r="N109">
        <f>Hoja4!$L109*Hoja4!$M109</f>
        <v>18026.399999999998</v>
      </c>
      <c r="O109" t="str">
        <f t="shared" si="3"/>
        <v>Dom.</v>
      </c>
      <c r="P109" t="str">
        <f t="shared" si="4"/>
        <v>octubre</v>
      </c>
    </row>
    <row r="110" spans="1:16" x14ac:dyDescent="0.25">
      <c r="A110">
        <v>109</v>
      </c>
      <c r="B110">
        <v>44103</v>
      </c>
      <c r="C110">
        <v>5752777715</v>
      </c>
      <c r="D110" t="s">
        <v>36</v>
      </c>
      <c r="E110" t="s">
        <v>92</v>
      </c>
      <c r="F110" t="s">
        <v>99</v>
      </c>
      <c r="G110" t="s">
        <v>37</v>
      </c>
      <c r="H110" t="s">
        <v>8</v>
      </c>
      <c r="I110" t="s">
        <v>17</v>
      </c>
      <c r="J110" t="s">
        <v>10</v>
      </c>
      <c r="K110" t="s">
        <v>11</v>
      </c>
      <c r="L110">
        <v>196</v>
      </c>
      <c r="M110">
        <v>84</v>
      </c>
      <c r="N110">
        <f>Hoja4!$L110*Hoja4!$M110</f>
        <v>16464</v>
      </c>
      <c r="O110" t="str">
        <f t="shared" si="3"/>
        <v>Mar.</v>
      </c>
      <c r="P110" t="str">
        <f t="shared" si="4"/>
        <v>septiembre</v>
      </c>
    </row>
    <row r="111" spans="1:16" x14ac:dyDescent="0.25">
      <c r="A111">
        <v>110</v>
      </c>
      <c r="B111">
        <v>44024</v>
      </c>
      <c r="C111">
        <v>2261700341</v>
      </c>
      <c r="D111" t="s">
        <v>23</v>
      </c>
      <c r="E111" t="s">
        <v>86</v>
      </c>
      <c r="F111" t="s">
        <v>82</v>
      </c>
      <c r="G111" t="s">
        <v>24</v>
      </c>
      <c r="H111" t="s">
        <v>8</v>
      </c>
      <c r="I111" t="s">
        <v>9</v>
      </c>
      <c r="J111" t="s">
        <v>38</v>
      </c>
      <c r="K111" t="s">
        <v>39</v>
      </c>
      <c r="L111">
        <v>560</v>
      </c>
      <c r="M111">
        <v>73</v>
      </c>
      <c r="N111">
        <f>Hoja4!$L111*Hoja4!$M111</f>
        <v>40880</v>
      </c>
      <c r="O111" t="str">
        <f t="shared" si="3"/>
        <v>Dom.</v>
      </c>
      <c r="P111" t="str">
        <f t="shared" si="4"/>
        <v>julio</v>
      </c>
    </row>
    <row r="112" spans="1:16" x14ac:dyDescent="0.25">
      <c r="A112">
        <v>111</v>
      </c>
      <c r="B112">
        <v>44073</v>
      </c>
      <c r="C112">
        <v>9950546196</v>
      </c>
      <c r="D112" t="s">
        <v>23</v>
      </c>
      <c r="E112" t="s">
        <v>86</v>
      </c>
      <c r="F112" t="s">
        <v>82</v>
      </c>
      <c r="G112" t="s">
        <v>24</v>
      </c>
      <c r="H112" t="s">
        <v>8</v>
      </c>
      <c r="I112" t="s">
        <v>9</v>
      </c>
      <c r="J112" t="s">
        <v>26</v>
      </c>
      <c r="K112" t="s">
        <v>27</v>
      </c>
      <c r="L112">
        <v>128.79999999999998</v>
      </c>
      <c r="M112">
        <v>51</v>
      </c>
      <c r="N112">
        <f>Hoja4!$L112*Hoja4!$M112</f>
        <v>6568.7999999999993</v>
      </c>
      <c r="O112" t="str">
        <f t="shared" si="3"/>
        <v>Dom.</v>
      </c>
      <c r="P112" t="str">
        <f t="shared" si="4"/>
        <v>agosto</v>
      </c>
    </row>
    <row r="113" spans="1:16" x14ac:dyDescent="0.25">
      <c r="A113">
        <v>112</v>
      </c>
      <c r="B113">
        <v>44191</v>
      </c>
      <c r="C113">
        <v>9911266011</v>
      </c>
      <c r="D113" t="s">
        <v>62</v>
      </c>
      <c r="E113" t="s">
        <v>91</v>
      </c>
      <c r="F113" t="s">
        <v>91</v>
      </c>
      <c r="G113" t="s">
        <v>43</v>
      </c>
      <c r="H113" t="s">
        <v>16</v>
      </c>
      <c r="I113" t="s">
        <v>33</v>
      </c>
      <c r="J113" t="s">
        <v>67</v>
      </c>
      <c r="K113" t="s">
        <v>27</v>
      </c>
      <c r="L113">
        <v>140</v>
      </c>
      <c r="M113">
        <v>66</v>
      </c>
      <c r="N113">
        <f>Hoja4!$L113*Hoja4!$M113</f>
        <v>9240</v>
      </c>
      <c r="O113" t="str">
        <f t="shared" si="3"/>
        <v>Sáb.</v>
      </c>
      <c r="P113" t="str">
        <f t="shared" si="4"/>
        <v>diciembre</v>
      </c>
    </row>
    <row r="114" spans="1:16" x14ac:dyDescent="0.25">
      <c r="A114">
        <v>113</v>
      </c>
      <c r="B114">
        <v>44183</v>
      </c>
      <c r="C114">
        <v>8455987495</v>
      </c>
      <c r="D114" t="s">
        <v>63</v>
      </c>
      <c r="E114" t="s">
        <v>85</v>
      </c>
      <c r="F114" t="s">
        <v>83</v>
      </c>
      <c r="G114" t="s">
        <v>41</v>
      </c>
      <c r="H114" t="s">
        <v>25</v>
      </c>
      <c r="I114" t="s">
        <v>17</v>
      </c>
      <c r="J114" t="s">
        <v>68</v>
      </c>
      <c r="K114" t="s">
        <v>69</v>
      </c>
      <c r="L114">
        <v>298.90000000000003</v>
      </c>
      <c r="M114">
        <v>36</v>
      </c>
      <c r="N114">
        <f>Hoja4!$L114*Hoja4!$M114</f>
        <v>10760.400000000001</v>
      </c>
      <c r="O114" t="str">
        <f t="shared" si="3"/>
        <v>Vie.</v>
      </c>
      <c r="P114" t="str">
        <f t="shared" si="4"/>
        <v>diciembre</v>
      </c>
    </row>
    <row r="115" spans="1:16" x14ac:dyDescent="0.25">
      <c r="A115">
        <v>114</v>
      </c>
      <c r="B115">
        <v>43966</v>
      </c>
      <c r="C115">
        <v>6668567210</v>
      </c>
      <c r="D115" t="s">
        <v>63</v>
      </c>
      <c r="E115" t="s">
        <v>85</v>
      </c>
      <c r="F115" t="s">
        <v>83</v>
      </c>
      <c r="G115" t="s">
        <v>41</v>
      </c>
      <c r="H115" t="s">
        <v>25</v>
      </c>
      <c r="I115" t="s">
        <v>17</v>
      </c>
      <c r="J115" t="s">
        <v>34</v>
      </c>
      <c r="K115" t="s">
        <v>35</v>
      </c>
      <c r="L115">
        <v>135.1</v>
      </c>
      <c r="M115">
        <v>87</v>
      </c>
      <c r="N115">
        <f>Hoja4!$L115*Hoja4!$M115</f>
        <v>11753.699999999999</v>
      </c>
      <c r="O115" t="str">
        <f t="shared" si="3"/>
        <v>Vie.</v>
      </c>
      <c r="P115" t="str">
        <f t="shared" si="4"/>
        <v>mayo</v>
      </c>
    </row>
    <row r="116" spans="1:16" x14ac:dyDescent="0.25">
      <c r="A116">
        <v>115</v>
      </c>
      <c r="B116">
        <v>44019</v>
      </c>
      <c r="C116">
        <v>9528620750</v>
      </c>
      <c r="D116" t="s">
        <v>63</v>
      </c>
      <c r="E116" t="s">
        <v>85</v>
      </c>
      <c r="F116" t="s">
        <v>83</v>
      </c>
      <c r="G116" t="s">
        <v>41</v>
      </c>
      <c r="H116" t="s">
        <v>25</v>
      </c>
      <c r="I116" t="s">
        <v>17</v>
      </c>
      <c r="J116" t="s">
        <v>52</v>
      </c>
      <c r="K116" t="s">
        <v>53</v>
      </c>
      <c r="L116">
        <v>257.59999999999997</v>
      </c>
      <c r="M116">
        <v>64</v>
      </c>
      <c r="N116">
        <f>Hoja4!$L116*Hoja4!$M116</f>
        <v>16486.399999999998</v>
      </c>
      <c r="O116" t="str">
        <f t="shared" si="3"/>
        <v>Mar.</v>
      </c>
      <c r="P116" t="str">
        <f t="shared" si="4"/>
        <v>julio</v>
      </c>
    </row>
    <row r="117" spans="1:16" x14ac:dyDescent="0.25">
      <c r="A117">
        <v>116</v>
      </c>
      <c r="B117">
        <v>43876</v>
      </c>
      <c r="C117">
        <v>1951835035</v>
      </c>
      <c r="D117" t="s">
        <v>28</v>
      </c>
      <c r="E117" t="s">
        <v>89</v>
      </c>
      <c r="F117" t="s">
        <v>84</v>
      </c>
      <c r="G117" t="s">
        <v>29</v>
      </c>
      <c r="H117" t="s">
        <v>8</v>
      </c>
      <c r="I117" t="s">
        <v>9</v>
      </c>
      <c r="J117" t="s">
        <v>10</v>
      </c>
      <c r="K117" t="s">
        <v>11</v>
      </c>
      <c r="L117">
        <v>196</v>
      </c>
      <c r="M117">
        <v>21</v>
      </c>
      <c r="N117">
        <f>Hoja4!$L117*Hoja4!$M117</f>
        <v>4116</v>
      </c>
      <c r="O117" t="str">
        <f t="shared" si="3"/>
        <v>Sáb.</v>
      </c>
      <c r="P117" t="str">
        <f t="shared" si="4"/>
        <v>febrero</v>
      </c>
    </row>
    <row r="118" spans="1:16" x14ac:dyDescent="0.25">
      <c r="A118">
        <v>117</v>
      </c>
      <c r="B118">
        <v>44101</v>
      </c>
      <c r="C118">
        <v>8464805926</v>
      </c>
      <c r="D118" t="s">
        <v>36</v>
      </c>
      <c r="E118" t="s">
        <v>92</v>
      </c>
      <c r="F118" t="s">
        <v>99</v>
      </c>
      <c r="G118" t="s">
        <v>37</v>
      </c>
      <c r="H118" t="s">
        <v>25</v>
      </c>
      <c r="I118" t="s">
        <v>9</v>
      </c>
      <c r="J118" t="s">
        <v>30</v>
      </c>
      <c r="K118" t="s">
        <v>31</v>
      </c>
      <c r="L118">
        <v>178.5</v>
      </c>
      <c r="M118">
        <v>19</v>
      </c>
      <c r="N118">
        <f>Hoja4!$L118*Hoja4!$M118</f>
        <v>3391.5</v>
      </c>
      <c r="O118" t="str">
        <f t="shared" si="3"/>
        <v>Dom.</v>
      </c>
      <c r="P118" t="str">
        <f t="shared" si="4"/>
        <v>septiembre</v>
      </c>
    </row>
    <row r="119" spans="1:16" x14ac:dyDescent="0.25">
      <c r="A119">
        <v>118</v>
      </c>
      <c r="B119">
        <v>44094</v>
      </c>
      <c r="C119">
        <v>1040241832</v>
      </c>
      <c r="D119" t="s">
        <v>14</v>
      </c>
      <c r="E119" t="s">
        <v>81</v>
      </c>
      <c r="F119" t="s">
        <v>94</v>
      </c>
      <c r="G119" t="s">
        <v>15</v>
      </c>
      <c r="H119" t="s">
        <v>16</v>
      </c>
      <c r="I119" t="s">
        <v>17</v>
      </c>
      <c r="J119" t="s">
        <v>70</v>
      </c>
      <c r="K119" t="s">
        <v>47</v>
      </c>
      <c r="L119">
        <v>1134</v>
      </c>
      <c r="M119">
        <v>23</v>
      </c>
      <c r="N119">
        <f>Hoja4!$L119*Hoja4!$M119</f>
        <v>26082</v>
      </c>
      <c r="O119" t="str">
        <f t="shared" si="3"/>
        <v>Dom.</v>
      </c>
      <c r="P119" t="str">
        <f t="shared" si="4"/>
        <v>septiembre</v>
      </c>
    </row>
    <row r="120" spans="1:16" x14ac:dyDescent="0.25">
      <c r="A120">
        <v>119</v>
      </c>
      <c r="B120">
        <v>44157</v>
      </c>
      <c r="C120">
        <v>5032769390</v>
      </c>
      <c r="D120" t="s">
        <v>14</v>
      </c>
      <c r="E120" t="s">
        <v>81</v>
      </c>
      <c r="F120" t="s">
        <v>94</v>
      </c>
      <c r="G120" t="s">
        <v>15</v>
      </c>
      <c r="H120" t="s">
        <v>16</v>
      </c>
      <c r="I120" t="s">
        <v>17</v>
      </c>
      <c r="J120" t="s">
        <v>71</v>
      </c>
      <c r="K120" t="s">
        <v>72</v>
      </c>
      <c r="L120">
        <v>98</v>
      </c>
      <c r="M120">
        <v>72</v>
      </c>
      <c r="N120">
        <f>Hoja4!$L120*Hoja4!$M120</f>
        <v>7056</v>
      </c>
      <c r="O120" t="str">
        <f t="shared" si="3"/>
        <v>Dom.</v>
      </c>
      <c r="P120" t="str">
        <f t="shared" si="4"/>
        <v>noviembre</v>
      </c>
    </row>
    <row r="121" spans="1:16" x14ac:dyDescent="0.25">
      <c r="A121">
        <v>120</v>
      </c>
      <c r="B121">
        <v>43916</v>
      </c>
      <c r="C121">
        <v>5375997402</v>
      </c>
      <c r="D121" t="s">
        <v>23</v>
      </c>
      <c r="E121" t="s">
        <v>86</v>
      </c>
      <c r="F121" t="s">
        <v>82</v>
      </c>
      <c r="G121" t="s">
        <v>24</v>
      </c>
      <c r="H121" t="s">
        <v>25</v>
      </c>
      <c r="I121" t="s">
        <v>17</v>
      </c>
      <c r="J121" t="s">
        <v>58</v>
      </c>
      <c r="K121" t="s">
        <v>59</v>
      </c>
      <c r="L121">
        <v>487.19999999999993</v>
      </c>
      <c r="M121">
        <v>22</v>
      </c>
      <c r="N121">
        <f>Hoja4!$L121*Hoja4!$M121</f>
        <v>10718.399999999998</v>
      </c>
      <c r="O121" t="str">
        <f t="shared" si="3"/>
        <v>Jue.</v>
      </c>
      <c r="P121" t="str">
        <f t="shared" si="4"/>
        <v>marzo</v>
      </c>
    </row>
    <row r="122" spans="1:16" x14ac:dyDescent="0.25">
      <c r="A122">
        <v>121</v>
      </c>
      <c r="B122">
        <v>43837</v>
      </c>
      <c r="C122">
        <v>967566383</v>
      </c>
      <c r="D122" t="s">
        <v>32</v>
      </c>
      <c r="E122" t="s">
        <v>93</v>
      </c>
      <c r="F122" t="s">
        <v>96</v>
      </c>
      <c r="G122" t="s">
        <v>7</v>
      </c>
      <c r="H122" t="s">
        <v>8</v>
      </c>
      <c r="I122" t="s">
        <v>33</v>
      </c>
      <c r="J122" t="s">
        <v>60</v>
      </c>
      <c r="K122" t="s">
        <v>49</v>
      </c>
      <c r="L122">
        <v>140</v>
      </c>
      <c r="M122">
        <v>82</v>
      </c>
      <c r="N122">
        <f>Hoja4!$L122*Hoja4!$M122</f>
        <v>11480</v>
      </c>
      <c r="O122" t="str">
        <f t="shared" si="3"/>
        <v>Mar.</v>
      </c>
      <c r="P122" t="str">
        <f t="shared" si="4"/>
        <v>enero</v>
      </c>
    </row>
    <row r="123" spans="1:16" x14ac:dyDescent="0.25">
      <c r="A123">
        <v>122</v>
      </c>
      <c r="B123">
        <v>44042</v>
      </c>
      <c r="C123">
        <v>7607007457</v>
      </c>
      <c r="D123" t="s">
        <v>32</v>
      </c>
      <c r="E123" t="s">
        <v>93</v>
      </c>
      <c r="F123" t="s">
        <v>96</v>
      </c>
      <c r="G123" t="s">
        <v>7</v>
      </c>
      <c r="H123" t="s">
        <v>8</v>
      </c>
      <c r="I123" t="s">
        <v>33</v>
      </c>
      <c r="J123" t="s">
        <v>38</v>
      </c>
      <c r="K123" t="s">
        <v>39</v>
      </c>
      <c r="L123">
        <v>560</v>
      </c>
      <c r="M123">
        <v>98</v>
      </c>
      <c r="N123">
        <f>Hoja4!$L123*Hoja4!$M123</f>
        <v>54880</v>
      </c>
      <c r="O123" t="str">
        <f t="shared" si="3"/>
        <v>Jue.</v>
      </c>
      <c r="P123" t="str">
        <f t="shared" si="4"/>
        <v>julio</v>
      </c>
    </row>
    <row r="124" spans="1:16" x14ac:dyDescent="0.25">
      <c r="A124">
        <v>123</v>
      </c>
      <c r="B124">
        <v>44092</v>
      </c>
      <c r="C124">
        <v>6139722497</v>
      </c>
      <c r="D124" t="s">
        <v>45</v>
      </c>
      <c r="E124" t="s">
        <v>87</v>
      </c>
      <c r="F124" t="s">
        <v>87</v>
      </c>
      <c r="G124" t="s">
        <v>24</v>
      </c>
      <c r="J124" t="s">
        <v>22</v>
      </c>
      <c r="K124" t="s">
        <v>11</v>
      </c>
      <c r="L124">
        <v>644</v>
      </c>
      <c r="M124">
        <v>71</v>
      </c>
      <c r="N124">
        <f>Hoja4!$L124*Hoja4!$M124</f>
        <v>45724</v>
      </c>
      <c r="O124" t="str">
        <f t="shared" si="3"/>
        <v>Vie.</v>
      </c>
      <c r="P124" t="str">
        <f t="shared" si="4"/>
        <v>septiembre</v>
      </c>
    </row>
    <row r="125" spans="1:16" x14ac:dyDescent="0.25">
      <c r="A125">
        <v>124</v>
      </c>
      <c r="B125">
        <v>43924</v>
      </c>
      <c r="C125">
        <v>6071133871</v>
      </c>
      <c r="D125" t="s">
        <v>42</v>
      </c>
      <c r="E125" t="s">
        <v>91</v>
      </c>
      <c r="F125" t="s">
        <v>91</v>
      </c>
      <c r="G125" t="s">
        <v>43</v>
      </c>
      <c r="H125" t="s">
        <v>16</v>
      </c>
      <c r="J125" t="s">
        <v>46</v>
      </c>
      <c r="K125" t="s">
        <v>47</v>
      </c>
      <c r="L125">
        <v>350</v>
      </c>
      <c r="M125">
        <v>40</v>
      </c>
      <c r="N125">
        <f>Hoja4!$L125*Hoja4!$M125</f>
        <v>14000</v>
      </c>
      <c r="O125" t="str">
        <f t="shared" si="3"/>
        <v>Vie.</v>
      </c>
      <c r="P125" t="str">
        <f t="shared" si="4"/>
        <v>abril</v>
      </c>
    </row>
    <row r="126" spans="1:16" x14ac:dyDescent="0.25">
      <c r="A126">
        <v>125</v>
      </c>
      <c r="B126">
        <v>43887</v>
      </c>
      <c r="C126">
        <v>8634772142</v>
      </c>
      <c r="D126" t="s">
        <v>42</v>
      </c>
      <c r="E126" t="s">
        <v>91</v>
      </c>
      <c r="F126" t="s">
        <v>91</v>
      </c>
      <c r="G126" t="s">
        <v>43</v>
      </c>
      <c r="H126" t="s">
        <v>16</v>
      </c>
      <c r="J126" t="s">
        <v>48</v>
      </c>
      <c r="K126" t="s">
        <v>49</v>
      </c>
      <c r="L126">
        <v>308</v>
      </c>
      <c r="M126">
        <v>80</v>
      </c>
      <c r="N126">
        <f>Hoja4!$L126*Hoja4!$M126</f>
        <v>24640</v>
      </c>
      <c r="O126" t="str">
        <f t="shared" si="3"/>
        <v>Mié.</v>
      </c>
      <c r="P126" t="str">
        <f t="shared" si="4"/>
        <v>febrero</v>
      </c>
    </row>
    <row r="127" spans="1:16" x14ac:dyDescent="0.25">
      <c r="A127">
        <v>126</v>
      </c>
      <c r="B127">
        <v>44080</v>
      </c>
      <c r="C127">
        <v>5431718510</v>
      </c>
      <c r="D127" t="s">
        <v>42</v>
      </c>
      <c r="E127" t="s">
        <v>91</v>
      </c>
      <c r="F127" t="s">
        <v>91</v>
      </c>
      <c r="G127" t="s">
        <v>43</v>
      </c>
      <c r="H127" t="s">
        <v>16</v>
      </c>
      <c r="J127" t="s">
        <v>26</v>
      </c>
      <c r="K127" t="s">
        <v>27</v>
      </c>
      <c r="L127">
        <v>128.79999999999998</v>
      </c>
      <c r="M127">
        <v>38</v>
      </c>
      <c r="N127">
        <f>Hoja4!$L127*Hoja4!$M127</f>
        <v>4894.3999999999996</v>
      </c>
      <c r="O127" t="str">
        <f t="shared" si="3"/>
        <v>Dom.</v>
      </c>
      <c r="P127" t="str">
        <f t="shared" si="4"/>
        <v>septiembre</v>
      </c>
    </row>
    <row r="128" spans="1:16" x14ac:dyDescent="0.25">
      <c r="A128">
        <v>127</v>
      </c>
      <c r="B128">
        <v>44093</v>
      </c>
      <c r="C128">
        <v>7109276915</v>
      </c>
      <c r="D128" t="s">
        <v>50</v>
      </c>
      <c r="E128" t="s">
        <v>85</v>
      </c>
      <c r="F128" t="s">
        <v>83</v>
      </c>
      <c r="G128" t="s">
        <v>41</v>
      </c>
      <c r="H128" t="s">
        <v>25</v>
      </c>
      <c r="J128" t="s">
        <v>12</v>
      </c>
      <c r="K128" t="s">
        <v>13</v>
      </c>
      <c r="L128">
        <v>49</v>
      </c>
      <c r="M128">
        <v>28</v>
      </c>
      <c r="N128">
        <f>Hoja4!$L128*Hoja4!$M128</f>
        <v>1372</v>
      </c>
      <c r="O128" t="str">
        <f t="shared" si="3"/>
        <v>Sáb.</v>
      </c>
      <c r="P128" t="str">
        <f t="shared" si="4"/>
        <v>septiembre</v>
      </c>
    </row>
    <row r="129" spans="1:16" x14ac:dyDescent="0.25">
      <c r="A129">
        <v>128</v>
      </c>
      <c r="B129">
        <v>44119</v>
      </c>
      <c r="C129">
        <v>8479136081</v>
      </c>
      <c r="D129" t="s">
        <v>50</v>
      </c>
      <c r="E129" t="s">
        <v>85</v>
      </c>
      <c r="F129" t="s">
        <v>83</v>
      </c>
      <c r="G129" t="s">
        <v>41</v>
      </c>
      <c r="H129" t="s">
        <v>25</v>
      </c>
      <c r="J129" t="s">
        <v>44</v>
      </c>
      <c r="K129" t="s">
        <v>11</v>
      </c>
      <c r="L129">
        <v>41.86</v>
      </c>
      <c r="M129">
        <v>60</v>
      </c>
      <c r="N129">
        <f>Hoja4!$L129*Hoja4!$M129</f>
        <v>2511.6</v>
      </c>
      <c r="O129" t="str">
        <f t="shared" si="3"/>
        <v>Jue.</v>
      </c>
      <c r="P129" t="str">
        <f t="shared" si="4"/>
        <v>octubre</v>
      </c>
    </row>
    <row r="130" spans="1:16" x14ac:dyDescent="0.25">
      <c r="A130">
        <v>129</v>
      </c>
      <c r="B130">
        <v>44146</v>
      </c>
      <c r="C130">
        <v>7132355278</v>
      </c>
      <c r="D130" t="s">
        <v>51</v>
      </c>
      <c r="E130" t="s">
        <v>90</v>
      </c>
      <c r="F130" t="s">
        <v>98</v>
      </c>
      <c r="G130" t="s">
        <v>24</v>
      </c>
      <c r="J130" t="s">
        <v>21</v>
      </c>
      <c r="K130" t="s">
        <v>11</v>
      </c>
      <c r="L130">
        <v>252</v>
      </c>
      <c r="M130">
        <v>33</v>
      </c>
      <c r="N130">
        <f>Hoja4!$L130*Hoja4!$M130</f>
        <v>8316</v>
      </c>
      <c r="O130" t="str">
        <f t="shared" ref="O130:O193" si="5">PROPER(TEXT(B130,"ddd."))</f>
        <v>Mié.</v>
      </c>
      <c r="P130" t="str">
        <f t="shared" ref="P130:P193" si="6">TEXT(B130,"mmmm")</f>
        <v>noviembre</v>
      </c>
    </row>
    <row r="131" spans="1:16" x14ac:dyDescent="0.25">
      <c r="A131">
        <v>130</v>
      </c>
      <c r="B131">
        <v>44017</v>
      </c>
      <c r="C131">
        <v>2885792785</v>
      </c>
      <c r="D131" t="s">
        <v>51</v>
      </c>
      <c r="E131" t="s">
        <v>90</v>
      </c>
      <c r="F131" t="s">
        <v>98</v>
      </c>
      <c r="G131" t="s">
        <v>24</v>
      </c>
      <c r="J131" t="s">
        <v>22</v>
      </c>
      <c r="K131" t="s">
        <v>11</v>
      </c>
      <c r="L131">
        <v>644</v>
      </c>
      <c r="M131">
        <v>22</v>
      </c>
      <c r="N131">
        <f>Hoja4!$L131*Hoja4!$M131</f>
        <v>14168</v>
      </c>
      <c r="O131" t="str">
        <f t="shared" si="5"/>
        <v>Dom.</v>
      </c>
      <c r="P131" t="str">
        <f t="shared" si="6"/>
        <v>julio</v>
      </c>
    </row>
    <row r="132" spans="1:16" x14ac:dyDescent="0.25">
      <c r="A132">
        <v>131</v>
      </c>
      <c r="B132">
        <v>44085</v>
      </c>
      <c r="C132">
        <v>3723941023</v>
      </c>
      <c r="D132" t="s">
        <v>51</v>
      </c>
      <c r="E132" t="s">
        <v>90</v>
      </c>
      <c r="F132" t="s">
        <v>98</v>
      </c>
      <c r="G132" t="s">
        <v>24</v>
      </c>
      <c r="J132" t="s">
        <v>44</v>
      </c>
      <c r="K132" t="s">
        <v>11</v>
      </c>
      <c r="L132">
        <v>41.86</v>
      </c>
      <c r="M132">
        <v>51</v>
      </c>
      <c r="N132">
        <f>Hoja4!$L132*Hoja4!$M132</f>
        <v>2134.86</v>
      </c>
      <c r="O132" t="str">
        <f t="shared" si="5"/>
        <v>Vie.</v>
      </c>
      <c r="P132" t="str">
        <f t="shared" si="6"/>
        <v>septiembre</v>
      </c>
    </row>
    <row r="133" spans="1:16" x14ac:dyDescent="0.25">
      <c r="A133">
        <v>132</v>
      </c>
      <c r="B133">
        <v>43943</v>
      </c>
      <c r="C133">
        <v>4827836337</v>
      </c>
      <c r="D133" t="s">
        <v>40</v>
      </c>
      <c r="E133" t="s">
        <v>97</v>
      </c>
      <c r="F133" t="s">
        <v>88</v>
      </c>
      <c r="G133" t="s">
        <v>41</v>
      </c>
      <c r="H133" t="s">
        <v>25</v>
      </c>
      <c r="I133" t="s">
        <v>17</v>
      </c>
      <c r="J133" t="s">
        <v>34</v>
      </c>
      <c r="K133" t="s">
        <v>35</v>
      </c>
      <c r="L133">
        <v>135.1</v>
      </c>
      <c r="M133">
        <v>60</v>
      </c>
      <c r="N133">
        <f>Hoja4!$L133*Hoja4!$M133</f>
        <v>8106</v>
      </c>
      <c r="O133" t="str">
        <f t="shared" si="5"/>
        <v>Mié.</v>
      </c>
      <c r="P133" t="str">
        <f t="shared" si="6"/>
        <v>abril</v>
      </c>
    </row>
    <row r="134" spans="1:16" x14ac:dyDescent="0.25">
      <c r="A134">
        <v>133</v>
      </c>
      <c r="B134">
        <v>44057</v>
      </c>
      <c r="C134">
        <v>2633840866</v>
      </c>
      <c r="D134" t="s">
        <v>40</v>
      </c>
      <c r="E134" t="s">
        <v>97</v>
      </c>
      <c r="F134" t="s">
        <v>88</v>
      </c>
      <c r="G134" t="s">
        <v>41</v>
      </c>
      <c r="H134" t="s">
        <v>25</v>
      </c>
      <c r="I134" t="s">
        <v>17</v>
      </c>
      <c r="J134" t="s">
        <v>52</v>
      </c>
      <c r="K134" t="s">
        <v>53</v>
      </c>
      <c r="L134">
        <v>257.59999999999997</v>
      </c>
      <c r="M134">
        <v>98</v>
      </c>
      <c r="N134">
        <f>Hoja4!$L134*Hoja4!$M134</f>
        <v>25244.799999999996</v>
      </c>
      <c r="O134" t="str">
        <f t="shared" si="5"/>
        <v>Vie.</v>
      </c>
      <c r="P134" t="str">
        <f t="shared" si="6"/>
        <v>agosto</v>
      </c>
    </row>
    <row r="135" spans="1:16" x14ac:dyDescent="0.25">
      <c r="A135">
        <v>134</v>
      </c>
      <c r="B135">
        <v>43929</v>
      </c>
      <c r="C135">
        <v>2489359003</v>
      </c>
      <c r="D135" t="s">
        <v>54</v>
      </c>
      <c r="E135" t="s">
        <v>89</v>
      </c>
      <c r="F135" t="s">
        <v>84</v>
      </c>
      <c r="G135" t="s">
        <v>55</v>
      </c>
      <c r="H135" t="s">
        <v>16</v>
      </c>
      <c r="I135" t="s">
        <v>9</v>
      </c>
      <c r="J135" t="s">
        <v>56</v>
      </c>
      <c r="K135" t="s">
        <v>57</v>
      </c>
      <c r="L135">
        <v>273</v>
      </c>
      <c r="M135">
        <v>27</v>
      </c>
      <c r="N135">
        <f>Hoja4!$L135*Hoja4!$M135</f>
        <v>7371</v>
      </c>
      <c r="O135" t="str">
        <f t="shared" si="5"/>
        <v>Mié.</v>
      </c>
      <c r="P135" t="str">
        <f t="shared" si="6"/>
        <v>abril</v>
      </c>
    </row>
    <row r="136" spans="1:16" x14ac:dyDescent="0.25">
      <c r="A136">
        <v>135</v>
      </c>
      <c r="B136">
        <v>43986</v>
      </c>
      <c r="C136">
        <v>2347277376</v>
      </c>
      <c r="D136" t="s">
        <v>54</v>
      </c>
      <c r="E136" t="s">
        <v>89</v>
      </c>
      <c r="F136" t="s">
        <v>84</v>
      </c>
      <c r="G136" t="s">
        <v>55</v>
      </c>
      <c r="H136" t="s">
        <v>16</v>
      </c>
      <c r="I136" t="s">
        <v>9</v>
      </c>
      <c r="J136" t="s">
        <v>58</v>
      </c>
      <c r="K136" t="s">
        <v>59</v>
      </c>
      <c r="L136">
        <v>487.19999999999993</v>
      </c>
      <c r="M136">
        <v>88</v>
      </c>
      <c r="N136">
        <f>Hoja4!$L136*Hoja4!$M136</f>
        <v>42873.599999999991</v>
      </c>
      <c r="O136" t="str">
        <f t="shared" si="5"/>
        <v>Jue.</v>
      </c>
      <c r="P136" t="str">
        <f t="shared" si="6"/>
        <v>junio</v>
      </c>
    </row>
    <row r="137" spans="1:16" x14ac:dyDescent="0.25">
      <c r="A137">
        <v>136</v>
      </c>
      <c r="B137">
        <v>44058</v>
      </c>
      <c r="C137">
        <v>2071690973</v>
      </c>
      <c r="D137" t="s">
        <v>36</v>
      </c>
      <c r="E137" t="s">
        <v>92</v>
      </c>
      <c r="F137" t="s">
        <v>99</v>
      </c>
      <c r="G137" t="s">
        <v>37</v>
      </c>
      <c r="H137" t="s">
        <v>8</v>
      </c>
      <c r="I137" t="s">
        <v>17</v>
      </c>
      <c r="J137" t="s">
        <v>10</v>
      </c>
      <c r="K137" t="s">
        <v>11</v>
      </c>
      <c r="L137">
        <v>196</v>
      </c>
      <c r="M137">
        <v>65</v>
      </c>
      <c r="N137">
        <f>Hoja4!$L137*Hoja4!$M137</f>
        <v>12740</v>
      </c>
      <c r="O137" t="str">
        <f t="shared" si="5"/>
        <v>Sáb.</v>
      </c>
      <c r="P137" t="str">
        <f t="shared" si="6"/>
        <v>agosto</v>
      </c>
    </row>
    <row r="138" spans="1:16" x14ac:dyDescent="0.25">
      <c r="A138">
        <v>137</v>
      </c>
      <c r="B138">
        <v>44047</v>
      </c>
      <c r="C138">
        <v>1196729221</v>
      </c>
      <c r="D138" t="s">
        <v>23</v>
      </c>
      <c r="E138" t="s">
        <v>86</v>
      </c>
      <c r="F138" t="s">
        <v>82</v>
      </c>
      <c r="G138" t="s">
        <v>24</v>
      </c>
      <c r="H138" t="s">
        <v>8</v>
      </c>
      <c r="I138" t="s">
        <v>9</v>
      </c>
      <c r="J138" t="s">
        <v>38</v>
      </c>
      <c r="K138" t="s">
        <v>39</v>
      </c>
      <c r="L138">
        <v>560</v>
      </c>
      <c r="M138">
        <v>38</v>
      </c>
      <c r="N138">
        <f>Hoja4!$L138*Hoja4!$M138</f>
        <v>21280</v>
      </c>
      <c r="O138" t="str">
        <f t="shared" si="5"/>
        <v>Mar.</v>
      </c>
      <c r="P138" t="str">
        <f t="shared" si="6"/>
        <v>agosto</v>
      </c>
    </row>
    <row r="139" spans="1:16" x14ac:dyDescent="0.25">
      <c r="A139">
        <v>138</v>
      </c>
      <c r="B139">
        <v>43948</v>
      </c>
      <c r="C139">
        <v>9020365601</v>
      </c>
      <c r="D139" t="s">
        <v>23</v>
      </c>
      <c r="E139" t="s">
        <v>86</v>
      </c>
      <c r="F139" t="s">
        <v>82</v>
      </c>
      <c r="G139" t="s">
        <v>24</v>
      </c>
      <c r="H139" t="s">
        <v>8</v>
      </c>
      <c r="I139" t="s">
        <v>9</v>
      </c>
      <c r="J139" t="s">
        <v>26</v>
      </c>
      <c r="K139" t="s">
        <v>27</v>
      </c>
      <c r="L139">
        <v>128.79999999999998</v>
      </c>
      <c r="M139">
        <v>80</v>
      </c>
      <c r="N139">
        <f>Hoja4!$L139*Hoja4!$M139</f>
        <v>10303.999999999998</v>
      </c>
      <c r="O139" t="str">
        <f t="shared" si="5"/>
        <v>Lun.</v>
      </c>
      <c r="P139" t="str">
        <f t="shared" si="6"/>
        <v>abril</v>
      </c>
    </row>
    <row r="140" spans="1:16" x14ac:dyDescent="0.25">
      <c r="A140">
        <v>139</v>
      </c>
      <c r="B140">
        <v>44054</v>
      </c>
      <c r="C140">
        <v>4818692078</v>
      </c>
      <c r="D140" t="s">
        <v>62</v>
      </c>
      <c r="E140" t="s">
        <v>91</v>
      </c>
      <c r="F140" t="s">
        <v>91</v>
      </c>
      <c r="G140" t="s">
        <v>43</v>
      </c>
      <c r="H140" t="s">
        <v>16</v>
      </c>
      <c r="I140" t="s">
        <v>33</v>
      </c>
      <c r="J140" t="s">
        <v>67</v>
      </c>
      <c r="K140" t="s">
        <v>27</v>
      </c>
      <c r="L140">
        <v>140</v>
      </c>
      <c r="M140">
        <v>49</v>
      </c>
      <c r="N140">
        <f>Hoja4!$L140*Hoja4!$M140</f>
        <v>6860</v>
      </c>
      <c r="O140" t="str">
        <f t="shared" si="5"/>
        <v>Mar.</v>
      </c>
      <c r="P140" t="str">
        <f t="shared" si="6"/>
        <v>agosto</v>
      </c>
    </row>
    <row r="141" spans="1:16" x14ac:dyDescent="0.25">
      <c r="A141">
        <v>140</v>
      </c>
      <c r="B141">
        <v>44120</v>
      </c>
      <c r="C141">
        <v>6502762369</v>
      </c>
      <c r="D141" t="s">
        <v>63</v>
      </c>
      <c r="E141" t="s">
        <v>85</v>
      </c>
      <c r="F141" t="s">
        <v>83</v>
      </c>
      <c r="G141" t="s">
        <v>41</v>
      </c>
      <c r="H141" t="s">
        <v>25</v>
      </c>
      <c r="I141" t="s">
        <v>17</v>
      </c>
      <c r="J141" t="s">
        <v>68</v>
      </c>
      <c r="K141" t="s">
        <v>69</v>
      </c>
      <c r="L141">
        <v>298.90000000000003</v>
      </c>
      <c r="M141">
        <v>90</v>
      </c>
      <c r="N141">
        <f>Hoja4!$L141*Hoja4!$M141</f>
        <v>26901.000000000004</v>
      </c>
      <c r="O141" t="str">
        <f t="shared" si="5"/>
        <v>Vie.</v>
      </c>
      <c r="P141" t="str">
        <f t="shared" si="6"/>
        <v>octubre</v>
      </c>
    </row>
    <row r="142" spans="1:16" x14ac:dyDescent="0.25">
      <c r="A142">
        <v>141</v>
      </c>
      <c r="B142">
        <v>43846</v>
      </c>
      <c r="C142">
        <v>924402492</v>
      </c>
      <c r="D142" t="s">
        <v>63</v>
      </c>
      <c r="E142" t="s">
        <v>85</v>
      </c>
      <c r="F142" t="s">
        <v>83</v>
      </c>
      <c r="G142" t="s">
        <v>41</v>
      </c>
      <c r="H142" t="s">
        <v>25</v>
      </c>
      <c r="I142" t="s">
        <v>17</v>
      </c>
      <c r="J142" t="s">
        <v>34</v>
      </c>
      <c r="K142" t="s">
        <v>35</v>
      </c>
      <c r="L142">
        <v>135.1</v>
      </c>
      <c r="M142">
        <v>60</v>
      </c>
      <c r="N142">
        <f>Hoja4!$L142*Hoja4!$M142</f>
        <v>8106</v>
      </c>
      <c r="O142" t="str">
        <f t="shared" si="5"/>
        <v>Jue.</v>
      </c>
      <c r="P142" t="str">
        <f t="shared" si="6"/>
        <v>enero</v>
      </c>
    </row>
    <row r="143" spans="1:16" x14ac:dyDescent="0.25">
      <c r="A143">
        <v>142</v>
      </c>
      <c r="B143">
        <v>44001</v>
      </c>
      <c r="C143">
        <v>5633857209</v>
      </c>
      <c r="D143" t="s">
        <v>63</v>
      </c>
      <c r="E143" t="s">
        <v>85</v>
      </c>
      <c r="F143" t="s">
        <v>83</v>
      </c>
      <c r="G143" t="s">
        <v>41</v>
      </c>
      <c r="H143" t="s">
        <v>25</v>
      </c>
      <c r="I143" t="s">
        <v>17</v>
      </c>
      <c r="J143" t="s">
        <v>52</v>
      </c>
      <c r="K143" t="s">
        <v>53</v>
      </c>
      <c r="L143">
        <v>257.59999999999997</v>
      </c>
      <c r="M143">
        <v>39</v>
      </c>
      <c r="N143">
        <f>Hoja4!$L143*Hoja4!$M143</f>
        <v>10046.399999999998</v>
      </c>
      <c r="O143" t="str">
        <f t="shared" si="5"/>
        <v>Vie.</v>
      </c>
      <c r="P143" t="str">
        <f t="shared" si="6"/>
        <v>junio</v>
      </c>
    </row>
    <row r="144" spans="1:16" x14ac:dyDescent="0.25">
      <c r="A144">
        <v>143</v>
      </c>
      <c r="B144">
        <v>43927</v>
      </c>
      <c r="C144">
        <v>9715216432</v>
      </c>
      <c r="D144" t="s">
        <v>28</v>
      </c>
      <c r="E144" t="s">
        <v>89</v>
      </c>
      <c r="F144" t="s">
        <v>84</v>
      </c>
      <c r="G144" t="s">
        <v>29</v>
      </c>
      <c r="H144" t="s">
        <v>8</v>
      </c>
      <c r="I144" t="s">
        <v>9</v>
      </c>
      <c r="J144" t="s">
        <v>10</v>
      </c>
      <c r="K144" t="s">
        <v>11</v>
      </c>
      <c r="L144">
        <v>196</v>
      </c>
      <c r="M144">
        <v>79</v>
      </c>
      <c r="N144">
        <f>Hoja4!$L144*Hoja4!$M144</f>
        <v>15484</v>
      </c>
      <c r="O144" t="str">
        <f t="shared" si="5"/>
        <v>Lun.</v>
      </c>
      <c r="P144" t="str">
        <f t="shared" si="6"/>
        <v>abril</v>
      </c>
    </row>
    <row r="145" spans="1:16" x14ac:dyDescent="0.25">
      <c r="A145">
        <v>144</v>
      </c>
      <c r="B145">
        <v>44100</v>
      </c>
      <c r="C145">
        <v>2808433382</v>
      </c>
      <c r="D145" t="s">
        <v>36</v>
      </c>
      <c r="E145" t="s">
        <v>92</v>
      </c>
      <c r="F145" t="s">
        <v>99</v>
      </c>
      <c r="G145" t="s">
        <v>37</v>
      </c>
      <c r="H145" t="s">
        <v>25</v>
      </c>
      <c r="I145" t="s">
        <v>9</v>
      </c>
      <c r="J145" t="s">
        <v>30</v>
      </c>
      <c r="K145" t="s">
        <v>31</v>
      </c>
      <c r="L145">
        <v>178.5</v>
      </c>
      <c r="M145">
        <v>44</v>
      </c>
      <c r="N145">
        <f>Hoja4!$L145*Hoja4!$M145</f>
        <v>7854</v>
      </c>
      <c r="O145" t="str">
        <f t="shared" si="5"/>
        <v>Sáb.</v>
      </c>
      <c r="P145" t="str">
        <f t="shared" si="6"/>
        <v>septiembre</v>
      </c>
    </row>
    <row r="146" spans="1:16" x14ac:dyDescent="0.25">
      <c r="A146">
        <v>145</v>
      </c>
      <c r="B146">
        <v>44046</v>
      </c>
      <c r="C146">
        <v>5585231955</v>
      </c>
      <c r="D146" t="s">
        <v>14</v>
      </c>
      <c r="E146" t="s">
        <v>81</v>
      </c>
      <c r="F146" t="s">
        <v>94</v>
      </c>
      <c r="G146" t="s">
        <v>15</v>
      </c>
      <c r="H146" t="s">
        <v>16</v>
      </c>
      <c r="I146" t="s">
        <v>17</v>
      </c>
      <c r="J146" t="s">
        <v>70</v>
      </c>
      <c r="K146" t="s">
        <v>47</v>
      </c>
      <c r="L146">
        <v>1134</v>
      </c>
      <c r="M146">
        <v>98</v>
      </c>
      <c r="N146">
        <f>Hoja4!$L146*Hoja4!$M146</f>
        <v>111132</v>
      </c>
      <c r="O146" t="str">
        <f t="shared" si="5"/>
        <v>Lun.</v>
      </c>
      <c r="P146" t="str">
        <f t="shared" si="6"/>
        <v>agosto</v>
      </c>
    </row>
    <row r="147" spans="1:16" x14ac:dyDescent="0.25">
      <c r="A147">
        <v>146</v>
      </c>
      <c r="B147">
        <v>44169</v>
      </c>
      <c r="C147">
        <v>4338999814</v>
      </c>
      <c r="D147" t="s">
        <v>14</v>
      </c>
      <c r="E147" t="s">
        <v>81</v>
      </c>
      <c r="F147" t="s">
        <v>94</v>
      </c>
      <c r="G147" t="s">
        <v>15</v>
      </c>
      <c r="H147" t="s">
        <v>16</v>
      </c>
      <c r="I147" t="s">
        <v>17</v>
      </c>
      <c r="J147" t="s">
        <v>71</v>
      </c>
      <c r="K147" t="s">
        <v>72</v>
      </c>
      <c r="L147">
        <v>98</v>
      </c>
      <c r="M147">
        <v>61</v>
      </c>
      <c r="N147">
        <f>Hoja4!$L147*Hoja4!$M147</f>
        <v>5978</v>
      </c>
      <c r="O147" t="str">
        <f t="shared" si="5"/>
        <v>Vie.</v>
      </c>
      <c r="P147" t="str">
        <f t="shared" si="6"/>
        <v>diciembre</v>
      </c>
    </row>
    <row r="148" spans="1:16" x14ac:dyDescent="0.25">
      <c r="A148">
        <v>147</v>
      </c>
      <c r="B148">
        <v>44056</v>
      </c>
      <c r="C148">
        <v>3475726472</v>
      </c>
      <c r="D148" t="s">
        <v>23</v>
      </c>
      <c r="E148" t="s">
        <v>86</v>
      </c>
      <c r="F148" t="s">
        <v>82</v>
      </c>
      <c r="G148" t="s">
        <v>24</v>
      </c>
      <c r="H148" t="s">
        <v>25</v>
      </c>
      <c r="I148" t="s">
        <v>17</v>
      </c>
      <c r="J148" t="s">
        <v>58</v>
      </c>
      <c r="K148" t="s">
        <v>59</v>
      </c>
      <c r="L148">
        <v>487.19999999999993</v>
      </c>
      <c r="M148">
        <v>30</v>
      </c>
      <c r="N148">
        <f>Hoja4!$L148*Hoja4!$M148</f>
        <v>14615.999999999998</v>
      </c>
      <c r="O148" t="str">
        <f t="shared" si="5"/>
        <v>Jue.</v>
      </c>
      <c r="P148" t="str">
        <f t="shared" si="6"/>
        <v>agosto</v>
      </c>
    </row>
    <row r="149" spans="1:16" x14ac:dyDescent="0.25">
      <c r="A149">
        <v>148</v>
      </c>
      <c r="B149">
        <v>43946</v>
      </c>
      <c r="C149">
        <v>9727843310</v>
      </c>
      <c r="D149" t="s">
        <v>32</v>
      </c>
      <c r="E149" t="s">
        <v>93</v>
      </c>
      <c r="F149" t="s">
        <v>96</v>
      </c>
      <c r="G149" t="s">
        <v>7</v>
      </c>
      <c r="H149" t="s">
        <v>8</v>
      </c>
      <c r="I149" t="s">
        <v>33</v>
      </c>
      <c r="J149" t="s">
        <v>60</v>
      </c>
      <c r="K149" t="s">
        <v>49</v>
      </c>
      <c r="L149">
        <v>140</v>
      </c>
      <c r="M149">
        <v>24</v>
      </c>
      <c r="N149">
        <f>Hoja4!$L149*Hoja4!$M149</f>
        <v>3360</v>
      </c>
      <c r="O149" t="str">
        <f t="shared" si="5"/>
        <v>Sáb.</v>
      </c>
      <c r="P149" t="str">
        <f t="shared" si="6"/>
        <v>abril</v>
      </c>
    </row>
    <row r="150" spans="1:16" x14ac:dyDescent="0.25">
      <c r="A150">
        <v>149</v>
      </c>
      <c r="B150">
        <v>43951</v>
      </c>
      <c r="C150">
        <v>536031236</v>
      </c>
      <c r="D150" t="s">
        <v>32</v>
      </c>
      <c r="E150" t="s">
        <v>93</v>
      </c>
      <c r="F150" t="s">
        <v>96</v>
      </c>
      <c r="G150" t="s">
        <v>7</v>
      </c>
      <c r="H150" t="s">
        <v>8</v>
      </c>
      <c r="I150" t="s">
        <v>33</v>
      </c>
      <c r="J150" t="s">
        <v>38</v>
      </c>
      <c r="K150" t="s">
        <v>39</v>
      </c>
      <c r="L150">
        <v>560</v>
      </c>
      <c r="M150">
        <v>28</v>
      </c>
      <c r="N150">
        <f>Hoja4!$L150*Hoja4!$M150</f>
        <v>15680</v>
      </c>
      <c r="O150" t="str">
        <f t="shared" si="5"/>
        <v>Jue.</v>
      </c>
      <c r="P150" t="str">
        <f t="shared" si="6"/>
        <v>abril</v>
      </c>
    </row>
    <row r="151" spans="1:16" x14ac:dyDescent="0.25">
      <c r="A151">
        <v>150</v>
      </c>
      <c r="B151">
        <v>44039</v>
      </c>
      <c r="C151">
        <v>1875435757</v>
      </c>
      <c r="D151" t="s">
        <v>42</v>
      </c>
      <c r="E151" t="s">
        <v>91</v>
      </c>
      <c r="F151" t="s">
        <v>91</v>
      </c>
      <c r="G151" t="s">
        <v>43</v>
      </c>
      <c r="H151" t="s">
        <v>8</v>
      </c>
      <c r="I151" t="s">
        <v>17</v>
      </c>
      <c r="J151" t="s">
        <v>61</v>
      </c>
      <c r="K151" t="s">
        <v>13</v>
      </c>
      <c r="L151">
        <v>140</v>
      </c>
      <c r="M151">
        <v>74</v>
      </c>
      <c r="N151">
        <f>Hoja4!$L151*Hoja4!$M151</f>
        <v>10360</v>
      </c>
      <c r="O151" t="str">
        <f t="shared" si="5"/>
        <v>Lun.</v>
      </c>
      <c r="P151" t="str">
        <f t="shared" si="6"/>
        <v>julio</v>
      </c>
    </row>
    <row r="152" spans="1:16" x14ac:dyDescent="0.25">
      <c r="A152">
        <v>151</v>
      </c>
      <c r="B152">
        <v>44141</v>
      </c>
      <c r="C152">
        <v>8711973073</v>
      </c>
      <c r="D152" t="s">
        <v>42</v>
      </c>
      <c r="E152" t="s">
        <v>91</v>
      </c>
      <c r="F152" t="s">
        <v>91</v>
      </c>
      <c r="G152" t="s">
        <v>43</v>
      </c>
      <c r="H152" t="s">
        <v>16</v>
      </c>
      <c r="J152" t="s">
        <v>12</v>
      </c>
      <c r="K152" t="s">
        <v>13</v>
      </c>
      <c r="L152">
        <v>49</v>
      </c>
      <c r="M152">
        <v>90</v>
      </c>
      <c r="N152">
        <f>Hoja4!$L152*Hoja4!$M152</f>
        <v>4410</v>
      </c>
      <c r="O152" t="str">
        <f t="shared" si="5"/>
        <v>Vie.</v>
      </c>
      <c r="P152" t="str">
        <f t="shared" si="6"/>
        <v>noviembre</v>
      </c>
    </row>
    <row r="153" spans="1:16" x14ac:dyDescent="0.25">
      <c r="A153">
        <v>152</v>
      </c>
      <c r="B153">
        <v>44169</v>
      </c>
      <c r="C153">
        <v>1214228285</v>
      </c>
      <c r="D153" t="s">
        <v>50</v>
      </c>
      <c r="E153" t="s">
        <v>85</v>
      </c>
      <c r="F153" t="s">
        <v>83</v>
      </c>
      <c r="G153" t="s">
        <v>41</v>
      </c>
      <c r="H153" t="s">
        <v>25</v>
      </c>
      <c r="J153" t="s">
        <v>38</v>
      </c>
      <c r="K153" t="s">
        <v>39</v>
      </c>
      <c r="L153">
        <v>560</v>
      </c>
      <c r="M153">
        <v>27</v>
      </c>
      <c r="N153">
        <f>Hoja4!$L153*Hoja4!$M153</f>
        <v>15120</v>
      </c>
      <c r="O153" t="str">
        <f t="shared" si="5"/>
        <v>Vie.</v>
      </c>
      <c r="P153" t="str">
        <f t="shared" si="6"/>
        <v>diciembre</v>
      </c>
    </row>
    <row r="154" spans="1:16" x14ac:dyDescent="0.25">
      <c r="A154">
        <v>153</v>
      </c>
      <c r="B154">
        <v>44083</v>
      </c>
      <c r="C154">
        <v>3447948983</v>
      </c>
      <c r="D154" t="s">
        <v>51</v>
      </c>
      <c r="E154" t="s">
        <v>90</v>
      </c>
      <c r="F154" t="s">
        <v>98</v>
      </c>
      <c r="G154" t="s">
        <v>24</v>
      </c>
      <c r="H154" t="s">
        <v>25</v>
      </c>
      <c r="J154" t="s">
        <v>52</v>
      </c>
      <c r="K154" t="s">
        <v>53</v>
      </c>
      <c r="L154">
        <v>257.59999999999997</v>
      </c>
      <c r="M154">
        <v>71</v>
      </c>
      <c r="N154">
        <f>Hoja4!$L154*Hoja4!$M154</f>
        <v>18289.599999999999</v>
      </c>
      <c r="O154" t="str">
        <f t="shared" si="5"/>
        <v>Mié.</v>
      </c>
      <c r="P154" t="str">
        <f t="shared" si="6"/>
        <v>septiembre</v>
      </c>
    </row>
    <row r="155" spans="1:16" x14ac:dyDescent="0.25">
      <c r="A155">
        <v>154</v>
      </c>
      <c r="B155">
        <v>43963</v>
      </c>
      <c r="C155">
        <v>8753770178</v>
      </c>
      <c r="D155" t="s">
        <v>40</v>
      </c>
      <c r="E155" t="s">
        <v>97</v>
      </c>
      <c r="F155" t="s">
        <v>88</v>
      </c>
      <c r="G155" t="s">
        <v>41</v>
      </c>
      <c r="H155" t="s">
        <v>25</v>
      </c>
      <c r="I155" t="s">
        <v>17</v>
      </c>
      <c r="J155" t="s">
        <v>22</v>
      </c>
      <c r="K155" t="s">
        <v>11</v>
      </c>
      <c r="L155">
        <v>644</v>
      </c>
      <c r="M155">
        <v>74</v>
      </c>
      <c r="N155">
        <f>Hoja4!$L155*Hoja4!$M155</f>
        <v>47656</v>
      </c>
      <c r="O155" t="str">
        <f t="shared" si="5"/>
        <v>Mar.</v>
      </c>
      <c r="P155" t="str">
        <f t="shared" si="6"/>
        <v>mayo</v>
      </c>
    </row>
    <row r="156" spans="1:16" x14ac:dyDescent="0.25">
      <c r="A156">
        <v>155</v>
      </c>
      <c r="B156">
        <v>43855</v>
      </c>
      <c r="C156">
        <v>493013693</v>
      </c>
      <c r="D156" t="s">
        <v>54</v>
      </c>
      <c r="E156" t="s">
        <v>89</v>
      </c>
      <c r="F156" t="s">
        <v>84</v>
      </c>
      <c r="G156" t="s">
        <v>55</v>
      </c>
      <c r="H156" t="s">
        <v>16</v>
      </c>
      <c r="I156" t="s">
        <v>9</v>
      </c>
      <c r="J156" t="s">
        <v>34</v>
      </c>
      <c r="K156" t="s">
        <v>35</v>
      </c>
      <c r="L156">
        <v>135.1</v>
      </c>
      <c r="M156">
        <v>76</v>
      </c>
      <c r="N156">
        <f>Hoja4!$L156*Hoja4!$M156</f>
        <v>10267.6</v>
      </c>
      <c r="O156" t="str">
        <f t="shared" si="5"/>
        <v>Sáb.</v>
      </c>
      <c r="P156" t="str">
        <f t="shared" si="6"/>
        <v>enero</v>
      </c>
    </row>
    <row r="157" spans="1:16" x14ac:dyDescent="0.25">
      <c r="A157">
        <v>156</v>
      </c>
      <c r="B157">
        <v>44132</v>
      </c>
      <c r="C157">
        <v>4097578178</v>
      </c>
      <c r="D157" t="s">
        <v>36</v>
      </c>
      <c r="E157" t="s">
        <v>92</v>
      </c>
      <c r="F157" t="s">
        <v>99</v>
      </c>
      <c r="G157" t="s">
        <v>37</v>
      </c>
      <c r="H157" t="s">
        <v>8</v>
      </c>
      <c r="I157" t="s">
        <v>17</v>
      </c>
      <c r="J157" t="s">
        <v>30</v>
      </c>
      <c r="K157" t="s">
        <v>31</v>
      </c>
      <c r="L157">
        <v>178.5</v>
      </c>
      <c r="M157">
        <v>96</v>
      </c>
      <c r="N157">
        <f>Hoja4!$L157*Hoja4!$M157</f>
        <v>17136</v>
      </c>
      <c r="O157" t="str">
        <f t="shared" si="5"/>
        <v>Mié.</v>
      </c>
      <c r="P157" t="str">
        <f t="shared" si="6"/>
        <v>octubre</v>
      </c>
    </row>
    <row r="158" spans="1:16" x14ac:dyDescent="0.25">
      <c r="A158">
        <v>157</v>
      </c>
      <c r="B158">
        <v>44018</v>
      </c>
      <c r="C158">
        <v>9949307477</v>
      </c>
      <c r="D158" t="s">
        <v>23</v>
      </c>
      <c r="E158" t="s">
        <v>86</v>
      </c>
      <c r="F158" t="s">
        <v>82</v>
      </c>
      <c r="G158" t="s">
        <v>24</v>
      </c>
      <c r="H158" t="s">
        <v>8</v>
      </c>
      <c r="I158" t="s">
        <v>9</v>
      </c>
      <c r="J158" t="s">
        <v>30</v>
      </c>
      <c r="K158" t="s">
        <v>31</v>
      </c>
      <c r="L158">
        <v>178.5</v>
      </c>
      <c r="M158">
        <v>92</v>
      </c>
      <c r="N158">
        <f>Hoja4!$L158*Hoja4!$M158</f>
        <v>16422</v>
      </c>
      <c r="O158" t="str">
        <f t="shared" si="5"/>
        <v>Lun.</v>
      </c>
      <c r="P158" t="str">
        <f t="shared" si="6"/>
        <v>julio</v>
      </c>
    </row>
    <row r="159" spans="1:16" x14ac:dyDescent="0.25">
      <c r="A159">
        <v>158</v>
      </c>
      <c r="B159">
        <v>43972</v>
      </c>
      <c r="C159">
        <v>2521830520</v>
      </c>
      <c r="D159" t="s">
        <v>62</v>
      </c>
      <c r="E159" t="s">
        <v>91</v>
      </c>
      <c r="F159" t="s">
        <v>91</v>
      </c>
      <c r="G159" t="s">
        <v>43</v>
      </c>
      <c r="H159" t="s">
        <v>16</v>
      </c>
      <c r="I159" t="s">
        <v>33</v>
      </c>
      <c r="J159" t="s">
        <v>48</v>
      </c>
      <c r="K159" t="s">
        <v>49</v>
      </c>
      <c r="L159">
        <v>308</v>
      </c>
      <c r="M159">
        <v>93</v>
      </c>
      <c r="N159">
        <f>Hoja4!$L159*Hoja4!$M159</f>
        <v>28644</v>
      </c>
      <c r="O159" t="str">
        <f t="shared" si="5"/>
        <v>Jue.</v>
      </c>
      <c r="P159" t="str">
        <f t="shared" si="6"/>
        <v>mayo</v>
      </c>
    </row>
    <row r="160" spans="1:16" x14ac:dyDescent="0.25">
      <c r="A160">
        <v>159</v>
      </c>
      <c r="B160">
        <v>43982</v>
      </c>
      <c r="C160">
        <v>4224616034</v>
      </c>
      <c r="D160" t="s">
        <v>63</v>
      </c>
      <c r="E160" t="s">
        <v>85</v>
      </c>
      <c r="F160" t="s">
        <v>83</v>
      </c>
      <c r="G160" t="s">
        <v>41</v>
      </c>
      <c r="H160" t="s">
        <v>25</v>
      </c>
      <c r="I160" t="s">
        <v>17</v>
      </c>
      <c r="J160" t="s">
        <v>46</v>
      </c>
      <c r="K160" t="s">
        <v>47</v>
      </c>
      <c r="L160">
        <v>350</v>
      </c>
      <c r="M160">
        <v>18</v>
      </c>
      <c r="N160">
        <f>Hoja4!$L160*Hoja4!$M160</f>
        <v>6300</v>
      </c>
      <c r="O160" t="str">
        <f t="shared" si="5"/>
        <v>Dom.</v>
      </c>
      <c r="P160" t="str">
        <f t="shared" si="6"/>
        <v>mayo</v>
      </c>
    </row>
    <row r="161" spans="1:16" x14ac:dyDescent="0.25">
      <c r="A161">
        <v>160</v>
      </c>
      <c r="B161">
        <v>44049</v>
      </c>
      <c r="C161">
        <v>7169314881</v>
      </c>
      <c r="D161" t="s">
        <v>28</v>
      </c>
      <c r="E161" t="s">
        <v>89</v>
      </c>
      <c r="F161" t="s">
        <v>84</v>
      </c>
      <c r="G161" t="s">
        <v>29</v>
      </c>
      <c r="H161" t="s">
        <v>8</v>
      </c>
      <c r="I161" t="s">
        <v>9</v>
      </c>
      <c r="J161" t="s">
        <v>64</v>
      </c>
      <c r="K161" t="s">
        <v>65</v>
      </c>
      <c r="L161">
        <v>546</v>
      </c>
      <c r="M161">
        <v>98</v>
      </c>
      <c r="N161">
        <f>Hoja4!$L161*Hoja4!$M161</f>
        <v>53508</v>
      </c>
      <c r="O161" t="str">
        <f t="shared" si="5"/>
        <v>Jue.</v>
      </c>
      <c r="P161" t="str">
        <f t="shared" si="6"/>
        <v>agosto</v>
      </c>
    </row>
    <row r="162" spans="1:16" x14ac:dyDescent="0.25">
      <c r="A162">
        <v>161</v>
      </c>
      <c r="B162">
        <v>44018</v>
      </c>
      <c r="C162">
        <v>8313545064</v>
      </c>
      <c r="D162" t="s">
        <v>36</v>
      </c>
      <c r="E162" t="s">
        <v>92</v>
      </c>
      <c r="F162" t="s">
        <v>99</v>
      </c>
      <c r="G162" t="s">
        <v>37</v>
      </c>
      <c r="H162" t="s">
        <v>25</v>
      </c>
      <c r="I162" t="s">
        <v>9</v>
      </c>
      <c r="J162" t="s">
        <v>18</v>
      </c>
      <c r="K162" t="s">
        <v>13</v>
      </c>
      <c r="L162">
        <v>420</v>
      </c>
      <c r="M162">
        <v>46</v>
      </c>
      <c r="N162">
        <f>Hoja4!$L162*Hoja4!$M162</f>
        <v>19320</v>
      </c>
      <c r="O162" t="str">
        <f t="shared" si="5"/>
        <v>Lun.</v>
      </c>
      <c r="P162" t="str">
        <f t="shared" si="6"/>
        <v>julio</v>
      </c>
    </row>
    <row r="163" spans="1:16" x14ac:dyDescent="0.25">
      <c r="A163">
        <v>162</v>
      </c>
      <c r="B163">
        <v>44064</v>
      </c>
      <c r="C163">
        <v>5739621013</v>
      </c>
      <c r="D163" t="s">
        <v>36</v>
      </c>
      <c r="E163" t="s">
        <v>92</v>
      </c>
      <c r="F163" t="s">
        <v>99</v>
      </c>
      <c r="G163" t="s">
        <v>37</v>
      </c>
      <c r="H163" t="s">
        <v>25</v>
      </c>
      <c r="I163" t="s">
        <v>9</v>
      </c>
      <c r="J163" t="s">
        <v>19</v>
      </c>
      <c r="K163" t="s">
        <v>13</v>
      </c>
      <c r="L163">
        <v>742</v>
      </c>
      <c r="M163">
        <v>14</v>
      </c>
      <c r="N163">
        <f>Hoja4!$L163*Hoja4!$M163</f>
        <v>10388</v>
      </c>
      <c r="O163" t="str">
        <f t="shared" si="5"/>
        <v>Vie.</v>
      </c>
      <c r="P163" t="str">
        <f t="shared" si="6"/>
        <v>agosto</v>
      </c>
    </row>
    <row r="164" spans="1:16" x14ac:dyDescent="0.25">
      <c r="A164">
        <v>163</v>
      </c>
      <c r="B164">
        <v>43942</v>
      </c>
      <c r="C164">
        <v>1789830506</v>
      </c>
      <c r="D164" t="s">
        <v>14</v>
      </c>
      <c r="E164" t="s">
        <v>81</v>
      </c>
      <c r="F164" t="s">
        <v>94</v>
      </c>
      <c r="G164" t="s">
        <v>15</v>
      </c>
      <c r="J164" t="s">
        <v>66</v>
      </c>
      <c r="K164" t="s">
        <v>57</v>
      </c>
      <c r="L164">
        <v>532</v>
      </c>
      <c r="M164">
        <v>85</v>
      </c>
      <c r="N164">
        <f>Hoja4!$L164*Hoja4!$M164</f>
        <v>45220</v>
      </c>
      <c r="O164" t="str">
        <f t="shared" si="5"/>
        <v>Mar.</v>
      </c>
      <c r="P164" t="str">
        <f t="shared" si="6"/>
        <v>abril</v>
      </c>
    </row>
    <row r="165" spans="1:16" x14ac:dyDescent="0.25">
      <c r="A165">
        <v>164</v>
      </c>
      <c r="B165">
        <v>44098</v>
      </c>
      <c r="C165">
        <v>6281652174</v>
      </c>
      <c r="D165" t="s">
        <v>32</v>
      </c>
      <c r="E165" t="s">
        <v>93</v>
      </c>
      <c r="F165" t="s">
        <v>96</v>
      </c>
      <c r="G165" t="s">
        <v>7</v>
      </c>
      <c r="J165" t="s">
        <v>44</v>
      </c>
      <c r="K165" t="s">
        <v>11</v>
      </c>
      <c r="L165">
        <v>41.86</v>
      </c>
      <c r="M165">
        <v>88</v>
      </c>
      <c r="N165">
        <f>Hoja4!$L165*Hoja4!$M165</f>
        <v>3683.68</v>
      </c>
      <c r="O165" t="str">
        <f t="shared" si="5"/>
        <v>Jue.</v>
      </c>
      <c r="P165" t="str">
        <f t="shared" si="6"/>
        <v>septiembre</v>
      </c>
    </row>
    <row r="166" spans="1:16" x14ac:dyDescent="0.25">
      <c r="A166">
        <v>165</v>
      </c>
      <c r="B166">
        <v>43859</v>
      </c>
      <c r="C166">
        <v>8126696083</v>
      </c>
      <c r="D166" t="s">
        <v>51</v>
      </c>
      <c r="E166" t="s">
        <v>90</v>
      </c>
      <c r="F166" t="s">
        <v>98</v>
      </c>
      <c r="G166" t="s">
        <v>24</v>
      </c>
      <c r="J166" t="s">
        <v>44</v>
      </c>
      <c r="K166" t="s">
        <v>11</v>
      </c>
      <c r="L166">
        <v>41.86</v>
      </c>
      <c r="M166">
        <v>81</v>
      </c>
      <c r="N166">
        <f>Hoja4!$L166*Hoja4!$M166</f>
        <v>3390.66</v>
      </c>
      <c r="O166" t="str">
        <f t="shared" si="5"/>
        <v>Mié.</v>
      </c>
      <c r="P166" t="str">
        <f t="shared" si="6"/>
        <v>enero</v>
      </c>
    </row>
    <row r="167" spans="1:16" x14ac:dyDescent="0.25">
      <c r="A167">
        <v>166</v>
      </c>
      <c r="B167">
        <v>44160</v>
      </c>
      <c r="C167">
        <v>2706456269</v>
      </c>
      <c r="D167" t="s">
        <v>40</v>
      </c>
      <c r="E167" t="s">
        <v>97</v>
      </c>
      <c r="F167" t="s">
        <v>88</v>
      </c>
      <c r="G167" t="s">
        <v>41</v>
      </c>
      <c r="H167" t="s">
        <v>25</v>
      </c>
      <c r="I167" t="s">
        <v>17</v>
      </c>
      <c r="J167" t="s">
        <v>34</v>
      </c>
      <c r="K167" t="s">
        <v>35</v>
      </c>
      <c r="L167">
        <v>135.1</v>
      </c>
      <c r="M167">
        <v>33</v>
      </c>
      <c r="N167">
        <f>Hoja4!$L167*Hoja4!$M167</f>
        <v>4458.3</v>
      </c>
      <c r="O167" t="str">
        <f t="shared" si="5"/>
        <v>Mié.</v>
      </c>
      <c r="P167" t="str">
        <f t="shared" si="6"/>
        <v>noviembre</v>
      </c>
    </row>
    <row r="168" spans="1:16" x14ac:dyDescent="0.25">
      <c r="A168">
        <v>167</v>
      </c>
      <c r="B168">
        <v>44167</v>
      </c>
      <c r="C168">
        <v>6159315697</v>
      </c>
      <c r="D168" t="s">
        <v>40</v>
      </c>
      <c r="E168" t="s">
        <v>97</v>
      </c>
      <c r="F168" t="s">
        <v>88</v>
      </c>
      <c r="G168" t="s">
        <v>41</v>
      </c>
      <c r="H168" t="s">
        <v>25</v>
      </c>
      <c r="I168" t="s">
        <v>17</v>
      </c>
      <c r="J168" t="s">
        <v>52</v>
      </c>
      <c r="K168" t="s">
        <v>53</v>
      </c>
      <c r="L168">
        <v>257.59999999999997</v>
      </c>
      <c r="M168">
        <v>47</v>
      </c>
      <c r="N168">
        <f>Hoja4!$L168*Hoja4!$M168</f>
        <v>12107.199999999999</v>
      </c>
      <c r="O168" t="str">
        <f t="shared" si="5"/>
        <v>Mié.</v>
      </c>
      <c r="P168" t="str">
        <f t="shared" si="6"/>
        <v>diciembre</v>
      </c>
    </row>
    <row r="169" spans="1:16" x14ac:dyDescent="0.25">
      <c r="A169">
        <v>168</v>
      </c>
      <c r="B169">
        <v>44026</v>
      </c>
      <c r="C169">
        <v>2749029538</v>
      </c>
      <c r="D169" t="s">
        <v>54</v>
      </c>
      <c r="E169" t="s">
        <v>89</v>
      </c>
      <c r="F169" t="s">
        <v>84</v>
      </c>
      <c r="G169" t="s">
        <v>55</v>
      </c>
      <c r="H169" t="s">
        <v>16</v>
      </c>
      <c r="I169" t="s">
        <v>9</v>
      </c>
      <c r="J169" t="s">
        <v>56</v>
      </c>
      <c r="K169" t="s">
        <v>57</v>
      </c>
      <c r="L169">
        <v>273</v>
      </c>
      <c r="M169">
        <v>61</v>
      </c>
      <c r="N169">
        <f>Hoja4!$L169*Hoja4!$M169</f>
        <v>16653</v>
      </c>
      <c r="O169" t="str">
        <f t="shared" si="5"/>
        <v>Mar.</v>
      </c>
      <c r="P169" t="str">
        <f t="shared" si="6"/>
        <v>julio</v>
      </c>
    </row>
    <row r="170" spans="1:16" x14ac:dyDescent="0.25">
      <c r="A170">
        <v>169</v>
      </c>
      <c r="B170">
        <v>43998</v>
      </c>
      <c r="C170">
        <v>9017454158</v>
      </c>
      <c r="D170" t="s">
        <v>54</v>
      </c>
      <c r="E170" t="s">
        <v>89</v>
      </c>
      <c r="F170" t="s">
        <v>84</v>
      </c>
      <c r="G170" t="s">
        <v>55</v>
      </c>
      <c r="H170" t="s">
        <v>16</v>
      </c>
      <c r="I170" t="s">
        <v>9</v>
      </c>
      <c r="J170" t="s">
        <v>58</v>
      </c>
      <c r="K170" t="s">
        <v>59</v>
      </c>
      <c r="L170">
        <v>487.19999999999993</v>
      </c>
      <c r="M170">
        <v>27</v>
      </c>
      <c r="N170">
        <f>Hoja4!$L170*Hoja4!$M170</f>
        <v>13154.399999999998</v>
      </c>
      <c r="O170" t="str">
        <f t="shared" si="5"/>
        <v>Mar.</v>
      </c>
      <c r="P170" t="str">
        <f t="shared" si="6"/>
        <v>junio</v>
      </c>
    </row>
    <row r="171" spans="1:16" x14ac:dyDescent="0.25">
      <c r="A171">
        <v>170</v>
      </c>
      <c r="B171">
        <v>43893</v>
      </c>
      <c r="C171">
        <v>445300235</v>
      </c>
      <c r="D171" t="s">
        <v>36</v>
      </c>
      <c r="E171" t="s">
        <v>92</v>
      </c>
      <c r="F171" t="s">
        <v>99</v>
      </c>
      <c r="G171" t="s">
        <v>37</v>
      </c>
      <c r="H171" t="s">
        <v>8</v>
      </c>
      <c r="I171" t="s">
        <v>17</v>
      </c>
      <c r="J171" t="s">
        <v>10</v>
      </c>
      <c r="K171" t="s">
        <v>11</v>
      </c>
      <c r="L171">
        <v>196</v>
      </c>
      <c r="M171">
        <v>84</v>
      </c>
      <c r="N171">
        <f>Hoja4!$L171*Hoja4!$M171</f>
        <v>16464</v>
      </c>
      <c r="O171" t="str">
        <f t="shared" si="5"/>
        <v>Mar.</v>
      </c>
      <c r="P171" t="str">
        <f t="shared" si="6"/>
        <v>marzo</v>
      </c>
    </row>
    <row r="172" spans="1:16" x14ac:dyDescent="0.25">
      <c r="A172">
        <v>171</v>
      </c>
      <c r="B172">
        <v>43844</v>
      </c>
      <c r="C172">
        <v>3498781571</v>
      </c>
      <c r="D172" t="s">
        <v>23</v>
      </c>
      <c r="E172" t="s">
        <v>86</v>
      </c>
      <c r="F172" t="s">
        <v>82</v>
      </c>
      <c r="G172" t="s">
        <v>24</v>
      </c>
      <c r="H172" t="s">
        <v>8</v>
      </c>
      <c r="I172" t="s">
        <v>9</v>
      </c>
      <c r="J172" t="s">
        <v>38</v>
      </c>
      <c r="K172" t="s">
        <v>39</v>
      </c>
      <c r="L172">
        <v>560</v>
      </c>
      <c r="M172">
        <v>91</v>
      </c>
      <c r="N172">
        <f>Hoja4!$L172*Hoja4!$M172</f>
        <v>50960</v>
      </c>
      <c r="O172" t="str">
        <f t="shared" si="5"/>
        <v>Mar.</v>
      </c>
      <c r="P172" t="str">
        <f t="shared" si="6"/>
        <v>enero</v>
      </c>
    </row>
    <row r="173" spans="1:16" x14ac:dyDescent="0.25">
      <c r="A173">
        <v>172</v>
      </c>
      <c r="B173">
        <v>44008</v>
      </c>
      <c r="C173">
        <v>376477229</v>
      </c>
      <c r="D173" t="s">
        <v>23</v>
      </c>
      <c r="E173" t="s">
        <v>86</v>
      </c>
      <c r="F173" t="s">
        <v>82</v>
      </c>
      <c r="G173" t="s">
        <v>24</v>
      </c>
      <c r="H173" t="s">
        <v>8</v>
      </c>
      <c r="I173" t="s">
        <v>9</v>
      </c>
      <c r="J173" t="s">
        <v>26</v>
      </c>
      <c r="K173" t="s">
        <v>27</v>
      </c>
      <c r="L173">
        <v>128.79999999999998</v>
      </c>
      <c r="M173">
        <v>36</v>
      </c>
      <c r="N173">
        <f>Hoja4!$L173*Hoja4!$M173</f>
        <v>4636.7999999999993</v>
      </c>
      <c r="O173" t="str">
        <f t="shared" si="5"/>
        <v>Vie.</v>
      </c>
      <c r="P173" t="str">
        <f t="shared" si="6"/>
        <v>junio</v>
      </c>
    </row>
    <row r="174" spans="1:16" x14ac:dyDescent="0.25">
      <c r="A174">
        <v>173</v>
      </c>
      <c r="B174">
        <v>44119</v>
      </c>
      <c r="C174">
        <v>1790721708</v>
      </c>
      <c r="D174" t="s">
        <v>62</v>
      </c>
      <c r="E174" t="s">
        <v>91</v>
      </c>
      <c r="F174" t="s">
        <v>91</v>
      </c>
      <c r="G174" t="s">
        <v>43</v>
      </c>
      <c r="H174" t="s">
        <v>16</v>
      </c>
      <c r="I174" t="s">
        <v>33</v>
      </c>
      <c r="J174" t="s">
        <v>67</v>
      </c>
      <c r="K174" t="s">
        <v>27</v>
      </c>
      <c r="L174">
        <v>140</v>
      </c>
      <c r="M174">
        <v>34</v>
      </c>
      <c r="N174">
        <f>Hoja4!$L174*Hoja4!$M174</f>
        <v>4760</v>
      </c>
      <c r="O174" t="str">
        <f t="shared" si="5"/>
        <v>Jue.</v>
      </c>
      <c r="P174" t="str">
        <f t="shared" si="6"/>
        <v>octubre</v>
      </c>
    </row>
    <row r="175" spans="1:16" x14ac:dyDescent="0.25">
      <c r="A175">
        <v>174</v>
      </c>
      <c r="B175">
        <v>43831</v>
      </c>
      <c r="C175">
        <v>434033868</v>
      </c>
      <c r="D175" t="s">
        <v>63</v>
      </c>
      <c r="E175" t="s">
        <v>85</v>
      </c>
      <c r="F175" t="s">
        <v>83</v>
      </c>
      <c r="G175" t="s">
        <v>41</v>
      </c>
      <c r="H175" t="s">
        <v>25</v>
      </c>
      <c r="I175" t="s">
        <v>17</v>
      </c>
      <c r="J175" t="s">
        <v>68</v>
      </c>
      <c r="K175" t="s">
        <v>69</v>
      </c>
      <c r="L175">
        <v>298.90000000000003</v>
      </c>
      <c r="M175">
        <v>81</v>
      </c>
      <c r="N175">
        <f>Hoja4!$L175*Hoja4!$M175</f>
        <v>24210.9</v>
      </c>
      <c r="O175" t="str">
        <f t="shared" si="5"/>
        <v>Mié.</v>
      </c>
      <c r="P175" t="str">
        <f t="shared" si="6"/>
        <v>enero</v>
      </c>
    </row>
    <row r="176" spans="1:16" x14ac:dyDescent="0.25">
      <c r="A176">
        <v>175</v>
      </c>
      <c r="B176">
        <v>44054</v>
      </c>
      <c r="C176">
        <v>3247684317</v>
      </c>
      <c r="D176" t="s">
        <v>63</v>
      </c>
      <c r="E176" t="s">
        <v>85</v>
      </c>
      <c r="F176" t="s">
        <v>83</v>
      </c>
      <c r="G176" t="s">
        <v>41</v>
      </c>
      <c r="H176" t="s">
        <v>25</v>
      </c>
      <c r="I176" t="s">
        <v>17</v>
      </c>
      <c r="J176" t="s">
        <v>34</v>
      </c>
      <c r="K176" t="s">
        <v>35</v>
      </c>
      <c r="L176">
        <v>135.1</v>
      </c>
      <c r="M176">
        <v>25</v>
      </c>
      <c r="N176">
        <f>Hoja4!$L176*Hoja4!$M176</f>
        <v>3377.5</v>
      </c>
      <c r="O176" t="str">
        <f t="shared" si="5"/>
        <v>Mar.</v>
      </c>
      <c r="P176" t="str">
        <f t="shared" si="6"/>
        <v>agosto</v>
      </c>
    </row>
    <row r="177" spans="1:16" x14ac:dyDescent="0.25">
      <c r="A177">
        <v>176</v>
      </c>
      <c r="B177">
        <v>43933</v>
      </c>
      <c r="C177">
        <v>6492121203</v>
      </c>
      <c r="D177" t="s">
        <v>63</v>
      </c>
      <c r="E177" t="s">
        <v>85</v>
      </c>
      <c r="F177" t="s">
        <v>83</v>
      </c>
      <c r="G177" t="s">
        <v>41</v>
      </c>
      <c r="H177" t="s">
        <v>25</v>
      </c>
      <c r="I177" t="s">
        <v>17</v>
      </c>
      <c r="J177" t="s">
        <v>52</v>
      </c>
      <c r="K177" t="s">
        <v>53</v>
      </c>
      <c r="L177">
        <v>257.59999999999997</v>
      </c>
      <c r="M177">
        <v>12</v>
      </c>
      <c r="N177">
        <f>Hoja4!$L177*Hoja4!$M177</f>
        <v>3091.2</v>
      </c>
      <c r="O177" t="str">
        <f t="shared" si="5"/>
        <v>Dom.</v>
      </c>
      <c r="P177" t="str">
        <f t="shared" si="6"/>
        <v>abril</v>
      </c>
    </row>
    <row r="178" spans="1:16" x14ac:dyDescent="0.25">
      <c r="A178">
        <v>177</v>
      </c>
      <c r="B178">
        <v>43859</v>
      </c>
      <c r="C178">
        <v>1661667624</v>
      </c>
      <c r="D178" t="s">
        <v>28</v>
      </c>
      <c r="E178" t="s">
        <v>89</v>
      </c>
      <c r="F178" t="s">
        <v>84</v>
      </c>
      <c r="G178" t="s">
        <v>29</v>
      </c>
      <c r="H178" t="s">
        <v>8</v>
      </c>
      <c r="I178" t="s">
        <v>9</v>
      </c>
      <c r="J178" t="s">
        <v>10</v>
      </c>
      <c r="K178" t="s">
        <v>11</v>
      </c>
      <c r="L178">
        <v>196</v>
      </c>
      <c r="M178">
        <v>23</v>
      </c>
      <c r="N178">
        <f>Hoja4!$L178*Hoja4!$M178</f>
        <v>4508</v>
      </c>
      <c r="O178" t="str">
        <f t="shared" si="5"/>
        <v>Mié.</v>
      </c>
      <c r="P178" t="str">
        <f t="shared" si="6"/>
        <v>enero</v>
      </c>
    </row>
    <row r="179" spans="1:16" x14ac:dyDescent="0.25">
      <c r="A179">
        <v>178</v>
      </c>
      <c r="B179">
        <v>44188</v>
      </c>
      <c r="C179">
        <v>1127190015</v>
      </c>
      <c r="D179" t="s">
        <v>36</v>
      </c>
      <c r="E179" t="s">
        <v>92</v>
      </c>
      <c r="F179" t="s">
        <v>99</v>
      </c>
      <c r="G179" t="s">
        <v>37</v>
      </c>
      <c r="H179" t="s">
        <v>25</v>
      </c>
      <c r="I179" t="s">
        <v>9</v>
      </c>
      <c r="J179" t="s">
        <v>30</v>
      </c>
      <c r="K179" t="s">
        <v>31</v>
      </c>
      <c r="L179">
        <v>178.5</v>
      </c>
      <c r="M179">
        <v>76</v>
      </c>
      <c r="N179">
        <f>Hoja4!$L179*Hoja4!$M179</f>
        <v>13566</v>
      </c>
      <c r="O179" t="str">
        <f t="shared" si="5"/>
        <v>Mié.</v>
      </c>
      <c r="P179" t="str">
        <f t="shared" si="6"/>
        <v>diciembre</v>
      </c>
    </row>
    <row r="180" spans="1:16" x14ac:dyDescent="0.25">
      <c r="A180">
        <v>179</v>
      </c>
      <c r="B180">
        <v>43937</v>
      </c>
      <c r="C180">
        <v>7862399002</v>
      </c>
      <c r="D180" t="s">
        <v>14</v>
      </c>
      <c r="E180" t="s">
        <v>81</v>
      </c>
      <c r="F180" t="s">
        <v>94</v>
      </c>
      <c r="G180" t="s">
        <v>15</v>
      </c>
      <c r="H180" t="s">
        <v>16</v>
      </c>
      <c r="I180" t="s">
        <v>17</v>
      </c>
      <c r="J180" t="s">
        <v>70</v>
      </c>
      <c r="K180" t="s">
        <v>47</v>
      </c>
      <c r="L180">
        <v>1134</v>
      </c>
      <c r="M180">
        <v>55</v>
      </c>
      <c r="N180">
        <f>Hoja4!$L180*Hoja4!$M180</f>
        <v>62370</v>
      </c>
      <c r="O180" t="str">
        <f t="shared" si="5"/>
        <v>Jue.</v>
      </c>
      <c r="P180" t="str">
        <f t="shared" si="6"/>
        <v>abril</v>
      </c>
    </row>
    <row r="181" spans="1:16" x14ac:dyDescent="0.25">
      <c r="A181">
        <v>180</v>
      </c>
      <c r="B181">
        <v>44083</v>
      </c>
      <c r="C181">
        <v>9568142105</v>
      </c>
      <c r="D181" t="s">
        <v>14</v>
      </c>
      <c r="E181" t="s">
        <v>81</v>
      </c>
      <c r="F181" t="s">
        <v>94</v>
      </c>
      <c r="G181" t="s">
        <v>15</v>
      </c>
      <c r="H181" t="s">
        <v>16</v>
      </c>
      <c r="I181" t="s">
        <v>17</v>
      </c>
      <c r="J181" t="s">
        <v>71</v>
      </c>
      <c r="K181" t="s">
        <v>72</v>
      </c>
      <c r="L181">
        <v>98</v>
      </c>
      <c r="M181">
        <v>19</v>
      </c>
      <c r="N181">
        <f>Hoja4!$L181*Hoja4!$M181</f>
        <v>1862</v>
      </c>
      <c r="O181" t="str">
        <f t="shared" si="5"/>
        <v>Mié.</v>
      </c>
      <c r="P181" t="str">
        <f t="shared" si="6"/>
        <v>septiembre</v>
      </c>
    </row>
    <row r="182" spans="1:16" x14ac:dyDescent="0.25">
      <c r="A182">
        <v>181</v>
      </c>
      <c r="B182">
        <v>43864</v>
      </c>
      <c r="C182">
        <v>1181634254</v>
      </c>
      <c r="D182" t="s">
        <v>23</v>
      </c>
      <c r="E182" t="s">
        <v>86</v>
      </c>
      <c r="F182" t="s">
        <v>82</v>
      </c>
      <c r="G182" t="s">
        <v>24</v>
      </c>
      <c r="H182" t="s">
        <v>25</v>
      </c>
      <c r="I182" t="s">
        <v>17</v>
      </c>
      <c r="J182" t="s">
        <v>58</v>
      </c>
      <c r="K182" t="s">
        <v>59</v>
      </c>
      <c r="L182">
        <v>487.19999999999993</v>
      </c>
      <c r="M182">
        <v>27</v>
      </c>
      <c r="N182">
        <f>Hoja4!$L182*Hoja4!$M182</f>
        <v>13154.399999999998</v>
      </c>
      <c r="O182" t="str">
        <f t="shared" si="5"/>
        <v>Lun.</v>
      </c>
      <c r="P182" t="str">
        <f t="shared" si="6"/>
        <v>febrero</v>
      </c>
    </row>
    <row r="183" spans="1:16" x14ac:dyDescent="0.25">
      <c r="A183">
        <v>182</v>
      </c>
      <c r="B183">
        <v>44052</v>
      </c>
      <c r="C183">
        <v>5404968765</v>
      </c>
      <c r="D183" t="s">
        <v>32</v>
      </c>
      <c r="E183" t="s">
        <v>93</v>
      </c>
      <c r="F183" t="s">
        <v>96</v>
      </c>
      <c r="G183" t="s">
        <v>7</v>
      </c>
      <c r="H183" t="s">
        <v>8</v>
      </c>
      <c r="I183" t="s">
        <v>33</v>
      </c>
      <c r="J183" t="s">
        <v>60</v>
      </c>
      <c r="K183" t="s">
        <v>49</v>
      </c>
      <c r="L183">
        <v>140</v>
      </c>
      <c r="M183">
        <v>99</v>
      </c>
      <c r="N183">
        <f>Hoja4!$L183*Hoja4!$M183</f>
        <v>13860</v>
      </c>
      <c r="O183" t="str">
        <f t="shared" si="5"/>
        <v>Dom.</v>
      </c>
      <c r="P183" t="str">
        <f t="shared" si="6"/>
        <v>agosto</v>
      </c>
    </row>
    <row r="184" spans="1:16" x14ac:dyDescent="0.25">
      <c r="A184">
        <v>183</v>
      </c>
      <c r="B184">
        <v>43959</v>
      </c>
      <c r="C184">
        <v>2431996009</v>
      </c>
      <c r="D184" t="s">
        <v>32</v>
      </c>
      <c r="E184" t="s">
        <v>93</v>
      </c>
      <c r="F184" t="s">
        <v>96</v>
      </c>
      <c r="G184" t="s">
        <v>7</v>
      </c>
      <c r="H184" t="s">
        <v>8</v>
      </c>
      <c r="I184" t="s">
        <v>33</v>
      </c>
      <c r="J184" t="s">
        <v>38</v>
      </c>
      <c r="K184" t="s">
        <v>39</v>
      </c>
      <c r="L184">
        <v>560</v>
      </c>
      <c r="M184">
        <v>10</v>
      </c>
      <c r="N184">
        <f>Hoja4!$L184*Hoja4!$M184</f>
        <v>5600</v>
      </c>
      <c r="O184" t="str">
        <f t="shared" si="5"/>
        <v>Vie.</v>
      </c>
      <c r="P184" t="str">
        <f t="shared" si="6"/>
        <v>mayo</v>
      </c>
    </row>
    <row r="185" spans="1:16" x14ac:dyDescent="0.25">
      <c r="A185">
        <v>184</v>
      </c>
      <c r="B185">
        <v>44101</v>
      </c>
      <c r="C185">
        <v>6373385557</v>
      </c>
      <c r="D185" t="s">
        <v>42</v>
      </c>
      <c r="E185" t="s">
        <v>91</v>
      </c>
      <c r="F185" t="s">
        <v>91</v>
      </c>
      <c r="G185" t="s">
        <v>43</v>
      </c>
      <c r="H185" t="s">
        <v>8</v>
      </c>
      <c r="I185" t="s">
        <v>17</v>
      </c>
      <c r="J185" t="s">
        <v>61</v>
      </c>
      <c r="K185" t="s">
        <v>13</v>
      </c>
      <c r="L185">
        <v>140</v>
      </c>
      <c r="M185">
        <v>80</v>
      </c>
      <c r="N185">
        <f>Hoja4!$L185*Hoja4!$M185</f>
        <v>11200</v>
      </c>
      <c r="O185" t="str">
        <f t="shared" si="5"/>
        <v>Dom.</v>
      </c>
      <c r="P185" t="str">
        <f t="shared" si="6"/>
        <v>septiembre</v>
      </c>
    </row>
    <row r="186" spans="1:16" x14ac:dyDescent="0.25">
      <c r="A186">
        <v>185</v>
      </c>
      <c r="B186">
        <v>44069</v>
      </c>
      <c r="C186">
        <v>5411926783</v>
      </c>
      <c r="D186" t="s">
        <v>42</v>
      </c>
      <c r="E186" t="s">
        <v>91</v>
      </c>
      <c r="F186" t="s">
        <v>91</v>
      </c>
      <c r="G186" t="s">
        <v>43</v>
      </c>
      <c r="H186" t="s">
        <v>16</v>
      </c>
      <c r="J186" t="s">
        <v>12</v>
      </c>
      <c r="K186" t="s">
        <v>13</v>
      </c>
      <c r="L186">
        <v>49</v>
      </c>
      <c r="M186">
        <v>27</v>
      </c>
      <c r="N186">
        <f>Hoja4!$L186*Hoja4!$M186</f>
        <v>1323</v>
      </c>
      <c r="O186" t="str">
        <f t="shared" si="5"/>
        <v>Mié.</v>
      </c>
      <c r="P186" t="str">
        <f t="shared" si="6"/>
        <v>agosto</v>
      </c>
    </row>
    <row r="187" spans="1:16" x14ac:dyDescent="0.25">
      <c r="A187">
        <v>186</v>
      </c>
      <c r="B187">
        <v>44118</v>
      </c>
      <c r="C187">
        <v>8397590471</v>
      </c>
      <c r="D187" t="s">
        <v>50</v>
      </c>
      <c r="E187" t="s">
        <v>85</v>
      </c>
      <c r="F187" t="s">
        <v>83</v>
      </c>
      <c r="G187" t="s">
        <v>41</v>
      </c>
      <c r="H187" t="s">
        <v>25</v>
      </c>
      <c r="J187" t="s">
        <v>38</v>
      </c>
      <c r="K187" t="s">
        <v>39</v>
      </c>
      <c r="L187">
        <v>560</v>
      </c>
      <c r="M187">
        <v>97</v>
      </c>
      <c r="N187">
        <f>Hoja4!$L187*Hoja4!$M187</f>
        <v>54320</v>
      </c>
      <c r="O187" t="str">
        <f t="shared" si="5"/>
        <v>Mié.</v>
      </c>
      <c r="P187" t="str">
        <f t="shared" si="6"/>
        <v>octubre</v>
      </c>
    </row>
    <row r="188" spans="1:16" x14ac:dyDescent="0.25">
      <c r="A188">
        <v>187</v>
      </c>
      <c r="B188">
        <v>44038</v>
      </c>
      <c r="C188">
        <v>5905399576</v>
      </c>
      <c r="D188" t="s">
        <v>51</v>
      </c>
      <c r="E188" t="s">
        <v>90</v>
      </c>
      <c r="F188" t="s">
        <v>98</v>
      </c>
      <c r="G188" t="s">
        <v>24</v>
      </c>
      <c r="H188" t="s">
        <v>25</v>
      </c>
      <c r="J188" t="s">
        <v>52</v>
      </c>
      <c r="K188" t="s">
        <v>53</v>
      </c>
      <c r="L188">
        <v>257.59999999999997</v>
      </c>
      <c r="M188">
        <v>42</v>
      </c>
      <c r="N188">
        <f>Hoja4!$L188*Hoja4!$M188</f>
        <v>10819.199999999999</v>
      </c>
      <c r="O188" t="str">
        <f t="shared" si="5"/>
        <v>Dom.</v>
      </c>
      <c r="P188" t="str">
        <f t="shared" si="6"/>
        <v>julio</v>
      </c>
    </row>
    <row r="189" spans="1:16" x14ac:dyDescent="0.25">
      <c r="A189">
        <v>188</v>
      </c>
      <c r="B189">
        <v>43947</v>
      </c>
      <c r="C189">
        <v>168682758</v>
      </c>
      <c r="D189" t="s">
        <v>40</v>
      </c>
      <c r="E189" t="s">
        <v>97</v>
      </c>
      <c r="F189" t="s">
        <v>88</v>
      </c>
      <c r="G189" t="s">
        <v>41</v>
      </c>
      <c r="H189" t="s">
        <v>25</v>
      </c>
      <c r="I189" t="s">
        <v>17</v>
      </c>
      <c r="J189" t="s">
        <v>22</v>
      </c>
      <c r="K189" t="s">
        <v>11</v>
      </c>
      <c r="L189">
        <v>644</v>
      </c>
      <c r="M189">
        <v>24</v>
      </c>
      <c r="N189">
        <f>Hoja4!$L189*Hoja4!$M189</f>
        <v>15456</v>
      </c>
      <c r="O189" t="str">
        <f t="shared" si="5"/>
        <v>Dom.</v>
      </c>
      <c r="P189" t="str">
        <f t="shared" si="6"/>
        <v>abril</v>
      </c>
    </row>
    <row r="190" spans="1:16" x14ac:dyDescent="0.25">
      <c r="A190">
        <v>189</v>
      </c>
      <c r="B190">
        <v>44162</v>
      </c>
      <c r="C190">
        <v>4992553897</v>
      </c>
      <c r="D190" t="s">
        <v>54</v>
      </c>
      <c r="E190" t="s">
        <v>89</v>
      </c>
      <c r="F190" t="s">
        <v>84</v>
      </c>
      <c r="G190" t="s">
        <v>55</v>
      </c>
      <c r="H190" t="s">
        <v>16</v>
      </c>
      <c r="I190" t="s">
        <v>9</v>
      </c>
      <c r="J190" t="s">
        <v>34</v>
      </c>
      <c r="K190" t="s">
        <v>35</v>
      </c>
      <c r="L190">
        <v>135.1</v>
      </c>
      <c r="M190">
        <v>90</v>
      </c>
      <c r="N190">
        <f>Hoja4!$L190*Hoja4!$M190</f>
        <v>12159</v>
      </c>
      <c r="O190" t="str">
        <f t="shared" si="5"/>
        <v>Vie.</v>
      </c>
      <c r="P190" t="str">
        <f t="shared" si="6"/>
        <v>noviembre</v>
      </c>
    </row>
    <row r="191" spans="1:16" x14ac:dyDescent="0.25">
      <c r="A191">
        <v>190</v>
      </c>
      <c r="B191">
        <v>44160</v>
      </c>
      <c r="C191">
        <v>9609810399</v>
      </c>
      <c r="D191" t="s">
        <v>36</v>
      </c>
      <c r="E191" t="s">
        <v>92</v>
      </c>
      <c r="F191" t="s">
        <v>99</v>
      </c>
      <c r="G191" t="s">
        <v>37</v>
      </c>
      <c r="H191" t="s">
        <v>8</v>
      </c>
      <c r="I191" t="s">
        <v>17</v>
      </c>
      <c r="J191" t="s">
        <v>30</v>
      </c>
      <c r="K191" t="s">
        <v>31</v>
      </c>
      <c r="L191">
        <v>178.5</v>
      </c>
      <c r="M191">
        <v>28</v>
      </c>
      <c r="N191">
        <f>Hoja4!$L191*Hoja4!$M191</f>
        <v>4998</v>
      </c>
      <c r="O191" t="str">
        <f t="shared" si="5"/>
        <v>Mié.</v>
      </c>
      <c r="P191" t="str">
        <f t="shared" si="6"/>
        <v>noviembre</v>
      </c>
    </row>
    <row r="192" spans="1:16" x14ac:dyDescent="0.25">
      <c r="A192">
        <v>191</v>
      </c>
      <c r="B192">
        <v>44045</v>
      </c>
      <c r="C192">
        <v>1537469039</v>
      </c>
      <c r="D192" t="s">
        <v>40</v>
      </c>
      <c r="E192" t="s">
        <v>97</v>
      </c>
      <c r="F192" t="s">
        <v>88</v>
      </c>
      <c r="G192" t="s">
        <v>41</v>
      </c>
      <c r="H192" t="s">
        <v>25</v>
      </c>
      <c r="I192" t="s">
        <v>9</v>
      </c>
      <c r="J192" t="s">
        <v>22</v>
      </c>
      <c r="K192" t="s">
        <v>11</v>
      </c>
      <c r="L192">
        <v>644</v>
      </c>
      <c r="M192">
        <v>28</v>
      </c>
      <c r="N192">
        <f>Hoja4!$L192*Hoja4!$M192</f>
        <v>18032</v>
      </c>
      <c r="O192" t="str">
        <f t="shared" si="5"/>
        <v>Dom.</v>
      </c>
      <c r="P192" t="str">
        <f t="shared" si="6"/>
        <v>agosto</v>
      </c>
    </row>
    <row r="193" spans="1:16" x14ac:dyDescent="0.25">
      <c r="A193">
        <v>192</v>
      </c>
      <c r="B193">
        <v>44049</v>
      </c>
      <c r="C193">
        <v>2018401595</v>
      </c>
      <c r="D193" t="s">
        <v>23</v>
      </c>
      <c r="E193" t="s">
        <v>86</v>
      </c>
      <c r="F193" t="s">
        <v>82</v>
      </c>
      <c r="G193" t="s">
        <v>24</v>
      </c>
      <c r="H193" t="s">
        <v>25</v>
      </c>
      <c r="I193" t="s">
        <v>9</v>
      </c>
      <c r="J193" t="s">
        <v>30</v>
      </c>
      <c r="K193" t="s">
        <v>31</v>
      </c>
      <c r="L193">
        <v>178.5</v>
      </c>
      <c r="M193">
        <v>57</v>
      </c>
      <c r="N193">
        <f>Hoja4!$L193*Hoja4!$M193</f>
        <v>10174.5</v>
      </c>
      <c r="O193" t="str">
        <f t="shared" si="5"/>
        <v>Jue.</v>
      </c>
      <c r="P193" t="str">
        <f t="shared" si="6"/>
        <v>agosto</v>
      </c>
    </row>
    <row r="194" spans="1:16" x14ac:dyDescent="0.25">
      <c r="A194">
        <v>193</v>
      </c>
      <c r="B194">
        <v>43961</v>
      </c>
      <c r="C194">
        <v>1129934476</v>
      </c>
      <c r="D194" t="s">
        <v>42</v>
      </c>
      <c r="E194" t="s">
        <v>91</v>
      </c>
      <c r="F194" t="s">
        <v>91</v>
      </c>
      <c r="G194" t="s">
        <v>43</v>
      </c>
      <c r="H194" t="s">
        <v>8</v>
      </c>
      <c r="I194" t="s">
        <v>17</v>
      </c>
      <c r="J194" t="s">
        <v>44</v>
      </c>
      <c r="K194" t="s">
        <v>11</v>
      </c>
      <c r="L194">
        <v>41.86</v>
      </c>
      <c r="M194">
        <v>23</v>
      </c>
      <c r="N194">
        <f>Hoja4!$L194*Hoja4!$M194</f>
        <v>962.78</v>
      </c>
      <c r="O194" t="str">
        <f t="shared" ref="O194:O257" si="7">PROPER(TEXT(B194,"ddd."))</f>
        <v>Dom.</v>
      </c>
      <c r="P194" t="str">
        <f t="shared" ref="P194:P257" si="8">TEXT(B194,"mmmm")</f>
        <v>mayo</v>
      </c>
    </row>
    <row r="195" spans="1:16" x14ac:dyDescent="0.25">
      <c r="A195">
        <v>194</v>
      </c>
      <c r="B195">
        <v>43929</v>
      </c>
      <c r="C195">
        <v>878400496</v>
      </c>
      <c r="D195" t="s">
        <v>45</v>
      </c>
      <c r="E195" t="s">
        <v>87</v>
      </c>
      <c r="F195" t="s">
        <v>87</v>
      </c>
      <c r="G195" t="s">
        <v>24</v>
      </c>
      <c r="J195" t="s">
        <v>22</v>
      </c>
      <c r="K195" t="s">
        <v>11</v>
      </c>
      <c r="L195">
        <v>644</v>
      </c>
      <c r="M195">
        <v>86</v>
      </c>
      <c r="N195">
        <f>Hoja4!$L195*Hoja4!$M195</f>
        <v>55384</v>
      </c>
      <c r="O195" t="str">
        <f t="shared" si="7"/>
        <v>Mié.</v>
      </c>
      <c r="P195" t="str">
        <f t="shared" si="8"/>
        <v>abril</v>
      </c>
    </row>
    <row r="196" spans="1:16" x14ac:dyDescent="0.25">
      <c r="A196">
        <v>195</v>
      </c>
      <c r="B196">
        <v>44043</v>
      </c>
      <c r="C196">
        <v>6271764467</v>
      </c>
      <c r="D196" t="s">
        <v>42</v>
      </c>
      <c r="E196" t="s">
        <v>91</v>
      </c>
      <c r="F196" t="s">
        <v>91</v>
      </c>
      <c r="G196" t="s">
        <v>43</v>
      </c>
      <c r="H196" t="s">
        <v>16</v>
      </c>
      <c r="J196" t="s">
        <v>46</v>
      </c>
      <c r="K196" t="s">
        <v>47</v>
      </c>
      <c r="L196">
        <v>350</v>
      </c>
      <c r="M196">
        <v>47</v>
      </c>
      <c r="N196">
        <f>Hoja4!$L196*Hoja4!$M196</f>
        <v>16450</v>
      </c>
      <c r="O196" t="str">
        <f t="shared" si="7"/>
        <v>Vie.</v>
      </c>
      <c r="P196" t="str">
        <f t="shared" si="8"/>
        <v>julio</v>
      </c>
    </row>
    <row r="197" spans="1:16" x14ac:dyDescent="0.25">
      <c r="A197">
        <v>196</v>
      </c>
      <c r="B197">
        <v>43853</v>
      </c>
      <c r="C197">
        <v>5954546839</v>
      </c>
      <c r="D197" t="s">
        <v>42</v>
      </c>
      <c r="E197" t="s">
        <v>91</v>
      </c>
      <c r="F197" t="s">
        <v>91</v>
      </c>
      <c r="G197" t="s">
        <v>43</v>
      </c>
      <c r="H197" t="s">
        <v>16</v>
      </c>
      <c r="J197" t="s">
        <v>48</v>
      </c>
      <c r="K197" t="s">
        <v>49</v>
      </c>
      <c r="L197">
        <v>308</v>
      </c>
      <c r="M197">
        <v>97</v>
      </c>
      <c r="N197">
        <f>Hoja4!$L197*Hoja4!$M197</f>
        <v>29876</v>
      </c>
      <c r="O197" t="str">
        <f t="shared" si="7"/>
        <v>Jue.</v>
      </c>
      <c r="P197" t="str">
        <f t="shared" si="8"/>
        <v>enero</v>
      </c>
    </row>
    <row r="198" spans="1:16" x14ac:dyDescent="0.25">
      <c r="A198">
        <v>197</v>
      </c>
      <c r="B198">
        <v>43905</v>
      </c>
      <c r="C198">
        <v>1007419194</v>
      </c>
      <c r="D198" t="s">
        <v>42</v>
      </c>
      <c r="E198" t="s">
        <v>91</v>
      </c>
      <c r="F198" t="s">
        <v>91</v>
      </c>
      <c r="G198" t="s">
        <v>43</v>
      </c>
      <c r="H198" t="s">
        <v>16</v>
      </c>
      <c r="J198" t="s">
        <v>26</v>
      </c>
      <c r="K198" t="s">
        <v>27</v>
      </c>
      <c r="L198">
        <v>128.79999999999998</v>
      </c>
      <c r="M198">
        <v>96</v>
      </c>
      <c r="N198">
        <f>Hoja4!$L198*Hoja4!$M198</f>
        <v>12364.8</v>
      </c>
      <c r="O198" t="str">
        <f t="shared" si="7"/>
        <v>Dom.</v>
      </c>
      <c r="P198" t="str">
        <f t="shared" si="8"/>
        <v>marzo</v>
      </c>
    </row>
    <row r="199" spans="1:16" x14ac:dyDescent="0.25">
      <c r="A199">
        <v>198</v>
      </c>
      <c r="B199">
        <v>43891</v>
      </c>
      <c r="C199">
        <v>2749506386</v>
      </c>
      <c r="D199" t="s">
        <v>50</v>
      </c>
      <c r="E199" t="s">
        <v>85</v>
      </c>
      <c r="F199" t="s">
        <v>83</v>
      </c>
      <c r="G199" t="s">
        <v>41</v>
      </c>
      <c r="H199" t="s">
        <v>25</v>
      </c>
      <c r="J199" t="s">
        <v>12</v>
      </c>
      <c r="K199" t="s">
        <v>13</v>
      </c>
      <c r="L199">
        <v>49</v>
      </c>
      <c r="M199">
        <v>31</v>
      </c>
      <c r="N199">
        <f>Hoja4!$L199*Hoja4!$M199</f>
        <v>1519</v>
      </c>
      <c r="O199" t="str">
        <f t="shared" si="7"/>
        <v>Dom.</v>
      </c>
      <c r="P199" t="str">
        <f t="shared" si="8"/>
        <v>marzo</v>
      </c>
    </row>
    <row r="200" spans="1:16" x14ac:dyDescent="0.25">
      <c r="A200">
        <v>199</v>
      </c>
      <c r="B200">
        <v>43997</v>
      </c>
      <c r="C200">
        <v>3279160134</v>
      </c>
      <c r="D200" t="s">
        <v>50</v>
      </c>
      <c r="E200" t="s">
        <v>85</v>
      </c>
      <c r="F200" t="s">
        <v>83</v>
      </c>
      <c r="G200" t="s">
        <v>41</v>
      </c>
      <c r="H200" t="s">
        <v>25</v>
      </c>
      <c r="J200" t="s">
        <v>44</v>
      </c>
      <c r="K200" t="s">
        <v>11</v>
      </c>
      <c r="L200">
        <v>41.86</v>
      </c>
      <c r="M200">
        <v>52</v>
      </c>
      <c r="N200">
        <f>Hoja4!$L200*Hoja4!$M200</f>
        <v>2176.7199999999998</v>
      </c>
      <c r="O200" t="str">
        <f t="shared" si="7"/>
        <v>Lun.</v>
      </c>
      <c r="P200" t="str">
        <f t="shared" si="8"/>
        <v>junio</v>
      </c>
    </row>
    <row r="201" spans="1:16" x14ac:dyDescent="0.25">
      <c r="A201">
        <v>200</v>
      </c>
      <c r="B201">
        <v>43994</v>
      </c>
      <c r="C201">
        <v>6789089883</v>
      </c>
      <c r="D201" t="s">
        <v>51</v>
      </c>
      <c r="E201" t="s">
        <v>90</v>
      </c>
      <c r="F201" t="s">
        <v>98</v>
      </c>
      <c r="G201" t="s">
        <v>24</v>
      </c>
      <c r="J201" t="s">
        <v>21</v>
      </c>
      <c r="K201" t="s">
        <v>11</v>
      </c>
      <c r="L201">
        <v>252</v>
      </c>
      <c r="M201">
        <v>91</v>
      </c>
      <c r="N201">
        <f>Hoja4!$L201*Hoja4!$M201</f>
        <v>22932</v>
      </c>
      <c r="O201" t="str">
        <f t="shared" si="7"/>
        <v>Vie.</v>
      </c>
      <c r="P201" t="str">
        <f t="shared" si="8"/>
        <v>junio</v>
      </c>
    </row>
    <row r="202" spans="1:16" x14ac:dyDescent="0.25">
      <c r="A202">
        <v>201</v>
      </c>
      <c r="B202">
        <v>44004</v>
      </c>
      <c r="C202">
        <v>7775981065</v>
      </c>
      <c r="D202" t="s">
        <v>51</v>
      </c>
      <c r="E202" t="s">
        <v>90</v>
      </c>
      <c r="F202" t="s">
        <v>98</v>
      </c>
      <c r="G202" t="s">
        <v>24</v>
      </c>
      <c r="J202" t="s">
        <v>22</v>
      </c>
      <c r="K202" t="s">
        <v>11</v>
      </c>
      <c r="L202">
        <v>644</v>
      </c>
      <c r="M202">
        <v>14</v>
      </c>
      <c r="N202">
        <f>Hoja4!$L202*Hoja4!$M202</f>
        <v>9016</v>
      </c>
      <c r="O202" t="str">
        <f t="shared" si="7"/>
        <v>Lun.</v>
      </c>
      <c r="P202" t="str">
        <f t="shared" si="8"/>
        <v>junio</v>
      </c>
    </row>
    <row r="203" spans="1:16" x14ac:dyDescent="0.25">
      <c r="A203">
        <v>202</v>
      </c>
      <c r="B203">
        <v>43923</v>
      </c>
      <c r="C203">
        <v>5357417804</v>
      </c>
      <c r="D203" t="s">
        <v>51</v>
      </c>
      <c r="E203" t="s">
        <v>90</v>
      </c>
      <c r="F203" t="s">
        <v>98</v>
      </c>
      <c r="G203" t="s">
        <v>24</v>
      </c>
      <c r="J203" t="s">
        <v>44</v>
      </c>
      <c r="K203" t="s">
        <v>11</v>
      </c>
      <c r="L203">
        <v>41.86</v>
      </c>
      <c r="M203">
        <v>44</v>
      </c>
      <c r="N203">
        <f>Hoja4!$L203*Hoja4!$M203</f>
        <v>1841.84</v>
      </c>
      <c r="O203" t="str">
        <f t="shared" si="7"/>
        <v>Jue.</v>
      </c>
      <c r="P203" t="str">
        <f t="shared" si="8"/>
        <v>abril</v>
      </c>
    </row>
    <row r="204" spans="1:16" x14ac:dyDescent="0.25">
      <c r="A204">
        <v>203</v>
      </c>
      <c r="B204">
        <v>44109</v>
      </c>
      <c r="C204">
        <v>4986720222</v>
      </c>
      <c r="D204" t="s">
        <v>40</v>
      </c>
      <c r="E204" t="s">
        <v>97</v>
      </c>
      <c r="F204" t="s">
        <v>88</v>
      </c>
      <c r="G204" t="s">
        <v>41</v>
      </c>
      <c r="H204" t="s">
        <v>25</v>
      </c>
      <c r="I204" t="s">
        <v>17</v>
      </c>
      <c r="J204" t="s">
        <v>34</v>
      </c>
      <c r="K204" t="s">
        <v>35</v>
      </c>
      <c r="L204">
        <v>135.1</v>
      </c>
      <c r="M204">
        <v>97</v>
      </c>
      <c r="N204">
        <f>Hoja4!$L204*Hoja4!$M204</f>
        <v>13104.699999999999</v>
      </c>
      <c r="O204" t="str">
        <f t="shared" si="7"/>
        <v>Lun.</v>
      </c>
      <c r="P204" t="str">
        <f t="shared" si="8"/>
        <v>octubre</v>
      </c>
    </row>
    <row r="205" spans="1:16" x14ac:dyDescent="0.25">
      <c r="A205">
        <v>204</v>
      </c>
      <c r="B205">
        <v>43932</v>
      </c>
      <c r="C205">
        <v>9264353300</v>
      </c>
      <c r="D205" t="s">
        <v>40</v>
      </c>
      <c r="E205" t="s">
        <v>97</v>
      </c>
      <c r="F205" t="s">
        <v>88</v>
      </c>
      <c r="G205" t="s">
        <v>41</v>
      </c>
      <c r="H205" t="s">
        <v>25</v>
      </c>
      <c r="I205" t="s">
        <v>17</v>
      </c>
      <c r="J205" t="s">
        <v>52</v>
      </c>
      <c r="K205" t="s">
        <v>53</v>
      </c>
      <c r="L205">
        <v>257.59999999999997</v>
      </c>
      <c r="M205">
        <v>80</v>
      </c>
      <c r="N205">
        <f>Hoja4!$L205*Hoja4!$M205</f>
        <v>20607.999999999996</v>
      </c>
      <c r="O205" t="str">
        <f t="shared" si="7"/>
        <v>Sáb.</v>
      </c>
      <c r="P205" t="str">
        <f t="shared" si="8"/>
        <v>abril</v>
      </c>
    </row>
    <row r="206" spans="1:16" x14ac:dyDescent="0.25">
      <c r="A206">
        <v>205</v>
      </c>
      <c r="B206">
        <v>44131</v>
      </c>
      <c r="C206">
        <v>4507840734</v>
      </c>
      <c r="D206" t="s">
        <v>54</v>
      </c>
      <c r="E206" t="s">
        <v>89</v>
      </c>
      <c r="F206" t="s">
        <v>84</v>
      </c>
      <c r="G206" t="s">
        <v>55</v>
      </c>
      <c r="H206" t="s">
        <v>16</v>
      </c>
      <c r="I206" t="s">
        <v>9</v>
      </c>
      <c r="J206" t="s">
        <v>56</v>
      </c>
      <c r="K206" t="s">
        <v>57</v>
      </c>
      <c r="L206">
        <v>273</v>
      </c>
      <c r="M206">
        <v>66</v>
      </c>
      <c r="N206">
        <f>Hoja4!$L206*Hoja4!$M206</f>
        <v>18018</v>
      </c>
      <c r="O206" t="str">
        <f t="shared" si="7"/>
        <v>Mar.</v>
      </c>
      <c r="P206" t="str">
        <f t="shared" si="8"/>
        <v>octubre</v>
      </c>
    </row>
    <row r="207" spans="1:16" x14ac:dyDescent="0.25">
      <c r="A207">
        <v>206</v>
      </c>
      <c r="B207">
        <v>43926</v>
      </c>
      <c r="C207">
        <v>1926814553</v>
      </c>
      <c r="D207" t="s">
        <v>54</v>
      </c>
      <c r="E207" t="s">
        <v>89</v>
      </c>
      <c r="F207" t="s">
        <v>84</v>
      </c>
      <c r="G207" t="s">
        <v>55</v>
      </c>
      <c r="H207" t="s">
        <v>16</v>
      </c>
      <c r="I207" t="s">
        <v>9</v>
      </c>
      <c r="J207" t="s">
        <v>58</v>
      </c>
      <c r="K207" t="s">
        <v>59</v>
      </c>
      <c r="L207">
        <v>487.19999999999993</v>
      </c>
      <c r="M207">
        <v>32</v>
      </c>
      <c r="N207">
        <f>Hoja4!$L207*Hoja4!$M207</f>
        <v>15590.399999999998</v>
      </c>
      <c r="O207" t="str">
        <f t="shared" si="7"/>
        <v>Dom.</v>
      </c>
      <c r="P207" t="str">
        <f t="shared" si="8"/>
        <v>abril</v>
      </c>
    </row>
    <row r="208" spans="1:16" x14ac:dyDescent="0.25">
      <c r="A208">
        <v>207</v>
      </c>
      <c r="B208">
        <v>44139</v>
      </c>
      <c r="C208">
        <v>1115906573</v>
      </c>
      <c r="D208" t="s">
        <v>36</v>
      </c>
      <c r="E208" t="s">
        <v>92</v>
      </c>
      <c r="F208" t="s">
        <v>99</v>
      </c>
      <c r="G208" t="s">
        <v>37</v>
      </c>
      <c r="H208" t="s">
        <v>8</v>
      </c>
      <c r="I208" t="s">
        <v>17</v>
      </c>
      <c r="J208" t="s">
        <v>10</v>
      </c>
      <c r="K208" t="s">
        <v>11</v>
      </c>
      <c r="L208">
        <v>196</v>
      </c>
      <c r="M208">
        <v>52</v>
      </c>
      <c r="N208">
        <f>Hoja4!$L208*Hoja4!$M208</f>
        <v>10192</v>
      </c>
      <c r="O208" t="str">
        <f t="shared" si="7"/>
        <v>Mié.</v>
      </c>
      <c r="P208" t="str">
        <f t="shared" si="8"/>
        <v>noviembre</v>
      </c>
    </row>
    <row r="209" spans="1:16" x14ac:dyDescent="0.25">
      <c r="A209">
        <v>208</v>
      </c>
      <c r="B209">
        <v>43905</v>
      </c>
      <c r="C209">
        <v>4298972271</v>
      </c>
      <c r="D209" t="s">
        <v>23</v>
      </c>
      <c r="E209" t="s">
        <v>86</v>
      </c>
      <c r="F209" t="s">
        <v>82</v>
      </c>
      <c r="G209" t="s">
        <v>24</v>
      </c>
      <c r="H209" t="s">
        <v>8</v>
      </c>
      <c r="I209" t="s">
        <v>9</v>
      </c>
      <c r="J209" t="s">
        <v>38</v>
      </c>
      <c r="K209" t="s">
        <v>39</v>
      </c>
      <c r="L209">
        <v>560</v>
      </c>
      <c r="M209">
        <v>78</v>
      </c>
      <c r="N209">
        <f>Hoja4!$L209*Hoja4!$M209</f>
        <v>43680</v>
      </c>
      <c r="O209" t="str">
        <f t="shared" si="7"/>
        <v>Dom.</v>
      </c>
      <c r="P209" t="str">
        <f t="shared" si="8"/>
        <v>marzo</v>
      </c>
    </row>
    <row r="210" spans="1:16" x14ac:dyDescent="0.25">
      <c r="A210">
        <v>209</v>
      </c>
      <c r="B210">
        <v>43899</v>
      </c>
      <c r="C210">
        <v>1419202858</v>
      </c>
      <c r="D210" t="s">
        <v>23</v>
      </c>
      <c r="E210" t="s">
        <v>86</v>
      </c>
      <c r="F210" t="s">
        <v>82</v>
      </c>
      <c r="G210" t="s">
        <v>24</v>
      </c>
      <c r="H210" t="s">
        <v>8</v>
      </c>
      <c r="I210" t="s">
        <v>9</v>
      </c>
      <c r="J210" t="s">
        <v>26</v>
      </c>
      <c r="K210" t="s">
        <v>27</v>
      </c>
      <c r="L210">
        <v>128.79999999999998</v>
      </c>
      <c r="M210">
        <v>54</v>
      </c>
      <c r="N210">
        <f>Hoja4!$L210*Hoja4!$M210</f>
        <v>6955.1999999999989</v>
      </c>
      <c r="O210" t="str">
        <f t="shared" si="7"/>
        <v>Lun.</v>
      </c>
      <c r="P210" t="str">
        <f t="shared" si="8"/>
        <v>marzo</v>
      </c>
    </row>
    <row r="211" spans="1:16" x14ac:dyDescent="0.25">
      <c r="A211">
        <v>210</v>
      </c>
      <c r="B211">
        <v>44154</v>
      </c>
      <c r="C211">
        <v>3516608759</v>
      </c>
      <c r="D211" t="s">
        <v>62</v>
      </c>
      <c r="E211" t="s">
        <v>91</v>
      </c>
      <c r="F211" t="s">
        <v>91</v>
      </c>
      <c r="G211" t="s">
        <v>43</v>
      </c>
      <c r="H211" t="s">
        <v>16</v>
      </c>
      <c r="I211" t="s">
        <v>33</v>
      </c>
      <c r="J211" t="s">
        <v>67</v>
      </c>
      <c r="K211" t="s">
        <v>27</v>
      </c>
      <c r="L211">
        <v>140</v>
      </c>
      <c r="M211">
        <v>55</v>
      </c>
      <c r="N211">
        <f>Hoja4!$L211*Hoja4!$M211</f>
        <v>7700</v>
      </c>
      <c r="O211" t="str">
        <f t="shared" si="7"/>
        <v>Jue.</v>
      </c>
      <c r="P211" t="str">
        <f t="shared" si="8"/>
        <v>noviembre</v>
      </c>
    </row>
    <row r="212" spans="1:16" x14ac:dyDescent="0.25">
      <c r="A212">
        <v>211</v>
      </c>
      <c r="B212">
        <v>44076</v>
      </c>
      <c r="C212">
        <v>8191358442</v>
      </c>
      <c r="D212" t="s">
        <v>63</v>
      </c>
      <c r="E212" t="s">
        <v>85</v>
      </c>
      <c r="F212" t="s">
        <v>83</v>
      </c>
      <c r="G212" t="s">
        <v>41</v>
      </c>
      <c r="H212" t="s">
        <v>25</v>
      </c>
      <c r="I212" t="s">
        <v>17</v>
      </c>
      <c r="J212" t="s">
        <v>68</v>
      </c>
      <c r="K212" t="s">
        <v>69</v>
      </c>
      <c r="L212">
        <v>298.90000000000003</v>
      </c>
      <c r="M212">
        <v>60</v>
      </c>
      <c r="N212">
        <f>Hoja4!$L212*Hoja4!$M212</f>
        <v>17934.000000000004</v>
      </c>
      <c r="O212" t="str">
        <f t="shared" si="7"/>
        <v>Mié.</v>
      </c>
      <c r="P212" t="str">
        <f t="shared" si="8"/>
        <v>septiembre</v>
      </c>
    </row>
    <row r="213" spans="1:16" x14ac:dyDescent="0.25">
      <c r="A213">
        <v>212</v>
      </c>
      <c r="B213">
        <v>43851</v>
      </c>
      <c r="C213">
        <v>8451227157</v>
      </c>
      <c r="D213" t="s">
        <v>63</v>
      </c>
      <c r="E213" t="s">
        <v>85</v>
      </c>
      <c r="F213" t="s">
        <v>83</v>
      </c>
      <c r="G213" t="s">
        <v>41</v>
      </c>
      <c r="H213" t="s">
        <v>25</v>
      </c>
      <c r="I213" t="s">
        <v>17</v>
      </c>
      <c r="J213" t="s">
        <v>34</v>
      </c>
      <c r="K213" t="s">
        <v>35</v>
      </c>
      <c r="L213">
        <v>135.1</v>
      </c>
      <c r="M213">
        <v>19</v>
      </c>
      <c r="N213">
        <f>Hoja4!$L213*Hoja4!$M213</f>
        <v>2566.9</v>
      </c>
      <c r="O213" t="str">
        <f t="shared" si="7"/>
        <v>Mar.</v>
      </c>
      <c r="P213" t="str">
        <f t="shared" si="8"/>
        <v>enero</v>
      </c>
    </row>
    <row r="214" spans="1:16" x14ac:dyDescent="0.25">
      <c r="A214">
        <v>213</v>
      </c>
      <c r="B214">
        <v>43878</v>
      </c>
      <c r="C214">
        <v>9847155245</v>
      </c>
      <c r="D214" t="s">
        <v>63</v>
      </c>
      <c r="E214" t="s">
        <v>85</v>
      </c>
      <c r="F214" t="s">
        <v>83</v>
      </c>
      <c r="G214" t="s">
        <v>41</v>
      </c>
      <c r="H214" t="s">
        <v>25</v>
      </c>
      <c r="I214" t="s">
        <v>17</v>
      </c>
      <c r="J214" t="s">
        <v>52</v>
      </c>
      <c r="K214" t="s">
        <v>53</v>
      </c>
      <c r="L214">
        <v>257.59999999999997</v>
      </c>
      <c r="M214">
        <v>66</v>
      </c>
      <c r="N214">
        <f>Hoja4!$L214*Hoja4!$M214</f>
        <v>17001.599999999999</v>
      </c>
      <c r="O214" t="str">
        <f t="shared" si="7"/>
        <v>Lun.</v>
      </c>
      <c r="P214" t="str">
        <f t="shared" si="8"/>
        <v>febrero</v>
      </c>
    </row>
    <row r="215" spans="1:16" x14ac:dyDescent="0.25">
      <c r="A215">
        <v>214</v>
      </c>
      <c r="B215">
        <v>43886</v>
      </c>
      <c r="C215">
        <v>5189485028</v>
      </c>
      <c r="D215" t="s">
        <v>28</v>
      </c>
      <c r="E215" t="s">
        <v>89</v>
      </c>
      <c r="F215" t="s">
        <v>84</v>
      </c>
      <c r="G215" t="s">
        <v>29</v>
      </c>
      <c r="H215" t="s">
        <v>8</v>
      </c>
      <c r="I215" t="s">
        <v>9</v>
      </c>
      <c r="J215" t="s">
        <v>10</v>
      </c>
      <c r="K215" t="s">
        <v>11</v>
      </c>
      <c r="L215">
        <v>196</v>
      </c>
      <c r="M215">
        <v>42</v>
      </c>
      <c r="N215">
        <f>Hoja4!$L215*Hoja4!$M215</f>
        <v>8232</v>
      </c>
      <c r="O215" t="str">
        <f t="shared" si="7"/>
        <v>Mar.</v>
      </c>
      <c r="P215" t="str">
        <f t="shared" si="8"/>
        <v>febrero</v>
      </c>
    </row>
    <row r="216" spans="1:16" x14ac:dyDescent="0.25">
      <c r="A216">
        <v>215</v>
      </c>
      <c r="B216">
        <v>44037</v>
      </c>
      <c r="C216">
        <v>2367569858</v>
      </c>
      <c r="D216" t="s">
        <v>36</v>
      </c>
      <c r="E216" t="s">
        <v>92</v>
      </c>
      <c r="F216" t="s">
        <v>99</v>
      </c>
      <c r="G216" t="s">
        <v>37</v>
      </c>
      <c r="H216" t="s">
        <v>25</v>
      </c>
      <c r="I216" t="s">
        <v>9</v>
      </c>
      <c r="J216" t="s">
        <v>30</v>
      </c>
      <c r="K216" t="s">
        <v>31</v>
      </c>
      <c r="L216">
        <v>178.5</v>
      </c>
      <c r="M216">
        <v>72</v>
      </c>
      <c r="N216">
        <f>Hoja4!$L216*Hoja4!$M216</f>
        <v>12852</v>
      </c>
      <c r="O216" t="str">
        <f t="shared" si="7"/>
        <v>Sáb.</v>
      </c>
      <c r="P216" t="str">
        <f t="shared" si="8"/>
        <v>julio</v>
      </c>
    </row>
    <row r="217" spans="1:16" x14ac:dyDescent="0.25">
      <c r="A217">
        <v>216</v>
      </c>
      <c r="B217">
        <v>44036</v>
      </c>
      <c r="C217">
        <v>1241520334</v>
      </c>
      <c r="D217" t="s">
        <v>14</v>
      </c>
      <c r="E217" t="s">
        <v>81</v>
      </c>
      <c r="F217" t="s">
        <v>94</v>
      </c>
      <c r="G217" t="s">
        <v>15</v>
      </c>
      <c r="H217" t="s">
        <v>16</v>
      </c>
      <c r="I217" t="s">
        <v>17</v>
      </c>
      <c r="J217" t="s">
        <v>70</v>
      </c>
      <c r="K217" t="s">
        <v>47</v>
      </c>
      <c r="L217">
        <v>1134</v>
      </c>
      <c r="M217">
        <v>32</v>
      </c>
      <c r="N217">
        <f>Hoja4!$L217*Hoja4!$M217</f>
        <v>36288</v>
      </c>
      <c r="O217" t="str">
        <f t="shared" si="7"/>
        <v>Vie.</v>
      </c>
      <c r="P217" t="str">
        <f t="shared" si="8"/>
        <v>julio</v>
      </c>
    </row>
    <row r="218" spans="1:16" x14ac:dyDescent="0.25">
      <c r="A218">
        <v>217</v>
      </c>
      <c r="B218">
        <v>43895</v>
      </c>
      <c r="C218">
        <v>6999895697</v>
      </c>
      <c r="D218" t="s">
        <v>14</v>
      </c>
      <c r="E218" t="s">
        <v>81</v>
      </c>
      <c r="F218" t="s">
        <v>94</v>
      </c>
      <c r="G218" t="s">
        <v>15</v>
      </c>
      <c r="H218" t="s">
        <v>16</v>
      </c>
      <c r="I218" t="s">
        <v>17</v>
      </c>
      <c r="J218" t="s">
        <v>71</v>
      </c>
      <c r="K218" t="s">
        <v>72</v>
      </c>
      <c r="L218">
        <v>98</v>
      </c>
      <c r="M218">
        <v>76</v>
      </c>
      <c r="N218">
        <f>Hoja4!$L218*Hoja4!$M218</f>
        <v>7448</v>
      </c>
      <c r="O218" t="str">
        <f t="shared" si="7"/>
        <v>Jue.</v>
      </c>
      <c r="P218" t="str">
        <f t="shared" si="8"/>
        <v>marzo</v>
      </c>
    </row>
    <row r="219" spans="1:16" x14ac:dyDescent="0.25">
      <c r="A219">
        <v>218</v>
      </c>
      <c r="B219">
        <v>44026</v>
      </c>
      <c r="C219">
        <v>2931440223</v>
      </c>
      <c r="D219" t="s">
        <v>42</v>
      </c>
      <c r="E219" t="s">
        <v>91</v>
      </c>
      <c r="F219" t="s">
        <v>91</v>
      </c>
      <c r="G219" t="s">
        <v>43</v>
      </c>
      <c r="H219" t="s">
        <v>16</v>
      </c>
      <c r="J219" t="s">
        <v>26</v>
      </c>
      <c r="K219" t="s">
        <v>27</v>
      </c>
      <c r="L219">
        <v>128.79999999999998</v>
      </c>
      <c r="M219">
        <v>83</v>
      </c>
      <c r="N219">
        <f>Hoja4!$L219*Hoja4!$M219</f>
        <v>10690.399999999998</v>
      </c>
      <c r="O219" t="str">
        <f t="shared" si="7"/>
        <v>Mar.</v>
      </c>
      <c r="P219" t="str">
        <f t="shared" si="8"/>
        <v>julio</v>
      </c>
    </row>
    <row r="220" spans="1:16" x14ac:dyDescent="0.25">
      <c r="A220">
        <v>219</v>
      </c>
      <c r="B220">
        <v>43965</v>
      </c>
      <c r="C220">
        <v>6045555436</v>
      </c>
      <c r="D220" t="s">
        <v>50</v>
      </c>
      <c r="E220" t="s">
        <v>85</v>
      </c>
      <c r="F220" t="s">
        <v>83</v>
      </c>
      <c r="G220" t="s">
        <v>41</v>
      </c>
      <c r="H220" t="s">
        <v>25</v>
      </c>
      <c r="J220" t="s">
        <v>12</v>
      </c>
      <c r="K220" t="s">
        <v>13</v>
      </c>
      <c r="L220">
        <v>49</v>
      </c>
      <c r="M220">
        <v>91</v>
      </c>
      <c r="N220">
        <f>Hoja4!$L220*Hoja4!$M220</f>
        <v>4459</v>
      </c>
      <c r="O220" t="str">
        <f t="shared" si="7"/>
        <v>Jue.</v>
      </c>
      <c r="P220" t="str">
        <f t="shared" si="8"/>
        <v>mayo</v>
      </c>
    </row>
    <row r="221" spans="1:16" x14ac:dyDescent="0.25">
      <c r="A221">
        <v>220</v>
      </c>
      <c r="B221">
        <v>44117</v>
      </c>
      <c r="C221">
        <v>4985084204</v>
      </c>
      <c r="D221" t="s">
        <v>50</v>
      </c>
      <c r="E221" t="s">
        <v>85</v>
      </c>
      <c r="F221" t="s">
        <v>83</v>
      </c>
      <c r="G221" t="s">
        <v>41</v>
      </c>
      <c r="H221" t="s">
        <v>25</v>
      </c>
      <c r="J221" t="s">
        <v>44</v>
      </c>
      <c r="K221" t="s">
        <v>11</v>
      </c>
      <c r="L221">
        <v>41.86</v>
      </c>
      <c r="M221">
        <v>64</v>
      </c>
      <c r="N221">
        <f>Hoja4!$L221*Hoja4!$M221</f>
        <v>2679.04</v>
      </c>
      <c r="O221" t="str">
        <f t="shared" si="7"/>
        <v>Mar.</v>
      </c>
      <c r="P221" t="str">
        <f t="shared" si="8"/>
        <v>octubre</v>
      </c>
    </row>
    <row r="222" spans="1:16" x14ac:dyDescent="0.25">
      <c r="A222">
        <v>221</v>
      </c>
      <c r="B222">
        <v>44019</v>
      </c>
      <c r="C222">
        <v>8950774476</v>
      </c>
      <c r="D222" t="s">
        <v>51</v>
      </c>
      <c r="E222" t="s">
        <v>90</v>
      </c>
      <c r="F222" t="s">
        <v>98</v>
      </c>
      <c r="G222" t="s">
        <v>24</v>
      </c>
      <c r="J222" t="s">
        <v>21</v>
      </c>
      <c r="K222" t="s">
        <v>11</v>
      </c>
      <c r="L222">
        <v>252</v>
      </c>
      <c r="M222">
        <v>58</v>
      </c>
      <c r="N222">
        <f>Hoja4!$L222*Hoja4!$M222</f>
        <v>14616</v>
      </c>
      <c r="O222" t="str">
        <f t="shared" si="7"/>
        <v>Mar.</v>
      </c>
      <c r="P222" t="str">
        <f t="shared" si="8"/>
        <v>julio</v>
      </c>
    </row>
    <row r="223" spans="1:16" x14ac:dyDescent="0.25">
      <c r="A223">
        <v>222</v>
      </c>
      <c r="B223">
        <v>43977</v>
      </c>
      <c r="C223">
        <v>4091794218</v>
      </c>
      <c r="D223" t="s">
        <v>51</v>
      </c>
      <c r="E223" t="s">
        <v>90</v>
      </c>
      <c r="F223" t="s">
        <v>98</v>
      </c>
      <c r="G223" t="s">
        <v>24</v>
      </c>
      <c r="J223" t="s">
        <v>22</v>
      </c>
      <c r="K223" t="s">
        <v>11</v>
      </c>
      <c r="L223">
        <v>644</v>
      </c>
      <c r="M223">
        <v>97</v>
      </c>
      <c r="N223">
        <f>Hoja4!$L223*Hoja4!$M223</f>
        <v>62468</v>
      </c>
      <c r="O223" t="str">
        <f t="shared" si="7"/>
        <v>Mar.</v>
      </c>
      <c r="P223" t="str">
        <f t="shared" si="8"/>
        <v>mayo</v>
      </c>
    </row>
    <row r="224" spans="1:16" x14ac:dyDescent="0.25">
      <c r="A224">
        <v>223</v>
      </c>
      <c r="B224">
        <v>44043</v>
      </c>
      <c r="C224">
        <v>2789876793</v>
      </c>
      <c r="D224" t="s">
        <v>51</v>
      </c>
      <c r="E224" t="s">
        <v>90</v>
      </c>
      <c r="F224" t="s">
        <v>98</v>
      </c>
      <c r="G224" t="s">
        <v>24</v>
      </c>
      <c r="J224" t="s">
        <v>44</v>
      </c>
      <c r="K224" t="s">
        <v>11</v>
      </c>
      <c r="L224">
        <v>41.86</v>
      </c>
      <c r="M224">
        <v>14</v>
      </c>
      <c r="N224">
        <f>Hoja4!$L224*Hoja4!$M224</f>
        <v>586.04</v>
      </c>
      <c r="O224" t="str">
        <f t="shared" si="7"/>
        <v>Vie.</v>
      </c>
      <c r="P224" t="str">
        <f t="shared" si="8"/>
        <v>julio</v>
      </c>
    </row>
    <row r="225" spans="1:16" x14ac:dyDescent="0.25">
      <c r="A225">
        <v>224</v>
      </c>
      <c r="B225">
        <v>43940</v>
      </c>
      <c r="C225">
        <v>4338385582</v>
      </c>
      <c r="D225" t="s">
        <v>40</v>
      </c>
      <c r="E225" t="s">
        <v>97</v>
      </c>
      <c r="F225" t="s">
        <v>88</v>
      </c>
      <c r="G225" t="s">
        <v>41</v>
      </c>
      <c r="H225" t="s">
        <v>25</v>
      </c>
      <c r="I225" t="s">
        <v>17</v>
      </c>
      <c r="J225" t="s">
        <v>34</v>
      </c>
      <c r="K225" t="s">
        <v>35</v>
      </c>
      <c r="L225">
        <v>135.1</v>
      </c>
      <c r="M225">
        <v>68</v>
      </c>
      <c r="N225">
        <f>Hoja4!$L225*Hoja4!$M225</f>
        <v>9186.7999999999993</v>
      </c>
      <c r="O225" t="str">
        <f t="shared" si="7"/>
        <v>Dom.</v>
      </c>
      <c r="P225" t="str">
        <f t="shared" si="8"/>
        <v>abril</v>
      </c>
    </row>
    <row r="226" spans="1:16" x14ac:dyDescent="0.25">
      <c r="A226">
        <v>225</v>
      </c>
      <c r="B226">
        <v>44008</v>
      </c>
      <c r="C226">
        <v>9159410824</v>
      </c>
      <c r="D226" t="s">
        <v>40</v>
      </c>
      <c r="E226" t="s">
        <v>97</v>
      </c>
      <c r="F226" t="s">
        <v>88</v>
      </c>
      <c r="G226" t="s">
        <v>41</v>
      </c>
      <c r="H226" t="s">
        <v>25</v>
      </c>
      <c r="I226" t="s">
        <v>17</v>
      </c>
      <c r="J226" t="s">
        <v>52</v>
      </c>
      <c r="K226" t="s">
        <v>53</v>
      </c>
      <c r="L226">
        <v>257.59999999999997</v>
      </c>
      <c r="M226">
        <v>32</v>
      </c>
      <c r="N226">
        <f>Hoja4!$L226*Hoja4!$M226</f>
        <v>8243.1999999999989</v>
      </c>
      <c r="O226" t="str">
        <f t="shared" si="7"/>
        <v>Vie.</v>
      </c>
      <c r="P226" t="str">
        <f t="shared" si="8"/>
        <v>junio</v>
      </c>
    </row>
    <row r="227" spans="1:16" x14ac:dyDescent="0.25">
      <c r="A227">
        <v>226</v>
      </c>
      <c r="B227">
        <v>44168</v>
      </c>
      <c r="C227">
        <v>6562657766</v>
      </c>
      <c r="D227" t="s">
        <v>54</v>
      </c>
      <c r="E227" t="s">
        <v>89</v>
      </c>
      <c r="F227" t="s">
        <v>84</v>
      </c>
      <c r="G227" t="s">
        <v>55</v>
      </c>
      <c r="H227" t="s">
        <v>16</v>
      </c>
      <c r="I227" t="s">
        <v>9</v>
      </c>
      <c r="J227" t="s">
        <v>56</v>
      </c>
      <c r="K227" t="s">
        <v>57</v>
      </c>
      <c r="L227">
        <v>273</v>
      </c>
      <c r="M227">
        <v>48</v>
      </c>
      <c r="N227">
        <f>Hoja4!$L227*Hoja4!$M227</f>
        <v>13104</v>
      </c>
      <c r="O227" t="str">
        <f t="shared" si="7"/>
        <v>Jue.</v>
      </c>
      <c r="P227" t="str">
        <f t="shared" si="8"/>
        <v>diciembre</v>
      </c>
    </row>
    <row r="228" spans="1:16" x14ac:dyDescent="0.25">
      <c r="A228">
        <v>227</v>
      </c>
      <c r="B228">
        <v>44177</v>
      </c>
      <c r="C228">
        <v>4160634865</v>
      </c>
      <c r="D228" t="s">
        <v>54</v>
      </c>
      <c r="E228" t="s">
        <v>89</v>
      </c>
      <c r="F228" t="s">
        <v>84</v>
      </c>
      <c r="G228" t="s">
        <v>55</v>
      </c>
      <c r="H228" t="s">
        <v>16</v>
      </c>
      <c r="I228" t="s">
        <v>9</v>
      </c>
      <c r="J228" t="s">
        <v>58</v>
      </c>
      <c r="K228" t="s">
        <v>59</v>
      </c>
      <c r="L228">
        <v>487.19999999999993</v>
      </c>
      <c r="M228">
        <v>57</v>
      </c>
      <c r="N228">
        <f>Hoja4!$L228*Hoja4!$M228</f>
        <v>27770.399999999998</v>
      </c>
      <c r="O228" t="str">
        <f t="shared" si="7"/>
        <v>Sáb.</v>
      </c>
      <c r="P228" t="str">
        <f t="shared" si="8"/>
        <v>diciembre</v>
      </c>
    </row>
    <row r="229" spans="1:16" x14ac:dyDescent="0.25">
      <c r="A229">
        <v>228</v>
      </c>
      <c r="B229">
        <v>43864</v>
      </c>
      <c r="C229">
        <v>142416687</v>
      </c>
      <c r="D229" t="s">
        <v>36</v>
      </c>
      <c r="E229" t="s">
        <v>92</v>
      </c>
      <c r="F229" t="s">
        <v>99</v>
      </c>
      <c r="G229" t="s">
        <v>37</v>
      </c>
      <c r="H229" t="s">
        <v>8</v>
      </c>
      <c r="I229" t="s">
        <v>17</v>
      </c>
      <c r="J229" t="s">
        <v>10</v>
      </c>
      <c r="K229" t="s">
        <v>11</v>
      </c>
      <c r="L229">
        <v>196</v>
      </c>
      <c r="M229">
        <v>67</v>
      </c>
      <c r="N229">
        <f>Hoja4!$L229*Hoja4!$M229</f>
        <v>13132</v>
      </c>
      <c r="O229" t="str">
        <f t="shared" si="7"/>
        <v>Lun.</v>
      </c>
      <c r="P229" t="str">
        <f t="shared" si="8"/>
        <v>febrero</v>
      </c>
    </row>
    <row r="230" spans="1:16" x14ac:dyDescent="0.25">
      <c r="A230">
        <v>229</v>
      </c>
      <c r="B230">
        <v>43887</v>
      </c>
      <c r="C230">
        <v>6114991349</v>
      </c>
      <c r="D230" t="s">
        <v>23</v>
      </c>
      <c r="E230" t="s">
        <v>86</v>
      </c>
      <c r="F230" t="s">
        <v>82</v>
      </c>
      <c r="G230" t="s">
        <v>24</v>
      </c>
      <c r="H230" t="s">
        <v>8</v>
      </c>
      <c r="I230" t="s">
        <v>9</v>
      </c>
      <c r="J230" t="s">
        <v>38</v>
      </c>
      <c r="K230" t="s">
        <v>39</v>
      </c>
      <c r="L230">
        <v>560</v>
      </c>
      <c r="M230">
        <v>48</v>
      </c>
      <c r="N230">
        <f>Hoja4!$L230*Hoja4!$M230</f>
        <v>26880</v>
      </c>
      <c r="O230" t="str">
        <f t="shared" si="7"/>
        <v>Mié.</v>
      </c>
      <c r="P230" t="str">
        <f t="shared" si="8"/>
        <v>febrero</v>
      </c>
    </row>
    <row r="231" spans="1:16" x14ac:dyDescent="0.25">
      <c r="A231">
        <v>230</v>
      </c>
      <c r="B231">
        <v>43925</v>
      </c>
      <c r="C231">
        <v>6472352060</v>
      </c>
      <c r="D231" t="s">
        <v>23</v>
      </c>
      <c r="E231" t="s">
        <v>86</v>
      </c>
      <c r="F231" t="s">
        <v>82</v>
      </c>
      <c r="G231" t="s">
        <v>24</v>
      </c>
      <c r="H231" t="s">
        <v>8</v>
      </c>
      <c r="I231" t="s">
        <v>9</v>
      </c>
      <c r="J231" t="s">
        <v>26</v>
      </c>
      <c r="K231" t="s">
        <v>27</v>
      </c>
      <c r="L231">
        <v>128.79999999999998</v>
      </c>
      <c r="M231">
        <v>77</v>
      </c>
      <c r="N231">
        <f>Hoja4!$L231*Hoja4!$M231</f>
        <v>9917.5999999999985</v>
      </c>
      <c r="O231" t="str">
        <f t="shared" si="7"/>
        <v>Sáb.</v>
      </c>
      <c r="P231" t="str">
        <f t="shared" si="8"/>
        <v>abril</v>
      </c>
    </row>
    <row r="232" spans="1:16" x14ac:dyDescent="0.25">
      <c r="A232">
        <v>231</v>
      </c>
      <c r="B232">
        <v>43942</v>
      </c>
      <c r="C232">
        <v>5399077795</v>
      </c>
      <c r="D232" t="s">
        <v>62</v>
      </c>
      <c r="E232" t="s">
        <v>91</v>
      </c>
      <c r="F232" t="s">
        <v>91</v>
      </c>
      <c r="G232" t="s">
        <v>43</v>
      </c>
      <c r="H232" t="s">
        <v>16</v>
      </c>
      <c r="I232" t="s">
        <v>33</v>
      </c>
      <c r="J232" t="s">
        <v>67</v>
      </c>
      <c r="K232" t="s">
        <v>27</v>
      </c>
      <c r="L232">
        <v>140</v>
      </c>
      <c r="M232">
        <v>94</v>
      </c>
      <c r="N232">
        <f>Hoja4!$L232*Hoja4!$M232</f>
        <v>13160</v>
      </c>
      <c r="O232" t="str">
        <f t="shared" si="7"/>
        <v>Mar.</v>
      </c>
      <c r="P232" t="str">
        <f t="shared" si="8"/>
        <v>abril</v>
      </c>
    </row>
    <row r="233" spans="1:16" x14ac:dyDescent="0.25">
      <c r="A233">
        <v>232</v>
      </c>
      <c r="B233">
        <v>44079</v>
      </c>
      <c r="C233">
        <v>6275645168</v>
      </c>
      <c r="D233" t="s">
        <v>63</v>
      </c>
      <c r="E233" t="s">
        <v>85</v>
      </c>
      <c r="F233" t="s">
        <v>83</v>
      </c>
      <c r="G233" t="s">
        <v>41</v>
      </c>
      <c r="H233" t="s">
        <v>25</v>
      </c>
      <c r="I233" t="s">
        <v>17</v>
      </c>
      <c r="J233" t="s">
        <v>68</v>
      </c>
      <c r="K233" t="s">
        <v>69</v>
      </c>
      <c r="L233">
        <v>298.90000000000003</v>
      </c>
      <c r="M233">
        <v>54</v>
      </c>
      <c r="N233">
        <f>Hoja4!$L233*Hoja4!$M233</f>
        <v>16140.600000000002</v>
      </c>
      <c r="O233" t="str">
        <f t="shared" si="7"/>
        <v>Sáb.</v>
      </c>
      <c r="P233" t="str">
        <f t="shared" si="8"/>
        <v>septiembre</v>
      </c>
    </row>
    <row r="234" spans="1:16" x14ac:dyDescent="0.25">
      <c r="A234">
        <v>233</v>
      </c>
      <c r="B234">
        <v>43882</v>
      </c>
      <c r="C234">
        <v>597069969</v>
      </c>
      <c r="D234" t="s">
        <v>63</v>
      </c>
      <c r="E234" t="s">
        <v>85</v>
      </c>
      <c r="F234" t="s">
        <v>83</v>
      </c>
      <c r="G234" t="s">
        <v>41</v>
      </c>
      <c r="H234" t="s">
        <v>25</v>
      </c>
      <c r="I234" t="s">
        <v>17</v>
      </c>
      <c r="J234" t="s">
        <v>34</v>
      </c>
      <c r="K234" t="s">
        <v>35</v>
      </c>
      <c r="L234">
        <v>135.1</v>
      </c>
      <c r="M234">
        <v>43</v>
      </c>
      <c r="N234">
        <f>Hoja4!$L234*Hoja4!$M234</f>
        <v>5809.3</v>
      </c>
      <c r="O234" t="str">
        <f t="shared" si="7"/>
        <v>Vie.</v>
      </c>
      <c r="P234" t="str">
        <f t="shared" si="8"/>
        <v>febrero</v>
      </c>
    </row>
    <row r="235" spans="1:16" x14ac:dyDescent="0.25">
      <c r="A235">
        <v>234</v>
      </c>
      <c r="B235">
        <v>44174</v>
      </c>
      <c r="C235">
        <v>1323169656</v>
      </c>
      <c r="D235" t="s">
        <v>63</v>
      </c>
      <c r="E235" t="s">
        <v>85</v>
      </c>
      <c r="F235" t="s">
        <v>83</v>
      </c>
      <c r="G235" t="s">
        <v>41</v>
      </c>
      <c r="H235" t="s">
        <v>25</v>
      </c>
      <c r="I235" t="s">
        <v>17</v>
      </c>
      <c r="J235" t="s">
        <v>52</v>
      </c>
      <c r="K235" t="s">
        <v>53</v>
      </c>
      <c r="L235">
        <v>257.59999999999997</v>
      </c>
      <c r="M235">
        <v>71</v>
      </c>
      <c r="N235">
        <f>Hoja4!$L235*Hoja4!$M235</f>
        <v>18289.599999999999</v>
      </c>
      <c r="O235" t="str">
        <f t="shared" si="7"/>
        <v>Mié.</v>
      </c>
      <c r="P235" t="str">
        <f t="shared" si="8"/>
        <v>diciembre</v>
      </c>
    </row>
    <row r="236" spans="1:16" x14ac:dyDescent="0.25">
      <c r="A236">
        <v>235</v>
      </c>
      <c r="B236">
        <v>44142</v>
      </c>
      <c r="C236">
        <v>2932971142</v>
      </c>
      <c r="D236" t="s">
        <v>28</v>
      </c>
      <c r="E236" t="s">
        <v>89</v>
      </c>
      <c r="F236" t="s">
        <v>84</v>
      </c>
      <c r="G236" t="s">
        <v>29</v>
      </c>
      <c r="H236" t="s">
        <v>8</v>
      </c>
      <c r="I236" t="s">
        <v>9</v>
      </c>
      <c r="J236" t="s">
        <v>10</v>
      </c>
      <c r="K236" t="s">
        <v>11</v>
      </c>
      <c r="L236">
        <v>196</v>
      </c>
      <c r="M236">
        <v>50</v>
      </c>
      <c r="N236">
        <f>Hoja4!$L236*Hoja4!$M236</f>
        <v>9800</v>
      </c>
      <c r="O236" t="str">
        <f t="shared" si="7"/>
        <v>Sáb.</v>
      </c>
      <c r="P236" t="str">
        <f t="shared" si="8"/>
        <v>noviembre</v>
      </c>
    </row>
    <row r="237" spans="1:16" x14ac:dyDescent="0.25">
      <c r="A237">
        <v>236</v>
      </c>
      <c r="B237">
        <v>44152</v>
      </c>
      <c r="C237">
        <v>3634141900</v>
      </c>
      <c r="D237" t="s">
        <v>36</v>
      </c>
      <c r="E237" t="s">
        <v>92</v>
      </c>
      <c r="F237" t="s">
        <v>99</v>
      </c>
      <c r="G237" t="s">
        <v>37</v>
      </c>
      <c r="H237" t="s">
        <v>25</v>
      </c>
      <c r="I237" t="s">
        <v>9</v>
      </c>
      <c r="J237" t="s">
        <v>30</v>
      </c>
      <c r="K237" t="s">
        <v>31</v>
      </c>
      <c r="L237">
        <v>178.5</v>
      </c>
      <c r="M237">
        <v>96</v>
      </c>
      <c r="N237">
        <f>Hoja4!$L237*Hoja4!$M237</f>
        <v>17136</v>
      </c>
      <c r="O237" t="str">
        <f t="shared" si="7"/>
        <v>Mar.</v>
      </c>
      <c r="P237" t="str">
        <f t="shared" si="8"/>
        <v>noviembre</v>
      </c>
    </row>
    <row r="238" spans="1:16" x14ac:dyDescent="0.25">
      <c r="A238">
        <v>237</v>
      </c>
      <c r="B238">
        <v>43926</v>
      </c>
      <c r="C238">
        <v>8872627168</v>
      </c>
      <c r="D238" t="s">
        <v>14</v>
      </c>
      <c r="E238" t="s">
        <v>81</v>
      </c>
      <c r="F238" t="s">
        <v>94</v>
      </c>
      <c r="G238" t="s">
        <v>15</v>
      </c>
      <c r="H238" t="s">
        <v>16</v>
      </c>
      <c r="I238" t="s">
        <v>17</v>
      </c>
      <c r="J238" t="s">
        <v>70</v>
      </c>
      <c r="K238" t="s">
        <v>47</v>
      </c>
      <c r="L238">
        <v>1134</v>
      </c>
      <c r="M238">
        <v>54</v>
      </c>
      <c r="N238">
        <f>Hoja4!$L238*Hoja4!$M238</f>
        <v>61236</v>
      </c>
      <c r="O238" t="str">
        <f t="shared" si="7"/>
        <v>Dom.</v>
      </c>
      <c r="P238" t="str">
        <f t="shared" si="8"/>
        <v>abril</v>
      </c>
    </row>
    <row r="239" spans="1:16" x14ac:dyDescent="0.25">
      <c r="A239">
        <v>238</v>
      </c>
      <c r="B239">
        <v>43849</v>
      </c>
      <c r="C239">
        <v>5571010485</v>
      </c>
      <c r="D239" t="s">
        <v>14</v>
      </c>
      <c r="E239" t="s">
        <v>81</v>
      </c>
      <c r="F239" t="s">
        <v>94</v>
      </c>
      <c r="G239" t="s">
        <v>15</v>
      </c>
      <c r="H239" t="s">
        <v>16</v>
      </c>
      <c r="I239" t="s">
        <v>17</v>
      </c>
      <c r="J239" t="s">
        <v>71</v>
      </c>
      <c r="K239" t="s">
        <v>72</v>
      </c>
      <c r="L239">
        <v>98</v>
      </c>
      <c r="M239">
        <v>39</v>
      </c>
      <c r="N239">
        <f>Hoja4!$L239*Hoja4!$M239</f>
        <v>3822</v>
      </c>
      <c r="O239" t="str">
        <f t="shared" si="7"/>
        <v>Dom.</v>
      </c>
      <c r="P239" t="str">
        <f t="shared" si="8"/>
        <v>enero</v>
      </c>
    </row>
    <row r="240" spans="1:16" x14ac:dyDescent="0.25">
      <c r="A240">
        <v>239</v>
      </c>
      <c r="B240">
        <v>43976</v>
      </c>
      <c r="C240">
        <v>7703467924</v>
      </c>
      <c r="D240" t="s">
        <v>23</v>
      </c>
      <c r="E240" t="s">
        <v>86</v>
      </c>
      <c r="F240" t="s">
        <v>82</v>
      </c>
      <c r="G240" t="s">
        <v>24</v>
      </c>
      <c r="H240" t="s">
        <v>25</v>
      </c>
      <c r="I240" t="s">
        <v>17</v>
      </c>
      <c r="J240" t="s">
        <v>58</v>
      </c>
      <c r="K240" t="s">
        <v>59</v>
      </c>
      <c r="L240">
        <v>487.19999999999993</v>
      </c>
      <c r="M240">
        <v>63</v>
      </c>
      <c r="N240">
        <f>Hoja4!$L240*Hoja4!$M240</f>
        <v>30693.599999999995</v>
      </c>
      <c r="O240" t="str">
        <f t="shared" si="7"/>
        <v>Lun.</v>
      </c>
      <c r="P240" t="str">
        <f t="shared" si="8"/>
        <v>mayo</v>
      </c>
    </row>
    <row r="241" spans="1:16" x14ac:dyDescent="0.25">
      <c r="A241">
        <v>240</v>
      </c>
      <c r="B241">
        <v>43844</v>
      </c>
      <c r="C241">
        <v>7747820326</v>
      </c>
      <c r="D241" t="s">
        <v>32</v>
      </c>
      <c r="E241" t="s">
        <v>93</v>
      </c>
      <c r="F241" t="s">
        <v>96</v>
      </c>
      <c r="G241" t="s">
        <v>7</v>
      </c>
      <c r="H241" t="s">
        <v>8</v>
      </c>
      <c r="I241" t="s">
        <v>33</v>
      </c>
      <c r="J241" t="s">
        <v>60</v>
      </c>
      <c r="K241" t="s">
        <v>49</v>
      </c>
      <c r="L241">
        <v>140</v>
      </c>
      <c r="M241">
        <v>71</v>
      </c>
      <c r="N241">
        <f>Hoja4!$L241*Hoja4!$M241</f>
        <v>9940</v>
      </c>
      <c r="O241" t="str">
        <f t="shared" si="7"/>
        <v>Mar.</v>
      </c>
      <c r="P241" t="str">
        <f t="shared" si="8"/>
        <v>enero</v>
      </c>
    </row>
    <row r="242" spans="1:16" x14ac:dyDescent="0.25">
      <c r="A242">
        <v>241</v>
      </c>
      <c r="B242">
        <v>43858</v>
      </c>
      <c r="C242">
        <v>5769101754</v>
      </c>
      <c r="D242" t="s">
        <v>32</v>
      </c>
      <c r="E242" t="s">
        <v>93</v>
      </c>
      <c r="F242" t="s">
        <v>96</v>
      </c>
      <c r="G242" t="s">
        <v>7</v>
      </c>
      <c r="H242" t="s">
        <v>8</v>
      </c>
      <c r="I242" t="s">
        <v>33</v>
      </c>
      <c r="J242" t="s">
        <v>38</v>
      </c>
      <c r="K242" t="s">
        <v>39</v>
      </c>
      <c r="L242">
        <v>560</v>
      </c>
      <c r="M242">
        <v>88</v>
      </c>
      <c r="N242">
        <f>Hoja4!$L242*Hoja4!$M242</f>
        <v>49280</v>
      </c>
      <c r="O242" t="str">
        <f t="shared" si="7"/>
        <v>Mar.</v>
      </c>
      <c r="P242" t="str">
        <f t="shared" si="8"/>
        <v>enero</v>
      </c>
    </row>
    <row r="243" spans="1:16" x14ac:dyDescent="0.25">
      <c r="A243">
        <v>242</v>
      </c>
      <c r="B243">
        <v>43891</v>
      </c>
      <c r="C243">
        <v>7427615835</v>
      </c>
      <c r="D243" t="s">
        <v>42</v>
      </c>
      <c r="E243" t="s">
        <v>91</v>
      </c>
      <c r="F243" t="s">
        <v>91</v>
      </c>
      <c r="G243" t="s">
        <v>43</v>
      </c>
      <c r="H243" t="s">
        <v>8</v>
      </c>
      <c r="I243" t="s">
        <v>17</v>
      </c>
      <c r="J243" t="s">
        <v>61</v>
      </c>
      <c r="K243" t="s">
        <v>13</v>
      </c>
      <c r="L243">
        <v>140</v>
      </c>
      <c r="M243">
        <v>59</v>
      </c>
      <c r="N243">
        <f>Hoja4!$L243*Hoja4!$M243</f>
        <v>8260</v>
      </c>
      <c r="O243" t="str">
        <f t="shared" si="7"/>
        <v>Dom.</v>
      </c>
      <c r="P243" t="str">
        <f t="shared" si="8"/>
        <v>marzo</v>
      </c>
    </row>
    <row r="244" spans="1:16" x14ac:dyDescent="0.25">
      <c r="A244">
        <v>243</v>
      </c>
      <c r="B244">
        <v>43984</v>
      </c>
      <c r="C244">
        <v>242336558</v>
      </c>
      <c r="D244" t="s">
        <v>36</v>
      </c>
      <c r="E244" t="s">
        <v>92</v>
      </c>
      <c r="F244" t="s">
        <v>99</v>
      </c>
      <c r="G244" t="s">
        <v>37</v>
      </c>
      <c r="H244" t="s">
        <v>8</v>
      </c>
      <c r="I244" t="s">
        <v>17</v>
      </c>
      <c r="J244" t="s">
        <v>38</v>
      </c>
      <c r="K244" t="s">
        <v>39</v>
      </c>
      <c r="L244">
        <v>560</v>
      </c>
      <c r="M244">
        <v>94</v>
      </c>
      <c r="N244">
        <f>Hoja4!$L244*Hoja4!$M244</f>
        <v>52640</v>
      </c>
      <c r="O244" t="str">
        <f t="shared" si="7"/>
        <v>Mar.</v>
      </c>
      <c r="P244" t="str">
        <f t="shared" si="8"/>
        <v>junio</v>
      </c>
    </row>
    <row r="245" spans="1:16" x14ac:dyDescent="0.25">
      <c r="A245">
        <v>244</v>
      </c>
      <c r="B245">
        <v>44098</v>
      </c>
      <c r="C245">
        <v>2520819737</v>
      </c>
      <c r="D245" t="s">
        <v>40</v>
      </c>
      <c r="E245" t="s">
        <v>97</v>
      </c>
      <c r="F245" t="s">
        <v>88</v>
      </c>
      <c r="G245" t="s">
        <v>41</v>
      </c>
      <c r="H245" t="s">
        <v>25</v>
      </c>
      <c r="I245" t="s">
        <v>9</v>
      </c>
      <c r="J245" t="s">
        <v>22</v>
      </c>
      <c r="K245" t="s">
        <v>11</v>
      </c>
      <c r="L245">
        <v>644</v>
      </c>
      <c r="M245">
        <v>86</v>
      </c>
      <c r="N245">
        <f>Hoja4!$L245*Hoja4!$M245</f>
        <v>55384</v>
      </c>
      <c r="O245" t="str">
        <f t="shared" si="7"/>
        <v>Jue.</v>
      </c>
      <c r="P245" t="str">
        <f t="shared" si="8"/>
        <v>septiembre</v>
      </c>
    </row>
    <row r="246" spans="1:16" x14ac:dyDescent="0.25">
      <c r="A246">
        <v>245</v>
      </c>
      <c r="B246">
        <v>43988</v>
      </c>
      <c r="C246">
        <v>8828389188</v>
      </c>
      <c r="D246" t="s">
        <v>23</v>
      </c>
      <c r="E246" t="s">
        <v>86</v>
      </c>
      <c r="F246" t="s">
        <v>82</v>
      </c>
      <c r="G246" t="s">
        <v>24</v>
      </c>
      <c r="H246" t="s">
        <v>25</v>
      </c>
      <c r="I246" t="s">
        <v>9</v>
      </c>
      <c r="J246" t="s">
        <v>30</v>
      </c>
      <c r="K246" t="s">
        <v>31</v>
      </c>
      <c r="L246">
        <v>178.5</v>
      </c>
      <c r="M246">
        <v>61</v>
      </c>
      <c r="N246">
        <f>Hoja4!$L246*Hoja4!$M246</f>
        <v>10888.5</v>
      </c>
      <c r="O246" t="str">
        <f t="shared" si="7"/>
        <v>Sáb.</v>
      </c>
      <c r="P246" t="str">
        <f t="shared" si="8"/>
        <v>junio</v>
      </c>
    </row>
    <row r="247" spans="1:16" x14ac:dyDescent="0.25">
      <c r="A247">
        <v>246</v>
      </c>
      <c r="B247">
        <v>44095</v>
      </c>
      <c r="C247">
        <v>164422904</v>
      </c>
      <c r="D247" t="s">
        <v>42</v>
      </c>
      <c r="E247" t="s">
        <v>91</v>
      </c>
      <c r="F247" t="s">
        <v>91</v>
      </c>
      <c r="G247" t="s">
        <v>43</v>
      </c>
      <c r="H247" t="s">
        <v>8</v>
      </c>
      <c r="I247" t="s">
        <v>17</v>
      </c>
      <c r="J247" t="s">
        <v>44</v>
      </c>
      <c r="K247" t="s">
        <v>11</v>
      </c>
      <c r="L247">
        <v>41.86</v>
      </c>
      <c r="M247">
        <v>32</v>
      </c>
      <c r="N247">
        <f>Hoja4!$L247*Hoja4!$M247</f>
        <v>1339.52</v>
      </c>
      <c r="O247" t="str">
        <f t="shared" si="7"/>
        <v>Lun.</v>
      </c>
      <c r="P247" t="str">
        <f t="shared" si="8"/>
        <v>septiembre</v>
      </c>
    </row>
    <row r="248" spans="1:16" x14ac:dyDescent="0.25">
      <c r="A248">
        <v>247</v>
      </c>
      <c r="B248">
        <v>43870</v>
      </c>
      <c r="C248">
        <v>7991995786</v>
      </c>
      <c r="D248" t="s">
        <v>45</v>
      </c>
      <c r="E248" t="s">
        <v>87</v>
      </c>
      <c r="F248" t="s">
        <v>87</v>
      </c>
      <c r="G248" t="s">
        <v>24</v>
      </c>
      <c r="J248" t="s">
        <v>22</v>
      </c>
      <c r="K248" t="s">
        <v>11</v>
      </c>
      <c r="L248">
        <v>644</v>
      </c>
      <c r="M248">
        <v>62</v>
      </c>
      <c r="N248">
        <f>Hoja4!$L248*Hoja4!$M248</f>
        <v>39928</v>
      </c>
      <c r="O248" t="str">
        <f t="shared" si="7"/>
        <v>Dom.</v>
      </c>
      <c r="P248" t="str">
        <f t="shared" si="8"/>
        <v>febrero</v>
      </c>
    </row>
    <row r="249" spans="1:16" x14ac:dyDescent="0.25">
      <c r="A249">
        <v>248</v>
      </c>
      <c r="B249">
        <v>44113</v>
      </c>
      <c r="C249">
        <v>4149364306</v>
      </c>
      <c r="D249" t="s">
        <v>42</v>
      </c>
      <c r="E249" t="s">
        <v>91</v>
      </c>
      <c r="F249" t="s">
        <v>91</v>
      </c>
      <c r="G249" t="s">
        <v>43</v>
      </c>
      <c r="H249" t="s">
        <v>16</v>
      </c>
      <c r="J249" t="s">
        <v>46</v>
      </c>
      <c r="K249" t="s">
        <v>47</v>
      </c>
      <c r="L249">
        <v>350</v>
      </c>
      <c r="M249">
        <v>60</v>
      </c>
      <c r="N249">
        <f>Hoja4!$L249*Hoja4!$M249</f>
        <v>21000</v>
      </c>
      <c r="O249" t="str">
        <f t="shared" si="7"/>
        <v>Vie.</v>
      </c>
      <c r="P249" t="str">
        <f t="shared" si="8"/>
        <v>octubre</v>
      </c>
    </row>
    <row r="250" spans="1:16" x14ac:dyDescent="0.25">
      <c r="A250">
        <v>249</v>
      </c>
      <c r="B250">
        <v>44191</v>
      </c>
      <c r="C250">
        <v>6397472642</v>
      </c>
      <c r="D250" t="s">
        <v>42</v>
      </c>
      <c r="E250" t="s">
        <v>91</v>
      </c>
      <c r="F250" t="s">
        <v>91</v>
      </c>
      <c r="G250" t="s">
        <v>43</v>
      </c>
      <c r="H250" t="s">
        <v>16</v>
      </c>
      <c r="J250" t="s">
        <v>48</v>
      </c>
      <c r="K250" t="s">
        <v>49</v>
      </c>
      <c r="L250">
        <v>308</v>
      </c>
      <c r="M250">
        <v>51</v>
      </c>
      <c r="N250">
        <f>Hoja4!$L250*Hoja4!$M250</f>
        <v>15708</v>
      </c>
      <c r="O250" t="str">
        <f t="shared" si="7"/>
        <v>Sáb.</v>
      </c>
      <c r="P250" t="str">
        <f t="shared" si="8"/>
        <v>diciembre</v>
      </c>
    </row>
    <row r="251" spans="1:16" x14ac:dyDescent="0.25">
      <c r="A251">
        <v>250</v>
      </c>
      <c r="B251">
        <v>43831</v>
      </c>
      <c r="C251">
        <v>1168651383</v>
      </c>
      <c r="D251" t="s">
        <v>42</v>
      </c>
      <c r="E251" t="s">
        <v>91</v>
      </c>
      <c r="F251" t="s">
        <v>91</v>
      </c>
      <c r="G251" t="s">
        <v>43</v>
      </c>
      <c r="H251" t="s">
        <v>16</v>
      </c>
      <c r="J251" t="s">
        <v>26</v>
      </c>
      <c r="K251" t="s">
        <v>27</v>
      </c>
      <c r="L251">
        <v>128.79999999999998</v>
      </c>
      <c r="M251">
        <v>49</v>
      </c>
      <c r="N251">
        <f>Hoja4!$L251*Hoja4!$M251</f>
        <v>6311.1999999999989</v>
      </c>
      <c r="O251" t="str">
        <f t="shared" si="7"/>
        <v>Mié.</v>
      </c>
      <c r="P251" t="str">
        <f t="shared" si="8"/>
        <v>enero</v>
      </c>
    </row>
    <row r="252" spans="1:16" x14ac:dyDescent="0.25">
      <c r="A252">
        <v>251</v>
      </c>
      <c r="B252">
        <v>43877</v>
      </c>
      <c r="C252">
        <v>1309311215</v>
      </c>
      <c r="D252" t="s">
        <v>50</v>
      </c>
      <c r="E252" t="s">
        <v>85</v>
      </c>
      <c r="F252" t="s">
        <v>83</v>
      </c>
      <c r="G252" t="s">
        <v>41</v>
      </c>
      <c r="H252" t="s">
        <v>25</v>
      </c>
      <c r="J252" t="s">
        <v>12</v>
      </c>
      <c r="K252" t="s">
        <v>13</v>
      </c>
      <c r="L252">
        <v>49</v>
      </c>
      <c r="M252">
        <v>20</v>
      </c>
      <c r="N252">
        <f>Hoja4!$L252*Hoja4!$M252</f>
        <v>980</v>
      </c>
      <c r="O252" t="str">
        <f t="shared" si="7"/>
        <v>Dom.</v>
      </c>
      <c r="P252" t="str">
        <f t="shared" si="8"/>
        <v>febrero</v>
      </c>
    </row>
    <row r="253" spans="1:16" x14ac:dyDescent="0.25">
      <c r="A253">
        <v>252</v>
      </c>
      <c r="B253">
        <v>44000</v>
      </c>
      <c r="C253">
        <v>4552083877</v>
      </c>
      <c r="D253" t="s">
        <v>50</v>
      </c>
      <c r="E253" t="s">
        <v>85</v>
      </c>
      <c r="F253" t="s">
        <v>83</v>
      </c>
      <c r="G253" t="s">
        <v>41</v>
      </c>
      <c r="H253" t="s">
        <v>25</v>
      </c>
      <c r="J253" t="s">
        <v>44</v>
      </c>
      <c r="K253" t="s">
        <v>11</v>
      </c>
      <c r="L253">
        <v>41.86</v>
      </c>
      <c r="M253">
        <v>49</v>
      </c>
      <c r="N253">
        <f>Hoja4!$L253*Hoja4!$M253</f>
        <v>2051.14</v>
      </c>
      <c r="O253" t="str">
        <f t="shared" si="7"/>
        <v>Jue.</v>
      </c>
      <c r="P253" t="str">
        <f t="shared" si="8"/>
        <v>junio</v>
      </c>
    </row>
    <row r="254" spans="1:16" x14ac:dyDescent="0.25">
      <c r="A254">
        <v>253</v>
      </c>
      <c r="B254">
        <v>43906</v>
      </c>
      <c r="C254">
        <v>6119453494</v>
      </c>
      <c r="D254" t="s">
        <v>51</v>
      </c>
      <c r="E254" t="s">
        <v>90</v>
      </c>
      <c r="F254" t="s">
        <v>98</v>
      </c>
      <c r="G254" t="s">
        <v>24</v>
      </c>
      <c r="J254" t="s">
        <v>21</v>
      </c>
      <c r="K254" t="s">
        <v>11</v>
      </c>
      <c r="L254">
        <v>252</v>
      </c>
      <c r="M254">
        <v>22</v>
      </c>
      <c r="N254">
        <f>Hoja4!$L254*Hoja4!$M254</f>
        <v>5544</v>
      </c>
      <c r="O254" t="str">
        <f t="shared" si="7"/>
        <v>Lun.</v>
      </c>
      <c r="P254" t="str">
        <f t="shared" si="8"/>
        <v>marzo</v>
      </c>
    </row>
    <row r="255" spans="1:16" x14ac:dyDescent="0.25">
      <c r="A255">
        <v>254</v>
      </c>
      <c r="B255">
        <v>43855</v>
      </c>
      <c r="C255">
        <v>8815781249</v>
      </c>
      <c r="D255" t="s">
        <v>51</v>
      </c>
      <c r="E255" t="s">
        <v>90</v>
      </c>
      <c r="F255" t="s">
        <v>98</v>
      </c>
      <c r="G255" t="s">
        <v>24</v>
      </c>
      <c r="J255" t="s">
        <v>22</v>
      </c>
      <c r="K255" t="s">
        <v>11</v>
      </c>
      <c r="L255">
        <v>644</v>
      </c>
      <c r="M255">
        <v>73</v>
      </c>
      <c r="N255">
        <f>Hoja4!$L255*Hoja4!$M255</f>
        <v>47012</v>
      </c>
      <c r="O255" t="str">
        <f t="shared" si="7"/>
        <v>Sáb.</v>
      </c>
      <c r="P255" t="str">
        <f t="shared" si="8"/>
        <v>enero</v>
      </c>
    </row>
    <row r="256" spans="1:16" x14ac:dyDescent="0.25">
      <c r="A256">
        <v>255</v>
      </c>
      <c r="B256">
        <v>43984</v>
      </c>
      <c r="C256">
        <v>5308869510</v>
      </c>
      <c r="D256" t="s">
        <v>51</v>
      </c>
      <c r="E256" t="s">
        <v>90</v>
      </c>
      <c r="F256" t="s">
        <v>98</v>
      </c>
      <c r="G256" t="s">
        <v>24</v>
      </c>
      <c r="J256" t="s">
        <v>44</v>
      </c>
      <c r="K256" t="s">
        <v>11</v>
      </c>
      <c r="L256">
        <v>41.86</v>
      </c>
      <c r="M256">
        <v>85</v>
      </c>
      <c r="N256">
        <f>Hoja4!$L256*Hoja4!$M256</f>
        <v>3558.1</v>
      </c>
      <c r="O256" t="str">
        <f t="shared" si="7"/>
        <v>Mar.</v>
      </c>
      <c r="P256" t="str">
        <f t="shared" si="8"/>
        <v>junio</v>
      </c>
    </row>
    <row r="257" spans="1:16" x14ac:dyDescent="0.25">
      <c r="A257">
        <v>256</v>
      </c>
      <c r="B257">
        <v>44143</v>
      </c>
      <c r="C257">
        <v>9623390930</v>
      </c>
      <c r="D257" t="s">
        <v>40</v>
      </c>
      <c r="E257" t="s">
        <v>97</v>
      </c>
      <c r="F257" t="s">
        <v>88</v>
      </c>
      <c r="G257" t="s">
        <v>41</v>
      </c>
      <c r="H257" t="s">
        <v>25</v>
      </c>
      <c r="I257" t="s">
        <v>17</v>
      </c>
      <c r="J257" t="s">
        <v>34</v>
      </c>
      <c r="K257" t="s">
        <v>35</v>
      </c>
      <c r="L257">
        <v>135.1</v>
      </c>
      <c r="M257">
        <v>44</v>
      </c>
      <c r="N257">
        <f>Hoja4!$L257*Hoja4!$M257</f>
        <v>5944.4</v>
      </c>
      <c r="O257" t="str">
        <f t="shared" si="7"/>
        <v>Dom.</v>
      </c>
      <c r="P257" t="str">
        <f t="shared" si="8"/>
        <v>noviembre</v>
      </c>
    </row>
    <row r="258" spans="1:16" x14ac:dyDescent="0.25">
      <c r="A258">
        <v>257</v>
      </c>
      <c r="B258">
        <v>43858</v>
      </c>
      <c r="C258">
        <v>9925453816</v>
      </c>
      <c r="D258" t="s">
        <v>40</v>
      </c>
      <c r="E258" t="s">
        <v>97</v>
      </c>
      <c r="F258" t="s">
        <v>88</v>
      </c>
      <c r="G258" t="s">
        <v>41</v>
      </c>
      <c r="H258" t="s">
        <v>25</v>
      </c>
      <c r="I258" t="s">
        <v>17</v>
      </c>
      <c r="J258" t="s">
        <v>52</v>
      </c>
      <c r="K258" t="s">
        <v>53</v>
      </c>
      <c r="L258">
        <v>257.59999999999997</v>
      </c>
      <c r="M258">
        <v>24</v>
      </c>
      <c r="N258">
        <f>Hoja4!$L258*Hoja4!$M258</f>
        <v>6182.4</v>
      </c>
      <c r="O258" t="str">
        <f t="shared" ref="O258:O321" si="9">PROPER(TEXT(B258,"ddd."))</f>
        <v>Mar.</v>
      </c>
      <c r="P258" t="str">
        <f t="shared" ref="P258:P321" si="10">TEXT(B258,"mmmm")</f>
        <v>enero</v>
      </c>
    </row>
    <row r="259" spans="1:16" x14ac:dyDescent="0.25">
      <c r="A259">
        <v>258</v>
      </c>
      <c r="B259">
        <v>44168</v>
      </c>
      <c r="C259">
        <v>6948053333</v>
      </c>
      <c r="D259" t="s">
        <v>54</v>
      </c>
      <c r="E259" t="s">
        <v>89</v>
      </c>
      <c r="F259" t="s">
        <v>84</v>
      </c>
      <c r="G259" t="s">
        <v>55</v>
      </c>
      <c r="H259" t="s">
        <v>16</v>
      </c>
      <c r="I259" t="s">
        <v>9</v>
      </c>
      <c r="J259" t="s">
        <v>56</v>
      </c>
      <c r="K259" t="s">
        <v>57</v>
      </c>
      <c r="L259">
        <v>273</v>
      </c>
      <c r="M259">
        <v>64</v>
      </c>
      <c r="N259">
        <f>Hoja4!$L259*Hoja4!$M259</f>
        <v>17472</v>
      </c>
      <c r="O259" t="str">
        <f t="shared" si="9"/>
        <v>Jue.</v>
      </c>
      <c r="P259" t="str">
        <f t="shared" si="10"/>
        <v>diciembre</v>
      </c>
    </row>
    <row r="260" spans="1:16" x14ac:dyDescent="0.25">
      <c r="A260">
        <v>259</v>
      </c>
      <c r="B260">
        <v>44038</v>
      </c>
      <c r="C260">
        <v>2060963898</v>
      </c>
      <c r="D260" t="s">
        <v>54</v>
      </c>
      <c r="E260" t="s">
        <v>89</v>
      </c>
      <c r="F260" t="s">
        <v>84</v>
      </c>
      <c r="G260" t="s">
        <v>55</v>
      </c>
      <c r="H260" t="s">
        <v>16</v>
      </c>
      <c r="I260" t="s">
        <v>9</v>
      </c>
      <c r="J260" t="s">
        <v>58</v>
      </c>
      <c r="K260" t="s">
        <v>59</v>
      </c>
      <c r="L260">
        <v>487.19999999999993</v>
      </c>
      <c r="M260">
        <v>70</v>
      </c>
      <c r="N260">
        <f>Hoja4!$L260*Hoja4!$M260</f>
        <v>34103.999999999993</v>
      </c>
      <c r="O260" t="str">
        <f t="shared" si="9"/>
        <v>Dom.</v>
      </c>
      <c r="P260" t="str">
        <f t="shared" si="10"/>
        <v>julio</v>
      </c>
    </row>
    <row r="261" spans="1:16" x14ac:dyDescent="0.25">
      <c r="A261">
        <v>260</v>
      </c>
      <c r="B261">
        <v>44142</v>
      </c>
      <c r="C261">
        <v>2582781913</v>
      </c>
      <c r="D261" t="s">
        <v>36</v>
      </c>
      <c r="E261" t="s">
        <v>92</v>
      </c>
      <c r="F261" t="s">
        <v>99</v>
      </c>
      <c r="G261" t="s">
        <v>37</v>
      </c>
      <c r="H261" t="s">
        <v>8</v>
      </c>
      <c r="I261" t="s">
        <v>17</v>
      </c>
      <c r="J261" t="s">
        <v>10</v>
      </c>
      <c r="K261" t="s">
        <v>11</v>
      </c>
      <c r="L261">
        <v>196</v>
      </c>
      <c r="M261">
        <v>98</v>
      </c>
      <c r="N261">
        <f>Hoja4!$L261*Hoja4!$M261</f>
        <v>19208</v>
      </c>
      <c r="O261" t="str">
        <f t="shared" si="9"/>
        <v>Sáb.</v>
      </c>
      <c r="P261" t="str">
        <f t="shared" si="10"/>
        <v>noviembre</v>
      </c>
    </row>
    <row r="262" spans="1:16" x14ac:dyDescent="0.25">
      <c r="A262">
        <v>261</v>
      </c>
      <c r="B262">
        <v>44146</v>
      </c>
      <c r="C262">
        <v>2732649952</v>
      </c>
      <c r="D262" t="s">
        <v>23</v>
      </c>
      <c r="E262" t="s">
        <v>86</v>
      </c>
      <c r="F262" t="s">
        <v>82</v>
      </c>
      <c r="G262" t="s">
        <v>24</v>
      </c>
      <c r="H262" t="s">
        <v>8</v>
      </c>
      <c r="I262" t="s">
        <v>9</v>
      </c>
      <c r="J262" t="s">
        <v>38</v>
      </c>
      <c r="K262" t="s">
        <v>39</v>
      </c>
      <c r="L262">
        <v>560</v>
      </c>
      <c r="M262">
        <v>48</v>
      </c>
      <c r="N262">
        <f>Hoja4!$L262*Hoja4!$M262</f>
        <v>26880</v>
      </c>
      <c r="O262" t="str">
        <f t="shared" si="9"/>
        <v>Mié.</v>
      </c>
      <c r="P262" t="str">
        <f t="shared" si="10"/>
        <v>noviembre</v>
      </c>
    </row>
    <row r="263" spans="1:16" x14ac:dyDescent="0.25">
      <c r="A263">
        <v>262</v>
      </c>
      <c r="B263">
        <v>43893</v>
      </c>
      <c r="C263">
        <v>4179453952</v>
      </c>
      <c r="D263" t="s">
        <v>23</v>
      </c>
      <c r="E263" t="s">
        <v>86</v>
      </c>
      <c r="F263" t="s">
        <v>82</v>
      </c>
      <c r="G263" t="s">
        <v>24</v>
      </c>
      <c r="H263" t="s">
        <v>8</v>
      </c>
      <c r="I263" t="s">
        <v>9</v>
      </c>
      <c r="J263" t="s">
        <v>26</v>
      </c>
      <c r="K263" t="s">
        <v>27</v>
      </c>
      <c r="L263">
        <v>128.79999999999998</v>
      </c>
      <c r="M263">
        <v>100</v>
      </c>
      <c r="N263">
        <f>Hoja4!$L263*Hoja4!$M263</f>
        <v>12879.999999999998</v>
      </c>
      <c r="O263" t="str">
        <f t="shared" si="9"/>
        <v>Mar.</v>
      </c>
      <c r="P263" t="str">
        <f t="shared" si="10"/>
        <v>marzo</v>
      </c>
    </row>
    <row r="264" spans="1:16" x14ac:dyDescent="0.25">
      <c r="A264">
        <v>263</v>
      </c>
      <c r="B264">
        <v>44130</v>
      </c>
      <c r="C264">
        <v>4339665341</v>
      </c>
      <c r="D264" t="s">
        <v>62</v>
      </c>
      <c r="E264" t="s">
        <v>91</v>
      </c>
      <c r="F264" t="s">
        <v>91</v>
      </c>
      <c r="G264" t="s">
        <v>43</v>
      </c>
      <c r="H264" t="s">
        <v>16</v>
      </c>
      <c r="I264" t="s">
        <v>33</v>
      </c>
      <c r="J264" t="s">
        <v>67</v>
      </c>
      <c r="K264" t="s">
        <v>27</v>
      </c>
      <c r="L264">
        <v>140</v>
      </c>
      <c r="M264">
        <v>90</v>
      </c>
      <c r="N264">
        <f>Hoja4!$L264*Hoja4!$M264</f>
        <v>12600</v>
      </c>
      <c r="O264" t="str">
        <f t="shared" si="9"/>
        <v>Lun.</v>
      </c>
      <c r="P264" t="str">
        <f t="shared" si="10"/>
        <v>octubre</v>
      </c>
    </row>
    <row r="265" spans="1:16" x14ac:dyDescent="0.25">
      <c r="A265">
        <v>264</v>
      </c>
      <c r="B265">
        <v>44077</v>
      </c>
      <c r="C265">
        <v>9193900326</v>
      </c>
      <c r="D265" t="s">
        <v>63</v>
      </c>
      <c r="E265" t="s">
        <v>85</v>
      </c>
      <c r="F265" t="s">
        <v>83</v>
      </c>
      <c r="G265" t="s">
        <v>41</v>
      </c>
      <c r="H265" t="s">
        <v>25</v>
      </c>
      <c r="I265" t="s">
        <v>17</v>
      </c>
      <c r="J265" t="s">
        <v>68</v>
      </c>
      <c r="K265" t="s">
        <v>69</v>
      </c>
      <c r="L265">
        <v>298.90000000000003</v>
      </c>
      <c r="M265">
        <v>49</v>
      </c>
      <c r="N265">
        <f>Hoja4!$L265*Hoja4!$M265</f>
        <v>14646.100000000002</v>
      </c>
      <c r="O265" t="str">
        <f t="shared" si="9"/>
        <v>Jue.</v>
      </c>
      <c r="P265" t="str">
        <f t="shared" si="10"/>
        <v>septiembre</v>
      </c>
    </row>
    <row r="266" spans="1:16" x14ac:dyDescent="0.25">
      <c r="A266">
        <v>265</v>
      </c>
      <c r="B266">
        <v>44073</v>
      </c>
      <c r="C266">
        <v>7474169055</v>
      </c>
      <c r="D266" t="s">
        <v>63</v>
      </c>
      <c r="E266" t="s">
        <v>85</v>
      </c>
      <c r="F266" t="s">
        <v>83</v>
      </c>
      <c r="G266" t="s">
        <v>41</v>
      </c>
      <c r="H266" t="s">
        <v>25</v>
      </c>
      <c r="I266" t="s">
        <v>17</v>
      </c>
      <c r="J266" t="s">
        <v>34</v>
      </c>
      <c r="K266" t="s">
        <v>35</v>
      </c>
      <c r="L266">
        <v>135.1</v>
      </c>
      <c r="M266">
        <v>71</v>
      </c>
      <c r="N266">
        <f>Hoja4!$L266*Hoja4!$M266</f>
        <v>9592.1</v>
      </c>
      <c r="O266" t="str">
        <f t="shared" si="9"/>
        <v>Dom.</v>
      </c>
      <c r="P266" t="str">
        <f t="shared" si="10"/>
        <v>agosto</v>
      </c>
    </row>
    <row r="267" spans="1:16" x14ac:dyDescent="0.25">
      <c r="A267">
        <v>266</v>
      </c>
      <c r="B267">
        <v>43890</v>
      </c>
      <c r="C267">
        <v>9750138179</v>
      </c>
      <c r="D267" t="s">
        <v>63</v>
      </c>
      <c r="E267" t="s">
        <v>85</v>
      </c>
      <c r="F267" t="s">
        <v>83</v>
      </c>
      <c r="G267" t="s">
        <v>41</v>
      </c>
      <c r="H267" t="s">
        <v>25</v>
      </c>
      <c r="I267" t="s">
        <v>17</v>
      </c>
      <c r="J267" t="s">
        <v>52</v>
      </c>
      <c r="K267" t="s">
        <v>53</v>
      </c>
      <c r="L267">
        <v>257.59999999999997</v>
      </c>
      <c r="M267">
        <v>10</v>
      </c>
      <c r="N267">
        <f>Hoja4!$L267*Hoja4!$M267</f>
        <v>2575.9999999999995</v>
      </c>
      <c r="O267" t="str">
        <f t="shared" si="9"/>
        <v>Sáb.</v>
      </c>
      <c r="P267" t="str">
        <f t="shared" si="10"/>
        <v>febrero</v>
      </c>
    </row>
    <row r="268" spans="1:16" x14ac:dyDescent="0.25">
      <c r="A268">
        <v>267</v>
      </c>
      <c r="B268">
        <v>43907</v>
      </c>
      <c r="C268">
        <v>2294414293</v>
      </c>
      <c r="D268" t="s">
        <v>28</v>
      </c>
      <c r="E268" t="s">
        <v>89</v>
      </c>
      <c r="F268" t="s">
        <v>84</v>
      </c>
      <c r="G268" t="s">
        <v>29</v>
      </c>
      <c r="H268" t="s">
        <v>8</v>
      </c>
      <c r="I268" t="s">
        <v>9</v>
      </c>
      <c r="J268" t="s">
        <v>10</v>
      </c>
      <c r="K268" t="s">
        <v>11</v>
      </c>
      <c r="L268">
        <v>196</v>
      </c>
      <c r="M268">
        <v>78</v>
      </c>
      <c r="N268">
        <f>Hoja4!$L268*Hoja4!$M268</f>
        <v>15288</v>
      </c>
      <c r="O268" t="str">
        <f t="shared" si="9"/>
        <v>Mar.</v>
      </c>
      <c r="P268" t="str">
        <f t="shared" si="10"/>
        <v>marzo</v>
      </c>
    </row>
    <row r="269" spans="1:16" x14ac:dyDescent="0.25">
      <c r="A269">
        <v>268</v>
      </c>
      <c r="B269">
        <v>44023</v>
      </c>
      <c r="C269">
        <v>776426288</v>
      </c>
      <c r="D269" t="s">
        <v>36</v>
      </c>
      <c r="E269" t="s">
        <v>92</v>
      </c>
      <c r="F269" t="s">
        <v>99</v>
      </c>
      <c r="G269" t="s">
        <v>37</v>
      </c>
      <c r="H269" t="s">
        <v>25</v>
      </c>
      <c r="I269" t="s">
        <v>9</v>
      </c>
      <c r="J269" t="s">
        <v>30</v>
      </c>
      <c r="K269" t="s">
        <v>31</v>
      </c>
      <c r="L269">
        <v>178.5</v>
      </c>
      <c r="M269">
        <v>44</v>
      </c>
      <c r="N269">
        <f>Hoja4!$L269*Hoja4!$M269</f>
        <v>7854</v>
      </c>
      <c r="O269" t="str">
        <f t="shared" si="9"/>
        <v>Sáb.</v>
      </c>
      <c r="P269" t="str">
        <f t="shared" si="10"/>
        <v>julio</v>
      </c>
    </row>
    <row r="270" spans="1:16" x14ac:dyDescent="0.25">
      <c r="A270">
        <v>269</v>
      </c>
      <c r="B270">
        <v>44109</v>
      </c>
      <c r="C270">
        <v>1245231958</v>
      </c>
      <c r="D270" t="s">
        <v>14</v>
      </c>
      <c r="E270" t="s">
        <v>81</v>
      </c>
      <c r="F270" t="s">
        <v>94</v>
      </c>
      <c r="G270" t="s">
        <v>15</v>
      </c>
      <c r="H270" t="s">
        <v>16</v>
      </c>
      <c r="I270" t="s">
        <v>17</v>
      </c>
      <c r="J270" t="s">
        <v>70</v>
      </c>
      <c r="K270" t="s">
        <v>47</v>
      </c>
      <c r="L270">
        <v>1134</v>
      </c>
      <c r="M270">
        <v>82</v>
      </c>
      <c r="N270">
        <f>Hoja4!$L270*Hoja4!$M270</f>
        <v>92988</v>
      </c>
      <c r="O270" t="str">
        <f t="shared" si="9"/>
        <v>Lun.</v>
      </c>
      <c r="P270" t="str">
        <f t="shared" si="10"/>
        <v>octubre</v>
      </c>
    </row>
    <row r="271" spans="1:16" x14ac:dyDescent="0.25">
      <c r="A271">
        <v>270</v>
      </c>
      <c r="B271">
        <v>43931</v>
      </c>
      <c r="C271">
        <v>2050724971</v>
      </c>
      <c r="D271" t="s">
        <v>14</v>
      </c>
      <c r="E271" t="s">
        <v>81</v>
      </c>
      <c r="F271" t="s">
        <v>94</v>
      </c>
      <c r="G271" t="s">
        <v>15</v>
      </c>
      <c r="H271" t="s">
        <v>16</v>
      </c>
      <c r="I271" t="s">
        <v>17</v>
      </c>
      <c r="J271" t="s">
        <v>71</v>
      </c>
      <c r="K271" t="s">
        <v>72</v>
      </c>
      <c r="L271">
        <v>98</v>
      </c>
      <c r="M271">
        <v>29</v>
      </c>
      <c r="N271">
        <f>Hoja4!$L271*Hoja4!$M271</f>
        <v>2842</v>
      </c>
      <c r="O271" t="str">
        <f t="shared" si="9"/>
        <v>Vie.</v>
      </c>
      <c r="P271" t="str">
        <f t="shared" si="10"/>
        <v>abril</v>
      </c>
    </row>
    <row r="272" spans="1:16" x14ac:dyDescent="0.25">
      <c r="A272">
        <v>271</v>
      </c>
      <c r="B272">
        <v>44097</v>
      </c>
      <c r="C272">
        <v>9478104719</v>
      </c>
      <c r="D272" t="s">
        <v>23</v>
      </c>
      <c r="E272" t="s">
        <v>86</v>
      </c>
      <c r="F272" t="s">
        <v>82</v>
      </c>
      <c r="G272" t="s">
        <v>24</v>
      </c>
      <c r="H272" t="s">
        <v>25</v>
      </c>
      <c r="I272" t="s">
        <v>17</v>
      </c>
      <c r="J272" t="s">
        <v>58</v>
      </c>
      <c r="K272" t="s">
        <v>59</v>
      </c>
      <c r="L272">
        <v>487.19999999999993</v>
      </c>
      <c r="M272">
        <v>93</v>
      </c>
      <c r="N272">
        <f>Hoja4!$L272*Hoja4!$M272</f>
        <v>45309.599999999991</v>
      </c>
      <c r="O272" t="str">
        <f t="shared" si="9"/>
        <v>Mié.</v>
      </c>
      <c r="P272" t="str">
        <f t="shared" si="10"/>
        <v>septiembre</v>
      </c>
    </row>
    <row r="273" spans="1:16" x14ac:dyDescent="0.25">
      <c r="A273">
        <v>272</v>
      </c>
      <c r="B273">
        <v>44131</v>
      </c>
      <c r="C273">
        <v>7620759943</v>
      </c>
      <c r="D273" t="s">
        <v>32</v>
      </c>
      <c r="E273" t="s">
        <v>93</v>
      </c>
      <c r="F273" t="s">
        <v>96</v>
      </c>
      <c r="G273" t="s">
        <v>7</v>
      </c>
      <c r="H273" t="s">
        <v>8</v>
      </c>
      <c r="I273" t="s">
        <v>33</v>
      </c>
      <c r="J273" t="s">
        <v>60</v>
      </c>
      <c r="K273" t="s">
        <v>49</v>
      </c>
      <c r="L273">
        <v>140</v>
      </c>
      <c r="M273">
        <v>11</v>
      </c>
      <c r="N273">
        <f>Hoja4!$L273*Hoja4!$M273</f>
        <v>1540</v>
      </c>
      <c r="O273" t="str">
        <f t="shared" si="9"/>
        <v>Mar.</v>
      </c>
      <c r="P273" t="str">
        <f t="shared" si="10"/>
        <v>octubre</v>
      </c>
    </row>
    <row r="274" spans="1:16" x14ac:dyDescent="0.25">
      <c r="A274">
        <v>273</v>
      </c>
      <c r="B274">
        <v>44173</v>
      </c>
      <c r="C274">
        <v>9345003575</v>
      </c>
      <c r="D274" t="s">
        <v>32</v>
      </c>
      <c r="E274" t="s">
        <v>93</v>
      </c>
      <c r="F274" t="s">
        <v>96</v>
      </c>
      <c r="G274" t="s">
        <v>7</v>
      </c>
      <c r="H274" t="s">
        <v>8</v>
      </c>
      <c r="I274" t="s">
        <v>33</v>
      </c>
      <c r="J274" t="s">
        <v>38</v>
      </c>
      <c r="K274" t="s">
        <v>39</v>
      </c>
      <c r="L274">
        <v>560</v>
      </c>
      <c r="M274">
        <v>91</v>
      </c>
      <c r="N274">
        <f>Hoja4!$L274*Hoja4!$M274</f>
        <v>50960</v>
      </c>
      <c r="O274" t="str">
        <f t="shared" si="9"/>
        <v>Mar.</v>
      </c>
      <c r="P274" t="str">
        <f t="shared" si="10"/>
        <v>diciembre</v>
      </c>
    </row>
    <row r="275" spans="1:16" x14ac:dyDescent="0.25">
      <c r="A275">
        <v>274</v>
      </c>
      <c r="B275">
        <v>44123</v>
      </c>
      <c r="C275">
        <v>5988072690</v>
      </c>
      <c r="D275" t="s">
        <v>42</v>
      </c>
      <c r="E275" t="s">
        <v>91</v>
      </c>
      <c r="F275" t="s">
        <v>91</v>
      </c>
      <c r="G275" t="s">
        <v>43</v>
      </c>
      <c r="H275" t="s">
        <v>8</v>
      </c>
      <c r="I275" t="s">
        <v>17</v>
      </c>
      <c r="J275" t="s">
        <v>61</v>
      </c>
      <c r="K275" t="s">
        <v>13</v>
      </c>
      <c r="L275">
        <v>140</v>
      </c>
      <c r="M275">
        <v>12</v>
      </c>
      <c r="N275">
        <f>Hoja4!$L275*Hoja4!$M275</f>
        <v>1680</v>
      </c>
      <c r="O275" t="str">
        <f t="shared" si="9"/>
        <v>Lun.</v>
      </c>
      <c r="P275" t="str">
        <f t="shared" si="10"/>
        <v>octubre</v>
      </c>
    </row>
    <row r="276" spans="1:16" x14ac:dyDescent="0.25">
      <c r="A276">
        <v>275</v>
      </c>
      <c r="B276">
        <v>44028</v>
      </c>
      <c r="C276">
        <v>5113488625</v>
      </c>
      <c r="D276" t="s">
        <v>42</v>
      </c>
      <c r="E276" t="s">
        <v>91</v>
      </c>
      <c r="F276" t="s">
        <v>91</v>
      </c>
      <c r="G276" t="s">
        <v>43</v>
      </c>
      <c r="H276" t="s">
        <v>16</v>
      </c>
      <c r="J276" t="s">
        <v>12</v>
      </c>
      <c r="K276" t="s">
        <v>13</v>
      </c>
      <c r="L276">
        <v>49</v>
      </c>
      <c r="M276">
        <v>78</v>
      </c>
      <c r="N276">
        <f>Hoja4!$L276*Hoja4!$M276</f>
        <v>3822</v>
      </c>
      <c r="O276" t="str">
        <f t="shared" si="9"/>
        <v>Jue.</v>
      </c>
      <c r="P276" t="str">
        <f t="shared" si="10"/>
        <v>julio</v>
      </c>
    </row>
    <row r="277" spans="1:16" x14ac:dyDescent="0.25">
      <c r="A277">
        <v>276</v>
      </c>
      <c r="B277">
        <v>43915</v>
      </c>
      <c r="C277">
        <v>8021429259</v>
      </c>
      <c r="D277" t="s">
        <v>50</v>
      </c>
      <c r="E277" t="s">
        <v>85</v>
      </c>
      <c r="F277" t="s">
        <v>83</v>
      </c>
      <c r="G277" t="s">
        <v>41</v>
      </c>
      <c r="H277" t="s">
        <v>25</v>
      </c>
      <c r="J277" t="s">
        <v>38</v>
      </c>
      <c r="K277" t="s">
        <v>39</v>
      </c>
      <c r="L277">
        <v>560</v>
      </c>
      <c r="M277">
        <v>60</v>
      </c>
      <c r="N277">
        <f>Hoja4!$L277*Hoja4!$M277</f>
        <v>33600</v>
      </c>
      <c r="O277" t="str">
        <f t="shared" si="9"/>
        <v>Mié.</v>
      </c>
      <c r="P277" t="str">
        <f t="shared" si="10"/>
        <v>marzo</v>
      </c>
    </row>
    <row r="278" spans="1:16" x14ac:dyDescent="0.25">
      <c r="A278">
        <v>277</v>
      </c>
      <c r="B278">
        <v>43906</v>
      </c>
      <c r="C278">
        <v>680211800</v>
      </c>
      <c r="D278" t="s">
        <v>51</v>
      </c>
      <c r="E278" t="s">
        <v>90</v>
      </c>
      <c r="F278" t="s">
        <v>98</v>
      </c>
      <c r="G278" t="s">
        <v>24</v>
      </c>
      <c r="H278" t="s">
        <v>25</v>
      </c>
      <c r="J278" t="s">
        <v>52</v>
      </c>
      <c r="K278" t="s">
        <v>53</v>
      </c>
      <c r="L278">
        <v>257.59999999999997</v>
      </c>
      <c r="M278">
        <v>23</v>
      </c>
      <c r="N278">
        <f>Hoja4!$L278*Hoja4!$M278</f>
        <v>5924.7999999999993</v>
      </c>
      <c r="O278" t="str">
        <f t="shared" si="9"/>
        <v>Lun.</v>
      </c>
      <c r="P278" t="str">
        <f t="shared" si="10"/>
        <v>marzo</v>
      </c>
    </row>
    <row r="279" spans="1:16" x14ac:dyDescent="0.25">
      <c r="A279">
        <v>278</v>
      </c>
      <c r="B279">
        <v>44092</v>
      </c>
      <c r="C279">
        <v>2635806056</v>
      </c>
      <c r="D279" t="s">
        <v>40</v>
      </c>
      <c r="E279" t="s">
        <v>97</v>
      </c>
      <c r="F279" t="s">
        <v>88</v>
      </c>
      <c r="G279" t="s">
        <v>41</v>
      </c>
      <c r="H279" t="s">
        <v>25</v>
      </c>
      <c r="I279" t="s">
        <v>17</v>
      </c>
      <c r="J279" t="s">
        <v>22</v>
      </c>
      <c r="K279" t="s">
        <v>11</v>
      </c>
      <c r="L279">
        <v>644</v>
      </c>
      <c r="M279">
        <v>34</v>
      </c>
      <c r="N279">
        <f>Hoja4!$L279*Hoja4!$M279</f>
        <v>21896</v>
      </c>
      <c r="O279" t="str">
        <f t="shared" si="9"/>
        <v>Vie.</v>
      </c>
      <c r="P279" t="str">
        <f t="shared" si="10"/>
        <v>septiembre</v>
      </c>
    </row>
    <row r="280" spans="1:16" x14ac:dyDescent="0.25">
      <c r="A280">
        <v>279</v>
      </c>
      <c r="B280">
        <v>44073</v>
      </c>
      <c r="C280">
        <v>3338515953</v>
      </c>
      <c r="D280" t="s">
        <v>54</v>
      </c>
      <c r="E280" t="s">
        <v>89</v>
      </c>
      <c r="F280" t="s">
        <v>84</v>
      </c>
      <c r="G280" t="s">
        <v>55</v>
      </c>
      <c r="H280" t="s">
        <v>16</v>
      </c>
      <c r="I280" t="s">
        <v>9</v>
      </c>
      <c r="J280" t="s">
        <v>34</v>
      </c>
      <c r="K280" t="s">
        <v>35</v>
      </c>
      <c r="L280">
        <v>135.1</v>
      </c>
      <c r="M280">
        <v>89</v>
      </c>
      <c r="N280">
        <f>Hoja4!$L280*Hoja4!$M280</f>
        <v>12023.9</v>
      </c>
      <c r="O280" t="str">
        <f t="shared" si="9"/>
        <v>Dom.</v>
      </c>
      <c r="P280" t="str">
        <f t="shared" si="10"/>
        <v>agosto</v>
      </c>
    </row>
    <row r="281" spans="1:16" x14ac:dyDescent="0.25">
      <c r="A281">
        <v>280</v>
      </c>
      <c r="B281">
        <v>44106</v>
      </c>
      <c r="C281">
        <v>3075758565</v>
      </c>
      <c r="D281" t="s">
        <v>36</v>
      </c>
      <c r="E281" t="s">
        <v>92</v>
      </c>
      <c r="F281" t="s">
        <v>99</v>
      </c>
      <c r="G281" t="s">
        <v>37</v>
      </c>
      <c r="H281" t="s">
        <v>8</v>
      </c>
      <c r="I281" t="s">
        <v>17</v>
      </c>
      <c r="J281" t="s">
        <v>30</v>
      </c>
      <c r="K281" t="s">
        <v>31</v>
      </c>
      <c r="L281">
        <v>178.5</v>
      </c>
      <c r="M281">
        <v>82</v>
      </c>
      <c r="N281">
        <f>Hoja4!$L281*Hoja4!$M281</f>
        <v>14637</v>
      </c>
      <c r="O281" t="str">
        <f t="shared" si="9"/>
        <v>Vie.</v>
      </c>
      <c r="P281" t="str">
        <f t="shared" si="10"/>
        <v>octubre</v>
      </c>
    </row>
    <row r="282" spans="1:16" x14ac:dyDescent="0.25">
      <c r="A282">
        <v>281</v>
      </c>
      <c r="B282">
        <v>44160</v>
      </c>
      <c r="C282">
        <v>5383209032</v>
      </c>
      <c r="D282" t="s">
        <v>23</v>
      </c>
      <c r="E282" t="s">
        <v>86</v>
      </c>
      <c r="F282" t="s">
        <v>82</v>
      </c>
      <c r="G282" t="s">
        <v>24</v>
      </c>
      <c r="H282" t="s">
        <v>8</v>
      </c>
      <c r="I282" t="s">
        <v>9</v>
      </c>
      <c r="J282" t="s">
        <v>30</v>
      </c>
      <c r="K282" t="s">
        <v>31</v>
      </c>
      <c r="L282">
        <v>178.5</v>
      </c>
      <c r="M282">
        <v>43</v>
      </c>
      <c r="N282">
        <f>Hoja4!$L282*Hoja4!$M282</f>
        <v>7675.5</v>
      </c>
      <c r="O282" t="str">
        <f t="shared" si="9"/>
        <v>Mié.</v>
      </c>
      <c r="P282" t="str">
        <f t="shared" si="10"/>
        <v>noviembre</v>
      </c>
    </row>
    <row r="283" spans="1:16" x14ac:dyDescent="0.25">
      <c r="A283">
        <v>282</v>
      </c>
      <c r="B283">
        <v>44068</v>
      </c>
      <c r="C283">
        <v>9635546425</v>
      </c>
      <c r="D283" t="s">
        <v>42</v>
      </c>
      <c r="E283" t="s">
        <v>91</v>
      </c>
      <c r="F283" t="s">
        <v>91</v>
      </c>
      <c r="G283" t="s">
        <v>43</v>
      </c>
      <c r="H283" t="s">
        <v>16</v>
      </c>
      <c r="J283" t="s">
        <v>48</v>
      </c>
      <c r="K283" t="s">
        <v>49</v>
      </c>
      <c r="L283">
        <v>308</v>
      </c>
      <c r="M283">
        <v>96</v>
      </c>
      <c r="N283">
        <f>Hoja4!$L283*Hoja4!$M283</f>
        <v>29568</v>
      </c>
      <c r="O283" t="str">
        <f t="shared" si="9"/>
        <v>Mar.</v>
      </c>
      <c r="P283" t="str">
        <f t="shared" si="10"/>
        <v>agosto</v>
      </c>
    </row>
    <row r="284" spans="1:16" x14ac:dyDescent="0.25">
      <c r="A284">
        <v>283</v>
      </c>
      <c r="B284">
        <v>44073</v>
      </c>
      <c r="C284">
        <v>3501364052</v>
      </c>
      <c r="D284" t="s">
        <v>42</v>
      </c>
      <c r="E284" t="s">
        <v>91</v>
      </c>
      <c r="F284" t="s">
        <v>91</v>
      </c>
      <c r="G284" t="s">
        <v>43</v>
      </c>
      <c r="H284" t="s">
        <v>16</v>
      </c>
      <c r="J284" t="s">
        <v>26</v>
      </c>
      <c r="K284" t="s">
        <v>27</v>
      </c>
      <c r="L284">
        <v>128.79999999999998</v>
      </c>
      <c r="M284">
        <v>34</v>
      </c>
      <c r="N284">
        <f>Hoja4!$L284*Hoja4!$M284</f>
        <v>4379.2</v>
      </c>
      <c r="O284" t="str">
        <f t="shared" si="9"/>
        <v>Dom.</v>
      </c>
      <c r="P284" t="str">
        <f t="shared" si="10"/>
        <v>agosto</v>
      </c>
    </row>
    <row r="285" spans="1:16" x14ac:dyDescent="0.25">
      <c r="A285">
        <v>284</v>
      </c>
      <c r="B285">
        <v>43992</v>
      </c>
      <c r="C285">
        <v>2226825043</v>
      </c>
      <c r="D285" t="s">
        <v>50</v>
      </c>
      <c r="E285" t="s">
        <v>85</v>
      </c>
      <c r="F285" t="s">
        <v>83</v>
      </c>
      <c r="G285" t="s">
        <v>41</v>
      </c>
      <c r="H285" t="s">
        <v>25</v>
      </c>
      <c r="J285" t="s">
        <v>12</v>
      </c>
      <c r="K285" t="s">
        <v>13</v>
      </c>
      <c r="L285">
        <v>49</v>
      </c>
      <c r="M285">
        <v>42</v>
      </c>
      <c r="N285">
        <f>Hoja4!$L285*Hoja4!$M285</f>
        <v>2058</v>
      </c>
      <c r="O285" t="str">
        <f t="shared" si="9"/>
        <v>Mié.</v>
      </c>
      <c r="P285" t="str">
        <f t="shared" si="10"/>
        <v>junio</v>
      </c>
    </row>
    <row r="286" spans="1:16" x14ac:dyDescent="0.25">
      <c r="A286">
        <v>285</v>
      </c>
      <c r="B286">
        <v>43883</v>
      </c>
      <c r="C286">
        <v>6321323029</v>
      </c>
      <c r="D286" t="s">
        <v>50</v>
      </c>
      <c r="E286" t="s">
        <v>85</v>
      </c>
      <c r="F286" t="s">
        <v>83</v>
      </c>
      <c r="G286" t="s">
        <v>41</v>
      </c>
      <c r="H286" t="s">
        <v>25</v>
      </c>
      <c r="J286" t="s">
        <v>44</v>
      </c>
      <c r="K286" t="s">
        <v>11</v>
      </c>
      <c r="L286">
        <v>41.86</v>
      </c>
      <c r="M286">
        <v>100</v>
      </c>
      <c r="N286">
        <f>Hoja4!$L286*Hoja4!$M286</f>
        <v>4186</v>
      </c>
      <c r="O286" t="str">
        <f t="shared" si="9"/>
        <v>Sáb.</v>
      </c>
      <c r="P286" t="str">
        <f t="shared" si="10"/>
        <v>febrero</v>
      </c>
    </row>
    <row r="287" spans="1:16" x14ac:dyDescent="0.25">
      <c r="A287">
        <v>286</v>
      </c>
      <c r="B287">
        <v>44168</v>
      </c>
      <c r="C287">
        <v>3775524143</v>
      </c>
      <c r="D287" t="s">
        <v>51</v>
      </c>
      <c r="E287" t="s">
        <v>90</v>
      </c>
      <c r="F287" t="s">
        <v>98</v>
      </c>
      <c r="G287" t="s">
        <v>24</v>
      </c>
      <c r="J287" t="s">
        <v>21</v>
      </c>
      <c r="K287" t="s">
        <v>11</v>
      </c>
      <c r="L287">
        <v>252</v>
      </c>
      <c r="M287">
        <v>42</v>
      </c>
      <c r="N287">
        <f>Hoja4!$L287*Hoja4!$M287</f>
        <v>10584</v>
      </c>
      <c r="O287" t="str">
        <f t="shared" si="9"/>
        <v>Jue.</v>
      </c>
      <c r="P287" t="str">
        <f t="shared" si="10"/>
        <v>diciembre</v>
      </c>
    </row>
    <row r="288" spans="1:16" x14ac:dyDescent="0.25">
      <c r="A288">
        <v>287</v>
      </c>
      <c r="B288">
        <v>44044</v>
      </c>
      <c r="C288">
        <v>9543041808</v>
      </c>
      <c r="D288" t="s">
        <v>51</v>
      </c>
      <c r="E288" t="s">
        <v>90</v>
      </c>
      <c r="F288" t="s">
        <v>98</v>
      </c>
      <c r="G288" t="s">
        <v>24</v>
      </c>
      <c r="J288" t="s">
        <v>22</v>
      </c>
      <c r="K288" t="s">
        <v>11</v>
      </c>
      <c r="L288">
        <v>644</v>
      </c>
      <c r="M288">
        <v>16</v>
      </c>
      <c r="N288">
        <f>Hoja4!$L288*Hoja4!$M288</f>
        <v>10304</v>
      </c>
      <c r="O288" t="str">
        <f t="shared" si="9"/>
        <v>Sáb.</v>
      </c>
      <c r="P288" t="str">
        <f t="shared" si="10"/>
        <v>agosto</v>
      </c>
    </row>
    <row r="289" spans="1:16" x14ac:dyDescent="0.25">
      <c r="A289">
        <v>288</v>
      </c>
      <c r="B289">
        <v>43954</v>
      </c>
      <c r="C289">
        <v>547647770</v>
      </c>
      <c r="D289" t="s">
        <v>51</v>
      </c>
      <c r="E289" t="s">
        <v>90</v>
      </c>
      <c r="F289" t="s">
        <v>98</v>
      </c>
      <c r="G289" t="s">
        <v>24</v>
      </c>
      <c r="J289" t="s">
        <v>44</v>
      </c>
      <c r="K289" t="s">
        <v>11</v>
      </c>
      <c r="L289">
        <v>41.86</v>
      </c>
      <c r="M289">
        <v>22</v>
      </c>
      <c r="N289">
        <f>Hoja4!$L289*Hoja4!$M289</f>
        <v>920.92</v>
      </c>
      <c r="O289" t="str">
        <f t="shared" si="9"/>
        <v>Dom.</v>
      </c>
      <c r="P289" t="str">
        <f t="shared" si="10"/>
        <v>mayo</v>
      </c>
    </row>
    <row r="290" spans="1:16" x14ac:dyDescent="0.25">
      <c r="A290">
        <v>289</v>
      </c>
      <c r="B290">
        <v>44106</v>
      </c>
      <c r="C290">
        <v>7120228607</v>
      </c>
      <c r="D290" t="s">
        <v>40</v>
      </c>
      <c r="E290" t="s">
        <v>97</v>
      </c>
      <c r="F290" t="s">
        <v>88</v>
      </c>
      <c r="G290" t="s">
        <v>41</v>
      </c>
      <c r="H290" t="s">
        <v>25</v>
      </c>
      <c r="I290" t="s">
        <v>17</v>
      </c>
      <c r="J290" t="s">
        <v>34</v>
      </c>
      <c r="K290" t="s">
        <v>35</v>
      </c>
      <c r="L290">
        <v>135.1</v>
      </c>
      <c r="M290">
        <v>46</v>
      </c>
      <c r="N290">
        <f>Hoja4!$L290*Hoja4!$M290</f>
        <v>6214.5999999999995</v>
      </c>
      <c r="O290" t="str">
        <f t="shared" si="9"/>
        <v>Vie.</v>
      </c>
      <c r="P290" t="str">
        <f t="shared" si="10"/>
        <v>octubre</v>
      </c>
    </row>
    <row r="291" spans="1:16" x14ac:dyDescent="0.25">
      <c r="A291">
        <v>290</v>
      </c>
      <c r="B291">
        <v>43837</v>
      </c>
      <c r="C291">
        <v>5554565190</v>
      </c>
      <c r="D291" t="s">
        <v>40</v>
      </c>
      <c r="E291" t="s">
        <v>97</v>
      </c>
      <c r="F291" t="s">
        <v>88</v>
      </c>
      <c r="G291" t="s">
        <v>41</v>
      </c>
      <c r="H291" t="s">
        <v>25</v>
      </c>
      <c r="I291" t="s">
        <v>17</v>
      </c>
      <c r="J291" t="s">
        <v>52</v>
      </c>
      <c r="K291" t="s">
        <v>53</v>
      </c>
      <c r="L291">
        <v>257.59999999999997</v>
      </c>
      <c r="M291">
        <v>100</v>
      </c>
      <c r="N291">
        <f>Hoja4!$L291*Hoja4!$M291</f>
        <v>25759.999999999996</v>
      </c>
      <c r="O291" t="str">
        <f t="shared" si="9"/>
        <v>Mar.</v>
      </c>
      <c r="P291" t="str">
        <f t="shared" si="10"/>
        <v>enero</v>
      </c>
    </row>
    <row r="292" spans="1:16" x14ac:dyDescent="0.25">
      <c r="A292">
        <v>291</v>
      </c>
      <c r="B292">
        <v>43866</v>
      </c>
      <c r="C292">
        <v>1644848787</v>
      </c>
      <c r="D292" t="s">
        <v>54</v>
      </c>
      <c r="E292" t="s">
        <v>89</v>
      </c>
      <c r="F292" t="s">
        <v>84</v>
      </c>
      <c r="G292" t="s">
        <v>55</v>
      </c>
      <c r="H292" t="s">
        <v>16</v>
      </c>
      <c r="I292" t="s">
        <v>9</v>
      </c>
      <c r="J292" t="s">
        <v>56</v>
      </c>
      <c r="K292" t="s">
        <v>57</v>
      </c>
      <c r="L292">
        <v>273</v>
      </c>
      <c r="M292">
        <v>87</v>
      </c>
      <c r="N292">
        <f>Hoja4!$L292*Hoja4!$M292</f>
        <v>23751</v>
      </c>
      <c r="O292" t="str">
        <f t="shared" si="9"/>
        <v>Mié.</v>
      </c>
      <c r="P292" t="str">
        <f t="shared" si="10"/>
        <v>febrero</v>
      </c>
    </row>
    <row r="293" spans="1:16" x14ac:dyDescent="0.25">
      <c r="A293">
        <v>292</v>
      </c>
      <c r="B293">
        <v>43923</v>
      </c>
      <c r="C293">
        <v>8273786477</v>
      </c>
      <c r="D293" t="s">
        <v>54</v>
      </c>
      <c r="E293" t="s">
        <v>89</v>
      </c>
      <c r="F293" t="s">
        <v>84</v>
      </c>
      <c r="G293" t="s">
        <v>55</v>
      </c>
      <c r="H293" t="s">
        <v>16</v>
      </c>
      <c r="I293" t="s">
        <v>9</v>
      </c>
      <c r="J293" t="s">
        <v>58</v>
      </c>
      <c r="K293" t="s">
        <v>59</v>
      </c>
      <c r="L293">
        <v>487.19999999999993</v>
      </c>
      <c r="M293">
        <v>58</v>
      </c>
      <c r="N293">
        <f>Hoja4!$L293*Hoja4!$M293</f>
        <v>28257.599999999995</v>
      </c>
      <c r="O293" t="str">
        <f t="shared" si="9"/>
        <v>Jue.</v>
      </c>
      <c r="P293" t="str">
        <f t="shared" si="10"/>
        <v>abril</v>
      </c>
    </row>
    <row r="294" spans="1:16" x14ac:dyDescent="0.25">
      <c r="A294">
        <v>293</v>
      </c>
      <c r="B294">
        <v>44062</v>
      </c>
      <c r="C294">
        <v>1397118248</v>
      </c>
      <c r="D294" t="s">
        <v>36</v>
      </c>
      <c r="E294" t="s">
        <v>92</v>
      </c>
      <c r="F294" t="s">
        <v>99</v>
      </c>
      <c r="G294" t="s">
        <v>37</v>
      </c>
      <c r="H294" t="s">
        <v>8</v>
      </c>
      <c r="I294" t="s">
        <v>17</v>
      </c>
      <c r="J294" t="s">
        <v>10</v>
      </c>
      <c r="K294" t="s">
        <v>11</v>
      </c>
      <c r="L294">
        <v>196</v>
      </c>
      <c r="M294">
        <v>85</v>
      </c>
      <c r="N294">
        <f>Hoja4!$L294*Hoja4!$M294</f>
        <v>16660</v>
      </c>
      <c r="O294" t="str">
        <f t="shared" si="9"/>
        <v>Mié.</v>
      </c>
      <c r="P294" t="str">
        <f t="shared" si="10"/>
        <v>agosto</v>
      </c>
    </row>
    <row r="295" spans="1:16" x14ac:dyDescent="0.25">
      <c r="A295">
        <v>294</v>
      </c>
      <c r="B295">
        <v>43959</v>
      </c>
      <c r="C295">
        <v>4468604310</v>
      </c>
      <c r="D295" t="s">
        <v>23</v>
      </c>
      <c r="E295" t="s">
        <v>86</v>
      </c>
      <c r="F295" t="s">
        <v>82</v>
      </c>
      <c r="G295" t="s">
        <v>24</v>
      </c>
      <c r="H295" t="s">
        <v>8</v>
      </c>
      <c r="I295" t="s">
        <v>9</v>
      </c>
      <c r="J295" t="s">
        <v>38</v>
      </c>
      <c r="K295" t="s">
        <v>39</v>
      </c>
      <c r="L295">
        <v>560</v>
      </c>
      <c r="M295">
        <v>28</v>
      </c>
      <c r="N295">
        <f>Hoja4!$L295*Hoja4!$M295</f>
        <v>15680</v>
      </c>
      <c r="O295" t="str">
        <f t="shared" si="9"/>
        <v>Vie.</v>
      </c>
      <c r="P295" t="str">
        <f t="shared" si="10"/>
        <v>mayo</v>
      </c>
    </row>
    <row r="296" spans="1:16" x14ac:dyDescent="0.25">
      <c r="A296">
        <v>295</v>
      </c>
      <c r="B296">
        <v>44178</v>
      </c>
      <c r="C296">
        <v>457458721</v>
      </c>
      <c r="D296" t="s">
        <v>23</v>
      </c>
      <c r="E296" t="s">
        <v>86</v>
      </c>
      <c r="F296" t="s">
        <v>82</v>
      </c>
      <c r="G296" t="s">
        <v>24</v>
      </c>
      <c r="H296" t="s">
        <v>8</v>
      </c>
      <c r="I296" t="s">
        <v>9</v>
      </c>
      <c r="J296" t="s">
        <v>26</v>
      </c>
      <c r="K296" t="s">
        <v>27</v>
      </c>
      <c r="L296">
        <v>128.79999999999998</v>
      </c>
      <c r="M296">
        <v>19</v>
      </c>
      <c r="N296">
        <f>Hoja4!$L296*Hoja4!$M296</f>
        <v>2447.1999999999998</v>
      </c>
      <c r="O296" t="str">
        <f t="shared" si="9"/>
        <v>Dom.</v>
      </c>
      <c r="P296" t="str">
        <f t="shared" si="10"/>
        <v>diciembre</v>
      </c>
    </row>
    <row r="297" spans="1:16" x14ac:dyDescent="0.25">
      <c r="A297">
        <v>296</v>
      </c>
      <c r="B297">
        <v>43990</v>
      </c>
      <c r="C297">
        <v>7184663808</v>
      </c>
      <c r="D297" t="s">
        <v>62</v>
      </c>
      <c r="E297" t="s">
        <v>91</v>
      </c>
      <c r="F297" t="s">
        <v>91</v>
      </c>
      <c r="G297" t="s">
        <v>43</v>
      </c>
      <c r="H297" t="s">
        <v>16</v>
      </c>
      <c r="I297" t="s">
        <v>33</v>
      </c>
      <c r="J297" t="s">
        <v>67</v>
      </c>
      <c r="K297" t="s">
        <v>27</v>
      </c>
      <c r="L297">
        <v>140</v>
      </c>
      <c r="M297">
        <v>99</v>
      </c>
      <c r="N297">
        <f>Hoja4!$L297*Hoja4!$M297</f>
        <v>13860</v>
      </c>
      <c r="O297" t="str">
        <f t="shared" si="9"/>
        <v>Lun.</v>
      </c>
      <c r="P297" t="str">
        <f t="shared" si="10"/>
        <v>junio</v>
      </c>
    </row>
    <row r="298" spans="1:16" x14ac:dyDescent="0.25">
      <c r="A298">
        <v>297</v>
      </c>
      <c r="B298">
        <v>44087</v>
      </c>
      <c r="C298">
        <v>3449599231</v>
      </c>
      <c r="D298" t="s">
        <v>63</v>
      </c>
      <c r="E298" t="s">
        <v>85</v>
      </c>
      <c r="F298" t="s">
        <v>83</v>
      </c>
      <c r="G298" t="s">
        <v>41</v>
      </c>
      <c r="H298" t="s">
        <v>25</v>
      </c>
      <c r="I298" t="s">
        <v>17</v>
      </c>
      <c r="J298" t="s">
        <v>68</v>
      </c>
      <c r="K298" t="s">
        <v>69</v>
      </c>
      <c r="L298">
        <v>298.90000000000003</v>
      </c>
      <c r="M298">
        <v>69</v>
      </c>
      <c r="N298">
        <f>Hoja4!$L298*Hoja4!$M298</f>
        <v>20624.100000000002</v>
      </c>
      <c r="O298" t="str">
        <f t="shared" si="9"/>
        <v>Dom.</v>
      </c>
      <c r="P298" t="str">
        <f t="shared" si="10"/>
        <v>septiembre</v>
      </c>
    </row>
    <row r="299" spans="1:16" x14ac:dyDescent="0.25">
      <c r="A299">
        <v>298</v>
      </c>
      <c r="B299">
        <v>44168</v>
      </c>
      <c r="C299">
        <v>3901461858</v>
      </c>
      <c r="D299" t="s">
        <v>63</v>
      </c>
      <c r="E299" t="s">
        <v>85</v>
      </c>
      <c r="F299" t="s">
        <v>83</v>
      </c>
      <c r="G299" t="s">
        <v>41</v>
      </c>
      <c r="H299" t="s">
        <v>25</v>
      </c>
      <c r="I299" t="s">
        <v>17</v>
      </c>
      <c r="J299" t="s">
        <v>34</v>
      </c>
      <c r="K299" t="s">
        <v>35</v>
      </c>
      <c r="L299">
        <v>135.1</v>
      </c>
      <c r="M299">
        <v>37</v>
      </c>
      <c r="N299">
        <f>Hoja4!$L299*Hoja4!$M299</f>
        <v>4998.7</v>
      </c>
      <c r="O299" t="str">
        <f t="shared" si="9"/>
        <v>Jue.</v>
      </c>
      <c r="P299" t="str">
        <f t="shared" si="10"/>
        <v>diciembre</v>
      </c>
    </row>
    <row r="300" spans="1:16" x14ac:dyDescent="0.25">
      <c r="A300">
        <v>299</v>
      </c>
      <c r="B300">
        <v>43922</v>
      </c>
      <c r="C300">
        <v>6798892819</v>
      </c>
      <c r="D300" t="s">
        <v>63</v>
      </c>
      <c r="E300" t="s">
        <v>85</v>
      </c>
      <c r="F300" t="s">
        <v>83</v>
      </c>
      <c r="G300" t="s">
        <v>41</v>
      </c>
      <c r="H300" t="s">
        <v>25</v>
      </c>
      <c r="I300" t="s">
        <v>17</v>
      </c>
      <c r="J300" t="s">
        <v>52</v>
      </c>
      <c r="K300" t="s">
        <v>53</v>
      </c>
      <c r="L300">
        <v>257.59999999999997</v>
      </c>
      <c r="M300">
        <v>64</v>
      </c>
      <c r="N300">
        <f>Hoja4!$L300*Hoja4!$M300</f>
        <v>16486.399999999998</v>
      </c>
      <c r="O300" t="str">
        <f t="shared" si="9"/>
        <v>Mié.</v>
      </c>
      <c r="P300" t="str">
        <f t="shared" si="10"/>
        <v>abril</v>
      </c>
    </row>
    <row r="301" spans="1:16" x14ac:dyDescent="0.25">
      <c r="A301">
        <v>300</v>
      </c>
      <c r="B301">
        <v>44130</v>
      </c>
      <c r="C301">
        <v>6897506437</v>
      </c>
      <c r="D301" t="s">
        <v>28</v>
      </c>
      <c r="E301" t="s">
        <v>89</v>
      </c>
      <c r="F301" t="s">
        <v>84</v>
      </c>
      <c r="G301" t="s">
        <v>29</v>
      </c>
      <c r="H301" t="s">
        <v>8</v>
      </c>
      <c r="I301" t="s">
        <v>9</v>
      </c>
      <c r="J301" t="s">
        <v>10</v>
      </c>
      <c r="K301" t="s">
        <v>11</v>
      </c>
      <c r="L301">
        <v>196</v>
      </c>
      <c r="M301">
        <v>38</v>
      </c>
      <c r="N301">
        <f>Hoja4!$L301*Hoja4!$M301</f>
        <v>7448</v>
      </c>
      <c r="O301" t="str">
        <f t="shared" si="9"/>
        <v>Lun.</v>
      </c>
      <c r="P301" t="str">
        <f t="shared" si="10"/>
        <v>octubre</v>
      </c>
    </row>
    <row r="302" spans="1:16" x14ac:dyDescent="0.25">
      <c r="A302">
        <v>301</v>
      </c>
      <c r="B302">
        <v>44124</v>
      </c>
      <c r="C302">
        <v>6298594113</v>
      </c>
      <c r="D302" t="s">
        <v>36</v>
      </c>
      <c r="E302" t="s">
        <v>92</v>
      </c>
      <c r="F302" t="s">
        <v>99</v>
      </c>
      <c r="G302" t="s">
        <v>37</v>
      </c>
      <c r="H302" t="s">
        <v>25</v>
      </c>
      <c r="I302" t="s">
        <v>9</v>
      </c>
      <c r="J302" t="s">
        <v>30</v>
      </c>
      <c r="K302" t="s">
        <v>31</v>
      </c>
      <c r="L302">
        <v>178.5</v>
      </c>
      <c r="M302">
        <v>15</v>
      </c>
      <c r="N302">
        <f>Hoja4!$L302*Hoja4!$M302</f>
        <v>2677.5</v>
      </c>
      <c r="O302" t="str">
        <f t="shared" si="9"/>
        <v>Mar.</v>
      </c>
      <c r="P302" t="str">
        <f t="shared" si="10"/>
        <v>octubre</v>
      </c>
    </row>
    <row r="303" spans="1:16" x14ac:dyDescent="0.25">
      <c r="A303">
        <v>302</v>
      </c>
      <c r="B303">
        <v>43984</v>
      </c>
      <c r="C303">
        <v>6972691420</v>
      </c>
      <c r="D303" t="s">
        <v>14</v>
      </c>
      <c r="E303" t="s">
        <v>81</v>
      </c>
      <c r="F303" t="s">
        <v>94</v>
      </c>
      <c r="G303" t="s">
        <v>15</v>
      </c>
      <c r="H303" t="s">
        <v>16</v>
      </c>
      <c r="I303" t="s">
        <v>17</v>
      </c>
      <c r="J303" t="s">
        <v>70</v>
      </c>
      <c r="K303" t="s">
        <v>47</v>
      </c>
      <c r="L303">
        <v>1134</v>
      </c>
      <c r="M303">
        <v>52</v>
      </c>
      <c r="N303">
        <f>Hoja4!$L303*Hoja4!$M303</f>
        <v>58968</v>
      </c>
      <c r="O303" t="str">
        <f t="shared" si="9"/>
        <v>Mar.</v>
      </c>
      <c r="P303" t="str">
        <f t="shared" si="10"/>
        <v>junio</v>
      </c>
    </row>
    <row r="304" spans="1:16" x14ac:dyDescent="0.25">
      <c r="A304">
        <v>303</v>
      </c>
      <c r="B304">
        <v>44078</v>
      </c>
      <c r="C304">
        <v>677992170</v>
      </c>
      <c r="D304" t="s">
        <v>14</v>
      </c>
      <c r="E304" t="s">
        <v>81</v>
      </c>
      <c r="F304" t="s">
        <v>94</v>
      </c>
      <c r="G304" t="s">
        <v>15</v>
      </c>
      <c r="H304" t="s">
        <v>16</v>
      </c>
      <c r="I304" t="s">
        <v>17</v>
      </c>
      <c r="J304" t="s">
        <v>71</v>
      </c>
      <c r="K304" t="s">
        <v>72</v>
      </c>
      <c r="L304">
        <v>98</v>
      </c>
      <c r="M304">
        <v>37</v>
      </c>
      <c r="N304">
        <f>Hoja4!$L304*Hoja4!$M304</f>
        <v>3626</v>
      </c>
      <c r="O304" t="str">
        <f t="shared" si="9"/>
        <v>Vie.</v>
      </c>
      <c r="P304" t="str">
        <f t="shared" si="10"/>
        <v>septiembre</v>
      </c>
    </row>
    <row r="305" spans="1:16" x14ac:dyDescent="0.25">
      <c r="A305">
        <v>304</v>
      </c>
      <c r="B305">
        <v>44063</v>
      </c>
      <c r="C305">
        <v>3501827064</v>
      </c>
      <c r="D305" t="s">
        <v>23</v>
      </c>
      <c r="E305" t="s">
        <v>86</v>
      </c>
      <c r="F305" t="s">
        <v>82</v>
      </c>
      <c r="G305" t="s">
        <v>24</v>
      </c>
      <c r="H305" t="s">
        <v>25</v>
      </c>
      <c r="I305" t="s">
        <v>17</v>
      </c>
      <c r="J305" t="s">
        <v>58</v>
      </c>
      <c r="K305" t="s">
        <v>59</v>
      </c>
      <c r="L305">
        <v>487.19999999999993</v>
      </c>
      <c r="M305">
        <v>24</v>
      </c>
      <c r="N305">
        <f>Hoja4!$L305*Hoja4!$M305</f>
        <v>11692.8</v>
      </c>
      <c r="O305" t="str">
        <f t="shared" si="9"/>
        <v>Jue.</v>
      </c>
      <c r="P305" t="str">
        <f t="shared" si="10"/>
        <v>agosto</v>
      </c>
    </row>
    <row r="306" spans="1:16" x14ac:dyDescent="0.25">
      <c r="A306">
        <v>305</v>
      </c>
      <c r="B306">
        <v>43979</v>
      </c>
      <c r="C306">
        <v>9140892367</v>
      </c>
      <c r="D306" t="s">
        <v>32</v>
      </c>
      <c r="E306" t="s">
        <v>93</v>
      </c>
      <c r="F306" t="s">
        <v>96</v>
      </c>
      <c r="G306" t="s">
        <v>7</v>
      </c>
      <c r="H306" t="s">
        <v>8</v>
      </c>
      <c r="I306" t="s">
        <v>33</v>
      </c>
      <c r="J306" t="s">
        <v>60</v>
      </c>
      <c r="K306" t="s">
        <v>49</v>
      </c>
      <c r="L306">
        <v>140</v>
      </c>
      <c r="M306">
        <v>36</v>
      </c>
      <c r="N306">
        <f>Hoja4!$L306*Hoja4!$M306</f>
        <v>5040</v>
      </c>
      <c r="O306" t="str">
        <f t="shared" si="9"/>
        <v>Jue.</v>
      </c>
      <c r="P306" t="str">
        <f t="shared" si="10"/>
        <v>mayo</v>
      </c>
    </row>
    <row r="307" spans="1:16" x14ac:dyDescent="0.25">
      <c r="A307">
        <v>306</v>
      </c>
      <c r="B307">
        <v>44037</v>
      </c>
      <c r="C307">
        <v>7570396760</v>
      </c>
      <c r="D307" t="s">
        <v>32</v>
      </c>
      <c r="E307" t="s">
        <v>93</v>
      </c>
      <c r="F307" t="s">
        <v>96</v>
      </c>
      <c r="G307" t="s">
        <v>7</v>
      </c>
      <c r="H307" t="s">
        <v>8</v>
      </c>
      <c r="I307" t="s">
        <v>33</v>
      </c>
      <c r="J307" t="s">
        <v>38</v>
      </c>
      <c r="K307" t="s">
        <v>39</v>
      </c>
      <c r="L307">
        <v>560</v>
      </c>
      <c r="M307">
        <v>24</v>
      </c>
      <c r="N307">
        <f>Hoja4!$L307*Hoja4!$M307</f>
        <v>13440</v>
      </c>
      <c r="O307" t="str">
        <f t="shared" si="9"/>
        <v>Sáb.</v>
      </c>
      <c r="P307" t="str">
        <f t="shared" si="10"/>
        <v>julio</v>
      </c>
    </row>
    <row r="308" spans="1:16" x14ac:dyDescent="0.25">
      <c r="A308">
        <v>307</v>
      </c>
      <c r="B308">
        <v>44085</v>
      </c>
      <c r="C308">
        <v>5368769086</v>
      </c>
      <c r="D308" t="s">
        <v>42</v>
      </c>
      <c r="E308" t="s">
        <v>91</v>
      </c>
      <c r="F308" t="s">
        <v>91</v>
      </c>
      <c r="G308" t="s">
        <v>43</v>
      </c>
      <c r="H308" t="s">
        <v>8</v>
      </c>
      <c r="I308" t="s">
        <v>17</v>
      </c>
      <c r="J308" t="s">
        <v>61</v>
      </c>
      <c r="K308" t="s">
        <v>13</v>
      </c>
      <c r="L308">
        <v>140</v>
      </c>
      <c r="M308">
        <v>20</v>
      </c>
      <c r="N308">
        <f>Hoja4!$L308*Hoja4!$M308</f>
        <v>2800</v>
      </c>
      <c r="O308" t="str">
        <f t="shared" si="9"/>
        <v>Vie.</v>
      </c>
      <c r="P308" t="str">
        <f t="shared" si="10"/>
        <v>septiembre</v>
      </c>
    </row>
    <row r="309" spans="1:16" x14ac:dyDescent="0.25">
      <c r="A309">
        <v>308</v>
      </c>
      <c r="B309">
        <v>44162</v>
      </c>
      <c r="C309">
        <v>443042127</v>
      </c>
      <c r="D309" t="s">
        <v>42</v>
      </c>
      <c r="E309" t="s">
        <v>91</v>
      </c>
      <c r="F309" t="s">
        <v>91</v>
      </c>
      <c r="G309" t="s">
        <v>43</v>
      </c>
      <c r="H309" t="s">
        <v>16</v>
      </c>
      <c r="J309" t="s">
        <v>12</v>
      </c>
      <c r="K309" t="s">
        <v>13</v>
      </c>
      <c r="L309">
        <v>49</v>
      </c>
      <c r="M309">
        <v>11</v>
      </c>
      <c r="N309">
        <f>Hoja4!$L309*Hoja4!$M309</f>
        <v>539</v>
      </c>
      <c r="O309" t="str">
        <f t="shared" si="9"/>
        <v>Vie.</v>
      </c>
      <c r="P309" t="str">
        <f t="shared" si="10"/>
        <v>noviembre</v>
      </c>
    </row>
    <row r="310" spans="1:16" x14ac:dyDescent="0.25">
      <c r="A310">
        <v>309</v>
      </c>
      <c r="B310">
        <v>43840</v>
      </c>
      <c r="C310">
        <v>3198859022</v>
      </c>
      <c r="D310" t="s">
        <v>50</v>
      </c>
      <c r="E310" t="s">
        <v>85</v>
      </c>
      <c r="F310" t="s">
        <v>83</v>
      </c>
      <c r="G310" t="s">
        <v>41</v>
      </c>
      <c r="H310" t="s">
        <v>25</v>
      </c>
      <c r="J310" t="s">
        <v>38</v>
      </c>
      <c r="K310" t="s">
        <v>39</v>
      </c>
      <c r="L310">
        <v>560</v>
      </c>
      <c r="M310">
        <v>78</v>
      </c>
      <c r="N310">
        <f>Hoja4!$L310*Hoja4!$M310</f>
        <v>43680</v>
      </c>
      <c r="O310" t="str">
        <f t="shared" si="9"/>
        <v>Vie.</v>
      </c>
      <c r="P310" t="str">
        <f t="shared" si="10"/>
        <v>enero</v>
      </c>
    </row>
    <row r="311" spans="1:16" x14ac:dyDescent="0.25">
      <c r="A311">
        <v>310</v>
      </c>
      <c r="B311">
        <v>44043</v>
      </c>
      <c r="C311">
        <v>2982674072</v>
      </c>
      <c r="D311" t="s">
        <v>51</v>
      </c>
      <c r="E311" t="s">
        <v>90</v>
      </c>
      <c r="F311" t="s">
        <v>98</v>
      </c>
      <c r="G311" t="s">
        <v>24</v>
      </c>
      <c r="H311" t="s">
        <v>25</v>
      </c>
      <c r="J311" t="s">
        <v>52</v>
      </c>
      <c r="K311" t="s">
        <v>53</v>
      </c>
      <c r="L311">
        <v>257.59999999999997</v>
      </c>
      <c r="M311">
        <v>76</v>
      </c>
      <c r="N311">
        <f>Hoja4!$L311*Hoja4!$M311</f>
        <v>19577.599999999999</v>
      </c>
      <c r="O311" t="str">
        <f t="shared" si="9"/>
        <v>Vie.</v>
      </c>
      <c r="P311" t="str">
        <f t="shared" si="10"/>
        <v>julio</v>
      </c>
    </row>
    <row r="312" spans="1:16" x14ac:dyDescent="0.25">
      <c r="A312">
        <v>311</v>
      </c>
      <c r="B312">
        <v>44118</v>
      </c>
      <c r="C312">
        <v>1636086310</v>
      </c>
      <c r="D312" t="s">
        <v>40</v>
      </c>
      <c r="E312" t="s">
        <v>97</v>
      </c>
      <c r="F312" t="s">
        <v>88</v>
      </c>
      <c r="G312" t="s">
        <v>41</v>
      </c>
      <c r="H312" t="s">
        <v>25</v>
      </c>
      <c r="I312" t="s">
        <v>17</v>
      </c>
      <c r="J312" t="s">
        <v>22</v>
      </c>
      <c r="K312" t="s">
        <v>11</v>
      </c>
      <c r="L312">
        <v>644</v>
      </c>
      <c r="M312">
        <v>57</v>
      </c>
      <c r="N312">
        <f>Hoja4!$L312*Hoja4!$M312</f>
        <v>36708</v>
      </c>
      <c r="O312" t="str">
        <f t="shared" si="9"/>
        <v>Mié.</v>
      </c>
      <c r="P312" t="str">
        <f t="shared" si="10"/>
        <v>octubre</v>
      </c>
    </row>
    <row r="313" spans="1:16" x14ac:dyDescent="0.25">
      <c r="A313">
        <v>312</v>
      </c>
      <c r="B313">
        <v>44069</v>
      </c>
      <c r="C313">
        <v>9879315200</v>
      </c>
      <c r="D313" t="s">
        <v>54</v>
      </c>
      <c r="E313" t="s">
        <v>89</v>
      </c>
      <c r="F313" t="s">
        <v>84</v>
      </c>
      <c r="G313" t="s">
        <v>55</v>
      </c>
      <c r="H313" t="s">
        <v>16</v>
      </c>
      <c r="I313" t="s">
        <v>9</v>
      </c>
      <c r="J313" t="s">
        <v>34</v>
      </c>
      <c r="K313" t="s">
        <v>35</v>
      </c>
      <c r="L313">
        <v>135.1</v>
      </c>
      <c r="M313">
        <v>14</v>
      </c>
      <c r="N313">
        <f>Hoja4!$L313*Hoja4!$M313</f>
        <v>1891.3999999999999</v>
      </c>
      <c r="O313" t="str">
        <f t="shared" si="9"/>
        <v>Mié.</v>
      </c>
      <c r="P313" t="str">
        <f t="shared" si="10"/>
        <v>agosto</v>
      </c>
    </row>
    <row r="314" spans="1:16" x14ac:dyDescent="0.25">
      <c r="A314">
        <v>313</v>
      </c>
      <c r="B314">
        <v>43953</v>
      </c>
      <c r="C314">
        <v>3833780472</v>
      </c>
      <c r="D314" t="s">
        <v>6</v>
      </c>
      <c r="E314" t="s">
        <v>80</v>
      </c>
      <c r="F314" t="s">
        <v>95</v>
      </c>
      <c r="G314" t="s">
        <v>7</v>
      </c>
      <c r="H314" t="s">
        <v>8</v>
      </c>
      <c r="I314" t="s">
        <v>9</v>
      </c>
      <c r="J314" t="s">
        <v>10</v>
      </c>
      <c r="K314" t="s">
        <v>11</v>
      </c>
      <c r="L314">
        <v>196</v>
      </c>
      <c r="M314">
        <v>14</v>
      </c>
      <c r="N314">
        <f>Hoja4!$L314*Hoja4!$M314</f>
        <v>2744</v>
      </c>
      <c r="O314" t="str">
        <f t="shared" si="9"/>
        <v>Sáb.</v>
      </c>
      <c r="P314" t="str">
        <f t="shared" si="10"/>
        <v>mayo</v>
      </c>
    </row>
    <row r="315" spans="1:16" x14ac:dyDescent="0.25">
      <c r="A315">
        <v>314</v>
      </c>
      <c r="B315">
        <v>44161</v>
      </c>
      <c r="C315">
        <v>1343389818</v>
      </c>
      <c r="D315" t="s">
        <v>6</v>
      </c>
      <c r="E315" t="s">
        <v>80</v>
      </c>
      <c r="F315" t="s">
        <v>95</v>
      </c>
      <c r="G315" t="s">
        <v>7</v>
      </c>
      <c r="H315" t="s">
        <v>8</v>
      </c>
      <c r="I315" t="s">
        <v>9</v>
      </c>
      <c r="J315" t="s">
        <v>12</v>
      </c>
      <c r="K315" t="s">
        <v>13</v>
      </c>
      <c r="L315">
        <v>49</v>
      </c>
      <c r="M315">
        <v>70</v>
      </c>
      <c r="N315">
        <f>Hoja4!$L315*Hoja4!$M315</f>
        <v>3430</v>
      </c>
      <c r="O315" t="str">
        <f t="shared" si="9"/>
        <v>Jue.</v>
      </c>
      <c r="P315" t="str">
        <f t="shared" si="10"/>
        <v>noviembre</v>
      </c>
    </row>
    <row r="316" spans="1:16" x14ac:dyDescent="0.25">
      <c r="A316">
        <v>315</v>
      </c>
      <c r="B316">
        <v>43897</v>
      </c>
      <c r="C316">
        <v>3066920858</v>
      </c>
      <c r="D316" t="s">
        <v>14</v>
      </c>
      <c r="E316" t="s">
        <v>81</v>
      </c>
      <c r="F316" t="s">
        <v>94</v>
      </c>
      <c r="G316" t="s">
        <v>15</v>
      </c>
      <c r="H316" t="s">
        <v>16</v>
      </c>
      <c r="I316" t="s">
        <v>17</v>
      </c>
      <c r="J316" t="s">
        <v>18</v>
      </c>
      <c r="K316" t="s">
        <v>13</v>
      </c>
      <c r="L316">
        <v>420</v>
      </c>
      <c r="M316">
        <v>100</v>
      </c>
      <c r="N316">
        <f>Hoja4!$L316*Hoja4!$M316</f>
        <v>42000</v>
      </c>
      <c r="O316" t="str">
        <f t="shared" si="9"/>
        <v>Sáb.</v>
      </c>
      <c r="P316" t="str">
        <f t="shared" si="10"/>
        <v>marzo</v>
      </c>
    </row>
    <row r="317" spans="1:16" x14ac:dyDescent="0.25">
      <c r="A317">
        <v>316</v>
      </c>
      <c r="B317">
        <v>44075</v>
      </c>
      <c r="C317">
        <v>3596038071</v>
      </c>
      <c r="D317" t="s">
        <v>14</v>
      </c>
      <c r="E317" t="s">
        <v>81</v>
      </c>
      <c r="F317" t="s">
        <v>94</v>
      </c>
      <c r="G317" t="s">
        <v>15</v>
      </c>
      <c r="H317" t="s">
        <v>16</v>
      </c>
      <c r="I317" t="s">
        <v>17</v>
      </c>
      <c r="J317" t="s">
        <v>19</v>
      </c>
      <c r="K317" t="s">
        <v>13</v>
      </c>
      <c r="L317">
        <v>742</v>
      </c>
      <c r="M317">
        <v>27</v>
      </c>
      <c r="N317">
        <f>Hoja4!$L317*Hoja4!$M317</f>
        <v>20034</v>
      </c>
      <c r="O317" t="str">
        <f t="shared" si="9"/>
        <v>Mar.</v>
      </c>
      <c r="P317" t="str">
        <f t="shared" si="10"/>
        <v>septiembre</v>
      </c>
    </row>
    <row r="318" spans="1:16" x14ac:dyDescent="0.25">
      <c r="A318">
        <v>317</v>
      </c>
      <c r="B318">
        <v>44055</v>
      </c>
      <c r="C318">
        <v>8280434895</v>
      </c>
      <c r="D318" t="s">
        <v>14</v>
      </c>
      <c r="E318" t="s">
        <v>81</v>
      </c>
      <c r="F318" t="s">
        <v>94</v>
      </c>
      <c r="G318" t="s">
        <v>15</v>
      </c>
      <c r="H318" t="s">
        <v>16</v>
      </c>
      <c r="I318" t="s">
        <v>17</v>
      </c>
      <c r="J318" t="s">
        <v>12</v>
      </c>
      <c r="K318" t="s">
        <v>13</v>
      </c>
      <c r="L318">
        <v>49</v>
      </c>
      <c r="M318">
        <v>70</v>
      </c>
      <c r="N318">
        <f>Hoja4!$L318*Hoja4!$M318</f>
        <v>3430</v>
      </c>
      <c r="O318" t="str">
        <f t="shared" si="9"/>
        <v>Mié.</v>
      </c>
      <c r="P318" t="str">
        <f t="shared" si="10"/>
        <v>agosto</v>
      </c>
    </row>
    <row r="319" spans="1:16" x14ac:dyDescent="0.25">
      <c r="A319">
        <v>318</v>
      </c>
      <c r="B319">
        <v>44146</v>
      </c>
      <c r="C319">
        <v>7983505639</v>
      </c>
      <c r="D319" t="s">
        <v>20</v>
      </c>
      <c r="E319" t="s">
        <v>80</v>
      </c>
      <c r="F319" t="s">
        <v>95</v>
      </c>
      <c r="G319" t="s">
        <v>7</v>
      </c>
      <c r="H319" t="s">
        <v>8</v>
      </c>
      <c r="I319" t="s">
        <v>17</v>
      </c>
      <c r="J319" t="s">
        <v>21</v>
      </c>
      <c r="K319" t="s">
        <v>11</v>
      </c>
      <c r="L319">
        <v>252</v>
      </c>
      <c r="M319">
        <v>57</v>
      </c>
      <c r="N319">
        <f>Hoja4!$L319*Hoja4!$M319</f>
        <v>14364</v>
      </c>
      <c r="O319" t="str">
        <f t="shared" si="9"/>
        <v>Mié.</v>
      </c>
      <c r="P319" t="str">
        <f t="shared" si="10"/>
        <v>noviembre</v>
      </c>
    </row>
    <row r="320" spans="1:16" x14ac:dyDescent="0.25">
      <c r="A320">
        <v>319</v>
      </c>
      <c r="B320">
        <v>43997</v>
      </c>
      <c r="C320">
        <v>4943792001</v>
      </c>
      <c r="D320" t="s">
        <v>20</v>
      </c>
      <c r="E320" t="s">
        <v>80</v>
      </c>
      <c r="F320" t="s">
        <v>95</v>
      </c>
      <c r="G320" t="s">
        <v>7</v>
      </c>
      <c r="H320" t="s">
        <v>8</v>
      </c>
      <c r="I320" t="s">
        <v>17</v>
      </c>
      <c r="J320" t="s">
        <v>22</v>
      </c>
      <c r="K320" t="s">
        <v>11</v>
      </c>
      <c r="L320">
        <v>644</v>
      </c>
      <c r="M320">
        <v>83</v>
      </c>
      <c r="N320">
        <f>Hoja4!$L320*Hoja4!$M320</f>
        <v>53452</v>
      </c>
      <c r="O320" t="str">
        <f t="shared" si="9"/>
        <v>Lun.</v>
      </c>
      <c r="P320" t="str">
        <f t="shared" si="10"/>
        <v>junio</v>
      </c>
    </row>
    <row r="321" spans="1:16" x14ac:dyDescent="0.25">
      <c r="A321">
        <v>320</v>
      </c>
      <c r="B321">
        <v>43857</v>
      </c>
      <c r="C321">
        <v>2679766092</v>
      </c>
      <c r="D321" t="s">
        <v>23</v>
      </c>
      <c r="E321" t="s">
        <v>86</v>
      </c>
      <c r="F321" t="s">
        <v>82</v>
      </c>
      <c r="G321" t="s">
        <v>24</v>
      </c>
      <c r="H321" t="s">
        <v>25</v>
      </c>
      <c r="I321" t="s">
        <v>17</v>
      </c>
      <c r="J321" t="s">
        <v>26</v>
      </c>
      <c r="K321" t="s">
        <v>27</v>
      </c>
      <c r="L321">
        <v>128.79999999999998</v>
      </c>
      <c r="M321">
        <v>76</v>
      </c>
      <c r="N321">
        <f>Hoja4!$L321*Hoja4!$M321</f>
        <v>9788.7999999999993</v>
      </c>
      <c r="O321" t="str">
        <f t="shared" si="9"/>
        <v>Lun.</v>
      </c>
      <c r="P321" t="str">
        <f t="shared" si="10"/>
        <v>enero</v>
      </c>
    </row>
    <row r="322" spans="1:16" x14ac:dyDescent="0.25">
      <c r="A322">
        <v>321</v>
      </c>
      <c r="B322">
        <v>44155</v>
      </c>
      <c r="C322">
        <v>6256032641</v>
      </c>
      <c r="D322" t="s">
        <v>14</v>
      </c>
      <c r="E322" t="s">
        <v>81</v>
      </c>
      <c r="F322" t="s">
        <v>94</v>
      </c>
      <c r="G322" t="s">
        <v>15</v>
      </c>
      <c r="H322" t="s">
        <v>25</v>
      </c>
      <c r="I322" t="s">
        <v>9</v>
      </c>
      <c r="J322" t="s">
        <v>26</v>
      </c>
      <c r="K322" t="s">
        <v>27</v>
      </c>
      <c r="L322">
        <v>128.79999999999998</v>
      </c>
      <c r="M322">
        <v>80</v>
      </c>
      <c r="N322">
        <f>Hoja4!$L322*Hoja4!$M322</f>
        <v>10303.999999999998</v>
      </c>
      <c r="O322" t="str">
        <f t="shared" ref="O322:O370" si="11">PROPER(TEXT(B322,"ddd."))</f>
        <v>Vie.</v>
      </c>
      <c r="P322" t="str">
        <f t="shared" ref="P322:P370" si="12">TEXT(B322,"mmmm")</f>
        <v>noviembre</v>
      </c>
    </row>
    <row r="323" spans="1:16" x14ac:dyDescent="0.25">
      <c r="A323">
        <v>322</v>
      </c>
      <c r="B323">
        <v>43867</v>
      </c>
      <c r="C323">
        <v>8317306577</v>
      </c>
      <c r="D323" t="s">
        <v>28</v>
      </c>
      <c r="E323" t="s">
        <v>89</v>
      </c>
      <c r="F323" t="s">
        <v>84</v>
      </c>
      <c r="G323" t="s">
        <v>29</v>
      </c>
      <c r="H323" t="s">
        <v>8</v>
      </c>
      <c r="I323" t="s">
        <v>9</v>
      </c>
      <c r="J323" t="s">
        <v>30</v>
      </c>
      <c r="K323" t="s">
        <v>31</v>
      </c>
      <c r="L323">
        <v>178.5</v>
      </c>
      <c r="M323">
        <v>47</v>
      </c>
      <c r="N323">
        <f>Hoja4!$L323*Hoja4!$M323</f>
        <v>8389.5</v>
      </c>
      <c r="O323" t="str">
        <f t="shared" si="11"/>
        <v>Jue.</v>
      </c>
      <c r="P323" t="str">
        <f t="shared" si="12"/>
        <v>febrero</v>
      </c>
    </row>
    <row r="324" spans="1:16" x14ac:dyDescent="0.25">
      <c r="A324">
        <v>323</v>
      </c>
      <c r="B324">
        <v>44120</v>
      </c>
      <c r="C324">
        <v>4952054948</v>
      </c>
      <c r="D324" t="s">
        <v>32</v>
      </c>
      <c r="E324" t="s">
        <v>93</v>
      </c>
      <c r="F324" t="s">
        <v>96</v>
      </c>
      <c r="G324" t="s">
        <v>7</v>
      </c>
      <c r="H324" t="s">
        <v>8</v>
      </c>
      <c r="I324" t="s">
        <v>33</v>
      </c>
      <c r="J324" t="s">
        <v>34</v>
      </c>
      <c r="K324" t="s">
        <v>35</v>
      </c>
      <c r="L324">
        <v>135.1</v>
      </c>
      <c r="M324">
        <v>96</v>
      </c>
      <c r="N324">
        <f>Hoja4!$L324*Hoja4!$M324</f>
        <v>12969.599999999999</v>
      </c>
      <c r="O324" t="str">
        <f t="shared" si="11"/>
        <v>Vie.</v>
      </c>
      <c r="P324" t="str">
        <f t="shared" si="12"/>
        <v>octubre</v>
      </c>
    </row>
    <row r="325" spans="1:16" x14ac:dyDescent="0.25">
      <c r="A325">
        <v>324</v>
      </c>
      <c r="B325">
        <v>44059</v>
      </c>
      <c r="C325">
        <v>7792270317</v>
      </c>
      <c r="D325" t="s">
        <v>36</v>
      </c>
      <c r="E325" t="s">
        <v>92</v>
      </c>
      <c r="F325" t="s">
        <v>99</v>
      </c>
      <c r="G325" t="s">
        <v>37</v>
      </c>
      <c r="H325" t="s">
        <v>8</v>
      </c>
      <c r="I325" t="s">
        <v>17</v>
      </c>
      <c r="J325" t="s">
        <v>38</v>
      </c>
      <c r="K325" t="s">
        <v>39</v>
      </c>
      <c r="L325">
        <v>560</v>
      </c>
      <c r="M325">
        <v>32</v>
      </c>
      <c r="N325">
        <f>Hoja4!$L325*Hoja4!$M325</f>
        <v>17920</v>
      </c>
      <c r="O325" t="str">
        <f t="shared" si="11"/>
        <v>Dom.</v>
      </c>
      <c r="P325" t="str">
        <f t="shared" si="12"/>
        <v>agosto</v>
      </c>
    </row>
    <row r="326" spans="1:16" x14ac:dyDescent="0.25">
      <c r="A326">
        <v>325</v>
      </c>
      <c r="B326">
        <v>44045</v>
      </c>
      <c r="C326">
        <v>8753687299</v>
      </c>
      <c r="D326" t="s">
        <v>40</v>
      </c>
      <c r="E326" t="s">
        <v>97</v>
      </c>
      <c r="F326" t="s">
        <v>88</v>
      </c>
      <c r="G326" t="s">
        <v>41</v>
      </c>
      <c r="H326" t="s">
        <v>25</v>
      </c>
      <c r="I326" t="s">
        <v>9</v>
      </c>
      <c r="J326" t="s">
        <v>22</v>
      </c>
      <c r="K326" t="s">
        <v>11</v>
      </c>
      <c r="L326">
        <v>644</v>
      </c>
      <c r="M326">
        <v>16</v>
      </c>
      <c r="N326">
        <f>Hoja4!$L326*Hoja4!$M326</f>
        <v>10304</v>
      </c>
      <c r="O326" t="str">
        <f t="shared" si="11"/>
        <v>Dom.</v>
      </c>
      <c r="P326" t="str">
        <f t="shared" si="12"/>
        <v>agosto</v>
      </c>
    </row>
    <row r="327" spans="1:16" x14ac:dyDescent="0.25">
      <c r="A327">
        <v>326</v>
      </c>
      <c r="B327">
        <v>43867</v>
      </c>
      <c r="C327">
        <v>3276376437</v>
      </c>
      <c r="D327" t="s">
        <v>23</v>
      </c>
      <c r="E327" t="s">
        <v>86</v>
      </c>
      <c r="F327" t="s">
        <v>82</v>
      </c>
      <c r="G327" t="s">
        <v>24</v>
      </c>
      <c r="H327" t="s">
        <v>25</v>
      </c>
      <c r="I327" t="s">
        <v>9</v>
      </c>
      <c r="J327" t="s">
        <v>30</v>
      </c>
      <c r="K327" t="s">
        <v>31</v>
      </c>
      <c r="L327">
        <v>178.5</v>
      </c>
      <c r="M327">
        <v>41</v>
      </c>
      <c r="N327">
        <f>Hoja4!$L327*Hoja4!$M327</f>
        <v>7318.5</v>
      </c>
      <c r="O327" t="str">
        <f t="shared" si="11"/>
        <v>Jue.</v>
      </c>
      <c r="P327" t="str">
        <f t="shared" si="12"/>
        <v>febrero</v>
      </c>
    </row>
    <row r="328" spans="1:16" x14ac:dyDescent="0.25">
      <c r="A328">
        <v>327</v>
      </c>
      <c r="B328">
        <v>44087</v>
      </c>
      <c r="C328">
        <v>6189400875</v>
      </c>
      <c r="D328" t="s">
        <v>42</v>
      </c>
      <c r="E328" t="s">
        <v>91</v>
      </c>
      <c r="F328" t="s">
        <v>91</v>
      </c>
      <c r="G328" t="s">
        <v>43</v>
      </c>
      <c r="H328" t="s">
        <v>8</v>
      </c>
      <c r="I328" t="s">
        <v>17</v>
      </c>
      <c r="J328" t="s">
        <v>44</v>
      </c>
      <c r="K328" t="s">
        <v>11</v>
      </c>
      <c r="L328">
        <v>41.86</v>
      </c>
      <c r="M328">
        <v>41</v>
      </c>
      <c r="N328">
        <f>Hoja4!$L328*Hoja4!$M328</f>
        <v>1716.26</v>
      </c>
      <c r="O328" t="str">
        <f t="shared" si="11"/>
        <v>Dom.</v>
      </c>
      <c r="P328" t="str">
        <f t="shared" si="12"/>
        <v>septiembre</v>
      </c>
    </row>
    <row r="329" spans="1:16" x14ac:dyDescent="0.25">
      <c r="A329">
        <v>328</v>
      </c>
      <c r="B329">
        <v>43927</v>
      </c>
      <c r="C329">
        <v>3440571177</v>
      </c>
      <c r="D329" t="s">
        <v>45</v>
      </c>
      <c r="E329" t="s">
        <v>87</v>
      </c>
      <c r="F329" t="s">
        <v>87</v>
      </c>
      <c r="G329" t="s">
        <v>24</v>
      </c>
      <c r="J329" t="s">
        <v>22</v>
      </c>
      <c r="K329" t="s">
        <v>11</v>
      </c>
      <c r="L329">
        <v>644</v>
      </c>
      <c r="M329">
        <v>41</v>
      </c>
      <c r="N329">
        <f>Hoja4!$L329*Hoja4!$M329</f>
        <v>26404</v>
      </c>
      <c r="O329" t="str">
        <f t="shared" si="11"/>
        <v>Lun.</v>
      </c>
      <c r="P329" t="str">
        <f t="shared" si="12"/>
        <v>abril</v>
      </c>
    </row>
    <row r="330" spans="1:16" x14ac:dyDescent="0.25">
      <c r="A330">
        <v>329</v>
      </c>
      <c r="B330">
        <v>43975</v>
      </c>
      <c r="C330">
        <v>8874798513</v>
      </c>
      <c r="D330" t="s">
        <v>42</v>
      </c>
      <c r="E330" t="s">
        <v>91</v>
      </c>
      <c r="F330" t="s">
        <v>91</v>
      </c>
      <c r="G330" t="s">
        <v>43</v>
      </c>
      <c r="H330" t="s">
        <v>16</v>
      </c>
      <c r="J330" t="s">
        <v>46</v>
      </c>
      <c r="K330" t="s">
        <v>47</v>
      </c>
      <c r="L330">
        <v>350</v>
      </c>
      <c r="M330">
        <v>94</v>
      </c>
      <c r="N330">
        <f>Hoja4!$L330*Hoja4!$M330</f>
        <v>32900</v>
      </c>
      <c r="O330" t="str">
        <f t="shared" si="11"/>
        <v>Dom.</v>
      </c>
      <c r="P330" t="str">
        <f t="shared" si="12"/>
        <v>mayo</v>
      </c>
    </row>
    <row r="331" spans="1:16" x14ac:dyDescent="0.25">
      <c r="A331">
        <v>330</v>
      </c>
      <c r="B331">
        <v>43992</v>
      </c>
      <c r="C331">
        <v>9730368433</v>
      </c>
      <c r="D331" t="s">
        <v>42</v>
      </c>
      <c r="E331" t="s">
        <v>91</v>
      </c>
      <c r="F331" t="s">
        <v>91</v>
      </c>
      <c r="G331" t="s">
        <v>43</v>
      </c>
      <c r="H331" t="s">
        <v>16</v>
      </c>
      <c r="J331" t="s">
        <v>48</v>
      </c>
      <c r="K331" t="s">
        <v>49</v>
      </c>
      <c r="L331">
        <v>308</v>
      </c>
      <c r="M331">
        <v>20</v>
      </c>
      <c r="N331">
        <f>Hoja4!$L331*Hoja4!$M331</f>
        <v>6160</v>
      </c>
      <c r="O331" t="str">
        <f t="shared" si="11"/>
        <v>Mié.</v>
      </c>
      <c r="P331" t="str">
        <f t="shared" si="12"/>
        <v>junio</v>
      </c>
    </row>
    <row r="332" spans="1:16" x14ac:dyDescent="0.25">
      <c r="A332">
        <v>331</v>
      </c>
      <c r="B332">
        <v>43870</v>
      </c>
      <c r="C332">
        <v>6592275352</v>
      </c>
      <c r="D332" t="s">
        <v>42</v>
      </c>
      <c r="E332" t="s">
        <v>91</v>
      </c>
      <c r="F332" t="s">
        <v>91</v>
      </c>
      <c r="G332" t="s">
        <v>43</v>
      </c>
      <c r="H332" t="s">
        <v>16</v>
      </c>
      <c r="J332" t="s">
        <v>26</v>
      </c>
      <c r="K332" t="s">
        <v>27</v>
      </c>
      <c r="L332">
        <v>128.79999999999998</v>
      </c>
      <c r="M332">
        <v>13</v>
      </c>
      <c r="N332">
        <f>Hoja4!$L332*Hoja4!$M332</f>
        <v>1674.3999999999999</v>
      </c>
      <c r="O332" t="str">
        <f t="shared" si="11"/>
        <v>Dom.</v>
      </c>
      <c r="P332" t="str">
        <f t="shared" si="12"/>
        <v>febrero</v>
      </c>
    </row>
    <row r="333" spans="1:16" x14ac:dyDescent="0.25">
      <c r="A333">
        <v>332</v>
      </c>
      <c r="B333">
        <v>43882</v>
      </c>
      <c r="C333">
        <v>9303282439</v>
      </c>
      <c r="D333" t="s">
        <v>50</v>
      </c>
      <c r="E333" t="s">
        <v>85</v>
      </c>
      <c r="F333" t="s">
        <v>83</v>
      </c>
      <c r="G333" t="s">
        <v>41</v>
      </c>
      <c r="H333" t="s">
        <v>25</v>
      </c>
      <c r="J333" t="s">
        <v>12</v>
      </c>
      <c r="K333" t="s">
        <v>13</v>
      </c>
      <c r="L333">
        <v>49</v>
      </c>
      <c r="M333">
        <v>74</v>
      </c>
      <c r="N333">
        <f>Hoja4!$L333*Hoja4!$M333</f>
        <v>3626</v>
      </c>
      <c r="O333" t="str">
        <f t="shared" si="11"/>
        <v>Vie.</v>
      </c>
      <c r="P333" t="str">
        <f t="shared" si="12"/>
        <v>febrero</v>
      </c>
    </row>
    <row r="334" spans="1:16" x14ac:dyDescent="0.25">
      <c r="A334">
        <v>333</v>
      </c>
      <c r="B334">
        <v>43940</v>
      </c>
      <c r="C334">
        <v>8998167680</v>
      </c>
      <c r="D334" t="s">
        <v>50</v>
      </c>
      <c r="E334" t="s">
        <v>85</v>
      </c>
      <c r="F334" t="s">
        <v>83</v>
      </c>
      <c r="G334" t="s">
        <v>41</v>
      </c>
      <c r="H334" t="s">
        <v>25</v>
      </c>
      <c r="J334" t="s">
        <v>44</v>
      </c>
      <c r="K334" t="s">
        <v>11</v>
      </c>
      <c r="L334">
        <v>41.86</v>
      </c>
      <c r="M334">
        <v>53</v>
      </c>
      <c r="N334">
        <f>Hoja4!$L334*Hoja4!$M334</f>
        <v>2218.58</v>
      </c>
      <c r="O334" t="str">
        <f t="shared" si="11"/>
        <v>Dom.</v>
      </c>
      <c r="P334" t="str">
        <f t="shared" si="12"/>
        <v>abril</v>
      </c>
    </row>
    <row r="335" spans="1:16" x14ac:dyDescent="0.25">
      <c r="A335">
        <v>334</v>
      </c>
      <c r="B335">
        <v>43874</v>
      </c>
      <c r="C335">
        <v>2058395697</v>
      </c>
      <c r="D335" t="s">
        <v>51</v>
      </c>
      <c r="E335" t="s">
        <v>90</v>
      </c>
      <c r="F335" t="s">
        <v>98</v>
      </c>
      <c r="G335" t="s">
        <v>24</v>
      </c>
      <c r="J335" t="s">
        <v>21</v>
      </c>
      <c r="K335" t="s">
        <v>11</v>
      </c>
      <c r="L335">
        <v>252</v>
      </c>
      <c r="M335">
        <v>99</v>
      </c>
      <c r="N335">
        <f>Hoja4!$L335*Hoja4!$M335</f>
        <v>24948</v>
      </c>
      <c r="O335" t="str">
        <f t="shared" si="11"/>
        <v>Jue.</v>
      </c>
      <c r="P335" t="str">
        <f t="shared" si="12"/>
        <v>febrero</v>
      </c>
    </row>
    <row r="336" spans="1:16" x14ac:dyDescent="0.25">
      <c r="A336">
        <v>335</v>
      </c>
      <c r="B336">
        <v>43832</v>
      </c>
      <c r="C336">
        <v>5534305664</v>
      </c>
      <c r="D336" t="s">
        <v>51</v>
      </c>
      <c r="E336" t="s">
        <v>90</v>
      </c>
      <c r="F336" t="s">
        <v>98</v>
      </c>
      <c r="G336" t="s">
        <v>24</v>
      </c>
      <c r="J336" t="s">
        <v>22</v>
      </c>
      <c r="K336" t="s">
        <v>11</v>
      </c>
      <c r="L336">
        <v>644</v>
      </c>
      <c r="M336">
        <v>89</v>
      </c>
      <c r="N336">
        <f>Hoja4!$L336*Hoja4!$M336</f>
        <v>57316</v>
      </c>
      <c r="O336" t="str">
        <f t="shared" si="11"/>
        <v>Jue.</v>
      </c>
      <c r="P336" t="str">
        <f t="shared" si="12"/>
        <v>enero</v>
      </c>
    </row>
    <row r="337" spans="1:16" x14ac:dyDescent="0.25">
      <c r="A337">
        <v>336</v>
      </c>
      <c r="B337">
        <v>43988</v>
      </c>
      <c r="C337">
        <v>5417309832</v>
      </c>
      <c r="D337" t="s">
        <v>51</v>
      </c>
      <c r="E337" t="s">
        <v>90</v>
      </c>
      <c r="F337" t="s">
        <v>98</v>
      </c>
      <c r="G337" t="s">
        <v>24</v>
      </c>
      <c r="J337" t="s">
        <v>44</v>
      </c>
      <c r="K337" t="s">
        <v>11</v>
      </c>
      <c r="L337">
        <v>41.86</v>
      </c>
      <c r="M337">
        <v>64</v>
      </c>
      <c r="N337">
        <f>Hoja4!$L337*Hoja4!$M337</f>
        <v>2679.04</v>
      </c>
      <c r="O337" t="str">
        <f t="shared" si="11"/>
        <v>Sáb.</v>
      </c>
      <c r="P337" t="str">
        <f t="shared" si="12"/>
        <v>junio</v>
      </c>
    </row>
    <row r="338" spans="1:16" x14ac:dyDescent="0.25">
      <c r="A338">
        <v>337</v>
      </c>
      <c r="B338">
        <v>44101</v>
      </c>
      <c r="C338">
        <v>7626114952</v>
      </c>
      <c r="D338" t="s">
        <v>40</v>
      </c>
      <c r="E338" t="s">
        <v>97</v>
      </c>
      <c r="F338" t="s">
        <v>88</v>
      </c>
      <c r="G338" t="s">
        <v>41</v>
      </c>
      <c r="H338" t="s">
        <v>25</v>
      </c>
      <c r="I338" t="s">
        <v>17</v>
      </c>
      <c r="J338" t="s">
        <v>34</v>
      </c>
      <c r="K338" t="s">
        <v>35</v>
      </c>
      <c r="L338">
        <v>135.1</v>
      </c>
      <c r="M338">
        <v>98</v>
      </c>
      <c r="N338">
        <f>Hoja4!$L338*Hoja4!$M338</f>
        <v>13239.8</v>
      </c>
      <c r="O338" t="str">
        <f t="shared" si="11"/>
        <v>Dom.</v>
      </c>
      <c r="P338" t="str">
        <f t="shared" si="12"/>
        <v>septiembre</v>
      </c>
    </row>
    <row r="339" spans="1:16" x14ac:dyDescent="0.25">
      <c r="A339">
        <v>338</v>
      </c>
      <c r="B339">
        <v>43879</v>
      </c>
      <c r="C339">
        <v>7075151442</v>
      </c>
      <c r="D339" t="s">
        <v>40</v>
      </c>
      <c r="E339" t="s">
        <v>97</v>
      </c>
      <c r="F339" t="s">
        <v>88</v>
      </c>
      <c r="G339" t="s">
        <v>41</v>
      </c>
      <c r="H339" t="s">
        <v>25</v>
      </c>
      <c r="I339" t="s">
        <v>17</v>
      </c>
      <c r="J339" t="s">
        <v>52</v>
      </c>
      <c r="K339" t="s">
        <v>53</v>
      </c>
      <c r="L339">
        <v>257.59999999999997</v>
      </c>
      <c r="M339">
        <v>86</v>
      </c>
      <c r="N339">
        <f>Hoja4!$L339*Hoja4!$M339</f>
        <v>22153.599999999999</v>
      </c>
      <c r="O339" t="str">
        <f t="shared" si="11"/>
        <v>Mar.</v>
      </c>
      <c r="P339" t="str">
        <f t="shared" si="12"/>
        <v>febrero</v>
      </c>
    </row>
    <row r="340" spans="1:16" x14ac:dyDescent="0.25">
      <c r="A340">
        <v>339</v>
      </c>
      <c r="B340">
        <v>44167</v>
      </c>
      <c r="C340">
        <v>4170346813</v>
      </c>
      <c r="D340" t="s">
        <v>54</v>
      </c>
      <c r="E340" t="s">
        <v>89</v>
      </c>
      <c r="F340" t="s">
        <v>84</v>
      </c>
      <c r="G340" t="s">
        <v>55</v>
      </c>
      <c r="H340" t="s">
        <v>16</v>
      </c>
      <c r="I340" t="s">
        <v>9</v>
      </c>
      <c r="J340" t="s">
        <v>56</v>
      </c>
      <c r="K340" t="s">
        <v>57</v>
      </c>
      <c r="L340">
        <v>273</v>
      </c>
      <c r="M340">
        <v>20</v>
      </c>
      <c r="N340">
        <f>Hoja4!$L340*Hoja4!$M340</f>
        <v>5460</v>
      </c>
      <c r="O340" t="str">
        <f t="shared" si="11"/>
        <v>Mié.</v>
      </c>
      <c r="P340" t="str">
        <f t="shared" si="12"/>
        <v>diciembre</v>
      </c>
    </row>
    <row r="341" spans="1:16" x14ac:dyDescent="0.25">
      <c r="A341">
        <v>340</v>
      </c>
      <c r="B341">
        <v>43982</v>
      </c>
      <c r="C341">
        <v>7181884746</v>
      </c>
      <c r="D341" t="s">
        <v>54</v>
      </c>
      <c r="E341" t="s">
        <v>89</v>
      </c>
      <c r="F341" t="s">
        <v>84</v>
      </c>
      <c r="G341" t="s">
        <v>55</v>
      </c>
      <c r="H341" t="s">
        <v>16</v>
      </c>
      <c r="I341" t="s">
        <v>9</v>
      </c>
      <c r="J341" t="s">
        <v>58</v>
      </c>
      <c r="K341" t="s">
        <v>59</v>
      </c>
      <c r="L341">
        <v>487.19999999999993</v>
      </c>
      <c r="M341">
        <v>69</v>
      </c>
      <c r="N341">
        <f>Hoja4!$L341*Hoja4!$M341</f>
        <v>33616.799999999996</v>
      </c>
      <c r="O341" t="str">
        <f t="shared" si="11"/>
        <v>Dom.</v>
      </c>
      <c r="P341" t="str">
        <f t="shared" si="12"/>
        <v>mayo</v>
      </c>
    </row>
    <row r="342" spans="1:16" x14ac:dyDescent="0.25">
      <c r="A342">
        <v>341</v>
      </c>
      <c r="B342">
        <v>44196</v>
      </c>
      <c r="C342">
        <v>654398232</v>
      </c>
      <c r="D342" t="s">
        <v>36</v>
      </c>
      <c r="E342" t="s">
        <v>92</v>
      </c>
      <c r="F342" t="s">
        <v>99</v>
      </c>
      <c r="G342" t="s">
        <v>37</v>
      </c>
      <c r="H342" t="s">
        <v>8</v>
      </c>
      <c r="I342" t="s">
        <v>17</v>
      </c>
      <c r="J342" t="s">
        <v>10</v>
      </c>
      <c r="K342" t="s">
        <v>11</v>
      </c>
      <c r="L342">
        <v>196</v>
      </c>
      <c r="M342">
        <v>68</v>
      </c>
      <c r="N342">
        <f>Hoja4!$L342*Hoja4!$M342</f>
        <v>13328</v>
      </c>
      <c r="O342" t="str">
        <f t="shared" si="11"/>
        <v>Jue.</v>
      </c>
      <c r="P342" t="str">
        <f t="shared" si="12"/>
        <v>diciembre</v>
      </c>
    </row>
    <row r="343" spans="1:16" x14ac:dyDescent="0.25">
      <c r="A343">
        <v>342</v>
      </c>
      <c r="B343">
        <v>43891</v>
      </c>
      <c r="C343">
        <v>6559752885</v>
      </c>
      <c r="D343" t="s">
        <v>23</v>
      </c>
      <c r="E343" t="s">
        <v>86</v>
      </c>
      <c r="F343" t="s">
        <v>82</v>
      </c>
      <c r="G343" t="s">
        <v>24</v>
      </c>
      <c r="H343" t="s">
        <v>8</v>
      </c>
      <c r="I343" t="s">
        <v>9</v>
      </c>
      <c r="J343" t="s">
        <v>38</v>
      </c>
      <c r="K343" t="s">
        <v>39</v>
      </c>
      <c r="L343">
        <v>560</v>
      </c>
      <c r="M343">
        <v>52</v>
      </c>
      <c r="N343">
        <f>Hoja4!$L343*Hoja4!$M343</f>
        <v>29120</v>
      </c>
      <c r="O343" t="str">
        <f t="shared" si="11"/>
        <v>Dom.</v>
      </c>
      <c r="P343" t="str">
        <f t="shared" si="12"/>
        <v>marzo</v>
      </c>
    </row>
    <row r="344" spans="1:16" x14ac:dyDescent="0.25">
      <c r="A344">
        <v>343</v>
      </c>
      <c r="B344">
        <v>44023</v>
      </c>
      <c r="C344">
        <v>9428165637</v>
      </c>
      <c r="D344" t="s">
        <v>23</v>
      </c>
      <c r="E344" t="s">
        <v>86</v>
      </c>
      <c r="F344" t="s">
        <v>82</v>
      </c>
      <c r="G344" t="s">
        <v>24</v>
      </c>
      <c r="H344" t="s">
        <v>8</v>
      </c>
      <c r="I344" t="s">
        <v>9</v>
      </c>
      <c r="J344" t="s">
        <v>26</v>
      </c>
      <c r="K344" t="s">
        <v>27</v>
      </c>
      <c r="L344">
        <v>128.79999999999998</v>
      </c>
      <c r="M344">
        <v>40</v>
      </c>
      <c r="N344">
        <f>Hoja4!$L344*Hoja4!$M344</f>
        <v>5151.9999999999991</v>
      </c>
      <c r="O344" t="str">
        <f t="shared" si="11"/>
        <v>Sáb.</v>
      </c>
      <c r="P344" t="str">
        <f t="shared" si="12"/>
        <v>julio</v>
      </c>
    </row>
    <row r="345" spans="1:16" x14ac:dyDescent="0.25">
      <c r="A345">
        <v>344</v>
      </c>
      <c r="B345">
        <v>43843</v>
      </c>
      <c r="C345">
        <v>9902612158</v>
      </c>
      <c r="D345" t="s">
        <v>62</v>
      </c>
      <c r="E345" t="s">
        <v>91</v>
      </c>
      <c r="F345" t="s">
        <v>91</v>
      </c>
      <c r="G345" t="s">
        <v>43</v>
      </c>
      <c r="H345" t="s">
        <v>16</v>
      </c>
      <c r="I345" t="s">
        <v>33</v>
      </c>
      <c r="J345" t="s">
        <v>67</v>
      </c>
      <c r="K345" t="s">
        <v>27</v>
      </c>
      <c r="L345">
        <v>140</v>
      </c>
      <c r="M345">
        <v>100</v>
      </c>
      <c r="N345">
        <f>Hoja4!$L345*Hoja4!$M345</f>
        <v>14000</v>
      </c>
      <c r="O345" t="str">
        <f t="shared" si="11"/>
        <v>Lun.</v>
      </c>
      <c r="P345" t="str">
        <f t="shared" si="12"/>
        <v>enero</v>
      </c>
    </row>
    <row r="346" spans="1:16" x14ac:dyDescent="0.25">
      <c r="A346">
        <v>345</v>
      </c>
      <c r="B346">
        <v>44034</v>
      </c>
      <c r="C346">
        <v>9601886174</v>
      </c>
      <c r="D346" t="s">
        <v>63</v>
      </c>
      <c r="E346" t="s">
        <v>85</v>
      </c>
      <c r="F346" t="s">
        <v>83</v>
      </c>
      <c r="G346" t="s">
        <v>41</v>
      </c>
      <c r="H346" t="s">
        <v>25</v>
      </c>
      <c r="I346" t="s">
        <v>17</v>
      </c>
      <c r="J346" t="s">
        <v>68</v>
      </c>
      <c r="K346" t="s">
        <v>69</v>
      </c>
      <c r="L346">
        <v>298.90000000000003</v>
      </c>
      <c r="M346">
        <v>88</v>
      </c>
      <c r="N346">
        <f>Hoja4!$L346*Hoja4!$M346</f>
        <v>26303.200000000004</v>
      </c>
      <c r="O346" t="str">
        <f t="shared" si="11"/>
        <v>Mié.</v>
      </c>
      <c r="P346" t="str">
        <f t="shared" si="12"/>
        <v>julio</v>
      </c>
    </row>
    <row r="347" spans="1:16" x14ac:dyDescent="0.25">
      <c r="A347">
        <v>346</v>
      </c>
      <c r="B347">
        <v>43958</v>
      </c>
      <c r="C347">
        <v>9194823962</v>
      </c>
      <c r="D347" t="s">
        <v>63</v>
      </c>
      <c r="E347" t="s">
        <v>85</v>
      </c>
      <c r="F347" t="s">
        <v>83</v>
      </c>
      <c r="G347" t="s">
        <v>41</v>
      </c>
      <c r="H347" t="s">
        <v>25</v>
      </c>
      <c r="I347" t="s">
        <v>17</v>
      </c>
      <c r="J347" t="s">
        <v>34</v>
      </c>
      <c r="K347" t="s">
        <v>35</v>
      </c>
      <c r="L347">
        <v>135.1</v>
      </c>
      <c r="M347">
        <v>46</v>
      </c>
      <c r="N347">
        <f>Hoja4!$L347*Hoja4!$M347</f>
        <v>6214.5999999999995</v>
      </c>
      <c r="O347" t="str">
        <f t="shared" si="11"/>
        <v>Jue.</v>
      </c>
      <c r="P347" t="str">
        <f t="shared" si="12"/>
        <v>mayo</v>
      </c>
    </row>
    <row r="348" spans="1:16" x14ac:dyDescent="0.25">
      <c r="A348">
        <v>347</v>
      </c>
      <c r="B348">
        <v>43832</v>
      </c>
      <c r="C348">
        <v>3580433044</v>
      </c>
      <c r="D348" t="s">
        <v>63</v>
      </c>
      <c r="E348" t="s">
        <v>85</v>
      </c>
      <c r="F348" t="s">
        <v>83</v>
      </c>
      <c r="G348" t="s">
        <v>41</v>
      </c>
      <c r="H348" t="s">
        <v>25</v>
      </c>
      <c r="I348" t="s">
        <v>17</v>
      </c>
      <c r="J348" t="s">
        <v>52</v>
      </c>
      <c r="K348" t="s">
        <v>53</v>
      </c>
      <c r="L348">
        <v>257.59999999999997</v>
      </c>
      <c r="M348">
        <v>93</v>
      </c>
      <c r="N348">
        <f>Hoja4!$L348*Hoja4!$M348</f>
        <v>23956.799999999996</v>
      </c>
      <c r="O348" t="str">
        <f t="shared" si="11"/>
        <v>Jue.</v>
      </c>
      <c r="P348" t="str">
        <f t="shared" si="12"/>
        <v>enero</v>
      </c>
    </row>
    <row r="349" spans="1:16" x14ac:dyDescent="0.25">
      <c r="A349">
        <v>348</v>
      </c>
      <c r="B349">
        <v>43959</v>
      </c>
      <c r="C349">
        <v>7020598503</v>
      </c>
      <c r="D349" t="s">
        <v>28</v>
      </c>
      <c r="E349" t="s">
        <v>89</v>
      </c>
      <c r="F349" t="s">
        <v>84</v>
      </c>
      <c r="G349" t="s">
        <v>29</v>
      </c>
      <c r="H349" t="s">
        <v>8</v>
      </c>
      <c r="I349" t="s">
        <v>9</v>
      </c>
      <c r="J349" t="s">
        <v>10</v>
      </c>
      <c r="K349" t="s">
        <v>11</v>
      </c>
      <c r="L349">
        <v>196</v>
      </c>
      <c r="M349">
        <v>96</v>
      </c>
      <c r="N349">
        <f>Hoja4!$L349*Hoja4!$M349</f>
        <v>18816</v>
      </c>
      <c r="O349" t="str">
        <f t="shared" si="11"/>
        <v>Vie.</v>
      </c>
      <c r="P349" t="str">
        <f t="shared" si="12"/>
        <v>mayo</v>
      </c>
    </row>
    <row r="350" spans="1:16" x14ac:dyDescent="0.25">
      <c r="A350">
        <v>349</v>
      </c>
      <c r="B350">
        <v>44101</v>
      </c>
      <c r="C350">
        <v>8040421717</v>
      </c>
      <c r="D350" t="s">
        <v>36</v>
      </c>
      <c r="E350" t="s">
        <v>92</v>
      </c>
      <c r="F350" t="s">
        <v>99</v>
      </c>
      <c r="G350" t="s">
        <v>37</v>
      </c>
      <c r="H350" t="s">
        <v>25</v>
      </c>
      <c r="I350" t="s">
        <v>9</v>
      </c>
      <c r="J350" t="s">
        <v>30</v>
      </c>
      <c r="K350" t="s">
        <v>31</v>
      </c>
      <c r="L350">
        <v>178.5</v>
      </c>
      <c r="M350">
        <v>12</v>
      </c>
      <c r="N350">
        <f>Hoja4!$L350*Hoja4!$M350</f>
        <v>2142</v>
      </c>
      <c r="O350" t="str">
        <f t="shared" si="11"/>
        <v>Dom.</v>
      </c>
      <c r="P350" t="str">
        <f t="shared" si="12"/>
        <v>septiembre</v>
      </c>
    </row>
    <row r="351" spans="1:16" x14ac:dyDescent="0.25">
      <c r="A351">
        <v>350</v>
      </c>
      <c r="B351">
        <v>43958</v>
      </c>
      <c r="C351">
        <v>3654530055</v>
      </c>
      <c r="D351" t="s">
        <v>14</v>
      </c>
      <c r="E351" t="s">
        <v>81</v>
      </c>
      <c r="F351" t="s">
        <v>94</v>
      </c>
      <c r="G351" t="s">
        <v>15</v>
      </c>
      <c r="H351" t="s">
        <v>16</v>
      </c>
      <c r="I351" t="s">
        <v>17</v>
      </c>
      <c r="J351" t="s">
        <v>70</v>
      </c>
      <c r="K351" t="s">
        <v>47</v>
      </c>
      <c r="L351">
        <v>1134</v>
      </c>
      <c r="M351">
        <v>38</v>
      </c>
      <c r="N351">
        <f>Hoja4!$L351*Hoja4!$M351</f>
        <v>43092</v>
      </c>
      <c r="O351" t="str">
        <f t="shared" si="11"/>
        <v>Jue.</v>
      </c>
      <c r="P351" t="str">
        <f t="shared" si="12"/>
        <v>mayo</v>
      </c>
    </row>
    <row r="352" spans="1:16" x14ac:dyDescent="0.25">
      <c r="A352">
        <v>351</v>
      </c>
      <c r="B352">
        <v>43884</v>
      </c>
      <c r="C352">
        <v>2061527783</v>
      </c>
      <c r="D352" t="s">
        <v>14</v>
      </c>
      <c r="E352" t="s">
        <v>81</v>
      </c>
      <c r="F352" t="s">
        <v>94</v>
      </c>
      <c r="G352" t="s">
        <v>15</v>
      </c>
      <c r="H352" t="s">
        <v>16</v>
      </c>
      <c r="I352" t="s">
        <v>17</v>
      </c>
      <c r="J352" t="s">
        <v>71</v>
      </c>
      <c r="K352" t="s">
        <v>72</v>
      </c>
      <c r="L352">
        <v>98</v>
      </c>
      <c r="M352">
        <v>42</v>
      </c>
      <c r="N352">
        <f>Hoja4!$L352*Hoja4!$M352</f>
        <v>4116</v>
      </c>
      <c r="O352" t="str">
        <f t="shared" si="11"/>
        <v>Dom.</v>
      </c>
      <c r="P352" t="str">
        <f t="shared" si="12"/>
        <v>febrero</v>
      </c>
    </row>
    <row r="353" spans="1:16" x14ac:dyDescent="0.25">
      <c r="A353">
        <v>352</v>
      </c>
      <c r="B353">
        <v>43958</v>
      </c>
      <c r="C353">
        <v>7896754000</v>
      </c>
      <c r="D353" t="s">
        <v>23</v>
      </c>
      <c r="E353" t="s">
        <v>86</v>
      </c>
      <c r="F353" t="s">
        <v>82</v>
      </c>
      <c r="G353" t="s">
        <v>24</v>
      </c>
      <c r="H353" t="s">
        <v>25</v>
      </c>
      <c r="I353" t="s">
        <v>17</v>
      </c>
      <c r="J353" t="s">
        <v>58</v>
      </c>
      <c r="K353" t="s">
        <v>59</v>
      </c>
      <c r="L353">
        <v>487.19999999999993</v>
      </c>
      <c r="M353">
        <v>100</v>
      </c>
      <c r="N353">
        <f>Hoja4!$L353*Hoja4!$M353</f>
        <v>48719.999999999993</v>
      </c>
      <c r="O353" t="str">
        <f t="shared" si="11"/>
        <v>Jue.</v>
      </c>
      <c r="P353" t="str">
        <f t="shared" si="12"/>
        <v>mayo</v>
      </c>
    </row>
    <row r="354" spans="1:16" x14ac:dyDescent="0.25">
      <c r="A354">
        <v>353</v>
      </c>
      <c r="B354">
        <v>44185</v>
      </c>
      <c r="C354">
        <v>7608023281</v>
      </c>
      <c r="D354" t="s">
        <v>32</v>
      </c>
      <c r="E354" t="s">
        <v>93</v>
      </c>
      <c r="F354" t="s">
        <v>96</v>
      </c>
      <c r="G354" t="s">
        <v>7</v>
      </c>
      <c r="H354" t="s">
        <v>8</v>
      </c>
      <c r="I354" t="s">
        <v>33</v>
      </c>
      <c r="J354" t="s">
        <v>60</v>
      </c>
      <c r="K354" t="s">
        <v>49</v>
      </c>
      <c r="L354">
        <v>140</v>
      </c>
      <c r="M354">
        <v>89</v>
      </c>
      <c r="N354">
        <f>Hoja4!$L354*Hoja4!$M354</f>
        <v>12460</v>
      </c>
      <c r="O354" t="str">
        <f t="shared" si="11"/>
        <v>Dom.</v>
      </c>
      <c r="P354" t="str">
        <f t="shared" si="12"/>
        <v>diciembre</v>
      </c>
    </row>
    <row r="355" spans="1:16" x14ac:dyDescent="0.25">
      <c r="A355">
        <v>354</v>
      </c>
      <c r="B355">
        <v>44158</v>
      </c>
      <c r="C355">
        <v>1088259448</v>
      </c>
      <c r="D355" t="s">
        <v>32</v>
      </c>
      <c r="E355" t="s">
        <v>93</v>
      </c>
      <c r="F355" t="s">
        <v>96</v>
      </c>
      <c r="G355" t="s">
        <v>7</v>
      </c>
      <c r="H355" t="s">
        <v>8</v>
      </c>
      <c r="I355" t="s">
        <v>33</v>
      </c>
      <c r="J355" t="s">
        <v>38</v>
      </c>
      <c r="K355" t="s">
        <v>39</v>
      </c>
      <c r="L355">
        <v>560</v>
      </c>
      <c r="M355">
        <v>12</v>
      </c>
      <c r="N355">
        <f>Hoja4!$L355*Hoja4!$M355</f>
        <v>6720</v>
      </c>
      <c r="O355" t="str">
        <f t="shared" si="11"/>
        <v>Lun.</v>
      </c>
      <c r="P355" t="str">
        <f t="shared" si="12"/>
        <v>noviembre</v>
      </c>
    </row>
    <row r="356" spans="1:16" x14ac:dyDescent="0.25">
      <c r="A356">
        <v>355</v>
      </c>
      <c r="B356">
        <v>43872</v>
      </c>
      <c r="C356">
        <v>8019968936</v>
      </c>
      <c r="D356" t="s">
        <v>42</v>
      </c>
      <c r="E356" t="s">
        <v>91</v>
      </c>
      <c r="F356" t="s">
        <v>91</v>
      </c>
      <c r="G356" t="s">
        <v>43</v>
      </c>
      <c r="H356" t="s">
        <v>8</v>
      </c>
      <c r="I356" t="s">
        <v>17</v>
      </c>
      <c r="J356" t="s">
        <v>61</v>
      </c>
      <c r="K356" t="s">
        <v>13</v>
      </c>
      <c r="L356">
        <v>140</v>
      </c>
      <c r="M356">
        <v>97</v>
      </c>
      <c r="N356">
        <f>Hoja4!$L356*Hoja4!$M356</f>
        <v>13580</v>
      </c>
      <c r="O356" t="str">
        <f t="shared" si="11"/>
        <v>Mar.</v>
      </c>
      <c r="P356" t="str">
        <f t="shared" si="12"/>
        <v>febrero</v>
      </c>
    </row>
    <row r="357" spans="1:16" x14ac:dyDescent="0.25">
      <c r="A357">
        <v>356</v>
      </c>
      <c r="B357">
        <v>43849</v>
      </c>
      <c r="C357">
        <v>767630917</v>
      </c>
      <c r="D357" t="s">
        <v>42</v>
      </c>
      <c r="E357" t="s">
        <v>91</v>
      </c>
      <c r="F357" t="s">
        <v>91</v>
      </c>
      <c r="G357" t="s">
        <v>43</v>
      </c>
      <c r="H357" t="s">
        <v>16</v>
      </c>
      <c r="J357" t="s">
        <v>12</v>
      </c>
      <c r="K357" t="s">
        <v>13</v>
      </c>
      <c r="L357">
        <v>49</v>
      </c>
      <c r="M357">
        <v>53</v>
      </c>
      <c r="N357">
        <f>Hoja4!$L357*Hoja4!$M357</f>
        <v>2597</v>
      </c>
      <c r="O357" t="str">
        <f t="shared" si="11"/>
        <v>Dom.</v>
      </c>
      <c r="P357" t="str">
        <f t="shared" si="12"/>
        <v>enero</v>
      </c>
    </row>
    <row r="358" spans="1:16" x14ac:dyDescent="0.25">
      <c r="A358">
        <v>357</v>
      </c>
      <c r="B358">
        <v>44148</v>
      </c>
      <c r="C358">
        <v>8764802979</v>
      </c>
      <c r="D358" t="s">
        <v>50</v>
      </c>
      <c r="E358" t="s">
        <v>85</v>
      </c>
      <c r="F358" t="s">
        <v>83</v>
      </c>
      <c r="G358" t="s">
        <v>41</v>
      </c>
      <c r="H358" t="s">
        <v>25</v>
      </c>
      <c r="J358" t="s">
        <v>38</v>
      </c>
      <c r="K358" t="s">
        <v>39</v>
      </c>
      <c r="L358">
        <v>560</v>
      </c>
      <c r="M358">
        <v>61</v>
      </c>
      <c r="N358">
        <f>Hoja4!$L358*Hoja4!$M358</f>
        <v>34160</v>
      </c>
      <c r="O358" t="str">
        <f t="shared" si="11"/>
        <v>Vie.</v>
      </c>
      <c r="P358" t="str">
        <f t="shared" si="12"/>
        <v>noviembre</v>
      </c>
    </row>
    <row r="359" spans="1:16" x14ac:dyDescent="0.25">
      <c r="A359">
        <v>358</v>
      </c>
      <c r="B359">
        <v>44136</v>
      </c>
      <c r="C359">
        <v>1212476279</v>
      </c>
      <c r="D359" t="s">
        <v>51</v>
      </c>
      <c r="E359" t="s">
        <v>90</v>
      </c>
      <c r="F359" t="s">
        <v>98</v>
      </c>
      <c r="G359" t="s">
        <v>24</v>
      </c>
      <c r="H359" t="s">
        <v>25</v>
      </c>
      <c r="J359" t="s">
        <v>52</v>
      </c>
      <c r="K359" t="s">
        <v>53</v>
      </c>
      <c r="L359">
        <v>257.59999999999997</v>
      </c>
      <c r="M359">
        <v>45</v>
      </c>
      <c r="N359">
        <f>Hoja4!$L359*Hoja4!$M359</f>
        <v>11591.999999999998</v>
      </c>
      <c r="O359" t="str">
        <f t="shared" si="11"/>
        <v>Dom.</v>
      </c>
      <c r="P359" t="str">
        <f t="shared" si="12"/>
        <v>noviembre</v>
      </c>
    </row>
    <row r="360" spans="1:16" x14ac:dyDescent="0.25">
      <c r="A360">
        <v>359</v>
      </c>
      <c r="B360">
        <v>43990</v>
      </c>
      <c r="C360">
        <v>8659179079</v>
      </c>
      <c r="D360" t="s">
        <v>40</v>
      </c>
      <c r="E360" t="s">
        <v>97</v>
      </c>
      <c r="F360" t="s">
        <v>88</v>
      </c>
      <c r="G360" t="s">
        <v>41</v>
      </c>
      <c r="H360" t="s">
        <v>25</v>
      </c>
      <c r="I360" t="s">
        <v>17</v>
      </c>
      <c r="J360" t="s">
        <v>22</v>
      </c>
      <c r="K360" t="s">
        <v>11</v>
      </c>
      <c r="L360">
        <v>644</v>
      </c>
      <c r="M360">
        <v>43</v>
      </c>
      <c r="N360">
        <f>Hoja4!$L360*Hoja4!$M360</f>
        <v>27692</v>
      </c>
      <c r="O360" t="str">
        <f t="shared" si="11"/>
        <v>Lun.</v>
      </c>
      <c r="P360" t="str">
        <f t="shared" si="12"/>
        <v>junio</v>
      </c>
    </row>
    <row r="361" spans="1:16" x14ac:dyDescent="0.25">
      <c r="A361">
        <v>360</v>
      </c>
      <c r="B361">
        <v>43938</v>
      </c>
      <c r="C361">
        <v>4311827425</v>
      </c>
      <c r="D361" t="s">
        <v>54</v>
      </c>
      <c r="E361" t="s">
        <v>89</v>
      </c>
      <c r="F361" t="s">
        <v>84</v>
      </c>
      <c r="G361" t="s">
        <v>55</v>
      </c>
      <c r="H361" t="s">
        <v>16</v>
      </c>
      <c r="I361" t="s">
        <v>9</v>
      </c>
      <c r="J361" t="s">
        <v>34</v>
      </c>
      <c r="K361" t="s">
        <v>35</v>
      </c>
      <c r="L361">
        <v>135.1</v>
      </c>
      <c r="M361">
        <v>18</v>
      </c>
      <c r="N361">
        <f>Hoja4!$L361*Hoja4!$M361</f>
        <v>2431.7999999999997</v>
      </c>
      <c r="O361" t="str">
        <f t="shared" si="11"/>
        <v>Vie.</v>
      </c>
      <c r="P361" t="str">
        <f t="shared" si="12"/>
        <v>abril</v>
      </c>
    </row>
    <row r="362" spans="1:16" x14ac:dyDescent="0.25">
      <c r="A362">
        <v>361</v>
      </c>
      <c r="B362">
        <v>44010</v>
      </c>
      <c r="C362">
        <v>7400116244</v>
      </c>
      <c r="D362" t="s">
        <v>36</v>
      </c>
      <c r="E362" t="s">
        <v>92</v>
      </c>
      <c r="F362" t="s">
        <v>99</v>
      </c>
      <c r="G362" t="s">
        <v>37</v>
      </c>
      <c r="H362" t="s">
        <v>8</v>
      </c>
      <c r="I362" t="s">
        <v>17</v>
      </c>
      <c r="J362" t="s">
        <v>30</v>
      </c>
      <c r="K362" t="s">
        <v>31</v>
      </c>
      <c r="L362">
        <v>178.5</v>
      </c>
      <c r="M362">
        <v>41</v>
      </c>
      <c r="N362">
        <f>Hoja4!$L362*Hoja4!$M362</f>
        <v>7318.5</v>
      </c>
      <c r="O362" t="str">
        <f t="shared" si="11"/>
        <v>Dom.</v>
      </c>
      <c r="P362" t="str">
        <f t="shared" si="12"/>
        <v>junio</v>
      </c>
    </row>
    <row r="363" spans="1:16" x14ac:dyDescent="0.25">
      <c r="A363">
        <v>362</v>
      </c>
      <c r="B363">
        <v>43946</v>
      </c>
      <c r="C363">
        <v>8550780121</v>
      </c>
      <c r="D363" t="s">
        <v>23</v>
      </c>
      <c r="E363" t="s">
        <v>86</v>
      </c>
      <c r="F363" t="s">
        <v>82</v>
      </c>
      <c r="G363" t="s">
        <v>24</v>
      </c>
      <c r="H363" t="s">
        <v>8</v>
      </c>
      <c r="I363" t="s">
        <v>9</v>
      </c>
      <c r="J363" t="s">
        <v>30</v>
      </c>
      <c r="K363" t="s">
        <v>31</v>
      </c>
      <c r="L363">
        <v>178.5</v>
      </c>
      <c r="M363">
        <v>19</v>
      </c>
      <c r="N363">
        <f>Hoja4!$L363*Hoja4!$M363</f>
        <v>3391.5</v>
      </c>
      <c r="O363" t="str">
        <f t="shared" si="11"/>
        <v>Sáb.</v>
      </c>
      <c r="P363" t="str">
        <f t="shared" si="12"/>
        <v>abril</v>
      </c>
    </row>
    <row r="364" spans="1:16" x14ac:dyDescent="0.25">
      <c r="A364">
        <v>363</v>
      </c>
      <c r="B364">
        <v>44042</v>
      </c>
      <c r="C364">
        <v>9461451917</v>
      </c>
      <c r="D364" t="s">
        <v>62</v>
      </c>
      <c r="E364" t="s">
        <v>91</v>
      </c>
      <c r="F364" t="s">
        <v>91</v>
      </c>
      <c r="G364" t="s">
        <v>43</v>
      </c>
      <c r="H364" t="s">
        <v>16</v>
      </c>
      <c r="I364" t="s">
        <v>33</v>
      </c>
      <c r="J364" t="s">
        <v>48</v>
      </c>
      <c r="K364" t="s">
        <v>49</v>
      </c>
      <c r="L364">
        <v>308</v>
      </c>
      <c r="M364">
        <v>65</v>
      </c>
      <c r="N364">
        <f>Hoja4!$L364*Hoja4!$M364</f>
        <v>20020</v>
      </c>
      <c r="O364" t="str">
        <f t="shared" si="11"/>
        <v>Jue.</v>
      </c>
      <c r="P364" t="str">
        <f t="shared" si="12"/>
        <v>julio</v>
      </c>
    </row>
    <row r="365" spans="1:16" x14ac:dyDescent="0.25">
      <c r="A365">
        <v>364</v>
      </c>
      <c r="B365">
        <v>44026</v>
      </c>
      <c r="C365">
        <v>3160888933</v>
      </c>
      <c r="D365" t="s">
        <v>63</v>
      </c>
      <c r="E365" t="s">
        <v>85</v>
      </c>
      <c r="F365" t="s">
        <v>83</v>
      </c>
      <c r="G365" t="s">
        <v>41</v>
      </c>
      <c r="H365" t="s">
        <v>25</v>
      </c>
      <c r="I365" t="s">
        <v>17</v>
      </c>
      <c r="J365" t="s">
        <v>46</v>
      </c>
      <c r="K365" t="s">
        <v>47</v>
      </c>
      <c r="L365">
        <v>350</v>
      </c>
      <c r="M365">
        <v>13</v>
      </c>
      <c r="N365">
        <f>Hoja4!$L365*Hoja4!$M365</f>
        <v>4550</v>
      </c>
      <c r="O365" t="str">
        <f t="shared" si="11"/>
        <v>Mar.</v>
      </c>
      <c r="P365" t="str">
        <f t="shared" si="12"/>
        <v>julio</v>
      </c>
    </row>
    <row r="366" spans="1:16" x14ac:dyDescent="0.25">
      <c r="A366">
        <v>365</v>
      </c>
      <c r="B366">
        <v>44046</v>
      </c>
      <c r="C366">
        <v>6433254443</v>
      </c>
      <c r="D366" t="s">
        <v>28</v>
      </c>
      <c r="E366" t="s">
        <v>89</v>
      </c>
      <c r="F366" t="s">
        <v>84</v>
      </c>
      <c r="G366" t="s">
        <v>29</v>
      </c>
      <c r="H366" t="s">
        <v>8</v>
      </c>
      <c r="I366" t="s">
        <v>9</v>
      </c>
      <c r="J366" t="s">
        <v>64</v>
      </c>
      <c r="K366" t="s">
        <v>65</v>
      </c>
      <c r="L366">
        <v>546</v>
      </c>
      <c r="M366">
        <v>54</v>
      </c>
      <c r="N366">
        <f>Hoja4!$L366*Hoja4!$M366</f>
        <v>29484</v>
      </c>
      <c r="O366" t="str">
        <f t="shared" si="11"/>
        <v>Lun.</v>
      </c>
      <c r="P366" t="str">
        <f t="shared" si="12"/>
        <v>agosto</v>
      </c>
    </row>
    <row r="367" spans="1:16" x14ac:dyDescent="0.25">
      <c r="A367">
        <v>366</v>
      </c>
      <c r="B367">
        <v>43986</v>
      </c>
      <c r="C367">
        <v>8977261174</v>
      </c>
      <c r="D367" t="s">
        <v>36</v>
      </c>
      <c r="E367" t="s">
        <v>92</v>
      </c>
      <c r="F367" t="s">
        <v>99</v>
      </c>
      <c r="G367" t="s">
        <v>37</v>
      </c>
      <c r="H367" t="s">
        <v>25</v>
      </c>
      <c r="I367" t="s">
        <v>9</v>
      </c>
      <c r="J367" t="s">
        <v>18</v>
      </c>
      <c r="K367" t="s">
        <v>13</v>
      </c>
      <c r="L367">
        <v>420</v>
      </c>
      <c r="M367">
        <v>33</v>
      </c>
      <c r="N367">
        <f>Hoja4!$L367*Hoja4!$M367</f>
        <v>13860</v>
      </c>
      <c r="O367" t="str">
        <f t="shared" si="11"/>
        <v>Jue.</v>
      </c>
      <c r="P367" t="str">
        <f t="shared" si="12"/>
        <v>junio</v>
      </c>
    </row>
    <row r="368" spans="1:16" x14ac:dyDescent="0.25">
      <c r="A368">
        <v>367</v>
      </c>
      <c r="B368">
        <v>43939</v>
      </c>
      <c r="C368">
        <v>7770716054</v>
      </c>
      <c r="D368" t="s">
        <v>36</v>
      </c>
      <c r="E368" t="s">
        <v>92</v>
      </c>
      <c r="F368" t="s">
        <v>99</v>
      </c>
      <c r="G368" t="s">
        <v>37</v>
      </c>
      <c r="H368" t="s">
        <v>25</v>
      </c>
      <c r="I368" t="s">
        <v>9</v>
      </c>
      <c r="J368" t="s">
        <v>19</v>
      </c>
      <c r="K368" t="s">
        <v>13</v>
      </c>
      <c r="L368">
        <v>742</v>
      </c>
      <c r="M368">
        <v>34</v>
      </c>
      <c r="N368">
        <f>Hoja4!$L368*Hoja4!$M368</f>
        <v>25228</v>
      </c>
      <c r="O368" t="str">
        <f t="shared" si="11"/>
        <v>Sáb.</v>
      </c>
      <c r="P368" t="str">
        <f t="shared" si="12"/>
        <v>abril</v>
      </c>
    </row>
    <row r="369" spans="1:16" x14ac:dyDescent="0.25">
      <c r="A369">
        <v>368</v>
      </c>
      <c r="B369">
        <v>44179</v>
      </c>
      <c r="C369">
        <v>2754807386</v>
      </c>
      <c r="D369" t="s">
        <v>14</v>
      </c>
      <c r="E369" t="s">
        <v>81</v>
      </c>
      <c r="F369" t="s">
        <v>94</v>
      </c>
      <c r="G369" t="s">
        <v>15</v>
      </c>
      <c r="J369" t="s">
        <v>66</v>
      </c>
      <c r="K369" t="s">
        <v>57</v>
      </c>
      <c r="L369">
        <v>532</v>
      </c>
      <c r="M369">
        <v>59</v>
      </c>
      <c r="N369">
        <f>Hoja4!$L369*Hoja4!$M369</f>
        <v>31388</v>
      </c>
      <c r="O369" t="str">
        <f t="shared" si="11"/>
        <v>Lun.</v>
      </c>
      <c r="P369" t="str">
        <f t="shared" si="12"/>
        <v>diciembre</v>
      </c>
    </row>
    <row r="370" spans="1:16" x14ac:dyDescent="0.25">
      <c r="A370">
        <v>369</v>
      </c>
      <c r="B370">
        <v>43987</v>
      </c>
      <c r="C370">
        <v>3873424489</v>
      </c>
      <c r="D370" t="s">
        <v>32</v>
      </c>
      <c r="E370" t="s">
        <v>93</v>
      </c>
      <c r="F370" t="s">
        <v>96</v>
      </c>
      <c r="G370" t="s">
        <v>7</v>
      </c>
      <c r="J370" t="s">
        <v>44</v>
      </c>
      <c r="K370" t="s">
        <v>11</v>
      </c>
      <c r="L370">
        <v>41.86</v>
      </c>
      <c r="M370">
        <v>24</v>
      </c>
      <c r="N370">
        <f>Hoja4!$L370*Hoja4!$M370</f>
        <v>1004.64</v>
      </c>
      <c r="O370" t="str">
        <f t="shared" si="11"/>
        <v>Vie.</v>
      </c>
      <c r="P370" t="str">
        <f t="shared" si="12"/>
        <v>junio</v>
      </c>
    </row>
  </sheetData>
  <sortState xmlns:xlrd2="http://schemas.microsoft.com/office/spreadsheetml/2017/richdata2" caseSensitive="1" ref="A2:P334">
    <sortCondition ref="K2:K334"/>
  </sortState>
  <phoneticPr fontId="5" type="noConversion"/>
  <conditionalFormatting sqref="A2:R370">
    <cfRule type="expression" dxfId="8" priority="4">
      <formula>AND(OR($O2="Jue.",$P2="abril"),$M2&lt;50)</formula>
    </cfRule>
  </conditionalFormatting>
  <conditionalFormatting sqref="AG10:AG45">
    <cfRule type="cellIs" dxfId="7" priority="1" operator="equal">
      <formula>"Lun."</formula>
    </cfRule>
  </conditionalFormatting>
  <dataValidations count="3">
    <dataValidation type="list" allowBlank="1" showInputMessage="1" showErrorMessage="1" errorTitle="ERROR!!!" error="Celda en blanco" promptTitle="Mes" prompt="Seleccione mes" sqref="S1" xr:uid="{8E4C58ED-AEE3-4370-92E8-1CAD34F3F01F}">
      <formula1>mes</formula1>
    </dataValidation>
    <dataValidation type="list" allowBlank="1" showInputMessage="1" showErrorMessage="1" sqref="T1" xr:uid="{76114C49-2C57-441A-A96A-8F38657FAB41}">
      <formula1>titulo</formula1>
    </dataValidation>
    <dataValidation type="list" allowBlank="1" showInputMessage="1" showErrorMessage="1" sqref="W1" xr:uid="{75026946-2288-4546-83D6-C266ACB3BAFF}">
      <formula1>$Y$1:$Y$2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92A9-96B3-44DB-BA19-CDFBDEC8038D}">
  <dimension ref="A1:A10"/>
  <sheetViews>
    <sheetView workbookViewId="0">
      <selection activeCell="A2" sqref="A2"/>
    </sheetView>
  </sheetViews>
  <sheetFormatPr baseColWidth="10" defaultRowHeight="15" x14ac:dyDescent="0.25"/>
  <cols>
    <col min="1" max="1" width="30" bestFit="1" customWidth="1"/>
  </cols>
  <sheetData>
    <row r="1" spans="1:1" x14ac:dyDescent="0.25">
      <c r="A1" t="s">
        <v>154</v>
      </c>
    </row>
    <row r="2" spans="1:1" x14ac:dyDescent="0.25">
      <c r="A2" s="13">
        <v>43863</v>
      </c>
    </row>
    <row r="3" spans="1:1" x14ac:dyDescent="0.25">
      <c r="A3" s="14">
        <v>43908</v>
      </c>
    </row>
    <row r="4" spans="1:1" x14ac:dyDescent="0.25">
      <c r="A4" s="14">
        <v>43930</v>
      </c>
    </row>
    <row r="5" spans="1:1" x14ac:dyDescent="0.25">
      <c r="A5" s="14">
        <v>43944</v>
      </c>
    </row>
    <row r="6" spans="1:1" x14ac:dyDescent="0.25">
      <c r="A6" s="13">
        <v>43974</v>
      </c>
    </row>
    <row r="7" spans="1:1" x14ac:dyDescent="0.25">
      <c r="A7" s="13">
        <v>44068</v>
      </c>
    </row>
    <row r="8" spans="1:1" x14ac:dyDescent="0.25">
      <c r="A8" s="14">
        <v>44133</v>
      </c>
    </row>
    <row r="9" spans="1:1" x14ac:dyDescent="0.25">
      <c r="A9" s="14">
        <v>44158</v>
      </c>
    </row>
    <row r="10" spans="1:1" x14ac:dyDescent="0.25">
      <c r="A10" s="13">
        <v>44184</v>
      </c>
    </row>
  </sheetData>
  <sortState xmlns:xlrd2="http://schemas.microsoft.com/office/spreadsheetml/2017/richdata2" caseSensitive="1" ref="A2:A10">
    <sortCondition ref="A2:A10"/>
  </sortState>
  <conditionalFormatting sqref="A2:A10">
    <cfRule type="expression" dxfId="6" priority="1">
      <formula>AND(OR($O2="Jue.",$P2="abril"),$M2&lt;50)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ECECB-554E-472F-B578-33158E4EFA06}">
  <dimension ref="A1:P13"/>
  <sheetViews>
    <sheetView tabSelected="1" workbookViewId="0">
      <selection activeCell="G17" sqref="G17"/>
    </sheetView>
  </sheetViews>
  <sheetFormatPr baseColWidth="10" defaultRowHeight="15" x14ac:dyDescent="0.25"/>
  <cols>
    <col min="8" max="8" width="11.85546875" bestFit="1" customWidth="1"/>
    <col min="9" max="9" width="10.7109375" bestFit="1" customWidth="1"/>
  </cols>
  <sheetData>
    <row r="1" spans="1:16" x14ac:dyDescent="0.25">
      <c r="A1" t="s">
        <v>133</v>
      </c>
      <c r="G1" t="s">
        <v>170</v>
      </c>
      <c r="H1" t="s">
        <v>169</v>
      </c>
      <c r="J1">
        <f>IF(H1="Ascendente",1,-1)</f>
        <v>-1</v>
      </c>
      <c r="K1" t="s">
        <v>168</v>
      </c>
    </row>
    <row r="2" spans="1:16" x14ac:dyDescent="0.25">
      <c r="A2" t="str" cm="1">
        <f t="array" ref="A2:A13">_xlfn._xlws.SORT(_xlfn.UNIQUE(Tabla2[mes]),1,J1)</f>
        <v>septiembre</v>
      </c>
      <c r="K2" t="s">
        <v>169</v>
      </c>
      <c r="N2" s="16" t="str">
        <f t="array" ref="N2:N13">IF(MIN(LEN(periodo))=LEN(periodo),ROW(),"")</f>
        <v/>
      </c>
      <c r="P2" s="17">
        <f t="array" ref="P2:P13">IF(MAX(LEN(periodo))=LEN(periodo),ROW(),"")</f>
        <v>2</v>
      </c>
    </row>
    <row r="3" spans="1:16" x14ac:dyDescent="0.25">
      <c r="A3" t="str">
        <v>octubre</v>
      </c>
      <c r="N3" s="16" t="str">
        <v/>
      </c>
      <c r="P3" s="17" t="str">
        <v/>
      </c>
    </row>
    <row r="4" spans="1:16" x14ac:dyDescent="0.25">
      <c r="A4" t="str">
        <v>noviembre</v>
      </c>
      <c r="N4" s="16" t="str">
        <v/>
      </c>
      <c r="P4" s="17" t="str">
        <v/>
      </c>
    </row>
    <row r="5" spans="1:16" x14ac:dyDescent="0.25">
      <c r="A5" t="str">
        <v>mayo</v>
      </c>
      <c r="G5" t="s">
        <v>173</v>
      </c>
      <c r="H5" t="s">
        <v>174</v>
      </c>
      <c r="N5" s="16">
        <v>5</v>
      </c>
      <c r="P5" s="17" t="str">
        <v/>
      </c>
    </row>
    <row r="6" spans="1:16" x14ac:dyDescent="0.25">
      <c r="A6" t="str">
        <v>marzo</v>
      </c>
      <c r="F6" t="s">
        <v>171</v>
      </c>
      <c r="G6">
        <f t="array" ref="G6">MIN(LEN(periodo))</f>
        <v>4</v>
      </c>
      <c r="H6">
        <f>SUM(datmes)</f>
        <v>5</v>
      </c>
      <c r="I6" t="str" cm="1">
        <f t="array" ref="I6">INDEX(periodo,H6-1,1)</f>
        <v>mayo</v>
      </c>
      <c r="N6" s="16" t="str">
        <v/>
      </c>
      <c r="P6" s="17" t="str">
        <v/>
      </c>
    </row>
    <row r="7" spans="1:16" x14ac:dyDescent="0.25">
      <c r="A7" t="str">
        <v>junio</v>
      </c>
      <c r="F7" t="s">
        <v>172</v>
      </c>
      <c r="G7" cm="1">
        <f t="array" ref="G7">MAX(LEN(periodo))</f>
        <v>10</v>
      </c>
      <c r="H7">
        <f>SUM(maxmes)</f>
        <v>2</v>
      </c>
      <c r="I7" t="str" cm="1">
        <f t="array" ref="I7">INDEX(periodo,H7-1,1)</f>
        <v>septiembre</v>
      </c>
      <c r="N7" s="16" t="str">
        <v/>
      </c>
      <c r="P7" s="17" t="str">
        <v/>
      </c>
    </row>
    <row r="8" spans="1:16" x14ac:dyDescent="0.25">
      <c r="A8" t="str">
        <v>julio</v>
      </c>
      <c r="N8" s="16" t="str">
        <v/>
      </c>
      <c r="P8" s="17" t="str">
        <v/>
      </c>
    </row>
    <row r="9" spans="1:16" x14ac:dyDescent="0.25">
      <c r="A9" t="str">
        <v>febrero</v>
      </c>
      <c r="N9" s="16" t="str">
        <v/>
      </c>
      <c r="P9" s="17" t="str">
        <v/>
      </c>
    </row>
    <row r="10" spans="1:16" x14ac:dyDescent="0.25">
      <c r="A10" t="str">
        <v>enero</v>
      </c>
      <c r="N10" s="16" t="str">
        <v/>
      </c>
      <c r="P10" s="17" t="str">
        <v/>
      </c>
    </row>
    <row r="11" spans="1:16" x14ac:dyDescent="0.25">
      <c r="A11" t="str">
        <v>diciembre</v>
      </c>
      <c r="N11" s="16" t="str">
        <v/>
      </c>
      <c r="P11" s="17" t="str">
        <v/>
      </c>
    </row>
    <row r="12" spans="1:16" x14ac:dyDescent="0.25">
      <c r="A12" t="str">
        <v>agosto</v>
      </c>
      <c r="N12" s="16" t="str">
        <v/>
      </c>
      <c r="P12" s="17" t="str">
        <v/>
      </c>
    </row>
    <row r="13" spans="1:16" x14ac:dyDescent="0.25">
      <c r="A13" t="str">
        <v>abril</v>
      </c>
      <c r="N13" s="16" t="str">
        <v/>
      </c>
      <c r="P13" s="17" t="str">
        <v/>
      </c>
    </row>
  </sheetData>
  <dataValidations count="1">
    <dataValidation type="list" allowBlank="1" showInputMessage="1" showErrorMessage="1" sqref="H1:I1" xr:uid="{34EDCC06-3BCA-4FC2-88F4-944A7C1C083E}">
      <formula1>orden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054-7689-4246-8FCA-50A830972B2A}">
  <sheetPr codeName="Hoja4"/>
  <dimension ref="A1:E75"/>
  <sheetViews>
    <sheetView topLeftCell="A56" workbookViewId="0">
      <selection activeCell="L34" sqref="L34"/>
    </sheetView>
  </sheetViews>
  <sheetFormatPr baseColWidth="10" defaultRowHeight="15" x14ac:dyDescent="0.25"/>
  <cols>
    <col min="1" max="1" width="17.5703125" bestFit="1" customWidth="1"/>
    <col min="2" max="2" width="16.7109375" bestFit="1" customWidth="1"/>
    <col min="4" max="4" width="12" bestFit="1" customWidth="1"/>
  </cols>
  <sheetData>
    <row r="1" spans="1:2" x14ac:dyDescent="0.25">
      <c r="A1" s="6" t="s">
        <v>101</v>
      </c>
      <c r="B1" t="s">
        <v>119</v>
      </c>
    </row>
    <row r="2" spans="1:2" x14ac:dyDescent="0.25">
      <c r="A2" s="7" t="s">
        <v>103</v>
      </c>
      <c r="B2" s="8">
        <v>136478.99999999997</v>
      </c>
    </row>
    <row r="3" spans="1:2" x14ac:dyDescent="0.25">
      <c r="A3" s="7" t="s">
        <v>104</v>
      </c>
      <c r="B3" s="8">
        <v>93438.8</v>
      </c>
    </row>
    <row r="4" spans="1:2" x14ac:dyDescent="0.25">
      <c r="A4" s="7" t="s">
        <v>105</v>
      </c>
      <c r="B4" s="8">
        <v>35119</v>
      </c>
    </row>
    <row r="5" spans="1:2" x14ac:dyDescent="0.25">
      <c r="A5" s="7" t="s">
        <v>106</v>
      </c>
      <c r="B5" s="8">
        <v>75152.98</v>
      </c>
    </row>
    <row r="6" spans="1:2" x14ac:dyDescent="0.25">
      <c r="A6" s="7" t="s">
        <v>107</v>
      </c>
      <c r="B6" s="8">
        <v>127651.3</v>
      </c>
    </row>
    <row r="7" spans="1:2" x14ac:dyDescent="0.25">
      <c r="A7" s="7" t="s">
        <v>108</v>
      </c>
      <c r="B7" s="8">
        <v>52267.459999999992</v>
      </c>
    </row>
    <row r="8" spans="1:2" x14ac:dyDescent="0.25">
      <c r="A8" s="7" t="s">
        <v>109</v>
      </c>
      <c r="B8" s="8">
        <v>51023.280000000006</v>
      </c>
    </row>
    <row r="9" spans="1:2" x14ac:dyDescent="0.25">
      <c r="A9" s="7" t="s">
        <v>110</v>
      </c>
      <c r="B9" s="8">
        <v>96993.4</v>
      </c>
    </row>
    <row r="10" spans="1:2" x14ac:dyDescent="0.25">
      <c r="A10" s="7" t="s">
        <v>111</v>
      </c>
      <c r="B10" s="8">
        <v>200744.6</v>
      </c>
    </row>
    <row r="11" spans="1:2" x14ac:dyDescent="0.25">
      <c r="A11" s="7" t="s">
        <v>112</v>
      </c>
      <c r="B11" s="8">
        <v>190532.16</v>
      </c>
    </row>
    <row r="12" spans="1:2" x14ac:dyDescent="0.25">
      <c r="A12" s="7" t="s">
        <v>113</v>
      </c>
      <c r="B12" s="8">
        <v>130488.79999999999</v>
      </c>
    </row>
    <row r="13" spans="1:2" x14ac:dyDescent="0.25">
      <c r="A13" s="7" t="s">
        <v>114</v>
      </c>
      <c r="B13" s="8">
        <v>61275.9</v>
      </c>
    </row>
    <row r="14" spans="1:2" x14ac:dyDescent="0.25">
      <c r="A14" s="7" t="s">
        <v>102</v>
      </c>
      <c r="B14" s="8">
        <v>1251166.68</v>
      </c>
    </row>
    <row r="18" spans="1:2" x14ac:dyDescent="0.25">
      <c r="A18" s="6" t="s">
        <v>101</v>
      </c>
      <c r="B18" t="s">
        <v>119</v>
      </c>
    </row>
    <row r="19" spans="1:2" x14ac:dyDescent="0.25">
      <c r="A19" s="7" t="s">
        <v>41</v>
      </c>
      <c r="B19" s="8">
        <v>1251166.6799999997</v>
      </c>
    </row>
    <row r="20" spans="1:2" x14ac:dyDescent="0.25">
      <c r="A20" s="7" t="s">
        <v>102</v>
      </c>
      <c r="B20" s="8">
        <v>1251166.6799999997</v>
      </c>
    </row>
    <row r="31" spans="1:2" x14ac:dyDescent="0.25">
      <c r="A31" s="6" t="s">
        <v>101</v>
      </c>
      <c r="B31" t="s">
        <v>119</v>
      </c>
    </row>
    <row r="32" spans="1:2" x14ac:dyDescent="0.25">
      <c r="A32" s="7" t="s">
        <v>69</v>
      </c>
      <c r="B32" s="8">
        <v>186513.6</v>
      </c>
    </row>
    <row r="33" spans="1:2" x14ac:dyDescent="0.25">
      <c r="A33" s="7" t="s">
        <v>11</v>
      </c>
      <c r="B33" s="8">
        <v>375437.97999999992</v>
      </c>
    </row>
    <row r="34" spans="1:2" x14ac:dyDescent="0.25">
      <c r="A34" s="7" t="s">
        <v>53</v>
      </c>
      <c r="B34" s="8">
        <v>252236.59999999998</v>
      </c>
    </row>
    <row r="35" spans="1:2" x14ac:dyDescent="0.25">
      <c r="A35" s="7" t="s">
        <v>13</v>
      </c>
      <c r="B35" s="8">
        <v>23009</v>
      </c>
    </row>
    <row r="36" spans="1:2" x14ac:dyDescent="0.25">
      <c r="A36" s="7" t="s">
        <v>47</v>
      </c>
      <c r="B36" s="8">
        <v>18200</v>
      </c>
    </row>
    <row r="37" spans="1:2" x14ac:dyDescent="0.25">
      <c r="A37" s="7" t="s">
        <v>39</v>
      </c>
      <c r="B37" s="8">
        <v>258720</v>
      </c>
    </row>
    <row r="38" spans="1:2" x14ac:dyDescent="0.25">
      <c r="A38" s="7" t="s">
        <v>35</v>
      </c>
      <c r="B38" s="8">
        <v>137049.5</v>
      </c>
    </row>
    <row r="39" spans="1:2" x14ac:dyDescent="0.25">
      <c r="A39" s="7" t="s">
        <v>5</v>
      </c>
      <c r="B39" s="8"/>
    </row>
    <row r="40" spans="1:2" x14ac:dyDescent="0.25">
      <c r="A40" s="7" t="s">
        <v>102</v>
      </c>
      <c r="B40" s="8">
        <v>1251166.68</v>
      </c>
    </row>
    <row r="51" spans="1:5" x14ac:dyDescent="0.25">
      <c r="A51" s="6" t="s">
        <v>101</v>
      </c>
      <c r="B51" t="s">
        <v>119</v>
      </c>
    </row>
    <row r="52" spans="1:5" x14ac:dyDescent="0.25">
      <c r="A52" s="7" t="s">
        <v>116</v>
      </c>
      <c r="B52" s="8">
        <v>467858.9800000001</v>
      </c>
    </row>
    <row r="53" spans="1:5" x14ac:dyDescent="0.25">
      <c r="A53" s="7" t="s">
        <v>117</v>
      </c>
      <c r="B53" s="8">
        <v>480123.7</v>
      </c>
    </row>
    <row r="54" spans="1:5" x14ac:dyDescent="0.25">
      <c r="A54" s="7" t="s">
        <v>118</v>
      </c>
      <c r="B54" s="8">
        <v>241360</v>
      </c>
    </row>
    <row r="55" spans="1:5" x14ac:dyDescent="0.25">
      <c r="A55" s="7" t="s">
        <v>120</v>
      </c>
      <c r="B55" s="8">
        <v>61824</v>
      </c>
    </row>
    <row r="56" spans="1:5" x14ac:dyDescent="0.25">
      <c r="A56" s="7" t="s">
        <v>102</v>
      </c>
      <c r="B56" s="8">
        <v>1251166.6800000002</v>
      </c>
    </row>
    <row r="64" spans="1:5" x14ac:dyDescent="0.25">
      <c r="A64" s="6" t="s">
        <v>101</v>
      </c>
      <c r="B64" t="s">
        <v>121</v>
      </c>
      <c r="D64" t="s">
        <v>123</v>
      </c>
      <c r="E64" t="s">
        <v>124</v>
      </c>
    </row>
    <row r="65" spans="1:5" x14ac:dyDescent="0.25">
      <c r="A65" s="7" t="s">
        <v>88</v>
      </c>
      <c r="B65" s="8">
        <v>31</v>
      </c>
      <c r="D65" s="7" t="s">
        <v>95</v>
      </c>
      <c r="E65" t="e">
        <f>GETPIVOTDATA("Ventas",$A$64,"Provincia","Azuay")</f>
        <v>#REF!</v>
      </c>
    </row>
    <row r="66" spans="1:5" x14ac:dyDescent="0.25">
      <c r="A66" s="7" t="s">
        <v>83</v>
      </c>
      <c r="B66" s="8">
        <v>55</v>
      </c>
      <c r="D66" s="7" t="s">
        <v>94</v>
      </c>
      <c r="E66" t="e">
        <f>GETPIVOTDATA("Ventas",$A$64,"Provincia","Canar")</f>
        <v>#REF!</v>
      </c>
    </row>
    <row r="67" spans="1:5" x14ac:dyDescent="0.25">
      <c r="A67" s="7" t="s">
        <v>102</v>
      </c>
      <c r="B67" s="8">
        <v>86</v>
      </c>
      <c r="D67" s="7" t="s">
        <v>82</v>
      </c>
      <c r="E67" t="e">
        <f>GETPIVOTDATA("Ventas",$A$64,"Provincia","Chimborazo")</f>
        <v>#REF!</v>
      </c>
    </row>
    <row r="68" spans="1:5" x14ac:dyDescent="0.25">
      <c r="D68" s="7" t="s">
        <v>96</v>
      </c>
      <c r="E68" t="e">
        <f>GETPIVOTDATA("Ventas",$A$64,"Provincia","El Oro")</f>
        <v>#REF!</v>
      </c>
    </row>
    <row r="69" spans="1:5" x14ac:dyDescent="0.25">
      <c r="D69" s="7" t="s">
        <v>91</v>
      </c>
      <c r="E69" t="e">
        <f>GETPIVOTDATA("Ventas",$A$64,"Provincia","Esmeraldas")</f>
        <v>#REF!</v>
      </c>
    </row>
    <row r="70" spans="1:5" x14ac:dyDescent="0.25">
      <c r="D70" s="7" t="s">
        <v>87</v>
      </c>
      <c r="E70" t="e">
        <f>GETPIVOTDATA("Ventas",$A$64,"Provincia","Guaranda")</f>
        <v>#REF!</v>
      </c>
    </row>
    <row r="71" spans="1:5" x14ac:dyDescent="0.25">
      <c r="D71" s="7" t="s">
        <v>84</v>
      </c>
      <c r="E71" t="e">
        <f>GETPIVOTDATA("Ventas",$A$64,"Provincia","Guayas")</f>
        <v>#REF!</v>
      </c>
    </row>
    <row r="72" spans="1:5" x14ac:dyDescent="0.25">
      <c r="D72" s="7" t="s">
        <v>99</v>
      </c>
      <c r="E72" t="e">
        <f>GETPIVOTDATA("Ventas",$A$64,"Provincia","Imbabura")</f>
        <v>#REF!</v>
      </c>
    </row>
    <row r="73" spans="1:5" x14ac:dyDescent="0.25">
      <c r="D73" s="7" t="s">
        <v>88</v>
      </c>
      <c r="E73">
        <f>GETPIVOTDATA("Ventas",$A$64,"Provincia","Manabi")</f>
        <v>31</v>
      </c>
    </row>
    <row r="74" spans="1:5" x14ac:dyDescent="0.25">
      <c r="D74" s="7" t="s">
        <v>83</v>
      </c>
      <c r="E74">
        <f>GETPIVOTDATA("Ventas",$A$64,"Provincia","Pichincha")</f>
        <v>55</v>
      </c>
    </row>
    <row r="75" spans="1:5" x14ac:dyDescent="0.25">
      <c r="D75" s="7" t="s">
        <v>98</v>
      </c>
      <c r="E75" t="e">
        <f>GETPIVOTDATA("Ventas",$A$64,"Provincia","Tungurahua")</f>
        <v>#REF!</v>
      </c>
    </row>
  </sheetData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2AED6-E63F-4CE1-B054-C252CEE4EE86}">
  <sheetPr codeName="Hoja2"/>
  <dimension ref="A2:F20"/>
  <sheetViews>
    <sheetView zoomScale="82" zoomScaleNormal="82" workbookViewId="0">
      <selection activeCell="D13" sqref="D13"/>
    </sheetView>
  </sheetViews>
  <sheetFormatPr baseColWidth="10" defaultRowHeight="15" x14ac:dyDescent="0.25"/>
  <cols>
    <col min="1" max="1" width="17.85546875" bestFit="1" customWidth="1"/>
    <col min="2" max="2" width="22.85546875" bestFit="1" customWidth="1"/>
    <col min="3" max="4" width="22.7109375" bestFit="1" customWidth="1"/>
    <col min="5" max="5" width="22.85546875" bestFit="1" customWidth="1"/>
    <col min="6" max="6" width="12.5703125" bestFit="1" customWidth="1"/>
    <col min="7" max="7" width="5.42578125" bestFit="1" customWidth="1"/>
    <col min="8" max="9" width="4.28515625" bestFit="1" customWidth="1"/>
    <col min="10" max="14" width="5.42578125" bestFit="1" customWidth="1"/>
    <col min="15" max="15" width="4.28515625" bestFit="1" customWidth="1"/>
    <col min="16" max="16" width="5.42578125" bestFit="1" customWidth="1"/>
    <col min="17" max="17" width="4.28515625" bestFit="1" customWidth="1"/>
    <col min="18" max="19" width="5.42578125" bestFit="1" customWidth="1"/>
    <col min="20" max="20" width="9.5703125" bestFit="1" customWidth="1"/>
    <col min="21" max="21" width="5.42578125" bestFit="1" customWidth="1"/>
    <col min="22" max="22" width="4.28515625" bestFit="1" customWidth="1"/>
    <col min="23" max="24" width="5.42578125" bestFit="1" customWidth="1"/>
    <col min="25" max="25" width="6.42578125" bestFit="1" customWidth="1"/>
    <col min="26" max="26" width="5.42578125" bestFit="1" customWidth="1"/>
    <col min="27" max="27" width="6.42578125" bestFit="1" customWidth="1"/>
    <col min="28" max="29" width="9.5703125" bestFit="1" customWidth="1"/>
    <col min="30" max="30" width="7.42578125" bestFit="1" customWidth="1"/>
    <col min="31" max="31" width="8.5703125" bestFit="1" customWidth="1"/>
    <col min="32" max="33" width="7.42578125" bestFit="1" customWidth="1"/>
    <col min="34" max="34" width="9.5703125" bestFit="1" customWidth="1"/>
    <col min="35" max="35" width="7.42578125" bestFit="1" customWidth="1"/>
    <col min="36" max="36" width="9.5703125" bestFit="1" customWidth="1"/>
    <col min="37" max="39" width="7.42578125" bestFit="1" customWidth="1"/>
    <col min="40" max="40" width="9.5703125" bestFit="1" customWidth="1"/>
    <col min="41" max="41" width="7.42578125" bestFit="1" customWidth="1"/>
    <col min="42" max="42" width="6.42578125" bestFit="1" customWidth="1"/>
    <col min="43" max="44" width="7.42578125" bestFit="1" customWidth="1"/>
    <col min="45" max="45" width="6.42578125" bestFit="1" customWidth="1"/>
    <col min="46" max="46" width="7.42578125" bestFit="1" customWidth="1"/>
    <col min="47" max="47" width="22.85546875" bestFit="1" customWidth="1"/>
    <col min="48" max="48" width="12.5703125" bestFit="1" customWidth="1"/>
    <col min="49" max="50" width="11.140625" bestFit="1" customWidth="1"/>
    <col min="51" max="51" width="10.140625" bestFit="1" customWidth="1"/>
    <col min="52" max="55" width="11.140625" bestFit="1" customWidth="1"/>
    <col min="56" max="56" width="10.140625" bestFit="1" customWidth="1"/>
    <col min="57" max="59" width="11.140625" bestFit="1" customWidth="1"/>
    <col min="60" max="60" width="8.5703125" bestFit="1" customWidth="1"/>
    <col min="61" max="61" width="10.140625" bestFit="1" customWidth="1"/>
    <col min="62" max="62" width="11.140625" bestFit="1" customWidth="1"/>
    <col min="63" max="64" width="10.140625" bestFit="1" customWidth="1"/>
    <col min="65" max="65" width="11.140625" bestFit="1" customWidth="1"/>
    <col min="66" max="66" width="10.140625" bestFit="1" customWidth="1"/>
    <col min="67" max="69" width="11.140625" bestFit="1" customWidth="1"/>
    <col min="70" max="70" width="10.140625" bestFit="1" customWidth="1"/>
    <col min="71" max="71" width="8.5703125" bestFit="1" customWidth="1"/>
    <col min="72" max="73" width="10.140625" bestFit="1" customWidth="1"/>
    <col min="74" max="77" width="11.140625" bestFit="1" customWidth="1"/>
    <col min="78" max="78" width="10.140625" bestFit="1" customWidth="1"/>
    <col min="79" max="79" width="8.5703125" bestFit="1" customWidth="1"/>
    <col min="80" max="81" width="11.140625" bestFit="1" customWidth="1"/>
    <col min="82" max="82" width="9.42578125" bestFit="1" customWidth="1"/>
    <col min="83" max="84" width="11.140625" bestFit="1" customWidth="1"/>
    <col min="85" max="85" width="10.140625" bestFit="1" customWidth="1"/>
    <col min="86" max="87" width="11.140625" bestFit="1" customWidth="1"/>
    <col min="88" max="88" width="10.140625" bestFit="1" customWidth="1"/>
    <col min="89" max="89" width="11.140625" bestFit="1" customWidth="1"/>
    <col min="90" max="90" width="10.140625" bestFit="1" customWidth="1"/>
    <col min="91" max="93" width="11.140625" bestFit="1" customWidth="1"/>
    <col min="94" max="94" width="10.140625" bestFit="1" customWidth="1"/>
    <col min="95" max="95" width="11.140625" bestFit="1" customWidth="1"/>
    <col min="96" max="96" width="10.140625" bestFit="1" customWidth="1"/>
    <col min="97" max="97" width="12.140625" bestFit="1" customWidth="1"/>
    <col min="98" max="98" width="11.140625" bestFit="1" customWidth="1"/>
    <col min="99" max="99" width="10.140625" bestFit="1" customWidth="1"/>
    <col min="100" max="101" width="11.140625" bestFit="1" customWidth="1"/>
    <col min="102" max="102" width="10.140625" bestFit="1" customWidth="1"/>
    <col min="103" max="103" width="11.140625" bestFit="1" customWidth="1"/>
    <col min="104" max="104" width="8.5703125" bestFit="1" customWidth="1"/>
    <col min="105" max="105" width="11.140625" bestFit="1" customWidth="1"/>
    <col min="106" max="106" width="10.140625" bestFit="1" customWidth="1"/>
    <col min="107" max="109" width="11.140625" bestFit="1" customWidth="1"/>
    <col min="110" max="110" width="10.140625" bestFit="1" customWidth="1"/>
    <col min="111" max="111" width="11.140625" bestFit="1" customWidth="1"/>
    <col min="112" max="112" width="10.140625" bestFit="1" customWidth="1"/>
    <col min="113" max="113" width="11.140625" bestFit="1" customWidth="1"/>
    <col min="114" max="114" width="10.140625" bestFit="1" customWidth="1"/>
    <col min="115" max="120" width="11.140625" bestFit="1" customWidth="1"/>
    <col min="121" max="121" width="10.140625" bestFit="1" customWidth="1"/>
    <col min="122" max="122" width="11.140625" bestFit="1" customWidth="1"/>
    <col min="123" max="123" width="10.140625" bestFit="1" customWidth="1"/>
    <col min="124" max="133" width="11.140625" bestFit="1" customWidth="1"/>
    <col min="134" max="134" width="12.140625" bestFit="1" customWidth="1"/>
    <col min="135" max="138" width="11.140625" bestFit="1" customWidth="1"/>
    <col min="139" max="139" width="10.140625" bestFit="1" customWidth="1"/>
    <col min="140" max="146" width="11.140625" bestFit="1" customWidth="1"/>
    <col min="147" max="147" width="10.140625" bestFit="1" customWidth="1"/>
    <col min="148" max="149" width="11.140625" bestFit="1" customWidth="1"/>
    <col min="150" max="150" width="10.140625" bestFit="1" customWidth="1"/>
    <col min="151" max="156" width="11.140625" bestFit="1" customWidth="1"/>
    <col min="157" max="157" width="10.140625" bestFit="1" customWidth="1"/>
    <col min="158" max="158" width="11.140625" bestFit="1" customWidth="1"/>
    <col min="159" max="159" width="10.140625" bestFit="1" customWidth="1"/>
    <col min="160" max="160" width="11.140625" bestFit="1" customWidth="1"/>
    <col min="161" max="161" width="10.140625" bestFit="1" customWidth="1"/>
    <col min="162" max="165" width="11.140625" bestFit="1" customWidth="1"/>
    <col min="166" max="166" width="10.140625" bestFit="1" customWidth="1"/>
    <col min="167" max="167" width="11.140625" bestFit="1" customWidth="1"/>
    <col min="168" max="169" width="10.140625" bestFit="1" customWidth="1"/>
    <col min="170" max="171" width="11.140625" bestFit="1" customWidth="1"/>
    <col min="172" max="172" width="10.140625" bestFit="1" customWidth="1"/>
    <col min="173" max="175" width="11.140625" bestFit="1" customWidth="1"/>
    <col min="176" max="176" width="10.140625" bestFit="1" customWidth="1"/>
    <col min="177" max="177" width="11.140625" bestFit="1" customWidth="1"/>
    <col min="178" max="178" width="10.140625" bestFit="1" customWidth="1"/>
    <col min="179" max="179" width="12.140625" bestFit="1" customWidth="1"/>
    <col min="180" max="183" width="11.140625" bestFit="1" customWidth="1"/>
    <col min="184" max="184" width="10.140625" bestFit="1" customWidth="1"/>
    <col min="185" max="187" width="11.140625" bestFit="1" customWidth="1"/>
    <col min="188" max="189" width="10.140625" bestFit="1" customWidth="1"/>
    <col min="190" max="192" width="11.140625" bestFit="1" customWidth="1"/>
    <col min="193" max="193" width="10.140625" bestFit="1" customWidth="1"/>
    <col min="194" max="194" width="11.140625" bestFit="1" customWidth="1"/>
    <col min="195" max="195" width="10.140625" bestFit="1" customWidth="1"/>
    <col min="196" max="196" width="11.140625" bestFit="1" customWidth="1"/>
    <col min="197" max="197" width="10.140625" bestFit="1" customWidth="1"/>
    <col min="198" max="198" width="11.140625" bestFit="1" customWidth="1"/>
    <col min="199" max="199" width="10.140625" bestFit="1" customWidth="1"/>
    <col min="200" max="200" width="8.5703125" bestFit="1" customWidth="1"/>
    <col min="201" max="206" width="11.140625" bestFit="1" customWidth="1"/>
    <col min="207" max="208" width="10.140625" bestFit="1" customWidth="1"/>
    <col min="209" max="209" width="11.140625" bestFit="1" customWidth="1"/>
    <col min="210" max="210" width="10.140625" bestFit="1" customWidth="1"/>
    <col min="211" max="216" width="11.140625" bestFit="1" customWidth="1"/>
    <col min="217" max="217" width="8.5703125" bestFit="1" customWidth="1"/>
    <col min="218" max="223" width="11.140625" bestFit="1" customWidth="1"/>
    <col min="224" max="224" width="8.5703125" bestFit="1" customWidth="1"/>
    <col min="225" max="227" width="11.140625" bestFit="1" customWidth="1"/>
    <col min="228" max="228" width="10.140625" bestFit="1" customWidth="1"/>
    <col min="229" max="229" width="11.140625" bestFit="1" customWidth="1"/>
    <col min="230" max="230" width="13.7109375" bestFit="1" customWidth="1"/>
    <col min="231" max="231" width="12.5703125" bestFit="1" customWidth="1"/>
  </cols>
  <sheetData>
    <row r="2" spans="1:6" x14ac:dyDescent="0.25">
      <c r="A2" s="6" t="s">
        <v>119</v>
      </c>
      <c r="B2" s="6" t="s">
        <v>126</v>
      </c>
    </row>
    <row r="3" spans="1:6" x14ac:dyDescent="0.25">
      <c r="A3" s="6" t="s">
        <v>101</v>
      </c>
      <c r="B3" t="s">
        <v>16</v>
      </c>
      <c r="C3" t="s">
        <v>8</v>
      </c>
      <c r="D3" t="s">
        <v>25</v>
      </c>
      <c r="E3" t="s">
        <v>127</v>
      </c>
      <c r="F3" t="s">
        <v>102</v>
      </c>
    </row>
    <row r="4" spans="1:6" x14ac:dyDescent="0.25">
      <c r="A4" s="7" t="s">
        <v>129</v>
      </c>
      <c r="B4" s="8">
        <v>273600</v>
      </c>
      <c r="C4" s="8">
        <v>426442.88</v>
      </c>
      <c r="D4" s="8">
        <v>368287.7</v>
      </c>
      <c r="E4" s="8">
        <v>192336.16</v>
      </c>
      <c r="F4" s="8">
        <v>1260666.74</v>
      </c>
    </row>
    <row r="5" spans="1:6" x14ac:dyDescent="0.25">
      <c r="A5" s="11" t="s">
        <v>103</v>
      </c>
      <c r="B5" s="8">
        <v>156543.80000000002</v>
      </c>
      <c r="C5" s="8">
        <v>130643.68</v>
      </c>
      <c r="D5" s="8">
        <v>150223.79999999999</v>
      </c>
      <c r="E5" s="8">
        <v>110858.16</v>
      </c>
      <c r="F5" s="8">
        <v>548269.43999999994</v>
      </c>
    </row>
    <row r="6" spans="1:6" x14ac:dyDescent="0.25">
      <c r="A6" s="11" t="s">
        <v>104</v>
      </c>
      <c r="B6" s="8">
        <v>54181.4</v>
      </c>
      <c r="C6" s="8">
        <v>127872</v>
      </c>
      <c r="D6" s="8">
        <v>125981.69999999998</v>
      </c>
      <c r="E6" s="8">
        <v>64876</v>
      </c>
      <c r="F6" s="8">
        <v>372911.1</v>
      </c>
    </row>
    <row r="7" spans="1:6" x14ac:dyDescent="0.25">
      <c r="A7" s="11" t="s">
        <v>105</v>
      </c>
      <c r="B7" s="8">
        <v>62874.8</v>
      </c>
      <c r="C7" s="8">
        <v>167927.2</v>
      </c>
      <c r="D7" s="8">
        <v>92082.2</v>
      </c>
      <c r="E7" s="8">
        <v>16602</v>
      </c>
      <c r="F7" s="8">
        <v>339486.2</v>
      </c>
    </row>
    <row r="8" spans="1:6" x14ac:dyDescent="0.25">
      <c r="A8" s="7" t="s">
        <v>130</v>
      </c>
      <c r="B8" s="8">
        <v>575142.1</v>
      </c>
      <c r="C8" s="8">
        <v>291836.58</v>
      </c>
      <c r="D8" s="8">
        <v>419517.83999999997</v>
      </c>
      <c r="E8" s="8">
        <v>359459.54000000004</v>
      </c>
      <c r="F8" s="8">
        <v>1645956.06</v>
      </c>
    </row>
    <row r="9" spans="1:6" x14ac:dyDescent="0.25">
      <c r="A9" s="11" t="s">
        <v>106</v>
      </c>
      <c r="B9" s="8">
        <v>239261.6</v>
      </c>
      <c r="C9" s="8">
        <v>67442.2</v>
      </c>
      <c r="D9" s="8">
        <v>108366.58</v>
      </c>
      <c r="E9" s="8">
        <v>213745.84</v>
      </c>
      <c r="F9" s="8">
        <v>628816.22</v>
      </c>
    </row>
    <row r="10" spans="1:6" x14ac:dyDescent="0.25">
      <c r="A10" s="11" t="s">
        <v>107</v>
      </c>
      <c r="B10" s="8">
        <v>152017.79999999999</v>
      </c>
      <c r="C10" s="8">
        <v>52412.78</v>
      </c>
      <c r="D10" s="8">
        <v>234135.30000000002</v>
      </c>
      <c r="E10" s="8">
        <v>101384.92</v>
      </c>
      <c r="F10" s="8">
        <v>539950.80000000005</v>
      </c>
    </row>
    <row r="11" spans="1:6" x14ac:dyDescent="0.25">
      <c r="A11" s="11" t="s">
        <v>108</v>
      </c>
      <c r="B11" s="8">
        <v>183862.69999999998</v>
      </c>
      <c r="C11" s="8">
        <v>171981.6</v>
      </c>
      <c r="D11" s="8">
        <v>77015.959999999992</v>
      </c>
      <c r="E11" s="8">
        <v>44328.78</v>
      </c>
      <c r="F11" s="8">
        <v>477189.04000000004</v>
      </c>
    </row>
    <row r="12" spans="1:6" x14ac:dyDescent="0.25">
      <c r="A12" s="7" t="s">
        <v>131</v>
      </c>
      <c r="B12" s="8">
        <v>429424.30000000005</v>
      </c>
      <c r="C12" s="8">
        <v>402677.07999999996</v>
      </c>
      <c r="D12" s="8">
        <v>558133.58000000007</v>
      </c>
      <c r="E12" s="8">
        <v>143944.36000000002</v>
      </c>
      <c r="F12" s="8">
        <v>1534179.32</v>
      </c>
    </row>
    <row r="13" spans="1:6" x14ac:dyDescent="0.25">
      <c r="A13" s="11" t="s">
        <v>109</v>
      </c>
      <c r="B13" s="8">
        <v>150893.4</v>
      </c>
      <c r="C13" s="8">
        <v>145070</v>
      </c>
      <c r="D13" s="8">
        <v>136537.58000000002</v>
      </c>
      <c r="E13" s="8">
        <v>32509.82</v>
      </c>
      <c r="F13" s="8">
        <v>465010.80000000005</v>
      </c>
    </row>
    <row r="14" spans="1:6" x14ac:dyDescent="0.25">
      <c r="A14" s="11" t="s">
        <v>110</v>
      </c>
      <c r="B14" s="8">
        <v>184722.5</v>
      </c>
      <c r="C14" s="8">
        <v>176487.3</v>
      </c>
      <c r="D14" s="8">
        <v>143864.69999999998</v>
      </c>
      <c r="E14" s="8">
        <v>59892</v>
      </c>
      <c r="F14" s="8">
        <v>564966.5</v>
      </c>
    </row>
    <row r="15" spans="1:6" x14ac:dyDescent="0.25">
      <c r="A15" s="11" t="s">
        <v>111</v>
      </c>
      <c r="B15" s="8">
        <v>93808.4</v>
      </c>
      <c r="C15" s="8">
        <v>81119.78</v>
      </c>
      <c r="D15" s="8">
        <v>277731.3</v>
      </c>
      <c r="E15" s="8">
        <v>51542.54</v>
      </c>
      <c r="F15" s="8">
        <v>504202.01999999996</v>
      </c>
    </row>
    <row r="16" spans="1:6" x14ac:dyDescent="0.25">
      <c r="A16" s="7" t="s">
        <v>132</v>
      </c>
      <c r="B16" s="8">
        <v>300068</v>
      </c>
      <c r="C16" s="8">
        <v>369048.9</v>
      </c>
      <c r="D16" s="8">
        <v>477701.45999999996</v>
      </c>
      <c r="E16" s="8">
        <v>50288</v>
      </c>
      <c r="F16" s="8">
        <v>1197106.3599999999</v>
      </c>
    </row>
    <row r="17" spans="1:6" x14ac:dyDescent="0.25">
      <c r="A17" s="11" t="s">
        <v>112</v>
      </c>
      <c r="B17" s="8">
        <v>172751.6</v>
      </c>
      <c r="C17" s="8">
        <v>129344.6</v>
      </c>
      <c r="D17" s="8">
        <v>223903.26</v>
      </c>
      <c r="E17" s="8"/>
      <c r="F17" s="8">
        <v>525999.46</v>
      </c>
    </row>
    <row r="18" spans="1:6" x14ac:dyDescent="0.25">
      <c r="A18" s="11" t="s">
        <v>113</v>
      </c>
      <c r="B18" s="8">
        <v>31864</v>
      </c>
      <c r="C18" s="8">
        <v>119965.5</v>
      </c>
      <c r="D18" s="8">
        <v>171637.8</v>
      </c>
      <c r="E18" s="8">
        <v>8316</v>
      </c>
      <c r="F18" s="8">
        <v>331783.3</v>
      </c>
    </row>
    <row r="19" spans="1:6" x14ac:dyDescent="0.25">
      <c r="A19" s="11" t="s">
        <v>114</v>
      </c>
      <c r="B19" s="8">
        <v>95452.4</v>
      </c>
      <c r="C19" s="8">
        <v>119738.8</v>
      </c>
      <c r="D19" s="8">
        <v>82160.399999999994</v>
      </c>
      <c r="E19" s="8">
        <v>41972</v>
      </c>
      <c r="F19" s="8">
        <v>339323.6</v>
      </c>
    </row>
    <row r="20" spans="1:6" x14ac:dyDescent="0.25">
      <c r="A20" s="7" t="s">
        <v>102</v>
      </c>
      <c r="B20" s="8">
        <v>1578234.4</v>
      </c>
      <c r="C20" s="8">
        <v>1490005.4400000002</v>
      </c>
      <c r="D20" s="8">
        <v>1823640.58</v>
      </c>
      <c r="E20" s="8">
        <v>746028.05999999994</v>
      </c>
      <c r="F20" s="8">
        <v>5637908.4799999986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7FE9-902F-4413-950E-FE45349310DB}">
  <sheetPr codeName="Hoja5"/>
  <dimension ref="A1:J5"/>
  <sheetViews>
    <sheetView topLeftCell="A8" zoomScale="87" zoomScaleNormal="87" workbookViewId="0">
      <selection activeCell="L34" sqref="L34"/>
    </sheetView>
  </sheetViews>
  <sheetFormatPr baseColWidth="10" defaultRowHeight="15" x14ac:dyDescent="0.25"/>
  <cols>
    <col min="1" max="16384" width="11.42578125" style="9"/>
  </cols>
  <sheetData>
    <row r="1" spans="1:10" x14ac:dyDescent="0.25">
      <c r="A1" s="18" t="s">
        <v>125</v>
      </c>
      <c r="B1" s="19"/>
      <c r="C1" s="19"/>
      <c r="D1" s="19"/>
      <c r="E1" s="19"/>
      <c r="F1" s="19"/>
      <c r="G1" s="19"/>
      <c r="H1" s="19"/>
      <c r="I1" s="19"/>
      <c r="J1" s="19"/>
    </row>
    <row r="2" spans="1:10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0" x14ac:dyDescent="0.25">
      <c r="A3" s="20" t="s">
        <v>122</v>
      </c>
      <c r="B3" s="20"/>
      <c r="C3" s="20"/>
      <c r="D3" s="20"/>
      <c r="E3" s="20"/>
      <c r="F3" s="20"/>
      <c r="G3" s="20"/>
      <c r="H3" s="20"/>
      <c r="I3" s="20"/>
      <c r="J3" s="20"/>
    </row>
    <row r="4" spans="1:10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x14ac:dyDescent="0.25">
      <c r="D5" s="10"/>
    </row>
  </sheetData>
  <mergeCells count="2">
    <mergeCell ref="A1:J2"/>
    <mergeCell ref="A3:J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8BCB2-E7A6-41A4-B4AE-40C869699D10}">
  <sheetPr codeName="Hoja6">
    <tabColor rgb="FF00B050"/>
  </sheetPr>
  <dimension ref="A1:R3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N372"/>
    </sheetView>
  </sheetViews>
  <sheetFormatPr baseColWidth="10" defaultColWidth="10.85546875" defaultRowHeight="15" x14ac:dyDescent="0.25"/>
  <cols>
    <col min="1" max="1" width="16.28515625" customWidth="1"/>
    <col min="2" max="2" width="12.42578125" style="1" bestFit="1" customWidth="1"/>
    <col min="3" max="3" width="14.140625" customWidth="1"/>
    <col min="4" max="4" width="12.85546875" bestFit="1" customWidth="1"/>
    <col min="5" max="5" width="12.140625" bestFit="1" customWidth="1"/>
    <col min="6" max="6" width="14.140625" customWidth="1"/>
    <col min="7" max="7" width="25" bestFit="1" customWidth="1"/>
    <col min="8" max="8" width="24.42578125" bestFit="1" customWidth="1"/>
    <col min="9" max="9" width="20.140625" customWidth="1"/>
    <col min="10" max="10" width="25" bestFit="1" customWidth="1"/>
    <col min="11" max="11" width="22" bestFit="1" customWidth="1"/>
    <col min="12" max="12" width="12" style="2" customWidth="1"/>
    <col min="13" max="13" width="14.85546875" style="2" customWidth="1"/>
    <col min="14" max="14" width="13.140625" style="2" bestFit="1" customWidth="1"/>
    <col min="15" max="15" width="15.85546875" bestFit="1" customWidth="1"/>
    <col min="16" max="16" width="11.85546875" bestFit="1" customWidth="1"/>
    <col min="18" max="18" width="22.42578125" bestFit="1" customWidth="1"/>
  </cols>
  <sheetData>
    <row r="1" spans="1:18" s="3" customFormat="1" ht="30" customHeight="1" x14ac:dyDescent="0.25">
      <c r="A1" s="3" t="s">
        <v>73</v>
      </c>
      <c r="B1" s="4" t="s">
        <v>74</v>
      </c>
      <c r="C1" s="3" t="s">
        <v>79</v>
      </c>
      <c r="D1" s="3" t="s">
        <v>100</v>
      </c>
      <c r="E1" s="3" t="s">
        <v>0</v>
      </c>
      <c r="F1" s="3" t="s">
        <v>75</v>
      </c>
      <c r="G1" s="3" t="s">
        <v>1</v>
      </c>
      <c r="H1" s="3" t="s">
        <v>76</v>
      </c>
      <c r="I1" s="3" t="s">
        <v>2</v>
      </c>
      <c r="J1" s="3" t="s">
        <v>77</v>
      </c>
      <c r="K1" s="3" t="s">
        <v>3</v>
      </c>
      <c r="L1" s="5" t="s">
        <v>78</v>
      </c>
      <c r="M1" s="5" t="s">
        <v>4</v>
      </c>
      <c r="N1" s="5" t="s">
        <v>115</v>
      </c>
      <c r="R1" s="3">
        <f>IF(INDEX(Tabla1[],ROWS(Tabla1[]),1)="",ROWS(Tabla1[])+1,ROWS(Tabla1[])+2)</f>
        <v>373</v>
      </c>
    </row>
    <row r="2" spans="1:18" x14ac:dyDescent="0.25">
      <c r="A2">
        <v>1</v>
      </c>
      <c r="B2" s="1">
        <v>43930</v>
      </c>
      <c r="C2">
        <v>9259377217</v>
      </c>
      <c r="D2" t="s">
        <v>6</v>
      </c>
      <c r="E2" t="s">
        <v>80</v>
      </c>
      <c r="F2" t="s">
        <v>95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>
        <v>14</v>
      </c>
      <c r="M2" s="2">
        <v>10</v>
      </c>
      <c r="N2" s="2">
        <f>normalizar!$L2*normalizar!$M2</f>
        <v>140</v>
      </c>
    </row>
    <row r="3" spans="1:18" x14ac:dyDescent="0.25">
      <c r="A3">
        <v>2</v>
      </c>
      <c r="B3" s="1">
        <v>44068</v>
      </c>
      <c r="C3">
        <v>6185253419</v>
      </c>
      <c r="D3" t="s">
        <v>6</v>
      </c>
      <c r="E3" t="s">
        <v>80</v>
      </c>
      <c r="F3" t="s">
        <v>95</v>
      </c>
      <c r="G3" t="s">
        <v>7</v>
      </c>
      <c r="H3" t="s">
        <v>8</v>
      </c>
      <c r="I3" t="s">
        <v>9</v>
      </c>
      <c r="J3" t="s">
        <v>12</v>
      </c>
      <c r="K3" t="s">
        <v>13</v>
      </c>
      <c r="L3" s="2">
        <v>34</v>
      </c>
      <c r="M3" s="2">
        <v>1</v>
      </c>
      <c r="N3" s="2">
        <f>normalizar!$L3*normalizar!$M3</f>
        <v>34</v>
      </c>
    </row>
    <row r="4" spans="1:18" x14ac:dyDescent="0.25">
      <c r="A4">
        <v>3</v>
      </c>
      <c r="B4" s="1">
        <v>43908</v>
      </c>
      <c r="C4">
        <v>2308885942</v>
      </c>
      <c r="D4" t="s">
        <v>14</v>
      </c>
      <c r="E4" t="s">
        <v>81</v>
      </c>
      <c r="F4" t="s">
        <v>94</v>
      </c>
      <c r="G4" t="s">
        <v>15</v>
      </c>
      <c r="H4" t="s">
        <v>16</v>
      </c>
      <c r="I4" t="s">
        <v>17</v>
      </c>
      <c r="J4" t="s">
        <v>18</v>
      </c>
      <c r="K4" t="s">
        <v>13</v>
      </c>
      <c r="L4" s="2">
        <v>14</v>
      </c>
      <c r="M4" s="2">
        <v>57</v>
      </c>
      <c r="N4" s="2">
        <f>normalizar!$L4*normalizar!$M4</f>
        <v>798</v>
      </c>
    </row>
    <row r="5" spans="1:18" x14ac:dyDescent="0.25">
      <c r="A5">
        <v>4</v>
      </c>
      <c r="B5" s="1">
        <v>43974</v>
      </c>
      <c r="C5">
        <v>6199717898</v>
      </c>
      <c r="D5" t="s">
        <v>14</v>
      </c>
      <c r="E5" t="s">
        <v>81</v>
      </c>
      <c r="F5" t="s">
        <v>94</v>
      </c>
      <c r="G5" t="s">
        <v>15</v>
      </c>
      <c r="H5" t="s">
        <v>16</v>
      </c>
      <c r="I5" t="s">
        <v>17</v>
      </c>
      <c r="J5" t="s">
        <v>19</v>
      </c>
      <c r="K5" t="s">
        <v>13</v>
      </c>
      <c r="L5" s="2">
        <v>16</v>
      </c>
      <c r="M5" s="2">
        <v>72</v>
      </c>
      <c r="N5" s="2">
        <f>normalizar!$L5*normalizar!$M5</f>
        <v>1152</v>
      </c>
    </row>
    <row r="6" spans="1:18" x14ac:dyDescent="0.25">
      <c r="A6">
        <v>5</v>
      </c>
      <c r="B6" s="1">
        <v>43944</v>
      </c>
      <c r="C6">
        <v>5540683029</v>
      </c>
      <c r="D6" t="s">
        <v>14</v>
      </c>
      <c r="E6" t="s">
        <v>81</v>
      </c>
      <c r="F6" t="s">
        <v>94</v>
      </c>
      <c r="G6" t="s">
        <v>15</v>
      </c>
      <c r="H6" t="s">
        <v>16</v>
      </c>
      <c r="I6" t="s">
        <v>17</v>
      </c>
      <c r="J6" t="s">
        <v>12</v>
      </c>
      <c r="K6" t="s">
        <v>13</v>
      </c>
      <c r="L6" s="2">
        <v>12</v>
      </c>
      <c r="M6" s="2">
        <v>68</v>
      </c>
      <c r="N6" s="2">
        <f>normalizar!$L6*normalizar!$M6</f>
        <v>816</v>
      </c>
    </row>
    <row r="7" spans="1:18" x14ac:dyDescent="0.25">
      <c r="A7">
        <v>6</v>
      </c>
      <c r="B7" s="1">
        <v>44184</v>
      </c>
      <c r="C7">
        <v>6343955045</v>
      </c>
      <c r="D7" t="s">
        <v>20</v>
      </c>
      <c r="E7" t="s">
        <v>80</v>
      </c>
      <c r="F7" t="s">
        <v>95</v>
      </c>
      <c r="G7" t="s">
        <v>7</v>
      </c>
      <c r="H7" t="s">
        <v>8</v>
      </c>
      <c r="I7" t="s">
        <v>17</v>
      </c>
      <c r="J7" t="s">
        <v>21</v>
      </c>
      <c r="K7" t="s">
        <v>11</v>
      </c>
      <c r="L7" s="2">
        <v>22</v>
      </c>
      <c r="M7" s="2">
        <v>29</v>
      </c>
      <c r="N7" s="2">
        <f>normalizar!$L7*normalizar!$M7</f>
        <v>638</v>
      </c>
    </row>
    <row r="8" spans="1:18" x14ac:dyDescent="0.25">
      <c r="A8">
        <v>7</v>
      </c>
      <c r="B8" s="1">
        <v>44133</v>
      </c>
      <c r="C8">
        <v>1572125717</v>
      </c>
      <c r="D8" t="s">
        <v>20</v>
      </c>
      <c r="E8" t="s">
        <v>80</v>
      </c>
      <c r="F8" t="s">
        <v>95</v>
      </c>
      <c r="G8" t="s">
        <v>7</v>
      </c>
      <c r="H8" t="s">
        <v>8</v>
      </c>
      <c r="I8" t="s">
        <v>17</v>
      </c>
      <c r="J8" t="s">
        <v>22</v>
      </c>
      <c r="K8" t="s">
        <v>11</v>
      </c>
      <c r="L8" s="2">
        <v>42</v>
      </c>
      <c r="M8" s="2">
        <v>41</v>
      </c>
      <c r="N8" s="2">
        <f>normalizar!$L8*normalizar!$M8</f>
        <v>1722</v>
      </c>
    </row>
    <row r="9" spans="1:18" x14ac:dyDescent="0.25">
      <c r="A9">
        <v>8</v>
      </c>
      <c r="B9" s="1">
        <v>43863</v>
      </c>
      <c r="C9">
        <v>3776895536</v>
      </c>
      <c r="D9" t="s">
        <v>23</v>
      </c>
      <c r="E9" t="s">
        <v>86</v>
      </c>
      <c r="F9" t="s">
        <v>82</v>
      </c>
      <c r="G9" t="s">
        <v>24</v>
      </c>
      <c r="H9" t="s">
        <v>25</v>
      </c>
      <c r="I9" t="s">
        <v>17</v>
      </c>
      <c r="J9" t="s">
        <v>26</v>
      </c>
      <c r="K9" t="s">
        <v>27</v>
      </c>
      <c r="L9" s="2">
        <v>11</v>
      </c>
      <c r="M9" s="2">
        <v>18</v>
      </c>
      <c r="N9" s="2">
        <f>normalizar!$L9*normalizar!$M9</f>
        <v>198</v>
      </c>
    </row>
    <row r="10" spans="1:18" x14ac:dyDescent="0.25">
      <c r="A10">
        <v>9</v>
      </c>
      <c r="B10" s="1">
        <v>44158</v>
      </c>
      <c r="C10">
        <v>390733860</v>
      </c>
      <c r="D10" t="s">
        <v>14</v>
      </c>
      <c r="E10" t="s">
        <v>81</v>
      </c>
      <c r="F10" t="s">
        <v>94</v>
      </c>
      <c r="G10" t="s">
        <v>15</v>
      </c>
      <c r="H10" t="s">
        <v>25</v>
      </c>
      <c r="I10" t="s">
        <v>9</v>
      </c>
      <c r="J10" t="s">
        <v>26</v>
      </c>
      <c r="K10" t="s">
        <v>27</v>
      </c>
      <c r="L10" s="2">
        <v>29</v>
      </c>
      <c r="M10" s="2">
        <v>73</v>
      </c>
      <c r="N10" s="2">
        <f>normalizar!$L10*normalizar!$M10</f>
        <v>2117</v>
      </c>
    </row>
    <row r="11" spans="1:18" x14ac:dyDescent="0.25">
      <c r="A11">
        <v>10</v>
      </c>
      <c r="B11" s="1">
        <v>43863</v>
      </c>
      <c r="C11">
        <v>2456709195</v>
      </c>
      <c r="D11" t="s">
        <v>28</v>
      </c>
      <c r="E11" t="s">
        <v>89</v>
      </c>
      <c r="F11" t="s">
        <v>84</v>
      </c>
      <c r="G11" t="s">
        <v>29</v>
      </c>
      <c r="H11" t="s">
        <v>8</v>
      </c>
      <c r="I11" t="s">
        <v>9</v>
      </c>
      <c r="J11" t="s">
        <v>30</v>
      </c>
      <c r="K11" t="s">
        <v>31</v>
      </c>
      <c r="L11" s="2">
        <v>12</v>
      </c>
      <c r="M11" s="2">
        <v>79</v>
      </c>
      <c r="N11" s="2">
        <f>normalizar!$L11*normalizar!$M11</f>
        <v>948</v>
      </c>
    </row>
    <row r="12" spans="1:18" x14ac:dyDescent="0.25">
      <c r="A12">
        <v>11</v>
      </c>
      <c r="B12" s="1">
        <v>43999</v>
      </c>
      <c r="C12">
        <v>5766090086</v>
      </c>
      <c r="D12" t="s">
        <v>32</v>
      </c>
      <c r="E12" t="s">
        <v>93</v>
      </c>
      <c r="F12" t="s">
        <v>96</v>
      </c>
      <c r="G12" t="s">
        <v>7</v>
      </c>
      <c r="H12" t="s">
        <v>8</v>
      </c>
      <c r="I12" t="s">
        <v>33</v>
      </c>
      <c r="J12" t="s">
        <v>34</v>
      </c>
      <c r="K12" t="s">
        <v>35</v>
      </c>
      <c r="L12" s="2">
        <v>28</v>
      </c>
      <c r="M12" s="2">
        <v>37</v>
      </c>
      <c r="N12" s="2">
        <f>normalizar!$L12*normalizar!$M12</f>
        <v>1036</v>
      </c>
    </row>
    <row r="13" spans="1:18" x14ac:dyDescent="0.25">
      <c r="A13">
        <v>12</v>
      </c>
      <c r="B13" s="1">
        <v>44045</v>
      </c>
      <c r="C13">
        <v>4872781256</v>
      </c>
      <c r="D13" t="s">
        <v>36</v>
      </c>
      <c r="E13" t="s">
        <v>92</v>
      </c>
      <c r="F13" t="s">
        <v>99</v>
      </c>
      <c r="G13" t="s">
        <v>37</v>
      </c>
      <c r="H13" t="s">
        <v>8</v>
      </c>
      <c r="I13" t="s">
        <v>17</v>
      </c>
      <c r="J13" t="s">
        <v>38</v>
      </c>
      <c r="K13" t="s">
        <v>39</v>
      </c>
      <c r="L13" s="2">
        <v>33</v>
      </c>
      <c r="M13" s="2">
        <v>64</v>
      </c>
      <c r="N13" s="2">
        <f>normalizar!$L13*normalizar!$M13</f>
        <v>2112</v>
      </c>
    </row>
    <row r="14" spans="1:18" x14ac:dyDescent="0.25">
      <c r="A14">
        <v>13</v>
      </c>
      <c r="B14" s="1">
        <v>43843</v>
      </c>
      <c r="C14">
        <v>4213140599</v>
      </c>
      <c r="D14" t="s">
        <v>40</v>
      </c>
      <c r="E14" t="s">
        <v>97</v>
      </c>
      <c r="F14" t="s">
        <v>88</v>
      </c>
      <c r="G14" t="s">
        <v>41</v>
      </c>
      <c r="H14" t="s">
        <v>25</v>
      </c>
      <c r="I14" t="s">
        <v>9</v>
      </c>
      <c r="J14" t="s">
        <v>22</v>
      </c>
      <c r="K14" t="s">
        <v>11</v>
      </c>
      <c r="L14" s="2">
        <v>21</v>
      </c>
      <c r="M14" s="2">
        <v>96</v>
      </c>
      <c r="N14" s="2">
        <f>normalizar!$L14*normalizar!$M14</f>
        <v>2016</v>
      </c>
    </row>
    <row r="15" spans="1:18" x14ac:dyDescent="0.25">
      <c r="A15">
        <v>14</v>
      </c>
      <c r="B15" s="1">
        <v>43861</v>
      </c>
      <c r="C15">
        <v>9433063552</v>
      </c>
      <c r="D15" t="s">
        <v>23</v>
      </c>
      <c r="E15" t="s">
        <v>86</v>
      </c>
      <c r="F15" t="s">
        <v>82</v>
      </c>
      <c r="G15" t="s">
        <v>24</v>
      </c>
      <c r="H15" t="s">
        <v>25</v>
      </c>
      <c r="I15" t="s">
        <v>9</v>
      </c>
      <c r="J15" t="s">
        <v>30</v>
      </c>
      <c r="K15" t="s">
        <v>31</v>
      </c>
      <c r="L15" s="2">
        <v>46</v>
      </c>
      <c r="M15" s="2">
        <v>86</v>
      </c>
      <c r="N15" s="2">
        <f>normalizar!$L15*normalizar!$M15</f>
        <v>3956</v>
      </c>
    </row>
    <row r="16" spans="1:18" x14ac:dyDescent="0.25">
      <c r="A16">
        <v>15</v>
      </c>
      <c r="B16" s="1">
        <v>44037</v>
      </c>
      <c r="C16">
        <v>8539365209</v>
      </c>
      <c r="D16" t="s">
        <v>42</v>
      </c>
      <c r="E16" t="s">
        <v>91</v>
      </c>
      <c r="F16" t="s">
        <v>91</v>
      </c>
      <c r="G16" t="s">
        <v>43</v>
      </c>
      <c r="H16" t="s">
        <v>8</v>
      </c>
      <c r="I16" t="s">
        <v>17</v>
      </c>
      <c r="J16" t="s">
        <v>44</v>
      </c>
      <c r="K16" t="s">
        <v>11</v>
      </c>
      <c r="L16" s="2">
        <v>41</v>
      </c>
      <c r="M16" s="2">
        <v>96</v>
      </c>
      <c r="N16" s="2">
        <f>normalizar!$L16*normalizar!$M16</f>
        <v>3936</v>
      </c>
    </row>
    <row r="17" spans="1:14" x14ac:dyDescent="0.25">
      <c r="A17">
        <v>16</v>
      </c>
      <c r="B17" s="1">
        <v>44009</v>
      </c>
      <c r="C17">
        <v>6983099686</v>
      </c>
      <c r="D17" t="s">
        <v>45</v>
      </c>
      <c r="E17" t="s">
        <v>87</v>
      </c>
      <c r="F17" t="s">
        <v>87</v>
      </c>
      <c r="G17" t="s">
        <v>24</v>
      </c>
      <c r="H17" t="s">
        <v>127</v>
      </c>
      <c r="I17" t="s">
        <v>127</v>
      </c>
      <c r="J17" t="s">
        <v>22</v>
      </c>
      <c r="K17" t="s">
        <v>11</v>
      </c>
      <c r="L17" s="2">
        <v>45</v>
      </c>
      <c r="M17" s="2">
        <v>97</v>
      </c>
      <c r="N17" s="2">
        <f>normalizar!$L17*normalizar!$M17</f>
        <v>4365</v>
      </c>
    </row>
    <row r="18" spans="1:14" x14ac:dyDescent="0.25">
      <c r="A18">
        <v>17</v>
      </c>
      <c r="B18" s="1">
        <v>44065</v>
      </c>
      <c r="C18">
        <v>3008945605</v>
      </c>
      <c r="D18" t="s">
        <v>42</v>
      </c>
      <c r="E18" t="s">
        <v>91</v>
      </c>
      <c r="F18" t="s">
        <v>91</v>
      </c>
      <c r="G18" t="s">
        <v>43</v>
      </c>
      <c r="H18" t="s">
        <v>16</v>
      </c>
      <c r="I18" t="s">
        <v>127</v>
      </c>
      <c r="J18" t="s">
        <v>46</v>
      </c>
      <c r="K18" t="s">
        <v>47</v>
      </c>
      <c r="L18" s="2">
        <v>26</v>
      </c>
      <c r="M18" s="2">
        <v>65</v>
      </c>
      <c r="N18" s="2">
        <f>normalizar!$L18*normalizar!$M18</f>
        <v>1690</v>
      </c>
    </row>
    <row r="19" spans="1:14" x14ac:dyDescent="0.25">
      <c r="A19">
        <v>18</v>
      </c>
      <c r="B19" s="1">
        <v>43937</v>
      </c>
      <c r="C19">
        <v>5388305959</v>
      </c>
      <c r="D19" t="s">
        <v>42</v>
      </c>
      <c r="E19" t="s">
        <v>91</v>
      </c>
      <c r="F19" t="s">
        <v>91</v>
      </c>
      <c r="G19" t="s">
        <v>43</v>
      </c>
      <c r="H19" t="s">
        <v>16</v>
      </c>
      <c r="I19" t="s">
        <v>127</v>
      </c>
      <c r="J19" t="s">
        <v>48</v>
      </c>
      <c r="K19" t="s">
        <v>49</v>
      </c>
      <c r="L19" s="2">
        <v>40</v>
      </c>
      <c r="M19" s="2">
        <v>88</v>
      </c>
      <c r="N19" s="2">
        <f>normalizar!$L19*normalizar!$M19</f>
        <v>3520</v>
      </c>
    </row>
    <row r="20" spans="1:14" x14ac:dyDescent="0.25">
      <c r="A20">
        <v>19</v>
      </c>
      <c r="B20" s="1">
        <v>44172</v>
      </c>
      <c r="C20">
        <v>438272084</v>
      </c>
      <c r="D20" t="s">
        <v>42</v>
      </c>
      <c r="E20" t="s">
        <v>91</v>
      </c>
      <c r="F20" t="s">
        <v>91</v>
      </c>
      <c r="G20" t="s">
        <v>43</v>
      </c>
      <c r="H20" t="s">
        <v>16</v>
      </c>
      <c r="I20" t="s">
        <v>127</v>
      </c>
      <c r="J20" t="s">
        <v>26</v>
      </c>
      <c r="K20" t="s">
        <v>27</v>
      </c>
      <c r="L20" s="2">
        <v>12</v>
      </c>
      <c r="M20" s="2">
        <v>60</v>
      </c>
      <c r="N20" s="2">
        <f>normalizar!$L20*normalizar!$M20</f>
        <v>720</v>
      </c>
    </row>
    <row r="21" spans="1:14" x14ac:dyDescent="0.25">
      <c r="A21">
        <v>20</v>
      </c>
      <c r="B21" s="1">
        <v>43875</v>
      </c>
      <c r="C21">
        <v>2536792311</v>
      </c>
      <c r="D21" t="s">
        <v>50</v>
      </c>
      <c r="E21" t="s">
        <v>85</v>
      </c>
      <c r="F21" t="s">
        <v>83</v>
      </c>
      <c r="G21" t="s">
        <v>41</v>
      </c>
      <c r="H21" t="s">
        <v>25</v>
      </c>
      <c r="I21" t="s">
        <v>127</v>
      </c>
      <c r="J21" t="s">
        <v>12</v>
      </c>
      <c r="K21" t="s">
        <v>13</v>
      </c>
      <c r="L21" s="2">
        <v>35</v>
      </c>
      <c r="M21" s="2">
        <v>96</v>
      </c>
      <c r="N21" s="2">
        <f>normalizar!$L21*normalizar!$M21</f>
        <v>3360</v>
      </c>
    </row>
    <row r="22" spans="1:14" x14ac:dyDescent="0.25">
      <c r="A22">
        <v>21</v>
      </c>
      <c r="B22" s="1">
        <v>44138</v>
      </c>
      <c r="C22">
        <v>7813757711</v>
      </c>
      <c r="D22" t="s">
        <v>50</v>
      </c>
      <c r="E22" t="s">
        <v>85</v>
      </c>
      <c r="F22" t="s">
        <v>83</v>
      </c>
      <c r="G22" t="s">
        <v>41</v>
      </c>
      <c r="H22" t="s">
        <v>25</v>
      </c>
      <c r="I22" t="s">
        <v>127</v>
      </c>
      <c r="J22" t="s">
        <v>44</v>
      </c>
      <c r="K22" t="s">
        <v>11</v>
      </c>
      <c r="L22" s="2">
        <v>20</v>
      </c>
      <c r="M22" s="2">
        <v>50</v>
      </c>
      <c r="N22" s="2">
        <f>normalizar!$L22*normalizar!$M22</f>
        <v>1000</v>
      </c>
    </row>
    <row r="23" spans="1:14" x14ac:dyDescent="0.25">
      <c r="A23">
        <v>22</v>
      </c>
      <c r="B23" s="1">
        <v>43918</v>
      </c>
      <c r="C23">
        <v>4786931679</v>
      </c>
      <c r="D23" t="s">
        <v>51</v>
      </c>
      <c r="E23" t="s">
        <v>90</v>
      </c>
      <c r="F23" t="s">
        <v>98</v>
      </c>
      <c r="G23" t="s">
        <v>24</v>
      </c>
      <c r="H23" t="s">
        <v>127</v>
      </c>
      <c r="I23" t="s">
        <v>127</v>
      </c>
      <c r="J23" t="s">
        <v>21</v>
      </c>
      <c r="K23" t="s">
        <v>11</v>
      </c>
      <c r="L23" s="2">
        <v>50</v>
      </c>
      <c r="M23" s="2">
        <v>75</v>
      </c>
      <c r="N23" s="2">
        <f>normalizar!$L23*normalizar!$M23</f>
        <v>3750</v>
      </c>
    </row>
    <row r="24" spans="1:14" x14ac:dyDescent="0.25">
      <c r="A24">
        <v>23</v>
      </c>
      <c r="B24" s="1">
        <v>44039</v>
      </c>
      <c r="C24">
        <v>3021659728</v>
      </c>
      <c r="D24" t="s">
        <v>51</v>
      </c>
      <c r="E24" t="s">
        <v>90</v>
      </c>
      <c r="F24" t="s">
        <v>98</v>
      </c>
      <c r="G24" t="s">
        <v>24</v>
      </c>
      <c r="H24" t="s">
        <v>127</v>
      </c>
      <c r="I24" t="s">
        <v>127</v>
      </c>
      <c r="J24" t="s">
        <v>22</v>
      </c>
      <c r="K24" t="s">
        <v>11</v>
      </c>
      <c r="L24" s="2">
        <v>21</v>
      </c>
      <c r="M24" s="2">
        <v>4</v>
      </c>
      <c r="N24" s="2">
        <f>normalizar!$L24*normalizar!$M24</f>
        <v>84</v>
      </c>
    </row>
    <row r="25" spans="1:14" x14ac:dyDescent="0.25">
      <c r="A25">
        <v>24</v>
      </c>
      <c r="B25" s="1">
        <v>43993</v>
      </c>
      <c r="C25">
        <v>2591950684</v>
      </c>
      <c r="D25" t="s">
        <v>51</v>
      </c>
      <c r="E25" t="s">
        <v>90</v>
      </c>
      <c r="F25" t="s">
        <v>98</v>
      </c>
      <c r="G25" t="s">
        <v>24</v>
      </c>
      <c r="H25" t="s">
        <v>127</v>
      </c>
      <c r="I25" t="s">
        <v>127</v>
      </c>
      <c r="J25" t="s">
        <v>44</v>
      </c>
      <c r="K25" t="s">
        <v>11</v>
      </c>
      <c r="L25" s="2">
        <v>43</v>
      </c>
      <c r="M25" s="2">
        <v>18</v>
      </c>
      <c r="N25" s="2">
        <f>normalizar!$L25*normalizar!$M25</f>
        <v>774</v>
      </c>
    </row>
    <row r="26" spans="1:14" x14ac:dyDescent="0.25">
      <c r="A26">
        <v>25</v>
      </c>
      <c r="B26" s="1">
        <v>43885</v>
      </c>
      <c r="C26">
        <v>9326361454</v>
      </c>
      <c r="D26" t="s">
        <v>40</v>
      </c>
      <c r="E26" t="s">
        <v>97</v>
      </c>
      <c r="F26" t="s">
        <v>88</v>
      </c>
      <c r="G26" t="s">
        <v>41</v>
      </c>
      <c r="H26" t="s">
        <v>25</v>
      </c>
      <c r="I26" t="s">
        <v>17</v>
      </c>
      <c r="J26" t="s">
        <v>34</v>
      </c>
      <c r="K26" t="s">
        <v>35</v>
      </c>
      <c r="L26" s="2">
        <v>26</v>
      </c>
      <c r="M26" s="2">
        <v>49</v>
      </c>
      <c r="N26" s="2">
        <f>normalizar!$L26*normalizar!$M26</f>
        <v>1274</v>
      </c>
    </row>
    <row r="27" spans="1:14" x14ac:dyDescent="0.25">
      <c r="A27">
        <v>26</v>
      </c>
      <c r="B27" s="1">
        <v>44055</v>
      </c>
      <c r="C27">
        <v>3769138349</v>
      </c>
      <c r="D27" t="s">
        <v>40</v>
      </c>
      <c r="E27" t="s">
        <v>97</v>
      </c>
      <c r="F27" t="s">
        <v>88</v>
      </c>
      <c r="G27" t="s">
        <v>41</v>
      </c>
      <c r="H27" t="s">
        <v>25</v>
      </c>
      <c r="I27" t="s">
        <v>17</v>
      </c>
      <c r="J27" t="s">
        <v>52</v>
      </c>
      <c r="K27" t="s">
        <v>53</v>
      </c>
      <c r="L27" s="2">
        <v>39</v>
      </c>
      <c r="M27" s="2">
        <v>21</v>
      </c>
      <c r="N27" s="2">
        <f>normalizar!$L27*normalizar!$M27</f>
        <v>819</v>
      </c>
    </row>
    <row r="28" spans="1:14" x14ac:dyDescent="0.25">
      <c r="A28">
        <v>27</v>
      </c>
      <c r="B28" s="1">
        <v>43908</v>
      </c>
      <c r="C28">
        <v>5871657714</v>
      </c>
      <c r="D28" t="s">
        <v>54</v>
      </c>
      <c r="E28" t="s">
        <v>89</v>
      </c>
      <c r="F28" t="s">
        <v>84</v>
      </c>
      <c r="G28" t="s">
        <v>55</v>
      </c>
      <c r="H28" t="s">
        <v>16</v>
      </c>
      <c r="I28" t="s">
        <v>9</v>
      </c>
      <c r="J28" t="s">
        <v>56</v>
      </c>
      <c r="K28" t="s">
        <v>57</v>
      </c>
      <c r="L28" s="2">
        <v>33</v>
      </c>
      <c r="M28" s="2">
        <v>8</v>
      </c>
      <c r="N28" s="2">
        <f>normalizar!$L28*normalizar!$M28</f>
        <v>264</v>
      </c>
    </row>
    <row r="29" spans="1:14" x14ac:dyDescent="0.25">
      <c r="A29">
        <v>28</v>
      </c>
      <c r="B29" s="1">
        <v>43965</v>
      </c>
      <c r="C29">
        <v>1534553307</v>
      </c>
      <c r="D29" t="s">
        <v>54</v>
      </c>
      <c r="E29" t="s">
        <v>89</v>
      </c>
      <c r="F29" t="s">
        <v>84</v>
      </c>
      <c r="G29" t="s">
        <v>55</v>
      </c>
      <c r="H29" t="s">
        <v>16</v>
      </c>
      <c r="I29" t="s">
        <v>9</v>
      </c>
      <c r="J29" t="s">
        <v>58</v>
      </c>
      <c r="K29" t="s">
        <v>59</v>
      </c>
      <c r="L29" s="2">
        <v>46</v>
      </c>
      <c r="M29" s="2">
        <v>82</v>
      </c>
      <c r="N29" s="2">
        <f>normalizar!$L29*normalizar!$M29</f>
        <v>3772</v>
      </c>
    </row>
    <row r="30" spans="1:14" x14ac:dyDescent="0.25">
      <c r="A30">
        <v>29</v>
      </c>
      <c r="B30" s="1">
        <v>44146</v>
      </c>
      <c r="C30">
        <v>8474620707</v>
      </c>
      <c r="D30" t="s">
        <v>36</v>
      </c>
      <c r="E30" t="s">
        <v>92</v>
      </c>
      <c r="F30" t="s">
        <v>99</v>
      </c>
      <c r="G30" t="s">
        <v>37</v>
      </c>
      <c r="H30" t="s">
        <v>8</v>
      </c>
      <c r="I30" t="s">
        <v>17</v>
      </c>
      <c r="J30" t="s">
        <v>10</v>
      </c>
      <c r="K30" t="s">
        <v>11</v>
      </c>
      <c r="L30" s="2">
        <v>32</v>
      </c>
      <c r="M30" s="2">
        <v>75</v>
      </c>
      <c r="N30" s="2">
        <f>normalizar!$L30*normalizar!$M30</f>
        <v>2400</v>
      </c>
    </row>
    <row r="31" spans="1:14" x14ac:dyDescent="0.25">
      <c r="A31">
        <v>30</v>
      </c>
      <c r="B31" s="1">
        <v>44144</v>
      </c>
      <c r="C31">
        <v>3530767380</v>
      </c>
      <c r="D31" t="s">
        <v>23</v>
      </c>
      <c r="E31" t="s">
        <v>86</v>
      </c>
      <c r="F31" t="s">
        <v>82</v>
      </c>
      <c r="G31" t="s">
        <v>24</v>
      </c>
      <c r="H31" t="s">
        <v>8</v>
      </c>
      <c r="I31" t="s">
        <v>9</v>
      </c>
      <c r="J31" t="s">
        <v>38</v>
      </c>
      <c r="K31" t="s">
        <v>39</v>
      </c>
      <c r="L31" s="2">
        <v>34</v>
      </c>
      <c r="M31" s="2">
        <v>3</v>
      </c>
      <c r="N31" s="2">
        <f>normalizar!$L31*normalizar!$M31</f>
        <v>102</v>
      </c>
    </row>
    <row r="32" spans="1:14" x14ac:dyDescent="0.25">
      <c r="A32">
        <v>31</v>
      </c>
      <c r="B32" s="1">
        <v>43845</v>
      </c>
      <c r="C32">
        <v>6673950624</v>
      </c>
      <c r="D32" t="s">
        <v>32</v>
      </c>
      <c r="E32" t="s">
        <v>93</v>
      </c>
      <c r="F32" t="s">
        <v>96</v>
      </c>
      <c r="G32" t="s">
        <v>7</v>
      </c>
      <c r="H32" t="s">
        <v>8</v>
      </c>
      <c r="I32" t="s">
        <v>33</v>
      </c>
      <c r="J32" t="s">
        <v>60</v>
      </c>
      <c r="K32" t="s">
        <v>49</v>
      </c>
      <c r="L32" s="2">
        <v>24</v>
      </c>
      <c r="M32" s="2">
        <v>33</v>
      </c>
      <c r="N32" s="2">
        <f>normalizar!$L32*normalizar!$M32</f>
        <v>792</v>
      </c>
    </row>
    <row r="33" spans="1:14" x14ac:dyDescent="0.25">
      <c r="A33">
        <v>32</v>
      </c>
      <c r="B33" s="1">
        <v>43967</v>
      </c>
      <c r="C33">
        <v>7137547321</v>
      </c>
      <c r="D33" t="s">
        <v>32</v>
      </c>
      <c r="E33" t="s">
        <v>93</v>
      </c>
      <c r="F33" t="s">
        <v>96</v>
      </c>
      <c r="G33" t="s">
        <v>7</v>
      </c>
      <c r="H33" t="s">
        <v>8</v>
      </c>
      <c r="I33" t="s">
        <v>33</v>
      </c>
      <c r="J33" t="s">
        <v>38</v>
      </c>
      <c r="K33" t="s">
        <v>39</v>
      </c>
      <c r="L33" s="2">
        <v>21</v>
      </c>
      <c r="M33" s="2">
        <v>51</v>
      </c>
      <c r="N33" s="2">
        <f>normalizar!$L33*normalizar!$M33</f>
        <v>1071</v>
      </c>
    </row>
    <row r="34" spans="1:14" x14ac:dyDescent="0.25">
      <c r="A34">
        <v>33</v>
      </c>
      <c r="B34" s="1">
        <v>43862</v>
      </c>
      <c r="C34">
        <v>9655985375</v>
      </c>
      <c r="D34" t="s">
        <v>36</v>
      </c>
      <c r="E34" t="s">
        <v>92</v>
      </c>
      <c r="F34" t="s">
        <v>99</v>
      </c>
      <c r="G34" t="s">
        <v>37</v>
      </c>
      <c r="H34" t="s">
        <v>8</v>
      </c>
      <c r="I34" t="s">
        <v>17</v>
      </c>
      <c r="J34" t="s">
        <v>38</v>
      </c>
      <c r="K34" t="s">
        <v>39</v>
      </c>
      <c r="L34" s="2">
        <v>17</v>
      </c>
      <c r="M34" s="2">
        <v>30</v>
      </c>
      <c r="N34" s="2">
        <f>normalizar!$L34*normalizar!$M34</f>
        <v>510</v>
      </c>
    </row>
    <row r="35" spans="1:14" x14ac:dyDescent="0.25">
      <c r="A35">
        <v>34</v>
      </c>
      <c r="B35" s="1">
        <v>44167</v>
      </c>
      <c r="C35">
        <v>299812367</v>
      </c>
      <c r="D35" t="s">
        <v>40</v>
      </c>
      <c r="E35" t="s">
        <v>97</v>
      </c>
      <c r="F35" t="s">
        <v>88</v>
      </c>
      <c r="G35" t="s">
        <v>41</v>
      </c>
      <c r="H35" t="s">
        <v>25</v>
      </c>
      <c r="I35" t="s">
        <v>9</v>
      </c>
      <c r="J35" t="s">
        <v>60</v>
      </c>
      <c r="K35" t="s">
        <v>49</v>
      </c>
      <c r="L35" s="2">
        <v>12.7</v>
      </c>
      <c r="M35" s="2">
        <v>25.8</v>
      </c>
      <c r="N35" s="2">
        <f>normalizar!$L35*normalizar!$M35</f>
        <v>327.65999999999997</v>
      </c>
    </row>
    <row r="36" spans="1:14" x14ac:dyDescent="0.25">
      <c r="A36">
        <v>35</v>
      </c>
      <c r="B36" s="1">
        <v>43870</v>
      </c>
      <c r="C36">
        <v>7779151222</v>
      </c>
      <c r="D36" t="s">
        <v>23</v>
      </c>
      <c r="E36" t="s">
        <v>86</v>
      </c>
      <c r="F36" t="s">
        <v>82</v>
      </c>
      <c r="G36" t="s">
        <v>24</v>
      </c>
      <c r="H36" t="s">
        <v>25</v>
      </c>
      <c r="I36" t="s">
        <v>9</v>
      </c>
      <c r="J36" t="s">
        <v>38</v>
      </c>
      <c r="K36" t="s">
        <v>39</v>
      </c>
      <c r="L36" s="2">
        <v>8.4</v>
      </c>
      <c r="M36" s="2">
        <v>21.6</v>
      </c>
      <c r="N36" s="2">
        <f>normalizar!$L36*normalizar!$M36</f>
        <v>181.44000000000003</v>
      </c>
    </row>
    <row r="37" spans="1:14" x14ac:dyDescent="0.25">
      <c r="A37">
        <v>36</v>
      </c>
      <c r="B37" s="1">
        <v>44192</v>
      </c>
      <c r="C37">
        <v>9282360094</v>
      </c>
      <c r="D37" t="s">
        <v>42</v>
      </c>
      <c r="E37" t="s">
        <v>91</v>
      </c>
      <c r="F37" t="s">
        <v>91</v>
      </c>
      <c r="G37" t="s">
        <v>43</v>
      </c>
      <c r="H37" t="s">
        <v>8</v>
      </c>
      <c r="I37" t="s">
        <v>17</v>
      </c>
      <c r="J37" t="s">
        <v>61</v>
      </c>
      <c r="K37" t="s">
        <v>13</v>
      </c>
      <c r="L37" s="2">
        <v>140</v>
      </c>
      <c r="M37" s="2">
        <v>47</v>
      </c>
      <c r="N37" s="2">
        <f>normalizar!$L37*normalizar!$M37</f>
        <v>6580</v>
      </c>
    </row>
    <row r="38" spans="1:14" x14ac:dyDescent="0.25">
      <c r="A38">
        <v>37</v>
      </c>
      <c r="B38" s="1">
        <v>43982</v>
      </c>
      <c r="C38">
        <v>6935804403</v>
      </c>
      <c r="D38" t="s">
        <v>42</v>
      </c>
      <c r="E38" t="s">
        <v>91</v>
      </c>
      <c r="F38" t="s">
        <v>91</v>
      </c>
      <c r="G38" t="s">
        <v>43</v>
      </c>
      <c r="H38" t="s">
        <v>16</v>
      </c>
      <c r="I38" t="s">
        <v>127</v>
      </c>
      <c r="J38" t="s">
        <v>12</v>
      </c>
      <c r="K38" t="s">
        <v>13</v>
      </c>
      <c r="L38" s="2">
        <v>49</v>
      </c>
      <c r="M38" s="2">
        <v>49</v>
      </c>
      <c r="N38" s="2">
        <f>normalizar!$L38*normalizar!$M38</f>
        <v>2401</v>
      </c>
    </row>
    <row r="39" spans="1:14" x14ac:dyDescent="0.25">
      <c r="A39">
        <v>38</v>
      </c>
      <c r="B39" s="1">
        <v>43952</v>
      </c>
      <c r="C39">
        <v>3650322132</v>
      </c>
      <c r="D39" t="s">
        <v>50</v>
      </c>
      <c r="E39" t="s">
        <v>85</v>
      </c>
      <c r="F39" t="s">
        <v>83</v>
      </c>
      <c r="G39" t="s">
        <v>41</v>
      </c>
      <c r="H39" t="s">
        <v>25</v>
      </c>
      <c r="I39" t="s">
        <v>127</v>
      </c>
      <c r="J39" t="s">
        <v>38</v>
      </c>
      <c r="K39" t="s">
        <v>39</v>
      </c>
      <c r="L39" s="2">
        <v>560</v>
      </c>
      <c r="M39" s="2">
        <v>72</v>
      </c>
      <c r="N39" s="2">
        <f>normalizar!$L39*normalizar!$M39</f>
        <v>40320</v>
      </c>
    </row>
    <row r="40" spans="1:14" x14ac:dyDescent="0.25">
      <c r="A40">
        <v>39</v>
      </c>
      <c r="B40" s="1">
        <v>43965</v>
      </c>
      <c r="C40">
        <v>1985754250</v>
      </c>
      <c r="D40" t="s">
        <v>51</v>
      </c>
      <c r="E40" t="s">
        <v>90</v>
      </c>
      <c r="F40" t="s">
        <v>98</v>
      </c>
      <c r="G40" t="s">
        <v>24</v>
      </c>
      <c r="H40" t="s">
        <v>25</v>
      </c>
      <c r="I40" t="s">
        <v>127</v>
      </c>
      <c r="J40" t="s">
        <v>52</v>
      </c>
      <c r="K40" t="s">
        <v>53</v>
      </c>
      <c r="L40" s="2">
        <v>257.59999999999997</v>
      </c>
      <c r="M40" s="2">
        <v>13</v>
      </c>
      <c r="N40" s="2">
        <f>normalizar!$L40*normalizar!$M40</f>
        <v>3348.7999999999997</v>
      </c>
    </row>
    <row r="41" spans="1:14" x14ac:dyDescent="0.25">
      <c r="A41">
        <v>40</v>
      </c>
      <c r="B41" s="1">
        <v>44090</v>
      </c>
      <c r="C41">
        <v>7293507918</v>
      </c>
      <c r="D41" t="s">
        <v>40</v>
      </c>
      <c r="E41" t="s">
        <v>97</v>
      </c>
      <c r="F41" t="s">
        <v>88</v>
      </c>
      <c r="G41" t="s">
        <v>41</v>
      </c>
      <c r="H41" t="s">
        <v>25</v>
      </c>
      <c r="I41" t="s">
        <v>17</v>
      </c>
      <c r="J41" t="s">
        <v>22</v>
      </c>
      <c r="K41" t="s">
        <v>11</v>
      </c>
      <c r="L41" s="2">
        <v>644</v>
      </c>
      <c r="M41" s="2">
        <v>32</v>
      </c>
      <c r="N41" s="2">
        <f>normalizar!$L41*normalizar!$M41</f>
        <v>20608</v>
      </c>
    </row>
    <row r="42" spans="1:14" x14ac:dyDescent="0.25">
      <c r="A42">
        <v>41</v>
      </c>
      <c r="B42" s="1">
        <v>43983</v>
      </c>
      <c r="C42">
        <v>3459323228</v>
      </c>
      <c r="D42" t="s">
        <v>54</v>
      </c>
      <c r="E42" t="s">
        <v>89</v>
      </c>
      <c r="F42" t="s">
        <v>84</v>
      </c>
      <c r="G42" t="s">
        <v>55</v>
      </c>
      <c r="H42" t="s">
        <v>16</v>
      </c>
      <c r="I42" t="s">
        <v>9</v>
      </c>
      <c r="J42" t="s">
        <v>34</v>
      </c>
      <c r="K42" t="s">
        <v>35</v>
      </c>
      <c r="L42" s="2">
        <v>135.1</v>
      </c>
      <c r="M42" s="2">
        <v>27</v>
      </c>
      <c r="N42" s="2">
        <f>normalizar!$L42*normalizar!$M42</f>
        <v>3647.7</v>
      </c>
    </row>
    <row r="43" spans="1:14" x14ac:dyDescent="0.25">
      <c r="A43">
        <v>42</v>
      </c>
      <c r="B43" s="1">
        <v>43999</v>
      </c>
      <c r="C43">
        <v>1144627655</v>
      </c>
      <c r="D43" t="s">
        <v>36</v>
      </c>
      <c r="E43" t="s">
        <v>92</v>
      </c>
      <c r="F43" t="s">
        <v>99</v>
      </c>
      <c r="G43" t="s">
        <v>37</v>
      </c>
      <c r="H43" t="s">
        <v>8</v>
      </c>
      <c r="I43" t="s">
        <v>17</v>
      </c>
      <c r="J43" t="s">
        <v>30</v>
      </c>
      <c r="K43" t="s">
        <v>31</v>
      </c>
      <c r="L43" s="2">
        <v>178.5</v>
      </c>
      <c r="M43" s="2">
        <v>71</v>
      </c>
      <c r="N43" s="2">
        <f>normalizar!$L43*normalizar!$M43</f>
        <v>12673.5</v>
      </c>
    </row>
    <row r="44" spans="1:14" x14ac:dyDescent="0.25">
      <c r="A44">
        <v>43</v>
      </c>
      <c r="B44" s="1">
        <v>44070</v>
      </c>
      <c r="C44">
        <v>3986713828</v>
      </c>
      <c r="D44" t="s">
        <v>23</v>
      </c>
      <c r="E44" t="s">
        <v>86</v>
      </c>
      <c r="F44" t="s">
        <v>82</v>
      </c>
      <c r="G44" t="s">
        <v>24</v>
      </c>
      <c r="H44" t="s">
        <v>8</v>
      </c>
      <c r="I44" t="s">
        <v>9</v>
      </c>
      <c r="J44" t="s">
        <v>30</v>
      </c>
      <c r="K44" t="s">
        <v>31</v>
      </c>
      <c r="L44" s="2">
        <v>178.5</v>
      </c>
      <c r="M44" s="2">
        <v>13</v>
      </c>
      <c r="N44" s="2">
        <f>normalizar!$L44*normalizar!$M44</f>
        <v>2320.5</v>
      </c>
    </row>
    <row r="45" spans="1:14" x14ac:dyDescent="0.25">
      <c r="A45">
        <v>44</v>
      </c>
      <c r="B45" s="1">
        <v>43998</v>
      </c>
      <c r="C45">
        <v>9350633665</v>
      </c>
      <c r="D45" t="s">
        <v>62</v>
      </c>
      <c r="E45" t="s">
        <v>91</v>
      </c>
      <c r="F45" t="s">
        <v>91</v>
      </c>
      <c r="G45" t="s">
        <v>43</v>
      </c>
      <c r="H45" t="s">
        <v>16</v>
      </c>
      <c r="I45" t="s">
        <v>33</v>
      </c>
      <c r="J45" t="s">
        <v>48</v>
      </c>
      <c r="K45" t="s">
        <v>49</v>
      </c>
      <c r="L45" s="2">
        <v>308</v>
      </c>
      <c r="M45" s="2">
        <v>98</v>
      </c>
      <c r="N45" s="2">
        <f>normalizar!$L45*normalizar!$M45</f>
        <v>30184</v>
      </c>
    </row>
    <row r="46" spans="1:14" x14ac:dyDescent="0.25">
      <c r="A46">
        <v>45</v>
      </c>
      <c r="B46" s="1">
        <v>44129</v>
      </c>
      <c r="C46">
        <v>4918639925</v>
      </c>
      <c r="D46" t="s">
        <v>63</v>
      </c>
      <c r="E46" t="s">
        <v>85</v>
      </c>
      <c r="F46" t="s">
        <v>83</v>
      </c>
      <c r="G46" t="s">
        <v>41</v>
      </c>
      <c r="H46" t="s">
        <v>25</v>
      </c>
      <c r="I46" t="s">
        <v>17</v>
      </c>
      <c r="J46" t="s">
        <v>46</v>
      </c>
      <c r="K46" t="s">
        <v>47</v>
      </c>
      <c r="L46" s="2">
        <v>350</v>
      </c>
      <c r="M46" s="2">
        <v>21</v>
      </c>
      <c r="N46" s="2">
        <f>normalizar!$L46*normalizar!$M46</f>
        <v>7350</v>
      </c>
    </row>
    <row r="47" spans="1:14" x14ac:dyDescent="0.25">
      <c r="A47">
        <v>46</v>
      </c>
      <c r="B47" s="1">
        <v>44165</v>
      </c>
      <c r="C47">
        <v>9630006862</v>
      </c>
      <c r="D47" t="s">
        <v>28</v>
      </c>
      <c r="E47" t="s">
        <v>89</v>
      </c>
      <c r="F47" t="s">
        <v>84</v>
      </c>
      <c r="G47" t="s">
        <v>29</v>
      </c>
      <c r="H47" t="s">
        <v>8</v>
      </c>
      <c r="I47" t="s">
        <v>9</v>
      </c>
      <c r="J47" t="s">
        <v>64</v>
      </c>
      <c r="K47" t="s">
        <v>65</v>
      </c>
      <c r="L47" s="2">
        <v>546</v>
      </c>
      <c r="M47" s="2">
        <v>26</v>
      </c>
      <c r="N47" s="2">
        <f>normalizar!$L47*normalizar!$M47</f>
        <v>14196</v>
      </c>
    </row>
    <row r="48" spans="1:14" x14ac:dyDescent="0.25">
      <c r="A48">
        <v>47</v>
      </c>
      <c r="B48" s="1">
        <v>43920</v>
      </c>
      <c r="C48">
        <v>9029002933</v>
      </c>
      <c r="D48" t="s">
        <v>36</v>
      </c>
      <c r="E48" t="s">
        <v>92</v>
      </c>
      <c r="F48" t="s">
        <v>99</v>
      </c>
      <c r="G48" t="s">
        <v>37</v>
      </c>
      <c r="H48" t="s">
        <v>25</v>
      </c>
      <c r="I48" t="s">
        <v>9</v>
      </c>
      <c r="J48" t="s">
        <v>18</v>
      </c>
      <c r="K48" t="s">
        <v>13</v>
      </c>
      <c r="L48" s="2">
        <v>420</v>
      </c>
      <c r="M48" s="2">
        <v>96</v>
      </c>
      <c r="N48" s="2">
        <f>normalizar!$L48*normalizar!$M48</f>
        <v>40320</v>
      </c>
    </row>
    <row r="49" spans="1:14" x14ac:dyDescent="0.25">
      <c r="A49">
        <v>48</v>
      </c>
      <c r="B49" s="1">
        <v>43880</v>
      </c>
      <c r="C49">
        <v>5702300844</v>
      </c>
      <c r="D49" t="s">
        <v>36</v>
      </c>
      <c r="E49" t="s">
        <v>92</v>
      </c>
      <c r="F49" t="s">
        <v>99</v>
      </c>
      <c r="G49" t="s">
        <v>37</v>
      </c>
      <c r="H49" t="s">
        <v>25</v>
      </c>
      <c r="I49" t="s">
        <v>9</v>
      </c>
      <c r="J49" t="s">
        <v>19</v>
      </c>
      <c r="K49" t="s">
        <v>13</v>
      </c>
      <c r="L49" s="2">
        <v>742</v>
      </c>
      <c r="M49" s="2">
        <v>16</v>
      </c>
      <c r="N49" s="2">
        <f>normalizar!$L49*normalizar!$M49</f>
        <v>11872</v>
      </c>
    </row>
    <row r="50" spans="1:14" x14ac:dyDescent="0.25">
      <c r="A50">
        <v>49</v>
      </c>
      <c r="B50" s="1">
        <v>43922</v>
      </c>
      <c r="C50">
        <v>6885713027</v>
      </c>
      <c r="D50" t="s">
        <v>14</v>
      </c>
      <c r="E50" t="s">
        <v>81</v>
      </c>
      <c r="F50" t="s">
        <v>94</v>
      </c>
      <c r="G50" t="s">
        <v>15</v>
      </c>
      <c r="H50" t="s">
        <v>127</v>
      </c>
      <c r="I50" t="s">
        <v>127</v>
      </c>
      <c r="J50" t="s">
        <v>66</v>
      </c>
      <c r="K50" t="s">
        <v>57</v>
      </c>
      <c r="L50" s="2">
        <v>532</v>
      </c>
      <c r="M50" s="2">
        <v>96</v>
      </c>
      <c r="N50" s="2">
        <f>normalizar!$L50*normalizar!$M50</f>
        <v>51072</v>
      </c>
    </row>
    <row r="51" spans="1:14" x14ac:dyDescent="0.25">
      <c r="A51">
        <v>50</v>
      </c>
      <c r="B51" s="1">
        <v>43861</v>
      </c>
      <c r="C51">
        <v>5156178317</v>
      </c>
      <c r="D51" t="s">
        <v>32</v>
      </c>
      <c r="E51" t="s">
        <v>93</v>
      </c>
      <c r="F51" t="s">
        <v>96</v>
      </c>
      <c r="G51" t="s">
        <v>7</v>
      </c>
      <c r="H51" t="s">
        <v>127</v>
      </c>
      <c r="I51" t="s">
        <v>127</v>
      </c>
      <c r="J51" t="s">
        <v>44</v>
      </c>
      <c r="K51" t="s">
        <v>11</v>
      </c>
      <c r="L51" s="2">
        <v>41.86</v>
      </c>
      <c r="M51" s="2">
        <v>75</v>
      </c>
      <c r="N51" s="2">
        <f>normalizar!$L51*normalizar!$M51</f>
        <v>3139.5</v>
      </c>
    </row>
    <row r="52" spans="1:14" x14ac:dyDescent="0.25">
      <c r="A52">
        <v>51</v>
      </c>
      <c r="B52" s="1">
        <v>43992</v>
      </c>
      <c r="C52">
        <v>9993785470</v>
      </c>
      <c r="D52" t="s">
        <v>54</v>
      </c>
      <c r="E52" t="s">
        <v>89</v>
      </c>
      <c r="F52" t="s">
        <v>84</v>
      </c>
      <c r="G52" t="s">
        <v>55</v>
      </c>
      <c r="H52" t="s">
        <v>16</v>
      </c>
      <c r="I52" t="s">
        <v>9</v>
      </c>
      <c r="J52" t="s">
        <v>56</v>
      </c>
      <c r="K52" t="s">
        <v>57</v>
      </c>
      <c r="L52" s="2">
        <v>273</v>
      </c>
      <c r="M52" s="2">
        <v>55</v>
      </c>
      <c r="N52" s="2">
        <f>normalizar!$L52*normalizar!$M52</f>
        <v>15015</v>
      </c>
    </row>
    <row r="53" spans="1:14" x14ac:dyDescent="0.25">
      <c r="A53">
        <v>52</v>
      </c>
      <c r="B53" s="1">
        <v>44107</v>
      </c>
      <c r="C53">
        <v>2344903076</v>
      </c>
      <c r="D53" t="s">
        <v>54</v>
      </c>
      <c r="E53" t="s">
        <v>89</v>
      </c>
      <c r="F53" t="s">
        <v>84</v>
      </c>
      <c r="G53" t="s">
        <v>55</v>
      </c>
      <c r="H53" t="s">
        <v>16</v>
      </c>
      <c r="I53" t="s">
        <v>9</v>
      </c>
      <c r="J53" t="s">
        <v>58</v>
      </c>
      <c r="K53" t="s">
        <v>59</v>
      </c>
      <c r="L53" s="2">
        <v>487.19999999999993</v>
      </c>
      <c r="M53" s="2">
        <v>11</v>
      </c>
      <c r="N53" s="2">
        <f>normalizar!$L53*normalizar!$M53</f>
        <v>5359.1999999999989</v>
      </c>
    </row>
    <row r="54" spans="1:14" x14ac:dyDescent="0.25">
      <c r="A54">
        <v>53</v>
      </c>
      <c r="B54" s="1">
        <v>44123</v>
      </c>
      <c r="C54">
        <v>5773601950</v>
      </c>
      <c r="D54" t="s">
        <v>36</v>
      </c>
      <c r="E54" t="s">
        <v>92</v>
      </c>
      <c r="F54" t="s">
        <v>99</v>
      </c>
      <c r="G54" t="s">
        <v>37</v>
      </c>
      <c r="H54" t="s">
        <v>8</v>
      </c>
      <c r="I54" t="s">
        <v>17</v>
      </c>
      <c r="J54" t="s">
        <v>10</v>
      </c>
      <c r="K54" t="s">
        <v>11</v>
      </c>
      <c r="L54" s="2">
        <v>196</v>
      </c>
      <c r="M54" s="2">
        <v>53</v>
      </c>
      <c r="N54" s="2">
        <f>normalizar!$L54*normalizar!$M54</f>
        <v>10388</v>
      </c>
    </row>
    <row r="55" spans="1:14" x14ac:dyDescent="0.25">
      <c r="A55">
        <v>54</v>
      </c>
      <c r="B55" s="1">
        <v>44088</v>
      </c>
      <c r="C55">
        <v>4818078168</v>
      </c>
      <c r="D55" t="s">
        <v>23</v>
      </c>
      <c r="E55" t="s">
        <v>86</v>
      </c>
      <c r="F55" t="s">
        <v>82</v>
      </c>
      <c r="G55" t="s">
        <v>24</v>
      </c>
      <c r="H55" t="s">
        <v>8</v>
      </c>
      <c r="I55" t="s">
        <v>9</v>
      </c>
      <c r="J55" t="s">
        <v>38</v>
      </c>
      <c r="K55" t="s">
        <v>39</v>
      </c>
      <c r="L55" s="2">
        <v>560</v>
      </c>
      <c r="M55" s="2">
        <v>85</v>
      </c>
      <c r="N55" s="2">
        <f>normalizar!$L55*normalizar!$M55</f>
        <v>47600</v>
      </c>
    </row>
    <row r="56" spans="1:14" x14ac:dyDescent="0.25">
      <c r="A56">
        <v>55</v>
      </c>
      <c r="B56" s="1">
        <v>44178</v>
      </c>
      <c r="C56">
        <v>9107195581</v>
      </c>
      <c r="D56" t="s">
        <v>23</v>
      </c>
      <c r="E56" t="s">
        <v>86</v>
      </c>
      <c r="F56" t="s">
        <v>82</v>
      </c>
      <c r="G56" t="s">
        <v>24</v>
      </c>
      <c r="H56" t="s">
        <v>8</v>
      </c>
      <c r="I56" t="s">
        <v>9</v>
      </c>
      <c r="J56" t="s">
        <v>26</v>
      </c>
      <c r="K56" t="s">
        <v>27</v>
      </c>
      <c r="L56" s="2">
        <v>128.79999999999998</v>
      </c>
      <c r="M56" s="2">
        <v>97</v>
      </c>
      <c r="N56" s="2">
        <f>normalizar!$L56*normalizar!$M56</f>
        <v>12493.599999999999</v>
      </c>
    </row>
    <row r="57" spans="1:14" x14ac:dyDescent="0.25">
      <c r="A57">
        <v>56</v>
      </c>
      <c r="B57" s="1">
        <v>43964</v>
      </c>
      <c r="C57">
        <v>5806733138</v>
      </c>
      <c r="D57" t="s">
        <v>62</v>
      </c>
      <c r="E57" t="s">
        <v>91</v>
      </c>
      <c r="F57" t="s">
        <v>91</v>
      </c>
      <c r="G57" t="s">
        <v>43</v>
      </c>
      <c r="H57" t="s">
        <v>16</v>
      </c>
      <c r="I57" t="s">
        <v>33</v>
      </c>
      <c r="J57" t="s">
        <v>67</v>
      </c>
      <c r="K57" t="s">
        <v>27</v>
      </c>
      <c r="L57" s="2">
        <v>140</v>
      </c>
      <c r="M57" s="2">
        <v>46</v>
      </c>
      <c r="N57" s="2">
        <f>normalizar!$L57*normalizar!$M57</f>
        <v>6440</v>
      </c>
    </row>
    <row r="58" spans="1:14" x14ac:dyDescent="0.25">
      <c r="A58">
        <v>57</v>
      </c>
      <c r="B58" s="1">
        <v>43882</v>
      </c>
      <c r="C58">
        <v>3059258597</v>
      </c>
      <c r="D58" t="s">
        <v>63</v>
      </c>
      <c r="E58" t="s">
        <v>85</v>
      </c>
      <c r="F58" t="s">
        <v>83</v>
      </c>
      <c r="G58" t="s">
        <v>41</v>
      </c>
      <c r="H58" t="s">
        <v>25</v>
      </c>
      <c r="I58" t="s">
        <v>17</v>
      </c>
      <c r="J58" t="s">
        <v>68</v>
      </c>
      <c r="K58" t="s">
        <v>69</v>
      </c>
      <c r="L58" s="2">
        <v>298.90000000000003</v>
      </c>
      <c r="M58" s="2">
        <v>97</v>
      </c>
      <c r="N58" s="2">
        <f>normalizar!$L58*normalizar!$M58</f>
        <v>28993.300000000003</v>
      </c>
    </row>
    <row r="59" spans="1:14" x14ac:dyDescent="0.25">
      <c r="A59">
        <v>58</v>
      </c>
      <c r="B59" s="1">
        <v>44154</v>
      </c>
      <c r="C59">
        <v>586395005</v>
      </c>
      <c r="D59" t="s">
        <v>63</v>
      </c>
      <c r="E59" t="s">
        <v>85</v>
      </c>
      <c r="F59" t="s">
        <v>83</v>
      </c>
      <c r="G59" t="s">
        <v>41</v>
      </c>
      <c r="H59" t="s">
        <v>25</v>
      </c>
      <c r="I59" t="s">
        <v>17</v>
      </c>
      <c r="J59" t="s">
        <v>34</v>
      </c>
      <c r="K59" t="s">
        <v>35</v>
      </c>
      <c r="L59" s="2">
        <v>135.1</v>
      </c>
      <c r="M59" s="2">
        <v>97</v>
      </c>
      <c r="N59" s="2">
        <f>normalizar!$L59*normalizar!$M59</f>
        <v>13104.699999999999</v>
      </c>
    </row>
    <row r="60" spans="1:14" x14ac:dyDescent="0.25">
      <c r="A60">
        <v>59</v>
      </c>
      <c r="B60" s="1">
        <v>44075</v>
      </c>
      <c r="C60">
        <v>9281389647</v>
      </c>
      <c r="D60" t="s">
        <v>63</v>
      </c>
      <c r="E60" t="s">
        <v>85</v>
      </c>
      <c r="F60" t="s">
        <v>83</v>
      </c>
      <c r="G60" t="s">
        <v>41</v>
      </c>
      <c r="H60" t="s">
        <v>25</v>
      </c>
      <c r="I60" t="s">
        <v>17</v>
      </c>
      <c r="J60" t="s">
        <v>52</v>
      </c>
      <c r="K60" t="s">
        <v>53</v>
      </c>
      <c r="L60" s="2">
        <v>257.59999999999997</v>
      </c>
      <c r="M60" s="2">
        <v>65</v>
      </c>
      <c r="N60" s="2">
        <f>normalizar!$L60*normalizar!$M60</f>
        <v>16743.999999999996</v>
      </c>
    </row>
    <row r="61" spans="1:14" x14ac:dyDescent="0.25">
      <c r="A61">
        <v>60</v>
      </c>
      <c r="B61" s="1">
        <v>44171</v>
      </c>
      <c r="C61">
        <v>2230409971</v>
      </c>
      <c r="D61" t="s">
        <v>28</v>
      </c>
      <c r="E61" t="s">
        <v>89</v>
      </c>
      <c r="F61" t="s">
        <v>84</v>
      </c>
      <c r="G61" t="s">
        <v>29</v>
      </c>
      <c r="H61" t="s">
        <v>8</v>
      </c>
      <c r="I61" t="s">
        <v>9</v>
      </c>
      <c r="J61" t="s">
        <v>10</v>
      </c>
      <c r="K61" t="s">
        <v>11</v>
      </c>
      <c r="L61" s="2">
        <v>196</v>
      </c>
      <c r="M61" s="2">
        <v>72</v>
      </c>
      <c r="N61" s="2">
        <f>normalizar!$L61*normalizar!$M61</f>
        <v>14112</v>
      </c>
    </row>
    <row r="62" spans="1:14" x14ac:dyDescent="0.25">
      <c r="A62">
        <v>61</v>
      </c>
      <c r="B62" s="1">
        <v>43982</v>
      </c>
      <c r="C62">
        <v>498762200</v>
      </c>
      <c r="D62" t="s">
        <v>36</v>
      </c>
      <c r="E62" t="s">
        <v>92</v>
      </c>
      <c r="F62" t="s">
        <v>99</v>
      </c>
      <c r="G62" t="s">
        <v>37</v>
      </c>
      <c r="H62" t="s">
        <v>25</v>
      </c>
      <c r="I62" t="s">
        <v>9</v>
      </c>
      <c r="J62" t="s">
        <v>30</v>
      </c>
      <c r="K62" t="s">
        <v>31</v>
      </c>
      <c r="L62" s="2">
        <v>178.5</v>
      </c>
      <c r="M62" s="2">
        <v>16</v>
      </c>
      <c r="N62" s="2">
        <f>normalizar!$L62*normalizar!$M62</f>
        <v>2856</v>
      </c>
    </row>
    <row r="63" spans="1:14" x14ac:dyDescent="0.25">
      <c r="A63">
        <v>62</v>
      </c>
      <c r="B63" s="1">
        <v>43855</v>
      </c>
      <c r="C63">
        <v>5059332572</v>
      </c>
      <c r="D63" t="s">
        <v>14</v>
      </c>
      <c r="E63" t="s">
        <v>81</v>
      </c>
      <c r="F63" t="s">
        <v>94</v>
      </c>
      <c r="G63" t="s">
        <v>15</v>
      </c>
      <c r="H63" t="s">
        <v>16</v>
      </c>
      <c r="I63" t="s">
        <v>17</v>
      </c>
      <c r="J63" t="s">
        <v>70</v>
      </c>
      <c r="K63" t="s">
        <v>47</v>
      </c>
      <c r="L63" s="2">
        <v>1134</v>
      </c>
      <c r="M63" s="2">
        <v>77</v>
      </c>
      <c r="N63" s="2">
        <f>normalizar!$L63*normalizar!$M63</f>
        <v>87318</v>
      </c>
    </row>
    <row r="64" spans="1:14" x14ac:dyDescent="0.25">
      <c r="A64">
        <v>63</v>
      </c>
      <c r="B64" s="1">
        <v>44034</v>
      </c>
      <c r="C64">
        <v>807667000</v>
      </c>
      <c r="D64" t="s">
        <v>14</v>
      </c>
      <c r="E64" t="s">
        <v>81</v>
      </c>
      <c r="F64" t="s">
        <v>94</v>
      </c>
      <c r="G64" t="s">
        <v>15</v>
      </c>
      <c r="H64" t="s">
        <v>16</v>
      </c>
      <c r="I64" t="s">
        <v>17</v>
      </c>
      <c r="J64" t="s">
        <v>71</v>
      </c>
      <c r="K64" t="s">
        <v>72</v>
      </c>
      <c r="L64" s="2">
        <v>98</v>
      </c>
      <c r="M64" s="2">
        <v>37</v>
      </c>
      <c r="N64" s="2">
        <f>normalizar!$L64*normalizar!$M64</f>
        <v>3626</v>
      </c>
    </row>
    <row r="65" spans="1:14" x14ac:dyDescent="0.25">
      <c r="A65">
        <v>64</v>
      </c>
      <c r="B65" s="1">
        <v>44117</v>
      </c>
      <c r="C65">
        <v>4320869422</v>
      </c>
      <c r="D65" t="s">
        <v>23</v>
      </c>
      <c r="E65" t="s">
        <v>86</v>
      </c>
      <c r="F65" t="s">
        <v>82</v>
      </c>
      <c r="G65" t="s">
        <v>24</v>
      </c>
      <c r="H65" t="s">
        <v>25</v>
      </c>
      <c r="I65" t="s">
        <v>17</v>
      </c>
      <c r="J65" t="s">
        <v>58</v>
      </c>
      <c r="K65" t="s">
        <v>59</v>
      </c>
      <c r="L65" s="2">
        <v>487.19999999999993</v>
      </c>
      <c r="M65" s="2">
        <v>63</v>
      </c>
      <c r="N65" s="2">
        <f>normalizar!$L65*normalizar!$M65</f>
        <v>30693.599999999995</v>
      </c>
    </row>
    <row r="66" spans="1:14" x14ac:dyDescent="0.25">
      <c r="A66">
        <v>65</v>
      </c>
      <c r="B66" s="1">
        <v>44174</v>
      </c>
      <c r="C66">
        <v>7227542762</v>
      </c>
      <c r="D66" t="s">
        <v>32</v>
      </c>
      <c r="E66" t="s">
        <v>93</v>
      </c>
      <c r="F66" t="s">
        <v>96</v>
      </c>
      <c r="G66" t="s">
        <v>7</v>
      </c>
      <c r="H66" t="s">
        <v>8</v>
      </c>
      <c r="I66" t="s">
        <v>33</v>
      </c>
      <c r="J66" t="s">
        <v>60</v>
      </c>
      <c r="K66" t="s">
        <v>49</v>
      </c>
      <c r="L66" s="2">
        <v>140</v>
      </c>
      <c r="M66" s="2">
        <v>48</v>
      </c>
      <c r="N66" s="2">
        <f>normalizar!$L66*normalizar!$M66</f>
        <v>6720</v>
      </c>
    </row>
    <row r="67" spans="1:14" x14ac:dyDescent="0.25">
      <c r="A67">
        <v>66</v>
      </c>
      <c r="B67" s="1">
        <v>43890</v>
      </c>
      <c r="C67">
        <v>4844854212</v>
      </c>
      <c r="D67" t="s">
        <v>32</v>
      </c>
      <c r="E67" t="s">
        <v>93</v>
      </c>
      <c r="F67" t="s">
        <v>96</v>
      </c>
      <c r="G67" t="s">
        <v>7</v>
      </c>
      <c r="H67" t="s">
        <v>8</v>
      </c>
      <c r="I67" t="s">
        <v>33</v>
      </c>
      <c r="J67" t="s">
        <v>38</v>
      </c>
      <c r="K67" t="s">
        <v>39</v>
      </c>
      <c r="L67" s="2">
        <v>560</v>
      </c>
      <c r="M67" s="2">
        <v>71</v>
      </c>
      <c r="N67" s="2">
        <f>normalizar!$L67*normalizar!$M67</f>
        <v>39760</v>
      </c>
    </row>
    <row r="68" spans="1:14" x14ac:dyDescent="0.25">
      <c r="A68">
        <v>67</v>
      </c>
      <c r="B68" s="1">
        <v>43945</v>
      </c>
      <c r="C68">
        <v>6476704094</v>
      </c>
      <c r="D68" t="s">
        <v>42</v>
      </c>
      <c r="E68" t="s">
        <v>91</v>
      </c>
      <c r="F68" t="s">
        <v>91</v>
      </c>
      <c r="G68" t="s">
        <v>43</v>
      </c>
      <c r="H68" t="s">
        <v>8</v>
      </c>
      <c r="I68" t="s">
        <v>17</v>
      </c>
      <c r="J68" t="s">
        <v>61</v>
      </c>
      <c r="K68" t="s">
        <v>13</v>
      </c>
      <c r="L68" s="2">
        <v>140</v>
      </c>
      <c r="M68" s="2">
        <v>55</v>
      </c>
      <c r="N68" s="2">
        <f>normalizar!$L68*normalizar!$M68</f>
        <v>7700</v>
      </c>
    </row>
    <row r="69" spans="1:14" x14ac:dyDescent="0.25">
      <c r="A69">
        <v>68</v>
      </c>
      <c r="B69" s="1">
        <v>44052</v>
      </c>
      <c r="C69">
        <v>289513623</v>
      </c>
      <c r="D69" t="s">
        <v>42</v>
      </c>
      <c r="E69" t="s">
        <v>91</v>
      </c>
      <c r="F69" t="s">
        <v>91</v>
      </c>
      <c r="G69" t="s">
        <v>43</v>
      </c>
      <c r="H69" t="s">
        <v>16</v>
      </c>
      <c r="I69" t="s">
        <v>127</v>
      </c>
      <c r="J69" t="s">
        <v>12</v>
      </c>
      <c r="K69" t="s">
        <v>13</v>
      </c>
      <c r="L69" s="2">
        <v>49</v>
      </c>
      <c r="M69" s="2">
        <v>21</v>
      </c>
      <c r="N69" s="2">
        <f>normalizar!$L69*normalizar!$M69</f>
        <v>1029</v>
      </c>
    </row>
    <row r="70" spans="1:14" x14ac:dyDescent="0.25">
      <c r="A70">
        <v>69</v>
      </c>
      <c r="B70" s="1">
        <v>44115</v>
      </c>
      <c r="C70">
        <v>4360909288</v>
      </c>
      <c r="D70" t="s">
        <v>50</v>
      </c>
      <c r="E70" t="s">
        <v>85</v>
      </c>
      <c r="F70" t="s">
        <v>83</v>
      </c>
      <c r="G70" t="s">
        <v>41</v>
      </c>
      <c r="H70" t="s">
        <v>25</v>
      </c>
      <c r="I70" t="s">
        <v>127</v>
      </c>
      <c r="J70" t="s">
        <v>38</v>
      </c>
      <c r="K70" t="s">
        <v>39</v>
      </c>
      <c r="L70" s="2">
        <v>560</v>
      </c>
      <c r="M70" s="2">
        <v>67</v>
      </c>
      <c r="N70" s="2">
        <f>normalizar!$L70*normalizar!$M70</f>
        <v>37520</v>
      </c>
    </row>
    <row r="71" spans="1:14" x14ac:dyDescent="0.25">
      <c r="A71">
        <v>70</v>
      </c>
      <c r="B71" s="1">
        <v>43966</v>
      </c>
      <c r="C71">
        <v>1569352924</v>
      </c>
      <c r="D71" t="s">
        <v>51</v>
      </c>
      <c r="E71" t="s">
        <v>90</v>
      </c>
      <c r="F71" t="s">
        <v>98</v>
      </c>
      <c r="G71" t="s">
        <v>24</v>
      </c>
      <c r="H71" t="s">
        <v>25</v>
      </c>
      <c r="I71" t="s">
        <v>127</v>
      </c>
      <c r="J71" t="s">
        <v>52</v>
      </c>
      <c r="K71" t="s">
        <v>53</v>
      </c>
      <c r="L71" s="2">
        <v>257.59999999999997</v>
      </c>
      <c r="M71" s="2">
        <v>75</v>
      </c>
      <c r="N71" s="2">
        <f>normalizar!$L71*normalizar!$M71</f>
        <v>19319.999999999996</v>
      </c>
    </row>
    <row r="72" spans="1:14" x14ac:dyDescent="0.25">
      <c r="A72">
        <v>71</v>
      </c>
      <c r="B72" s="1">
        <v>43962</v>
      </c>
      <c r="C72">
        <v>4417023777</v>
      </c>
      <c r="D72" t="s">
        <v>40</v>
      </c>
      <c r="E72" t="s">
        <v>97</v>
      </c>
      <c r="F72" t="s">
        <v>88</v>
      </c>
      <c r="G72" t="s">
        <v>41</v>
      </c>
      <c r="H72" t="s">
        <v>25</v>
      </c>
      <c r="I72" t="s">
        <v>17</v>
      </c>
      <c r="J72" t="s">
        <v>22</v>
      </c>
      <c r="K72" t="s">
        <v>11</v>
      </c>
      <c r="L72" s="2">
        <v>644</v>
      </c>
      <c r="M72" s="2">
        <v>17</v>
      </c>
      <c r="N72" s="2">
        <f>normalizar!$L72*normalizar!$M72</f>
        <v>10948</v>
      </c>
    </row>
    <row r="73" spans="1:14" x14ac:dyDescent="0.25">
      <c r="A73">
        <v>72</v>
      </c>
      <c r="B73" s="1">
        <v>43845</v>
      </c>
      <c r="C73">
        <v>5213348963</v>
      </c>
      <c r="D73" t="s">
        <v>14</v>
      </c>
      <c r="E73" t="s">
        <v>81</v>
      </c>
      <c r="F73" t="s">
        <v>94</v>
      </c>
      <c r="G73" t="s">
        <v>15</v>
      </c>
      <c r="H73" t="s">
        <v>16</v>
      </c>
      <c r="I73" t="s">
        <v>17</v>
      </c>
      <c r="J73" t="s">
        <v>12</v>
      </c>
      <c r="K73" t="s">
        <v>13</v>
      </c>
      <c r="L73" s="2">
        <v>49</v>
      </c>
      <c r="M73" s="2">
        <v>48</v>
      </c>
      <c r="N73" s="2">
        <f>normalizar!$L73*normalizar!$M73</f>
        <v>2352</v>
      </c>
    </row>
    <row r="74" spans="1:14" x14ac:dyDescent="0.25">
      <c r="A74">
        <v>73</v>
      </c>
      <c r="B74" s="1">
        <v>44010</v>
      </c>
      <c r="C74">
        <v>6039525395</v>
      </c>
      <c r="D74" t="s">
        <v>20</v>
      </c>
      <c r="E74" t="s">
        <v>80</v>
      </c>
      <c r="F74" t="s">
        <v>95</v>
      </c>
      <c r="G74" t="s">
        <v>7</v>
      </c>
      <c r="H74" t="s">
        <v>8</v>
      </c>
      <c r="I74" t="s">
        <v>17</v>
      </c>
      <c r="J74" t="s">
        <v>21</v>
      </c>
      <c r="K74" t="s">
        <v>11</v>
      </c>
      <c r="L74" s="2">
        <v>252</v>
      </c>
      <c r="M74" s="2">
        <v>74</v>
      </c>
      <c r="N74" s="2">
        <f>normalizar!$L74*normalizar!$M74</f>
        <v>18648</v>
      </c>
    </row>
    <row r="75" spans="1:14" x14ac:dyDescent="0.25">
      <c r="A75">
        <v>74</v>
      </c>
      <c r="B75" s="1">
        <v>44123</v>
      </c>
      <c r="C75">
        <v>7564866770</v>
      </c>
      <c r="D75" t="s">
        <v>20</v>
      </c>
      <c r="E75" t="s">
        <v>80</v>
      </c>
      <c r="F75" t="s">
        <v>95</v>
      </c>
      <c r="G75" t="s">
        <v>7</v>
      </c>
      <c r="H75" t="s">
        <v>8</v>
      </c>
      <c r="I75" t="s">
        <v>17</v>
      </c>
      <c r="J75" t="s">
        <v>22</v>
      </c>
      <c r="K75" t="s">
        <v>11</v>
      </c>
      <c r="L75" s="2">
        <v>644</v>
      </c>
      <c r="M75" s="2">
        <v>96</v>
      </c>
      <c r="N75" s="2">
        <f>normalizar!$L75*normalizar!$M75</f>
        <v>61824</v>
      </c>
    </row>
    <row r="76" spans="1:14" x14ac:dyDescent="0.25">
      <c r="A76">
        <v>75</v>
      </c>
      <c r="B76" s="1">
        <v>43976</v>
      </c>
      <c r="C76">
        <v>9161740728</v>
      </c>
      <c r="D76" t="s">
        <v>23</v>
      </c>
      <c r="E76" t="s">
        <v>86</v>
      </c>
      <c r="F76" t="s">
        <v>82</v>
      </c>
      <c r="G76" t="s">
        <v>24</v>
      </c>
      <c r="H76" t="s">
        <v>25</v>
      </c>
      <c r="I76" t="s">
        <v>17</v>
      </c>
      <c r="J76" t="s">
        <v>26</v>
      </c>
      <c r="K76" t="s">
        <v>27</v>
      </c>
      <c r="L76" s="2">
        <v>128.79999999999998</v>
      </c>
      <c r="M76" s="2">
        <v>12</v>
      </c>
      <c r="N76" s="2">
        <f>normalizar!$L76*normalizar!$M76</f>
        <v>1545.6</v>
      </c>
    </row>
    <row r="77" spans="1:14" x14ac:dyDescent="0.25">
      <c r="A77">
        <v>76</v>
      </c>
      <c r="B77" s="1">
        <v>43939</v>
      </c>
      <c r="C77">
        <v>5854661633</v>
      </c>
      <c r="D77" t="s">
        <v>14</v>
      </c>
      <c r="E77" t="s">
        <v>81</v>
      </c>
      <c r="F77" t="s">
        <v>94</v>
      </c>
      <c r="G77" t="s">
        <v>15</v>
      </c>
      <c r="H77" t="s">
        <v>25</v>
      </c>
      <c r="I77" t="s">
        <v>9</v>
      </c>
      <c r="J77" t="s">
        <v>26</v>
      </c>
      <c r="K77" t="s">
        <v>27</v>
      </c>
      <c r="L77" s="2">
        <v>128.79999999999998</v>
      </c>
      <c r="M77" s="2">
        <v>62</v>
      </c>
      <c r="N77" s="2">
        <f>normalizar!$L77*normalizar!$M77</f>
        <v>7985.5999999999985</v>
      </c>
    </row>
    <row r="78" spans="1:14" x14ac:dyDescent="0.25">
      <c r="A78">
        <v>77</v>
      </c>
      <c r="B78" s="1">
        <v>43995</v>
      </c>
      <c r="C78">
        <v>9782824487</v>
      </c>
      <c r="D78" t="s">
        <v>28</v>
      </c>
      <c r="E78" t="s">
        <v>89</v>
      </c>
      <c r="F78" t="s">
        <v>84</v>
      </c>
      <c r="G78" t="s">
        <v>29</v>
      </c>
      <c r="H78" t="s">
        <v>8</v>
      </c>
      <c r="I78" t="s">
        <v>9</v>
      </c>
      <c r="J78" t="s">
        <v>30</v>
      </c>
      <c r="K78" t="s">
        <v>31</v>
      </c>
      <c r="L78" s="2">
        <v>178.5</v>
      </c>
      <c r="M78" s="2">
        <v>35</v>
      </c>
      <c r="N78" s="2">
        <f>normalizar!$L78*normalizar!$M78</f>
        <v>6247.5</v>
      </c>
    </row>
    <row r="79" spans="1:14" x14ac:dyDescent="0.25">
      <c r="A79">
        <v>78</v>
      </c>
      <c r="B79" s="1">
        <v>43888</v>
      </c>
      <c r="C79">
        <v>5368581132</v>
      </c>
      <c r="D79" t="s">
        <v>32</v>
      </c>
      <c r="E79" t="s">
        <v>93</v>
      </c>
      <c r="F79" t="s">
        <v>96</v>
      </c>
      <c r="G79" t="s">
        <v>7</v>
      </c>
      <c r="H79" t="s">
        <v>8</v>
      </c>
      <c r="I79" t="s">
        <v>33</v>
      </c>
      <c r="J79" t="s">
        <v>34</v>
      </c>
      <c r="K79" t="s">
        <v>35</v>
      </c>
      <c r="L79" s="2">
        <v>135.1</v>
      </c>
      <c r="M79" s="2">
        <v>95</v>
      </c>
      <c r="N79" s="2">
        <f>normalizar!$L79*normalizar!$M79</f>
        <v>12834.5</v>
      </c>
    </row>
    <row r="80" spans="1:14" x14ac:dyDescent="0.25">
      <c r="A80">
        <v>79</v>
      </c>
      <c r="B80" s="1">
        <v>43991</v>
      </c>
      <c r="C80">
        <v>1972466220</v>
      </c>
      <c r="D80" t="s">
        <v>36</v>
      </c>
      <c r="E80" t="s">
        <v>92</v>
      </c>
      <c r="F80" t="s">
        <v>99</v>
      </c>
      <c r="G80" t="s">
        <v>37</v>
      </c>
      <c r="H80" t="s">
        <v>8</v>
      </c>
      <c r="I80" t="s">
        <v>17</v>
      </c>
      <c r="J80" t="s">
        <v>38</v>
      </c>
      <c r="K80" t="s">
        <v>39</v>
      </c>
      <c r="L80" s="2">
        <v>560</v>
      </c>
      <c r="M80" s="2">
        <v>17</v>
      </c>
      <c r="N80" s="2">
        <f>normalizar!$L80*normalizar!$M80</f>
        <v>9520</v>
      </c>
    </row>
    <row r="81" spans="1:14" x14ac:dyDescent="0.25">
      <c r="A81">
        <v>80</v>
      </c>
      <c r="B81" s="1">
        <v>44149</v>
      </c>
      <c r="C81">
        <v>6835780904</v>
      </c>
      <c r="D81" t="s">
        <v>40</v>
      </c>
      <c r="E81" t="s">
        <v>97</v>
      </c>
      <c r="F81" t="s">
        <v>88</v>
      </c>
      <c r="G81" t="s">
        <v>41</v>
      </c>
      <c r="H81" t="s">
        <v>25</v>
      </c>
      <c r="I81" t="s">
        <v>9</v>
      </c>
      <c r="J81" t="s">
        <v>22</v>
      </c>
      <c r="K81" t="s">
        <v>11</v>
      </c>
      <c r="L81" s="2">
        <v>644</v>
      </c>
      <c r="M81" s="2">
        <v>96</v>
      </c>
      <c r="N81" s="2">
        <f>normalizar!$L81*normalizar!$M81</f>
        <v>61824</v>
      </c>
    </row>
    <row r="82" spans="1:14" x14ac:dyDescent="0.25">
      <c r="A82">
        <v>81</v>
      </c>
      <c r="B82" s="1">
        <v>44029</v>
      </c>
      <c r="C82">
        <v>9361876990</v>
      </c>
      <c r="D82" t="s">
        <v>23</v>
      </c>
      <c r="E82" t="s">
        <v>86</v>
      </c>
      <c r="F82" t="s">
        <v>82</v>
      </c>
      <c r="G82" t="s">
        <v>24</v>
      </c>
      <c r="H82" t="s">
        <v>25</v>
      </c>
      <c r="I82" t="s">
        <v>9</v>
      </c>
      <c r="J82" t="s">
        <v>30</v>
      </c>
      <c r="K82" t="s">
        <v>31</v>
      </c>
      <c r="L82" s="2">
        <v>178.5</v>
      </c>
      <c r="M82" s="2">
        <v>83</v>
      </c>
      <c r="N82" s="2">
        <f>normalizar!$L82*normalizar!$M82</f>
        <v>14815.5</v>
      </c>
    </row>
    <row r="83" spans="1:14" x14ac:dyDescent="0.25">
      <c r="A83">
        <v>82</v>
      </c>
      <c r="B83" s="1">
        <v>43831</v>
      </c>
      <c r="C83">
        <v>7655628230</v>
      </c>
      <c r="D83" t="s">
        <v>42</v>
      </c>
      <c r="E83" t="s">
        <v>91</v>
      </c>
      <c r="F83" t="s">
        <v>91</v>
      </c>
      <c r="G83" t="s">
        <v>43</v>
      </c>
      <c r="H83" t="s">
        <v>8</v>
      </c>
      <c r="I83" t="s">
        <v>17</v>
      </c>
      <c r="J83" t="s">
        <v>44</v>
      </c>
      <c r="K83" t="s">
        <v>11</v>
      </c>
      <c r="L83" s="2">
        <v>41.86</v>
      </c>
      <c r="M83" s="2">
        <v>88</v>
      </c>
      <c r="N83" s="2">
        <f>normalizar!$L83*normalizar!$M83</f>
        <v>3683.68</v>
      </c>
    </row>
    <row r="84" spans="1:14" x14ac:dyDescent="0.25">
      <c r="A84">
        <v>83</v>
      </c>
      <c r="B84" s="1">
        <v>43952</v>
      </c>
      <c r="C84">
        <v>6770397729</v>
      </c>
      <c r="D84" t="s">
        <v>45</v>
      </c>
      <c r="E84" t="s">
        <v>87</v>
      </c>
      <c r="F84" t="s">
        <v>87</v>
      </c>
      <c r="G84" t="s">
        <v>24</v>
      </c>
      <c r="H84" t="s">
        <v>127</v>
      </c>
      <c r="I84" t="s">
        <v>127</v>
      </c>
      <c r="J84" t="s">
        <v>22</v>
      </c>
      <c r="K84" t="s">
        <v>11</v>
      </c>
      <c r="L84" s="2">
        <v>644</v>
      </c>
      <c r="M84" s="2">
        <v>59</v>
      </c>
      <c r="N84" s="2">
        <f>normalizar!$L84*normalizar!$M84</f>
        <v>37996</v>
      </c>
    </row>
    <row r="85" spans="1:14" x14ac:dyDescent="0.25">
      <c r="A85">
        <v>84</v>
      </c>
      <c r="B85" s="1">
        <v>44099</v>
      </c>
      <c r="C85">
        <v>6622149015</v>
      </c>
      <c r="D85" t="s">
        <v>42</v>
      </c>
      <c r="E85" t="s">
        <v>91</v>
      </c>
      <c r="F85" t="s">
        <v>91</v>
      </c>
      <c r="G85" t="s">
        <v>43</v>
      </c>
      <c r="H85" t="s">
        <v>16</v>
      </c>
      <c r="I85" t="s">
        <v>127</v>
      </c>
      <c r="J85" t="s">
        <v>46</v>
      </c>
      <c r="K85" t="s">
        <v>47</v>
      </c>
      <c r="L85" s="2">
        <v>350</v>
      </c>
      <c r="M85" s="2">
        <v>27</v>
      </c>
      <c r="N85" s="2">
        <f>normalizar!$L85*normalizar!$M85</f>
        <v>9450</v>
      </c>
    </row>
    <row r="86" spans="1:14" x14ac:dyDescent="0.25">
      <c r="A86">
        <v>85</v>
      </c>
      <c r="B86" s="1">
        <v>44071</v>
      </c>
      <c r="C86">
        <v>8859429908</v>
      </c>
      <c r="D86" t="s">
        <v>42</v>
      </c>
      <c r="E86" t="s">
        <v>91</v>
      </c>
      <c r="F86" t="s">
        <v>91</v>
      </c>
      <c r="G86" t="s">
        <v>43</v>
      </c>
      <c r="H86" t="s">
        <v>16</v>
      </c>
      <c r="I86" t="s">
        <v>127</v>
      </c>
      <c r="J86" t="s">
        <v>48</v>
      </c>
      <c r="K86" t="s">
        <v>49</v>
      </c>
      <c r="L86" s="2">
        <v>308</v>
      </c>
      <c r="M86" s="2">
        <v>37</v>
      </c>
      <c r="N86" s="2">
        <f>normalizar!$L86*normalizar!$M86</f>
        <v>11396</v>
      </c>
    </row>
    <row r="87" spans="1:14" x14ac:dyDescent="0.25">
      <c r="A87">
        <v>86</v>
      </c>
      <c r="B87" s="1">
        <v>44104</v>
      </c>
      <c r="C87">
        <v>146252536</v>
      </c>
      <c r="D87" t="s">
        <v>42</v>
      </c>
      <c r="E87" t="s">
        <v>91</v>
      </c>
      <c r="F87" t="s">
        <v>91</v>
      </c>
      <c r="G87" t="s">
        <v>43</v>
      </c>
      <c r="H87" t="s">
        <v>16</v>
      </c>
      <c r="I87" t="s">
        <v>127</v>
      </c>
      <c r="J87" t="s">
        <v>26</v>
      </c>
      <c r="K87" t="s">
        <v>27</v>
      </c>
      <c r="L87" s="2">
        <v>128.79999999999998</v>
      </c>
      <c r="M87" s="2">
        <v>75</v>
      </c>
      <c r="N87" s="2">
        <f>normalizar!$L87*normalizar!$M87</f>
        <v>9659.9999999999982</v>
      </c>
    </row>
    <row r="88" spans="1:14" x14ac:dyDescent="0.25">
      <c r="A88">
        <v>87</v>
      </c>
      <c r="B88" s="1">
        <v>43866</v>
      </c>
      <c r="C88">
        <v>9010865731</v>
      </c>
      <c r="D88" t="s">
        <v>50</v>
      </c>
      <c r="E88" t="s">
        <v>85</v>
      </c>
      <c r="F88" t="s">
        <v>83</v>
      </c>
      <c r="G88" t="s">
        <v>41</v>
      </c>
      <c r="H88" t="s">
        <v>25</v>
      </c>
      <c r="I88" t="s">
        <v>127</v>
      </c>
      <c r="J88" t="s">
        <v>12</v>
      </c>
      <c r="K88" t="s">
        <v>13</v>
      </c>
      <c r="L88" s="2">
        <v>49</v>
      </c>
      <c r="M88" s="2">
        <v>71</v>
      </c>
      <c r="N88" s="2">
        <f>normalizar!$L88*normalizar!$M88</f>
        <v>3479</v>
      </c>
    </row>
    <row r="89" spans="1:14" x14ac:dyDescent="0.25">
      <c r="A89">
        <v>88</v>
      </c>
      <c r="B89" s="1">
        <v>44017</v>
      </c>
      <c r="C89">
        <v>9076170123</v>
      </c>
      <c r="D89" t="s">
        <v>50</v>
      </c>
      <c r="E89" t="s">
        <v>85</v>
      </c>
      <c r="F89" t="s">
        <v>83</v>
      </c>
      <c r="G89" t="s">
        <v>41</v>
      </c>
      <c r="H89" t="s">
        <v>25</v>
      </c>
      <c r="I89" t="s">
        <v>127</v>
      </c>
      <c r="J89" t="s">
        <v>44</v>
      </c>
      <c r="K89" t="s">
        <v>11</v>
      </c>
      <c r="L89" s="2">
        <v>41.86</v>
      </c>
      <c r="M89" s="2">
        <v>88</v>
      </c>
      <c r="N89" s="2">
        <f>normalizar!$L89*normalizar!$M89</f>
        <v>3683.68</v>
      </c>
    </row>
    <row r="90" spans="1:14" x14ac:dyDescent="0.25">
      <c r="A90">
        <v>89</v>
      </c>
      <c r="B90" s="1">
        <v>43924</v>
      </c>
      <c r="C90">
        <v>4412491838</v>
      </c>
      <c r="D90" t="s">
        <v>51</v>
      </c>
      <c r="E90" t="s">
        <v>90</v>
      </c>
      <c r="F90" t="s">
        <v>98</v>
      </c>
      <c r="G90" t="s">
        <v>24</v>
      </c>
      <c r="H90" t="s">
        <v>127</v>
      </c>
      <c r="I90" t="s">
        <v>127</v>
      </c>
      <c r="J90" t="s">
        <v>21</v>
      </c>
      <c r="K90" t="s">
        <v>11</v>
      </c>
      <c r="L90" s="2">
        <v>252</v>
      </c>
      <c r="M90" s="2">
        <v>55</v>
      </c>
      <c r="N90" s="2">
        <f>normalizar!$L90*normalizar!$M90</f>
        <v>13860</v>
      </c>
    </row>
    <row r="91" spans="1:14" x14ac:dyDescent="0.25">
      <c r="A91">
        <v>90</v>
      </c>
      <c r="B91" s="1">
        <v>43964</v>
      </c>
      <c r="C91">
        <v>7223227521</v>
      </c>
      <c r="D91" t="s">
        <v>28</v>
      </c>
      <c r="E91" t="s">
        <v>89</v>
      </c>
      <c r="F91" t="s">
        <v>84</v>
      </c>
      <c r="G91" t="s">
        <v>29</v>
      </c>
      <c r="H91" t="s">
        <v>8</v>
      </c>
      <c r="I91" t="s">
        <v>9</v>
      </c>
      <c r="J91" t="s">
        <v>30</v>
      </c>
      <c r="K91" t="s">
        <v>31</v>
      </c>
      <c r="L91" s="2">
        <v>178.5</v>
      </c>
      <c r="M91" s="2">
        <v>14</v>
      </c>
      <c r="N91" s="2">
        <f>normalizar!$L91*normalizar!$M91</f>
        <v>2499</v>
      </c>
    </row>
    <row r="92" spans="1:14" x14ac:dyDescent="0.25">
      <c r="A92">
        <v>91</v>
      </c>
      <c r="B92" s="1">
        <v>43994</v>
      </c>
      <c r="C92">
        <v>9595973394</v>
      </c>
      <c r="D92" t="s">
        <v>32</v>
      </c>
      <c r="E92" t="s">
        <v>93</v>
      </c>
      <c r="F92" t="s">
        <v>96</v>
      </c>
      <c r="G92" t="s">
        <v>7</v>
      </c>
      <c r="H92" t="s">
        <v>8</v>
      </c>
      <c r="I92" t="s">
        <v>33</v>
      </c>
      <c r="J92" t="s">
        <v>34</v>
      </c>
      <c r="K92" t="s">
        <v>35</v>
      </c>
      <c r="L92" s="2">
        <v>135.1</v>
      </c>
      <c r="M92" s="2">
        <v>43</v>
      </c>
      <c r="N92" s="2">
        <f>normalizar!$L92*normalizar!$M92</f>
        <v>5809.3</v>
      </c>
    </row>
    <row r="93" spans="1:14" x14ac:dyDescent="0.25">
      <c r="A93">
        <v>92</v>
      </c>
      <c r="B93" s="1">
        <v>43891</v>
      </c>
      <c r="C93">
        <v>2755531090</v>
      </c>
      <c r="D93" t="s">
        <v>36</v>
      </c>
      <c r="E93" t="s">
        <v>92</v>
      </c>
      <c r="F93" t="s">
        <v>99</v>
      </c>
      <c r="G93" t="s">
        <v>37</v>
      </c>
      <c r="H93" t="s">
        <v>8</v>
      </c>
      <c r="I93" t="s">
        <v>17</v>
      </c>
      <c r="J93" t="s">
        <v>38</v>
      </c>
      <c r="K93" t="s">
        <v>39</v>
      </c>
      <c r="L93" s="2">
        <v>560</v>
      </c>
      <c r="M93" s="2">
        <v>63</v>
      </c>
      <c r="N93" s="2">
        <f>normalizar!$L93*normalizar!$M93</f>
        <v>35280</v>
      </c>
    </row>
    <row r="94" spans="1:14" x14ac:dyDescent="0.25">
      <c r="A94">
        <v>93</v>
      </c>
      <c r="B94" s="1">
        <v>44069</v>
      </c>
      <c r="C94">
        <v>5306800000</v>
      </c>
      <c r="D94" t="s">
        <v>40</v>
      </c>
      <c r="E94" t="s">
        <v>97</v>
      </c>
      <c r="F94" t="s">
        <v>88</v>
      </c>
      <c r="G94" t="s">
        <v>41</v>
      </c>
      <c r="H94" t="s">
        <v>25</v>
      </c>
      <c r="I94" t="s">
        <v>9</v>
      </c>
      <c r="J94" t="s">
        <v>22</v>
      </c>
      <c r="K94" t="s">
        <v>11</v>
      </c>
      <c r="L94" s="2">
        <v>644</v>
      </c>
      <c r="M94" s="2">
        <v>36</v>
      </c>
      <c r="N94" s="2">
        <f>normalizar!$L94*normalizar!$M94</f>
        <v>23184</v>
      </c>
    </row>
    <row r="95" spans="1:14" x14ac:dyDescent="0.25">
      <c r="A95">
        <v>94</v>
      </c>
      <c r="B95" s="1">
        <v>44171</v>
      </c>
      <c r="C95">
        <v>6768826719</v>
      </c>
      <c r="D95" t="s">
        <v>23</v>
      </c>
      <c r="E95" t="s">
        <v>86</v>
      </c>
      <c r="F95" t="s">
        <v>82</v>
      </c>
      <c r="G95" t="s">
        <v>24</v>
      </c>
      <c r="H95" t="s">
        <v>25</v>
      </c>
      <c r="I95" t="s">
        <v>9</v>
      </c>
      <c r="J95" t="s">
        <v>30</v>
      </c>
      <c r="K95" t="s">
        <v>31</v>
      </c>
      <c r="L95" s="2">
        <v>178.5</v>
      </c>
      <c r="M95" s="2">
        <v>41</v>
      </c>
      <c r="N95" s="2">
        <f>normalizar!$L95*normalizar!$M95</f>
        <v>7318.5</v>
      </c>
    </row>
    <row r="96" spans="1:14" x14ac:dyDescent="0.25">
      <c r="A96">
        <v>95</v>
      </c>
      <c r="B96" s="1">
        <v>43923</v>
      </c>
      <c r="C96">
        <v>7945500000</v>
      </c>
      <c r="D96" t="s">
        <v>42</v>
      </c>
      <c r="E96" t="s">
        <v>91</v>
      </c>
      <c r="F96" t="s">
        <v>91</v>
      </c>
      <c r="G96" t="s">
        <v>43</v>
      </c>
      <c r="H96" t="s">
        <v>8</v>
      </c>
      <c r="I96" t="s">
        <v>17</v>
      </c>
      <c r="J96" t="s">
        <v>44</v>
      </c>
      <c r="K96" t="s">
        <v>11</v>
      </c>
      <c r="L96" s="2">
        <v>41.86</v>
      </c>
      <c r="M96" s="2">
        <v>35</v>
      </c>
      <c r="N96" s="2">
        <f>normalizar!$L96*normalizar!$M96</f>
        <v>1465.1</v>
      </c>
    </row>
    <row r="97" spans="1:14" x14ac:dyDescent="0.25">
      <c r="A97">
        <v>96</v>
      </c>
      <c r="B97" s="1">
        <v>43923</v>
      </c>
      <c r="C97">
        <v>4671327569</v>
      </c>
      <c r="D97" t="s">
        <v>45</v>
      </c>
      <c r="E97" t="s">
        <v>87</v>
      </c>
      <c r="F97" t="s">
        <v>87</v>
      </c>
      <c r="G97" t="s">
        <v>24</v>
      </c>
      <c r="H97" t="s">
        <v>127</v>
      </c>
      <c r="I97" t="s">
        <v>127</v>
      </c>
      <c r="J97" t="s">
        <v>22</v>
      </c>
      <c r="K97" t="s">
        <v>11</v>
      </c>
      <c r="L97" s="2">
        <v>644</v>
      </c>
      <c r="M97" s="2">
        <v>31</v>
      </c>
      <c r="N97" s="2">
        <f>normalizar!$L97*normalizar!$M97</f>
        <v>19964</v>
      </c>
    </row>
    <row r="98" spans="1:14" x14ac:dyDescent="0.25">
      <c r="A98">
        <v>97</v>
      </c>
      <c r="B98" s="1">
        <v>44100</v>
      </c>
      <c r="C98">
        <v>5750783013</v>
      </c>
      <c r="D98" t="s">
        <v>42</v>
      </c>
      <c r="E98" t="s">
        <v>91</v>
      </c>
      <c r="F98" t="s">
        <v>91</v>
      </c>
      <c r="G98" t="s">
        <v>43</v>
      </c>
      <c r="H98" t="s">
        <v>16</v>
      </c>
      <c r="I98" t="s">
        <v>127</v>
      </c>
      <c r="J98" t="s">
        <v>46</v>
      </c>
      <c r="K98" t="s">
        <v>47</v>
      </c>
      <c r="L98" s="2">
        <v>350</v>
      </c>
      <c r="M98" s="2">
        <v>52</v>
      </c>
      <c r="N98" s="2">
        <f>normalizar!$L98*normalizar!$M98</f>
        <v>18200</v>
      </c>
    </row>
    <row r="99" spans="1:14" x14ac:dyDescent="0.25">
      <c r="A99">
        <v>98</v>
      </c>
      <c r="B99" s="1">
        <v>44024</v>
      </c>
      <c r="C99">
        <v>1216202808</v>
      </c>
      <c r="D99" t="s">
        <v>42</v>
      </c>
      <c r="E99" t="s">
        <v>91</v>
      </c>
      <c r="F99" t="s">
        <v>91</v>
      </c>
      <c r="G99" t="s">
        <v>43</v>
      </c>
      <c r="H99" t="s">
        <v>16</v>
      </c>
      <c r="I99" t="s">
        <v>127</v>
      </c>
      <c r="J99" t="s">
        <v>48</v>
      </c>
      <c r="K99" t="s">
        <v>49</v>
      </c>
      <c r="L99" s="2">
        <v>308</v>
      </c>
      <c r="M99" s="2">
        <v>30</v>
      </c>
      <c r="N99" s="2">
        <f>normalizar!$L99*normalizar!$M99</f>
        <v>9240</v>
      </c>
    </row>
    <row r="100" spans="1:14" x14ac:dyDescent="0.25">
      <c r="A100">
        <v>99</v>
      </c>
      <c r="B100" s="1">
        <v>43934</v>
      </c>
      <c r="C100">
        <v>7167041532</v>
      </c>
      <c r="D100" t="s">
        <v>42</v>
      </c>
      <c r="E100" t="s">
        <v>91</v>
      </c>
      <c r="F100" t="s">
        <v>91</v>
      </c>
      <c r="G100" t="s">
        <v>43</v>
      </c>
      <c r="H100" t="s">
        <v>16</v>
      </c>
      <c r="I100" t="s">
        <v>127</v>
      </c>
      <c r="J100" t="s">
        <v>26</v>
      </c>
      <c r="K100" t="s">
        <v>27</v>
      </c>
      <c r="L100" s="2">
        <v>128.79999999999998</v>
      </c>
      <c r="M100" s="2">
        <v>41</v>
      </c>
      <c r="N100" s="2">
        <f>normalizar!$L100*normalizar!$M100</f>
        <v>5280.7999999999993</v>
      </c>
    </row>
    <row r="101" spans="1:14" x14ac:dyDescent="0.25">
      <c r="A101">
        <v>100</v>
      </c>
      <c r="B101" s="1">
        <v>44096</v>
      </c>
      <c r="C101">
        <v>2241191338</v>
      </c>
      <c r="D101" t="s">
        <v>50</v>
      </c>
      <c r="E101" t="s">
        <v>85</v>
      </c>
      <c r="F101" t="s">
        <v>83</v>
      </c>
      <c r="G101" t="s">
        <v>41</v>
      </c>
      <c r="H101" t="s">
        <v>25</v>
      </c>
      <c r="I101" t="s">
        <v>127</v>
      </c>
      <c r="J101" t="s">
        <v>12</v>
      </c>
      <c r="K101" t="s">
        <v>13</v>
      </c>
      <c r="L101" s="2">
        <v>49</v>
      </c>
      <c r="M101" s="2">
        <v>44</v>
      </c>
      <c r="N101" s="2">
        <f>normalizar!$L101*normalizar!$M101</f>
        <v>2156</v>
      </c>
    </row>
    <row r="102" spans="1:14" x14ac:dyDescent="0.25">
      <c r="A102">
        <v>101</v>
      </c>
      <c r="B102" s="1">
        <v>44106</v>
      </c>
      <c r="C102">
        <v>806264266</v>
      </c>
      <c r="D102" t="s">
        <v>50</v>
      </c>
      <c r="E102" t="s">
        <v>85</v>
      </c>
      <c r="F102" t="s">
        <v>83</v>
      </c>
      <c r="G102" t="s">
        <v>41</v>
      </c>
      <c r="H102" t="s">
        <v>25</v>
      </c>
      <c r="I102" t="s">
        <v>127</v>
      </c>
      <c r="J102" t="s">
        <v>44</v>
      </c>
      <c r="K102" t="s">
        <v>11</v>
      </c>
      <c r="L102" s="2">
        <v>41.86</v>
      </c>
      <c r="M102" s="2">
        <v>77</v>
      </c>
      <c r="N102" s="2">
        <f>normalizar!$L102*normalizar!$M102</f>
        <v>3223.22</v>
      </c>
    </row>
    <row r="103" spans="1:14" x14ac:dyDescent="0.25">
      <c r="A103">
        <v>102</v>
      </c>
      <c r="B103" s="1">
        <v>43902</v>
      </c>
      <c r="C103">
        <v>3820174684</v>
      </c>
      <c r="D103" t="s">
        <v>51</v>
      </c>
      <c r="E103" t="s">
        <v>90</v>
      </c>
      <c r="F103" t="s">
        <v>98</v>
      </c>
      <c r="G103" t="s">
        <v>24</v>
      </c>
      <c r="H103" t="s">
        <v>127</v>
      </c>
      <c r="I103" t="s">
        <v>127</v>
      </c>
      <c r="J103" t="s">
        <v>21</v>
      </c>
      <c r="K103" t="s">
        <v>11</v>
      </c>
      <c r="L103" s="2">
        <v>252</v>
      </c>
      <c r="M103" s="2">
        <v>29</v>
      </c>
      <c r="N103" s="2">
        <f>normalizar!$L103*normalizar!$M103</f>
        <v>7308</v>
      </c>
    </row>
    <row r="104" spans="1:14" x14ac:dyDescent="0.25">
      <c r="A104">
        <v>103</v>
      </c>
      <c r="B104" s="1">
        <v>44074</v>
      </c>
      <c r="C104">
        <v>5541796483</v>
      </c>
      <c r="D104" t="s">
        <v>51</v>
      </c>
      <c r="E104" t="s">
        <v>90</v>
      </c>
      <c r="F104" t="s">
        <v>98</v>
      </c>
      <c r="G104" t="s">
        <v>24</v>
      </c>
      <c r="H104" t="s">
        <v>127</v>
      </c>
      <c r="I104" t="s">
        <v>127</v>
      </c>
      <c r="J104" t="s">
        <v>22</v>
      </c>
      <c r="K104" t="s">
        <v>11</v>
      </c>
      <c r="L104" s="2">
        <v>644</v>
      </c>
      <c r="M104" s="2">
        <v>77</v>
      </c>
      <c r="N104" s="2">
        <f>normalizar!$L104*normalizar!$M104</f>
        <v>49588</v>
      </c>
    </row>
    <row r="105" spans="1:14" x14ac:dyDescent="0.25">
      <c r="A105">
        <v>104</v>
      </c>
      <c r="B105" s="1">
        <v>44025</v>
      </c>
      <c r="C105">
        <v>7096714976</v>
      </c>
      <c r="D105" t="s">
        <v>51</v>
      </c>
      <c r="E105" t="s">
        <v>90</v>
      </c>
      <c r="F105" t="s">
        <v>98</v>
      </c>
      <c r="G105" t="s">
        <v>24</v>
      </c>
      <c r="H105" t="s">
        <v>127</v>
      </c>
      <c r="I105" t="s">
        <v>127</v>
      </c>
      <c r="J105" t="s">
        <v>44</v>
      </c>
      <c r="K105" t="s">
        <v>11</v>
      </c>
      <c r="L105" s="2">
        <v>41.86</v>
      </c>
      <c r="M105" s="2">
        <v>73</v>
      </c>
      <c r="N105" s="2">
        <f>normalizar!$L105*normalizar!$M105</f>
        <v>3055.7799999999997</v>
      </c>
    </row>
    <row r="106" spans="1:14" x14ac:dyDescent="0.25">
      <c r="A106">
        <v>105</v>
      </c>
      <c r="B106" s="1">
        <v>44160</v>
      </c>
      <c r="C106">
        <v>2543114862</v>
      </c>
      <c r="D106" t="s">
        <v>40</v>
      </c>
      <c r="E106" t="s">
        <v>97</v>
      </c>
      <c r="F106" t="s">
        <v>88</v>
      </c>
      <c r="G106" t="s">
        <v>41</v>
      </c>
      <c r="H106" t="s">
        <v>25</v>
      </c>
      <c r="I106" t="s">
        <v>17</v>
      </c>
      <c r="J106" t="s">
        <v>34</v>
      </c>
      <c r="K106" t="s">
        <v>35</v>
      </c>
      <c r="L106" s="2">
        <v>135.1</v>
      </c>
      <c r="M106" s="2">
        <v>74</v>
      </c>
      <c r="N106" s="2">
        <f>normalizar!$L106*normalizar!$M106</f>
        <v>9997.4</v>
      </c>
    </row>
    <row r="107" spans="1:14" x14ac:dyDescent="0.25">
      <c r="A107">
        <v>106</v>
      </c>
      <c r="B107" s="1">
        <v>44070</v>
      </c>
      <c r="C107">
        <v>6501127347</v>
      </c>
      <c r="D107" t="s">
        <v>40</v>
      </c>
      <c r="E107" t="s">
        <v>97</v>
      </c>
      <c r="F107" t="s">
        <v>88</v>
      </c>
      <c r="G107" t="s">
        <v>41</v>
      </c>
      <c r="H107" t="s">
        <v>25</v>
      </c>
      <c r="I107" t="s">
        <v>17</v>
      </c>
      <c r="J107" t="s">
        <v>52</v>
      </c>
      <c r="K107" t="s">
        <v>53</v>
      </c>
      <c r="L107" s="2">
        <v>257.59999999999997</v>
      </c>
      <c r="M107" s="2">
        <v>25</v>
      </c>
      <c r="N107" s="2">
        <f>normalizar!$L107*normalizar!$M107</f>
        <v>6439.9999999999991</v>
      </c>
    </row>
    <row r="108" spans="1:14" x14ac:dyDescent="0.25">
      <c r="A108">
        <v>107</v>
      </c>
      <c r="B108" s="1">
        <v>43947</v>
      </c>
      <c r="C108">
        <v>1322296163</v>
      </c>
      <c r="D108" t="s">
        <v>54</v>
      </c>
      <c r="E108" t="s">
        <v>89</v>
      </c>
      <c r="F108" t="s">
        <v>84</v>
      </c>
      <c r="G108" t="s">
        <v>55</v>
      </c>
      <c r="H108" t="s">
        <v>16</v>
      </c>
      <c r="I108" t="s">
        <v>9</v>
      </c>
      <c r="J108" t="s">
        <v>56</v>
      </c>
      <c r="K108" t="s">
        <v>57</v>
      </c>
      <c r="L108" s="2">
        <v>273</v>
      </c>
      <c r="M108" s="2">
        <v>82</v>
      </c>
      <c r="N108" s="2">
        <f>normalizar!$L108*normalizar!$M108</f>
        <v>22386</v>
      </c>
    </row>
    <row r="109" spans="1:14" x14ac:dyDescent="0.25">
      <c r="A109">
        <v>108</v>
      </c>
      <c r="B109" s="1">
        <v>44122</v>
      </c>
      <c r="C109">
        <v>5162222472</v>
      </c>
      <c r="D109" t="s">
        <v>54</v>
      </c>
      <c r="E109" t="s">
        <v>89</v>
      </c>
      <c r="F109" t="s">
        <v>84</v>
      </c>
      <c r="G109" t="s">
        <v>55</v>
      </c>
      <c r="H109" t="s">
        <v>16</v>
      </c>
      <c r="I109" t="s">
        <v>9</v>
      </c>
      <c r="J109" t="s">
        <v>58</v>
      </c>
      <c r="K109" t="s">
        <v>59</v>
      </c>
      <c r="L109" s="2">
        <v>487.19999999999993</v>
      </c>
      <c r="M109" s="2">
        <v>37</v>
      </c>
      <c r="N109" s="2">
        <f>normalizar!$L109*normalizar!$M109</f>
        <v>18026.399999999998</v>
      </c>
    </row>
    <row r="110" spans="1:14" x14ac:dyDescent="0.25">
      <c r="A110">
        <v>109</v>
      </c>
      <c r="B110" s="1">
        <v>44103</v>
      </c>
      <c r="C110">
        <v>5752777715</v>
      </c>
      <c r="D110" t="s">
        <v>36</v>
      </c>
      <c r="E110" t="s">
        <v>92</v>
      </c>
      <c r="F110" t="s">
        <v>99</v>
      </c>
      <c r="G110" t="s">
        <v>37</v>
      </c>
      <c r="H110" t="s">
        <v>8</v>
      </c>
      <c r="I110" t="s">
        <v>17</v>
      </c>
      <c r="J110" t="s">
        <v>10</v>
      </c>
      <c r="K110" t="s">
        <v>11</v>
      </c>
      <c r="L110" s="2">
        <v>196</v>
      </c>
      <c r="M110" s="2">
        <v>84</v>
      </c>
      <c r="N110" s="2">
        <f>normalizar!$L110*normalizar!$M110</f>
        <v>16464</v>
      </c>
    </row>
    <row r="111" spans="1:14" x14ac:dyDescent="0.25">
      <c r="A111">
        <v>110</v>
      </c>
      <c r="B111" s="1">
        <v>44024</v>
      </c>
      <c r="C111">
        <v>2261700341</v>
      </c>
      <c r="D111" t="s">
        <v>23</v>
      </c>
      <c r="E111" t="s">
        <v>86</v>
      </c>
      <c r="F111" t="s">
        <v>82</v>
      </c>
      <c r="G111" t="s">
        <v>24</v>
      </c>
      <c r="H111" t="s">
        <v>8</v>
      </c>
      <c r="I111" t="s">
        <v>9</v>
      </c>
      <c r="J111" t="s">
        <v>38</v>
      </c>
      <c r="K111" t="s">
        <v>39</v>
      </c>
      <c r="L111" s="2">
        <v>560</v>
      </c>
      <c r="M111" s="2">
        <v>73</v>
      </c>
      <c r="N111" s="2">
        <f>normalizar!$L111*normalizar!$M111</f>
        <v>40880</v>
      </c>
    </row>
    <row r="112" spans="1:14" x14ac:dyDescent="0.25">
      <c r="A112">
        <v>111</v>
      </c>
      <c r="B112" s="1">
        <v>44073</v>
      </c>
      <c r="C112">
        <v>9950546196</v>
      </c>
      <c r="D112" t="s">
        <v>23</v>
      </c>
      <c r="E112" t="s">
        <v>86</v>
      </c>
      <c r="F112" t="s">
        <v>82</v>
      </c>
      <c r="G112" t="s">
        <v>24</v>
      </c>
      <c r="H112" t="s">
        <v>8</v>
      </c>
      <c r="I112" t="s">
        <v>9</v>
      </c>
      <c r="J112" t="s">
        <v>26</v>
      </c>
      <c r="K112" t="s">
        <v>27</v>
      </c>
      <c r="L112" s="2">
        <v>128.79999999999998</v>
      </c>
      <c r="M112" s="2">
        <v>51</v>
      </c>
      <c r="N112" s="2">
        <f>normalizar!$L112*normalizar!$M112</f>
        <v>6568.7999999999993</v>
      </c>
    </row>
    <row r="113" spans="1:14" x14ac:dyDescent="0.25">
      <c r="A113">
        <v>112</v>
      </c>
      <c r="B113" s="1">
        <v>44191</v>
      </c>
      <c r="C113">
        <v>9911266011</v>
      </c>
      <c r="D113" t="s">
        <v>62</v>
      </c>
      <c r="E113" t="s">
        <v>91</v>
      </c>
      <c r="F113" t="s">
        <v>91</v>
      </c>
      <c r="G113" t="s">
        <v>43</v>
      </c>
      <c r="H113" t="s">
        <v>16</v>
      </c>
      <c r="I113" t="s">
        <v>33</v>
      </c>
      <c r="J113" t="s">
        <v>67</v>
      </c>
      <c r="K113" t="s">
        <v>27</v>
      </c>
      <c r="L113" s="2">
        <v>140</v>
      </c>
      <c r="M113" s="2">
        <v>66</v>
      </c>
      <c r="N113" s="2">
        <f>normalizar!$L113*normalizar!$M113</f>
        <v>9240</v>
      </c>
    </row>
    <row r="114" spans="1:14" x14ac:dyDescent="0.25">
      <c r="A114">
        <v>113</v>
      </c>
      <c r="B114" s="1">
        <v>44183</v>
      </c>
      <c r="C114">
        <v>8455987495</v>
      </c>
      <c r="D114" t="s">
        <v>63</v>
      </c>
      <c r="E114" t="s">
        <v>85</v>
      </c>
      <c r="F114" t="s">
        <v>83</v>
      </c>
      <c r="G114" t="s">
        <v>41</v>
      </c>
      <c r="H114" t="s">
        <v>25</v>
      </c>
      <c r="I114" t="s">
        <v>17</v>
      </c>
      <c r="J114" t="s">
        <v>68</v>
      </c>
      <c r="K114" t="s">
        <v>69</v>
      </c>
      <c r="L114" s="2">
        <v>298.90000000000003</v>
      </c>
      <c r="M114" s="2">
        <v>36</v>
      </c>
      <c r="N114" s="2">
        <f>normalizar!$L114*normalizar!$M114</f>
        <v>10760.400000000001</v>
      </c>
    </row>
    <row r="115" spans="1:14" x14ac:dyDescent="0.25">
      <c r="A115">
        <v>114</v>
      </c>
      <c r="B115" s="1">
        <v>43966</v>
      </c>
      <c r="C115">
        <v>6668567210</v>
      </c>
      <c r="D115" t="s">
        <v>63</v>
      </c>
      <c r="E115" t="s">
        <v>85</v>
      </c>
      <c r="F115" t="s">
        <v>83</v>
      </c>
      <c r="G115" t="s">
        <v>41</v>
      </c>
      <c r="H115" t="s">
        <v>25</v>
      </c>
      <c r="I115" t="s">
        <v>17</v>
      </c>
      <c r="J115" t="s">
        <v>34</v>
      </c>
      <c r="K115" t="s">
        <v>35</v>
      </c>
      <c r="L115" s="2">
        <v>135.1</v>
      </c>
      <c r="M115" s="2">
        <v>87</v>
      </c>
      <c r="N115" s="2">
        <f>normalizar!$L115*normalizar!$M115</f>
        <v>11753.699999999999</v>
      </c>
    </row>
    <row r="116" spans="1:14" x14ac:dyDescent="0.25">
      <c r="A116">
        <v>115</v>
      </c>
      <c r="B116" s="1">
        <v>44019</v>
      </c>
      <c r="C116">
        <v>9528620750</v>
      </c>
      <c r="D116" t="s">
        <v>63</v>
      </c>
      <c r="E116" t="s">
        <v>85</v>
      </c>
      <c r="F116" t="s">
        <v>83</v>
      </c>
      <c r="G116" t="s">
        <v>41</v>
      </c>
      <c r="H116" t="s">
        <v>25</v>
      </c>
      <c r="I116" t="s">
        <v>17</v>
      </c>
      <c r="J116" t="s">
        <v>52</v>
      </c>
      <c r="K116" t="s">
        <v>53</v>
      </c>
      <c r="L116" s="2">
        <v>257.59999999999997</v>
      </c>
      <c r="M116" s="2">
        <v>64</v>
      </c>
      <c r="N116" s="2">
        <f>normalizar!$L116*normalizar!$M116</f>
        <v>16486.399999999998</v>
      </c>
    </row>
    <row r="117" spans="1:14" x14ac:dyDescent="0.25">
      <c r="A117">
        <v>116</v>
      </c>
      <c r="B117" s="1">
        <v>43876</v>
      </c>
      <c r="C117">
        <v>1951835035</v>
      </c>
      <c r="D117" t="s">
        <v>28</v>
      </c>
      <c r="E117" t="s">
        <v>89</v>
      </c>
      <c r="F117" t="s">
        <v>84</v>
      </c>
      <c r="G117" t="s">
        <v>29</v>
      </c>
      <c r="H117" t="s">
        <v>8</v>
      </c>
      <c r="I117" t="s">
        <v>9</v>
      </c>
      <c r="J117" t="s">
        <v>10</v>
      </c>
      <c r="K117" t="s">
        <v>11</v>
      </c>
      <c r="L117" s="2">
        <v>196</v>
      </c>
      <c r="M117" s="2">
        <v>21</v>
      </c>
      <c r="N117" s="2">
        <f>normalizar!$L117*normalizar!$M117</f>
        <v>4116</v>
      </c>
    </row>
    <row r="118" spans="1:14" x14ac:dyDescent="0.25">
      <c r="A118">
        <v>117</v>
      </c>
      <c r="B118" s="1">
        <v>44101</v>
      </c>
      <c r="C118">
        <v>8464805926</v>
      </c>
      <c r="D118" t="s">
        <v>36</v>
      </c>
      <c r="E118" t="s">
        <v>92</v>
      </c>
      <c r="F118" t="s">
        <v>99</v>
      </c>
      <c r="G118" t="s">
        <v>37</v>
      </c>
      <c r="H118" t="s">
        <v>25</v>
      </c>
      <c r="I118" t="s">
        <v>9</v>
      </c>
      <c r="J118" t="s">
        <v>30</v>
      </c>
      <c r="K118" t="s">
        <v>31</v>
      </c>
      <c r="L118" s="2">
        <v>178.5</v>
      </c>
      <c r="M118" s="2">
        <v>19</v>
      </c>
      <c r="N118" s="2">
        <f>normalizar!$L118*normalizar!$M118</f>
        <v>3391.5</v>
      </c>
    </row>
    <row r="119" spans="1:14" x14ac:dyDescent="0.25">
      <c r="A119">
        <v>118</v>
      </c>
      <c r="B119" s="1">
        <v>44094</v>
      </c>
      <c r="C119">
        <v>1040241832</v>
      </c>
      <c r="D119" t="s">
        <v>14</v>
      </c>
      <c r="E119" t="s">
        <v>81</v>
      </c>
      <c r="F119" t="s">
        <v>94</v>
      </c>
      <c r="G119" t="s">
        <v>15</v>
      </c>
      <c r="H119" t="s">
        <v>16</v>
      </c>
      <c r="I119" t="s">
        <v>17</v>
      </c>
      <c r="J119" t="s">
        <v>70</v>
      </c>
      <c r="K119" t="s">
        <v>47</v>
      </c>
      <c r="L119" s="2">
        <v>1134</v>
      </c>
      <c r="M119" s="2">
        <v>23</v>
      </c>
      <c r="N119" s="2">
        <f>normalizar!$L119*normalizar!$M119</f>
        <v>26082</v>
      </c>
    </row>
    <row r="120" spans="1:14" x14ac:dyDescent="0.25">
      <c r="A120">
        <v>119</v>
      </c>
      <c r="B120" s="1">
        <v>44157</v>
      </c>
      <c r="C120">
        <v>5032769390</v>
      </c>
      <c r="D120" t="s">
        <v>14</v>
      </c>
      <c r="E120" t="s">
        <v>81</v>
      </c>
      <c r="F120" t="s">
        <v>94</v>
      </c>
      <c r="G120" t="s">
        <v>15</v>
      </c>
      <c r="H120" t="s">
        <v>16</v>
      </c>
      <c r="I120" t="s">
        <v>17</v>
      </c>
      <c r="J120" t="s">
        <v>71</v>
      </c>
      <c r="K120" t="s">
        <v>72</v>
      </c>
      <c r="L120" s="2">
        <v>98</v>
      </c>
      <c r="M120" s="2">
        <v>72</v>
      </c>
      <c r="N120" s="2">
        <f>normalizar!$L120*normalizar!$M120</f>
        <v>7056</v>
      </c>
    </row>
    <row r="121" spans="1:14" x14ac:dyDescent="0.25">
      <c r="A121">
        <v>120</v>
      </c>
      <c r="B121" s="1">
        <v>43916</v>
      </c>
      <c r="C121">
        <v>5375997402</v>
      </c>
      <c r="D121" t="s">
        <v>23</v>
      </c>
      <c r="E121" t="s">
        <v>86</v>
      </c>
      <c r="F121" t="s">
        <v>82</v>
      </c>
      <c r="G121" t="s">
        <v>24</v>
      </c>
      <c r="H121" t="s">
        <v>25</v>
      </c>
      <c r="I121" t="s">
        <v>17</v>
      </c>
      <c r="J121" t="s">
        <v>58</v>
      </c>
      <c r="K121" t="s">
        <v>59</v>
      </c>
      <c r="L121" s="2">
        <v>487.19999999999993</v>
      </c>
      <c r="M121" s="2">
        <v>22</v>
      </c>
      <c r="N121" s="2">
        <f>normalizar!$L121*normalizar!$M121</f>
        <v>10718.399999999998</v>
      </c>
    </row>
    <row r="122" spans="1:14" x14ac:dyDescent="0.25">
      <c r="A122">
        <v>121</v>
      </c>
      <c r="B122" s="1">
        <v>43837</v>
      </c>
      <c r="C122">
        <v>967566383</v>
      </c>
      <c r="D122" t="s">
        <v>32</v>
      </c>
      <c r="E122" t="s">
        <v>93</v>
      </c>
      <c r="F122" t="s">
        <v>96</v>
      </c>
      <c r="G122" t="s">
        <v>7</v>
      </c>
      <c r="H122" t="s">
        <v>8</v>
      </c>
      <c r="I122" t="s">
        <v>33</v>
      </c>
      <c r="J122" t="s">
        <v>60</v>
      </c>
      <c r="K122" t="s">
        <v>49</v>
      </c>
      <c r="L122" s="2">
        <v>140</v>
      </c>
      <c r="M122" s="2">
        <v>82</v>
      </c>
      <c r="N122" s="2">
        <f>normalizar!$L122*normalizar!$M122</f>
        <v>11480</v>
      </c>
    </row>
    <row r="123" spans="1:14" x14ac:dyDescent="0.25">
      <c r="A123">
        <v>122</v>
      </c>
      <c r="B123" s="1">
        <v>44042</v>
      </c>
      <c r="C123">
        <v>7607007457</v>
      </c>
      <c r="D123" t="s">
        <v>32</v>
      </c>
      <c r="E123" t="s">
        <v>93</v>
      </c>
      <c r="F123" t="s">
        <v>96</v>
      </c>
      <c r="G123" t="s">
        <v>7</v>
      </c>
      <c r="H123" t="s">
        <v>8</v>
      </c>
      <c r="I123" t="s">
        <v>33</v>
      </c>
      <c r="J123" t="s">
        <v>38</v>
      </c>
      <c r="K123" t="s">
        <v>39</v>
      </c>
      <c r="L123" s="2">
        <v>560</v>
      </c>
      <c r="M123" s="2">
        <v>98</v>
      </c>
      <c r="N123" s="2">
        <f>normalizar!$L123*normalizar!$M123</f>
        <v>54880</v>
      </c>
    </row>
    <row r="124" spans="1:14" x14ac:dyDescent="0.25">
      <c r="A124">
        <v>123</v>
      </c>
      <c r="B124" s="1">
        <v>44092</v>
      </c>
      <c r="C124">
        <v>6139722497</v>
      </c>
      <c r="D124" t="s">
        <v>45</v>
      </c>
      <c r="E124" t="s">
        <v>87</v>
      </c>
      <c r="F124" t="s">
        <v>87</v>
      </c>
      <c r="G124" t="s">
        <v>24</v>
      </c>
      <c r="H124" t="s">
        <v>127</v>
      </c>
      <c r="I124" t="s">
        <v>127</v>
      </c>
      <c r="J124" t="s">
        <v>22</v>
      </c>
      <c r="K124" t="s">
        <v>11</v>
      </c>
      <c r="L124" s="2">
        <v>644</v>
      </c>
      <c r="M124" s="2">
        <v>71</v>
      </c>
      <c r="N124" s="2">
        <f>normalizar!$L124*normalizar!$M124</f>
        <v>45724</v>
      </c>
    </row>
    <row r="125" spans="1:14" x14ac:dyDescent="0.25">
      <c r="A125">
        <v>124</v>
      </c>
      <c r="B125" s="1">
        <v>43924</v>
      </c>
      <c r="C125">
        <v>6071133871</v>
      </c>
      <c r="D125" t="s">
        <v>42</v>
      </c>
      <c r="E125" t="s">
        <v>91</v>
      </c>
      <c r="F125" t="s">
        <v>91</v>
      </c>
      <c r="G125" t="s">
        <v>43</v>
      </c>
      <c r="H125" t="s">
        <v>16</v>
      </c>
      <c r="I125" t="s">
        <v>127</v>
      </c>
      <c r="J125" t="s">
        <v>46</v>
      </c>
      <c r="K125" t="s">
        <v>47</v>
      </c>
      <c r="L125" s="2">
        <v>350</v>
      </c>
      <c r="M125" s="2">
        <v>40</v>
      </c>
      <c r="N125" s="2">
        <f>normalizar!$L125*normalizar!$M125</f>
        <v>14000</v>
      </c>
    </row>
    <row r="126" spans="1:14" x14ac:dyDescent="0.25">
      <c r="A126">
        <v>125</v>
      </c>
      <c r="B126" s="1">
        <v>43887</v>
      </c>
      <c r="C126">
        <v>8634772142</v>
      </c>
      <c r="D126" t="s">
        <v>42</v>
      </c>
      <c r="E126" t="s">
        <v>91</v>
      </c>
      <c r="F126" t="s">
        <v>91</v>
      </c>
      <c r="G126" t="s">
        <v>43</v>
      </c>
      <c r="H126" t="s">
        <v>16</v>
      </c>
      <c r="I126" t="s">
        <v>127</v>
      </c>
      <c r="J126" t="s">
        <v>48</v>
      </c>
      <c r="K126" t="s">
        <v>49</v>
      </c>
      <c r="L126" s="2">
        <v>308</v>
      </c>
      <c r="M126" s="2">
        <v>80</v>
      </c>
      <c r="N126" s="2">
        <f>normalizar!$L126*normalizar!$M126</f>
        <v>24640</v>
      </c>
    </row>
    <row r="127" spans="1:14" x14ac:dyDescent="0.25">
      <c r="A127">
        <v>126</v>
      </c>
      <c r="B127" s="1">
        <v>44080</v>
      </c>
      <c r="C127">
        <v>5431718510</v>
      </c>
      <c r="D127" t="s">
        <v>42</v>
      </c>
      <c r="E127" t="s">
        <v>91</v>
      </c>
      <c r="F127" t="s">
        <v>91</v>
      </c>
      <c r="G127" t="s">
        <v>43</v>
      </c>
      <c r="H127" t="s">
        <v>16</v>
      </c>
      <c r="I127" t="s">
        <v>127</v>
      </c>
      <c r="J127" t="s">
        <v>26</v>
      </c>
      <c r="K127" t="s">
        <v>27</v>
      </c>
      <c r="L127" s="2">
        <v>128.79999999999998</v>
      </c>
      <c r="M127" s="2">
        <v>38</v>
      </c>
      <c r="N127" s="2">
        <f>normalizar!$L127*normalizar!$M127</f>
        <v>4894.3999999999996</v>
      </c>
    </row>
    <row r="128" spans="1:14" x14ac:dyDescent="0.25">
      <c r="A128">
        <v>127</v>
      </c>
      <c r="B128" s="1">
        <v>44093</v>
      </c>
      <c r="C128">
        <v>7109276915</v>
      </c>
      <c r="D128" t="s">
        <v>50</v>
      </c>
      <c r="E128" t="s">
        <v>85</v>
      </c>
      <c r="F128" t="s">
        <v>83</v>
      </c>
      <c r="G128" t="s">
        <v>41</v>
      </c>
      <c r="H128" t="s">
        <v>25</v>
      </c>
      <c r="I128" t="s">
        <v>127</v>
      </c>
      <c r="J128" t="s">
        <v>12</v>
      </c>
      <c r="K128" t="s">
        <v>13</v>
      </c>
      <c r="L128" s="2">
        <v>49</v>
      </c>
      <c r="M128" s="2">
        <v>28</v>
      </c>
      <c r="N128" s="2">
        <f>normalizar!$L128*normalizar!$M128</f>
        <v>1372</v>
      </c>
    </row>
    <row r="129" spans="1:14" x14ac:dyDescent="0.25">
      <c r="A129">
        <v>128</v>
      </c>
      <c r="B129" s="1">
        <v>44119</v>
      </c>
      <c r="C129">
        <v>8479136081</v>
      </c>
      <c r="D129" t="s">
        <v>50</v>
      </c>
      <c r="E129" t="s">
        <v>85</v>
      </c>
      <c r="F129" t="s">
        <v>83</v>
      </c>
      <c r="G129" t="s">
        <v>41</v>
      </c>
      <c r="H129" t="s">
        <v>25</v>
      </c>
      <c r="I129" t="s">
        <v>127</v>
      </c>
      <c r="J129" t="s">
        <v>44</v>
      </c>
      <c r="K129" t="s">
        <v>11</v>
      </c>
      <c r="L129" s="2">
        <v>41.86</v>
      </c>
      <c r="M129" s="2">
        <v>60</v>
      </c>
      <c r="N129" s="2">
        <f>normalizar!$L129*normalizar!$M129</f>
        <v>2511.6</v>
      </c>
    </row>
    <row r="130" spans="1:14" x14ac:dyDescent="0.25">
      <c r="A130">
        <v>129</v>
      </c>
      <c r="B130" s="1">
        <v>44146</v>
      </c>
      <c r="C130">
        <v>7132355278</v>
      </c>
      <c r="D130" t="s">
        <v>51</v>
      </c>
      <c r="E130" t="s">
        <v>90</v>
      </c>
      <c r="F130" t="s">
        <v>98</v>
      </c>
      <c r="G130" t="s">
        <v>24</v>
      </c>
      <c r="H130" t="s">
        <v>127</v>
      </c>
      <c r="I130" t="s">
        <v>127</v>
      </c>
      <c r="J130" t="s">
        <v>21</v>
      </c>
      <c r="K130" t="s">
        <v>11</v>
      </c>
      <c r="L130" s="2">
        <v>252</v>
      </c>
      <c r="M130" s="2">
        <v>33</v>
      </c>
      <c r="N130" s="2">
        <f>normalizar!$L130*normalizar!$M130</f>
        <v>8316</v>
      </c>
    </row>
    <row r="131" spans="1:14" x14ac:dyDescent="0.25">
      <c r="A131">
        <v>130</v>
      </c>
      <c r="B131" s="1">
        <v>44017</v>
      </c>
      <c r="C131">
        <v>2885792785</v>
      </c>
      <c r="D131" t="s">
        <v>51</v>
      </c>
      <c r="E131" t="s">
        <v>90</v>
      </c>
      <c r="F131" t="s">
        <v>98</v>
      </c>
      <c r="G131" t="s">
        <v>24</v>
      </c>
      <c r="H131" t="s">
        <v>127</v>
      </c>
      <c r="I131" t="s">
        <v>127</v>
      </c>
      <c r="J131" t="s">
        <v>22</v>
      </c>
      <c r="K131" t="s">
        <v>11</v>
      </c>
      <c r="L131" s="2">
        <v>644</v>
      </c>
      <c r="M131" s="2">
        <v>22</v>
      </c>
      <c r="N131" s="2">
        <f>normalizar!$L131*normalizar!$M131</f>
        <v>14168</v>
      </c>
    </row>
    <row r="132" spans="1:14" x14ac:dyDescent="0.25">
      <c r="A132">
        <v>131</v>
      </c>
      <c r="B132" s="1">
        <v>44085</v>
      </c>
      <c r="C132">
        <v>3723941023</v>
      </c>
      <c r="D132" t="s">
        <v>51</v>
      </c>
      <c r="E132" t="s">
        <v>90</v>
      </c>
      <c r="F132" t="s">
        <v>98</v>
      </c>
      <c r="G132" t="s">
        <v>24</v>
      </c>
      <c r="H132" t="s">
        <v>127</v>
      </c>
      <c r="I132" t="s">
        <v>127</v>
      </c>
      <c r="J132" t="s">
        <v>44</v>
      </c>
      <c r="K132" t="s">
        <v>11</v>
      </c>
      <c r="L132" s="2">
        <v>41.86</v>
      </c>
      <c r="M132" s="2">
        <v>51</v>
      </c>
      <c r="N132" s="2">
        <f>normalizar!$L132*normalizar!$M132</f>
        <v>2134.86</v>
      </c>
    </row>
    <row r="133" spans="1:14" x14ac:dyDescent="0.25">
      <c r="A133">
        <v>132</v>
      </c>
      <c r="B133" s="1">
        <v>43943</v>
      </c>
      <c r="C133">
        <v>4827836337</v>
      </c>
      <c r="D133" t="s">
        <v>40</v>
      </c>
      <c r="E133" t="s">
        <v>97</v>
      </c>
      <c r="F133" t="s">
        <v>88</v>
      </c>
      <c r="G133" t="s">
        <v>41</v>
      </c>
      <c r="H133" t="s">
        <v>25</v>
      </c>
      <c r="I133" t="s">
        <v>17</v>
      </c>
      <c r="J133" t="s">
        <v>34</v>
      </c>
      <c r="K133" t="s">
        <v>35</v>
      </c>
      <c r="L133" s="2">
        <v>135.1</v>
      </c>
      <c r="M133" s="2">
        <v>60</v>
      </c>
      <c r="N133" s="2">
        <f>normalizar!$L133*normalizar!$M133</f>
        <v>8106</v>
      </c>
    </row>
    <row r="134" spans="1:14" x14ac:dyDescent="0.25">
      <c r="A134">
        <v>133</v>
      </c>
      <c r="B134" s="1">
        <v>44057</v>
      </c>
      <c r="C134">
        <v>2633840866</v>
      </c>
      <c r="D134" t="s">
        <v>40</v>
      </c>
      <c r="E134" t="s">
        <v>97</v>
      </c>
      <c r="F134" t="s">
        <v>88</v>
      </c>
      <c r="G134" t="s">
        <v>41</v>
      </c>
      <c r="H134" t="s">
        <v>25</v>
      </c>
      <c r="I134" t="s">
        <v>17</v>
      </c>
      <c r="J134" t="s">
        <v>52</v>
      </c>
      <c r="K134" t="s">
        <v>53</v>
      </c>
      <c r="L134" s="2">
        <v>257.59999999999997</v>
      </c>
      <c r="M134" s="2">
        <v>98</v>
      </c>
      <c r="N134" s="2">
        <f>normalizar!$L134*normalizar!$M134</f>
        <v>25244.799999999996</v>
      </c>
    </row>
    <row r="135" spans="1:14" x14ac:dyDescent="0.25">
      <c r="A135">
        <v>134</v>
      </c>
      <c r="B135" s="1">
        <v>43929</v>
      </c>
      <c r="C135">
        <v>2489359003</v>
      </c>
      <c r="D135" t="s">
        <v>54</v>
      </c>
      <c r="E135" t="s">
        <v>89</v>
      </c>
      <c r="F135" t="s">
        <v>84</v>
      </c>
      <c r="G135" t="s">
        <v>55</v>
      </c>
      <c r="H135" t="s">
        <v>16</v>
      </c>
      <c r="I135" t="s">
        <v>9</v>
      </c>
      <c r="J135" t="s">
        <v>56</v>
      </c>
      <c r="K135" t="s">
        <v>57</v>
      </c>
      <c r="L135" s="2">
        <v>273</v>
      </c>
      <c r="M135" s="2">
        <v>27</v>
      </c>
      <c r="N135" s="2">
        <f>normalizar!$L135*normalizar!$M135</f>
        <v>7371</v>
      </c>
    </row>
    <row r="136" spans="1:14" x14ac:dyDescent="0.25">
      <c r="A136">
        <v>135</v>
      </c>
      <c r="B136" s="1">
        <v>43986</v>
      </c>
      <c r="C136">
        <v>2347277376</v>
      </c>
      <c r="D136" t="s">
        <v>54</v>
      </c>
      <c r="E136" t="s">
        <v>89</v>
      </c>
      <c r="F136" t="s">
        <v>84</v>
      </c>
      <c r="G136" t="s">
        <v>55</v>
      </c>
      <c r="H136" t="s">
        <v>16</v>
      </c>
      <c r="I136" t="s">
        <v>9</v>
      </c>
      <c r="J136" t="s">
        <v>58</v>
      </c>
      <c r="K136" t="s">
        <v>59</v>
      </c>
      <c r="L136" s="2">
        <v>487.19999999999993</v>
      </c>
      <c r="M136" s="2">
        <v>88</v>
      </c>
      <c r="N136" s="2">
        <f>normalizar!$L136*normalizar!$M136</f>
        <v>42873.599999999991</v>
      </c>
    </row>
    <row r="137" spans="1:14" x14ac:dyDescent="0.25">
      <c r="A137">
        <v>136</v>
      </c>
      <c r="B137" s="1">
        <v>44058</v>
      </c>
      <c r="C137">
        <v>2071690973</v>
      </c>
      <c r="D137" t="s">
        <v>36</v>
      </c>
      <c r="E137" t="s">
        <v>92</v>
      </c>
      <c r="F137" t="s">
        <v>99</v>
      </c>
      <c r="G137" t="s">
        <v>37</v>
      </c>
      <c r="H137" t="s">
        <v>8</v>
      </c>
      <c r="I137" t="s">
        <v>17</v>
      </c>
      <c r="J137" t="s">
        <v>10</v>
      </c>
      <c r="K137" t="s">
        <v>11</v>
      </c>
      <c r="L137" s="2">
        <v>196</v>
      </c>
      <c r="M137" s="2">
        <v>65</v>
      </c>
      <c r="N137" s="2">
        <f>normalizar!$L137*normalizar!$M137</f>
        <v>12740</v>
      </c>
    </row>
    <row r="138" spans="1:14" x14ac:dyDescent="0.25">
      <c r="A138">
        <v>137</v>
      </c>
      <c r="B138" s="1">
        <v>44047</v>
      </c>
      <c r="C138">
        <v>1196729221</v>
      </c>
      <c r="D138" t="s">
        <v>23</v>
      </c>
      <c r="E138" t="s">
        <v>86</v>
      </c>
      <c r="F138" t="s">
        <v>82</v>
      </c>
      <c r="G138" t="s">
        <v>24</v>
      </c>
      <c r="H138" t="s">
        <v>8</v>
      </c>
      <c r="I138" t="s">
        <v>9</v>
      </c>
      <c r="J138" t="s">
        <v>38</v>
      </c>
      <c r="K138" t="s">
        <v>39</v>
      </c>
      <c r="L138" s="2">
        <v>560</v>
      </c>
      <c r="M138" s="2">
        <v>38</v>
      </c>
      <c r="N138" s="2">
        <f>normalizar!$L138*normalizar!$M138</f>
        <v>21280</v>
      </c>
    </row>
    <row r="139" spans="1:14" x14ac:dyDescent="0.25">
      <c r="A139">
        <v>138</v>
      </c>
      <c r="B139" s="1">
        <v>43948</v>
      </c>
      <c r="C139">
        <v>9020365601</v>
      </c>
      <c r="D139" t="s">
        <v>23</v>
      </c>
      <c r="E139" t="s">
        <v>86</v>
      </c>
      <c r="F139" t="s">
        <v>82</v>
      </c>
      <c r="G139" t="s">
        <v>24</v>
      </c>
      <c r="H139" t="s">
        <v>8</v>
      </c>
      <c r="I139" t="s">
        <v>9</v>
      </c>
      <c r="J139" t="s">
        <v>26</v>
      </c>
      <c r="K139" t="s">
        <v>27</v>
      </c>
      <c r="L139" s="2">
        <v>128.79999999999998</v>
      </c>
      <c r="M139" s="2">
        <v>80</v>
      </c>
      <c r="N139" s="2">
        <f>normalizar!$L139*normalizar!$M139</f>
        <v>10303.999999999998</v>
      </c>
    </row>
    <row r="140" spans="1:14" x14ac:dyDescent="0.25">
      <c r="A140">
        <v>139</v>
      </c>
      <c r="B140" s="1">
        <v>44054</v>
      </c>
      <c r="C140">
        <v>4818692078</v>
      </c>
      <c r="D140" t="s">
        <v>62</v>
      </c>
      <c r="E140" t="s">
        <v>91</v>
      </c>
      <c r="F140" t="s">
        <v>91</v>
      </c>
      <c r="G140" t="s">
        <v>43</v>
      </c>
      <c r="H140" t="s">
        <v>16</v>
      </c>
      <c r="I140" t="s">
        <v>33</v>
      </c>
      <c r="J140" t="s">
        <v>67</v>
      </c>
      <c r="K140" t="s">
        <v>27</v>
      </c>
      <c r="L140" s="2">
        <v>140</v>
      </c>
      <c r="M140" s="2">
        <v>49</v>
      </c>
      <c r="N140" s="2">
        <f>normalizar!$L140*normalizar!$M140</f>
        <v>6860</v>
      </c>
    </row>
    <row r="141" spans="1:14" x14ac:dyDescent="0.25">
      <c r="A141">
        <v>140</v>
      </c>
      <c r="B141" s="1">
        <v>44120</v>
      </c>
      <c r="C141">
        <v>6502762369</v>
      </c>
      <c r="D141" t="s">
        <v>63</v>
      </c>
      <c r="E141" t="s">
        <v>85</v>
      </c>
      <c r="F141" t="s">
        <v>83</v>
      </c>
      <c r="G141" t="s">
        <v>41</v>
      </c>
      <c r="H141" t="s">
        <v>25</v>
      </c>
      <c r="I141" t="s">
        <v>17</v>
      </c>
      <c r="J141" t="s">
        <v>68</v>
      </c>
      <c r="K141" t="s">
        <v>69</v>
      </c>
      <c r="L141" s="2">
        <v>298.90000000000003</v>
      </c>
      <c r="M141" s="2">
        <v>90</v>
      </c>
      <c r="N141" s="2">
        <f>normalizar!$L141*normalizar!$M141</f>
        <v>26901.000000000004</v>
      </c>
    </row>
    <row r="142" spans="1:14" x14ac:dyDescent="0.25">
      <c r="A142">
        <v>141</v>
      </c>
      <c r="B142" s="1">
        <v>43846</v>
      </c>
      <c r="C142">
        <v>924402492</v>
      </c>
      <c r="D142" t="s">
        <v>63</v>
      </c>
      <c r="E142" t="s">
        <v>85</v>
      </c>
      <c r="F142" t="s">
        <v>83</v>
      </c>
      <c r="G142" t="s">
        <v>41</v>
      </c>
      <c r="H142" t="s">
        <v>25</v>
      </c>
      <c r="I142" t="s">
        <v>17</v>
      </c>
      <c r="J142" t="s">
        <v>34</v>
      </c>
      <c r="K142" t="s">
        <v>35</v>
      </c>
      <c r="L142" s="2">
        <v>135.1</v>
      </c>
      <c r="M142" s="2">
        <v>60</v>
      </c>
      <c r="N142" s="2">
        <f>normalizar!$L142*normalizar!$M142</f>
        <v>8106</v>
      </c>
    </row>
    <row r="143" spans="1:14" x14ac:dyDescent="0.25">
      <c r="A143">
        <v>142</v>
      </c>
      <c r="B143" s="1">
        <v>44001</v>
      </c>
      <c r="C143">
        <v>5633857209</v>
      </c>
      <c r="D143" t="s">
        <v>63</v>
      </c>
      <c r="E143" t="s">
        <v>85</v>
      </c>
      <c r="F143" t="s">
        <v>83</v>
      </c>
      <c r="G143" t="s">
        <v>41</v>
      </c>
      <c r="H143" t="s">
        <v>25</v>
      </c>
      <c r="I143" t="s">
        <v>17</v>
      </c>
      <c r="J143" t="s">
        <v>52</v>
      </c>
      <c r="K143" t="s">
        <v>53</v>
      </c>
      <c r="L143" s="2">
        <v>257.59999999999997</v>
      </c>
      <c r="M143" s="2">
        <v>39</v>
      </c>
      <c r="N143" s="2">
        <f>normalizar!$L143*normalizar!$M143</f>
        <v>10046.399999999998</v>
      </c>
    </row>
    <row r="144" spans="1:14" x14ac:dyDescent="0.25">
      <c r="A144">
        <v>143</v>
      </c>
      <c r="B144" s="1">
        <v>43927</v>
      </c>
      <c r="C144">
        <v>9715216432</v>
      </c>
      <c r="D144" t="s">
        <v>28</v>
      </c>
      <c r="E144" t="s">
        <v>89</v>
      </c>
      <c r="F144" t="s">
        <v>84</v>
      </c>
      <c r="G144" t="s">
        <v>29</v>
      </c>
      <c r="H144" t="s">
        <v>8</v>
      </c>
      <c r="I144" t="s">
        <v>9</v>
      </c>
      <c r="J144" t="s">
        <v>10</v>
      </c>
      <c r="K144" t="s">
        <v>11</v>
      </c>
      <c r="L144" s="2">
        <v>196</v>
      </c>
      <c r="M144" s="2">
        <v>79</v>
      </c>
      <c r="N144" s="2">
        <f>normalizar!$L144*normalizar!$M144</f>
        <v>15484</v>
      </c>
    </row>
    <row r="145" spans="1:14" x14ac:dyDescent="0.25">
      <c r="A145">
        <v>144</v>
      </c>
      <c r="B145" s="1">
        <v>44100</v>
      </c>
      <c r="C145">
        <v>2808433382</v>
      </c>
      <c r="D145" t="s">
        <v>36</v>
      </c>
      <c r="E145" t="s">
        <v>92</v>
      </c>
      <c r="F145" t="s">
        <v>99</v>
      </c>
      <c r="G145" t="s">
        <v>37</v>
      </c>
      <c r="H145" t="s">
        <v>25</v>
      </c>
      <c r="I145" t="s">
        <v>9</v>
      </c>
      <c r="J145" t="s">
        <v>30</v>
      </c>
      <c r="K145" t="s">
        <v>31</v>
      </c>
      <c r="L145" s="2">
        <v>178.5</v>
      </c>
      <c r="M145" s="2">
        <v>44</v>
      </c>
      <c r="N145" s="2">
        <f>normalizar!$L145*normalizar!$M145</f>
        <v>7854</v>
      </c>
    </row>
    <row r="146" spans="1:14" x14ac:dyDescent="0.25">
      <c r="A146">
        <v>145</v>
      </c>
      <c r="B146" s="1">
        <v>44046</v>
      </c>
      <c r="C146">
        <v>5585231955</v>
      </c>
      <c r="D146" t="s">
        <v>14</v>
      </c>
      <c r="E146" t="s">
        <v>81</v>
      </c>
      <c r="F146" t="s">
        <v>94</v>
      </c>
      <c r="G146" t="s">
        <v>15</v>
      </c>
      <c r="H146" t="s">
        <v>16</v>
      </c>
      <c r="I146" t="s">
        <v>17</v>
      </c>
      <c r="J146" t="s">
        <v>70</v>
      </c>
      <c r="K146" t="s">
        <v>47</v>
      </c>
      <c r="L146" s="2">
        <v>1134</v>
      </c>
      <c r="M146" s="2">
        <v>98</v>
      </c>
      <c r="N146" s="2">
        <f>normalizar!$L146*normalizar!$M146</f>
        <v>111132</v>
      </c>
    </row>
    <row r="147" spans="1:14" x14ac:dyDescent="0.25">
      <c r="A147">
        <v>146</v>
      </c>
      <c r="B147" s="1">
        <v>44169</v>
      </c>
      <c r="C147">
        <v>4338999814</v>
      </c>
      <c r="D147" t="s">
        <v>14</v>
      </c>
      <c r="E147" t="s">
        <v>81</v>
      </c>
      <c r="F147" t="s">
        <v>94</v>
      </c>
      <c r="G147" t="s">
        <v>15</v>
      </c>
      <c r="H147" t="s">
        <v>16</v>
      </c>
      <c r="I147" t="s">
        <v>17</v>
      </c>
      <c r="J147" t="s">
        <v>71</v>
      </c>
      <c r="K147" t="s">
        <v>72</v>
      </c>
      <c r="L147" s="2">
        <v>98</v>
      </c>
      <c r="M147" s="2">
        <v>61</v>
      </c>
      <c r="N147" s="2">
        <f>normalizar!$L147*normalizar!$M147</f>
        <v>5978</v>
      </c>
    </row>
    <row r="148" spans="1:14" x14ac:dyDescent="0.25">
      <c r="A148">
        <v>147</v>
      </c>
      <c r="B148" s="1">
        <v>44056</v>
      </c>
      <c r="C148">
        <v>3475726472</v>
      </c>
      <c r="D148" t="s">
        <v>23</v>
      </c>
      <c r="E148" t="s">
        <v>86</v>
      </c>
      <c r="F148" t="s">
        <v>82</v>
      </c>
      <c r="G148" t="s">
        <v>24</v>
      </c>
      <c r="H148" t="s">
        <v>25</v>
      </c>
      <c r="I148" t="s">
        <v>17</v>
      </c>
      <c r="J148" t="s">
        <v>58</v>
      </c>
      <c r="K148" t="s">
        <v>59</v>
      </c>
      <c r="L148" s="2">
        <v>487.19999999999993</v>
      </c>
      <c r="M148" s="2">
        <v>30</v>
      </c>
      <c r="N148" s="2">
        <f>normalizar!$L148*normalizar!$M148</f>
        <v>14615.999999999998</v>
      </c>
    </row>
    <row r="149" spans="1:14" x14ac:dyDescent="0.25">
      <c r="A149">
        <v>148</v>
      </c>
      <c r="B149" s="1">
        <v>43946</v>
      </c>
      <c r="C149">
        <v>9727843310</v>
      </c>
      <c r="D149" t="s">
        <v>32</v>
      </c>
      <c r="E149" t="s">
        <v>93</v>
      </c>
      <c r="F149" t="s">
        <v>96</v>
      </c>
      <c r="G149" t="s">
        <v>7</v>
      </c>
      <c r="H149" t="s">
        <v>8</v>
      </c>
      <c r="I149" t="s">
        <v>33</v>
      </c>
      <c r="J149" t="s">
        <v>60</v>
      </c>
      <c r="K149" t="s">
        <v>49</v>
      </c>
      <c r="L149" s="2">
        <v>140</v>
      </c>
      <c r="M149" s="2">
        <v>24</v>
      </c>
      <c r="N149" s="2">
        <f>normalizar!$L149*normalizar!$M149</f>
        <v>3360</v>
      </c>
    </row>
    <row r="150" spans="1:14" x14ac:dyDescent="0.25">
      <c r="A150">
        <v>149</v>
      </c>
      <c r="B150" s="1">
        <v>43951</v>
      </c>
      <c r="C150">
        <v>536031236</v>
      </c>
      <c r="D150" t="s">
        <v>32</v>
      </c>
      <c r="E150" t="s">
        <v>93</v>
      </c>
      <c r="F150" t="s">
        <v>96</v>
      </c>
      <c r="G150" t="s">
        <v>7</v>
      </c>
      <c r="H150" t="s">
        <v>8</v>
      </c>
      <c r="I150" t="s">
        <v>33</v>
      </c>
      <c r="J150" t="s">
        <v>38</v>
      </c>
      <c r="K150" t="s">
        <v>39</v>
      </c>
      <c r="L150" s="2">
        <v>560</v>
      </c>
      <c r="M150" s="2">
        <v>28</v>
      </c>
      <c r="N150" s="2">
        <f>normalizar!$L150*normalizar!$M150</f>
        <v>15680</v>
      </c>
    </row>
    <row r="151" spans="1:14" x14ac:dyDescent="0.25">
      <c r="A151">
        <v>150</v>
      </c>
      <c r="B151" s="1">
        <v>44039</v>
      </c>
      <c r="C151">
        <v>1875435757</v>
      </c>
      <c r="D151" t="s">
        <v>42</v>
      </c>
      <c r="E151" t="s">
        <v>91</v>
      </c>
      <c r="F151" t="s">
        <v>91</v>
      </c>
      <c r="G151" t="s">
        <v>43</v>
      </c>
      <c r="H151" t="s">
        <v>8</v>
      </c>
      <c r="I151" t="s">
        <v>17</v>
      </c>
      <c r="J151" t="s">
        <v>61</v>
      </c>
      <c r="K151" t="s">
        <v>13</v>
      </c>
      <c r="L151" s="2">
        <v>140</v>
      </c>
      <c r="M151" s="2">
        <v>74</v>
      </c>
      <c r="N151" s="2">
        <f>normalizar!$L151*normalizar!$M151</f>
        <v>10360</v>
      </c>
    </row>
    <row r="152" spans="1:14" x14ac:dyDescent="0.25">
      <c r="A152">
        <v>151</v>
      </c>
      <c r="B152" s="1">
        <v>44141</v>
      </c>
      <c r="C152">
        <v>8711973073</v>
      </c>
      <c r="D152" t="s">
        <v>42</v>
      </c>
      <c r="E152" t="s">
        <v>91</v>
      </c>
      <c r="F152" t="s">
        <v>91</v>
      </c>
      <c r="G152" t="s">
        <v>43</v>
      </c>
      <c r="H152" t="s">
        <v>16</v>
      </c>
      <c r="I152" t="s">
        <v>127</v>
      </c>
      <c r="J152" t="s">
        <v>12</v>
      </c>
      <c r="K152" t="s">
        <v>13</v>
      </c>
      <c r="L152" s="2">
        <v>49</v>
      </c>
      <c r="M152" s="2">
        <v>90</v>
      </c>
      <c r="N152" s="2">
        <f>normalizar!$L152*normalizar!$M152</f>
        <v>4410</v>
      </c>
    </row>
    <row r="153" spans="1:14" x14ac:dyDescent="0.25">
      <c r="A153">
        <v>152</v>
      </c>
      <c r="B153" s="1">
        <v>44169</v>
      </c>
      <c r="C153">
        <v>1214228285</v>
      </c>
      <c r="D153" t="s">
        <v>50</v>
      </c>
      <c r="E153" t="s">
        <v>85</v>
      </c>
      <c r="F153" t="s">
        <v>83</v>
      </c>
      <c r="G153" t="s">
        <v>41</v>
      </c>
      <c r="H153" t="s">
        <v>25</v>
      </c>
      <c r="I153" t="s">
        <v>127</v>
      </c>
      <c r="J153" t="s">
        <v>38</v>
      </c>
      <c r="K153" t="s">
        <v>39</v>
      </c>
      <c r="L153" s="2">
        <v>560</v>
      </c>
      <c r="M153" s="2">
        <v>27</v>
      </c>
      <c r="N153" s="2">
        <f>normalizar!$L153*normalizar!$M153</f>
        <v>15120</v>
      </c>
    </row>
    <row r="154" spans="1:14" x14ac:dyDescent="0.25">
      <c r="A154">
        <v>153</v>
      </c>
      <c r="B154" s="1">
        <v>44083</v>
      </c>
      <c r="C154">
        <v>3447948983</v>
      </c>
      <c r="D154" t="s">
        <v>51</v>
      </c>
      <c r="E154" t="s">
        <v>90</v>
      </c>
      <c r="F154" t="s">
        <v>98</v>
      </c>
      <c r="G154" t="s">
        <v>24</v>
      </c>
      <c r="H154" t="s">
        <v>25</v>
      </c>
      <c r="I154" t="s">
        <v>127</v>
      </c>
      <c r="J154" t="s">
        <v>52</v>
      </c>
      <c r="K154" t="s">
        <v>53</v>
      </c>
      <c r="L154" s="2">
        <v>257.59999999999997</v>
      </c>
      <c r="M154" s="2">
        <v>71</v>
      </c>
      <c r="N154" s="2">
        <f>normalizar!$L154*normalizar!$M154</f>
        <v>18289.599999999999</v>
      </c>
    </row>
    <row r="155" spans="1:14" x14ac:dyDescent="0.25">
      <c r="A155">
        <v>154</v>
      </c>
      <c r="B155" s="1">
        <v>43963</v>
      </c>
      <c r="C155">
        <v>8753770178</v>
      </c>
      <c r="D155" t="s">
        <v>40</v>
      </c>
      <c r="E155" t="s">
        <v>97</v>
      </c>
      <c r="F155" t="s">
        <v>88</v>
      </c>
      <c r="G155" t="s">
        <v>41</v>
      </c>
      <c r="H155" t="s">
        <v>25</v>
      </c>
      <c r="I155" t="s">
        <v>17</v>
      </c>
      <c r="J155" t="s">
        <v>22</v>
      </c>
      <c r="K155" t="s">
        <v>11</v>
      </c>
      <c r="L155" s="2">
        <v>644</v>
      </c>
      <c r="M155" s="2">
        <v>74</v>
      </c>
      <c r="N155" s="2">
        <f>normalizar!$L155*normalizar!$M155</f>
        <v>47656</v>
      </c>
    </row>
    <row r="156" spans="1:14" x14ac:dyDescent="0.25">
      <c r="A156">
        <v>155</v>
      </c>
      <c r="B156" s="1">
        <v>43855</v>
      </c>
      <c r="C156">
        <v>493013693</v>
      </c>
      <c r="D156" t="s">
        <v>54</v>
      </c>
      <c r="E156" t="s">
        <v>89</v>
      </c>
      <c r="F156" t="s">
        <v>84</v>
      </c>
      <c r="G156" t="s">
        <v>55</v>
      </c>
      <c r="H156" t="s">
        <v>16</v>
      </c>
      <c r="I156" t="s">
        <v>9</v>
      </c>
      <c r="J156" t="s">
        <v>34</v>
      </c>
      <c r="K156" t="s">
        <v>35</v>
      </c>
      <c r="L156" s="2">
        <v>135.1</v>
      </c>
      <c r="M156" s="2">
        <v>76</v>
      </c>
      <c r="N156" s="2">
        <f>normalizar!$L156*normalizar!$M156</f>
        <v>10267.6</v>
      </c>
    </row>
    <row r="157" spans="1:14" x14ac:dyDescent="0.25">
      <c r="A157">
        <v>156</v>
      </c>
      <c r="B157" s="1">
        <v>44132</v>
      </c>
      <c r="C157">
        <v>4097578178</v>
      </c>
      <c r="D157" t="s">
        <v>36</v>
      </c>
      <c r="E157" t="s">
        <v>92</v>
      </c>
      <c r="F157" t="s">
        <v>99</v>
      </c>
      <c r="G157" t="s">
        <v>37</v>
      </c>
      <c r="H157" t="s">
        <v>8</v>
      </c>
      <c r="I157" t="s">
        <v>17</v>
      </c>
      <c r="J157" t="s">
        <v>30</v>
      </c>
      <c r="K157" t="s">
        <v>31</v>
      </c>
      <c r="L157" s="2">
        <v>178.5</v>
      </c>
      <c r="M157" s="2">
        <v>96</v>
      </c>
      <c r="N157" s="2">
        <f>normalizar!$L157*normalizar!$M157</f>
        <v>17136</v>
      </c>
    </row>
    <row r="158" spans="1:14" x14ac:dyDescent="0.25">
      <c r="A158">
        <v>157</v>
      </c>
      <c r="B158" s="1">
        <v>44018</v>
      </c>
      <c r="C158">
        <v>9949307477</v>
      </c>
      <c r="D158" t="s">
        <v>23</v>
      </c>
      <c r="E158" t="s">
        <v>86</v>
      </c>
      <c r="F158" t="s">
        <v>82</v>
      </c>
      <c r="G158" t="s">
        <v>24</v>
      </c>
      <c r="H158" t="s">
        <v>8</v>
      </c>
      <c r="I158" t="s">
        <v>9</v>
      </c>
      <c r="J158" t="s">
        <v>30</v>
      </c>
      <c r="K158" t="s">
        <v>31</v>
      </c>
      <c r="L158" s="2">
        <v>178.5</v>
      </c>
      <c r="M158" s="2">
        <v>92</v>
      </c>
      <c r="N158" s="2">
        <f>normalizar!$L158*normalizar!$M158</f>
        <v>16422</v>
      </c>
    </row>
    <row r="159" spans="1:14" x14ac:dyDescent="0.25">
      <c r="A159">
        <v>158</v>
      </c>
      <c r="B159" s="1">
        <v>43972</v>
      </c>
      <c r="C159">
        <v>2521830520</v>
      </c>
      <c r="D159" t="s">
        <v>62</v>
      </c>
      <c r="E159" t="s">
        <v>91</v>
      </c>
      <c r="F159" t="s">
        <v>91</v>
      </c>
      <c r="G159" t="s">
        <v>43</v>
      </c>
      <c r="H159" t="s">
        <v>16</v>
      </c>
      <c r="I159" t="s">
        <v>33</v>
      </c>
      <c r="J159" t="s">
        <v>48</v>
      </c>
      <c r="K159" t="s">
        <v>49</v>
      </c>
      <c r="L159" s="2">
        <v>308</v>
      </c>
      <c r="M159" s="2">
        <v>93</v>
      </c>
      <c r="N159" s="2">
        <f>normalizar!$L159*normalizar!$M159</f>
        <v>28644</v>
      </c>
    </row>
    <row r="160" spans="1:14" x14ac:dyDescent="0.25">
      <c r="A160">
        <v>159</v>
      </c>
      <c r="B160" s="1">
        <v>43982</v>
      </c>
      <c r="C160">
        <v>4224616034</v>
      </c>
      <c r="D160" t="s">
        <v>63</v>
      </c>
      <c r="E160" t="s">
        <v>85</v>
      </c>
      <c r="F160" t="s">
        <v>83</v>
      </c>
      <c r="G160" t="s">
        <v>41</v>
      </c>
      <c r="H160" t="s">
        <v>25</v>
      </c>
      <c r="I160" t="s">
        <v>17</v>
      </c>
      <c r="J160" t="s">
        <v>46</v>
      </c>
      <c r="K160" t="s">
        <v>47</v>
      </c>
      <c r="L160" s="2">
        <v>350</v>
      </c>
      <c r="M160" s="2">
        <v>18</v>
      </c>
      <c r="N160" s="2">
        <f>normalizar!$L160*normalizar!$M160</f>
        <v>6300</v>
      </c>
    </row>
    <row r="161" spans="1:14" x14ac:dyDescent="0.25">
      <c r="A161">
        <v>160</v>
      </c>
      <c r="B161" s="1">
        <v>44049</v>
      </c>
      <c r="C161">
        <v>7169314881</v>
      </c>
      <c r="D161" t="s">
        <v>28</v>
      </c>
      <c r="E161" t="s">
        <v>89</v>
      </c>
      <c r="F161" t="s">
        <v>84</v>
      </c>
      <c r="G161" t="s">
        <v>29</v>
      </c>
      <c r="H161" t="s">
        <v>8</v>
      </c>
      <c r="I161" t="s">
        <v>9</v>
      </c>
      <c r="J161" t="s">
        <v>64</v>
      </c>
      <c r="K161" t="s">
        <v>65</v>
      </c>
      <c r="L161" s="2">
        <v>546</v>
      </c>
      <c r="M161" s="2">
        <v>98</v>
      </c>
      <c r="N161" s="2">
        <f>normalizar!$L161*normalizar!$M161</f>
        <v>53508</v>
      </c>
    </row>
    <row r="162" spans="1:14" x14ac:dyDescent="0.25">
      <c r="A162">
        <v>161</v>
      </c>
      <c r="B162" s="1">
        <v>44018</v>
      </c>
      <c r="C162">
        <v>8313545064</v>
      </c>
      <c r="D162" t="s">
        <v>36</v>
      </c>
      <c r="E162" t="s">
        <v>92</v>
      </c>
      <c r="F162" t="s">
        <v>99</v>
      </c>
      <c r="G162" t="s">
        <v>37</v>
      </c>
      <c r="H162" t="s">
        <v>25</v>
      </c>
      <c r="I162" t="s">
        <v>9</v>
      </c>
      <c r="J162" t="s">
        <v>18</v>
      </c>
      <c r="K162" t="s">
        <v>13</v>
      </c>
      <c r="L162" s="2">
        <v>420</v>
      </c>
      <c r="M162" s="2">
        <v>46</v>
      </c>
      <c r="N162" s="2">
        <f>normalizar!$L162*normalizar!$M162</f>
        <v>19320</v>
      </c>
    </row>
    <row r="163" spans="1:14" x14ac:dyDescent="0.25">
      <c r="A163">
        <v>162</v>
      </c>
      <c r="B163" s="1">
        <v>44064</v>
      </c>
      <c r="C163">
        <v>5739621013</v>
      </c>
      <c r="D163" t="s">
        <v>36</v>
      </c>
      <c r="E163" t="s">
        <v>92</v>
      </c>
      <c r="F163" t="s">
        <v>99</v>
      </c>
      <c r="G163" t="s">
        <v>37</v>
      </c>
      <c r="H163" t="s">
        <v>25</v>
      </c>
      <c r="I163" t="s">
        <v>9</v>
      </c>
      <c r="J163" t="s">
        <v>19</v>
      </c>
      <c r="K163" t="s">
        <v>13</v>
      </c>
      <c r="L163" s="2">
        <v>742</v>
      </c>
      <c r="M163" s="2">
        <v>14</v>
      </c>
      <c r="N163" s="2">
        <f>normalizar!$L163*normalizar!$M163</f>
        <v>10388</v>
      </c>
    </row>
    <row r="164" spans="1:14" x14ac:dyDescent="0.25">
      <c r="A164">
        <v>163</v>
      </c>
      <c r="B164" s="1">
        <v>43942</v>
      </c>
      <c r="C164">
        <v>1789830506</v>
      </c>
      <c r="D164" t="s">
        <v>14</v>
      </c>
      <c r="E164" t="s">
        <v>81</v>
      </c>
      <c r="F164" t="s">
        <v>94</v>
      </c>
      <c r="G164" t="s">
        <v>15</v>
      </c>
      <c r="H164" t="s">
        <v>127</v>
      </c>
      <c r="I164" t="s">
        <v>127</v>
      </c>
      <c r="J164" t="s">
        <v>66</v>
      </c>
      <c r="K164" t="s">
        <v>57</v>
      </c>
      <c r="L164" s="2">
        <v>532</v>
      </c>
      <c r="M164" s="2">
        <v>85</v>
      </c>
      <c r="N164" s="2">
        <f>normalizar!$L164*normalizar!$M164</f>
        <v>45220</v>
      </c>
    </row>
    <row r="165" spans="1:14" x14ac:dyDescent="0.25">
      <c r="A165">
        <v>164</v>
      </c>
      <c r="B165" s="1">
        <v>44098</v>
      </c>
      <c r="C165">
        <v>6281652174</v>
      </c>
      <c r="D165" t="s">
        <v>32</v>
      </c>
      <c r="E165" t="s">
        <v>93</v>
      </c>
      <c r="F165" t="s">
        <v>96</v>
      </c>
      <c r="G165" t="s">
        <v>7</v>
      </c>
      <c r="H165" t="s">
        <v>127</v>
      </c>
      <c r="I165" t="s">
        <v>127</v>
      </c>
      <c r="J165" t="s">
        <v>44</v>
      </c>
      <c r="K165" t="s">
        <v>11</v>
      </c>
      <c r="L165" s="2">
        <v>41.86</v>
      </c>
      <c r="M165" s="2">
        <v>88</v>
      </c>
      <c r="N165" s="2">
        <f>normalizar!$L165*normalizar!$M165</f>
        <v>3683.68</v>
      </c>
    </row>
    <row r="166" spans="1:14" x14ac:dyDescent="0.25">
      <c r="A166">
        <v>165</v>
      </c>
      <c r="B166" s="1">
        <v>43859</v>
      </c>
      <c r="C166">
        <v>8126696083</v>
      </c>
      <c r="D166" t="s">
        <v>51</v>
      </c>
      <c r="E166" t="s">
        <v>90</v>
      </c>
      <c r="F166" t="s">
        <v>98</v>
      </c>
      <c r="G166" t="s">
        <v>24</v>
      </c>
      <c r="H166" t="s">
        <v>127</v>
      </c>
      <c r="I166" t="s">
        <v>127</v>
      </c>
      <c r="J166" t="s">
        <v>44</v>
      </c>
      <c r="K166" t="s">
        <v>11</v>
      </c>
      <c r="L166" s="2">
        <v>41.86</v>
      </c>
      <c r="M166" s="2">
        <v>81</v>
      </c>
      <c r="N166" s="2">
        <f>normalizar!$L166*normalizar!$M166</f>
        <v>3390.66</v>
      </c>
    </row>
    <row r="167" spans="1:14" x14ac:dyDescent="0.25">
      <c r="A167">
        <v>166</v>
      </c>
      <c r="B167" s="1">
        <v>44160</v>
      </c>
      <c r="C167">
        <v>2706456269</v>
      </c>
      <c r="D167" t="s">
        <v>40</v>
      </c>
      <c r="E167" t="s">
        <v>97</v>
      </c>
      <c r="F167" t="s">
        <v>88</v>
      </c>
      <c r="G167" t="s">
        <v>41</v>
      </c>
      <c r="H167" t="s">
        <v>25</v>
      </c>
      <c r="I167" t="s">
        <v>17</v>
      </c>
      <c r="J167" t="s">
        <v>34</v>
      </c>
      <c r="K167" t="s">
        <v>35</v>
      </c>
      <c r="L167" s="2">
        <v>135.1</v>
      </c>
      <c r="M167" s="2">
        <v>33</v>
      </c>
      <c r="N167" s="2">
        <f>normalizar!$L167*normalizar!$M167</f>
        <v>4458.3</v>
      </c>
    </row>
    <row r="168" spans="1:14" x14ac:dyDescent="0.25">
      <c r="A168">
        <v>167</v>
      </c>
      <c r="B168" s="1">
        <v>44167</v>
      </c>
      <c r="C168">
        <v>6159315697</v>
      </c>
      <c r="D168" t="s">
        <v>40</v>
      </c>
      <c r="E168" t="s">
        <v>97</v>
      </c>
      <c r="F168" t="s">
        <v>88</v>
      </c>
      <c r="G168" t="s">
        <v>41</v>
      </c>
      <c r="H168" t="s">
        <v>25</v>
      </c>
      <c r="I168" t="s">
        <v>17</v>
      </c>
      <c r="J168" t="s">
        <v>52</v>
      </c>
      <c r="K168" t="s">
        <v>53</v>
      </c>
      <c r="L168" s="2">
        <v>257.59999999999997</v>
      </c>
      <c r="M168" s="2">
        <v>47</v>
      </c>
      <c r="N168" s="2">
        <f>normalizar!$L168*normalizar!$M168</f>
        <v>12107.199999999999</v>
      </c>
    </row>
    <row r="169" spans="1:14" x14ac:dyDescent="0.25">
      <c r="A169">
        <v>168</v>
      </c>
      <c r="B169" s="1">
        <v>44026</v>
      </c>
      <c r="C169">
        <v>2749029538</v>
      </c>
      <c r="D169" t="s">
        <v>54</v>
      </c>
      <c r="E169" t="s">
        <v>89</v>
      </c>
      <c r="F169" t="s">
        <v>84</v>
      </c>
      <c r="G169" t="s">
        <v>55</v>
      </c>
      <c r="H169" t="s">
        <v>16</v>
      </c>
      <c r="I169" t="s">
        <v>9</v>
      </c>
      <c r="J169" t="s">
        <v>56</v>
      </c>
      <c r="K169" t="s">
        <v>57</v>
      </c>
      <c r="L169" s="2">
        <v>273</v>
      </c>
      <c r="M169" s="2">
        <v>61</v>
      </c>
      <c r="N169" s="2">
        <f>normalizar!$L169*normalizar!$M169</f>
        <v>16653</v>
      </c>
    </row>
    <row r="170" spans="1:14" x14ac:dyDescent="0.25">
      <c r="A170">
        <v>169</v>
      </c>
      <c r="B170" s="1">
        <v>43998</v>
      </c>
      <c r="C170">
        <v>9017454158</v>
      </c>
      <c r="D170" t="s">
        <v>54</v>
      </c>
      <c r="E170" t="s">
        <v>89</v>
      </c>
      <c r="F170" t="s">
        <v>84</v>
      </c>
      <c r="G170" t="s">
        <v>55</v>
      </c>
      <c r="H170" t="s">
        <v>16</v>
      </c>
      <c r="I170" t="s">
        <v>9</v>
      </c>
      <c r="J170" t="s">
        <v>58</v>
      </c>
      <c r="K170" t="s">
        <v>59</v>
      </c>
      <c r="L170" s="2">
        <v>487.19999999999993</v>
      </c>
      <c r="M170" s="2">
        <v>27</v>
      </c>
      <c r="N170" s="2">
        <f>normalizar!$L170*normalizar!$M170</f>
        <v>13154.399999999998</v>
      </c>
    </row>
    <row r="171" spans="1:14" x14ac:dyDescent="0.25">
      <c r="A171">
        <v>170</v>
      </c>
      <c r="B171" s="1">
        <v>43893</v>
      </c>
      <c r="C171">
        <v>445300235</v>
      </c>
      <c r="D171" t="s">
        <v>36</v>
      </c>
      <c r="E171" t="s">
        <v>92</v>
      </c>
      <c r="F171" t="s">
        <v>99</v>
      </c>
      <c r="G171" t="s">
        <v>37</v>
      </c>
      <c r="H171" t="s">
        <v>8</v>
      </c>
      <c r="I171" t="s">
        <v>17</v>
      </c>
      <c r="J171" t="s">
        <v>10</v>
      </c>
      <c r="K171" t="s">
        <v>11</v>
      </c>
      <c r="L171" s="2">
        <v>196</v>
      </c>
      <c r="M171" s="2">
        <v>84</v>
      </c>
      <c r="N171" s="2">
        <f>normalizar!$L171*normalizar!$M171</f>
        <v>16464</v>
      </c>
    </row>
    <row r="172" spans="1:14" x14ac:dyDescent="0.25">
      <c r="A172">
        <v>171</v>
      </c>
      <c r="B172" s="1">
        <v>43844</v>
      </c>
      <c r="C172">
        <v>3498781571</v>
      </c>
      <c r="D172" t="s">
        <v>23</v>
      </c>
      <c r="E172" t="s">
        <v>86</v>
      </c>
      <c r="F172" t="s">
        <v>82</v>
      </c>
      <c r="G172" t="s">
        <v>24</v>
      </c>
      <c r="H172" t="s">
        <v>8</v>
      </c>
      <c r="I172" t="s">
        <v>9</v>
      </c>
      <c r="J172" t="s">
        <v>38</v>
      </c>
      <c r="K172" t="s">
        <v>39</v>
      </c>
      <c r="L172" s="2">
        <v>560</v>
      </c>
      <c r="M172" s="2">
        <v>91</v>
      </c>
      <c r="N172" s="2">
        <f>normalizar!$L172*normalizar!$M172</f>
        <v>50960</v>
      </c>
    </row>
    <row r="173" spans="1:14" x14ac:dyDescent="0.25">
      <c r="A173">
        <v>172</v>
      </c>
      <c r="B173" s="1">
        <v>44008</v>
      </c>
      <c r="C173">
        <v>376477229</v>
      </c>
      <c r="D173" t="s">
        <v>23</v>
      </c>
      <c r="E173" t="s">
        <v>86</v>
      </c>
      <c r="F173" t="s">
        <v>82</v>
      </c>
      <c r="G173" t="s">
        <v>24</v>
      </c>
      <c r="H173" t="s">
        <v>8</v>
      </c>
      <c r="I173" t="s">
        <v>9</v>
      </c>
      <c r="J173" t="s">
        <v>26</v>
      </c>
      <c r="K173" t="s">
        <v>27</v>
      </c>
      <c r="L173" s="2">
        <v>128.79999999999998</v>
      </c>
      <c r="M173" s="2">
        <v>36</v>
      </c>
      <c r="N173" s="2">
        <f>normalizar!$L173*normalizar!$M173</f>
        <v>4636.7999999999993</v>
      </c>
    </row>
    <row r="174" spans="1:14" x14ac:dyDescent="0.25">
      <c r="A174">
        <v>173</v>
      </c>
      <c r="B174" s="1">
        <v>44119</v>
      </c>
      <c r="C174">
        <v>1790721708</v>
      </c>
      <c r="D174" t="s">
        <v>62</v>
      </c>
      <c r="E174" t="s">
        <v>91</v>
      </c>
      <c r="F174" t="s">
        <v>91</v>
      </c>
      <c r="G174" t="s">
        <v>43</v>
      </c>
      <c r="H174" t="s">
        <v>16</v>
      </c>
      <c r="I174" t="s">
        <v>33</v>
      </c>
      <c r="J174" t="s">
        <v>67</v>
      </c>
      <c r="K174" t="s">
        <v>27</v>
      </c>
      <c r="L174" s="2">
        <v>140</v>
      </c>
      <c r="M174" s="2">
        <v>34</v>
      </c>
      <c r="N174" s="2">
        <f>normalizar!$L174*normalizar!$M174</f>
        <v>4760</v>
      </c>
    </row>
    <row r="175" spans="1:14" x14ac:dyDescent="0.25">
      <c r="A175">
        <v>174</v>
      </c>
      <c r="B175" s="1">
        <v>43831</v>
      </c>
      <c r="C175">
        <v>434033868</v>
      </c>
      <c r="D175" t="s">
        <v>63</v>
      </c>
      <c r="E175" t="s">
        <v>85</v>
      </c>
      <c r="F175" t="s">
        <v>83</v>
      </c>
      <c r="G175" t="s">
        <v>41</v>
      </c>
      <c r="H175" t="s">
        <v>25</v>
      </c>
      <c r="I175" t="s">
        <v>17</v>
      </c>
      <c r="J175" t="s">
        <v>68</v>
      </c>
      <c r="K175" t="s">
        <v>69</v>
      </c>
      <c r="L175" s="2">
        <v>298.90000000000003</v>
      </c>
      <c r="M175" s="2">
        <v>81</v>
      </c>
      <c r="N175" s="2">
        <f>normalizar!$L175*normalizar!$M175</f>
        <v>24210.9</v>
      </c>
    </row>
    <row r="176" spans="1:14" x14ac:dyDescent="0.25">
      <c r="A176">
        <v>175</v>
      </c>
      <c r="B176" s="1">
        <v>44054</v>
      </c>
      <c r="C176">
        <v>3247684317</v>
      </c>
      <c r="D176" t="s">
        <v>63</v>
      </c>
      <c r="E176" t="s">
        <v>85</v>
      </c>
      <c r="F176" t="s">
        <v>83</v>
      </c>
      <c r="G176" t="s">
        <v>41</v>
      </c>
      <c r="H176" t="s">
        <v>25</v>
      </c>
      <c r="I176" t="s">
        <v>17</v>
      </c>
      <c r="J176" t="s">
        <v>34</v>
      </c>
      <c r="K176" t="s">
        <v>35</v>
      </c>
      <c r="L176" s="2">
        <v>135.1</v>
      </c>
      <c r="M176" s="2">
        <v>25</v>
      </c>
      <c r="N176" s="2">
        <f>normalizar!$L176*normalizar!$M176</f>
        <v>3377.5</v>
      </c>
    </row>
    <row r="177" spans="1:14" x14ac:dyDescent="0.25">
      <c r="A177">
        <v>176</v>
      </c>
      <c r="B177" s="1">
        <v>43933</v>
      </c>
      <c r="C177">
        <v>6492121203</v>
      </c>
      <c r="D177" t="s">
        <v>63</v>
      </c>
      <c r="E177" t="s">
        <v>85</v>
      </c>
      <c r="F177" t="s">
        <v>83</v>
      </c>
      <c r="G177" t="s">
        <v>41</v>
      </c>
      <c r="H177" t="s">
        <v>25</v>
      </c>
      <c r="I177" t="s">
        <v>17</v>
      </c>
      <c r="J177" t="s">
        <v>52</v>
      </c>
      <c r="K177" t="s">
        <v>53</v>
      </c>
      <c r="L177" s="2">
        <v>257.59999999999997</v>
      </c>
      <c r="M177" s="2">
        <v>12</v>
      </c>
      <c r="N177" s="2">
        <f>normalizar!$L177*normalizar!$M177</f>
        <v>3091.2</v>
      </c>
    </row>
    <row r="178" spans="1:14" x14ac:dyDescent="0.25">
      <c r="A178">
        <v>177</v>
      </c>
      <c r="B178" s="1">
        <v>43859</v>
      </c>
      <c r="C178">
        <v>1661667624</v>
      </c>
      <c r="D178" t="s">
        <v>28</v>
      </c>
      <c r="E178" t="s">
        <v>89</v>
      </c>
      <c r="F178" t="s">
        <v>84</v>
      </c>
      <c r="G178" t="s">
        <v>29</v>
      </c>
      <c r="H178" t="s">
        <v>8</v>
      </c>
      <c r="I178" t="s">
        <v>9</v>
      </c>
      <c r="J178" t="s">
        <v>10</v>
      </c>
      <c r="K178" t="s">
        <v>11</v>
      </c>
      <c r="L178" s="2">
        <v>196</v>
      </c>
      <c r="M178" s="2">
        <v>23</v>
      </c>
      <c r="N178" s="2">
        <f>normalizar!$L178*normalizar!$M178</f>
        <v>4508</v>
      </c>
    </row>
    <row r="179" spans="1:14" x14ac:dyDescent="0.25">
      <c r="A179">
        <v>178</v>
      </c>
      <c r="B179" s="1">
        <v>44188</v>
      </c>
      <c r="C179">
        <v>1127190015</v>
      </c>
      <c r="D179" t="s">
        <v>36</v>
      </c>
      <c r="E179" t="s">
        <v>92</v>
      </c>
      <c r="F179" t="s">
        <v>99</v>
      </c>
      <c r="G179" t="s">
        <v>37</v>
      </c>
      <c r="H179" t="s">
        <v>25</v>
      </c>
      <c r="I179" t="s">
        <v>9</v>
      </c>
      <c r="J179" t="s">
        <v>30</v>
      </c>
      <c r="K179" t="s">
        <v>31</v>
      </c>
      <c r="L179" s="2">
        <v>178.5</v>
      </c>
      <c r="M179" s="2">
        <v>76</v>
      </c>
      <c r="N179" s="2">
        <f>normalizar!$L179*normalizar!$M179</f>
        <v>13566</v>
      </c>
    </row>
    <row r="180" spans="1:14" x14ac:dyDescent="0.25">
      <c r="A180">
        <v>179</v>
      </c>
      <c r="B180" s="1">
        <v>43937</v>
      </c>
      <c r="C180">
        <v>7862399002</v>
      </c>
      <c r="D180" t="s">
        <v>14</v>
      </c>
      <c r="E180" t="s">
        <v>81</v>
      </c>
      <c r="F180" t="s">
        <v>94</v>
      </c>
      <c r="G180" t="s">
        <v>15</v>
      </c>
      <c r="H180" t="s">
        <v>16</v>
      </c>
      <c r="I180" t="s">
        <v>17</v>
      </c>
      <c r="J180" t="s">
        <v>70</v>
      </c>
      <c r="K180" t="s">
        <v>47</v>
      </c>
      <c r="L180" s="2">
        <v>1134</v>
      </c>
      <c r="M180" s="2">
        <v>55</v>
      </c>
      <c r="N180" s="2">
        <f>normalizar!$L180*normalizar!$M180</f>
        <v>62370</v>
      </c>
    </row>
    <row r="181" spans="1:14" x14ac:dyDescent="0.25">
      <c r="A181">
        <v>180</v>
      </c>
      <c r="B181" s="1">
        <v>44083</v>
      </c>
      <c r="C181">
        <v>9568142105</v>
      </c>
      <c r="D181" t="s">
        <v>14</v>
      </c>
      <c r="E181" t="s">
        <v>81</v>
      </c>
      <c r="F181" t="s">
        <v>94</v>
      </c>
      <c r="G181" t="s">
        <v>15</v>
      </c>
      <c r="H181" t="s">
        <v>16</v>
      </c>
      <c r="I181" t="s">
        <v>17</v>
      </c>
      <c r="J181" t="s">
        <v>71</v>
      </c>
      <c r="K181" t="s">
        <v>72</v>
      </c>
      <c r="L181" s="2">
        <v>98</v>
      </c>
      <c r="M181" s="2">
        <v>19</v>
      </c>
      <c r="N181" s="2">
        <f>normalizar!$L181*normalizar!$M181</f>
        <v>1862</v>
      </c>
    </row>
    <row r="182" spans="1:14" x14ac:dyDescent="0.25">
      <c r="A182">
        <v>181</v>
      </c>
      <c r="B182" s="1">
        <v>43864</v>
      </c>
      <c r="C182">
        <v>1181634254</v>
      </c>
      <c r="D182" t="s">
        <v>23</v>
      </c>
      <c r="E182" t="s">
        <v>86</v>
      </c>
      <c r="F182" t="s">
        <v>82</v>
      </c>
      <c r="G182" t="s">
        <v>24</v>
      </c>
      <c r="H182" t="s">
        <v>25</v>
      </c>
      <c r="I182" t="s">
        <v>17</v>
      </c>
      <c r="J182" t="s">
        <v>58</v>
      </c>
      <c r="K182" t="s">
        <v>59</v>
      </c>
      <c r="L182" s="2">
        <v>487.19999999999993</v>
      </c>
      <c r="M182" s="2">
        <v>27</v>
      </c>
      <c r="N182" s="2">
        <f>normalizar!$L182*normalizar!$M182</f>
        <v>13154.399999999998</v>
      </c>
    </row>
    <row r="183" spans="1:14" x14ac:dyDescent="0.25">
      <c r="A183">
        <v>182</v>
      </c>
      <c r="B183" s="1">
        <v>44052</v>
      </c>
      <c r="C183">
        <v>5404968765</v>
      </c>
      <c r="D183" t="s">
        <v>32</v>
      </c>
      <c r="E183" t="s">
        <v>93</v>
      </c>
      <c r="F183" t="s">
        <v>96</v>
      </c>
      <c r="G183" t="s">
        <v>7</v>
      </c>
      <c r="H183" t="s">
        <v>8</v>
      </c>
      <c r="I183" t="s">
        <v>33</v>
      </c>
      <c r="J183" t="s">
        <v>60</v>
      </c>
      <c r="K183" t="s">
        <v>49</v>
      </c>
      <c r="L183" s="2">
        <v>140</v>
      </c>
      <c r="M183" s="2">
        <v>99</v>
      </c>
      <c r="N183" s="2">
        <f>normalizar!$L183*normalizar!$M183</f>
        <v>13860</v>
      </c>
    </row>
    <row r="184" spans="1:14" x14ac:dyDescent="0.25">
      <c r="A184">
        <v>183</v>
      </c>
      <c r="B184" s="1">
        <v>43959</v>
      </c>
      <c r="C184">
        <v>2431996009</v>
      </c>
      <c r="D184" t="s">
        <v>32</v>
      </c>
      <c r="E184" t="s">
        <v>93</v>
      </c>
      <c r="F184" t="s">
        <v>96</v>
      </c>
      <c r="G184" t="s">
        <v>7</v>
      </c>
      <c r="H184" t="s">
        <v>8</v>
      </c>
      <c r="I184" t="s">
        <v>33</v>
      </c>
      <c r="J184" t="s">
        <v>38</v>
      </c>
      <c r="K184" t="s">
        <v>39</v>
      </c>
      <c r="L184" s="2">
        <v>560</v>
      </c>
      <c r="M184" s="2">
        <v>10</v>
      </c>
      <c r="N184" s="2">
        <f>normalizar!$L184*normalizar!$M184</f>
        <v>5600</v>
      </c>
    </row>
    <row r="185" spans="1:14" x14ac:dyDescent="0.25">
      <c r="A185">
        <v>184</v>
      </c>
      <c r="B185" s="1">
        <v>44101</v>
      </c>
      <c r="C185">
        <v>6373385557</v>
      </c>
      <c r="D185" t="s">
        <v>42</v>
      </c>
      <c r="E185" t="s">
        <v>91</v>
      </c>
      <c r="F185" t="s">
        <v>91</v>
      </c>
      <c r="G185" t="s">
        <v>43</v>
      </c>
      <c r="H185" t="s">
        <v>8</v>
      </c>
      <c r="I185" t="s">
        <v>17</v>
      </c>
      <c r="J185" t="s">
        <v>61</v>
      </c>
      <c r="K185" t="s">
        <v>13</v>
      </c>
      <c r="L185" s="2">
        <v>140</v>
      </c>
      <c r="M185" s="2">
        <v>80</v>
      </c>
      <c r="N185" s="2">
        <f>normalizar!$L185*normalizar!$M185</f>
        <v>11200</v>
      </c>
    </row>
    <row r="186" spans="1:14" x14ac:dyDescent="0.25">
      <c r="A186">
        <v>185</v>
      </c>
      <c r="B186" s="1">
        <v>44069</v>
      </c>
      <c r="C186">
        <v>5411926783</v>
      </c>
      <c r="D186" t="s">
        <v>42</v>
      </c>
      <c r="E186" t="s">
        <v>91</v>
      </c>
      <c r="F186" t="s">
        <v>91</v>
      </c>
      <c r="G186" t="s">
        <v>43</v>
      </c>
      <c r="H186" t="s">
        <v>16</v>
      </c>
      <c r="I186" t="s">
        <v>127</v>
      </c>
      <c r="J186" t="s">
        <v>12</v>
      </c>
      <c r="K186" t="s">
        <v>13</v>
      </c>
      <c r="L186" s="2">
        <v>49</v>
      </c>
      <c r="M186" s="2">
        <v>27</v>
      </c>
      <c r="N186" s="2">
        <f>normalizar!$L186*normalizar!$M186</f>
        <v>1323</v>
      </c>
    </row>
    <row r="187" spans="1:14" x14ac:dyDescent="0.25">
      <c r="A187">
        <v>186</v>
      </c>
      <c r="B187" s="1">
        <v>44118</v>
      </c>
      <c r="C187">
        <v>8397590471</v>
      </c>
      <c r="D187" t="s">
        <v>50</v>
      </c>
      <c r="E187" t="s">
        <v>85</v>
      </c>
      <c r="F187" t="s">
        <v>83</v>
      </c>
      <c r="G187" t="s">
        <v>41</v>
      </c>
      <c r="H187" t="s">
        <v>25</v>
      </c>
      <c r="I187" t="s">
        <v>127</v>
      </c>
      <c r="J187" t="s">
        <v>38</v>
      </c>
      <c r="K187" t="s">
        <v>39</v>
      </c>
      <c r="L187" s="2">
        <v>560</v>
      </c>
      <c r="M187" s="2">
        <v>97</v>
      </c>
      <c r="N187" s="2">
        <f>normalizar!$L187*normalizar!$M187</f>
        <v>54320</v>
      </c>
    </row>
    <row r="188" spans="1:14" x14ac:dyDescent="0.25">
      <c r="A188">
        <v>187</v>
      </c>
      <c r="B188" s="1">
        <v>44038</v>
      </c>
      <c r="C188">
        <v>5905399576</v>
      </c>
      <c r="D188" t="s">
        <v>51</v>
      </c>
      <c r="E188" t="s">
        <v>90</v>
      </c>
      <c r="F188" t="s">
        <v>98</v>
      </c>
      <c r="G188" t="s">
        <v>24</v>
      </c>
      <c r="H188" t="s">
        <v>25</v>
      </c>
      <c r="I188" t="s">
        <v>127</v>
      </c>
      <c r="J188" t="s">
        <v>52</v>
      </c>
      <c r="K188" t="s">
        <v>53</v>
      </c>
      <c r="L188" s="2">
        <v>257.59999999999997</v>
      </c>
      <c r="M188" s="2">
        <v>42</v>
      </c>
      <c r="N188" s="2">
        <f>normalizar!$L188*normalizar!$M188</f>
        <v>10819.199999999999</v>
      </c>
    </row>
    <row r="189" spans="1:14" x14ac:dyDescent="0.25">
      <c r="A189">
        <v>188</v>
      </c>
      <c r="B189" s="1">
        <v>43947</v>
      </c>
      <c r="C189">
        <v>168682758</v>
      </c>
      <c r="D189" t="s">
        <v>40</v>
      </c>
      <c r="E189" t="s">
        <v>97</v>
      </c>
      <c r="F189" t="s">
        <v>88</v>
      </c>
      <c r="G189" t="s">
        <v>41</v>
      </c>
      <c r="H189" t="s">
        <v>25</v>
      </c>
      <c r="I189" t="s">
        <v>17</v>
      </c>
      <c r="J189" t="s">
        <v>22</v>
      </c>
      <c r="K189" t="s">
        <v>11</v>
      </c>
      <c r="L189" s="2">
        <v>644</v>
      </c>
      <c r="M189" s="2">
        <v>24</v>
      </c>
      <c r="N189" s="2">
        <f>normalizar!$L189*normalizar!$M189</f>
        <v>15456</v>
      </c>
    </row>
    <row r="190" spans="1:14" x14ac:dyDescent="0.25">
      <c r="A190">
        <v>189</v>
      </c>
      <c r="B190" s="1">
        <v>44162</v>
      </c>
      <c r="C190">
        <v>4992553897</v>
      </c>
      <c r="D190" t="s">
        <v>54</v>
      </c>
      <c r="E190" t="s">
        <v>89</v>
      </c>
      <c r="F190" t="s">
        <v>84</v>
      </c>
      <c r="G190" t="s">
        <v>55</v>
      </c>
      <c r="H190" t="s">
        <v>16</v>
      </c>
      <c r="I190" t="s">
        <v>9</v>
      </c>
      <c r="J190" t="s">
        <v>34</v>
      </c>
      <c r="K190" t="s">
        <v>35</v>
      </c>
      <c r="L190" s="2">
        <v>135.1</v>
      </c>
      <c r="M190" s="2">
        <v>90</v>
      </c>
      <c r="N190" s="2">
        <f>normalizar!$L190*normalizar!$M190</f>
        <v>12159</v>
      </c>
    </row>
    <row r="191" spans="1:14" x14ac:dyDescent="0.25">
      <c r="A191">
        <v>190</v>
      </c>
      <c r="B191" s="1">
        <v>44160</v>
      </c>
      <c r="C191">
        <v>9609810399</v>
      </c>
      <c r="D191" t="s">
        <v>36</v>
      </c>
      <c r="E191" t="s">
        <v>92</v>
      </c>
      <c r="F191" t="s">
        <v>99</v>
      </c>
      <c r="G191" t="s">
        <v>37</v>
      </c>
      <c r="H191" t="s">
        <v>8</v>
      </c>
      <c r="I191" t="s">
        <v>17</v>
      </c>
      <c r="J191" t="s">
        <v>30</v>
      </c>
      <c r="K191" t="s">
        <v>31</v>
      </c>
      <c r="L191" s="2">
        <v>178.5</v>
      </c>
      <c r="M191" s="2">
        <v>28</v>
      </c>
      <c r="N191" s="2">
        <f>normalizar!$L191*normalizar!$M191</f>
        <v>4998</v>
      </c>
    </row>
    <row r="192" spans="1:14" x14ac:dyDescent="0.25">
      <c r="A192">
        <v>191</v>
      </c>
      <c r="B192" s="1">
        <v>44045</v>
      </c>
      <c r="C192">
        <v>1537469039</v>
      </c>
      <c r="D192" t="s">
        <v>40</v>
      </c>
      <c r="E192" t="s">
        <v>97</v>
      </c>
      <c r="F192" t="s">
        <v>88</v>
      </c>
      <c r="G192" t="s">
        <v>41</v>
      </c>
      <c r="H192" t="s">
        <v>25</v>
      </c>
      <c r="I192" t="s">
        <v>9</v>
      </c>
      <c r="J192" t="s">
        <v>22</v>
      </c>
      <c r="K192" t="s">
        <v>11</v>
      </c>
      <c r="L192" s="2">
        <v>644</v>
      </c>
      <c r="M192" s="2">
        <v>28</v>
      </c>
      <c r="N192" s="2">
        <f>normalizar!$L192*normalizar!$M192</f>
        <v>18032</v>
      </c>
    </row>
    <row r="193" spans="1:14" x14ac:dyDescent="0.25">
      <c r="A193">
        <v>192</v>
      </c>
      <c r="B193" s="1">
        <v>44049</v>
      </c>
      <c r="C193">
        <v>2018401595</v>
      </c>
      <c r="D193" t="s">
        <v>23</v>
      </c>
      <c r="E193" t="s">
        <v>86</v>
      </c>
      <c r="F193" t="s">
        <v>82</v>
      </c>
      <c r="G193" t="s">
        <v>24</v>
      </c>
      <c r="H193" t="s">
        <v>25</v>
      </c>
      <c r="I193" t="s">
        <v>9</v>
      </c>
      <c r="J193" t="s">
        <v>30</v>
      </c>
      <c r="K193" t="s">
        <v>31</v>
      </c>
      <c r="L193" s="2">
        <v>178.5</v>
      </c>
      <c r="M193" s="2">
        <v>57</v>
      </c>
      <c r="N193" s="2">
        <f>normalizar!$L193*normalizar!$M193</f>
        <v>10174.5</v>
      </c>
    </row>
    <row r="194" spans="1:14" x14ac:dyDescent="0.25">
      <c r="A194">
        <v>193</v>
      </c>
      <c r="B194" s="1">
        <v>43961</v>
      </c>
      <c r="C194">
        <v>1129934476</v>
      </c>
      <c r="D194" t="s">
        <v>42</v>
      </c>
      <c r="E194" t="s">
        <v>91</v>
      </c>
      <c r="F194" t="s">
        <v>91</v>
      </c>
      <c r="G194" t="s">
        <v>43</v>
      </c>
      <c r="H194" t="s">
        <v>8</v>
      </c>
      <c r="I194" t="s">
        <v>17</v>
      </c>
      <c r="J194" t="s">
        <v>44</v>
      </c>
      <c r="K194" t="s">
        <v>11</v>
      </c>
      <c r="L194" s="2">
        <v>41.86</v>
      </c>
      <c r="M194" s="2">
        <v>23</v>
      </c>
      <c r="N194" s="2">
        <f>normalizar!$L194*normalizar!$M194</f>
        <v>962.78</v>
      </c>
    </row>
    <row r="195" spans="1:14" x14ac:dyDescent="0.25">
      <c r="A195">
        <v>194</v>
      </c>
      <c r="B195" s="1">
        <v>43929</v>
      </c>
      <c r="C195">
        <v>878400496</v>
      </c>
      <c r="D195" t="s">
        <v>45</v>
      </c>
      <c r="E195" t="s">
        <v>87</v>
      </c>
      <c r="F195" t="s">
        <v>87</v>
      </c>
      <c r="G195" t="s">
        <v>24</v>
      </c>
      <c r="H195" t="s">
        <v>127</v>
      </c>
      <c r="I195" t="s">
        <v>127</v>
      </c>
      <c r="J195" t="s">
        <v>22</v>
      </c>
      <c r="K195" t="s">
        <v>11</v>
      </c>
      <c r="L195" s="2">
        <v>644</v>
      </c>
      <c r="M195" s="2">
        <v>86</v>
      </c>
      <c r="N195" s="2">
        <f>normalizar!$L195*normalizar!$M195</f>
        <v>55384</v>
      </c>
    </row>
    <row r="196" spans="1:14" x14ac:dyDescent="0.25">
      <c r="A196">
        <v>195</v>
      </c>
      <c r="B196" s="1">
        <v>44043</v>
      </c>
      <c r="C196">
        <v>6271764467</v>
      </c>
      <c r="D196" t="s">
        <v>42</v>
      </c>
      <c r="E196" t="s">
        <v>91</v>
      </c>
      <c r="F196" t="s">
        <v>91</v>
      </c>
      <c r="G196" t="s">
        <v>43</v>
      </c>
      <c r="H196" t="s">
        <v>16</v>
      </c>
      <c r="I196" t="s">
        <v>127</v>
      </c>
      <c r="J196" t="s">
        <v>46</v>
      </c>
      <c r="K196" t="s">
        <v>47</v>
      </c>
      <c r="L196" s="2">
        <v>350</v>
      </c>
      <c r="M196" s="2">
        <v>47</v>
      </c>
      <c r="N196" s="2">
        <f>normalizar!$L196*normalizar!$M196</f>
        <v>16450</v>
      </c>
    </row>
    <row r="197" spans="1:14" x14ac:dyDescent="0.25">
      <c r="A197">
        <v>196</v>
      </c>
      <c r="B197" s="1">
        <v>43853</v>
      </c>
      <c r="C197">
        <v>5954546839</v>
      </c>
      <c r="D197" t="s">
        <v>42</v>
      </c>
      <c r="E197" t="s">
        <v>91</v>
      </c>
      <c r="F197" t="s">
        <v>91</v>
      </c>
      <c r="G197" t="s">
        <v>43</v>
      </c>
      <c r="H197" t="s">
        <v>16</v>
      </c>
      <c r="I197" t="s">
        <v>127</v>
      </c>
      <c r="J197" t="s">
        <v>48</v>
      </c>
      <c r="K197" t="s">
        <v>49</v>
      </c>
      <c r="L197" s="2">
        <v>308</v>
      </c>
      <c r="M197" s="2">
        <v>97</v>
      </c>
      <c r="N197" s="2">
        <f>normalizar!$L197*normalizar!$M197</f>
        <v>29876</v>
      </c>
    </row>
    <row r="198" spans="1:14" x14ac:dyDescent="0.25">
      <c r="A198">
        <v>197</v>
      </c>
      <c r="B198" s="1">
        <v>43905</v>
      </c>
      <c r="C198">
        <v>1007419194</v>
      </c>
      <c r="D198" t="s">
        <v>42</v>
      </c>
      <c r="E198" t="s">
        <v>91</v>
      </c>
      <c r="F198" t="s">
        <v>91</v>
      </c>
      <c r="G198" t="s">
        <v>43</v>
      </c>
      <c r="H198" t="s">
        <v>16</v>
      </c>
      <c r="I198" t="s">
        <v>127</v>
      </c>
      <c r="J198" t="s">
        <v>26</v>
      </c>
      <c r="K198" t="s">
        <v>27</v>
      </c>
      <c r="L198" s="2">
        <v>128.79999999999998</v>
      </c>
      <c r="M198" s="2">
        <v>96</v>
      </c>
      <c r="N198" s="2">
        <f>normalizar!$L198*normalizar!$M198</f>
        <v>12364.8</v>
      </c>
    </row>
    <row r="199" spans="1:14" x14ac:dyDescent="0.25">
      <c r="A199">
        <v>198</v>
      </c>
      <c r="B199" s="1">
        <v>43891</v>
      </c>
      <c r="C199">
        <v>2749506386</v>
      </c>
      <c r="D199" t="s">
        <v>50</v>
      </c>
      <c r="E199" t="s">
        <v>85</v>
      </c>
      <c r="F199" t="s">
        <v>83</v>
      </c>
      <c r="G199" t="s">
        <v>41</v>
      </c>
      <c r="H199" t="s">
        <v>25</v>
      </c>
      <c r="I199" t="s">
        <v>127</v>
      </c>
      <c r="J199" t="s">
        <v>12</v>
      </c>
      <c r="K199" t="s">
        <v>13</v>
      </c>
      <c r="L199" s="2">
        <v>49</v>
      </c>
      <c r="M199" s="2">
        <v>31</v>
      </c>
      <c r="N199" s="2">
        <f>normalizar!$L199*normalizar!$M199</f>
        <v>1519</v>
      </c>
    </row>
    <row r="200" spans="1:14" x14ac:dyDescent="0.25">
      <c r="A200">
        <v>199</v>
      </c>
      <c r="B200" s="1">
        <v>43997</v>
      </c>
      <c r="C200">
        <v>3279160134</v>
      </c>
      <c r="D200" t="s">
        <v>50</v>
      </c>
      <c r="E200" t="s">
        <v>85</v>
      </c>
      <c r="F200" t="s">
        <v>83</v>
      </c>
      <c r="G200" t="s">
        <v>41</v>
      </c>
      <c r="H200" t="s">
        <v>25</v>
      </c>
      <c r="I200" t="s">
        <v>127</v>
      </c>
      <c r="J200" t="s">
        <v>44</v>
      </c>
      <c r="K200" t="s">
        <v>11</v>
      </c>
      <c r="L200" s="2">
        <v>41.86</v>
      </c>
      <c r="M200" s="2">
        <v>52</v>
      </c>
      <c r="N200" s="2">
        <f>normalizar!$L200*normalizar!$M200</f>
        <v>2176.7199999999998</v>
      </c>
    </row>
    <row r="201" spans="1:14" x14ac:dyDescent="0.25">
      <c r="A201">
        <v>200</v>
      </c>
      <c r="B201" s="1">
        <v>43994</v>
      </c>
      <c r="C201">
        <v>6789089883</v>
      </c>
      <c r="D201" t="s">
        <v>51</v>
      </c>
      <c r="E201" t="s">
        <v>90</v>
      </c>
      <c r="F201" t="s">
        <v>98</v>
      </c>
      <c r="G201" t="s">
        <v>24</v>
      </c>
      <c r="H201" t="s">
        <v>127</v>
      </c>
      <c r="I201" t="s">
        <v>127</v>
      </c>
      <c r="J201" t="s">
        <v>21</v>
      </c>
      <c r="K201" t="s">
        <v>11</v>
      </c>
      <c r="L201" s="2">
        <v>252</v>
      </c>
      <c r="M201" s="2">
        <v>91</v>
      </c>
      <c r="N201" s="2">
        <f>normalizar!$L201*normalizar!$M201</f>
        <v>22932</v>
      </c>
    </row>
    <row r="202" spans="1:14" x14ac:dyDescent="0.25">
      <c r="A202">
        <v>201</v>
      </c>
      <c r="B202" s="1">
        <v>44004</v>
      </c>
      <c r="C202">
        <v>7775981065</v>
      </c>
      <c r="D202" t="s">
        <v>51</v>
      </c>
      <c r="E202" t="s">
        <v>90</v>
      </c>
      <c r="F202" t="s">
        <v>98</v>
      </c>
      <c r="G202" t="s">
        <v>24</v>
      </c>
      <c r="H202" t="s">
        <v>127</v>
      </c>
      <c r="I202" t="s">
        <v>127</v>
      </c>
      <c r="J202" t="s">
        <v>22</v>
      </c>
      <c r="K202" t="s">
        <v>11</v>
      </c>
      <c r="L202" s="2">
        <v>644</v>
      </c>
      <c r="M202" s="2">
        <v>14</v>
      </c>
      <c r="N202" s="2">
        <f>normalizar!$L202*normalizar!$M202</f>
        <v>9016</v>
      </c>
    </row>
    <row r="203" spans="1:14" x14ac:dyDescent="0.25">
      <c r="A203">
        <v>202</v>
      </c>
      <c r="B203" s="1">
        <v>43923</v>
      </c>
      <c r="C203">
        <v>5357417804</v>
      </c>
      <c r="D203" t="s">
        <v>51</v>
      </c>
      <c r="E203" t="s">
        <v>90</v>
      </c>
      <c r="F203" t="s">
        <v>98</v>
      </c>
      <c r="G203" t="s">
        <v>24</v>
      </c>
      <c r="H203" t="s">
        <v>127</v>
      </c>
      <c r="I203" t="s">
        <v>127</v>
      </c>
      <c r="J203" t="s">
        <v>44</v>
      </c>
      <c r="K203" t="s">
        <v>11</v>
      </c>
      <c r="L203" s="2">
        <v>41.86</v>
      </c>
      <c r="M203" s="2">
        <v>44</v>
      </c>
      <c r="N203" s="2">
        <f>normalizar!$L203*normalizar!$M203</f>
        <v>1841.84</v>
      </c>
    </row>
    <row r="204" spans="1:14" x14ac:dyDescent="0.25">
      <c r="A204">
        <v>203</v>
      </c>
      <c r="B204" s="1">
        <v>44109</v>
      </c>
      <c r="C204">
        <v>4986720222</v>
      </c>
      <c r="D204" t="s">
        <v>40</v>
      </c>
      <c r="E204" t="s">
        <v>97</v>
      </c>
      <c r="F204" t="s">
        <v>88</v>
      </c>
      <c r="G204" t="s">
        <v>41</v>
      </c>
      <c r="H204" t="s">
        <v>25</v>
      </c>
      <c r="I204" t="s">
        <v>17</v>
      </c>
      <c r="J204" t="s">
        <v>34</v>
      </c>
      <c r="K204" t="s">
        <v>35</v>
      </c>
      <c r="L204" s="2">
        <v>135.1</v>
      </c>
      <c r="M204" s="2">
        <v>97</v>
      </c>
      <c r="N204" s="2">
        <f>normalizar!$L204*normalizar!$M204</f>
        <v>13104.699999999999</v>
      </c>
    </row>
    <row r="205" spans="1:14" x14ac:dyDescent="0.25">
      <c r="A205">
        <v>204</v>
      </c>
      <c r="B205" s="1">
        <v>43932</v>
      </c>
      <c r="C205">
        <v>9264353300</v>
      </c>
      <c r="D205" t="s">
        <v>40</v>
      </c>
      <c r="E205" t="s">
        <v>97</v>
      </c>
      <c r="F205" t="s">
        <v>88</v>
      </c>
      <c r="G205" t="s">
        <v>41</v>
      </c>
      <c r="H205" t="s">
        <v>25</v>
      </c>
      <c r="I205" t="s">
        <v>17</v>
      </c>
      <c r="J205" t="s">
        <v>52</v>
      </c>
      <c r="K205" t="s">
        <v>53</v>
      </c>
      <c r="L205" s="2">
        <v>257.59999999999997</v>
      </c>
      <c r="M205" s="2">
        <v>80</v>
      </c>
      <c r="N205" s="2">
        <f>normalizar!$L205*normalizar!$M205</f>
        <v>20607.999999999996</v>
      </c>
    </row>
    <row r="206" spans="1:14" x14ac:dyDescent="0.25">
      <c r="A206">
        <v>205</v>
      </c>
      <c r="B206" s="1">
        <v>44131</v>
      </c>
      <c r="C206">
        <v>4507840734</v>
      </c>
      <c r="D206" t="s">
        <v>54</v>
      </c>
      <c r="E206" t="s">
        <v>89</v>
      </c>
      <c r="F206" t="s">
        <v>84</v>
      </c>
      <c r="G206" t="s">
        <v>55</v>
      </c>
      <c r="H206" t="s">
        <v>16</v>
      </c>
      <c r="I206" t="s">
        <v>9</v>
      </c>
      <c r="J206" t="s">
        <v>56</v>
      </c>
      <c r="K206" t="s">
        <v>57</v>
      </c>
      <c r="L206" s="2">
        <v>273</v>
      </c>
      <c r="M206" s="2">
        <v>66</v>
      </c>
      <c r="N206" s="2">
        <f>normalizar!$L206*normalizar!$M206</f>
        <v>18018</v>
      </c>
    </row>
    <row r="207" spans="1:14" x14ac:dyDescent="0.25">
      <c r="A207">
        <v>206</v>
      </c>
      <c r="B207" s="1">
        <v>43926</v>
      </c>
      <c r="C207">
        <v>1926814553</v>
      </c>
      <c r="D207" t="s">
        <v>54</v>
      </c>
      <c r="E207" t="s">
        <v>89</v>
      </c>
      <c r="F207" t="s">
        <v>84</v>
      </c>
      <c r="G207" t="s">
        <v>55</v>
      </c>
      <c r="H207" t="s">
        <v>16</v>
      </c>
      <c r="I207" t="s">
        <v>9</v>
      </c>
      <c r="J207" t="s">
        <v>58</v>
      </c>
      <c r="K207" t="s">
        <v>59</v>
      </c>
      <c r="L207" s="2">
        <v>487.19999999999993</v>
      </c>
      <c r="M207" s="2">
        <v>32</v>
      </c>
      <c r="N207" s="2">
        <f>normalizar!$L207*normalizar!$M207</f>
        <v>15590.399999999998</v>
      </c>
    </row>
    <row r="208" spans="1:14" x14ac:dyDescent="0.25">
      <c r="A208">
        <v>207</v>
      </c>
      <c r="B208" s="1">
        <v>44139</v>
      </c>
      <c r="C208">
        <v>1115906573</v>
      </c>
      <c r="D208" t="s">
        <v>36</v>
      </c>
      <c r="E208" t="s">
        <v>92</v>
      </c>
      <c r="F208" t="s">
        <v>99</v>
      </c>
      <c r="G208" t="s">
        <v>37</v>
      </c>
      <c r="H208" t="s">
        <v>8</v>
      </c>
      <c r="I208" t="s">
        <v>17</v>
      </c>
      <c r="J208" t="s">
        <v>10</v>
      </c>
      <c r="K208" t="s">
        <v>11</v>
      </c>
      <c r="L208" s="2">
        <v>196</v>
      </c>
      <c r="M208" s="2">
        <v>52</v>
      </c>
      <c r="N208" s="2">
        <f>normalizar!$L208*normalizar!$M208</f>
        <v>10192</v>
      </c>
    </row>
    <row r="209" spans="1:14" x14ac:dyDescent="0.25">
      <c r="A209">
        <v>208</v>
      </c>
      <c r="B209" s="1">
        <v>43905</v>
      </c>
      <c r="C209">
        <v>4298972271</v>
      </c>
      <c r="D209" t="s">
        <v>23</v>
      </c>
      <c r="E209" t="s">
        <v>86</v>
      </c>
      <c r="F209" t="s">
        <v>82</v>
      </c>
      <c r="G209" t="s">
        <v>24</v>
      </c>
      <c r="H209" t="s">
        <v>8</v>
      </c>
      <c r="I209" t="s">
        <v>9</v>
      </c>
      <c r="J209" t="s">
        <v>38</v>
      </c>
      <c r="K209" t="s">
        <v>39</v>
      </c>
      <c r="L209" s="2">
        <v>560</v>
      </c>
      <c r="M209" s="2">
        <v>78</v>
      </c>
      <c r="N209" s="2">
        <f>normalizar!$L209*normalizar!$M209</f>
        <v>43680</v>
      </c>
    </row>
    <row r="210" spans="1:14" x14ac:dyDescent="0.25">
      <c r="A210">
        <v>209</v>
      </c>
      <c r="B210" s="1">
        <v>43899</v>
      </c>
      <c r="C210">
        <v>1419202858</v>
      </c>
      <c r="D210" t="s">
        <v>23</v>
      </c>
      <c r="E210" t="s">
        <v>86</v>
      </c>
      <c r="F210" t="s">
        <v>82</v>
      </c>
      <c r="G210" t="s">
        <v>24</v>
      </c>
      <c r="H210" t="s">
        <v>8</v>
      </c>
      <c r="I210" t="s">
        <v>9</v>
      </c>
      <c r="J210" t="s">
        <v>26</v>
      </c>
      <c r="K210" t="s">
        <v>27</v>
      </c>
      <c r="L210" s="2">
        <v>128.79999999999998</v>
      </c>
      <c r="M210" s="2">
        <v>54</v>
      </c>
      <c r="N210" s="2">
        <f>normalizar!$L210*normalizar!$M210</f>
        <v>6955.1999999999989</v>
      </c>
    </row>
    <row r="211" spans="1:14" x14ac:dyDescent="0.25">
      <c r="A211">
        <v>210</v>
      </c>
      <c r="B211" s="1">
        <v>44154</v>
      </c>
      <c r="C211">
        <v>3516608759</v>
      </c>
      <c r="D211" t="s">
        <v>62</v>
      </c>
      <c r="E211" t="s">
        <v>91</v>
      </c>
      <c r="F211" t="s">
        <v>91</v>
      </c>
      <c r="G211" t="s">
        <v>43</v>
      </c>
      <c r="H211" t="s">
        <v>16</v>
      </c>
      <c r="I211" t="s">
        <v>33</v>
      </c>
      <c r="J211" t="s">
        <v>67</v>
      </c>
      <c r="K211" t="s">
        <v>27</v>
      </c>
      <c r="L211" s="2">
        <v>140</v>
      </c>
      <c r="M211" s="2">
        <v>55</v>
      </c>
      <c r="N211" s="2">
        <f>normalizar!$L211*normalizar!$M211</f>
        <v>7700</v>
      </c>
    </row>
    <row r="212" spans="1:14" x14ac:dyDescent="0.25">
      <c r="A212">
        <v>211</v>
      </c>
      <c r="B212" s="1">
        <v>44076</v>
      </c>
      <c r="C212">
        <v>8191358442</v>
      </c>
      <c r="D212" t="s">
        <v>63</v>
      </c>
      <c r="E212" t="s">
        <v>85</v>
      </c>
      <c r="F212" t="s">
        <v>83</v>
      </c>
      <c r="G212" t="s">
        <v>41</v>
      </c>
      <c r="H212" t="s">
        <v>25</v>
      </c>
      <c r="I212" t="s">
        <v>17</v>
      </c>
      <c r="J212" t="s">
        <v>68</v>
      </c>
      <c r="K212" t="s">
        <v>69</v>
      </c>
      <c r="L212" s="2">
        <v>298.90000000000003</v>
      </c>
      <c r="M212" s="2">
        <v>60</v>
      </c>
      <c r="N212" s="2">
        <f>normalizar!$L212*normalizar!$M212</f>
        <v>17934.000000000004</v>
      </c>
    </row>
    <row r="213" spans="1:14" x14ac:dyDescent="0.25">
      <c r="A213">
        <v>212</v>
      </c>
      <c r="B213" s="1">
        <v>43851</v>
      </c>
      <c r="C213">
        <v>8451227157</v>
      </c>
      <c r="D213" t="s">
        <v>63</v>
      </c>
      <c r="E213" t="s">
        <v>85</v>
      </c>
      <c r="F213" t="s">
        <v>83</v>
      </c>
      <c r="G213" t="s">
        <v>41</v>
      </c>
      <c r="H213" t="s">
        <v>25</v>
      </c>
      <c r="I213" t="s">
        <v>17</v>
      </c>
      <c r="J213" t="s">
        <v>34</v>
      </c>
      <c r="K213" t="s">
        <v>35</v>
      </c>
      <c r="L213" s="2">
        <v>135.1</v>
      </c>
      <c r="M213" s="2">
        <v>19</v>
      </c>
      <c r="N213" s="2">
        <f>normalizar!$L213*normalizar!$M213</f>
        <v>2566.9</v>
      </c>
    </row>
    <row r="214" spans="1:14" x14ac:dyDescent="0.25">
      <c r="A214">
        <v>213</v>
      </c>
      <c r="B214" s="1">
        <v>43878</v>
      </c>
      <c r="C214">
        <v>9847155245</v>
      </c>
      <c r="D214" t="s">
        <v>63</v>
      </c>
      <c r="E214" t="s">
        <v>85</v>
      </c>
      <c r="F214" t="s">
        <v>83</v>
      </c>
      <c r="G214" t="s">
        <v>41</v>
      </c>
      <c r="H214" t="s">
        <v>25</v>
      </c>
      <c r="I214" t="s">
        <v>17</v>
      </c>
      <c r="J214" t="s">
        <v>52</v>
      </c>
      <c r="K214" t="s">
        <v>53</v>
      </c>
      <c r="L214" s="2">
        <v>257.59999999999997</v>
      </c>
      <c r="M214" s="2">
        <v>66</v>
      </c>
      <c r="N214" s="2">
        <f>normalizar!$L214*normalizar!$M214</f>
        <v>17001.599999999999</v>
      </c>
    </row>
    <row r="215" spans="1:14" x14ac:dyDescent="0.25">
      <c r="A215">
        <v>214</v>
      </c>
      <c r="B215" s="1">
        <v>43886</v>
      </c>
      <c r="C215">
        <v>5189485028</v>
      </c>
      <c r="D215" t="s">
        <v>28</v>
      </c>
      <c r="E215" t="s">
        <v>89</v>
      </c>
      <c r="F215" t="s">
        <v>84</v>
      </c>
      <c r="G215" t="s">
        <v>29</v>
      </c>
      <c r="H215" t="s">
        <v>8</v>
      </c>
      <c r="I215" t="s">
        <v>9</v>
      </c>
      <c r="J215" t="s">
        <v>10</v>
      </c>
      <c r="K215" t="s">
        <v>11</v>
      </c>
      <c r="L215" s="2">
        <v>196</v>
      </c>
      <c r="M215" s="2">
        <v>42</v>
      </c>
      <c r="N215" s="2">
        <f>normalizar!$L215*normalizar!$M215</f>
        <v>8232</v>
      </c>
    </row>
    <row r="216" spans="1:14" x14ac:dyDescent="0.25">
      <c r="A216">
        <v>215</v>
      </c>
      <c r="B216" s="1">
        <v>44037</v>
      </c>
      <c r="C216">
        <v>2367569858</v>
      </c>
      <c r="D216" t="s">
        <v>36</v>
      </c>
      <c r="E216" t="s">
        <v>92</v>
      </c>
      <c r="F216" t="s">
        <v>99</v>
      </c>
      <c r="G216" t="s">
        <v>37</v>
      </c>
      <c r="H216" t="s">
        <v>25</v>
      </c>
      <c r="I216" t="s">
        <v>9</v>
      </c>
      <c r="J216" t="s">
        <v>30</v>
      </c>
      <c r="K216" t="s">
        <v>31</v>
      </c>
      <c r="L216" s="2">
        <v>178.5</v>
      </c>
      <c r="M216" s="2">
        <v>72</v>
      </c>
      <c r="N216" s="2">
        <f>normalizar!$L216*normalizar!$M216</f>
        <v>12852</v>
      </c>
    </row>
    <row r="217" spans="1:14" x14ac:dyDescent="0.25">
      <c r="A217">
        <v>216</v>
      </c>
      <c r="B217" s="1">
        <v>44036</v>
      </c>
      <c r="C217">
        <v>1241520334</v>
      </c>
      <c r="D217" t="s">
        <v>14</v>
      </c>
      <c r="E217" t="s">
        <v>81</v>
      </c>
      <c r="F217" t="s">
        <v>94</v>
      </c>
      <c r="G217" t="s">
        <v>15</v>
      </c>
      <c r="H217" t="s">
        <v>16</v>
      </c>
      <c r="I217" t="s">
        <v>17</v>
      </c>
      <c r="J217" t="s">
        <v>70</v>
      </c>
      <c r="K217" t="s">
        <v>47</v>
      </c>
      <c r="L217" s="2">
        <v>1134</v>
      </c>
      <c r="M217" s="2">
        <v>32</v>
      </c>
      <c r="N217" s="2">
        <f>normalizar!$L217*normalizar!$M217</f>
        <v>36288</v>
      </c>
    </row>
    <row r="218" spans="1:14" x14ac:dyDescent="0.25">
      <c r="A218">
        <v>217</v>
      </c>
      <c r="B218" s="1">
        <v>43895</v>
      </c>
      <c r="C218">
        <v>6999895697</v>
      </c>
      <c r="D218" t="s">
        <v>14</v>
      </c>
      <c r="E218" t="s">
        <v>81</v>
      </c>
      <c r="F218" t="s">
        <v>94</v>
      </c>
      <c r="G218" t="s">
        <v>15</v>
      </c>
      <c r="H218" t="s">
        <v>16</v>
      </c>
      <c r="I218" t="s">
        <v>17</v>
      </c>
      <c r="J218" t="s">
        <v>71</v>
      </c>
      <c r="K218" t="s">
        <v>72</v>
      </c>
      <c r="L218" s="2">
        <v>98</v>
      </c>
      <c r="M218" s="2">
        <v>76</v>
      </c>
      <c r="N218" s="2">
        <f>normalizar!$L218*normalizar!$M218</f>
        <v>7448</v>
      </c>
    </row>
    <row r="219" spans="1:14" x14ac:dyDescent="0.25">
      <c r="A219">
        <v>218</v>
      </c>
      <c r="B219" s="1">
        <v>44026</v>
      </c>
      <c r="C219">
        <v>2931440223</v>
      </c>
      <c r="D219" t="s">
        <v>42</v>
      </c>
      <c r="E219" t="s">
        <v>91</v>
      </c>
      <c r="F219" t="s">
        <v>91</v>
      </c>
      <c r="G219" t="s">
        <v>43</v>
      </c>
      <c r="H219" t="s">
        <v>16</v>
      </c>
      <c r="I219" t="s">
        <v>127</v>
      </c>
      <c r="J219" t="s">
        <v>26</v>
      </c>
      <c r="K219" t="s">
        <v>27</v>
      </c>
      <c r="L219" s="2">
        <v>128.79999999999998</v>
      </c>
      <c r="M219" s="2">
        <v>83</v>
      </c>
      <c r="N219" s="2">
        <f>normalizar!$L219*normalizar!$M219</f>
        <v>10690.399999999998</v>
      </c>
    </row>
    <row r="220" spans="1:14" x14ac:dyDescent="0.25">
      <c r="A220">
        <v>219</v>
      </c>
      <c r="B220" s="1">
        <v>43965</v>
      </c>
      <c r="C220">
        <v>6045555436</v>
      </c>
      <c r="D220" t="s">
        <v>50</v>
      </c>
      <c r="E220" t="s">
        <v>85</v>
      </c>
      <c r="F220" t="s">
        <v>83</v>
      </c>
      <c r="G220" t="s">
        <v>41</v>
      </c>
      <c r="H220" t="s">
        <v>25</v>
      </c>
      <c r="I220" t="s">
        <v>127</v>
      </c>
      <c r="J220" t="s">
        <v>12</v>
      </c>
      <c r="K220" t="s">
        <v>13</v>
      </c>
      <c r="L220" s="2">
        <v>49</v>
      </c>
      <c r="M220" s="2">
        <v>91</v>
      </c>
      <c r="N220" s="2">
        <f>normalizar!$L220*normalizar!$M220</f>
        <v>4459</v>
      </c>
    </row>
    <row r="221" spans="1:14" x14ac:dyDescent="0.25">
      <c r="A221">
        <v>220</v>
      </c>
      <c r="B221" s="1">
        <v>44117</v>
      </c>
      <c r="C221">
        <v>4985084204</v>
      </c>
      <c r="D221" t="s">
        <v>50</v>
      </c>
      <c r="E221" t="s">
        <v>85</v>
      </c>
      <c r="F221" t="s">
        <v>83</v>
      </c>
      <c r="G221" t="s">
        <v>41</v>
      </c>
      <c r="H221" t="s">
        <v>25</v>
      </c>
      <c r="I221" t="s">
        <v>127</v>
      </c>
      <c r="J221" t="s">
        <v>44</v>
      </c>
      <c r="K221" t="s">
        <v>11</v>
      </c>
      <c r="L221" s="2">
        <v>41.86</v>
      </c>
      <c r="M221" s="2">
        <v>64</v>
      </c>
      <c r="N221" s="2">
        <f>normalizar!$L221*normalizar!$M221</f>
        <v>2679.04</v>
      </c>
    </row>
    <row r="222" spans="1:14" x14ac:dyDescent="0.25">
      <c r="A222">
        <v>221</v>
      </c>
      <c r="B222" s="1">
        <v>44019</v>
      </c>
      <c r="C222">
        <v>8950774476</v>
      </c>
      <c r="D222" t="s">
        <v>51</v>
      </c>
      <c r="E222" t="s">
        <v>90</v>
      </c>
      <c r="F222" t="s">
        <v>98</v>
      </c>
      <c r="G222" t="s">
        <v>24</v>
      </c>
      <c r="H222" t="s">
        <v>127</v>
      </c>
      <c r="I222" t="s">
        <v>127</v>
      </c>
      <c r="J222" t="s">
        <v>21</v>
      </c>
      <c r="K222" t="s">
        <v>11</v>
      </c>
      <c r="L222" s="2">
        <v>252</v>
      </c>
      <c r="M222" s="2">
        <v>58</v>
      </c>
      <c r="N222" s="2">
        <f>normalizar!$L222*normalizar!$M222</f>
        <v>14616</v>
      </c>
    </row>
    <row r="223" spans="1:14" x14ac:dyDescent="0.25">
      <c r="A223">
        <v>222</v>
      </c>
      <c r="B223" s="1">
        <v>43977</v>
      </c>
      <c r="C223">
        <v>4091794218</v>
      </c>
      <c r="D223" t="s">
        <v>51</v>
      </c>
      <c r="E223" t="s">
        <v>90</v>
      </c>
      <c r="F223" t="s">
        <v>98</v>
      </c>
      <c r="G223" t="s">
        <v>24</v>
      </c>
      <c r="H223" t="s">
        <v>127</v>
      </c>
      <c r="I223" t="s">
        <v>127</v>
      </c>
      <c r="J223" t="s">
        <v>22</v>
      </c>
      <c r="K223" t="s">
        <v>11</v>
      </c>
      <c r="L223" s="2">
        <v>644</v>
      </c>
      <c r="M223" s="2">
        <v>97</v>
      </c>
      <c r="N223" s="2">
        <f>normalizar!$L223*normalizar!$M223</f>
        <v>62468</v>
      </c>
    </row>
    <row r="224" spans="1:14" x14ac:dyDescent="0.25">
      <c r="A224">
        <v>223</v>
      </c>
      <c r="B224" s="1">
        <v>44043</v>
      </c>
      <c r="C224">
        <v>2789876793</v>
      </c>
      <c r="D224" t="s">
        <v>51</v>
      </c>
      <c r="E224" t="s">
        <v>90</v>
      </c>
      <c r="F224" t="s">
        <v>98</v>
      </c>
      <c r="G224" t="s">
        <v>24</v>
      </c>
      <c r="H224" t="s">
        <v>127</v>
      </c>
      <c r="I224" t="s">
        <v>127</v>
      </c>
      <c r="J224" t="s">
        <v>44</v>
      </c>
      <c r="K224" t="s">
        <v>11</v>
      </c>
      <c r="L224" s="2">
        <v>41.86</v>
      </c>
      <c r="M224" s="2">
        <v>14</v>
      </c>
      <c r="N224" s="2">
        <f>normalizar!$L224*normalizar!$M224</f>
        <v>586.04</v>
      </c>
    </row>
    <row r="225" spans="1:14" x14ac:dyDescent="0.25">
      <c r="A225">
        <v>224</v>
      </c>
      <c r="B225" s="1">
        <v>43940</v>
      </c>
      <c r="C225">
        <v>4338385582</v>
      </c>
      <c r="D225" t="s">
        <v>40</v>
      </c>
      <c r="E225" t="s">
        <v>97</v>
      </c>
      <c r="F225" t="s">
        <v>88</v>
      </c>
      <c r="G225" t="s">
        <v>41</v>
      </c>
      <c r="H225" t="s">
        <v>25</v>
      </c>
      <c r="I225" t="s">
        <v>17</v>
      </c>
      <c r="J225" t="s">
        <v>34</v>
      </c>
      <c r="K225" t="s">
        <v>35</v>
      </c>
      <c r="L225" s="2">
        <v>135.1</v>
      </c>
      <c r="M225" s="2">
        <v>68</v>
      </c>
      <c r="N225" s="2">
        <f>normalizar!$L225*normalizar!$M225</f>
        <v>9186.7999999999993</v>
      </c>
    </row>
    <row r="226" spans="1:14" x14ac:dyDescent="0.25">
      <c r="A226">
        <v>225</v>
      </c>
      <c r="B226" s="1">
        <v>44008</v>
      </c>
      <c r="C226">
        <v>9159410824</v>
      </c>
      <c r="D226" t="s">
        <v>40</v>
      </c>
      <c r="E226" t="s">
        <v>97</v>
      </c>
      <c r="F226" t="s">
        <v>88</v>
      </c>
      <c r="G226" t="s">
        <v>41</v>
      </c>
      <c r="H226" t="s">
        <v>25</v>
      </c>
      <c r="I226" t="s">
        <v>17</v>
      </c>
      <c r="J226" t="s">
        <v>52</v>
      </c>
      <c r="K226" t="s">
        <v>53</v>
      </c>
      <c r="L226" s="2">
        <v>257.59999999999997</v>
      </c>
      <c r="M226" s="2">
        <v>32</v>
      </c>
      <c r="N226" s="2">
        <f>normalizar!$L226*normalizar!$M226</f>
        <v>8243.1999999999989</v>
      </c>
    </row>
    <row r="227" spans="1:14" x14ac:dyDescent="0.25">
      <c r="A227">
        <v>226</v>
      </c>
      <c r="B227" s="1">
        <v>44168</v>
      </c>
      <c r="C227">
        <v>6562657766</v>
      </c>
      <c r="D227" t="s">
        <v>54</v>
      </c>
      <c r="E227" t="s">
        <v>89</v>
      </c>
      <c r="F227" t="s">
        <v>84</v>
      </c>
      <c r="G227" t="s">
        <v>55</v>
      </c>
      <c r="H227" t="s">
        <v>16</v>
      </c>
      <c r="I227" t="s">
        <v>9</v>
      </c>
      <c r="J227" t="s">
        <v>56</v>
      </c>
      <c r="K227" t="s">
        <v>57</v>
      </c>
      <c r="L227" s="2">
        <v>273</v>
      </c>
      <c r="M227" s="2">
        <v>48</v>
      </c>
      <c r="N227" s="2">
        <f>normalizar!$L227*normalizar!$M227</f>
        <v>13104</v>
      </c>
    </row>
    <row r="228" spans="1:14" x14ac:dyDescent="0.25">
      <c r="A228">
        <v>227</v>
      </c>
      <c r="B228" s="1">
        <v>44177</v>
      </c>
      <c r="C228">
        <v>4160634865</v>
      </c>
      <c r="D228" t="s">
        <v>54</v>
      </c>
      <c r="E228" t="s">
        <v>89</v>
      </c>
      <c r="F228" t="s">
        <v>84</v>
      </c>
      <c r="G228" t="s">
        <v>55</v>
      </c>
      <c r="H228" t="s">
        <v>16</v>
      </c>
      <c r="I228" t="s">
        <v>9</v>
      </c>
      <c r="J228" t="s">
        <v>58</v>
      </c>
      <c r="K228" t="s">
        <v>59</v>
      </c>
      <c r="L228" s="2">
        <v>487.19999999999993</v>
      </c>
      <c r="M228" s="2">
        <v>57</v>
      </c>
      <c r="N228" s="2">
        <f>normalizar!$L228*normalizar!$M228</f>
        <v>27770.399999999998</v>
      </c>
    </row>
    <row r="229" spans="1:14" x14ac:dyDescent="0.25">
      <c r="A229">
        <v>228</v>
      </c>
      <c r="B229" s="1">
        <v>43864</v>
      </c>
      <c r="C229">
        <v>142416687</v>
      </c>
      <c r="D229" t="s">
        <v>36</v>
      </c>
      <c r="E229" t="s">
        <v>92</v>
      </c>
      <c r="F229" t="s">
        <v>99</v>
      </c>
      <c r="G229" t="s">
        <v>37</v>
      </c>
      <c r="H229" t="s">
        <v>8</v>
      </c>
      <c r="I229" t="s">
        <v>17</v>
      </c>
      <c r="J229" t="s">
        <v>10</v>
      </c>
      <c r="K229" t="s">
        <v>11</v>
      </c>
      <c r="L229" s="2">
        <v>196</v>
      </c>
      <c r="M229" s="2">
        <v>67</v>
      </c>
      <c r="N229" s="2">
        <f>normalizar!$L229*normalizar!$M229</f>
        <v>13132</v>
      </c>
    </row>
    <row r="230" spans="1:14" x14ac:dyDescent="0.25">
      <c r="A230">
        <v>229</v>
      </c>
      <c r="B230" s="1">
        <v>43887</v>
      </c>
      <c r="C230">
        <v>6114991349</v>
      </c>
      <c r="D230" t="s">
        <v>23</v>
      </c>
      <c r="E230" t="s">
        <v>86</v>
      </c>
      <c r="F230" t="s">
        <v>82</v>
      </c>
      <c r="G230" t="s">
        <v>24</v>
      </c>
      <c r="H230" t="s">
        <v>8</v>
      </c>
      <c r="I230" t="s">
        <v>9</v>
      </c>
      <c r="J230" t="s">
        <v>38</v>
      </c>
      <c r="K230" t="s">
        <v>39</v>
      </c>
      <c r="L230" s="2">
        <v>560</v>
      </c>
      <c r="M230" s="2">
        <v>48</v>
      </c>
      <c r="N230" s="2">
        <f>normalizar!$L230*normalizar!$M230</f>
        <v>26880</v>
      </c>
    </row>
    <row r="231" spans="1:14" x14ac:dyDescent="0.25">
      <c r="A231">
        <v>230</v>
      </c>
      <c r="B231" s="1">
        <v>43925</v>
      </c>
      <c r="C231">
        <v>6472352060</v>
      </c>
      <c r="D231" t="s">
        <v>23</v>
      </c>
      <c r="E231" t="s">
        <v>86</v>
      </c>
      <c r="F231" t="s">
        <v>82</v>
      </c>
      <c r="G231" t="s">
        <v>24</v>
      </c>
      <c r="H231" t="s">
        <v>8</v>
      </c>
      <c r="I231" t="s">
        <v>9</v>
      </c>
      <c r="J231" t="s">
        <v>26</v>
      </c>
      <c r="K231" t="s">
        <v>27</v>
      </c>
      <c r="L231" s="2">
        <v>128.79999999999998</v>
      </c>
      <c r="M231" s="2">
        <v>77</v>
      </c>
      <c r="N231" s="2">
        <f>normalizar!$L231*normalizar!$M231</f>
        <v>9917.5999999999985</v>
      </c>
    </row>
    <row r="232" spans="1:14" x14ac:dyDescent="0.25">
      <c r="A232">
        <v>231</v>
      </c>
      <c r="B232" s="1">
        <v>43942</v>
      </c>
      <c r="C232">
        <v>5399077795</v>
      </c>
      <c r="D232" t="s">
        <v>62</v>
      </c>
      <c r="E232" t="s">
        <v>91</v>
      </c>
      <c r="F232" t="s">
        <v>91</v>
      </c>
      <c r="G232" t="s">
        <v>43</v>
      </c>
      <c r="H232" t="s">
        <v>16</v>
      </c>
      <c r="I232" t="s">
        <v>33</v>
      </c>
      <c r="J232" t="s">
        <v>67</v>
      </c>
      <c r="K232" t="s">
        <v>27</v>
      </c>
      <c r="L232" s="2">
        <v>140</v>
      </c>
      <c r="M232" s="2">
        <v>94</v>
      </c>
      <c r="N232" s="2">
        <f>normalizar!$L232*normalizar!$M232</f>
        <v>13160</v>
      </c>
    </row>
    <row r="233" spans="1:14" x14ac:dyDescent="0.25">
      <c r="A233">
        <v>232</v>
      </c>
      <c r="B233" s="1">
        <v>44079</v>
      </c>
      <c r="C233">
        <v>6275645168</v>
      </c>
      <c r="D233" t="s">
        <v>63</v>
      </c>
      <c r="E233" t="s">
        <v>85</v>
      </c>
      <c r="F233" t="s">
        <v>83</v>
      </c>
      <c r="G233" t="s">
        <v>41</v>
      </c>
      <c r="H233" t="s">
        <v>25</v>
      </c>
      <c r="I233" t="s">
        <v>17</v>
      </c>
      <c r="J233" t="s">
        <v>68</v>
      </c>
      <c r="K233" t="s">
        <v>69</v>
      </c>
      <c r="L233" s="2">
        <v>298.90000000000003</v>
      </c>
      <c r="M233" s="2">
        <v>54</v>
      </c>
      <c r="N233" s="2">
        <f>normalizar!$L233*normalizar!$M233</f>
        <v>16140.600000000002</v>
      </c>
    </row>
    <row r="234" spans="1:14" x14ac:dyDescent="0.25">
      <c r="A234">
        <v>233</v>
      </c>
      <c r="B234" s="1">
        <v>43882</v>
      </c>
      <c r="C234">
        <v>597069969</v>
      </c>
      <c r="D234" t="s">
        <v>63</v>
      </c>
      <c r="E234" t="s">
        <v>85</v>
      </c>
      <c r="F234" t="s">
        <v>83</v>
      </c>
      <c r="G234" t="s">
        <v>41</v>
      </c>
      <c r="H234" t="s">
        <v>25</v>
      </c>
      <c r="I234" t="s">
        <v>17</v>
      </c>
      <c r="J234" t="s">
        <v>34</v>
      </c>
      <c r="K234" t="s">
        <v>35</v>
      </c>
      <c r="L234" s="2">
        <v>135.1</v>
      </c>
      <c r="M234" s="2">
        <v>43</v>
      </c>
      <c r="N234" s="2">
        <f>normalizar!$L234*normalizar!$M234</f>
        <v>5809.3</v>
      </c>
    </row>
    <row r="235" spans="1:14" x14ac:dyDescent="0.25">
      <c r="A235">
        <v>234</v>
      </c>
      <c r="B235" s="1">
        <v>44174</v>
      </c>
      <c r="C235">
        <v>1323169656</v>
      </c>
      <c r="D235" t="s">
        <v>63</v>
      </c>
      <c r="E235" t="s">
        <v>85</v>
      </c>
      <c r="F235" t="s">
        <v>83</v>
      </c>
      <c r="G235" t="s">
        <v>41</v>
      </c>
      <c r="H235" t="s">
        <v>25</v>
      </c>
      <c r="I235" t="s">
        <v>17</v>
      </c>
      <c r="J235" t="s">
        <v>52</v>
      </c>
      <c r="K235" t="s">
        <v>53</v>
      </c>
      <c r="L235" s="2">
        <v>257.59999999999997</v>
      </c>
      <c r="M235" s="2">
        <v>71</v>
      </c>
      <c r="N235" s="2">
        <f>normalizar!$L235*normalizar!$M235</f>
        <v>18289.599999999999</v>
      </c>
    </row>
    <row r="236" spans="1:14" x14ac:dyDescent="0.25">
      <c r="A236">
        <v>235</v>
      </c>
      <c r="B236" s="1">
        <v>44142</v>
      </c>
      <c r="C236">
        <v>2932971142</v>
      </c>
      <c r="D236" t="s">
        <v>28</v>
      </c>
      <c r="E236" t="s">
        <v>89</v>
      </c>
      <c r="F236" t="s">
        <v>84</v>
      </c>
      <c r="G236" t="s">
        <v>29</v>
      </c>
      <c r="H236" t="s">
        <v>8</v>
      </c>
      <c r="I236" t="s">
        <v>9</v>
      </c>
      <c r="J236" t="s">
        <v>10</v>
      </c>
      <c r="K236" t="s">
        <v>11</v>
      </c>
      <c r="L236" s="2">
        <v>196</v>
      </c>
      <c r="M236" s="2">
        <v>50</v>
      </c>
      <c r="N236" s="2">
        <f>normalizar!$L236*normalizar!$M236</f>
        <v>9800</v>
      </c>
    </row>
    <row r="237" spans="1:14" x14ac:dyDescent="0.25">
      <c r="A237">
        <v>236</v>
      </c>
      <c r="B237" s="1">
        <v>44152</v>
      </c>
      <c r="C237">
        <v>3634141900</v>
      </c>
      <c r="D237" t="s">
        <v>36</v>
      </c>
      <c r="E237" t="s">
        <v>92</v>
      </c>
      <c r="F237" t="s">
        <v>99</v>
      </c>
      <c r="G237" t="s">
        <v>37</v>
      </c>
      <c r="H237" t="s">
        <v>25</v>
      </c>
      <c r="I237" t="s">
        <v>9</v>
      </c>
      <c r="J237" t="s">
        <v>30</v>
      </c>
      <c r="K237" t="s">
        <v>31</v>
      </c>
      <c r="L237" s="2">
        <v>178.5</v>
      </c>
      <c r="M237" s="2">
        <v>96</v>
      </c>
      <c r="N237" s="2">
        <f>normalizar!$L237*normalizar!$M237</f>
        <v>17136</v>
      </c>
    </row>
    <row r="238" spans="1:14" x14ac:dyDescent="0.25">
      <c r="A238">
        <v>237</v>
      </c>
      <c r="B238" s="1">
        <v>43926</v>
      </c>
      <c r="C238">
        <v>8872627168</v>
      </c>
      <c r="D238" t="s">
        <v>14</v>
      </c>
      <c r="E238" t="s">
        <v>81</v>
      </c>
      <c r="F238" t="s">
        <v>94</v>
      </c>
      <c r="G238" t="s">
        <v>15</v>
      </c>
      <c r="H238" t="s">
        <v>16</v>
      </c>
      <c r="I238" t="s">
        <v>17</v>
      </c>
      <c r="J238" t="s">
        <v>70</v>
      </c>
      <c r="K238" t="s">
        <v>47</v>
      </c>
      <c r="L238" s="2">
        <v>1134</v>
      </c>
      <c r="M238" s="2">
        <v>54</v>
      </c>
      <c r="N238" s="2">
        <f>normalizar!$L238*normalizar!$M238</f>
        <v>61236</v>
      </c>
    </row>
    <row r="239" spans="1:14" x14ac:dyDescent="0.25">
      <c r="A239">
        <v>238</v>
      </c>
      <c r="B239" s="1">
        <v>43849</v>
      </c>
      <c r="C239">
        <v>5571010485</v>
      </c>
      <c r="D239" t="s">
        <v>14</v>
      </c>
      <c r="E239" t="s">
        <v>81</v>
      </c>
      <c r="F239" t="s">
        <v>94</v>
      </c>
      <c r="G239" t="s">
        <v>15</v>
      </c>
      <c r="H239" t="s">
        <v>16</v>
      </c>
      <c r="I239" t="s">
        <v>17</v>
      </c>
      <c r="J239" t="s">
        <v>71</v>
      </c>
      <c r="K239" t="s">
        <v>72</v>
      </c>
      <c r="L239" s="2">
        <v>98</v>
      </c>
      <c r="M239" s="2">
        <v>39</v>
      </c>
      <c r="N239" s="2">
        <f>normalizar!$L239*normalizar!$M239</f>
        <v>3822</v>
      </c>
    </row>
    <row r="240" spans="1:14" x14ac:dyDescent="0.25">
      <c r="A240">
        <v>239</v>
      </c>
      <c r="B240" s="1">
        <v>43976</v>
      </c>
      <c r="C240">
        <v>7703467924</v>
      </c>
      <c r="D240" t="s">
        <v>23</v>
      </c>
      <c r="E240" t="s">
        <v>86</v>
      </c>
      <c r="F240" t="s">
        <v>82</v>
      </c>
      <c r="G240" t="s">
        <v>24</v>
      </c>
      <c r="H240" t="s">
        <v>25</v>
      </c>
      <c r="I240" t="s">
        <v>17</v>
      </c>
      <c r="J240" t="s">
        <v>58</v>
      </c>
      <c r="K240" t="s">
        <v>59</v>
      </c>
      <c r="L240" s="2">
        <v>487.19999999999993</v>
      </c>
      <c r="M240" s="2">
        <v>63</v>
      </c>
      <c r="N240" s="2">
        <f>normalizar!$L240*normalizar!$M240</f>
        <v>30693.599999999995</v>
      </c>
    </row>
    <row r="241" spans="1:14" x14ac:dyDescent="0.25">
      <c r="A241">
        <v>240</v>
      </c>
      <c r="B241" s="1">
        <v>43844</v>
      </c>
      <c r="C241">
        <v>7747820326</v>
      </c>
      <c r="D241" t="s">
        <v>32</v>
      </c>
      <c r="E241" t="s">
        <v>93</v>
      </c>
      <c r="F241" t="s">
        <v>96</v>
      </c>
      <c r="G241" t="s">
        <v>7</v>
      </c>
      <c r="H241" t="s">
        <v>8</v>
      </c>
      <c r="I241" t="s">
        <v>33</v>
      </c>
      <c r="J241" t="s">
        <v>60</v>
      </c>
      <c r="K241" t="s">
        <v>49</v>
      </c>
      <c r="L241" s="2">
        <v>140</v>
      </c>
      <c r="M241" s="2">
        <v>71</v>
      </c>
      <c r="N241" s="2">
        <f>normalizar!$L241*normalizar!$M241</f>
        <v>9940</v>
      </c>
    </row>
    <row r="242" spans="1:14" x14ac:dyDescent="0.25">
      <c r="A242">
        <v>241</v>
      </c>
      <c r="B242" s="1">
        <v>43858</v>
      </c>
      <c r="C242">
        <v>5769101754</v>
      </c>
      <c r="D242" t="s">
        <v>32</v>
      </c>
      <c r="E242" t="s">
        <v>93</v>
      </c>
      <c r="F242" t="s">
        <v>96</v>
      </c>
      <c r="G242" t="s">
        <v>7</v>
      </c>
      <c r="H242" t="s">
        <v>8</v>
      </c>
      <c r="I242" t="s">
        <v>33</v>
      </c>
      <c r="J242" t="s">
        <v>38</v>
      </c>
      <c r="K242" t="s">
        <v>39</v>
      </c>
      <c r="L242" s="2">
        <v>560</v>
      </c>
      <c r="M242" s="2">
        <v>88</v>
      </c>
      <c r="N242" s="2">
        <f>normalizar!$L242*normalizar!$M242</f>
        <v>49280</v>
      </c>
    </row>
    <row r="243" spans="1:14" x14ac:dyDescent="0.25">
      <c r="A243">
        <v>242</v>
      </c>
      <c r="B243" s="1">
        <v>43891</v>
      </c>
      <c r="C243">
        <v>7427615835</v>
      </c>
      <c r="D243" t="s">
        <v>42</v>
      </c>
      <c r="E243" t="s">
        <v>91</v>
      </c>
      <c r="F243" t="s">
        <v>91</v>
      </c>
      <c r="G243" t="s">
        <v>43</v>
      </c>
      <c r="H243" t="s">
        <v>8</v>
      </c>
      <c r="I243" t="s">
        <v>17</v>
      </c>
      <c r="J243" t="s">
        <v>61</v>
      </c>
      <c r="K243" t="s">
        <v>13</v>
      </c>
      <c r="L243" s="2">
        <v>140</v>
      </c>
      <c r="M243" s="2">
        <v>59</v>
      </c>
      <c r="N243" s="2">
        <f>normalizar!$L243*normalizar!$M243</f>
        <v>8260</v>
      </c>
    </row>
    <row r="244" spans="1:14" x14ac:dyDescent="0.25">
      <c r="A244">
        <v>243</v>
      </c>
      <c r="B244" s="1">
        <v>43984</v>
      </c>
      <c r="C244">
        <v>242336558</v>
      </c>
      <c r="D244" t="s">
        <v>36</v>
      </c>
      <c r="E244" t="s">
        <v>92</v>
      </c>
      <c r="F244" t="s">
        <v>99</v>
      </c>
      <c r="G244" t="s">
        <v>37</v>
      </c>
      <c r="H244" t="s">
        <v>8</v>
      </c>
      <c r="I244" t="s">
        <v>17</v>
      </c>
      <c r="J244" t="s">
        <v>38</v>
      </c>
      <c r="K244" t="s">
        <v>39</v>
      </c>
      <c r="L244" s="2">
        <v>560</v>
      </c>
      <c r="M244" s="2">
        <v>94</v>
      </c>
      <c r="N244" s="2">
        <f>normalizar!$L244*normalizar!$M244</f>
        <v>52640</v>
      </c>
    </row>
    <row r="245" spans="1:14" x14ac:dyDescent="0.25">
      <c r="A245">
        <v>244</v>
      </c>
      <c r="B245" s="1">
        <v>44098</v>
      </c>
      <c r="C245">
        <v>2520819737</v>
      </c>
      <c r="D245" t="s">
        <v>40</v>
      </c>
      <c r="E245" t="s">
        <v>97</v>
      </c>
      <c r="F245" t="s">
        <v>88</v>
      </c>
      <c r="G245" t="s">
        <v>41</v>
      </c>
      <c r="H245" t="s">
        <v>25</v>
      </c>
      <c r="I245" t="s">
        <v>9</v>
      </c>
      <c r="J245" t="s">
        <v>22</v>
      </c>
      <c r="K245" t="s">
        <v>11</v>
      </c>
      <c r="L245" s="2">
        <v>644</v>
      </c>
      <c r="M245" s="2">
        <v>86</v>
      </c>
      <c r="N245" s="2">
        <f>normalizar!$L245*normalizar!$M245</f>
        <v>55384</v>
      </c>
    </row>
    <row r="246" spans="1:14" x14ac:dyDescent="0.25">
      <c r="A246">
        <v>245</v>
      </c>
      <c r="B246" s="1">
        <v>43988</v>
      </c>
      <c r="C246">
        <v>8828389188</v>
      </c>
      <c r="D246" t="s">
        <v>23</v>
      </c>
      <c r="E246" t="s">
        <v>86</v>
      </c>
      <c r="F246" t="s">
        <v>82</v>
      </c>
      <c r="G246" t="s">
        <v>24</v>
      </c>
      <c r="H246" t="s">
        <v>25</v>
      </c>
      <c r="I246" t="s">
        <v>9</v>
      </c>
      <c r="J246" t="s">
        <v>30</v>
      </c>
      <c r="K246" t="s">
        <v>31</v>
      </c>
      <c r="L246" s="2">
        <v>178.5</v>
      </c>
      <c r="M246" s="2">
        <v>61</v>
      </c>
      <c r="N246" s="2">
        <f>normalizar!$L246*normalizar!$M246</f>
        <v>10888.5</v>
      </c>
    </row>
    <row r="247" spans="1:14" x14ac:dyDescent="0.25">
      <c r="A247">
        <v>246</v>
      </c>
      <c r="B247" s="1">
        <v>44095</v>
      </c>
      <c r="C247">
        <v>164422904</v>
      </c>
      <c r="D247" t="s">
        <v>42</v>
      </c>
      <c r="E247" t="s">
        <v>91</v>
      </c>
      <c r="F247" t="s">
        <v>91</v>
      </c>
      <c r="G247" t="s">
        <v>43</v>
      </c>
      <c r="H247" t="s">
        <v>8</v>
      </c>
      <c r="I247" t="s">
        <v>17</v>
      </c>
      <c r="J247" t="s">
        <v>44</v>
      </c>
      <c r="K247" t="s">
        <v>11</v>
      </c>
      <c r="L247" s="2">
        <v>41.86</v>
      </c>
      <c r="M247" s="2">
        <v>32</v>
      </c>
      <c r="N247" s="2">
        <f>normalizar!$L247*normalizar!$M247</f>
        <v>1339.52</v>
      </c>
    </row>
    <row r="248" spans="1:14" x14ac:dyDescent="0.25">
      <c r="A248">
        <v>247</v>
      </c>
      <c r="B248" s="1">
        <v>43870</v>
      </c>
      <c r="C248">
        <v>7991995786</v>
      </c>
      <c r="D248" t="s">
        <v>45</v>
      </c>
      <c r="E248" t="s">
        <v>87</v>
      </c>
      <c r="F248" t="s">
        <v>87</v>
      </c>
      <c r="G248" t="s">
        <v>24</v>
      </c>
      <c r="H248" t="s">
        <v>127</v>
      </c>
      <c r="I248" t="s">
        <v>127</v>
      </c>
      <c r="J248" t="s">
        <v>22</v>
      </c>
      <c r="K248" t="s">
        <v>11</v>
      </c>
      <c r="L248" s="2">
        <v>644</v>
      </c>
      <c r="M248" s="2">
        <v>62</v>
      </c>
      <c r="N248" s="2">
        <f>normalizar!$L248*normalizar!$M248</f>
        <v>39928</v>
      </c>
    </row>
    <row r="249" spans="1:14" x14ac:dyDescent="0.25">
      <c r="A249">
        <v>248</v>
      </c>
      <c r="B249" s="1">
        <v>44113</v>
      </c>
      <c r="C249">
        <v>4149364306</v>
      </c>
      <c r="D249" t="s">
        <v>42</v>
      </c>
      <c r="E249" t="s">
        <v>91</v>
      </c>
      <c r="F249" t="s">
        <v>91</v>
      </c>
      <c r="G249" t="s">
        <v>43</v>
      </c>
      <c r="H249" t="s">
        <v>16</v>
      </c>
      <c r="I249" t="s">
        <v>127</v>
      </c>
      <c r="J249" t="s">
        <v>46</v>
      </c>
      <c r="K249" t="s">
        <v>47</v>
      </c>
      <c r="L249" s="2">
        <v>350</v>
      </c>
      <c r="M249" s="2">
        <v>60</v>
      </c>
      <c r="N249" s="2">
        <f>normalizar!$L249*normalizar!$M249</f>
        <v>21000</v>
      </c>
    </row>
    <row r="250" spans="1:14" x14ac:dyDescent="0.25">
      <c r="A250">
        <v>249</v>
      </c>
      <c r="B250" s="1">
        <v>44191</v>
      </c>
      <c r="C250">
        <v>6397472642</v>
      </c>
      <c r="D250" t="s">
        <v>42</v>
      </c>
      <c r="E250" t="s">
        <v>91</v>
      </c>
      <c r="F250" t="s">
        <v>91</v>
      </c>
      <c r="G250" t="s">
        <v>43</v>
      </c>
      <c r="H250" t="s">
        <v>16</v>
      </c>
      <c r="I250" t="s">
        <v>127</v>
      </c>
      <c r="J250" t="s">
        <v>48</v>
      </c>
      <c r="K250" t="s">
        <v>49</v>
      </c>
      <c r="L250" s="2">
        <v>308</v>
      </c>
      <c r="M250" s="2">
        <v>51</v>
      </c>
      <c r="N250" s="2">
        <f>normalizar!$L250*normalizar!$M250</f>
        <v>15708</v>
      </c>
    </row>
    <row r="251" spans="1:14" x14ac:dyDescent="0.25">
      <c r="A251">
        <v>250</v>
      </c>
      <c r="B251" s="1">
        <v>43831</v>
      </c>
      <c r="C251">
        <v>1168651383</v>
      </c>
      <c r="D251" t="s">
        <v>42</v>
      </c>
      <c r="E251" t="s">
        <v>91</v>
      </c>
      <c r="F251" t="s">
        <v>91</v>
      </c>
      <c r="G251" t="s">
        <v>43</v>
      </c>
      <c r="H251" t="s">
        <v>16</v>
      </c>
      <c r="I251" t="s">
        <v>127</v>
      </c>
      <c r="J251" t="s">
        <v>26</v>
      </c>
      <c r="K251" t="s">
        <v>27</v>
      </c>
      <c r="L251" s="2">
        <v>128.79999999999998</v>
      </c>
      <c r="M251" s="2">
        <v>49</v>
      </c>
      <c r="N251" s="2">
        <f>normalizar!$L251*normalizar!$M251</f>
        <v>6311.1999999999989</v>
      </c>
    </row>
    <row r="252" spans="1:14" x14ac:dyDescent="0.25">
      <c r="A252">
        <v>251</v>
      </c>
      <c r="B252" s="1">
        <v>43877</v>
      </c>
      <c r="C252">
        <v>1309311215</v>
      </c>
      <c r="D252" t="s">
        <v>50</v>
      </c>
      <c r="E252" t="s">
        <v>85</v>
      </c>
      <c r="F252" t="s">
        <v>83</v>
      </c>
      <c r="G252" t="s">
        <v>41</v>
      </c>
      <c r="H252" t="s">
        <v>25</v>
      </c>
      <c r="I252" t="s">
        <v>127</v>
      </c>
      <c r="J252" t="s">
        <v>12</v>
      </c>
      <c r="K252" t="s">
        <v>13</v>
      </c>
      <c r="L252" s="2">
        <v>49</v>
      </c>
      <c r="M252" s="2">
        <v>20</v>
      </c>
      <c r="N252" s="2">
        <f>normalizar!$L252*normalizar!$M252</f>
        <v>980</v>
      </c>
    </row>
    <row r="253" spans="1:14" x14ac:dyDescent="0.25">
      <c r="A253">
        <v>252</v>
      </c>
      <c r="B253" s="1">
        <v>44000</v>
      </c>
      <c r="C253">
        <v>4552083877</v>
      </c>
      <c r="D253" t="s">
        <v>50</v>
      </c>
      <c r="E253" t="s">
        <v>85</v>
      </c>
      <c r="F253" t="s">
        <v>83</v>
      </c>
      <c r="G253" t="s">
        <v>41</v>
      </c>
      <c r="H253" t="s">
        <v>25</v>
      </c>
      <c r="I253" t="s">
        <v>127</v>
      </c>
      <c r="J253" t="s">
        <v>44</v>
      </c>
      <c r="K253" t="s">
        <v>11</v>
      </c>
      <c r="L253" s="2">
        <v>41.86</v>
      </c>
      <c r="M253" s="2">
        <v>49</v>
      </c>
      <c r="N253" s="2">
        <f>normalizar!$L253*normalizar!$M253</f>
        <v>2051.14</v>
      </c>
    </row>
    <row r="254" spans="1:14" x14ac:dyDescent="0.25">
      <c r="A254">
        <v>253</v>
      </c>
      <c r="B254" s="1">
        <v>43906</v>
      </c>
      <c r="C254">
        <v>6119453494</v>
      </c>
      <c r="D254" t="s">
        <v>51</v>
      </c>
      <c r="E254" t="s">
        <v>90</v>
      </c>
      <c r="F254" t="s">
        <v>98</v>
      </c>
      <c r="G254" t="s">
        <v>24</v>
      </c>
      <c r="H254" t="s">
        <v>127</v>
      </c>
      <c r="I254" t="s">
        <v>127</v>
      </c>
      <c r="J254" t="s">
        <v>21</v>
      </c>
      <c r="K254" t="s">
        <v>11</v>
      </c>
      <c r="L254" s="2">
        <v>252</v>
      </c>
      <c r="M254" s="2">
        <v>22</v>
      </c>
      <c r="N254" s="2">
        <f>normalizar!$L254*normalizar!$M254</f>
        <v>5544</v>
      </c>
    </row>
    <row r="255" spans="1:14" x14ac:dyDescent="0.25">
      <c r="A255">
        <v>254</v>
      </c>
      <c r="B255" s="1">
        <v>43855</v>
      </c>
      <c r="C255">
        <v>8815781249</v>
      </c>
      <c r="D255" t="s">
        <v>51</v>
      </c>
      <c r="E255" t="s">
        <v>90</v>
      </c>
      <c r="F255" t="s">
        <v>98</v>
      </c>
      <c r="G255" t="s">
        <v>24</v>
      </c>
      <c r="H255" t="s">
        <v>127</v>
      </c>
      <c r="I255" t="s">
        <v>127</v>
      </c>
      <c r="J255" t="s">
        <v>22</v>
      </c>
      <c r="K255" t="s">
        <v>11</v>
      </c>
      <c r="L255" s="2">
        <v>644</v>
      </c>
      <c r="M255" s="2">
        <v>73</v>
      </c>
      <c r="N255" s="2">
        <f>normalizar!$L255*normalizar!$M255</f>
        <v>47012</v>
      </c>
    </row>
    <row r="256" spans="1:14" x14ac:dyDescent="0.25">
      <c r="A256">
        <v>255</v>
      </c>
      <c r="B256" s="1">
        <v>43984</v>
      </c>
      <c r="C256">
        <v>5308869510</v>
      </c>
      <c r="D256" t="s">
        <v>51</v>
      </c>
      <c r="E256" t="s">
        <v>90</v>
      </c>
      <c r="F256" t="s">
        <v>98</v>
      </c>
      <c r="G256" t="s">
        <v>24</v>
      </c>
      <c r="H256" t="s">
        <v>127</v>
      </c>
      <c r="I256" t="s">
        <v>127</v>
      </c>
      <c r="J256" t="s">
        <v>44</v>
      </c>
      <c r="K256" t="s">
        <v>11</v>
      </c>
      <c r="L256" s="2">
        <v>41.86</v>
      </c>
      <c r="M256" s="2">
        <v>85</v>
      </c>
      <c r="N256" s="2">
        <f>normalizar!$L256*normalizar!$M256</f>
        <v>3558.1</v>
      </c>
    </row>
    <row r="257" spans="1:14" x14ac:dyDescent="0.25">
      <c r="A257">
        <v>256</v>
      </c>
      <c r="B257" s="1">
        <v>44143</v>
      </c>
      <c r="C257">
        <v>9623390930</v>
      </c>
      <c r="D257" t="s">
        <v>40</v>
      </c>
      <c r="E257" t="s">
        <v>97</v>
      </c>
      <c r="F257" t="s">
        <v>88</v>
      </c>
      <c r="G257" t="s">
        <v>41</v>
      </c>
      <c r="H257" t="s">
        <v>25</v>
      </c>
      <c r="I257" t="s">
        <v>17</v>
      </c>
      <c r="J257" t="s">
        <v>34</v>
      </c>
      <c r="K257" t="s">
        <v>35</v>
      </c>
      <c r="L257" s="2">
        <v>135.1</v>
      </c>
      <c r="M257" s="2">
        <v>44</v>
      </c>
      <c r="N257" s="2">
        <f>normalizar!$L257*normalizar!$M257</f>
        <v>5944.4</v>
      </c>
    </row>
    <row r="258" spans="1:14" x14ac:dyDescent="0.25">
      <c r="A258">
        <v>257</v>
      </c>
      <c r="B258" s="1">
        <v>43858</v>
      </c>
      <c r="C258">
        <v>9925453816</v>
      </c>
      <c r="D258" t="s">
        <v>40</v>
      </c>
      <c r="E258" t="s">
        <v>97</v>
      </c>
      <c r="F258" t="s">
        <v>88</v>
      </c>
      <c r="G258" t="s">
        <v>41</v>
      </c>
      <c r="H258" t="s">
        <v>25</v>
      </c>
      <c r="I258" t="s">
        <v>17</v>
      </c>
      <c r="J258" t="s">
        <v>52</v>
      </c>
      <c r="K258" t="s">
        <v>53</v>
      </c>
      <c r="L258" s="2">
        <v>257.59999999999997</v>
      </c>
      <c r="M258" s="2">
        <v>24</v>
      </c>
      <c r="N258" s="2">
        <f>normalizar!$L258*normalizar!$M258</f>
        <v>6182.4</v>
      </c>
    </row>
    <row r="259" spans="1:14" x14ac:dyDescent="0.25">
      <c r="A259">
        <v>258</v>
      </c>
      <c r="B259" s="1">
        <v>44168</v>
      </c>
      <c r="C259">
        <v>6948053333</v>
      </c>
      <c r="D259" t="s">
        <v>54</v>
      </c>
      <c r="E259" t="s">
        <v>89</v>
      </c>
      <c r="F259" t="s">
        <v>84</v>
      </c>
      <c r="G259" t="s">
        <v>55</v>
      </c>
      <c r="H259" t="s">
        <v>16</v>
      </c>
      <c r="I259" t="s">
        <v>9</v>
      </c>
      <c r="J259" t="s">
        <v>56</v>
      </c>
      <c r="K259" t="s">
        <v>57</v>
      </c>
      <c r="L259" s="2">
        <v>273</v>
      </c>
      <c r="M259" s="2">
        <v>64</v>
      </c>
      <c r="N259" s="2">
        <f>normalizar!$L259*normalizar!$M259</f>
        <v>17472</v>
      </c>
    </row>
    <row r="260" spans="1:14" x14ac:dyDescent="0.25">
      <c r="A260">
        <v>259</v>
      </c>
      <c r="B260" s="1">
        <v>44038</v>
      </c>
      <c r="C260">
        <v>2060963898</v>
      </c>
      <c r="D260" t="s">
        <v>54</v>
      </c>
      <c r="E260" t="s">
        <v>89</v>
      </c>
      <c r="F260" t="s">
        <v>84</v>
      </c>
      <c r="G260" t="s">
        <v>55</v>
      </c>
      <c r="H260" t="s">
        <v>16</v>
      </c>
      <c r="I260" t="s">
        <v>9</v>
      </c>
      <c r="J260" t="s">
        <v>58</v>
      </c>
      <c r="K260" t="s">
        <v>59</v>
      </c>
      <c r="L260" s="2">
        <v>487.19999999999993</v>
      </c>
      <c r="M260" s="2">
        <v>70</v>
      </c>
      <c r="N260" s="2">
        <f>normalizar!$L260*normalizar!$M260</f>
        <v>34103.999999999993</v>
      </c>
    </row>
    <row r="261" spans="1:14" x14ac:dyDescent="0.25">
      <c r="A261">
        <v>260</v>
      </c>
      <c r="B261" s="1">
        <v>44142</v>
      </c>
      <c r="C261">
        <v>2582781913</v>
      </c>
      <c r="D261" t="s">
        <v>36</v>
      </c>
      <c r="E261" t="s">
        <v>92</v>
      </c>
      <c r="F261" t="s">
        <v>99</v>
      </c>
      <c r="G261" t="s">
        <v>37</v>
      </c>
      <c r="H261" t="s">
        <v>8</v>
      </c>
      <c r="I261" t="s">
        <v>17</v>
      </c>
      <c r="J261" t="s">
        <v>10</v>
      </c>
      <c r="K261" t="s">
        <v>11</v>
      </c>
      <c r="L261" s="2">
        <v>196</v>
      </c>
      <c r="M261" s="2">
        <v>98</v>
      </c>
      <c r="N261" s="2">
        <f>normalizar!$L261*normalizar!$M261</f>
        <v>19208</v>
      </c>
    </row>
    <row r="262" spans="1:14" x14ac:dyDescent="0.25">
      <c r="A262">
        <v>261</v>
      </c>
      <c r="B262" s="1">
        <v>44146</v>
      </c>
      <c r="C262">
        <v>2732649952</v>
      </c>
      <c r="D262" t="s">
        <v>23</v>
      </c>
      <c r="E262" t="s">
        <v>86</v>
      </c>
      <c r="F262" t="s">
        <v>82</v>
      </c>
      <c r="G262" t="s">
        <v>24</v>
      </c>
      <c r="H262" t="s">
        <v>8</v>
      </c>
      <c r="I262" t="s">
        <v>9</v>
      </c>
      <c r="J262" t="s">
        <v>38</v>
      </c>
      <c r="K262" t="s">
        <v>39</v>
      </c>
      <c r="L262" s="2">
        <v>560</v>
      </c>
      <c r="M262" s="2">
        <v>48</v>
      </c>
      <c r="N262" s="2">
        <f>normalizar!$L262*normalizar!$M262</f>
        <v>26880</v>
      </c>
    </row>
    <row r="263" spans="1:14" x14ac:dyDescent="0.25">
      <c r="A263">
        <v>262</v>
      </c>
      <c r="B263" s="1">
        <v>43893</v>
      </c>
      <c r="C263">
        <v>4179453952</v>
      </c>
      <c r="D263" t="s">
        <v>23</v>
      </c>
      <c r="E263" t="s">
        <v>86</v>
      </c>
      <c r="F263" t="s">
        <v>82</v>
      </c>
      <c r="G263" t="s">
        <v>24</v>
      </c>
      <c r="H263" t="s">
        <v>8</v>
      </c>
      <c r="I263" t="s">
        <v>9</v>
      </c>
      <c r="J263" t="s">
        <v>26</v>
      </c>
      <c r="K263" t="s">
        <v>27</v>
      </c>
      <c r="L263" s="2">
        <v>128.79999999999998</v>
      </c>
      <c r="M263" s="2">
        <v>100</v>
      </c>
      <c r="N263" s="2">
        <f>normalizar!$L263*normalizar!$M263</f>
        <v>12879.999999999998</v>
      </c>
    </row>
    <row r="264" spans="1:14" x14ac:dyDescent="0.25">
      <c r="A264">
        <v>263</v>
      </c>
      <c r="B264" s="1">
        <v>44130</v>
      </c>
      <c r="C264">
        <v>4339665341</v>
      </c>
      <c r="D264" t="s">
        <v>62</v>
      </c>
      <c r="E264" t="s">
        <v>91</v>
      </c>
      <c r="F264" t="s">
        <v>91</v>
      </c>
      <c r="G264" t="s">
        <v>43</v>
      </c>
      <c r="H264" t="s">
        <v>16</v>
      </c>
      <c r="I264" t="s">
        <v>33</v>
      </c>
      <c r="J264" t="s">
        <v>67</v>
      </c>
      <c r="K264" t="s">
        <v>27</v>
      </c>
      <c r="L264" s="2">
        <v>140</v>
      </c>
      <c r="M264" s="2">
        <v>90</v>
      </c>
      <c r="N264" s="2">
        <f>normalizar!$L264*normalizar!$M264</f>
        <v>12600</v>
      </c>
    </row>
    <row r="265" spans="1:14" x14ac:dyDescent="0.25">
      <c r="A265">
        <v>264</v>
      </c>
      <c r="B265" s="1">
        <v>44077</v>
      </c>
      <c r="C265">
        <v>9193900326</v>
      </c>
      <c r="D265" t="s">
        <v>63</v>
      </c>
      <c r="E265" t="s">
        <v>85</v>
      </c>
      <c r="F265" t="s">
        <v>83</v>
      </c>
      <c r="G265" t="s">
        <v>41</v>
      </c>
      <c r="H265" t="s">
        <v>25</v>
      </c>
      <c r="I265" t="s">
        <v>17</v>
      </c>
      <c r="J265" t="s">
        <v>68</v>
      </c>
      <c r="K265" t="s">
        <v>69</v>
      </c>
      <c r="L265" s="2">
        <v>298.90000000000003</v>
      </c>
      <c r="M265" s="2">
        <v>49</v>
      </c>
      <c r="N265" s="2">
        <f>normalizar!$L265*normalizar!$M265</f>
        <v>14646.100000000002</v>
      </c>
    </row>
    <row r="266" spans="1:14" x14ac:dyDescent="0.25">
      <c r="A266">
        <v>265</v>
      </c>
      <c r="B266" s="1">
        <v>44073</v>
      </c>
      <c r="C266">
        <v>7474169055</v>
      </c>
      <c r="D266" t="s">
        <v>63</v>
      </c>
      <c r="E266" t="s">
        <v>85</v>
      </c>
      <c r="F266" t="s">
        <v>83</v>
      </c>
      <c r="G266" t="s">
        <v>41</v>
      </c>
      <c r="H266" t="s">
        <v>25</v>
      </c>
      <c r="I266" t="s">
        <v>17</v>
      </c>
      <c r="J266" t="s">
        <v>34</v>
      </c>
      <c r="K266" t="s">
        <v>35</v>
      </c>
      <c r="L266" s="2">
        <v>135.1</v>
      </c>
      <c r="M266" s="2">
        <v>71</v>
      </c>
      <c r="N266" s="2">
        <f>normalizar!$L266*normalizar!$M266</f>
        <v>9592.1</v>
      </c>
    </row>
    <row r="267" spans="1:14" x14ac:dyDescent="0.25">
      <c r="A267">
        <v>266</v>
      </c>
      <c r="B267" s="1">
        <v>43890</v>
      </c>
      <c r="C267">
        <v>9750138179</v>
      </c>
      <c r="D267" t="s">
        <v>63</v>
      </c>
      <c r="E267" t="s">
        <v>85</v>
      </c>
      <c r="F267" t="s">
        <v>83</v>
      </c>
      <c r="G267" t="s">
        <v>41</v>
      </c>
      <c r="H267" t="s">
        <v>25</v>
      </c>
      <c r="I267" t="s">
        <v>17</v>
      </c>
      <c r="J267" t="s">
        <v>52</v>
      </c>
      <c r="K267" t="s">
        <v>53</v>
      </c>
      <c r="L267" s="2">
        <v>257.59999999999997</v>
      </c>
      <c r="M267" s="2">
        <v>10</v>
      </c>
      <c r="N267" s="2">
        <f>normalizar!$L267*normalizar!$M267</f>
        <v>2575.9999999999995</v>
      </c>
    </row>
    <row r="268" spans="1:14" x14ac:dyDescent="0.25">
      <c r="A268">
        <v>267</v>
      </c>
      <c r="B268" s="1">
        <v>43907</v>
      </c>
      <c r="C268">
        <v>2294414293</v>
      </c>
      <c r="D268" t="s">
        <v>28</v>
      </c>
      <c r="E268" t="s">
        <v>89</v>
      </c>
      <c r="F268" t="s">
        <v>84</v>
      </c>
      <c r="G268" t="s">
        <v>29</v>
      </c>
      <c r="H268" t="s">
        <v>8</v>
      </c>
      <c r="I268" t="s">
        <v>9</v>
      </c>
      <c r="J268" t="s">
        <v>10</v>
      </c>
      <c r="K268" t="s">
        <v>11</v>
      </c>
      <c r="L268" s="2">
        <v>196</v>
      </c>
      <c r="M268" s="2">
        <v>78</v>
      </c>
      <c r="N268" s="2">
        <f>normalizar!$L268*normalizar!$M268</f>
        <v>15288</v>
      </c>
    </row>
    <row r="269" spans="1:14" x14ac:dyDescent="0.25">
      <c r="A269">
        <v>268</v>
      </c>
      <c r="B269" s="1">
        <v>44023</v>
      </c>
      <c r="C269">
        <v>776426288</v>
      </c>
      <c r="D269" t="s">
        <v>36</v>
      </c>
      <c r="E269" t="s">
        <v>92</v>
      </c>
      <c r="F269" t="s">
        <v>99</v>
      </c>
      <c r="G269" t="s">
        <v>37</v>
      </c>
      <c r="H269" t="s">
        <v>25</v>
      </c>
      <c r="I269" t="s">
        <v>9</v>
      </c>
      <c r="J269" t="s">
        <v>30</v>
      </c>
      <c r="K269" t="s">
        <v>31</v>
      </c>
      <c r="L269" s="2">
        <v>178.5</v>
      </c>
      <c r="M269" s="2">
        <v>44</v>
      </c>
      <c r="N269" s="2">
        <f>normalizar!$L269*normalizar!$M269</f>
        <v>7854</v>
      </c>
    </row>
    <row r="270" spans="1:14" x14ac:dyDescent="0.25">
      <c r="A270">
        <v>269</v>
      </c>
      <c r="B270" s="1">
        <v>44109</v>
      </c>
      <c r="C270">
        <v>1245231958</v>
      </c>
      <c r="D270" t="s">
        <v>14</v>
      </c>
      <c r="E270" t="s">
        <v>81</v>
      </c>
      <c r="F270" t="s">
        <v>94</v>
      </c>
      <c r="G270" t="s">
        <v>15</v>
      </c>
      <c r="H270" t="s">
        <v>16</v>
      </c>
      <c r="I270" t="s">
        <v>17</v>
      </c>
      <c r="J270" t="s">
        <v>70</v>
      </c>
      <c r="K270" t="s">
        <v>47</v>
      </c>
      <c r="L270" s="2">
        <v>1134</v>
      </c>
      <c r="M270" s="2">
        <v>82</v>
      </c>
      <c r="N270" s="2">
        <f>normalizar!$L270*normalizar!$M270</f>
        <v>92988</v>
      </c>
    </row>
    <row r="271" spans="1:14" x14ac:dyDescent="0.25">
      <c r="A271">
        <v>270</v>
      </c>
      <c r="B271" s="1">
        <v>43931</v>
      </c>
      <c r="C271">
        <v>2050724971</v>
      </c>
      <c r="D271" t="s">
        <v>14</v>
      </c>
      <c r="E271" t="s">
        <v>81</v>
      </c>
      <c r="F271" t="s">
        <v>94</v>
      </c>
      <c r="G271" t="s">
        <v>15</v>
      </c>
      <c r="H271" t="s">
        <v>16</v>
      </c>
      <c r="I271" t="s">
        <v>17</v>
      </c>
      <c r="J271" t="s">
        <v>71</v>
      </c>
      <c r="K271" t="s">
        <v>72</v>
      </c>
      <c r="L271" s="2">
        <v>98</v>
      </c>
      <c r="M271" s="2">
        <v>29</v>
      </c>
      <c r="N271" s="2">
        <f>normalizar!$L271*normalizar!$M271</f>
        <v>2842</v>
      </c>
    </row>
    <row r="272" spans="1:14" x14ac:dyDescent="0.25">
      <c r="A272">
        <v>271</v>
      </c>
      <c r="B272" s="1">
        <v>44097</v>
      </c>
      <c r="C272">
        <v>9478104719</v>
      </c>
      <c r="D272" t="s">
        <v>23</v>
      </c>
      <c r="E272" t="s">
        <v>86</v>
      </c>
      <c r="F272" t="s">
        <v>82</v>
      </c>
      <c r="G272" t="s">
        <v>24</v>
      </c>
      <c r="H272" t="s">
        <v>25</v>
      </c>
      <c r="I272" t="s">
        <v>17</v>
      </c>
      <c r="J272" t="s">
        <v>58</v>
      </c>
      <c r="K272" t="s">
        <v>59</v>
      </c>
      <c r="L272" s="2">
        <v>487.19999999999993</v>
      </c>
      <c r="M272" s="2">
        <v>93</v>
      </c>
      <c r="N272" s="2">
        <f>normalizar!$L272*normalizar!$M272</f>
        <v>45309.599999999991</v>
      </c>
    </row>
    <row r="273" spans="1:14" x14ac:dyDescent="0.25">
      <c r="A273">
        <v>272</v>
      </c>
      <c r="B273" s="1">
        <v>44131</v>
      </c>
      <c r="C273">
        <v>7620759943</v>
      </c>
      <c r="D273" t="s">
        <v>32</v>
      </c>
      <c r="E273" t="s">
        <v>93</v>
      </c>
      <c r="F273" t="s">
        <v>96</v>
      </c>
      <c r="G273" t="s">
        <v>7</v>
      </c>
      <c r="H273" t="s">
        <v>8</v>
      </c>
      <c r="I273" t="s">
        <v>33</v>
      </c>
      <c r="J273" t="s">
        <v>60</v>
      </c>
      <c r="K273" t="s">
        <v>49</v>
      </c>
      <c r="L273" s="2">
        <v>140</v>
      </c>
      <c r="M273" s="2">
        <v>11</v>
      </c>
      <c r="N273" s="2">
        <f>normalizar!$L273*normalizar!$M273</f>
        <v>1540</v>
      </c>
    </row>
    <row r="274" spans="1:14" x14ac:dyDescent="0.25">
      <c r="A274">
        <v>273</v>
      </c>
      <c r="B274" s="1">
        <v>44173</v>
      </c>
      <c r="C274">
        <v>9345003575</v>
      </c>
      <c r="D274" t="s">
        <v>32</v>
      </c>
      <c r="E274" t="s">
        <v>93</v>
      </c>
      <c r="F274" t="s">
        <v>96</v>
      </c>
      <c r="G274" t="s">
        <v>7</v>
      </c>
      <c r="H274" t="s">
        <v>8</v>
      </c>
      <c r="I274" t="s">
        <v>33</v>
      </c>
      <c r="J274" t="s">
        <v>38</v>
      </c>
      <c r="K274" t="s">
        <v>39</v>
      </c>
      <c r="L274" s="2">
        <v>560</v>
      </c>
      <c r="M274" s="2">
        <v>91</v>
      </c>
      <c r="N274" s="2">
        <f>normalizar!$L274*normalizar!$M274</f>
        <v>50960</v>
      </c>
    </row>
    <row r="275" spans="1:14" x14ac:dyDescent="0.25">
      <c r="A275">
        <v>274</v>
      </c>
      <c r="B275" s="1">
        <v>44123</v>
      </c>
      <c r="C275">
        <v>5988072690</v>
      </c>
      <c r="D275" t="s">
        <v>42</v>
      </c>
      <c r="E275" t="s">
        <v>91</v>
      </c>
      <c r="F275" t="s">
        <v>91</v>
      </c>
      <c r="G275" t="s">
        <v>43</v>
      </c>
      <c r="H275" t="s">
        <v>8</v>
      </c>
      <c r="I275" t="s">
        <v>17</v>
      </c>
      <c r="J275" t="s">
        <v>61</v>
      </c>
      <c r="K275" t="s">
        <v>13</v>
      </c>
      <c r="L275" s="2">
        <v>140</v>
      </c>
      <c r="M275" s="2">
        <v>12</v>
      </c>
      <c r="N275" s="2">
        <f>normalizar!$L275*normalizar!$M275</f>
        <v>1680</v>
      </c>
    </row>
    <row r="276" spans="1:14" x14ac:dyDescent="0.25">
      <c r="A276">
        <v>275</v>
      </c>
      <c r="B276" s="1">
        <v>44028</v>
      </c>
      <c r="C276">
        <v>5113488625</v>
      </c>
      <c r="D276" t="s">
        <v>42</v>
      </c>
      <c r="E276" t="s">
        <v>91</v>
      </c>
      <c r="F276" t="s">
        <v>91</v>
      </c>
      <c r="G276" t="s">
        <v>43</v>
      </c>
      <c r="H276" t="s">
        <v>16</v>
      </c>
      <c r="I276" t="s">
        <v>127</v>
      </c>
      <c r="J276" t="s">
        <v>12</v>
      </c>
      <c r="K276" t="s">
        <v>13</v>
      </c>
      <c r="L276" s="2">
        <v>49</v>
      </c>
      <c r="M276" s="2">
        <v>78</v>
      </c>
      <c r="N276" s="2">
        <f>normalizar!$L276*normalizar!$M276</f>
        <v>3822</v>
      </c>
    </row>
    <row r="277" spans="1:14" x14ac:dyDescent="0.25">
      <c r="A277">
        <v>276</v>
      </c>
      <c r="B277" s="1">
        <v>43915</v>
      </c>
      <c r="C277">
        <v>8021429259</v>
      </c>
      <c r="D277" t="s">
        <v>50</v>
      </c>
      <c r="E277" t="s">
        <v>85</v>
      </c>
      <c r="F277" t="s">
        <v>83</v>
      </c>
      <c r="G277" t="s">
        <v>41</v>
      </c>
      <c r="H277" t="s">
        <v>25</v>
      </c>
      <c r="I277" t="s">
        <v>127</v>
      </c>
      <c r="J277" t="s">
        <v>38</v>
      </c>
      <c r="K277" t="s">
        <v>39</v>
      </c>
      <c r="L277" s="2">
        <v>560</v>
      </c>
      <c r="M277" s="2">
        <v>60</v>
      </c>
      <c r="N277" s="2">
        <f>normalizar!$L277*normalizar!$M277</f>
        <v>33600</v>
      </c>
    </row>
    <row r="278" spans="1:14" x14ac:dyDescent="0.25">
      <c r="A278">
        <v>277</v>
      </c>
      <c r="B278" s="1">
        <v>43906</v>
      </c>
      <c r="C278">
        <v>680211800</v>
      </c>
      <c r="D278" t="s">
        <v>51</v>
      </c>
      <c r="E278" t="s">
        <v>90</v>
      </c>
      <c r="F278" t="s">
        <v>98</v>
      </c>
      <c r="G278" t="s">
        <v>24</v>
      </c>
      <c r="H278" t="s">
        <v>25</v>
      </c>
      <c r="I278" t="s">
        <v>127</v>
      </c>
      <c r="J278" t="s">
        <v>52</v>
      </c>
      <c r="K278" t="s">
        <v>53</v>
      </c>
      <c r="L278" s="2">
        <v>257.59999999999997</v>
      </c>
      <c r="M278" s="2">
        <v>23</v>
      </c>
      <c r="N278" s="2">
        <f>normalizar!$L278*normalizar!$M278</f>
        <v>5924.7999999999993</v>
      </c>
    </row>
    <row r="279" spans="1:14" x14ac:dyDescent="0.25">
      <c r="A279">
        <v>278</v>
      </c>
      <c r="B279" s="1">
        <v>44092</v>
      </c>
      <c r="C279">
        <v>2635806056</v>
      </c>
      <c r="D279" t="s">
        <v>40</v>
      </c>
      <c r="E279" t="s">
        <v>97</v>
      </c>
      <c r="F279" t="s">
        <v>88</v>
      </c>
      <c r="G279" t="s">
        <v>41</v>
      </c>
      <c r="H279" t="s">
        <v>25</v>
      </c>
      <c r="I279" t="s">
        <v>17</v>
      </c>
      <c r="J279" t="s">
        <v>22</v>
      </c>
      <c r="K279" t="s">
        <v>11</v>
      </c>
      <c r="L279" s="2">
        <v>644</v>
      </c>
      <c r="M279" s="2">
        <v>34</v>
      </c>
      <c r="N279" s="2">
        <f>normalizar!$L279*normalizar!$M279</f>
        <v>21896</v>
      </c>
    </row>
    <row r="280" spans="1:14" x14ac:dyDescent="0.25">
      <c r="A280">
        <v>279</v>
      </c>
      <c r="B280" s="1">
        <v>44073</v>
      </c>
      <c r="C280">
        <v>3338515953</v>
      </c>
      <c r="D280" t="s">
        <v>54</v>
      </c>
      <c r="E280" t="s">
        <v>89</v>
      </c>
      <c r="F280" t="s">
        <v>84</v>
      </c>
      <c r="G280" t="s">
        <v>55</v>
      </c>
      <c r="H280" t="s">
        <v>16</v>
      </c>
      <c r="I280" t="s">
        <v>9</v>
      </c>
      <c r="J280" t="s">
        <v>34</v>
      </c>
      <c r="K280" t="s">
        <v>35</v>
      </c>
      <c r="L280" s="2">
        <v>135.1</v>
      </c>
      <c r="M280" s="2">
        <v>89</v>
      </c>
      <c r="N280" s="2">
        <f>normalizar!$L280*normalizar!$M280</f>
        <v>12023.9</v>
      </c>
    </row>
    <row r="281" spans="1:14" x14ac:dyDescent="0.25">
      <c r="A281">
        <v>280</v>
      </c>
      <c r="B281" s="1">
        <v>44106</v>
      </c>
      <c r="C281">
        <v>3075758565</v>
      </c>
      <c r="D281" t="s">
        <v>36</v>
      </c>
      <c r="E281" t="s">
        <v>92</v>
      </c>
      <c r="F281" t="s">
        <v>99</v>
      </c>
      <c r="G281" t="s">
        <v>37</v>
      </c>
      <c r="H281" t="s">
        <v>8</v>
      </c>
      <c r="I281" t="s">
        <v>17</v>
      </c>
      <c r="J281" t="s">
        <v>30</v>
      </c>
      <c r="K281" t="s">
        <v>31</v>
      </c>
      <c r="L281" s="2">
        <v>178.5</v>
      </c>
      <c r="M281" s="2">
        <v>82</v>
      </c>
      <c r="N281" s="2">
        <f>normalizar!$L281*normalizar!$M281</f>
        <v>14637</v>
      </c>
    </row>
    <row r="282" spans="1:14" x14ac:dyDescent="0.25">
      <c r="A282">
        <v>281</v>
      </c>
      <c r="B282" s="1">
        <v>44160</v>
      </c>
      <c r="C282">
        <v>5383209032</v>
      </c>
      <c r="D282" t="s">
        <v>23</v>
      </c>
      <c r="E282" t="s">
        <v>86</v>
      </c>
      <c r="F282" t="s">
        <v>82</v>
      </c>
      <c r="G282" t="s">
        <v>24</v>
      </c>
      <c r="H282" t="s">
        <v>8</v>
      </c>
      <c r="I282" t="s">
        <v>9</v>
      </c>
      <c r="J282" t="s">
        <v>30</v>
      </c>
      <c r="K282" t="s">
        <v>31</v>
      </c>
      <c r="L282" s="2">
        <v>178.5</v>
      </c>
      <c r="M282" s="2">
        <v>43</v>
      </c>
      <c r="N282" s="2">
        <f>normalizar!$L282*normalizar!$M282</f>
        <v>7675.5</v>
      </c>
    </row>
    <row r="283" spans="1:14" x14ac:dyDescent="0.25">
      <c r="A283">
        <v>282</v>
      </c>
      <c r="B283" s="1">
        <v>44068</v>
      </c>
      <c r="C283">
        <v>9635546425</v>
      </c>
      <c r="D283" t="s">
        <v>42</v>
      </c>
      <c r="E283" t="s">
        <v>91</v>
      </c>
      <c r="F283" t="s">
        <v>91</v>
      </c>
      <c r="G283" t="s">
        <v>43</v>
      </c>
      <c r="H283" t="s">
        <v>16</v>
      </c>
      <c r="I283" t="s">
        <v>127</v>
      </c>
      <c r="J283" t="s">
        <v>48</v>
      </c>
      <c r="K283" t="s">
        <v>49</v>
      </c>
      <c r="L283" s="2">
        <v>308</v>
      </c>
      <c r="M283" s="2">
        <v>96</v>
      </c>
      <c r="N283" s="2">
        <f>normalizar!$L283*normalizar!$M283</f>
        <v>29568</v>
      </c>
    </row>
    <row r="284" spans="1:14" x14ac:dyDescent="0.25">
      <c r="A284">
        <v>283</v>
      </c>
      <c r="B284" s="1">
        <v>44073</v>
      </c>
      <c r="C284">
        <v>3501364052</v>
      </c>
      <c r="D284" t="s">
        <v>42</v>
      </c>
      <c r="E284" t="s">
        <v>91</v>
      </c>
      <c r="F284" t="s">
        <v>91</v>
      </c>
      <c r="G284" t="s">
        <v>43</v>
      </c>
      <c r="H284" t="s">
        <v>16</v>
      </c>
      <c r="I284" t="s">
        <v>127</v>
      </c>
      <c r="J284" t="s">
        <v>26</v>
      </c>
      <c r="K284" t="s">
        <v>27</v>
      </c>
      <c r="L284" s="2">
        <v>128.79999999999998</v>
      </c>
      <c r="M284" s="2">
        <v>34</v>
      </c>
      <c r="N284" s="2">
        <f>normalizar!$L284*normalizar!$M284</f>
        <v>4379.2</v>
      </c>
    </row>
    <row r="285" spans="1:14" x14ac:dyDescent="0.25">
      <c r="A285">
        <v>284</v>
      </c>
      <c r="B285" s="1">
        <v>43992</v>
      </c>
      <c r="C285">
        <v>2226825043</v>
      </c>
      <c r="D285" t="s">
        <v>50</v>
      </c>
      <c r="E285" t="s">
        <v>85</v>
      </c>
      <c r="F285" t="s">
        <v>83</v>
      </c>
      <c r="G285" t="s">
        <v>41</v>
      </c>
      <c r="H285" t="s">
        <v>25</v>
      </c>
      <c r="I285" t="s">
        <v>127</v>
      </c>
      <c r="J285" t="s">
        <v>12</v>
      </c>
      <c r="K285" t="s">
        <v>13</v>
      </c>
      <c r="L285" s="2">
        <v>49</v>
      </c>
      <c r="M285" s="2">
        <v>42</v>
      </c>
      <c r="N285" s="2">
        <f>normalizar!$L285*normalizar!$M285</f>
        <v>2058</v>
      </c>
    </row>
    <row r="286" spans="1:14" x14ac:dyDescent="0.25">
      <c r="A286">
        <v>285</v>
      </c>
      <c r="B286" s="1">
        <v>43883</v>
      </c>
      <c r="C286">
        <v>6321323029</v>
      </c>
      <c r="D286" t="s">
        <v>50</v>
      </c>
      <c r="E286" t="s">
        <v>85</v>
      </c>
      <c r="F286" t="s">
        <v>83</v>
      </c>
      <c r="G286" t="s">
        <v>41</v>
      </c>
      <c r="H286" t="s">
        <v>25</v>
      </c>
      <c r="I286" t="s">
        <v>127</v>
      </c>
      <c r="J286" t="s">
        <v>44</v>
      </c>
      <c r="K286" t="s">
        <v>11</v>
      </c>
      <c r="L286" s="2">
        <v>41.86</v>
      </c>
      <c r="M286" s="2">
        <v>100</v>
      </c>
      <c r="N286" s="2">
        <f>normalizar!$L286*normalizar!$M286</f>
        <v>4186</v>
      </c>
    </row>
    <row r="287" spans="1:14" x14ac:dyDescent="0.25">
      <c r="A287">
        <v>286</v>
      </c>
      <c r="B287" s="1">
        <v>44168</v>
      </c>
      <c r="C287">
        <v>3775524143</v>
      </c>
      <c r="D287" t="s">
        <v>51</v>
      </c>
      <c r="E287" t="s">
        <v>90</v>
      </c>
      <c r="F287" t="s">
        <v>98</v>
      </c>
      <c r="G287" t="s">
        <v>24</v>
      </c>
      <c r="H287" t="s">
        <v>127</v>
      </c>
      <c r="I287" t="s">
        <v>127</v>
      </c>
      <c r="J287" t="s">
        <v>21</v>
      </c>
      <c r="K287" t="s">
        <v>11</v>
      </c>
      <c r="L287" s="2">
        <v>252</v>
      </c>
      <c r="M287" s="2">
        <v>42</v>
      </c>
      <c r="N287" s="2">
        <f>normalizar!$L287*normalizar!$M287</f>
        <v>10584</v>
      </c>
    </row>
    <row r="288" spans="1:14" x14ac:dyDescent="0.25">
      <c r="A288">
        <v>287</v>
      </c>
      <c r="B288" s="1">
        <v>44044</v>
      </c>
      <c r="C288">
        <v>9543041808</v>
      </c>
      <c r="D288" t="s">
        <v>51</v>
      </c>
      <c r="E288" t="s">
        <v>90</v>
      </c>
      <c r="F288" t="s">
        <v>98</v>
      </c>
      <c r="G288" t="s">
        <v>24</v>
      </c>
      <c r="H288" t="s">
        <v>127</v>
      </c>
      <c r="I288" t="s">
        <v>127</v>
      </c>
      <c r="J288" t="s">
        <v>22</v>
      </c>
      <c r="K288" t="s">
        <v>11</v>
      </c>
      <c r="L288" s="2">
        <v>644</v>
      </c>
      <c r="M288" s="2">
        <v>16</v>
      </c>
      <c r="N288" s="2">
        <f>normalizar!$L288*normalizar!$M288</f>
        <v>10304</v>
      </c>
    </row>
    <row r="289" spans="1:14" x14ac:dyDescent="0.25">
      <c r="A289">
        <v>288</v>
      </c>
      <c r="B289" s="1">
        <v>43954</v>
      </c>
      <c r="C289">
        <v>547647770</v>
      </c>
      <c r="D289" t="s">
        <v>51</v>
      </c>
      <c r="E289" t="s">
        <v>90</v>
      </c>
      <c r="F289" t="s">
        <v>98</v>
      </c>
      <c r="G289" t="s">
        <v>24</v>
      </c>
      <c r="H289" t="s">
        <v>127</v>
      </c>
      <c r="I289" t="s">
        <v>127</v>
      </c>
      <c r="J289" t="s">
        <v>44</v>
      </c>
      <c r="K289" t="s">
        <v>11</v>
      </c>
      <c r="L289" s="2">
        <v>41.86</v>
      </c>
      <c r="M289" s="2">
        <v>22</v>
      </c>
      <c r="N289" s="2">
        <f>normalizar!$L289*normalizar!$M289</f>
        <v>920.92</v>
      </c>
    </row>
    <row r="290" spans="1:14" x14ac:dyDescent="0.25">
      <c r="A290">
        <v>289</v>
      </c>
      <c r="B290" s="1">
        <v>44106</v>
      </c>
      <c r="C290">
        <v>7120228607</v>
      </c>
      <c r="D290" t="s">
        <v>40</v>
      </c>
      <c r="E290" t="s">
        <v>97</v>
      </c>
      <c r="F290" t="s">
        <v>88</v>
      </c>
      <c r="G290" t="s">
        <v>41</v>
      </c>
      <c r="H290" t="s">
        <v>25</v>
      </c>
      <c r="I290" t="s">
        <v>17</v>
      </c>
      <c r="J290" t="s">
        <v>34</v>
      </c>
      <c r="K290" t="s">
        <v>35</v>
      </c>
      <c r="L290" s="2">
        <v>135.1</v>
      </c>
      <c r="M290" s="2">
        <v>46</v>
      </c>
      <c r="N290" s="2">
        <f>normalizar!$L290*normalizar!$M290</f>
        <v>6214.5999999999995</v>
      </c>
    </row>
    <row r="291" spans="1:14" x14ac:dyDescent="0.25">
      <c r="A291">
        <v>290</v>
      </c>
      <c r="B291" s="1">
        <v>43837</v>
      </c>
      <c r="C291">
        <v>5554565190</v>
      </c>
      <c r="D291" t="s">
        <v>40</v>
      </c>
      <c r="E291" t="s">
        <v>97</v>
      </c>
      <c r="F291" t="s">
        <v>88</v>
      </c>
      <c r="G291" t="s">
        <v>41</v>
      </c>
      <c r="H291" t="s">
        <v>25</v>
      </c>
      <c r="I291" t="s">
        <v>17</v>
      </c>
      <c r="J291" t="s">
        <v>52</v>
      </c>
      <c r="K291" t="s">
        <v>53</v>
      </c>
      <c r="L291" s="2">
        <v>257.59999999999997</v>
      </c>
      <c r="M291" s="2">
        <v>100</v>
      </c>
      <c r="N291" s="2">
        <f>normalizar!$L291*normalizar!$M291</f>
        <v>25759.999999999996</v>
      </c>
    </row>
    <row r="292" spans="1:14" x14ac:dyDescent="0.25">
      <c r="A292">
        <v>291</v>
      </c>
      <c r="B292" s="1">
        <v>43866</v>
      </c>
      <c r="C292">
        <v>1644848787</v>
      </c>
      <c r="D292" t="s">
        <v>54</v>
      </c>
      <c r="E292" t="s">
        <v>89</v>
      </c>
      <c r="F292" t="s">
        <v>84</v>
      </c>
      <c r="G292" t="s">
        <v>55</v>
      </c>
      <c r="H292" t="s">
        <v>16</v>
      </c>
      <c r="I292" t="s">
        <v>9</v>
      </c>
      <c r="J292" t="s">
        <v>56</v>
      </c>
      <c r="K292" t="s">
        <v>57</v>
      </c>
      <c r="L292" s="2">
        <v>273</v>
      </c>
      <c r="M292" s="2">
        <v>87</v>
      </c>
      <c r="N292" s="2">
        <f>normalizar!$L292*normalizar!$M292</f>
        <v>23751</v>
      </c>
    </row>
    <row r="293" spans="1:14" x14ac:dyDescent="0.25">
      <c r="A293">
        <v>292</v>
      </c>
      <c r="B293" s="1">
        <v>43923</v>
      </c>
      <c r="C293">
        <v>8273786477</v>
      </c>
      <c r="D293" t="s">
        <v>54</v>
      </c>
      <c r="E293" t="s">
        <v>89</v>
      </c>
      <c r="F293" t="s">
        <v>84</v>
      </c>
      <c r="G293" t="s">
        <v>55</v>
      </c>
      <c r="H293" t="s">
        <v>16</v>
      </c>
      <c r="I293" t="s">
        <v>9</v>
      </c>
      <c r="J293" t="s">
        <v>58</v>
      </c>
      <c r="K293" t="s">
        <v>59</v>
      </c>
      <c r="L293" s="2">
        <v>487.19999999999993</v>
      </c>
      <c r="M293" s="2">
        <v>58</v>
      </c>
      <c r="N293" s="2">
        <f>normalizar!$L293*normalizar!$M293</f>
        <v>28257.599999999995</v>
      </c>
    </row>
    <row r="294" spans="1:14" x14ac:dyDescent="0.25">
      <c r="A294">
        <v>293</v>
      </c>
      <c r="B294" s="1">
        <v>44062</v>
      </c>
      <c r="C294">
        <v>1397118248</v>
      </c>
      <c r="D294" t="s">
        <v>36</v>
      </c>
      <c r="E294" t="s">
        <v>92</v>
      </c>
      <c r="F294" t="s">
        <v>99</v>
      </c>
      <c r="G294" t="s">
        <v>37</v>
      </c>
      <c r="H294" t="s">
        <v>8</v>
      </c>
      <c r="I294" t="s">
        <v>17</v>
      </c>
      <c r="J294" t="s">
        <v>10</v>
      </c>
      <c r="K294" t="s">
        <v>11</v>
      </c>
      <c r="L294" s="2">
        <v>196</v>
      </c>
      <c r="M294" s="2">
        <v>85</v>
      </c>
      <c r="N294" s="2">
        <f>normalizar!$L294*normalizar!$M294</f>
        <v>16660</v>
      </c>
    </row>
    <row r="295" spans="1:14" x14ac:dyDescent="0.25">
      <c r="A295">
        <v>294</v>
      </c>
      <c r="B295" s="1">
        <v>43959</v>
      </c>
      <c r="C295">
        <v>4468604310</v>
      </c>
      <c r="D295" t="s">
        <v>23</v>
      </c>
      <c r="E295" t="s">
        <v>86</v>
      </c>
      <c r="F295" t="s">
        <v>82</v>
      </c>
      <c r="G295" t="s">
        <v>24</v>
      </c>
      <c r="H295" t="s">
        <v>8</v>
      </c>
      <c r="I295" t="s">
        <v>9</v>
      </c>
      <c r="J295" t="s">
        <v>38</v>
      </c>
      <c r="K295" t="s">
        <v>39</v>
      </c>
      <c r="L295" s="2">
        <v>560</v>
      </c>
      <c r="M295" s="2">
        <v>28</v>
      </c>
      <c r="N295" s="2">
        <f>normalizar!$L295*normalizar!$M295</f>
        <v>15680</v>
      </c>
    </row>
    <row r="296" spans="1:14" x14ac:dyDescent="0.25">
      <c r="A296">
        <v>295</v>
      </c>
      <c r="B296" s="1">
        <v>44178</v>
      </c>
      <c r="C296">
        <v>457458721</v>
      </c>
      <c r="D296" t="s">
        <v>23</v>
      </c>
      <c r="E296" t="s">
        <v>86</v>
      </c>
      <c r="F296" t="s">
        <v>82</v>
      </c>
      <c r="G296" t="s">
        <v>24</v>
      </c>
      <c r="H296" t="s">
        <v>8</v>
      </c>
      <c r="I296" t="s">
        <v>9</v>
      </c>
      <c r="J296" t="s">
        <v>26</v>
      </c>
      <c r="K296" t="s">
        <v>27</v>
      </c>
      <c r="L296" s="2">
        <v>128.79999999999998</v>
      </c>
      <c r="M296" s="2">
        <v>19</v>
      </c>
      <c r="N296" s="2">
        <f>normalizar!$L296*normalizar!$M296</f>
        <v>2447.1999999999998</v>
      </c>
    </row>
    <row r="297" spans="1:14" x14ac:dyDescent="0.25">
      <c r="A297">
        <v>296</v>
      </c>
      <c r="B297" s="1">
        <v>43990</v>
      </c>
      <c r="C297">
        <v>7184663808</v>
      </c>
      <c r="D297" t="s">
        <v>62</v>
      </c>
      <c r="E297" t="s">
        <v>91</v>
      </c>
      <c r="F297" t="s">
        <v>91</v>
      </c>
      <c r="G297" t="s">
        <v>43</v>
      </c>
      <c r="H297" t="s">
        <v>16</v>
      </c>
      <c r="I297" t="s">
        <v>33</v>
      </c>
      <c r="J297" t="s">
        <v>67</v>
      </c>
      <c r="K297" t="s">
        <v>27</v>
      </c>
      <c r="L297" s="2">
        <v>140</v>
      </c>
      <c r="M297" s="2">
        <v>99</v>
      </c>
      <c r="N297" s="2">
        <f>normalizar!$L297*normalizar!$M297</f>
        <v>13860</v>
      </c>
    </row>
    <row r="298" spans="1:14" x14ac:dyDescent="0.25">
      <c r="A298">
        <v>297</v>
      </c>
      <c r="B298" s="1">
        <v>44087</v>
      </c>
      <c r="C298">
        <v>3449599231</v>
      </c>
      <c r="D298" t="s">
        <v>63</v>
      </c>
      <c r="E298" t="s">
        <v>85</v>
      </c>
      <c r="F298" t="s">
        <v>83</v>
      </c>
      <c r="G298" t="s">
        <v>41</v>
      </c>
      <c r="H298" t="s">
        <v>25</v>
      </c>
      <c r="I298" t="s">
        <v>17</v>
      </c>
      <c r="J298" t="s">
        <v>68</v>
      </c>
      <c r="K298" t="s">
        <v>69</v>
      </c>
      <c r="L298" s="2">
        <v>298.90000000000003</v>
      </c>
      <c r="M298" s="2">
        <v>69</v>
      </c>
      <c r="N298" s="2">
        <f>normalizar!$L298*normalizar!$M298</f>
        <v>20624.100000000002</v>
      </c>
    </row>
    <row r="299" spans="1:14" x14ac:dyDescent="0.25">
      <c r="A299">
        <v>298</v>
      </c>
      <c r="B299" s="1">
        <v>44168</v>
      </c>
      <c r="C299">
        <v>3901461858</v>
      </c>
      <c r="D299" t="s">
        <v>63</v>
      </c>
      <c r="E299" t="s">
        <v>85</v>
      </c>
      <c r="F299" t="s">
        <v>83</v>
      </c>
      <c r="G299" t="s">
        <v>41</v>
      </c>
      <c r="H299" t="s">
        <v>25</v>
      </c>
      <c r="I299" t="s">
        <v>17</v>
      </c>
      <c r="J299" t="s">
        <v>34</v>
      </c>
      <c r="K299" t="s">
        <v>35</v>
      </c>
      <c r="L299" s="2">
        <v>135.1</v>
      </c>
      <c r="M299" s="2">
        <v>37</v>
      </c>
      <c r="N299" s="2">
        <f>normalizar!$L299*normalizar!$M299</f>
        <v>4998.7</v>
      </c>
    </row>
    <row r="300" spans="1:14" x14ac:dyDescent="0.25">
      <c r="A300">
        <v>299</v>
      </c>
      <c r="B300" s="1">
        <v>43922</v>
      </c>
      <c r="C300">
        <v>6798892819</v>
      </c>
      <c r="D300" t="s">
        <v>63</v>
      </c>
      <c r="E300" t="s">
        <v>85</v>
      </c>
      <c r="F300" t="s">
        <v>83</v>
      </c>
      <c r="G300" t="s">
        <v>41</v>
      </c>
      <c r="H300" t="s">
        <v>25</v>
      </c>
      <c r="I300" t="s">
        <v>17</v>
      </c>
      <c r="J300" t="s">
        <v>52</v>
      </c>
      <c r="K300" t="s">
        <v>53</v>
      </c>
      <c r="L300" s="2">
        <v>257.59999999999997</v>
      </c>
      <c r="M300" s="2">
        <v>64</v>
      </c>
      <c r="N300" s="2">
        <f>normalizar!$L300*normalizar!$M300</f>
        <v>16486.399999999998</v>
      </c>
    </row>
    <row r="301" spans="1:14" x14ac:dyDescent="0.25">
      <c r="A301">
        <v>300</v>
      </c>
      <c r="B301" s="1">
        <v>44130</v>
      </c>
      <c r="C301">
        <v>6897506437</v>
      </c>
      <c r="D301" t="s">
        <v>28</v>
      </c>
      <c r="E301" t="s">
        <v>89</v>
      </c>
      <c r="F301" t="s">
        <v>84</v>
      </c>
      <c r="G301" t="s">
        <v>29</v>
      </c>
      <c r="H301" t="s">
        <v>8</v>
      </c>
      <c r="I301" t="s">
        <v>9</v>
      </c>
      <c r="J301" t="s">
        <v>10</v>
      </c>
      <c r="K301" t="s">
        <v>11</v>
      </c>
      <c r="L301" s="2">
        <v>196</v>
      </c>
      <c r="M301" s="2">
        <v>38</v>
      </c>
      <c r="N301" s="2">
        <f>normalizar!$L301*normalizar!$M301</f>
        <v>7448</v>
      </c>
    </row>
    <row r="302" spans="1:14" x14ac:dyDescent="0.25">
      <c r="A302">
        <v>301</v>
      </c>
      <c r="B302" s="1">
        <v>44124</v>
      </c>
      <c r="C302">
        <v>6298594113</v>
      </c>
      <c r="D302" t="s">
        <v>36</v>
      </c>
      <c r="E302" t="s">
        <v>92</v>
      </c>
      <c r="F302" t="s">
        <v>99</v>
      </c>
      <c r="G302" t="s">
        <v>37</v>
      </c>
      <c r="H302" t="s">
        <v>25</v>
      </c>
      <c r="I302" t="s">
        <v>9</v>
      </c>
      <c r="J302" t="s">
        <v>30</v>
      </c>
      <c r="K302" t="s">
        <v>31</v>
      </c>
      <c r="L302" s="2">
        <v>178.5</v>
      </c>
      <c r="M302" s="2">
        <v>15</v>
      </c>
      <c r="N302" s="2">
        <f>normalizar!$L302*normalizar!$M302</f>
        <v>2677.5</v>
      </c>
    </row>
    <row r="303" spans="1:14" x14ac:dyDescent="0.25">
      <c r="A303">
        <v>302</v>
      </c>
      <c r="B303" s="1">
        <v>43984</v>
      </c>
      <c r="C303">
        <v>6972691420</v>
      </c>
      <c r="D303" t="s">
        <v>14</v>
      </c>
      <c r="E303" t="s">
        <v>81</v>
      </c>
      <c r="F303" t="s">
        <v>94</v>
      </c>
      <c r="G303" t="s">
        <v>15</v>
      </c>
      <c r="H303" t="s">
        <v>16</v>
      </c>
      <c r="I303" t="s">
        <v>17</v>
      </c>
      <c r="J303" t="s">
        <v>70</v>
      </c>
      <c r="K303" t="s">
        <v>47</v>
      </c>
      <c r="L303" s="2">
        <v>1134</v>
      </c>
      <c r="M303" s="2">
        <v>52</v>
      </c>
      <c r="N303" s="2">
        <f>normalizar!$L303*normalizar!$M303</f>
        <v>58968</v>
      </c>
    </row>
    <row r="304" spans="1:14" x14ac:dyDescent="0.25">
      <c r="A304">
        <v>303</v>
      </c>
      <c r="B304" s="1">
        <v>44078</v>
      </c>
      <c r="C304">
        <v>677992170</v>
      </c>
      <c r="D304" t="s">
        <v>14</v>
      </c>
      <c r="E304" t="s">
        <v>81</v>
      </c>
      <c r="F304" t="s">
        <v>94</v>
      </c>
      <c r="G304" t="s">
        <v>15</v>
      </c>
      <c r="H304" t="s">
        <v>16</v>
      </c>
      <c r="I304" t="s">
        <v>17</v>
      </c>
      <c r="J304" t="s">
        <v>71</v>
      </c>
      <c r="K304" t="s">
        <v>72</v>
      </c>
      <c r="L304" s="2">
        <v>98</v>
      </c>
      <c r="M304" s="2">
        <v>37</v>
      </c>
      <c r="N304" s="2">
        <f>normalizar!$L304*normalizar!$M304</f>
        <v>3626</v>
      </c>
    </row>
    <row r="305" spans="1:14" x14ac:dyDescent="0.25">
      <c r="A305">
        <v>304</v>
      </c>
      <c r="B305" s="1">
        <v>44063</v>
      </c>
      <c r="C305">
        <v>3501827064</v>
      </c>
      <c r="D305" t="s">
        <v>23</v>
      </c>
      <c r="E305" t="s">
        <v>86</v>
      </c>
      <c r="F305" t="s">
        <v>82</v>
      </c>
      <c r="G305" t="s">
        <v>24</v>
      </c>
      <c r="H305" t="s">
        <v>25</v>
      </c>
      <c r="I305" t="s">
        <v>17</v>
      </c>
      <c r="J305" t="s">
        <v>58</v>
      </c>
      <c r="K305" t="s">
        <v>59</v>
      </c>
      <c r="L305" s="2">
        <v>487.19999999999993</v>
      </c>
      <c r="M305" s="2">
        <v>24</v>
      </c>
      <c r="N305" s="2">
        <f>normalizar!$L305*normalizar!$M305</f>
        <v>11692.8</v>
      </c>
    </row>
    <row r="306" spans="1:14" x14ac:dyDescent="0.25">
      <c r="A306">
        <v>305</v>
      </c>
      <c r="B306" s="1">
        <v>43979</v>
      </c>
      <c r="C306">
        <v>9140892367</v>
      </c>
      <c r="D306" t="s">
        <v>32</v>
      </c>
      <c r="E306" t="s">
        <v>93</v>
      </c>
      <c r="F306" t="s">
        <v>96</v>
      </c>
      <c r="G306" t="s">
        <v>7</v>
      </c>
      <c r="H306" t="s">
        <v>8</v>
      </c>
      <c r="I306" t="s">
        <v>33</v>
      </c>
      <c r="J306" t="s">
        <v>60</v>
      </c>
      <c r="K306" t="s">
        <v>49</v>
      </c>
      <c r="L306" s="2">
        <v>140</v>
      </c>
      <c r="M306" s="2">
        <v>36</v>
      </c>
      <c r="N306" s="2">
        <f>normalizar!$L306*normalizar!$M306</f>
        <v>5040</v>
      </c>
    </row>
    <row r="307" spans="1:14" x14ac:dyDescent="0.25">
      <c r="A307">
        <v>306</v>
      </c>
      <c r="B307" s="1">
        <v>44037</v>
      </c>
      <c r="C307">
        <v>7570396760</v>
      </c>
      <c r="D307" t="s">
        <v>32</v>
      </c>
      <c r="E307" t="s">
        <v>93</v>
      </c>
      <c r="F307" t="s">
        <v>96</v>
      </c>
      <c r="G307" t="s">
        <v>7</v>
      </c>
      <c r="H307" t="s">
        <v>8</v>
      </c>
      <c r="I307" t="s">
        <v>33</v>
      </c>
      <c r="J307" t="s">
        <v>38</v>
      </c>
      <c r="K307" t="s">
        <v>39</v>
      </c>
      <c r="L307" s="2">
        <v>560</v>
      </c>
      <c r="M307" s="2">
        <v>24</v>
      </c>
      <c r="N307" s="2">
        <f>normalizar!$L307*normalizar!$M307</f>
        <v>13440</v>
      </c>
    </row>
    <row r="308" spans="1:14" x14ac:dyDescent="0.25">
      <c r="A308">
        <v>307</v>
      </c>
      <c r="B308" s="1">
        <v>44085</v>
      </c>
      <c r="C308">
        <v>5368769086</v>
      </c>
      <c r="D308" t="s">
        <v>42</v>
      </c>
      <c r="E308" t="s">
        <v>91</v>
      </c>
      <c r="F308" t="s">
        <v>91</v>
      </c>
      <c r="G308" t="s">
        <v>43</v>
      </c>
      <c r="H308" t="s">
        <v>8</v>
      </c>
      <c r="I308" t="s">
        <v>17</v>
      </c>
      <c r="J308" t="s">
        <v>61</v>
      </c>
      <c r="K308" t="s">
        <v>13</v>
      </c>
      <c r="L308" s="2">
        <v>140</v>
      </c>
      <c r="M308" s="2">
        <v>20</v>
      </c>
      <c r="N308" s="2">
        <f>normalizar!$L308*normalizar!$M308</f>
        <v>2800</v>
      </c>
    </row>
    <row r="309" spans="1:14" x14ac:dyDescent="0.25">
      <c r="A309">
        <v>308</v>
      </c>
      <c r="B309" s="1">
        <v>44162</v>
      </c>
      <c r="C309">
        <v>443042127</v>
      </c>
      <c r="D309" t="s">
        <v>42</v>
      </c>
      <c r="E309" t="s">
        <v>91</v>
      </c>
      <c r="F309" t="s">
        <v>91</v>
      </c>
      <c r="G309" t="s">
        <v>43</v>
      </c>
      <c r="H309" t="s">
        <v>16</v>
      </c>
      <c r="I309" t="s">
        <v>127</v>
      </c>
      <c r="J309" t="s">
        <v>12</v>
      </c>
      <c r="K309" t="s">
        <v>13</v>
      </c>
      <c r="L309" s="2">
        <v>49</v>
      </c>
      <c r="M309" s="2">
        <v>11</v>
      </c>
      <c r="N309" s="2">
        <f>normalizar!$L309*normalizar!$M309</f>
        <v>539</v>
      </c>
    </row>
    <row r="310" spans="1:14" x14ac:dyDescent="0.25">
      <c r="A310">
        <v>309</v>
      </c>
      <c r="B310" s="1">
        <v>43840</v>
      </c>
      <c r="C310">
        <v>3198859022</v>
      </c>
      <c r="D310" t="s">
        <v>50</v>
      </c>
      <c r="E310" t="s">
        <v>85</v>
      </c>
      <c r="F310" t="s">
        <v>83</v>
      </c>
      <c r="G310" t="s">
        <v>41</v>
      </c>
      <c r="H310" t="s">
        <v>25</v>
      </c>
      <c r="I310" t="s">
        <v>127</v>
      </c>
      <c r="J310" t="s">
        <v>38</v>
      </c>
      <c r="K310" t="s">
        <v>39</v>
      </c>
      <c r="L310" s="2">
        <v>560</v>
      </c>
      <c r="M310" s="2">
        <v>78</v>
      </c>
      <c r="N310" s="2">
        <f>normalizar!$L310*normalizar!$M310</f>
        <v>43680</v>
      </c>
    </row>
    <row r="311" spans="1:14" x14ac:dyDescent="0.25">
      <c r="A311">
        <v>310</v>
      </c>
      <c r="B311" s="1">
        <v>44043</v>
      </c>
      <c r="C311">
        <v>2982674072</v>
      </c>
      <c r="D311" t="s">
        <v>51</v>
      </c>
      <c r="E311" t="s">
        <v>90</v>
      </c>
      <c r="F311" t="s">
        <v>98</v>
      </c>
      <c r="G311" t="s">
        <v>24</v>
      </c>
      <c r="H311" t="s">
        <v>25</v>
      </c>
      <c r="I311" t="s">
        <v>127</v>
      </c>
      <c r="J311" t="s">
        <v>52</v>
      </c>
      <c r="K311" t="s">
        <v>53</v>
      </c>
      <c r="L311" s="2">
        <v>257.59999999999997</v>
      </c>
      <c r="M311" s="2">
        <v>76</v>
      </c>
      <c r="N311" s="2">
        <f>normalizar!$L311*normalizar!$M311</f>
        <v>19577.599999999999</v>
      </c>
    </row>
    <row r="312" spans="1:14" x14ac:dyDescent="0.25">
      <c r="A312">
        <v>311</v>
      </c>
      <c r="B312" s="1">
        <v>44118</v>
      </c>
      <c r="C312">
        <v>1636086310</v>
      </c>
      <c r="D312" t="s">
        <v>40</v>
      </c>
      <c r="E312" t="s">
        <v>97</v>
      </c>
      <c r="F312" t="s">
        <v>88</v>
      </c>
      <c r="G312" t="s">
        <v>41</v>
      </c>
      <c r="H312" t="s">
        <v>25</v>
      </c>
      <c r="I312" t="s">
        <v>17</v>
      </c>
      <c r="J312" t="s">
        <v>22</v>
      </c>
      <c r="K312" t="s">
        <v>11</v>
      </c>
      <c r="L312" s="2">
        <v>644</v>
      </c>
      <c r="M312" s="2">
        <v>57</v>
      </c>
      <c r="N312" s="2">
        <f>normalizar!$L312*normalizar!$M312</f>
        <v>36708</v>
      </c>
    </row>
    <row r="313" spans="1:14" x14ac:dyDescent="0.25">
      <c r="A313">
        <v>312</v>
      </c>
      <c r="B313" s="1">
        <v>44069</v>
      </c>
      <c r="C313">
        <v>9879315200</v>
      </c>
      <c r="D313" t="s">
        <v>54</v>
      </c>
      <c r="E313" t="s">
        <v>89</v>
      </c>
      <c r="F313" t="s">
        <v>84</v>
      </c>
      <c r="G313" t="s">
        <v>55</v>
      </c>
      <c r="H313" t="s">
        <v>16</v>
      </c>
      <c r="I313" t="s">
        <v>9</v>
      </c>
      <c r="J313" t="s">
        <v>34</v>
      </c>
      <c r="K313" t="s">
        <v>35</v>
      </c>
      <c r="L313" s="2">
        <v>135.1</v>
      </c>
      <c r="M313" s="2">
        <v>14</v>
      </c>
      <c r="N313" s="2">
        <f>normalizar!$L313*normalizar!$M313</f>
        <v>1891.3999999999999</v>
      </c>
    </row>
    <row r="314" spans="1:14" x14ac:dyDescent="0.25">
      <c r="A314">
        <v>313</v>
      </c>
      <c r="B314" s="1">
        <v>43953</v>
      </c>
      <c r="C314">
        <v>3833780472</v>
      </c>
      <c r="D314" t="s">
        <v>6</v>
      </c>
      <c r="E314" t="s">
        <v>80</v>
      </c>
      <c r="F314" t="s">
        <v>95</v>
      </c>
      <c r="G314" t="s">
        <v>7</v>
      </c>
      <c r="H314" t="s">
        <v>8</v>
      </c>
      <c r="I314" t="s">
        <v>9</v>
      </c>
      <c r="J314" t="s">
        <v>10</v>
      </c>
      <c r="K314" t="s">
        <v>11</v>
      </c>
      <c r="L314" s="2">
        <v>196</v>
      </c>
      <c r="M314" s="2">
        <v>14</v>
      </c>
      <c r="N314" s="2">
        <f>normalizar!$L314*normalizar!$M314</f>
        <v>2744</v>
      </c>
    </row>
    <row r="315" spans="1:14" x14ac:dyDescent="0.25">
      <c r="A315">
        <v>314</v>
      </c>
      <c r="B315" s="1">
        <v>44161</v>
      </c>
      <c r="C315">
        <v>1343389818</v>
      </c>
      <c r="D315" t="s">
        <v>6</v>
      </c>
      <c r="E315" t="s">
        <v>80</v>
      </c>
      <c r="F315" t="s">
        <v>95</v>
      </c>
      <c r="G315" t="s">
        <v>7</v>
      </c>
      <c r="H315" t="s">
        <v>8</v>
      </c>
      <c r="I315" t="s">
        <v>9</v>
      </c>
      <c r="J315" t="s">
        <v>12</v>
      </c>
      <c r="K315" t="s">
        <v>13</v>
      </c>
      <c r="L315" s="2">
        <v>49</v>
      </c>
      <c r="M315" s="2">
        <v>70</v>
      </c>
      <c r="N315" s="2">
        <f>normalizar!$L315*normalizar!$M315</f>
        <v>3430</v>
      </c>
    </row>
    <row r="316" spans="1:14" x14ac:dyDescent="0.25">
      <c r="A316">
        <v>315</v>
      </c>
      <c r="B316" s="1">
        <v>43897</v>
      </c>
      <c r="C316">
        <v>3066920858</v>
      </c>
      <c r="D316" t="s">
        <v>14</v>
      </c>
      <c r="E316" t="s">
        <v>81</v>
      </c>
      <c r="F316" t="s">
        <v>94</v>
      </c>
      <c r="G316" t="s">
        <v>15</v>
      </c>
      <c r="H316" t="s">
        <v>16</v>
      </c>
      <c r="I316" t="s">
        <v>17</v>
      </c>
      <c r="J316" t="s">
        <v>18</v>
      </c>
      <c r="K316" t="s">
        <v>13</v>
      </c>
      <c r="L316" s="2">
        <v>420</v>
      </c>
      <c r="M316" s="2">
        <v>100</v>
      </c>
      <c r="N316" s="2">
        <f>normalizar!$L316*normalizar!$M316</f>
        <v>42000</v>
      </c>
    </row>
    <row r="317" spans="1:14" x14ac:dyDescent="0.25">
      <c r="A317">
        <v>316</v>
      </c>
      <c r="B317" s="1">
        <v>44075</v>
      </c>
      <c r="C317">
        <v>3596038071</v>
      </c>
      <c r="D317" t="s">
        <v>14</v>
      </c>
      <c r="E317" t="s">
        <v>81</v>
      </c>
      <c r="F317" t="s">
        <v>94</v>
      </c>
      <c r="G317" t="s">
        <v>15</v>
      </c>
      <c r="H317" t="s">
        <v>16</v>
      </c>
      <c r="I317" t="s">
        <v>17</v>
      </c>
      <c r="J317" t="s">
        <v>19</v>
      </c>
      <c r="K317" t="s">
        <v>13</v>
      </c>
      <c r="L317" s="2">
        <v>742</v>
      </c>
      <c r="M317" s="2">
        <v>27</v>
      </c>
      <c r="N317" s="2">
        <f>normalizar!$L317*normalizar!$M317</f>
        <v>20034</v>
      </c>
    </row>
    <row r="318" spans="1:14" x14ac:dyDescent="0.25">
      <c r="A318">
        <v>317</v>
      </c>
      <c r="B318" s="1">
        <v>44055</v>
      </c>
      <c r="C318">
        <v>8280434895</v>
      </c>
      <c r="D318" t="s">
        <v>14</v>
      </c>
      <c r="E318" t="s">
        <v>81</v>
      </c>
      <c r="F318" t="s">
        <v>94</v>
      </c>
      <c r="G318" t="s">
        <v>15</v>
      </c>
      <c r="H318" t="s">
        <v>16</v>
      </c>
      <c r="I318" t="s">
        <v>17</v>
      </c>
      <c r="J318" t="s">
        <v>12</v>
      </c>
      <c r="K318" t="s">
        <v>13</v>
      </c>
      <c r="L318" s="2">
        <v>49</v>
      </c>
      <c r="M318" s="2">
        <v>70</v>
      </c>
      <c r="N318" s="2">
        <f>normalizar!$L318*normalizar!$M318</f>
        <v>3430</v>
      </c>
    </row>
    <row r="319" spans="1:14" x14ac:dyDescent="0.25">
      <c r="A319">
        <v>318</v>
      </c>
      <c r="B319" s="1">
        <v>44146</v>
      </c>
      <c r="C319">
        <v>7983505639</v>
      </c>
      <c r="D319" t="s">
        <v>20</v>
      </c>
      <c r="E319" t="s">
        <v>80</v>
      </c>
      <c r="F319" t="s">
        <v>95</v>
      </c>
      <c r="G319" t="s">
        <v>7</v>
      </c>
      <c r="H319" t="s">
        <v>8</v>
      </c>
      <c r="I319" t="s">
        <v>17</v>
      </c>
      <c r="J319" t="s">
        <v>21</v>
      </c>
      <c r="K319" t="s">
        <v>11</v>
      </c>
      <c r="L319" s="2">
        <v>252</v>
      </c>
      <c r="M319" s="2">
        <v>57</v>
      </c>
      <c r="N319" s="2">
        <f>normalizar!$L319*normalizar!$M319</f>
        <v>14364</v>
      </c>
    </row>
    <row r="320" spans="1:14" x14ac:dyDescent="0.25">
      <c r="A320">
        <v>319</v>
      </c>
      <c r="B320" s="1">
        <v>43997</v>
      </c>
      <c r="C320">
        <v>4943792001</v>
      </c>
      <c r="D320" t="s">
        <v>20</v>
      </c>
      <c r="E320" t="s">
        <v>80</v>
      </c>
      <c r="F320" t="s">
        <v>95</v>
      </c>
      <c r="G320" t="s">
        <v>7</v>
      </c>
      <c r="H320" t="s">
        <v>8</v>
      </c>
      <c r="I320" t="s">
        <v>17</v>
      </c>
      <c r="J320" t="s">
        <v>22</v>
      </c>
      <c r="K320" t="s">
        <v>11</v>
      </c>
      <c r="L320" s="2">
        <v>644</v>
      </c>
      <c r="M320" s="2">
        <v>83</v>
      </c>
      <c r="N320" s="2">
        <f>normalizar!$L320*normalizar!$M320</f>
        <v>53452</v>
      </c>
    </row>
    <row r="321" spans="1:14" x14ac:dyDescent="0.25">
      <c r="A321">
        <v>320</v>
      </c>
      <c r="B321" s="1">
        <v>43857</v>
      </c>
      <c r="C321">
        <v>2679766092</v>
      </c>
      <c r="D321" t="s">
        <v>23</v>
      </c>
      <c r="E321" t="s">
        <v>86</v>
      </c>
      <c r="F321" t="s">
        <v>82</v>
      </c>
      <c r="G321" t="s">
        <v>24</v>
      </c>
      <c r="H321" t="s">
        <v>25</v>
      </c>
      <c r="I321" t="s">
        <v>17</v>
      </c>
      <c r="J321" t="s">
        <v>26</v>
      </c>
      <c r="K321" t="s">
        <v>27</v>
      </c>
      <c r="L321" s="2">
        <v>128.79999999999998</v>
      </c>
      <c r="M321" s="2">
        <v>76</v>
      </c>
      <c r="N321" s="2">
        <f>normalizar!$L321*normalizar!$M321</f>
        <v>9788.7999999999993</v>
      </c>
    </row>
    <row r="322" spans="1:14" x14ac:dyDescent="0.25">
      <c r="A322">
        <v>321</v>
      </c>
      <c r="B322" s="1">
        <v>44155</v>
      </c>
      <c r="C322">
        <v>6256032641</v>
      </c>
      <c r="D322" t="s">
        <v>14</v>
      </c>
      <c r="E322" t="s">
        <v>81</v>
      </c>
      <c r="F322" t="s">
        <v>94</v>
      </c>
      <c r="G322" t="s">
        <v>15</v>
      </c>
      <c r="H322" t="s">
        <v>25</v>
      </c>
      <c r="I322" t="s">
        <v>9</v>
      </c>
      <c r="J322" t="s">
        <v>26</v>
      </c>
      <c r="K322" t="s">
        <v>27</v>
      </c>
      <c r="L322" s="2">
        <v>128.79999999999998</v>
      </c>
      <c r="M322" s="2">
        <v>80</v>
      </c>
      <c r="N322" s="2">
        <f>normalizar!$L322*normalizar!$M322</f>
        <v>10303.999999999998</v>
      </c>
    </row>
    <row r="323" spans="1:14" x14ac:dyDescent="0.25">
      <c r="A323">
        <v>322</v>
      </c>
      <c r="B323" s="1">
        <v>43867</v>
      </c>
      <c r="C323">
        <v>8317306577</v>
      </c>
      <c r="D323" t="s">
        <v>28</v>
      </c>
      <c r="E323" t="s">
        <v>89</v>
      </c>
      <c r="F323" t="s">
        <v>84</v>
      </c>
      <c r="G323" t="s">
        <v>29</v>
      </c>
      <c r="H323" t="s">
        <v>8</v>
      </c>
      <c r="I323" t="s">
        <v>9</v>
      </c>
      <c r="J323" t="s">
        <v>30</v>
      </c>
      <c r="K323" t="s">
        <v>31</v>
      </c>
      <c r="L323" s="2">
        <v>178.5</v>
      </c>
      <c r="M323" s="2">
        <v>47</v>
      </c>
      <c r="N323" s="2">
        <f>normalizar!$L323*normalizar!$M323</f>
        <v>8389.5</v>
      </c>
    </row>
    <row r="324" spans="1:14" x14ac:dyDescent="0.25">
      <c r="A324">
        <v>323</v>
      </c>
      <c r="B324" s="1">
        <v>44120</v>
      </c>
      <c r="C324">
        <v>4952054948</v>
      </c>
      <c r="D324" t="s">
        <v>32</v>
      </c>
      <c r="E324" t="s">
        <v>93</v>
      </c>
      <c r="F324" t="s">
        <v>96</v>
      </c>
      <c r="G324" t="s">
        <v>7</v>
      </c>
      <c r="H324" t="s">
        <v>8</v>
      </c>
      <c r="I324" t="s">
        <v>33</v>
      </c>
      <c r="J324" t="s">
        <v>34</v>
      </c>
      <c r="K324" t="s">
        <v>35</v>
      </c>
      <c r="L324" s="2">
        <v>135.1</v>
      </c>
      <c r="M324" s="2">
        <v>96</v>
      </c>
      <c r="N324" s="2">
        <f>normalizar!$L324*normalizar!$M324</f>
        <v>12969.599999999999</v>
      </c>
    </row>
    <row r="325" spans="1:14" x14ac:dyDescent="0.25">
      <c r="A325">
        <v>324</v>
      </c>
      <c r="B325" s="1">
        <v>44059</v>
      </c>
      <c r="C325">
        <v>7792270317</v>
      </c>
      <c r="D325" t="s">
        <v>36</v>
      </c>
      <c r="E325" t="s">
        <v>92</v>
      </c>
      <c r="F325" t="s">
        <v>99</v>
      </c>
      <c r="G325" t="s">
        <v>37</v>
      </c>
      <c r="H325" t="s">
        <v>8</v>
      </c>
      <c r="I325" t="s">
        <v>17</v>
      </c>
      <c r="J325" t="s">
        <v>38</v>
      </c>
      <c r="K325" t="s">
        <v>39</v>
      </c>
      <c r="L325" s="2">
        <v>560</v>
      </c>
      <c r="M325" s="2">
        <v>32</v>
      </c>
      <c r="N325" s="2">
        <f>normalizar!$L325*normalizar!$M325</f>
        <v>17920</v>
      </c>
    </row>
    <row r="326" spans="1:14" x14ac:dyDescent="0.25">
      <c r="A326">
        <v>325</v>
      </c>
      <c r="B326" s="1">
        <v>44045</v>
      </c>
      <c r="C326">
        <v>8753687299</v>
      </c>
      <c r="D326" t="s">
        <v>40</v>
      </c>
      <c r="E326" t="s">
        <v>97</v>
      </c>
      <c r="F326" t="s">
        <v>88</v>
      </c>
      <c r="G326" t="s">
        <v>41</v>
      </c>
      <c r="H326" t="s">
        <v>25</v>
      </c>
      <c r="I326" t="s">
        <v>9</v>
      </c>
      <c r="J326" t="s">
        <v>22</v>
      </c>
      <c r="K326" t="s">
        <v>11</v>
      </c>
      <c r="L326" s="2">
        <v>644</v>
      </c>
      <c r="M326" s="2">
        <v>16</v>
      </c>
      <c r="N326" s="2">
        <f>normalizar!$L326*normalizar!$M326</f>
        <v>10304</v>
      </c>
    </row>
    <row r="327" spans="1:14" x14ac:dyDescent="0.25">
      <c r="A327">
        <v>326</v>
      </c>
      <c r="B327" s="1">
        <v>43867</v>
      </c>
      <c r="C327">
        <v>3276376437</v>
      </c>
      <c r="D327" t="s">
        <v>23</v>
      </c>
      <c r="E327" t="s">
        <v>86</v>
      </c>
      <c r="F327" t="s">
        <v>82</v>
      </c>
      <c r="G327" t="s">
        <v>24</v>
      </c>
      <c r="H327" t="s">
        <v>25</v>
      </c>
      <c r="I327" t="s">
        <v>9</v>
      </c>
      <c r="J327" t="s">
        <v>30</v>
      </c>
      <c r="K327" t="s">
        <v>31</v>
      </c>
      <c r="L327" s="2">
        <v>178.5</v>
      </c>
      <c r="M327" s="2">
        <v>41</v>
      </c>
      <c r="N327" s="2">
        <f>normalizar!$L327*normalizar!$M327</f>
        <v>7318.5</v>
      </c>
    </row>
    <row r="328" spans="1:14" x14ac:dyDescent="0.25">
      <c r="A328">
        <v>327</v>
      </c>
      <c r="B328" s="1">
        <v>44087</v>
      </c>
      <c r="C328">
        <v>6189400875</v>
      </c>
      <c r="D328" t="s">
        <v>42</v>
      </c>
      <c r="E328" t="s">
        <v>91</v>
      </c>
      <c r="F328" t="s">
        <v>91</v>
      </c>
      <c r="G328" t="s">
        <v>43</v>
      </c>
      <c r="H328" t="s">
        <v>8</v>
      </c>
      <c r="I328" t="s">
        <v>17</v>
      </c>
      <c r="J328" t="s">
        <v>44</v>
      </c>
      <c r="K328" t="s">
        <v>11</v>
      </c>
      <c r="L328" s="2">
        <v>41.86</v>
      </c>
      <c r="M328" s="2">
        <v>41</v>
      </c>
      <c r="N328" s="2">
        <f>normalizar!$L328*normalizar!$M328</f>
        <v>1716.26</v>
      </c>
    </row>
    <row r="329" spans="1:14" x14ac:dyDescent="0.25">
      <c r="A329">
        <v>328</v>
      </c>
      <c r="B329" s="1">
        <v>43927</v>
      </c>
      <c r="C329">
        <v>3440571177</v>
      </c>
      <c r="D329" t="s">
        <v>45</v>
      </c>
      <c r="E329" t="s">
        <v>87</v>
      </c>
      <c r="F329" t="s">
        <v>87</v>
      </c>
      <c r="G329" t="s">
        <v>24</v>
      </c>
      <c r="H329" t="s">
        <v>127</v>
      </c>
      <c r="I329" t="s">
        <v>127</v>
      </c>
      <c r="J329" t="s">
        <v>22</v>
      </c>
      <c r="K329" t="s">
        <v>11</v>
      </c>
      <c r="L329" s="2">
        <v>644</v>
      </c>
      <c r="M329" s="2">
        <v>41</v>
      </c>
      <c r="N329" s="2">
        <f>normalizar!$L329*normalizar!$M329</f>
        <v>26404</v>
      </c>
    </row>
    <row r="330" spans="1:14" x14ac:dyDescent="0.25">
      <c r="A330">
        <v>329</v>
      </c>
      <c r="B330" s="1">
        <v>43975</v>
      </c>
      <c r="C330">
        <v>8874798513</v>
      </c>
      <c r="D330" t="s">
        <v>42</v>
      </c>
      <c r="E330" t="s">
        <v>91</v>
      </c>
      <c r="F330" t="s">
        <v>91</v>
      </c>
      <c r="G330" t="s">
        <v>43</v>
      </c>
      <c r="H330" t="s">
        <v>16</v>
      </c>
      <c r="I330" t="s">
        <v>127</v>
      </c>
      <c r="J330" t="s">
        <v>46</v>
      </c>
      <c r="K330" t="s">
        <v>47</v>
      </c>
      <c r="L330" s="2">
        <v>350</v>
      </c>
      <c r="M330" s="2">
        <v>94</v>
      </c>
      <c r="N330" s="2">
        <f>normalizar!$L330*normalizar!$M330</f>
        <v>32900</v>
      </c>
    </row>
    <row r="331" spans="1:14" x14ac:dyDescent="0.25">
      <c r="A331">
        <v>330</v>
      </c>
      <c r="B331" s="1">
        <v>43992</v>
      </c>
      <c r="C331">
        <v>9730368433</v>
      </c>
      <c r="D331" t="s">
        <v>42</v>
      </c>
      <c r="E331" t="s">
        <v>91</v>
      </c>
      <c r="F331" t="s">
        <v>91</v>
      </c>
      <c r="G331" t="s">
        <v>43</v>
      </c>
      <c r="H331" t="s">
        <v>16</v>
      </c>
      <c r="I331" t="s">
        <v>127</v>
      </c>
      <c r="J331" t="s">
        <v>48</v>
      </c>
      <c r="K331" t="s">
        <v>49</v>
      </c>
      <c r="L331" s="2">
        <v>308</v>
      </c>
      <c r="M331" s="2">
        <v>20</v>
      </c>
      <c r="N331" s="2">
        <f>normalizar!$L331*normalizar!$M331</f>
        <v>6160</v>
      </c>
    </row>
    <row r="332" spans="1:14" x14ac:dyDescent="0.25">
      <c r="A332">
        <v>331</v>
      </c>
      <c r="B332" s="1">
        <v>43870</v>
      </c>
      <c r="C332">
        <v>6592275352</v>
      </c>
      <c r="D332" t="s">
        <v>42</v>
      </c>
      <c r="E332" t="s">
        <v>91</v>
      </c>
      <c r="F332" t="s">
        <v>91</v>
      </c>
      <c r="G332" t="s">
        <v>43</v>
      </c>
      <c r="H332" t="s">
        <v>16</v>
      </c>
      <c r="I332" t="s">
        <v>127</v>
      </c>
      <c r="J332" t="s">
        <v>26</v>
      </c>
      <c r="K332" t="s">
        <v>27</v>
      </c>
      <c r="L332" s="2">
        <v>128.79999999999998</v>
      </c>
      <c r="M332" s="2">
        <v>13</v>
      </c>
      <c r="N332" s="2">
        <f>normalizar!$L332*normalizar!$M332</f>
        <v>1674.3999999999999</v>
      </c>
    </row>
    <row r="333" spans="1:14" x14ac:dyDescent="0.25">
      <c r="A333">
        <v>332</v>
      </c>
      <c r="B333" s="1">
        <v>43882</v>
      </c>
      <c r="C333">
        <v>9303282439</v>
      </c>
      <c r="D333" t="s">
        <v>50</v>
      </c>
      <c r="E333" t="s">
        <v>85</v>
      </c>
      <c r="F333" t="s">
        <v>83</v>
      </c>
      <c r="G333" t="s">
        <v>41</v>
      </c>
      <c r="H333" t="s">
        <v>25</v>
      </c>
      <c r="I333" t="s">
        <v>127</v>
      </c>
      <c r="J333" t="s">
        <v>12</v>
      </c>
      <c r="K333" t="s">
        <v>13</v>
      </c>
      <c r="L333" s="2">
        <v>49</v>
      </c>
      <c r="M333" s="2">
        <v>74</v>
      </c>
      <c r="N333" s="2">
        <f>normalizar!$L333*normalizar!$M333</f>
        <v>3626</v>
      </c>
    </row>
    <row r="334" spans="1:14" x14ac:dyDescent="0.25">
      <c r="A334">
        <v>333</v>
      </c>
      <c r="B334" s="1">
        <v>43940</v>
      </c>
      <c r="C334">
        <v>8998167680</v>
      </c>
      <c r="D334" t="s">
        <v>50</v>
      </c>
      <c r="E334" t="s">
        <v>85</v>
      </c>
      <c r="F334" t="s">
        <v>83</v>
      </c>
      <c r="G334" t="s">
        <v>41</v>
      </c>
      <c r="H334" t="s">
        <v>25</v>
      </c>
      <c r="I334" t="s">
        <v>127</v>
      </c>
      <c r="J334" t="s">
        <v>44</v>
      </c>
      <c r="K334" t="s">
        <v>11</v>
      </c>
      <c r="L334" s="2">
        <v>41.86</v>
      </c>
      <c r="M334" s="2">
        <v>53</v>
      </c>
      <c r="N334" s="2">
        <f>normalizar!$L334*normalizar!$M334</f>
        <v>2218.58</v>
      </c>
    </row>
    <row r="335" spans="1:14" x14ac:dyDescent="0.25">
      <c r="A335">
        <v>334</v>
      </c>
      <c r="B335" s="1">
        <v>43874</v>
      </c>
      <c r="C335">
        <v>2058395697</v>
      </c>
      <c r="D335" t="s">
        <v>51</v>
      </c>
      <c r="E335" t="s">
        <v>90</v>
      </c>
      <c r="F335" t="s">
        <v>98</v>
      </c>
      <c r="G335" t="s">
        <v>24</v>
      </c>
      <c r="H335" t="s">
        <v>127</v>
      </c>
      <c r="I335" t="s">
        <v>127</v>
      </c>
      <c r="J335" t="s">
        <v>21</v>
      </c>
      <c r="K335" t="s">
        <v>11</v>
      </c>
      <c r="L335" s="2">
        <v>252</v>
      </c>
      <c r="M335" s="2">
        <v>99</v>
      </c>
      <c r="N335" s="2">
        <f>normalizar!$L335*normalizar!$M335</f>
        <v>24948</v>
      </c>
    </row>
    <row r="336" spans="1:14" x14ac:dyDescent="0.25">
      <c r="A336">
        <v>335</v>
      </c>
      <c r="B336" s="1">
        <v>43832</v>
      </c>
      <c r="C336">
        <v>5534305664</v>
      </c>
      <c r="D336" t="s">
        <v>51</v>
      </c>
      <c r="E336" t="s">
        <v>90</v>
      </c>
      <c r="F336" t="s">
        <v>98</v>
      </c>
      <c r="G336" t="s">
        <v>24</v>
      </c>
      <c r="H336" t="s">
        <v>127</v>
      </c>
      <c r="I336" t="s">
        <v>127</v>
      </c>
      <c r="J336" t="s">
        <v>22</v>
      </c>
      <c r="K336" t="s">
        <v>11</v>
      </c>
      <c r="L336" s="2">
        <v>644</v>
      </c>
      <c r="M336" s="2">
        <v>89</v>
      </c>
      <c r="N336" s="2">
        <f>normalizar!$L336*normalizar!$M336</f>
        <v>57316</v>
      </c>
    </row>
    <row r="337" spans="1:14" x14ac:dyDescent="0.25">
      <c r="A337">
        <v>336</v>
      </c>
      <c r="B337" s="1">
        <v>43988</v>
      </c>
      <c r="C337">
        <v>5417309832</v>
      </c>
      <c r="D337" t="s">
        <v>51</v>
      </c>
      <c r="E337" t="s">
        <v>90</v>
      </c>
      <c r="F337" t="s">
        <v>98</v>
      </c>
      <c r="G337" t="s">
        <v>24</v>
      </c>
      <c r="H337" t="s">
        <v>127</v>
      </c>
      <c r="I337" t="s">
        <v>127</v>
      </c>
      <c r="J337" t="s">
        <v>44</v>
      </c>
      <c r="K337" t="s">
        <v>11</v>
      </c>
      <c r="L337" s="2">
        <v>41.86</v>
      </c>
      <c r="M337" s="2">
        <v>64</v>
      </c>
      <c r="N337" s="2">
        <f>normalizar!$L337*normalizar!$M337</f>
        <v>2679.04</v>
      </c>
    </row>
    <row r="338" spans="1:14" x14ac:dyDescent="0.25">
      <c r="A338">
        <v>337</v>
      </c>
      <c r="B338" s="1">
        <v>44101</v>
      </c>
      <c r="C338">
        <v>7626114952</v>
      </c>
      <c r="D338" t="s">
        <v>40</v>
      </c>
      <c r="E338" t="s">
        <v>97</v>
      </c>
      <c r="F338" t="s">
        <v>88</v>
      </c>
      <c r="G338" t="s">
        <v>41</v>
      </c>
      <c r="H338" t="s">
        <v>25</v>
      </c>
      <c r="I338" t="s">
        <v>17</v>
      </c>
      <c r="J338" t="s">
        <v>34</v>
      </c>
      <c r="K338" t="s">
        <v>35</v>
      </c>
      <c r="L338" s="2">
        <v>135.1</v>
      </c>
      <c r="M338" s="2">
        <v>98</v>
      </c>
      <c r="N338" s="2">
        <f>normalizar!$L338*normalizar!$M338</f>
        <v>13239.8</v>
      </c>
    </row>
    <row r="339" spans="1:14" x14ac:dyDescent="0.25">
      <c r="A339">
        <v>338</v>
      </c>
      <c r="B339" s="1">
        <v>43879</v>
      </c>
      <c r="C339">
        <v>7075151442</v>
      </c>
      <c r="D339" t="s">
        <v>40</v>
      </c>
      <c r="E339" t="s">
        <v>97</v>
      </c>
      <c r="F339" t="s">
        <v>88</v>
      </c>
      <c r="G339" t="s">
        <v>41</v>
      </c>
      <c r="H339" t="s">
        <v>25</v>
      </c>
      <c r="I339" t="s">
        <v>17</v>
      </c>
      <c r="J339" t="s">
        <v>52</v>
      </c>
      <c r="K339" t="s">
        <v>53</v>
      </c>
      <c r="L339" s="2">
        <v>257.59999999999997</v>
      </c>
      <c r="M339" s="2">
        <v>86</v>
      </c>
      <c r="N339" s="2">
        <f>normalizar!$L339*normalizar!$M339</f>
        <v>22153.599999999999</v>
      </c>
    </row>
    <row r="340" spans="1:14" x14ac:dyDescent="0.25">
      <c r="A340">
        <v>339</v>
      </c>
      <c r="B340" s="1">
        <v>44167</v>
      </c>
      <c r="C340">
        <v>4170346813</v>
      </c>
      <c r="D340" t="s">
        <v>54</v>
      </c>
      <c r="E340" t="s">
        <v>89</v>
      </c>
      <c r="F340" t="s">
        <v>84</v>
      </c>
      <c r="G340" t="s">
        <v>55</v>
      </c>
      <c r="H340" t="s">
        <v>16</v>
      </c>
      <c r="I340" t="s">
        <v>9</v>
      </c>
      <c r="J340" t="s">
        <v>56</v>
      </c>
      <c r="K340" t="s">
        <v>57</v>
      </c>
      <c r="L340" s="2">
        <v>273</v>
      </c>
      <c r="M340" s="2">
        <v>20</v>
      </c>
      <c r="N340" s="2">
        <f>normalizar!$L340*normalizar!$M340</f>
        <v>5460</v>
      </c>
    </row>
    <row r="341" spans="1:14" x14ac:dyDescent="0.25">
      <c r="A341">
        <v>340</v>
      </c>
      <c r="B341" s="1">
        <v>43982</v>
      </c>
      <c r="C341">
        <v>7181884746</v>
      </c>
      <c r="D341" t="s">
        <v>54</v>
      </c>
      <c r="E341" t="s">
        <v>89</v>
      </c>
      <c r="F341" t="s">
        <v>84</v>
      </c>
      <c r="G341" t="s">
        <v>55</v>
      </c>
      <c r="H341" t="s">
        <v>16</v>
      </c>
      <c r="I341" t="s">
        <v>9</v>
      </c>
      <c r="J341" t="s">
        <v>58</v>
      </c>
      <c r="K341" t="s">
        <v>59</v>
      </c>
      <c r="L341" s="2">
        <v>487.19999999999993</v>
      </c>
      <c r="M341" s="2">
        <v>69</v>
      </c>
      <c r="N341" s="2">
        <f>normalizar!$L341*normalizar!$M341</f>
        <v>33616.799999999996</v>
      </c>
    </row>
    <row r="342" spans="1:14" x14ac:dyDescent="0.25">
      <c r="A342">
        <v>341</v>
      </c>
      <c r="B342" s="1">
        <v>44196</v>
      </c>
      <c r="C342">
        <v>654398232</v>
      </c>
      <c r="D342" t="s">
        <v>36</v>
      </c>
      <c r="E342" t="s">
        <v>92</v>
      </c>
      <c r="F342" t="s">
        <v>99</v>
      </c>
      <c r="G342" t="s">
        <v>37</v>
      </c>
      <c r="H342" t="s">
        <v>8</v>
      </c>
      <c r="I342" t="s">
        <v>17</v>
      </c>
      <c r="J342" t="s">
        <v>10</v>
      </c>
      <c r="K342" t="s">
        <v>11</v>
      </c>
      <c r="L342" s="2">
        <v>196</v>
      </c>
      <c r="M342" s="2">
        <v>68</v>
      </c>
      <c r="N342" s="2">
        <f>normalizar!$L342*normalizar!$M342</f>
        <v>13328</v>
      </c>
    </row>
    <row r="343" spans="1:14" x14ac:dyDescent="0.25">
      <c r="A343">
        <v>342</v>
      </c>
      <c r="B343" s="1">
        <v>43891</v>
      </c>
      <c r="C343">
        <v>6559752885</v>
      </c>
      <c r="D343" t="s">
        <v>23</v>
      </c>
      <c r="E343" t="s">
        <v>86</v>
      </c>
      <c r="F343" t="s">
        <v>82</v>
      </c>
      <c r="G343" t="s">
        <v>24</v>
      </c>
      <c r="H343" t="s">
        <v>8</v>
      </c>
      <c r="I343" t="s">
        <v>9</v>
      </c>
      <c r="J343" t="s">
        <v>38</v>
      </c>
      <c r="K343" t="s">
        <v>39</v>
      </c>
      <c r="L343" s="2">
        <v>560</v>
      </c>
      <c r="M343" s="2">
        <v>52</v>
      </c>
      <c r="N343" s="2">
        <f>normalizar!$L343*normalizar!$M343</f>
        <v>29120</v>
      </c>
    </row>
    <row r="344" spans="1:14" x14ac:dyDescent="0.25">
      <c r="A344">
        <v>343</v>
      </c>
      <c r="B344" s="1">
        <v>44023</v>
      </c>
      <c r="C344">
        <v>9428165637</v>
      </c>
      <c r="D344" t="s">
        <v>23</v>
      </c>
      <c r="E344" t="s">
        <v>86</v>
      </c>
      <c r="F344" t="s">
        <v>82</v>
      </c>
      <c r="G344" t="s">
        <v>24</v>
      </c>
      <c r="H344" t="s">
        <v>8</v>
      </c>
      <c r="I344" t="s">
        <v>9</v>
      </c>
      <c r="J344" t="s">
        <v>26</v>
      </c>
      <c r="K344" t="s">
        <v>27</v>
      </c>
      <c r="L344" s="2">
        <v>128.79999999999998</v>
      </c>
      <c r="M344" s="2">
        <v>40</v>
      </c>
      <c r="N344" s="2">
        <f>normalizar!$L344*normalizar!$M344</f>
        <v>5151.9999999999991</v>
      </c>
    </row>
    <row r="345" spans="1:14" x14ac:dyDescent="0.25">
      <c r="A345">
        <v>344</v>
      </c>
      <c r="B345" s="1">
        <v>43843</v>
      </c>
      <c r="C345">
        <v>9902612158</v>
      </c>
      <c r="D345" t="s">
        <v>62</v>
      </c>
      <c r="E345" t="s">
        <v>91</v>
      </c>
      <c r="F345" t="s">
        <v>91</v>
      </c>
      <c r="G345" t="s">
        <v>43</v>
      </c>
      <c r="H345" t="s">
        <v>16</v>
      </c>
      <c r="I345" t="s">
        <v>33</v>
      </c>
      <c r="J345" t="s">
        <v>67</v>
      </c>
      <c r="K345" t="s">
        <v>27</v>
      </c>
      <c r="L345" s="2">
        <v>140</v>
      </c>
      <c r="M345" s="2">
        <v>100</v>
      </c>
      <c r="N345" s="2">
        <f>normalizar!$L345*normalizar!$M345</f>
        <v>14000</v>
      </c>
    </row>
    <row r="346" spans="1:14" x14ac:dyDescent="0.25">
      <c r="A346">
        <v>345</v>
      </c>
      <c r="B346" s="1">
        <v>44034</v>
      </c>
      <c r="C346">
        <v>9601886174</v>
      </c>
      <c r="D346" t="s">
        <v>63</v>
      </c>
      <c r="E346" t="s">
        <v>85</v>
      </c>
      <c r="F346" t="s">
        <v>83</v>
      </c>
      <c r="G346" t="s">
        <v>41</v>
      </c>
      <c r="H346" t="s">
        <v>25</v>
      </c>
      <c r="I346" t="s">
        <v>17</v>
      </c>
      <c r="J346" t="s">
        <v>68</v>
      </c>
      <c r="K346" t="s">
        <v>69</v>
      </c>
      <c r="L346" s="2">
        <v>298.90000000000003</v>
      </c>
      <c r="M346" s="2">
        <v>88</v>
      </c>
      <c r="N346" s="2">
        <f>normalizar!$L346*normalizar!$M346</f>
        <v>26303.200000000004</v>
      </c>
    </row>
    <row r="347" spans="1:14" x14ac:dyDescent="0.25">
      <c r="A347">
        <v>346</v>
      </c>
      <c r="B347" s="1">
        <v>43958</v>
      </c>
      <c r="C347">
        <v>9194823962</v>
      </c>
      <c r="D347" t="s">
        <v>63</v>
      </c>
      <c r="E347" t="s">
        <v>85</v>
      </c>
      <c r="F347" t="s">
        <v>83</v>
      </c>
      <c r="G347" t="s">
        <v>41</v>
      </c>
      <c r="H347" t="s">
        <v>25</v>
      </c>
      <c r="I347" t="s">
        <v>17</v>
      </c>
      <c r="J347" t="s">
        <v>34</v>
      </c>
      <c r="K347" t="s">
        <v>35</v>
      </c>
      <c r="L347" s="2">
        <v>135.1</v>
      </c>
      <c r="M347" s="2">
        <v>46</v>
      </c>
      <c r="N347" s="2">
        <f>normalizar!$L347*normalizar!$M347</f>
        <v>6214.5999999999995</v>
      </c>
    </row>
    <row r="348" spans="1:14" x14ac:dyDescent="0.25">
      <c r="A348">
        <v>347</v>
      </c>
      <c r="B348" s="1">
        <v>43832</v>
      </c>
      <c r="C348">
        <v>3580433044</v>
      </c>
      <c r="D348" t="s">
        <v>63</v>
      </c>
      <c r="E348" t="s">
        <v>85</v>
      </c>
      <c r="F348" t="s">
        <v>83</v>
      </c>
      <c r="G348" t="s">
        <v>41</v>
      </c>
      <c r="H348" t="s">
        <v>25</v>
      </c>
      <c r="I348" t="s">
        <v>17</v>
      </c>
      <c r="J348" t="s">
        <v>52</v>
      </c>
      <c r="K348" t="s">
        <v>53</v>
      </c>
      <c r="L348" s="2">
        <v>257.59999999999997</v>
      </c>
      <c r="M348" s="2">
        <v>93</v>
      </c>
      <c r="N348" s="2">
        <f>normalizar!$L348*normalizar!$M348</f>
        <v>23956.799999999996</v>
      </c>
    </row>
    <row r="349" spans="1:14" x14ac:dyDescent="0.25">
      <c r="A349">
        <v>348</v>
      </c>
      <c r="B349" s="1">
        <v>43959</v>
      </c>
      <c r="C349">
        <v>7020598503</v>
      </c>
      <c r="D349" t="s">
        <v>28</v>
      </c>
      <c r="E349" t="s">
        <v>89</v>
      </c>
      <c r="F349" t="s">
        <v>84</v>
      </c>
      <c r="G349" t="s">
        <v>29</v>
      </c>
      <c r="H349" t="s">
        <v>8</v>
      </c>
      <c r="I349" t="s">
        <v>9</v>
      </c>
      <c r="J349" t="s">
        <v>10</v>
      </c>
      <c r="K349" t="s">
        <v>11</v>
      </c>
      <c r="L349" s="2">
        <v>196</v>
      </c>
      <c r="M349" s="2">
        <v>96</v>
      </c>
      <c r="N349" s="2">
        <f>normalizar!$L349*normalizar!$M349</f>
        <v>18816</v>
      </c>
    </row>
    <row r="350" spans="1:14" x14ac:dyDescent="0.25">
      <c r="A350">
        <v>349</v>
      </c>
      <c r="B350" s="1">
        <v>44101</v>
      </c>
      <c r="C350">
        <v>8040421717</v>
      </c>
      <c r="D350" t="s">
        <v>36</v>
      </c>
      <c r="E350" t="s">
        <v>92</v>
      </c>
      <c r="F350" t="s">
        <v>99</v>
      </c>
      <c r="G350" t="s">
        <v>37</v>
      </c>
      <c r="H350" t="s">
        <v>25</v>
      </c>
      <c r="I350" t="s">
        <v>9</v>
      </c>
      <c r="J350" t="s">
        <v>30</v>
      </c>
      <c r="K350" t="s">
        <v>31</v>
      </c>
      <c r="L350" s="2">
        <v>178.5</v>
      </c>
      <c r="M350" s="2">
        <v>12</v>
      </c>
      <c r="N350" s="2">
        <f>normalizar!$L350*normalizar!$M350</f>
        <v>2142</v>
      </c>
    </row>
    <row r="351" spans="1:14" x14ac:dyDescent="0.25">
      <c r="A351">
        <v>350</v>
      </c>
      <c r="B351" s="1">
        <v>43958</v>
      </c>
      <c r="C351">
        <v>3654530055</v>
      </c>
      <c r="D351" t="s">
        <v>14</v>
      </c>
      <c r="E351" t="s">
        <v>81</v>
      </c>
      <c r="F351" t="s">
        <v>94</v>
      </c>
      <c r="G351" t="s">
        <v>15</v>
      </c>
      <c r="H351" t="s">
        <v>16</v>
      </c>
      <c r="I351" t="s">
        <v>17</v>
      </c>
      <c r="J351" t="s">
        <v>70</v>
      </c>
      <c r="K351" t="s">
        <v>47</v>
      </c>
      <c r="L351" s="2">
        <v>1134</v>
      </c>
      <c r="M351" s="2">
        <v>38</v>
      </c>
      <c r="N351" s="2">
        <f>normalizar!$L351*normalizar!$M351</f>
        <v>43092</v>
      </c>
    </row>
    <row r="352" spans="1:14" x14ac:dyDescent="0.25">
      <c r="A352">
        <v>351</v>
      </c>
      <c r="B352" s="1">
        <v>43884</v>
      </c>
      <c r="C352">
        <v>2061527783</v>
      </c>
      <c r="D352" t="s">
        <v>14</v>
      </c>
      <c r="E352" t="s">
        <v>81</v>
      </c>
      <c r="F352" t="s">
        <v>94</v>
      </c>
      <c r="G352" t="s">
        <v>15</v>
      </c>
      <c r="H352" t="s">
        <v>16</v>
      </c>
      <c r="I352" t="s">
        <v>17</v>
      </c>
      <c r="J352" t="s">
        <v>71</v>
      </c>
      <c r="K352" t="s">
        <v>72</v>
      </c>
      <c r="L352" s="2">
        <v>98</v>
      </c>
      <c r="M352" s="2">
        <v>42</v>
      </c>
      <c r="N352" s="2">
        <f>normalizar!$L352*normalizar!$M352</f>
        <v>4116</v>
      </c>
    </row>
    <row r="353" spans="1:14" x14ac:dyDescent="0.25">
      <c r="A353">
        <v>352</v>
      </c>
      <c r="B353" s="1">
        <v>43958</v>
      </c>
      <c r="C353">
        <v>7896754000</v>
      </c>
      <c r="D353" t="s">
        <v>23</v>
      </c>
      <c r="E353" t="s">
        <v>86</v>
      </c>
      <c r="F353" t="s">
        <v>82</v>
      </c>
      <c r="G353" t="s">
        <v>24</v>
      </c>
      <c r="H353" t="s">
        <v>25</v>
      </c>
      <c r="I353" t="s">
        <v>17</v>
      </c>
      <c r="J353" t="s">
        <v>58</v>
      </c>
      <c r="K353" t="s">
        <v>59</v>
      </c>
      <c r="L353" s="2">
        <v>487.19999999999993</v>
      </c>
      <c r="M353" s="2">
        <v>100</v>
      </c>
      <c r="N353" s="2">
        <f>normalizar!$L353*normalizar!$M353</f>
        <v>48719.999999999993</v>
      </c>
    </row>
    <row r="354" spans="1:14" x14ac:dyDescent="0.25">
      <c r="A354">
        <v>353</v>
      </c>
      <c r="B354" s="1">
        <v>44185</v>
      </c>
      <c r="C354">
        <v>7608023281</v>
      </c>
      <c r="D354" t="s">
        <v>32</v>
      </c>
      <c r="E354" t="s">
        <v>93</v>
      </c>
      <c r="F354" t="s">
        <v>96</v>
      </c>
      <c r="G354" t="s">
        <v>7</v>
      </c>
      <c r="H354" t="s">
        <v>8</v>
      </c>
      <c r="I354" t="s">
        <v>33</v>
      </c>
      <c r="J354" t="s">
        <v>60</v>
      </c>
      <c r="K354" t="s">
        <v>49</v>
      </c>
      <c r="L354" s="2">
        <v>140</v>
      </c>
      <c r="M354" s="2">
        <v>89</v>
      </c>
      <c r="N354" s="2">
        <f>normalizar!$L354*normalizar!$M354</f>
        <v>12460</v>
      </c>
    </row>
    <row r="355" spans="1:14" x14ac:dyDescent="0.25">
      <c r="A355">
        <v>354</v>
      </c>
      <c r="B355" s="1">
        <v>44158</v>
      </c>
      <c r="C355">
        <v>1088259448</v>
      </c>
      <c r="D355" t="s">
        <v>32</v>
      </c>
      <c r="E355" t="s">
        <v>93</v>
      </c>
      <c r="F355" t="s">
        <v>96</v>
      </c>
      <c r="G355" t="s">
        <v>7</v>
      </c>
      <c r="H355" t="s">
        <v>8</v>
      </c>
      <c r="I355" t="s">
        <v>33</v>
      </c>
      <c r="J355" t="s">
        <v>38</v>
      </c>
      <c r="K355" t="s">
        <v>39</v>
      </c>
      <c r="L355" s="2">
        <v>560</v>
      </c>
      <c r="M355" s="2">
        <v>12</v>
      </c>
      <c r="N355" s="2">
        <f>normalizar!$L355*normalizar!$M355</f>
        <v>6720</v>
      </c>
    </row>
    <row r="356" spans="1:14" x14ac:dyDescent="0.25">
      <c r="A356">
        <v>355</v>
      </c>
      <c r="B356" s="1">
        <v>43872</v>
      </c>
      <c r="C356">
        <v>8019968936</v>
      </c>
      <c r="D356" t="s">
        <v>42</v>
      </c>
      <c r="E356" t="s">
        <v>91</v>
      </c>
      <c r="F356" t="s">
        <v>91</v>
      </c>
      <c r="G356" t="s">
        <v>43</v>
      </c>
      <c r="H356" t="s">
        <v>8</v>
      </c>
      <c r="I356" t="s">
        <v>17</v>
      </c>
      <c r="J356" t="s">
        <v>61</v>
      </c>
      <c r="K356" t="s">
        <v>13</v>
      </c>
      <c r="L356" s="2">
        <v>140</v>
      </c>
      <c r="M356" s="2">
        <v>97</v>
      </c>
      <c r="N356" s="2">
        <f>normalizar!$L356*normalizar!$M356</f>
        <v>13580</v>
      </c>
    </row>
    <row r="357" spans="1:14" x14ac:dyDescent="0.25">
      <c r="A357">
        <v>356</v>
      </c>
      <c r="B357" s="1">
        <v>43849</v>
      </c>
      <c r="C357">
        <v>767630917</v>
      </c>
      <c r="D357" t="s">
        <v>42</v>
      </c>
      <c r="E357" t="s">
        <v>91</v>
      </c>
      <c r="F357" t="s">
        <v>91</v>
      </c>
      <c r="G357" t="s">
        <v>43</v>
      </c>
      <c r="H357" t="s">
        <v>16</v>
      </c>
      <c r="I357" t="s">
        <v>127</v>
      </c>
      <c r="J357" t="s">
        <v>12</v>
      </c>
      <c r="K357" t="s">
        <v>13</v>
      </c>
      <c r="L357" s="2">
        <v>49</v>
      </c>
      <c r="M357" s="2">
        <v>53</v>
      </c>
      <c r="N357" s="2">
        <f>normalizar!$L357*normalizar!$M357</f>
        <v>2597</v>
      </c>
    </row>
    <row r="358" spans="1:14" x14ac:dyDescent="0.25">
      <c r="A358">
        <v>357</v>
      </c>
      <c r="B358" s="1">
        <v>44148</v>
      </c>
      <c r="C358">
        <v>8764802979</v>
      </c>
      <c r="D358" t="s">
        <v>50</v>
      </c>
      <c r="E358" t="s">
        <v>85</v>
      </c>
      <c r="F358" t="s">
        <v>83</v>
      </c>
      <c r="G358" t="s">
        <v>41</v>
      </c>
      <c r="H358" t="s">
        <v>25</v>
      </c>
      <c r="I358" t="s">
        <v>127</v>
      </c>
      <c r="J358" t="s">
        <v>38</v>
      </c>
      <c r="K358" t="s">
        <v>39</v>
      </c>
      <c r="L358" s="2">
        <v>560</v>
      </c>
      <c r="M358" s="2">
        <v>61</v>
      </c>
      <c r="N358" s="2">
        <f>normalizar!$L358*normalizar!$M358</f>
        <v>34160</v>
      </c>
    </row>
    <row r="359" spans="1:14" x14ac:dyDescent="0.25">
      <c r="A359">
        <v>358</v>
      </c>
      <c r="B359" s="1">
        <v>44136</v>
      </c>
      <c r="C359">
        <v>1212476279</v>
      </c>
      <c r="D359" t="s">
        <v>51</v>
      </c>
      <c r="E359" t="s">
        <v>90</v>
      </c>
      <c r="F359" t="s">
        <v>98</v>
      </c>
      <c r="G359" t="s">
        <v>24</v>
      </c>
      <c r="H359" t="s">
        <v>25</v>
      </c>
      <c r="I359" t="s">
        <v>127</v>
      </c>
      <c r="J359" t="s">
        <v>52</v>
      </c>
      <c r="K359" t="s">
        <v>53</v>
      </c>
      <c r="L359" s="2">
        <v>257.59999999999997</v>
      </c>
      <c r="M359" s="2">
        <v>45</v>
      </c>
      <c r="N359" s="2">
        <f>normalizar!$L359*normalizar!$M359</f>
        <v>11591.999999999998</v>
      </c>
    </row>
    <row r="360" spans="1:14" x14ac:dyDescent="0.25">
      <c r="A360">
        <v>359</v>
      </c>
      <c r="B360" s="1">
        <v>43990</v>
      </c>
      <c r="C360">
        <v>8659179079</v>
      </c>
      <c r="D360" t="s">
        <v>40</v>
      </c>
      <c r="E360" t="s">
        <v>97</v>
      </c>
      <c r="F360" t="s">
        <v>88</v>
      </c>
      <c r="G360" t="s">
        <v>41</v>
      </c>
      <c r="H360" t="s">
        <v>25</v>
      </c>
      <c r="I360" t="s">
        <v>17</v>
      </c>
      <c r="J360" t="s">
        <v>22</v>
      </c>
      <c r="K360" t="s">
        <v>11</v>
      </c>
      <c r="L360" s="2">
        <v>644</v>
      </c>
      <c r="M360" s="2">
        <v>43</v>
      </c>
      <c r="N360" s="2">
        <f>normalizar!$L360*normalizar!$M360</f>
        <v>27692</v>
      </c>
    </row>
    <row r="361" spans="1:14" x14ac:dyDescent="0.25">
      <c r="A361">
        <v>360</v>
      </c>
      <c r="B361" s="1">
        <v>43938</v>
      </c>
      <c r="C361">
        <v>4311827425</v>
      </c>
      <c r="D361" t="s">
        <v>54</v>
      </c>
      <c r="E361" t="s">
        <v>89</v>
      </c>
      <c r="F361" t="s">
        <v>84</v>
      </c>
      <c r="G361" t="s">
        <v>55</v>
      </c>
      <c r="H361" t="s">
        <v>16</v>
      </c>
      <c r="I361" t="s">
        <v>9</v>
      </c>
      <c r="J361" t="s">
        <v>34</v>
      </c>
      <c r="K361" t="s">
        <v>35</v>
      </c>
      <c r="L361" s="2">
        <v>135.1</v>
      </c>
      <c r="M361" s="2">
        <v>18</v>
      </c>
      <c r="N361" s="2">
        <f>normalizar!$L361*normalizar!$M361</f>
        <v>2431.7999999999997</v>
      </c>
    </row>
    <row r="362" spans="1:14" x14ac:dyDescent="0.25">
      <c r="A362">
        <v>361</v>
      </c>
      <c r="B362" s="1">
        <v>44010</v>
      </c>
      <c r="C362">
        <v>7400116244</v>
      </c>
      <c r="D362" t="s">
        <v>36</v>
      </c>
      <c r="E362" t="s">
        <v>92</v>
      </c>
      <c r="F362" t="s">
        <v>99</v>
      </c>
      <c r="G362" t="s">
        <v>37</v>
      </c>
      <c r="H362" t="s">
        <v>8</v>
      </c>
      <c r="I362" t="s">
        <v>17</v>
      </c>
      <c r="J362" t="s">
        <v>30</v>
      </c>
      <c r="K362" t="s">
        <v>31</v>
      </c>
      <c r="L362" s="2">
        <v>178.5</v>
      </c>
      <c r="M362" s="2">
        <v>41</v>
      </c>
      <c r="N362" s="2">
        <f>normalizar!$L362*normalizar!$M362</f>
        <v>7318.5</v>
      </c>
    </row>
    <row r="363" spans="1:14" x14ac:dyDescent="0.25">
      <c r="A363">
        <v>362</v>
      </c>
      <c r="B363" s="1">
        <v>43946</v>
      </c>
      <c r="C363">
        <v>8550780121</v>
      </c>
      <c r="D363" t="s">
        <v>23</v>
      </c>
      <c r="E363" t="s">
        <v>86</v>
      </c>
      <c r="F363" t="s">
        <v>82</v>
      </c>
      <c r="G363" t="s">
        <v>24</v>
      </c>
      <c r="H363" t="s">
        <v>8</v>
      </c>
      <c r="I363" t="s">
        <v>9</v>
      </c>
      <c r="J363" t="s">
        <v>30</v>
      </c>
      <c r="K363" t="s">
        <v>31</v>
      </c>
      <c r="L363" s="2">
        <v>178.5</v>
      </c>
      <c r="M363" s="2">
        <v>19</v>
      </c>
      <c r="N363" s="2">
        <f>normalizar!$L363*normalizar!$M363</f>
        <v>3391.5</v>
      </c>
    </row>
    <row r="364" spans="1:14" x14ac:dyDescent="0.25">
      <c r="A364">
        <v>363</v>
      </c>
      <c r="B364" s="1">
        <v>44042</v>
      </c>
      <c r="C364">
        <v>9461451917</v>
      </c>
      <c r="D364" t="s">
        <v>62</v>
      </c>
      <c r="E364" t="s">
        <v>91</v>
      </c>
      <c r="F364" t="s">
        <v>91</v>
      </c>
      <c r="G364" t="s">
        <v>43</v>
      </c>
      <c r="H364" t="s">
        <v>16</v>
      </c>
      <c r="I364" t="s">
        <v>33</v>
      </c>
      <c r="J364" t="s">
        <v>48</v>
      </c>
      <c r="K364" t="s">
        <v>49</v>
      </c>
      <c r="L364" s="2">
        <v>308</v>
      </c>
      <c r="M364" s="2">
        <v>65</v>
      </c>
      <c r="N364" s="2">
        <f>normalizar!$L364*normalizar!$M364</f>
        <v>20020</v>
      </c>
    </row>
    <row r="365" spans="1:14" x14ac:dyDescent="0.25">
      <c r="A365">
        <v>364</v>
      </c>
      <c r="B365" s="1">
        <v>44026</v>
      </c>
      <c r="C365">
        <v>3160888933</v>
      </c>
      <c r="D365" t="s">
        <v>63</v>
      </c>
      <c r="E365" t="s">
        <v>85</v>
      </c>
      <c r="F365" t="s">
        <v>83</v>
      </c>
      <c r="G365" t="s">
        <v>41</v>
      </c>
      <c r="H365" t="s">
        <v>25</v>
      </c>
      <c r="I365" t="s">
        <v>17</v>
      </c>
      <c r="J365" t="s">
        <v>46</v>
      </c>
      <c r="K365" t="s">
        <v>47</v>
      </c>
      <c r="L365" s="2">
        <v>350</v>
      </c>
      <c r="M365" s="2">
        <v>13</v>
      </c>
      <c r="N365" s="2">
        <f>normalizar!$L365*normalizar!$M365</f>
        <v>4550</v>
      </c>
    </row>
    <row r="366" spans="1:14" x14ac:dyDescent="0.25">
      <c r="A366">
        <v>365</v>
      </c>
      <c r="B366" s="1">
        <v>44046</v>
      </c>
      <c r="C366">
        <v>6433254443</v>
      </c>
      <c r="D366" t="s">
        <v>28</v>
      </c>
      <c r="E366" t="s">
        <v>89</v>
      </c>
      <c r="F366" t="s">
        <v>84</v>
      </c>
      <c r="G366" t="s">
        <v>29</v>
      </c>
      <c r="H366" t="s">
        <v>8</v>
      </c>
      <c r="I366" t="s">
        <v>9</v>
      </c>
      <c r="J366" t="s">
        <v>64</v>
      </c>
      <c r="K366" t="s">
        <v>65</v>
      </c>
      <c r="L366" s="2">
        <v>546</v>
      </c>
      <c r="M366" s="2">
        <v>54</v>
      </c>
      <c r="N366" s="2">
        <f>normalizar!$L366*normalizar!$M366</f>
        <v>29484</v>
      </c>
    </row>
    <row r="367" spans="1:14" x14ac:dyDescent="0.25">
      <c r="A367">
        <v>366</v>
      </c>
      <c r="B367" s="1">
        <v>43986</v>
      </c>
      <c r="C367">
        <v>8977261174</v>
      </c>
      <c r="D367" t="s">
        <v>36</v>
      </c>
      <c r="E367" t="s">
        <v>92</v>
      </c>
      <c r="F367" t="s">
        <v>99</v>
      </c>
      <c r="G367" t="s">
        <v>37</v>
      </c>
      <c r="H367" t="s">
        <v>25</v>
      </c>
      <c r="I367" t="s">
        <v>9</v>
      </c>
      <c r="J367" t="s">
        <v>18</v>
      </c>
      <c r="K367" t="s">
        <v>13</v>
      </c>
      <c r="L367" s="2">
        <v>420</v>
      </c>
      <c r="M367" s="2">
        <v>33</v>
      </c>
      <c r="N367" s="2">
        <f>normalizar!$L367*normalizar!$M367</f>
        <v>13860</v>
      </c>
    </row>
    <row r="368" spans="1:14" x14ac:dyDescent="0.25">
      <c r="A368">
        <v>367</v>
      </c>
      <c r="B368" s="1">
        <v>43939</v>
      </c>
      <c r="C368">
        <v>7770716054</v>
      </c>
      <c r="D368" t="s">
        <v>36</v>
      </c>
      <c r="E368" t="s">
        <v>92</v>
      </c>
      <c r="F368" t="s">
        <v>99</v>
      </c>
      <c r="G368" t="s">
        <v>37</v>
      </c>
      <c r="H368" t="s">
        <v>25</v>
      </c>
      <c r="I368" t="s">
        <v>9</v>
      </c>
      <c r="J368" t="s">
        <v>19</v>
      </c>
      <c r="K368" t="s">
        <v>13</v>
      </c>
      <c r="L368" s="2">
        <v>742</v>
      </c>
      <c r="M368" s="2">
        <v>34</v>
      </c>
      <c r="N368" s="2">
        <f>normalizar!$L368*normalizar!$M368</f>
        <v>25228</v>
      </c>
    </row>
    <row r="369" spans="1:14" x14ac:dyDescent="0.25">
      <c r="A369">
        <v>368</v>
      </c>
      <c r="B369" s="1">
        <v>44179</v>
      </c>
      <c r="C369">
        <v>2754807386</v>
      </c>
      <c r="D369" t="s">
        <v>14</v>
      </c>
      <c r="E369" t="s">
        <v>81</v>
      </c>
      <c r="F369" t="s">
        <v>94</v>
      </c>
      <c r="G369" t="s">
        <v>15</v>
      </c>
      <c r="H369" t="s">
        <v>127</v>
      </c>
      <c r="I369" t="s">
        <v>127</v>
      </c>
      <c r="J369" t="s">
        <v>66</v>
      </c>
      <c r="K369" t="s">
        <v>57</v>
      </c>
      <c r="L369" s="2">
        <v>532</v>
      </c>
      <c r="M369" s="2">
        <v>59</v>
      </c>
      <c r="N369" s="2">
        <f>normalizar!$L369*normalizar!$M369</f>
        <v>31388</v>
      </c>
    </row>
    <row r="370" spans="1:14" x14ac:dyDescent="0.25">
      <c r="A370">
        <v>369</v>
      </c>
      <c r="B370" s="1">
        <v>43987</v>
      </c>
      <c r="C370">
        <v>3873424489</v>
      </c>
      <c r="D370" t="s">
        <v>32</v>
      </c>
      <c r="E370" t="s">
        <v>93</v>
      </c>
      <c r="F370" t="s">
        <v>96</v>
      </c>
      <c r="G370" t="s">
        <v>7</v>
      </c>
      <c r="H370" t="s">
        <v>127</v>
      </c>
      <c r="I370" t="s">
        <v>127</v>
      </c>
      <c r="J370" t="s">
        <v>44</v>
      </c>
      <c r="K370" t="s">
        <v>11</v>
      </c>
      <c r="L370" s="2">
        <v>41.86</v>
      </c>
      <c r="M370" s="2">
        <v>24</v>
      </c>
      <c r="N370" s="2">
        <f>normalizar!$L370*normalizar!$M370</f>
        <v>1004.64</v>
      </c>
    </row>
    <row r="371" spans="1:14" x14ac:dyDescent="0.25">
      <c r="A371">
        <f>IF((ISBLANK(D371)*AND(ISBLANK(G371))),"",A370+1)</f>
        <v>370</v>
      </c>
      <c r="B371" s="1">
        <v>44018</v>
      </c>
      <c r="C371">
        <v>3823774876</v>
      </c>
      <c r="D371" t="s">
        <v>51</v>
      </c>
      <c r="E371" t="s">
        <v>80</v>
      </c>
      <c r="F371" t="s">
        <v>84</v>
      </c>
      <c r="G371" t="s">
        <v>43</v>
      </c>
      <c r="H371" t="s">
        <v>25</v>
      </c>
      <c r="I371" t="s">
        <v>17</v>
      </c>
      <c r="J371" t="s">
        <v>34</v>
      </c>
      <c r="K371" t="str">
        <f>IF(ISBLANK(J371),"",VLOOKUP(J371,Tabla1[[#All],[Producto]:[Ventas]],2,FALSE))</f>
        <v>Sopas</v>
      </c>
      <c r="L371" s="2">
        <v>12</v>
      </c>
      <c r="M371" s="2">
        <v>23</v>
      </c>
      <c r="N371" s="2">
        <f>normalizar!$L371*normalizar!$M371</f>
        <v>276</v>
      </c>
    </row>
    <row r="372" spans="1:14" x14ac:dyDescent="0.25">
      <c r="A372">
        <f>IF((ISBLANK(D372)*AND(ISBLANK(G372))),"",A371+1)</f>
        <v>371</v>
      </c>
      <c r="B372" s="1">
        <v>44019</v>
      </c>
      <c r="C372">
        <v>3823774877</v>
      </c>
      <c r="D372" t="s">
        <v>51</v>
      </c>
      <c r="E372" t="s">
        <v>80</v>
      </c>
      <c r="F372" t="s">
        <v>84</v>
      </c>
      <c r="G372" t="s">
        <v>43</v>
      </c>
      <c r="H372" t="s">
        <v>25</v>
      </c>
      <c r="I372" t="s">
        <v>17</v>
      </c>
      <c r="J372" t="s">
        <v>34</v>
      </c>
      <c r="K372" t="str">
        <f>IF(ISBLANK(J372),"",VLOOKUP(J372,Tabla1[[#All],[Producto]:[Ventas]],2,FALSE))</f>
        <v>Sopas</v>
      </c>
      <c r="L372" s="2">
        <v>12</v>
      </c>
      <c r="M372" s="2">
        <v>23</v>
      </c>
      <c r="N372" s="2">
        <f>normalizar!$L372*normalizar!$M372</f>
        <v>276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47F4497-CF40-433D-926E-CB9EAFE63CB2}">
          <x14:formula1>
            <xm:f>Hoja3!$A$2:$A$16</xm:f>
          </x14:formula1>
          <xm:sqref>D371:D372</xm:sqref>
        </x14:dataValidation>
        <x14:dataValidation type="list" allowBlank="1" showInputMessage="1" showErrorMessage="1" xr:uid="{CE01B9D9-1BC3-43BC-9AB4-F9C8008A284F}">
          <x14:formula1>
            <xm:f>Hoja3!$C$2:$C$12</xm:f>
          </x14:formula1>
          <xm:sqref>E371:E372</xm:sqref>
        </x14:dataValidation>
        <x14:dataValidation type="list" allowBlank="1" showInputMessage="1" showErrorMessage="1" xr:uid="{915B1DEA-0A8E-4C4E-9324-0D364185ED84}">
          <x14:formula1>
            <xm:f>Hoja3!$E$2:$E$12</xm:f>
          </x14:formula1>
          <xm:sqref>F371:F372</xm:sqref>
        </x14:dataValidation>
        <x14:dataValidation type="list" allowBlank="1" showInputMessage="1" showErrorMessage="1" xr:uid="{12C83A45-1F83-46AB-A5C0-627837DC88F0}">
          <x14:formula1>
            <xm:f>Hoja3!$H$2:$H$9</xm:f>
          </x14:formula1>
          <xm:sqref>G371:G372</xm:sqref>
        </x14:dataValidation>
        <x14:dataValidation type="list" allowBlank="1" showInputMessage="1" showErrorMessage="1" xr:uid="{E425EF1D-1C38-4305-85B5-AE2F0256E398}">
          <x14:formula1>
            <xm:f>Hoja3!$J$2:$J$5</xm:f>
          </x14:formula1>
          <xm:sqref>H371:H372</xm:sqref>
        </x14:dataValidation>
        <x14:dataValidation type="list" allowBlank="1" showInputMessage="1" showErrorMessage="1" xr:uid="{CF2F5954-33A0-42A0-80F0-AC4A3B089890}">
          <x14:formula1>
            <xm:f>Hoja3!$L$2:$L$5</xm:f>
          </x14:formula1>
          <xm:sqref>I371:I372</xm:sqref>
        </x14:dataValidation>
        <x14:dataValidation type="list" allowBlank="1" showInputMessage="1" showErrorMessage="1" xr:uid="{A9A5D492-CE90-4D47-A968-0CABB759B2AD}">
          <x14:formula1>
            <xm:f>Hoja3!$N$2:$N$26</xm:f>
          </x14:formula1>
          <xm:sqref>J371:J372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25BC-7626-4002-AD7C-4230A431744B}">
  <sheetPr codeName="Hoja1"/>
  <dimension ref="A1:S26"/>
  <sheetViews>
    <sheetView topLeftCell="A10" workbookViewId="0">
      <selection activeCell="L34" sqref="L34"/>
    </sheetView>
  </sheetViews>
  <sheetFormatPr baseColWidth="10" defaultRowHeight="15" x14ac:dyDescent="0.25"/>
  <cols>
    <col min="4" max="4" width="7.42578125" customWidth="1"/>
    <col min="6" max="7" width="6.42578125" customWidth="1"/>
    <col min="8" max="8" width="23.140625" bestFit="1" customWidth="1"/>
    <col min="9" max="9" width="8" customWidth="1"/>
    <col min="10" max="10" width="22.85546875" bestFit="1" customWidth="1"/>
    <col min="11" max="11" width="9.85546875" customWidth="1"/>
    <col min="12" max="12" width="23.85546875" customWidth="1"/>
    <col min="13" max="13" width="7.28515625" customWidth="1"/>
    <col min="14" max="16" width="22.85546875" customWidth="1"/>
  </cols>
  <sheetData>
    <row r="1" spans="1:19" x14ac:dyDescent="0.25">
      <c r="A1" s="3" t="s">
        <v>100</v>
      </c>
      <c r="B1" s="3"/>
      <c r="C1" s="3" t="s">
        <v>0</v>
      </c>
      <c r="D1" s="3"/>
      <c r="E1" s="3" t="s">
        <v>75</v>
      </c>
      <c r="F1" s="3"/>
      <c r="G1" s="3"/>
      <c r="H1" s="3" t="s">
        <v>1</v>
      </c>
      <c r="I1" s="3"/>
      <c r="J1" s="3" t="s">
        <v>76</v>
      </c>
      <c r="K1" s="3"/>
      <c r="L1" s="3" t="s">
        <v>2</v>
      </c>
      <c r="M1" s="3"/>
      <c r="N1" s="3" t="s">
        <v>77</v>
      </c>
      <c r="O1" s="3"/>
      <c r="P1" s="3" t="s">
        <v>3</v>
      </c>
      <c r="S1" t="s">
        <v>128</v>
      </c>
    </row>
    <row r="2" spans="1:19" x14ac:dyDescent="0.25">
      <c r="A2" t="s">
        <v>51</v>
      </c>
      <c r="C2" t="s">
        <v>90</v>
      </c>
      <c r="E2" t="s">
        <v>95</v>
      </c>
      <c r="H2" t="s">
        <v>41</v>
      </c>
      <c r="J2" t="s">
        <v>16</v>
      </c>
      <c r="L2" t="s">
        <v>9</v>
      </c>
      <c r="N2" t="s">
        <v>68</v>
      </c>
      <c r="P2" t="s">
        <v>69</v>
      </c>
    </row>
    <row r="3" spans="1:19" x14ac:dyDescent="0.25">
      <c r="A3" t="s">
        <v>6</v>
      </c>
      <c r="C3" t="s">
        <v>81</v>
      </c>
      <c r="E3" t="s">
        <v>94</v>
      </c>
      <c r="H3" t="s">
        <v>15</v>
      </c>
      <c r="J3" t="s">
        <v>8</v>
      </c>
      <c r="L3" t="s">
        <v>33</v>
      </c>
      <c r="N3" t="s">
        <v>34</v>
      </c>
      <c r="P3" t="s">
        <v>11</v>
      </c>
    </row>
    <row r="4" spans="1:19" x14ac:dyDescent="0.25">
      <c r="A4" t="s">
        <v>40</v>
      </c>
      <c r="C4" t="s">
        <v>80</v>
      </c>
      <c r="E4" t="s">
        <v>82</v>
      </c>
      <c r="H4" t="s">
        <v>29</v>
      </c>
      <c r="J4" t="s">
        <v>25</v>
      </c>
      <c r="L4" t="s">
        <v>127</v>
      </c>
      <c r="N4" t="s">
        <v>61</v>
      </c>
      <c r="P4" t="s">
        <v>53</v>
      </c>
    </row>
    <row r="5" spans="1:19" x14ac:dyDescent="0.25">
      <c r="A5" t="s">
        <v>32</v>
      </c>
      <c r="C5" t="s">
        <v>91</v>
      </c>
      <c r="E5" t="s">
        <v>96</v>
      </c>
      <c r="H5" t="s">
        <v>43</v>
      </c>
      <c r="J5" t="s">
        <v>127</v>
      </c>
      <c r="L5" t="s">
        <v>17</v>
      </c>
      <c r="N5" t="s">
        <v>71</v>
      </c>
      <c r="P5" t="s">
        <v>49</v>
      </c>
    </row>
    <row r="6" spans="1:19" x14ac:dyDescent="0.25">
      <c r="A6" t="s">
        <v>28</v>
      </c>
      <c r="C6" t="s">
        <v>87</v>
      </c>
      <c r="E6" t="s">
        <v>91</v>
      </c>
      <c r="H6" t="s">
        <v>37</v>
      </c>
      <c r="N6" t="s">
        <v>67</v>
      </c>
      <c r="P6" t="s">
        <v>31</v>
      </c>
    </row>
    <row r="7" spans="1:19" x14ac:dyDescent="0.25">
      <c r="A7" t="s">
        <v>14</v>
      </c>
      <c r="C7" t="s">
        <v>89</v>
      </c>
      <c r="E7" t="s">
        <v>87</v>
      </c>
      <c r="H7" t="s">
        <v>7</v>
      </c>
      <c r="N7" t="s">
        <v>22</v>
      </c>
      <c r="P7" t="s">
        <v>13</v>
      </c>
    </row>
    <row r="8" spans="1:19" x14ac:dyDescent="0.25">
      <c r="A8" t="s">
        <v>36</v>
      </c>
      <c r="C8" t="s">
        <v>92</v>
      </c>
      <c r="E8" t="s">
        <v>84</v>
      </c>
      <c r="H8" t="s">
        <v>24</v>
      </c>
      <c r="N8" t="s">
        <v>52</v>
      </c>
      <c r="P8" t="s">
        <v>65</v>
      </c>
    </row>
    <row r="9" spans="1:19" x14ac:dyDescent="0.25">
      <c r="A9" t="s">
        <v>45</v>
      </c>
      <c r="C9" t="s">
        <v>93</v>
      </c>
      <c r="E9" t="s">
        <v>99</v>
      </c>
      <c r="H9" t="s">
        <v>55</v>
      </c>
      <c r="N9" t="s">
        <v>10</v>
      </c>
      <c r="P9" t="s">
        <v>72</v>
      </c>
    </row>
    <row r="10" spans="1:19" x14ac:dyDescent="0.25">
      <c r="A10" t="s">
        <v>23</v>
      </c>
      <c r="C10" t="s">
        <v>97</v>
      </c>
      <c r="E10" t="s">
        <v>88</v>
      </c>
      <c r="N10" t="s">
        <v>30</v>
      </c>
      <c r="P10" t="s">
        <v>47</v>
      </c>
    </row>
    <row r="11" spans="1:19" x14ac:dyDescent="0.25">
      <c r="A11" t="s">
        <v>54</v>
      </c>
      <c r="C11" t="s">
        <v>85</v>
      </c>
      <c r="E11" t="s">
        <v>83</v>
      </c>
      <c r="N11" t="s">
        <v>12</v>
      </c>
      <c r="P11" t="s">
        <v>57</v>
      </c>
    </row>
    <row r="12" spans="1:19" x14ac:dyDescent="0.25">
      <c r="A12" t="s">
        <v>42</v>
      </c>
      <c r="C12" t="s">
        <v>86</v>
      </c>
      <c r="E12" t="s">
        <v>98</v>
      </c>
      <c r="N12" t="s">
        <v>64</v>
      </c>
      <c r="P12" t="s">
        <v>27</v>
      </c>
    </row>
    <row r="13" spans="1:19" x14ac:dyDescent="0.25">
      <c r="A13" t="s">
        <v>50</v>
      </c>
      <c r="N13" t="s">
        <v>48</v>
      </c>
      <c r="P13" t="s">
        <v>59</v>
      </c>
    </row>
    <row r="14" spans="1:19" x14ac:dyDescent="0.25">
      <c r="A14" t="s">
        <v>20</v>
      </c>
      <c r="N14" t="s">
        <v>127</v>
      </c>
      <c r="P14" t="s">
        <v>39</v>
      </c>
    </row>
    <row r="15" spans="1:19" x14ac:dyDescent="0.25">
      <c r="A15" t="s">
        <v>62</v>
      </c>
      <c r="N15" t="s">
        <v>26</v>
      </c>
      <c r="P15" t="s">
        <v>35</v>
      </c>
    </row>
    <row r="16" spans="1:19" x14ac:dyDescent="0.25">
      <c r="A16" t="s">
        <v>63</v>
      </c>
      <c r="N16" t="s">
        <v>46</v>
      </c>
      <c r="P16" t="s">
        <v>5</v>
      </c>
    </row>
    <row r="17" spans="14:14" x14ac:dyDescent="0.25">
      <c r="N17" t="s">
        <v>60</v>
      </c>
    </row>
    <row r="18" spans="14:14" x14ac:dyDescent="0.25">
      <c r="N18" t="s">
        <v>19</v>
      </c>
    </row>
    <row r="19" spans="14:14" x14ac:dyDescent="0.25">
      <c r="N19" t="s">
        <v>70</v>
      </c>
    </row>
    <row r="20" spans="14:14" x14ac:dyDescent="0.25">
      <c r="N20" t="s">
        <v>58</v>
      </c>
    </row>
    <row r="21" spans="14:14" x14ac:dyDescent="0.25">
      <c r="N21" t="s">
        <v>66</v>
      </c>
    </row>
    <row r="22" spans="14:14" x14ac:dyDescent="0.25">
      <c r="N22" t="s">
        <v>18</v>
      </c>
    </row>
    <row r="23" spans="14:14" x14ac:dyDescent="0.25">
      <c r="N23" t="s">
        <v>56</v>
      </c>
    </row>
    <row r="24" spans="14:14" x14ac:dyDescent="0.25">
      <c r="N24" t="s">
        <v>38</v>
      </c>
    </row>
    <row r="25" spans="14:14" x14ac:dyDescent="0.25">
      <c r="N25" t="s">
        <v>21</v>
      </c>
    </row>
    <row r="26" spans="14:14" x14ac:dyDescent="0.25">
      <c r="N26" t="s">
        <v>44</v>
      </c>
    </row>
  </sheetData>
  <sortState xmlns:xlrd2="http://schemas.microsoft.com/office/spreadsheetml/2017/richdata2" ref="P2:P16">
    <sortCondition ref="P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3391F52-E742-40AB-908F-17BAC4B3CC9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C9367401-F858-450C-90AF-15404E070C39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26</vt:i4>
      </vt:variant>
    </vt:vector>
  </HeadingPairs>
  <TitlesOfParts>
    <vt:vector size="35" baseType="lpstr">
      <vt:lpstr>BaseDeDatos</vt:lpstr>
      <vt:lpstr>Hoja4</vt:lpstr>
      <vt:lpstr>Hoja5</vt:lpstr>
      <vt:lpstr>Hoja2</vt:lpstr>
      <vt:lpstr>GRAFICO</vt:lpstr>
      <vt:lpstr>Hoja1</vt:lpstr>
      <vt:lpstr>PANEL</vt:lpstr>
      <vt:lpstr>normalizar</vt:lpstr>
      <vt:lpstr>Hoja3</vt:lpstr>
      <vt:lpstr>BaseDeDatos!Área_de_extracción</vt:lpstr>
      <vt:lpstr>Hoja3!Área_de_extracción</vt:lpstr>
      <vt:lpstr>cat</vt:lpstr>
      <vt:lpstr>ciudad</vt:lpstr>
      <vt:lpstr>cli</vt:lpstr>
      <vt:lpstr>cliente</vt:lpstr>
      <vt:lpstr>clientes2</vt:lpstr>
      <vt:lpstr>BaseDeDatos!Criterios</vt:lpstr>
      <vt:lpstr>Hoja3!Criterios</vt:lpstr>
      <vt:lpstr>date</vt:lpstr>
      <vt:lpstr>datmes</vt:lpstr>
      <vt:lpstr>datos</vt:lpstr>
      <vt:lpstr>empresa</vt:lpstr>
      <vt:lpstr>fe</vt:lpstr>
      <vt:lpstr>forma</vt:lpstr>
      <vt:lpstr>maxmes</vt:lpstr>
      <vt:lpstr>mes</vt:lpstr>
      <vt:lpstr>meses</vt:lpstr>
      <vt:lpstr>normal</vt:lpstr>
      <vt:lpstr>orden</vt:lpstr>
      <vt:lpstr>pago</vt:lpstr>
      <vt:lpstr>periodo</vt:lpstr>
      <vt:lpstr>produc</vt:lpstr>
      <vt:lpstr>provincia</vt:lpstr>
      <vt:lpstr>titulo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Terán</dc:creator>
  <cp:lastModifiedBy>Alejandro romero</cp:lastModifiedBy>
  <dcterms:created xsi:type="dcterms:W3CDTF">2021-06-10T14:59:28Z</dcterms:created>
  <dcterms:modified xsi:type="dcterms:W3CDTF">2024-06-15T03:05:27Z</dcterms:modified>
</cp:coreProperties>
</file>