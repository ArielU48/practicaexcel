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fileSharing userName="Alejandro Uñate" algorithmName="SHA-512" hashValue="LKL3bm9Kof8WXC90wLi9ti9akmvozEkQpvq3jC2yP+5vi+8TIFqcx6oSELydjolH7tdv+MLp9gwrhnsaWO5Suw==" saltValue="dKzMFwMemY1Kpg8oEKpaFg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"/>
    </mc:Choice>
  </mc:AlternateContent>
  <xr:revisionPtr revIDLastSave="0" documentId="13_ncr:10001_{99E9DA58-668C-4CAB-B186-7CDFC480DDBD}" xr6:coauthVersionLast="45" xr6:coauthVersionMax="45" xr10:uidLastSave="{00000000-0000-0000-0000-000000000000}"/>
  <bookViews>
    <workbookView xWindow="-120" yWindow="-120" windowWidth="20730" windowHeight="11760" xr2:uid="{89F1776E-E9A3-4656-9D09-92617C749D58}"/>
  </bookViews>
  <sheets>
    <sheet name="datos de entradas" sheetId="1" r:id="rId1"/>
    <sheet name="nue" sheetId="4" r:id="rId2"/>
    <sheet name="Hoja1" sheetId="3" r:id="rId3"/>
    <sheet name="planilla" sheetId="2" r:id="rId4"/>
  </sheets>
  <functionGroups builtInGroupCount="19"/>
  <definedNames>
    <definedName name="_xlnm._FilterDatabase" localSheetId="1" hidden="1">nue!$A$5:$E$14</definedName>
    <definedName name="_xlnm._FilterDatabase" localSheetId="3" hidden="1">planilla!$A$6:$E$24</definedName>
    <definedName name="_xlnm.Print_Area" localSheetId="0">'datos de entradas'!$A$1:$E$185</definedName>
    <definedName name="_xlnm.Criteria" localSheetId="1">nue!$I$1:$M$3</definedName>
    <definedName name="_xlnm.Criteria" localSheetId="3">planilla!$H$1:$L$4</definedName>
    <definedName name="Dias">'datos de entradas'!$C$4:$C$10</definedName>
    <definedName name="empleados">'datos de entradas'!$A$4:$A$12</definedName>
    <definedName name="horarios">'datos de entradas'!$D$4:$D$6</definedName>
    <definedName name="Seccion">'datos de entradas'!$B$4:$B$12</definedName>
    <definedName name="Sueldos">'datos de entradas'!$E$4:$E$8</definedName>
    <definedName name="_xlnm.Print_Titles" localSheetId="0">'datos de entradas'!$1:$3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4" l="1"/>
  <c r="M3" i="4" s="1"/>
  <c r="J3" i="4"/>
  <c r="K3" i="4"/>
  <c r="L3" i="4"/>
  <c r="L2" i="4"/>
  <c r="J2" i="4"/>
  <c r="K2" i="4"/>
  <c r="I2" i="4"/>
  <c r="M2" i="4" s="1"/>
  <c r="L2" i="2" l="1"/>
  <c r="H3" i="2" l="1"/>
  <c r="I3" i="2"/>
  <c r="J3" i="2"/>
  <c r="K3" i="2"/>
  <c r="L3" i="2"/>
  <c r="H4" i="2"/>
  <c r="I4" i="2"/>
  <c r="J4" i="2"/>
  <c r="K4" i="2"/>
  <c r="L4" i="2"/>
  <c r="I2" i="2"/>
  <c r="J2" i="2"/>
  <c r="K2" i="2"/>
  <c r="H2" i="2"/>
</calcChain>
</file>

<file path=xl/sharedStrings.xml><?xml version="1.0" encoding="utf-8"?>
<sst xmlns="http://schemas.openxmlformats.org/spreadsheetml/2006/main" count="847" uniqueCount="65">
  <si>
    <t>Sección</t>
  </si>
  <si>
    <t>Limpieza</t>
  </si>
  <si>
    <t>Mantenimiento</t>
  </si>
  <si>
    <t>Informática</t>
  </si>
  <si>
    <t>Ventas</t>
  </si>
  <si>
    <t>Cobranza</t>
  </si>
  <si>
    <t>Contabilidad</t>
  </si>
  <si>
    <t>Seguridad</t>
  </si>
  <si>
    <t>empleado</t>
  </si>
  <si>
    <t>Uñate, Alejandro Ariel</t>
  </si>
  <si>
    <t>Cabral, Antonio Raúl</t>
  </si>
  <si>
    <t>Sosa, Juan Antonio</t>
  </si>
  <si>
    <t>Solis, Saúl Carlos</t>
  </si>
  <si>
    <t>Romano, Ariel Juan</t>
  </si>
  <si>
    <t>Pintos, Aron Luis</t>
  </si>
  <si>
    <t>Cruz, Sonia Luisa</t>
  </si>
  <si>
    <t>Navarro, Sofia Kiara</t>
  </si>
  <si>
    <t>Gimenez, Sonia Ana</t>
  </si>
  <si>
    <t>Horarios</t>
  </si>
  <si>
    <t>08:00 - 14:00</t>
  </si>
  <si>
    <t>16:00 - 22:00</t>
  </si>
  <si>
    <t>Gerente</t>
  </si>
  <si>
    <t>Secretaria</t>
  </si>
  <si>
    <t>08:00 - 22:00</t>
  </si>
  <si>
    <t>Días</t>
  </si>
  <si>
    <t>Lunes</t>
  </si>
  <si>
    <t>Martes</t>
  </si>
  <si>
    <t>Miércoles</t>
  </si>
  <si>
    <t>Jueves</t>
  </si>
  <si>
    <t>Viernes</t>
  </si>
  <si>
    <t>Sábado</t>
  </si>
  <si>
    <t>Domingo</t>
  </si>
  <si>
    <t>Sueldos</t>
  </si>
  <si>
    <t>Empleado</t>
  </si>
  <si>
    <t>Horario</t>
  </si>
  <si>
    <t>Sueldo</t>
  </si>
  <si>
    <t>08:00 - 14:01</t>
  </si>
  <si>
    <t>16:00 - 22:01</t>
  </si>
  <si>
    <t>08:00 - 22:01</t>
  </si>
  <si>
    <t>08:00 - 14:02</t>
  </si>
  <si>
    <t>16:00 - 22:02</t>
  </si>
  <si>
    <t>08:00 - 22:02</t>
  </si>
  <si>
    <t>08:00 - 14:03</t>
  </si>
  <si>
    <t>16:00 - 22:03</t>
  </si>
  <si>
    <t>08:00 - 22:03</t>
  </si>
  <si>
    <t>08:00 - 14:04</t>
  </si>
  <si>
    <t>16:00 - 22:04</t>
  </si>
  <si>
    <t>08:00 - 22:04</t>
  </si>
  <si>
    <t>08:00 - 14:05</t>
  </si>
  <si>
    <t>16:00 - 22:05</t>
  </si>
  <si>
    <t>08:00 - 22:05</t>
  </si>
  <si>
    <t>08:00 - 14:06</t>
  </si>
  <si>
    <t>16:00 - 22:06</t>
  </si>
  <si>
    <t>08:00 - 22:06</t>
  </si>
  <si>
    <t>08:00 - 14:07</t>
  </si>
  <si>
    <t>16:00 - 22:07</t>
  </si>
  <si>
    <t>08:00 - 22:07</t>
  </si>
  <si>
    <t>08:00 - 14:08</t>
  </si>
  <si>
    <t>16:00 - 22:08</t>
  </si>
  <si>
    <t>08:00 - 22:08</t>
  </si>
  <si>
    <t>08:00 - 14:09</t>
  </si>
  <si>
    <t>16:00 - 22:09</t>
  </si>
  <si>
    <t>08:00 - 22:09</t>
  </si>
  <si>
    <t>08:00 - 14:10</t>
  </si>
  <si>
    <t>LISTADO DE NOMBRE DE EMPLEADOS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</si>
</sst>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trike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</cellStyleXfs>
  <cellXfs count="11">
    <xf numFmtId="0" fontId="0" fillId="0" borderId="0" xfId="0"/>
    <xf numFmtId="0" fontId="2" fillId="2" borderId="1" xfId="1" applyBorder="1"/>
    <xf numFmtId="0" fontId="2" fillId="3" borderId="0" xfId="2"/>
    <xf numFmtId="0" fontId="0" fillId="4" borderId="0" xfId="0" applyFill="1"/>
    <xf numFmtId="1" fontId="0" fillId="0" borderId="0" xfId="0" applyNumberFormat="1"/>
    <xf numFmtId="1" fontId="0" fillId="4" borderId="0" xfId="0" applyNumberFormat="1" applyFill="1"/>
    <xf numFmtId="0" fontId="3" fillId="5" borderId="0" xfId="3"/>
    <xf numFmtId="0" fontId="0" fillId="0" borderId="0" xfId="0" applyNumberFormat="1"/>
    <xf numFmtId="1" fontId="4" fillId="0" borderId="0" xfId="0" applyNumberFormat="1" applyFont="1"/>
    <xf numFmtId="0" fontId="0" fillId="0" borderId="0" xfId="0" applyProtection="1"/>
    <xf numFmtId="0" fontId="5" fillId="0" borderId="0" xfId="0" applyFont="1" applyAlignment="1">
      <alignment horizontal="center"/>
    </xf>
  </cellXfs>
  <cellStyles count="4">
    <cellStyle name="20% - Énfasis2" xfId="3" builtinId="34"/>
    <cellStyle name="Énfasis1" xfId="1" builtinId="29"/>
    <cellStyle name="Énfasis2" xfId="2" builtinId="33"/>
    <cellStyle name="Normal" xfId="0" builtinId="0"/>
  </cellStyles>
  <dxfs count="9"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numFmt numFmtId="1" formatCode="0"/>
    </dxf>
    <dxf>
      <border outline="0">
        <bottom style="medium">
          <color theme="1"/>
        </bottom>
      </border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751974</xdr:colOff>
      <xdr:row>0</xdr:row>
      <xdr:rowOff>30080</xdr:rowOff>
    </xdr:from>
    <xdr:to>
      <xdr:col>7</xdr:col>
      <xdr:colOff>10026</xdr:colOff>
      <xdr:row>2</xdr:row>
      <xdr:rowOff>1</xdr:rowOff>
    </xdr:to>
    <xdr:sp macro="[0]!fil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988D003-36CF-47A7-A884-DDE27EF1DBD8}"/>
            </a:ext>
          </a:extLst>
        </xdr:cNvPr>
        <xdr:cNvSpPr/>
      </xdr:nvSpPr>
      <xdr:spPr>
        <a:xfrm>
          <a:off x="5424237" y="30080"/>
          <a:ext cx="782052" cy="350921"/>
        </a:xfrm>
        <a:prstGeom prst="round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Arial" panose="020B0604020202020204" pitchFamily="34" charset="0"/>
              <a:cs typeface="Arial" panose="020B0604020202020204" pitchFamily="34" charset="0"/>
            </a:rPr>
            <a:t>Filtro</a:t>
          </a:r>
        </a:p>
      </xdr:txBody>
    </xdr:sp>
    <xdr:clientData/>
  </xdr:twoCellAnchor>
  <xdr:twoCellAnchor>
    <xdr:from>
      <xdr:col>5</xdr:col>
      <xdr:colOff>751974</xdr:colOff>
      <xdr:row>3</xdr:row>
      <xdr:rowOff>20053</xdr:rowOff>
    </xdr:from>
    <xdr:to>
      <xdr:col>7</xdr:col>
      <xdr:colOff>20051</xdr:colOff>
      <xdr:row>5</xdr:row>
      <xdr:rowOff>10027</xdr:rowOff>
    </xdr:to>
    <xdr:sp macro="[0]!limp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CB2A126-057F-480A-A19B-406B3195BF48}"/>
            </a:ext>
          </a:extLst>
        </xdr:cNvPr>
        <xdr:cNvSpPr/>
      </xdr:nvSpPr>
      <xdr:spPr>
        <a:xfrm>
          <a:off x="5424237" y="591553"/>
          <a:ext cx="792077" cy="37097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Arial" panose="020B0604020202020204" pitchFamily="34" charset="0"/>
              <a:cs typeface="Arial" panose="020B0604020202020204" pitchFamily="34" charset="0"/>
            </a:rPr>
            <a:t>Limpiar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E2257A-A156-4A90-9149-8B90E81F89D2}" name="Tabla4" displayName="Tabla4" ref="A3:E185" totalsRowShown="0">
  <autoFilter ref="A3:E185" xr:uid="{D1C427F1-0DC4-4E9E-BE73-DE16CB7CFA31}"/>
  <tableColumns count="5">
    <tableColumn id="1" xr3:uid="{C50AFB55-E119-4981-AE34-CA43E6E896E2}" name="empleado"/>
    <tableColumn id="2" xr3:uid="{472305C7-D0A1-42C4-9327-9062F11BEDD9}" name="Sección"/>
    <tableColumn id="3" xr3:uid="{2D65FB30-B3E1-4B8C-840A-BF2CCEF8F5BE}" name="Días"/>
    <tableColumn id="4" xr3:uid="{3F107C71-3D01-4246-944C-A66C0EDF355C}" name="Horarios"/>
    <tableColumn id="5" xr3:uid="{3A1522A9-95DE-491A-A5E5-F96413DFF81A}" name="Sueldos" dataDxfId="6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5F377-8A77-470F-AC58-0CE9303B174B}" name="Tabla2" displayName="Tabla2" ref="A5:E14" totalsRowShown="0" headerRowCellStyle="Normal">
  <tableColumns count="5">
    <tableColumn id="1" xr3:uid="{10710B63-4527-41FF-B435-DC7A5256279A}" name="empleado"/>
    <tableColumn id="2" xr3:uid="{E11FADAA-D3E1-4545-AF7C-A461E613DDA8}" name="Sección"/>
    <tableColumn id="3" xr3:uid="{79DC63D3-72F5-443B-81A9-E74AEE81935A}" name="Horarios"/>
    <tableColumn id="4" xr3:uid="{913B08CD-DA18-4A2B-A633-8E83D33AC05D}" name="Días"/>
    <tableColumn id="5" xr3:uid="{65ED3C85-FBD7-4C34-AADA-4089E4A50B3D}" name="Sueldos" dataDxfId="8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6C6458-BA9C-4094-84D2-A6267E36F55F}" name="Tabla1" displayName="Tabla1" ref="A6:E25" totalsRowShown="0" headerRowBorderDxfId="7" headerRowCellStyle="Énfasis1">
  <tableColumns count="5">
    <tableColumn id="1" xr3:uid="{A87BA088-8709-49D7-BBBD-691811B3DB19}" name="Empleado"/>
    <tableColumn id="2" xr3:uid="{B8ACEEF5-9CC3-40BD-AC3F-E1D5D147091D}" name="Sección"/>
    <tableColumn id="3" xr3:uid="{5DAFAFE5-5150-427E-89C3-8292DB4BE144}" name="Horario"/>
    <tableColumn id="4" xr3:uid="{84A2018C-170C-4418-AC69-BC8203E8A05D}" name="Días"/>
    <tableColumn id="5" xr3:uid="{E6344173-1333-496F-AFAB-02075083525A}" name="Sueld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126E9-D520-4CBA-B5D8-D7732D2A8FF7}">
  <sheetPr codeName="Hoja1"/>
  <dimension ref="A1:E185"/>
  <sheetViews>
    <sheetView tabSelected="1" zoomScaleNormal="100" workbookViewId="0">
      <selection activeCell="A2" sqref="A2:XFD2"/>
    </sheetView>
  </sheetViews>
  <sheetFormatPr baseColWidth="10" defaultColWidth="20.7109375" defaultRowHeight="15" x14ac:dyDescent="0.25"/>
  <cols>
    <col min="1" max="1" width="30.5703125" customWidth="1"/>
    <col min="2" max="2" width="14.85546875" bestFit="1" customWidth="1"/>
    <col min="3" max="3" width="13.85546875" customWidth="1"/>
    <col min="4" max="4" width="15.42578125" customWidth="1"/>
    <col min="5" max="5" width="11.85546875" customWidth="1"/>
  </cols>
  <sheetData>
    <row r="1" spans="1:5" ht="15.75" x14ac:dyDescent="0.25">
      <c r="A1" s="10" t="s">
        <v>64</v>
      </c>
      <c r="B1" s="10"/>
      <c r="C1" s="10"/>
      <c r="D1" s="10"/>
      <c r="E1" s="10"/>
    </row>
    <row r="2" spans="1:5" ht="3" customHeight="1" x14ac:dyDescent="0.25"/>
    <row r="3" spans="1:5" x14ac:dyDescent="0.25">
      <c r="A3" t="s">
        <v>8</v>
      </c>
      <c r="B3" s="9" t="s">
        <v>0</v>
      </c>
      <c r="C3" t="s">
        <v>24</v>
      </c>
      <c r="D3" t="s">
        <v>18</v>
      </c>
      <c r="E3" t="s">
        <v>32</v>
      </c>
    </row>
    <row r="4" spans="1:5" x14ac:dyDescent="0.25">
      <c r="A4" t="s">
        <v>9</v>
      </c>
      <c r="B4" t="s">
        <v>5</v>
      </c>
      <c r="C4" t="s">
        <v>25</v>
      </c>
      <c r="D4" t="s">
        <v>19</v>
      </c>
      <c r="E4" s="4">
        <v>25000</v>
      </c>
    </row>
    <row r="5" spans="1:5" x14ac:dyDescent="0.25">
      <c r="A5" t="s">
        <v>10</v>
      </c>
      <c r="B5" t="s">
        <v>6</v>
      </c>
      <c r="C5" t="s">
        <v>26</v>
      </c>
      <c r="D5" t="s">
        <v>20</v>
      </c>
      <c r="E5" s="4">
        <v>35000</v>
      </c>
    </row>
    <row r="6" spans="1:5" x14ac:dyDescent="0.25">
      <c r="A6" t="s">
        <v>11</v>
      </c>
      <c r="B6" t="s">
        <v>21</v>
      </c>
      <c r="C6" t="s">
        <v>27</v>
      </c>
      <c r="D6" t="s">
        <v>23</v>
      </c>
      <c r="E6" s="4">
        <v>45000</v>
      </c>
    </row>
    <row r="7" spans="1:5" x14ac:dyDescent="0.25">
      <c r="A7" t="s">
        <v>12</v>
      </c>
      <c r="B7" t="s">
        <v>3</v>
      </c>
      <c r="C7" t="s">
        <v>28</v>
      </c>
      <c r="D7" t="s">
        <v>19</v>
      </c>
      <c r="E7" s="4">
        <v>50000</v>
      </c>
    </row>
    <row r="8" spans="1:5" x14ac:dyDescent="0.25">
      <c r="A8" t="s">
        <v>13</v>
      </c>
      <c r="B8" t="s">
        <v>1</v>
      </c>
      <c r="C8" t="s">
        <v>29</v>
      </c>
      <c r="D8" t="s">
        <v>20</v>
      </c>
      <c r="E8" s="4">
        <v>100000</v>
      </c>
    </row>
    <row r="9" spans="1:5" x14ac:dyDescent="0.25">
      <c r="A9" t="s">
        <v>14</v>
      </c>
      <c r="B9" t="s">
        <v>2</v>
      </c>
      <c r="C9" t="s">
        <v>30</v>
      </c>
      <c r="D9" t="s">
        <v>23</v>
      </c>
      <c r="E9" s="4">
        <v>100500</v>
      </c>
    </row>
    <row r="10" spans="1:5" x14ac:dyDescent="0.25">
      <c r="A10" t="s">
        <v>15</v>
      </c>
      <c r="B10" t="s">
        <v>22</v>
      </c>
      <c r="C10" t="s">
        <v>31</v>
      </c>
      <c r="D10" t="s">
        <v>19</v>
      </c>
      <c r="E10" s="4">
        <v>117000</v>
      </c>
    </row>
    <row r="11" spans="1:5" x14ac:dyDescent="0.25">
      <c r="A11" t="s">
        <v>16</v>
      </c>
      <c r="B11" t="s">
        <v>7</v>
      </c>
      <c r="C11" t="s">
        <v>25</v>
      </c>
      <c r="D11" t="s">
        <v>20</v>
      </c>
      <c r="E11" s="4">
        <v>133500</v>
      </c>
    </row>
    <row r="12" spans="1:5" x14ac:dyDescent="0.25">
      <c r="A12" t="s">
        <v>17</v>
      </c>
      <c r="B12" t="s">
        <v>4</v>
      </c>
      <c r="C12" t="s">
        <v>26</v>
      </c>
      <c r="D12" t="s">
        <v>23</v>
      </c>
      <c r="E12" s="4">
        <v>150000</v>
      </c>
    </row>
    <row r="13" spans="1:5" x14ac:dyDescent="0.25">
      <c r="A13" t="s">
        <v>9</v>
      </c>
      <c r="B13" t="s">
        <v>5</v>
      </c>
      <c r="C13" t="s">
        <v>25</v>
      </c>
      <c r="D13" t="s">
        <v>19</v>
      </c>
      <c r="E13" s="4">
        <v>25000</v>
      </c>
    </row>
    <row r="14" spans="1:5" x14ac:dyDescent="0.25">
      <c r="A14" t="s">
        <v>10</v>
      </c>
      <c r="B14" t="s">
        <v>6</v>
      </c>
      <c r="C14" t="s">
        <v>26</v>
      </c>
      <c r="D14" t="s">
        <v>20</v>
      </c>
      <c r="E14" s="4">
        <v>35000</v>
      </c>
    </row>
    <row r="15" spans="1:5" x14ac:dyDescent="0.25">
      <c r="A15" t="s">
        <v>11</v>
      </c>
      <c r="B15" t="s">
        <v>21</v>
      </c>
      <c r="C15" t="s">
        <v>27</v>
      </c>
      <c r="D15" t="s">
        <v>23</v>
      </c>
      <c r="E15" s="4">
        <v>45000</v>
      </c>
    </row>
    <row r="16" spans="1:5" x14ac:dyDescent="0.25">
      <c r="A16" t="s">
        <v>12</v>
      </c>
      <c r="B16" t="s">
        <v>3</v>
      </c>
      <c r="C16" t="s">
        <v>28</v>
      </c>
      <c r="D16" t="s">
        <v>19</v>
      </c>
      <c r="E16" s="4">
        <v>50000</v>
      </c>
    </row>
    <row r="17" spans="1:5" x14ac:dyDescent="0.25">
      <c r="A17" t="s">
        <v>13</v>
      </c>
      <c r="B17" t="s">
        <v>1</v>
      </c>
      <c r="C17" t="s">
        <v>29</v>
      </c>
      <c r="D17" t="s">
        <v>20</v>
      </c>
      <c r="E17" s="4">
        <v>100000</v>
      </c>
    </row>
    <row r="18" spans="1:5" x14ac:dyDescent="0.25">
      <c r="A18" t="s">
        <v>14</v>
      </c>
      <c r="B18" t="s">
        <v>2</v>
      </c>
      <c r="C18" t="s">
        <v>30</v>
      </c>
      <c r="D18" t="s">
        <v>23</v>
      </c>
      <c r="E18" s="4">
        <v>100500</v>
      </c>
    </row>
    <row r="19" spans="1:5" x14ac:dyDescent="0.25">
      <c r="A19" t="s">
        <v>15</v>
      </c>
      <c r="B19" t="s">
        <v>22</v>
      </c>
      <c r="C19" t="s">
        <v>31</v>
      </c>
      <c r="D19" t="s">
        <v>19</v>
      </c>
      <c r="E19" s="4">
        <v>117000</v>
      </c>
    </row>
    <row r="20" spans="1:5" x14ac:dyDescent="0.25">
      <c r="A20" t="s">
        <v>16</v>
      </c>
      <c r="B20" t="s">
        <v>7</v>
      </c>
      <c r="C20" t="s">
        <v>25</v>
      </c>
      <c r="D20" t="s">
        <v>20</v>
      </c>
      <c r="E20" s="4">
        <v>133500</v>
      </c>
    </row>
    <row r="21" spans="1:5" x14ac:dyDescent="0.25">
      <c r="A21" t="s">
        <v>17</v>
      </c>
      <c r="B21" t="s">
        <v>4</v>
      </c>
      <c r="C21" t="s">
        <v>26</v>
      </c>
      <c r="D21" t="s">
        <v>23</v>
      </c>
      <c r="E21" s="4">
        <v>150000</v>
      </c>
    </row>
    <row r="22" spans="1:5" x14ac:dyDescent="0.25">
      <c r="A22" t="s">
        <v>9</v>
      </c>
      <c r="B22" t="s">
        <v>5</v>
      </c>
      <c r="C22" t="s">
        <v>25</v>
      </c>
      <c r="D22" t="s">
        <v>36</v>
      </c>
      <c r="E22" s="4">
        <v>122823.529411765</v>
      </c>
    </row>
    <row r="23" spans="1:5" x14ac:dyDescent="0.25">
      <c r="A23" t="s">
        <v>10</v>
      </c>
      <c r="B23" t="s">
        <v>6</v>
      </c>
      <c r="C23" t="s">
        <v>26</v>
      </c>
      <c r="D23" t="s">
        <v>37</v>
      </c>
      <c r="E23" s="4">
        <v>126910.21671826601</v>
      </c>
    </row>
    <row r="24" spans="1:5" x14ac:dyDescent="0.25">
      <c r="A24" t="s">
        <v>11</v>
      </c>
      <c r="B24" t="s">
        <v>21</v>
      </c>
      <c r="C24" t="s">
        <v>27</v>
      </c>
      <c r="D24" t="s">
        <v>38</v>
      </c>
      <c r="E24" s="4">
        <v>130996.90402476799</v>
      </c>
    </row>
    <row r="25" spans="1:5" x14ac:dyDescent="0.25">
      <c r="A25" t="s">
        <v>12</v>
      </c>
      <c r="B25" t="s">
        <v>3</v>
      </c>
      <c r="C25" t="s">
        <v>28</v>
      </c>
      <c r="D25" t="s">
        <v>36</v>
      </c>
      <c r="E25" s="4">
        <v>135083.59133126901</v>
      </c>
    </row>
    <row r="26" spans="1:5" x14ac:dyDescent="0.25">
      <c r="A26" t="s">
        <v>13</v>
      </c>
      <c r="B26" t="s">
        <v>1</v>
      </c>
      <c r="C26" t="s">
        <v>29</v>
      </c>
      <c r="D26" t="s">
        <v>37</v>
      </c>
      <c r="E26" s="4">
        <v>139170.278637771</v>
      </c>
    </row>
    <row r="27" spans="1:5" x14ac:dyDescent="0.25">
      <c r="A27" t="s">
        <v>14</v>
      </c>
      <c r="B27" t="s">
        <v>2</v>
      </c>
      <c r="C27" t="s">
        <v>30</v>
      </c>
      <c r="D27" t="s">
        <v>38</v>
      </c>
      <c r="E27" s="4">
        <v>143256.965944272</v>
      </c>
    </row>
    <row r="28" spans="1:5" x14ac:dyDescent="0.25">
      <c r="A28" t="s">
        <v>15</v>
      </c>
      <c r="B28" t="s">
        <v>22</v>
      </c>
      <c r="C28" t="s">
        <v>31</v>
      </c>
      <c r="D28" t="s">
        <v>36</v>
      </c>
      <c r="E28" s="4">
        <v>147343.65325077399</v>
      </c>
    </row>
    <row r="29" spans="1:5" x14ac:dyDescent="0.25">
      <c r="A29" t="s">
        <v>16</v>
      </c>
      <c r="B29" t="s">
        <v>7</v>
      </c>
      <c r="C29" t="s">
        <v>25</v>
      </c>
      <c r="D29" t="s">
        <v>37</v>
      </c>
      <c r="E29" s="4">
        <v>151430.34055727601</v>
      </c>
    </row>
    <row r="30" spans="1:5" x14ac:dyDescent="0.25">
      <c r="A30" t="s">
        <v>17</v>
      </c>
      <c r="B30" t="s">
        <v>4</v>
      </c>
      <c r="C30" t="s">
        <v>26</v>
      </c>
      <c r="D30" t="s">
        <v>38</v>
      </c>
      <c r="E30" s="4">
        <v>155517.02786377701</v>
      </c>
    </row>
    <row r="31" spans="1:5" x14ac:dyDescent="0.25">
      <c r="A31" t="s">
        <v>9</v>
      </c>
      <c r="B31" t="s">
        <v>5</v>
      </c>
      <c r="C31" t="s">
        <v>25</v>
      </c>
      <c r="D31" t="s">
        <v>36</v>
      </c>
      <c r="E31" s="4">
        <v>159603.715170279</v>
      </c>
    </row>
    <row r="32" spans="1:5" x14ac:dyDescent="0.25">
      <c r="A32" t="s">
        <v>10</v>
      </c>
      <c r="B32" t="s">
        <v>6</v>
      </c>
      <c r="C32" t="s">
        <v>26</v>
      </c>
      <c r="D32" t="s">
        <v>37</v>
      </c>
      <c r="E32" s="4">
        <v>163690.40247678</v>
      </c>
    </row>
    <row r="33" spans="1:5" x14ac:dyDescent="0.25">
      <c r="A33" t="s">
        <v>11</v>
      </c>
      <c r="B33" t="s">
        <v>21</v>
      </c>
      <c r="C33" t="s">
        <v>27</v>
      </c>
      <c r="D33" t="s">
        <v>38</v>
      </c>
      <c r="E33" s="4">
        <v>167777.08978328199</v>
      </c>
    </row>
    <row r="34" spans="1:5" x14ac:dyDescent="0.25">
      <c r="A34" t="s">
        <v>12</v>
      </c>
      <c r="B34" t="s">
        <v>3</v>
      </c>
      <c r="C34" t="s">
        <v>28</v>
      </c>
      <c r="D34" t="s">
        <v>36</v>
      </c>
      <c r="E34" s="4">
        <v>171863.77708978299</v>
      </c>
    </row>
    <row r="35" spans="1:5" x14ac:dyDescent="0.25">
      <c r="A35" t="s">
        <v>13</v>
      </c>
      <c r="B35" t="s">
        <v>1</v>
      </c>
      <c r="C35" t="s">
        <v>29</v>
      </c>
      <c r="D35" t="s">
        <v>37</v>
      </c>
      <c r="E35" s="4">
        <v>175950.46439628501</v>
      </c>
    </row>
    <row r="36" spans="1:5" x14ac:dyDescent="0.25">
      <c r="A36" t="s">
        <v>14</v>
      </c>
      <c r="B36" t="s">
        <v>2</v>
      </c>
      <c r="C36" t="s">
        <v>30</v>
      </c>
      <c r="D36" t="s">
        <v>38</v>
      </c>
      <c r="E36" s="4">
        <v>180037.151702787</v>
      </c>
    </row>
    <row r="37" spans="1:5" x14ac:dyDescent="0.25">
      <c r="A37" t="s">
        <v>15</v>
      </c>
      <c r="B37" t="s">
        <v>22</v>
      </c>
      <c r="C37" t="s">
        <v>31</v>
      </c>
      <c r="D37" t="s">
        <v>36</v>
      </c>
      <c r="E37" s="4">
        <v>184123.839009288</v>
      </c>
    </row>
    <row r="38" spans="1:5" x14ac:dyDescent="0.25">
      <c r="A38" t="s">
        <v>16</v>
      </c>
      <c r="B38" t="s">
        <v>7</v>
      </c>
      <c r="C38" t="s">
        <v>25</v>
      </c>
      <c r="D38" t="s">
        <v>37</v>
      </c>
      <c r="E38" s="4">
        <v>188210.52631578999</v>
      </c>
    </row>
    <row r="39" spans="1:5" x14ac:dyDescent="0.25">
      <c r="A39" t="s">
        <v>17</v>
      </c>
      <c r="B39" t="s">
        <v>4</v>
      </c>
      <c r="C39" t="s">
        <v>26</v>
      </c>
      <c r="D39" t="s">
        <v>38</v>
      </c>
      <c r="E39" s="4">
        <v>192297.21362229099</v>
      </c>
    </row>
    <row r="40" spans="1:5" x14ac:dyDescent="0.25">
      <c r="A40" t="s">
        <v>9</v>
      </c>
      <c r="B40" t="s">
        <v>5</v>
      </c>
      <c r="C40" t="s">
        <v>25</v>
      </c>
      <c r="D40" t="s">
        <v>39</v>
      </c>
      <c r="E40" s="4">
        <v>196383.90092879301</v>
      </c>
    </row>
    <row r="41" spans="1:5" x14ac:dyDescent="0.25">
      <c r="A41" t="s">
        <v>10</v>
      </c>
      <c r="B41" t="s">
        <v>6</v>
      </c>
      <c r="C41" t="s">
        <v>26</v>
      </c>
      <c r="D41" t="s">
        <v>40</v>
      </c>
      <c r="E41" s="4">
        <v>200470.58823529401</v>
      </c>
    </row>
    <row r="42" spans="1:5" x14ac:dyDescent="0.25">
      <c r="A42" t="s">
        <v>11</v>
      </c>
      <c r="B42" t="s">
        <v>21</v>
      </c>
      <c r="C42" t="s">
        <v>27</v>
      </c>
      <c r="D42" t="s">
        <v>41</v>
      </c>
      <c r="E42" s="4">
        <v>204557.275541796</v>
      </c>
    </row>
    <row r="43" spans="1:5" x14ac:dyDescent="0.25">
      <c r="A43" t="s">
        <v>12</v>
      </c>
      <c r="B43" t="s">
        <v>3</v>
      </c>
      <c r="C43" t="s">
        <v>28</v>
      </c>
      <c r="D43" t="s">
        <v>39</v>
      </c>
      <c r="E43" s="4">
        <v>208643.962848297</v>
      </c>
    </row>
    <row r="44" spans="1:5" x14ac:dyDescent="0.25">
      <c r="A44" t="s">
        <v>13</v>
      </c>
      <c r="B44" t="s">
        <v>1</v>
      </c>
      <c r="C44" t="s">
        <v>29</v>
      </c>
      <c r="D44" t="s">
        <v>40</v>
      </c>
      <c r="E44" s="4">
        <v>212730.65015479899</v>
      </c>
    </row>
    <row r="45" spans="1:5" x14ac:dyDescent="0.25">
      <c r="A45" t="s">
        <v>14</v>
      </c>
      <c r="B45" t="s">
        <v>2</v>
      </c>
      <c r="C45" t="s">
        <v>30</v>
      </c>
      <c r="D45" t="s">
        <v>41</v>
      </c>
      <c r="E45" s="4">
        <v>216817.33746130101</v>
      </c>
    </row>
    <row r="46" spans="1:5" x14ac:dyDescent="0.25">
      <c r="A46" t="s">
        <v>15</v>
      </c>
      <c r="B46" t="s">
        <v>22</v>
      </c>
      <c r="C46" t="s">
        <v>31</v>
      </c>
      <c r="D46" t="s">
        <v>39</v>
      </c>
      <c r="E46" s="4">
        <v>220904.02476780201</v>
      </c>
    </row>
    <row r="47" spans="1:5" x14ac:dyDescent="0.25">
      <c r="A47" t="s">
        <v>16</v>
      </c>
      <c r="B47" t="s">
        <v>7</v>
      </c>
      <c r="C47" t="s">
        <v>25</v>
      </c>
      <c r="D47" t="s">
        <v>40</v>
      </c>
      <c r="E47" s="4">
        <v>224990.712074304</v>
      </c>
    </row>
    <row r="48" spans="1:5" x14ac:dyDescent="0.25">
      <c r="A48" t="s">
        <v>17</v>
      </c>
      <c r="B48" t="s">
        <v>4</v>
      </c>
      <c r="C48" t="s">
        <v>26</v>
      </c>
      <c r="D48" t="s">
        <v>41</v>
      </c>
      <c r="E48" s="4">
        <v>229077.399380805</v>
      </c>
    </row>
    <row r="49" spans="1:5" x14ac:dyDescent="0.25">
      <c r="A49" t="s">
        <v>9</v>
      </c>
      <c r="B49" t="s">
        <v>5</v>
      </c>
      <c r="C49" t="s">
        <v>25</v>
      </c>
      <c r="D49" t="s">
        <v>39</v>
      </c>
      <c r="E49" s="4">
        <v>233164.08668730699</v>
      </c>
    </row>
    <row r="50" spans="1:5" x14ac:dyDescent="0.25">
      <c r="A50" t="s">
        <v>10</v>
      </c>
      <c r="B50" t="s">
        <v>6</v>
      </c>
      <c r="C50" t="s">
        <v>26</v>
      </c>
      <c r="D50" t="s">
        <v>40</v>
      </c>
      <c r="E50" s="4">
        <v>237250.77399380799</v>
      </c>
    </row>
    <row r="51" spans="1:5" x14ac:dyDescent="0.25">
      <c r="A51" t="s">
        <v>11</v>
      </c>
      <c r="B51" t="s">
        <v>21</v>
      </c>
      <c r="C51" t="s">
        <v>27</v>
      </c>
      <c r="D51" t="s">
        <v>41</v>
      </c>
      <c r="E51" s="4">
        <v>241337.46130031001</v>
      </c>
    </row>
    <row r="52" spans="1:5" x14ac:dyDescent="0.25">
      <c r="A52" t="s">
        <v>12</v>
      </c>
      <c r="B52" t="s">
        <v>3</v>
      </c>
      <c r="C52" t="s">
        <v>28</v>
      </c>
      <c r="D52" t="s">
        <v>39</v>
      </c>
      <c r="E52" s="4">
        <v>245424.14860681101</v>
      </c>
    </row>
    <row r="53" spans="1:5" x14ac:dyDescent="0.25">
      <c r="A53" t="s">
        <v>13</v>
      </c>
      <c r="B53" t="s">
        <v>1</v>
      </c>
      <c r="C53" t="s">
        <v>29</v>
      </c>
      <c r="D53" t="s">
        <v>40</v>
      </c>
      <c r="E53" s="4">
        <v>249510.835913313</v>
      </c>
    </row>
    <row r="54" spans="1:5" x14ac:dyDescent="0.25">
      <c r="A54" t="s">
        <v>14</v>
      </c>
      <c r="B54" t="s">
        <v>2</v>
      </c>
      <c r="C54" t="s">
        <v>30</v>
      </c>
      <c r="D54" t="s">
        <v>41</v>
      </c>
      <c r="E54" s="4">
        <v>253597.523219814</v>
      </c>
    </row>
    <row r="55" spans="1:5" x14ac:dyDescent="0.25">
      <c r="A55" t="s">
        <v>15</v>
      </c>
      <c r="B55" t="s">
        <v>22</v>
      </c>
      <c r="C55" t="s">
        <v>31</v>
      </c>
      <c r="D55" t="s">
        <v>39</v>
      </c>
      <c r="E55" s="4">
        <v>257684.21052631599</v>
      </c>
    </row>
    <row r="56" spans="1:5" x14ac:dyDescent="0.25">
      <c r="A56" t="s">
        <v>16</v>
      </c>
      <c r="B56" t="s">
        <v>7</v>
      </c>
      <c r="C56" t="s">
        <v>25</v>
      </c>
      <c r="D56" t="s">
        <v>40</v>
      </c>
      <c r="E56" s="4">
        <v>261770.89783281801</v>
      </c>
    </row>
    <row r="57" spans="1:5" x14ac:dyDescent="0.25">
      <c r="A57" t="s">
        <v>17</v>
      </c>
      <c r="B57" t="s">
        <v>4</v>
      </c>
      <c r="C57" t="s">
        <v>26</v>
      </c>
      <c r="D57" t="s">
        <v>41</v>
      </c>
      <c r="E57" s="4">
        <v>265857.58513931901</v>
      </c>
    </row>
    <row r="58" spans="1:5" x14ac:dyDescent="0.25">
      <c r="A58" t="s">
        <v>9</v>
      </c>
      <c r="B58" t="s">
        <v>5</v>
      </c>
      <c r="C58" t="s">
        <v>25</v>
      </c>
      <c r="D58" t="s">
        <v>42</v>
      </c>
      <c r="E58" s="4">
        <v>269944.27244582103</v>
      </c>
    </row>
    <row r="59" spans="1:5" x14ac:dyDescent="0.25">
      <c r="A59" t="s">
        <v>10</v>
      </c>
      <c r="B59" t="s">
        <v>6</v>
      </c>
      <c r="C59" t="s">
        <v>26</v>
      </c>
      <c r="D59" t="s">
        <v>43</v>
      </c>
      <c r="E59" s="4">
        <v>274030.959752322</v>
      </c>
    </row>
    <row r="60" spans="1:5" x14ac:dyDescent="0.25">
      <c r="A60" t="s">
        <v>11</v>
      </c>
      <c r="B60" t="s">
        <v>21</v>
      </c>
      <c r="C60" t="s">
        <v>27</v>
      </c>
      <c r="D60" t="s">
        <v>44</v>
      </c>
      <c r="E60" s="4">
        <v>278117.64705882402</v>
      </c>
    </row>
    <row r="61" spans="1:5" x14ac:dyDescent="0.25">
      <c r="A61" t="s">
        <v>12</v>
      </c>
      <c r="B61" t="s">
        <v>3</v>
      </c>
      <c r="C61" t="s">
        <v>28</v>
      </c>
      <c r="D61" t="s">
        <v>42</v>
      </c>
      <c r="E61" s="4">
        <v>282204.33436532499</v>
      </c>
    </row>
    <row r="62" spans="1:5" x14ac:dyDescent="0.25">
      <c r="A62" t="s">
        <v>13</v>
      </c>
      <c r="B62" t="s">
        <v>1</v>
      </c>
      <c r="C62" t="s">
        <v>29</v>
      </c>
      <c r="D62" t="s">
        <v>43</v>
      </c>
      <c r="E62" s="4">
        <v>286291.02167182701</v>
      </c>
    </row>
    <row r="63" spans="1:5" x14ac:dyDescent="0.25">
      <c r="A63" t="s">
        <v>14</v>
      </c>
      <c r="B63" t="s">
        <v>2</v>
      </c>
      <c r="C63" t="s">
        <v>30</v>
      </c>
      <c r="D63" t="s">
        <v>44</v>
      </c>
      <c r="E63" s="4">
        <v>290377.70897832798</v>
      </c>
    </row>
    <row r="64" spans="1:5" x14ac:dyDescent="0.25">
      <c r="A64" t="s">
        <v>15</v>
      </c>
      <c r="B64" t="s">
        <v>22</v>
      </c>
      <c r="C64" t="s">
        <v>31</v>
      </c>
      <c r="D64" t="s">
        <v>42</v>
      </c>
      <c r="E64" s="4">
        <v>294464.39628483</v>
      </c>
    </row>
    <row r="65" spans="1:5" x14ac:dyDescent="0.25">
      <c r="A65" t="s">
        <v>16</v>
      </c>
      <c r="B65" t="s">
        <v>7</v>
      </c>
      <c r="C65" t="s">
        <v>25</v>
      </c>
      <c r="D65" t="s">
        <v>43</v>
      </c>
      <c r="E65" s="4">
        <v>298551.08359133097</v>
      </c>
    </row>
    <row r="66" spans="1:5" x14ac:dyDescent="0.25">
      <c r="A66" t="s">
        <v>17</v>
      </c>
      <c r="B66" t="s">
        <v>4</v>
      </c>
      <c r="C66" t="s">
        <v>26</v>
      </c>
      <c r="D66" t="s">
        <v>44</v>
      </c>
      <c r="E66" s="4">
        <v>302637.77089783299</v>
      </c>
    </row>
    <row r="67" spans="1:5" x14ac:dyDescent="0.25">
      <c r="A67" t="s">
        <v>9</v>
      </c>
      <c r="B67" t="s">
        <v>5</v>
      </c>
      <c r="C67" t="s">
        <v>25</v>
      </c>
      <c r="D67" t="s">
        <v>42</v>
      </c>
      <c r="E67" s="4">
        <v>306724.45820433501</v>
      </c>
    </row>
    <row r="68" spans="1:5" x14ac:dyDescent="0.25">
      <c r="A68" t="s">
        <v>10</v>
      </c>
      <c r="B68" t="s">
        <v>6</v>
      </c>
      <c r="C68" t="s">
        <v>26</v>
      </c>
      <c r="D68" t="s">
        <v>43</v>
      </c>
      <c r="E68" s="4">
        <v>310811.14551083598</v>
      </c>
    </row>
    <row r="69" spans="1:5" x14ac:dyDescent="0.25">
      <c r="A69" t="s">
        <v>11</v>
      </c>
      <c r="B69" t="s">
        <v>21</v>
      </c>
      <c r="C69" t="s">
        <v>27</v>
      </c>
      <c r="D69" t="s">
        <v>44</v>
      </c>
      <c r="E69" s="4">
        <v>314897.832817338</v>
      </c>
    </row>
    <row r="70" spans="1:5" x14ac:dyDescent="0.25">
      <c r="A70" t="s">
        <v>12</v>
      </c>
      <c r="B70" t="s">
        <v>3</v>
      </c>
      <c r="C70" t="s">
        <v>28</v>
      </c>
      <c r="D70" t="s">
        <v>42</v>
      </c>
      <c r="E70" s="4">
        <v>318984.52012383903</v>
      </c>
    </row>
    <row r="71" spans="1:5" x14ac:dyDescent="0.25">
      <c r="A71" t="s">
        <v>13</v>
      </c>
      <c r="B71" t="s">
        <v>1</v>
      </c>
      <c r="C71" t="s">
        <v>29</v>
      </c>
      <c r="D71" t="s">
        <v>43</v>
      </c>
      <c r="E71" s="4">
        <v>323071.20743034099</v>
      </c>
    </row>
    <row r="72" spans="1:5" x14ac:dyDescent="0.25">
      <c r="A72" t="s">
        <v>14</v>
      </c>
      <c r="B72" t="s">
        <v>2</v>
      </c>
      <c r="C72" t="s">
        <v>30</v>
      </c>
      <c r="D72" t="s">
        <v>44</v>
      </c>
      <c r="E72" s="4">
        <v>327157.89473684202</v>
      </c>
    </row>
    <row r="73" spans="1:5" x14ac:dyDescent="0.25">
      <c r="A73" t="s">
        <v>15</v>
      </c>
      <c r="B73" t="s">
        <v>22</v>
      </c>
      <c r="C73" t="s">
        <v>31</v>
      </c>
      <c r="D73" t="s">
        <v>42</v>
      </c>
      <c r="E73" s="4">
        <v>331244.58204334398</v>
      </c>
    </row>
    <row r="74" spans="1:5" x14ac:dyDescent="0.25">
      <c r="A74" t="s">
        <v>16</v>
      </c>
      <c r="B74" t="s">
        <v>7</v>
      </c>
      <c r="C74" t="s">
        <v>25</v>
      </c>
      <c r="D74" t="s">
        <v>43</v>
      </c>
      <c r="E74" s="4">
        <v>335331.26934984501</v>
      </c>
    </row>
    <row r="75" spans="1:5" x14ac:dyDescent="0.25">
      <c r="A75" t="s">
        <v>17</v>
      </c>
      <c r="B75" t="s">
        <v>4</v>
      </c>
      <c r="C75" t="s">
        <v>26</v>
      </c>
      <c r="D75" t="s">
        <v>44</v>
      </c>
      <c r="E75" s="4">
        <v>339417.95665634703</v>
      </c>
    </row>
    <row r="76" spans="1:5" x14ac:dyDescent="0.25">
      <c r="A76" t="s">
        <v>9</v>
      </c>
      <c r="B76" t="s">
        <v>5</v>
      </c>
      <c r="C76" t="s">
        <v>25</v>
      </c>
      <c r="D76" t="s">
        <v>45</v>
      </c>
      <c r="E76" s="4">
        <v>343504.64396284899</v>
      </c>
    </row>
    <row r="77" spans="1:5" x14ac:dyDescent="0.25">
      <c r="A77" t="s">
        <v>10</v>
      </c>
      <c r="B77" t="s">
        <v>6</v>
      </c>
      <c r="C77" t="s">
        <v>26</v>
      </c>
      <c r="D77" t="s">
        <v>46</v>
      </c>
      <c r="E77" s="4">
        <v>347591.33126935002</v>
      </c>
    </row>
    <row r="78" spans="1:5" x14ac:dyDescent="0.25">
      <c r="A78" t="s">
        <v>11</v>
      </c>
      <c r="B78" t="s">
        <v>21</v>
      </c>
      <c r="C78" t="s">
        <v>27</v>
      </c>
      <c r="D78" t="s">
        <v>47</v>
      </c>
      <c r="E78" s="4">
        <v>351678.01857585198</v>
      </c>
    </row>
    <row r="79" spans="1:5" x14ac:dyDescent="0.25">
      <c r="A79" t="s">
        <v>12</v>
      </c>
      <c r="B79" t="s">
        <v>3</v>
      </c>
      <c r="C79" t="s">
        <v>28</v>
      </c>
      <c r="D79" t="s">
        <v>45</v>
      </c>
      <c r="E79" s="4">
        <v>355764.70588235301</v>
      </c>
    </row>
    <row r="80" spans="1:5" x14ac:dyDescent="0.25">
      <c r="A80" t="s">
        <v>13</v>
      </c>
      <c r="B80" t="s">
        <v>1</v>
      </c>
      <c r="C80" t="s">
        <v>29</v>
      </c>
      <c r="D80" t="s">
        <v>46</v>
      </c>
      <c r="E80" s="4">
        <v>359851.39318885503</v>
      </c>
    </row>
    <row r="81" spans="1:5" x14ac:dyDescent="0.25">
      <c r="A81" t="s">
        <v>14</v>
      </c>
      <c r="B81" t="s">
        <v>2</v>
      </c>
      <c r="C81" t="s">
        <v>30</v>
      </c>
      <c r="D81" t="s">
        <v>47</v>
      </c>
      <c r="E81" s="4">
        <v>363938.080495356</v>
      </c>
    </row>
    <row r="82" spans="1:5" x14ac:dyDescent="0.25">
      <c r="A82" t="s">
        <v>15</v>
      </c>
      <c r="B82" t="s">
        <v>22</v>
      </c>
      <c r="C82" t="s">
        <v>31</v>
      </c>
      <c r="D82" t="s">
        <v>45</v>
      </c>
      <c r="E82" s="4">
        <v>368024.76780185802</v>
      </c>
    </row>
    <row r="83" spans="1:5" x14ac:dyDescent="0.25">
      <c r="A83" t="s">
        <v>16</v>
      </c>
      <c r="B83" t="s">
        <v>7</v>
      </c>
      <c r="C83" t="s">
        <v>25</v>
      </c>
      <c r="D83" t="s">
        <v>46</v>
      </c>
      <c r="E83" s="4">
        <v>372111.45510835899</v>
      </c>
    </row>
    <row r="84" spans="1:5" x14ac:dyDescent="0.25">
      <c r="A84" t="s">
        <v>17</v>
      </c>
      <c r="B84" t="s">
        <v>4</v>
      </c>
      <c r="C84" t="s">
        <v>26</v>
      </c>
      <c r="D84" t="s">
        <v>47</v>
      </c>
      <c r="E84" s="4">
        <v>376198.14241486101</v>
      </c>
    </row>
    <row r="85" spans="1:5" x14ac:dyDescent="0.25">
      <c r="A85" t="s">
        <v>9</v>
      </c>
      <c r="B85" t="s">
        <v>5</v>
      </c>
      <c r="C85" t="s">
        <v>25</v>
      </c>
      <c r="D85" t="s">
        <v>45</v>
      </c>
      <c r="E85" s="4">
        <v>380284.82972136198</v>
      </c>
    </row>
    <row r="86" spans="1:5" x14ac:dyDescent="0.25">
      <c r="A86" t="s">
        <v>10</v>
      </c>
      <c r="B86" t="s">
        <v>6</v>
      </c>
      <c r="C86" t="s">
        <v>26</v>
      </c>
      <c r="D86" t="s">
        <v>46</v>
      </c>
      <c r="E86" s="4">
        <v>384371.517027864</v>
      </c>
    </row>
    <row r="87" spans="1:5" x14ac:dyDescent="0.25">
      <c r="A87" t="s">
        <v>11</v>
      </c>
      <c r="B87" t="s">
        <v>21</v>
      </c>
      <c r="C87" t="s">
        <v>27</v>
      </c>
      <c r="D87" t="s">
        <v>47</v>
      </c>
      <c r="E87" s="4">
        <v>388458.20433436602</v>
      </c>
    </row>
    <row r="88" spans="1:5" x14ac:dyDescent="0.25">
      <c r="A88" t="s">
        <v>12</v>
      </c>
      <c r="B88" t="s">
        <v>3</v>
      </c>
      <c r="C88" t="s">
        <v>28</v>
      </c>
      <c r="D88" t="s">
        <v>45</v>
      </c>
      <c r="E88" s="4">
        <v>392544.89164086699</v>
      </c>
    </row>
    <row r="89" spans="1:5" x14ac:dyDescent="0.25">
      <c r="A89" t="s">
        <v>13</v>
      </c>
      <c r="B89" t="s">
        <v>1</v>
      </c>
      <c r="C89" t="s">
        <v>29</v>
      </c>
      <c r="D89" t="s">
        <v>46</v>
      </c>
      <c r="E89" s="4">
        <v>396631.57894736901</v>
      </c>
    </row>
    <row r="90" spans="1:5" x14ac:dyDescent="0.25">
      <c r="A90" t="s">
        <v>14</v>
      </c>
      <c r="B90" t="s">
        <v>2</v>
      </c>
      <c r="C90" t="s">
        <v>30</v>
      </c>
      <c r="D90" t="s">
        <v>47</v>
      </c>
      <c r="E90" s="4">
        <v>400718.26625386998</v>
      </c>
    </row>
    <row r="91" spans="1:5" x14ac:dyDescent="0.25">
      <c r="A91" t="s">
        <v>15</v>
      </c>
      <c r="B91" t="s">
        <v>22</v>
      </c>
      <c r="C91" t="s">
        <v>31</v>
      </c>
      <c r="D91" t="s">
        <v>45</v>
      </c>
      <c r="E91" s="4">
        <v>404804.953560372</v>
      </c>
    </row>
    <row r="92" spans="1:5" x14ac:dyDescent="0.25">
      <c r="A92" t="s">
        <v>16</v>
      </c>
      <c r="B92" t="s">
        <v>7</v>
      </c>
      <c r="C92" t="s">
        <v>25</v>
      </c>
      <c r="D92" t="s">
        <v>46</v>
      </c>
      <c r="E92" s="4">
        <v>408891.64086687297</v>
      </c>
    </row>
    <row r="93" spans="1:5" x14ac:dyDescent="0.25">
      <c r="A93" t="s">
        <v>17</v>
      </c>
      <c r="B93" t="s">
        <v>4</v>
      </c>
      <c r="C93" t="s">
        <v>26</v>
      </c>
      <c r="D93" t="s">
        <v>47</v>
      </c>
      <c r="E93" s="4">
        <v>412978.32817337499</v>
      </c>
    </row>
    <row r="94" spans="1:5" x14ac:dyDescent="0.25">
      <c r="A94" t="s">
        <v>9</v>
      </c>
      <c r="B94" t="s">
        <v>5</v>
      </c>
      <c r="C94" t="s">
        <v>25</v>
      </c>
      <c r="D94" t="s">
        <v>48</v>
      </c>
      <c r="E94" s="4">
        <v>417065.01547987602</v>
      </c>
    </row>
    <row r="95" spans="1:5" x14ac:dyDescent="0.25">
      <c r="A95" t="s">
        <v>10</v>
      </c>
      <c r="B95" t="s">
        <v>6</v>
      </c>
      <c r="C95" t="s">
        <v>26</v>
      </c>
      <c r="D95" t="s">
        <v>49</v>
      </c>
      <c r="E95" s="4">
        <v>421151.70278637798</v>
      </c>
    </row>
    <row r="96" spans="1:5" x14ac:dyDescent="0.25">
      <c r="A96" t="s">
        <v>11</v>
      </c>
      <c r="B96" t="s">
        <v>21</v>
      </c>
      <c r="C96" t="s">
        <v>27</v>
      </c>
      <c r="D96" t="s">
        <v>50</v>
      </c>
      <c r="E96" s="4">
        <v>425238.39009288</v>
      </c>
    </row>
    <row r="97" spans="1:5" x14ac:dyDescent="0.25">
      <c r="A97" t="s">
        <v>12</v>
      </c>
      <c r="B97" t="s">
        <v>3</v>
      </c>
      <c r="C97" t="s">
        <v>28</v>
      </c>
      <c r="D97" t="s">
        <v>48</v>
      </c>
      <c r="E97" s="4">
        <v>429325.07739938103</v>
      </c>
    </row>
    <row r="98" spans="1:5" x14ac:dyDescent="0.25">
      <c r="A98" t="s">
        <v>13</v>
      </c>
      <c r="B98" t="s">
        <v>1</v>
      </c>
      <c r="C98" t="s">
        <v>29</v>
      </c>
      <c r="D98" t="s">
        <v>49</v>
      </c>
      <c r="E98" s="4">
        <v>433411.76470588299</v>
      </c>
    </row>
    <row r="99" spans="1:5" x14ac:dyDescent="0.25">
      <c r="A99" t="s">
        <v>14</v>
      </c>
      <c r="B99" t="s">
        <v>2</v>
      </c>
      <c r="C99" t="s">
        <v>30</v>
      </c>
      <c r="D99" t="s">
        <v>50</v>
      </c>
      <c r="E99" s="4">
        <v>437498.45201238402</v>
      </c>
    </row>
    <row r="100" spans="1:5" x14ac:dyDescent="0.25">
      <c r="A100" t="s">
        <v>15</v>
      </c>
      <c r="B100" t="s">
        <v>22</v>
      </c>
      <c r="C100" t="s">
        <v>31</v>
      </c>
      <c r="D100" t="s">
        <v>48</v>
      </c>
      <c r="E100" s="4">
        <v>441585.13931888598</v>
      </c>
    </row>
    <row r="101" spans="1:5" x14ac:dyDescent="0.25">
      <c r="A101" t="s">
        <v>16</v>
      </c>
      <c r="B101" t="s">
        <v>7</v>
      </c>
      <c r="C101" t="s">
        <v>25</v>
      </c>
      <c r="D101" t="s">
        <v>49</v>
      </c>
      <c r="E101" s="4">
        <v>445671.82662538701</v>
      </c>
    </row>
    <row r="102" spans="1:5" x14ac:dyDescent="0.25">
      <c r="A102" t="s">
        <v>17</v>
      </c>
      <c r="B102" t="s">
        <v>4</v>
      </c>
      <c r="C102" t="s">
        <v>26</v>
      </c>
      <c r="D102" t="s">
        <v>50</v>
      </c>
      <c r="E102" s="4">
        <v>449758.51393188903</v>
      </c>
    </row>
    <row r="103" spans="1:5" x14ac:dyDescent="0.25">
      <c r="A103" t="s">
        <v>9</v>
      </c>
      <c r="B103" t="s">
        <v>5</v>
      </c>
      <c r="C103" t="s">
        <v>25</v>
      </c>
      <c r="D103" t="s">
        <v>48</v>
      </c>
      <c r="E103" s="4">
        <v>453845.20123839</v>
      </c>
    </row>
    <row r="104" spans="1:5" x14ac:dyDescent="0.25">
      <c r="A104" t="s">
        <v>10</v>
      </c>
      <c r="B104" t="s">
        <v>6</v>
      </c>
      <c r="C104" t="s">
        <v>26</v>
      </c>
      <c r="D104" t="s">
        <v>49</v>
      </c>
      <c r="E104" s="4">
        <v>457931.88854489202</v>
      </c>
    </row>
    <row r="105" spans="1:5" x14ac:dyDescent="0.25">
      <c r="A105" t="s">
        <v>11</v>
      </c>
      <c r="B105" t="s">
        <v>21</v>
      </c>
      <c r="C105" t="s">
        <v>27</v>
      </c>
      <c r="D105" t="s">
        <v>50</v>
      </c>
      <c r="E105" s="4">
        <v>462018.57585139299</v>
      </c>
    </row>
    <row r="106" spans="1:5" x14ac:dyDescent="0.25">
      <c r="A106" t="s">
        <v>12</v>
      </c>
      <c r="B106" t="s">
        <v>3</v>
      </c>
      <c r="C106" t="s">
        <v>28</v>
      </c>
      <c r="D106" t="s">
        <v>48</v>
      </c>
      <c r="E106" s="4">
        <v>466105.26315789501</v>
      </c>
    </row>
    <row r="107" spans="1:5" x14ac:dyDescent="0.25">
      <c r="A107" t="s">
        <v>13</v>
      </c>
      <c r="B107" t="s">
        <v>1</v>
      </c>
      <c r="C107" t="s">
        <v>29</v>
      </c>
      <c r="D107" t="s">
        <v>49</v>
      </c>
      <c r="E107" s="4">
        <v>470191.95046439703</v>
      </c>
    </row>
    <row r="108" spans="1:5" x14ac:dyDescent="0.25">
      <c r="A108" t="s">
        <v>14</v>
      </c>
      <c r="B108" t="s">
        <v>2</v>
      </c>
      <c r="C108" t="s">
        <v>30</v>
      </c>
      <c r="D108" t="s">
        <v>50</v>
      </c>
      <c r="E108" s="4">
        <v>474278.637770898</v>
      </c>
    </row>
    <row r="109" spans="1:5" x14ac:dyDescent="0.25">
      <c r="A109" t="s">
        <v>15</v>
      </c>
      <c r="B109" t="s">
        <v>22</v>
      </c>
      <c r="C109" t="s">
        <v>31</v>
      </c>
      <c r="D109" t="s">
        <v>48</v>
      </c>
      <c r="E109" s="4">
        <v>478365.32507740002</v>
      </c>
    </row>
    <row r="110" spans="1:5" x14ac:dyDescent="0.25">
      <c r="A110" t="s">
        <v>16</v>
      </c>
      <c r="B110" t="s">
        <v>7</v>
      </c>
      <c r="C110" t="s">
        <v>25</v>
      </c>
      <c r="D110" t="s">
        <v>49</v>
      </c>
      <c r="E110" s="4">
        <v>482452.01238390099</v>
      </c>
    </row>
    <row r="111" spans="1:5" x14ac:dyDescent="0.25">
      <c r="A111" t="s">
        <v>17</v>
      </c>
      <c r="B111" t="s">
        <v>4</v>
      </c>
      <c r="C111" t="s">
        <v>26</v>
      </c>
      <c r="D111" t="s">
        <v>50</v>
      </c>
      <c r="E111" s="4">
        <v>486538.69969040301</v>
      </c>
    </row>
    <row r="112" spans="1:5" x14ac:dyDescent="0.25">
      <c r="A112" t="s">
        <v>9</v>
      </c>
      <c r="B112" t="s">
        <v>5</v>
      </c>
      <c r="C112" t="s">
        <v>25</v>
      </c>
      <c r="D112" t="s">
        <v>51</v>
      </c>
      <c r="E112" s="4">
        <v>490625.38699690398</v>
      </c>
    </row>
    <row r="113" spans="1:5" x14ac:dyDescent="0.25">
      <c r="A113" t="s">
        <v>10</v>
      </c>
      <c r="B113" t="s">
        <v>6</v>
      </c>
      <c r="C113" t="s">
        <v>26</v>
      </c>
      <c r="D113" t="s">
        <v>52</v>
      </c>
      <c r="E113" s="4">
        <v>494712.074303406</v>
      </c>
    </row>
    <row r="114" spans="1:5" x14ac:dyDescent="0.25">
      <c r="A114" t="s">
        <v>11</v>
      </c>
      <c r="B114" t="s">
        <v>21</v>
      </c>
      <c r="C114" t="s">
        <v>27</v>
      </c>
      <c r="D114" t="s">
        <v>53</v>
      </c>
      <c r="E114" s="4">
        <v>498798.76160990697</v>
      </c>
    </row>
    <row r="115" spans="1:5" x14ac:dyDescent="0.25">
      <c r="A115" t="s">
        <v>12</v>
      </c>
      <c r="B115" t="s">
        <v>3</v>
      </c>
      <c r="C115" t="s">
        <v>28</v>
      </c>
      <c r="D115" t="s">
        <v>51</v>
      </c>
      <c r="E115" s="4">
        <v>502885.44891640899</v>
      </c>
    </row>
    <row r="116" spans="1:5" x14ac:dyDescent="0.25">
      <c r="A116" t="s">
        <v>13</v>
      </c>
      <c r="B116" t="s">
        <v>1</v>
      </c>
      <c r="C116" t="s">
        <v>29</v>
      </c>
      <c r="D116" t="s">
        <v>52</v>
      </c>
      <c r="E116" s="4">
        <v>506972.13622291101</v>
      </c>
    </row>
    <row r="117" spans="1:5" x14ac:dyDescent="0.25">
      <c r="A117" t="s">
        <v>14</v>
      </c>
      <c r="B117" t="s">
        <v>2</v>
      </c>
      <c r="C117" t="s">
        <v>30</v>
      </c>
      <c r="D117" t="s">
        <v>53</v>
      </c>
      <c r="E117" s="4">
        <v>511058.82352941198</v>
      </c>
    </row>
    <row r="118" spans="1:5" x14ac:dyDescent="0.25">
      <c r="A118" t="s">
        <v>15</v>
      </c>
      <c r="B118" t="s">
        <v>22</v>
      </c>
      <c r="C118" t="s">
        <v>31</v>
      </c>
      <c r="D118" t="s">
        <v>51</v>
      </c>
      <c r="E118" s="4">
        <v>515145.510835914</v>
      </c>
    </row>
    <row r="119" spans="1:5" x14ac:dyDescent="0.25">
      <c r="A119" t="s">
        <v>16</v>
      </c>
      <c r="B119" t="s">
        <v>7</v>
      </c>
      <c r="C119" t="s">
        <v>25</v>
      </c>
      <c r="D119" t="s">
        <v>52</v>
      </c>
      <c r="E119" s="4">
        <v>519232.19814241503</v>
      </c>
    </row>
    <row r="120" spans="1:5" x14ac:dyDescent="0.25">
      <c r="A120" t="s">
        <v>17</v>
      </c>
      <c r="B120" t="s">
        <v>4</v>
      </c>
      <c r="C120" t="s">
        <v>26</v>
      </c>
      <c r="D120" t="s">
        <v>53</v>
      </c>
      <c r="E120" s="4">
        <v>523318.88544891699</v>
      </c>
    </row>
    <row r="121" spans="1:5" x14ac:dyDescent="0.25">
      <c r="A121" t="s">
        <v>9</v>
      </c>
      <c r="B121" t="s">
        <v>5</v>
      </c>
      <c r="C121" t="s">
        <v>25</v>
      </c>
      <c r="D121" t="s">
        <v>51</v>
      </c>
      <c r="E121" s="4">
        <v>527405.57275541802</v>
      </c>
    </row>
    <row r="122" spans="1:5" x14ac:dyDescent="0.25">
      <c r="A122" t="s">
        <v>10</v>
      </c>
      <c r="B122" t="s">
        <v>6</v>
      </c>
      <c r="C122" t="s">
        <v>26</v>
      </c>
      <c r="D122" t="s">
        <v>52</v>
      </c>
      <c r="E122" s="4">
        <v>531492.26006192004</v>
      </c>
    </row>
    <row r="123" spans="1:5" x14ac:dyDescent="0.25">
      <c r="A123" t="s">
        <v>11</v>
      </c>
      <c r="B123" t="s">
        <v>21</v>
      </c>
      <c r="C123" t="s">
        <v>27</v>
      </c>
      <c r="D123" t="s">
        <v>53</v>
      </c>
      <c r="E123" s="4">
        <v>535578.94736842101</v>
      </c>
    </row>
    <row r="124" spans="1:5" x14ac:dyDescent="0.25">
      <c r="A124" t="s">
        <v>12</v>
      </c>
      <c r="B124" t="s">
        <v>3</v>
      </c>
      <c r="C124" t="s">
        <v>28</v>
      </c>
      <c r="D124" t="s">
        <v>51</v>
      </c>
      <c r="E124" s="4">
        <v>539665.63467492303</v>
      </c>
    </row>
    <row r="125" spans="1:5" x14ac:dyDescent="0.25">
      <c r="A125" t="s">
        <v>13</v>
      </c>
      <c r="B125" t="s">
        <v>1</v>
      </c>
      <c r="C125" t="s">
        <v>29</v>
      </c>
      <c r="D125" t="s">
        <v>52</v>
      </c>
      <c r="E125" s="4">
        <v>543752.321981424</v>
      </c>
    </row>
    <row r="126" spans="1:5" x14ac:dyDescent="0.25">
      <c r="A126" t="s">
        <v>14</v>
      </c>
      <c r="B126" t="s">
        <v>2</v>
      </c>
      <c r="C126" t="s">
        <v>30</v>
      </c>
      <c r="D126" t="s">
        <v>53</v>
      </c>
      <c r="E126" s="4">
        <v>547839.00928792602</v>
      </c>
    </row>
    <row r="127" spans="1:5" x14ac:dyDescent="0.25">
      <c r="A127" t="s">
        <v>15</v>
      </c>
      <c r="B127" t="s">
        <v>22</v>
      </c>
      <c r="C127" t="s">
        <v>31</v>
      </c>
      <c r="D127" t="s">
        <v>51</v>
      </c>
      <c r="E127" s="4">
        <v>551925.69659442804</v>
      </c>
    </row>
    <row r="128" spans="1:5" x14ac:dyDescent="0.25">
      <c r="A128" t="s">
        <v>16</v>
      </c>
      <c r="B128" t="s">
        <v>7</v>
      </c>
      <c r="C128" t="s">
        <v>25</v>
      </c>
      <c r="D128" t="s">
        <v>52</v>
      </c>
      <c r="E128" s="4">
        <v>556012.38390092901</v>
      </c>
    </row>
    <row r="129" spans="1:5" x14ac:dyDescent="0.25">
      <c r="A129" t="s">
        <v>17</v>
      </c>
      <c r="B129" t="s">
        <v>4</v>
      </c>
      <c r="C129" t="s">
        <v>26</v>
      </c>
      <c r="D129" t="s">
        <v>53</v>
      </c>
      <c r="E129" s="4">
        <v>560099.07120743103</v>
      </c>
    </row>
    <row r="130" spans="1:5" x14ac:dyDescent="0.25">
      <c r="A130" t="s">
        <v>9</v>
      </c>
      <c r="B130" t="s">
        <v>5</v>
      </c>
      <c r="C130" t="s">
        <v>25</v>
      </c>
      <c r="D130" t="s">
        <v>54</v>
      </c>
      <c r="E130" s="4">
        <v>564185.758513932</v>
      </c>
    </row>
    <row r="131" spans="1:5" x14ac:dyDescent="0.25">
      <c r="A131" t="s">
        <v>10</v>
      </c>
      <c r="B131" t="s">
        <v>6</v>
      </c>
      <c r="C131" t="s">
        <v>26</v>
      </c>
      <c r="D131" t="s">
        <v>55</v>
      </c>
      <c r="E131" s="4">
        <v>568272.44582043402</v>
      </c>
    </row>
    <row r="132" spans="1:5" x14ac:dyDescent="0.25">
      <c r="A132" t="s">
        <v>11</v>
      </c>
      <c r="B132" t="s">
        <v>21</v>
      </c>
      <c r="C132" t="s">
        <v>27</v>
      </c>
      <c r="D132" t="s">
        <v>56</v>
      </c>
      <c r="E132" s="4">
        <v>572359.13312693499</v>
      </c>
    </row>
    <row r="133" spans="1:5" x14ac:dyDescent="0.25">
      <c r="A133" t="s">
        <v>12</v>
      </c>
      <c r="B133" t="s">
        <v>3</v>
      </c>
      <c r="C133" t="s">
        <v>28</v>
      </c>
      <c r="D133" t="s">
        <v>54</v>
      </c>
      <c r="E133" s="4">
        <v>576445.82043343701</v>
      </c>
    </row>
    <row r="134" spans="1:5" x14ac:dyDescent="0.25">
      <c r="A134" t="s">
        <v>13</v>
      </c>
      <c r="B134" t="s">
        <v>1</v>
      </c>
      <c r="C134" t="s">
        <v>29</v>
      </c>
      <c r="D134" t="s">
        <v>55</v>
      </c>
      <c r="E134" s="4">
        <v>580532.50773993798</v>
      </c>
    </row>
    <row r="135" spans="1:5" x14ac:dyDescent="0.25">
      <c r="A135" t="s">
        <v>14</v>
      </c>
      <c r="B135" t="s">
        <v>2</v>
      </c>
      <c r="C135" t="s">
        <v>30</v>
      </c>
      <c r="D135" t="s">
        <v>56</v>
      </c>
      <c r="E135" s="4">
        <v>584619.19504644</v>
      </c>
    </row>
    <row r="136" spans="1:5" x14ac:dyDescent="0.25">
      <c r="A136" t="s">
        <v>15</v>
      </c>
      <c r="B136" t="s">
        <v>22</v>
      </c>
      <c r="C136" t="s">
        <v>31</v>
      </c>
      <c r="D136" t="s">
        <v>54</v>
      </c>
      <c r="E136" s="4">
        <v>588705.88235294097</v>
      </c>
    </row>
    <row r="137" spans="1:5" x14ac:dyDescent="0.25">
      <c r="A137" t="s">
        <v>16</v>
      </c>
      <c r="B137" t="s">
        <v>7</v>
      </c>
      <c r="C137" t="s">
        <v>25</v>
      </c>
      <c r="D137" t="s">
        <v>55</v>
      </c>
      <c r="E137" s="4">
        <v>592792.56965944299</v>
      </c>
    </row>
    <row r="138" spans="1:5" x14ac:dyDescent="0.25">
      <c r="A138" t="s">
        <v>17</v>
      </c>
      <c r="B138" t="s">
        <v>4</v>
      </c>
      <c r="C138" t="s">
        <v>26</v>
      </c>
      <c r="D138" t="s">
        <v>56</v>
      </c>
      <c r="E138" s="4">
        <v>596879.25696594501</v>
      </c>
    </row>
    <row r="139" spans="1:5" x14ac:dyDescent="0.25">
      <c r="A139" t="s">
        <v>9</v>
      </c>
      <c r="B139" t="s">
        <v>5</v>
      </c>
      <c r="C139" t="s">
        <v>25</v>
      </c>
      <c r="D139" t="s">
        <v>54</v>
      </c>
      <c r="E139" s="4">
        <v>600965.94427244598</v>
      </c>
    </row>
    <row r="140" spans="1:5" x14ac:dyDescent="0.25">
      <c r="A140" t="s">
        <v>10</v>
      </c>
      <c r="B140" t="s">
        <v>6</v>
      </c>
      <c r="C140" t="s">
        <v>26</v>
      </c>
      <c r="D140" t="s">
        <v>55</v>
      </c>
      <c r="E140" s="4">
        <v>605052.631578948</v>
      </c>
    </row>
    <row r="141" spans="1:5" x14ac:dyDescent="0.25">
      <c r="A141" t="s">
        <v>11</v>
      </c>
      <c r="B141" t="s">
        <v>21</v>
      </c>
      <c r="C141" t="s">
        <v>27</v>
      </c>
      <c r="D141" t="s">
        <v>56</v>
      </c>
      <c r="E141" s="4">
        <v>609139.31888544897</v>
      </c>
    </row>
    <row r="142" spans="1:5" x14ac:dyDescent="0.25">
      <c r="A142" t="s">
        <v>12</v>
      </c>
      <c r="B142" t="s">
        <v>3</v>
      </c>
      <c r="C142" t="s">
        <v>28</v>
      </c>
      <c r="D142" t="s">
        <v>54</v>
      </c>
      <c r="E142" s="4">
        <v>613226.00619195099</v>
      </c>
    </row>
    <row r="143" spans="1:5" x14ac:dyDescent="0.25">
      <c r="A143" t="s">
        <v>13</v>
      </c>
      <c r="B143" t="s">
        <v>1</v>
      </c>
      <c r="C143" t="s">
        <v>29</v>
      </c>
      <c r="D143" t="s">
        <v>55</v>
      </c>
      <c r="E143" s="4">
        <v>617312.69349845196</v>
      </c>
    </row>
    <row r="144" spans="1:5" x14ac:dyDescent="0.25">
      <c r="A144" t="s">
        <v>14</v>
      </c>
      <c r="B144" t="s">
        <v>2</v>
      </c>
      <c r="C144" t="s">
        <v>30</v>
      </c>
      <c r="D144" t="s">
        <v>56</v>
      </c>
      <c r="E144" s="4">
        <v>621399.38080495398</v>
      </c>
    </row>
    <row r="145" spans="1:5" x14ac:dyDescent="0.25">
      <c r="A145" t="s">
        <v>15</v>
      </c>
      <c r="B145" t="s">
        <v>22</v>
      </c>
      <c r="C145" t="s">
        <v>31</v>
      </c>
      <c r="D145" t="s">
        <v>54</v>
      </c>
      <c r="E145" s="4">
        <v>625486.06811145495</v>
      </c>
    </row>
    <row r="146" spans="1:5" x14ac:dyDescent="0.25">
      <c r="A146" t="s">
        <v>16</v>
      </c>
      <c r="B146" t="s">
        <v>7</v>
      </c>
      <c r="C146" t="s">
        <v>25</v>
      </c>
      <c r="D146" t="s">
        <v>55</v>
      </c>
      <c r="E146" s="4">
        <v>629572.75541795697</v>
      </c>
    </row>
    <row r="147" spans="1:5" x14ac:dyDescent="0.25">
      <c r="A147" t="s">
        <v>17</v>
      </c>
      <c r="B147" t="s">
        <v>4</v>
      </c>
      <c r="C147" t="s">
        <v>26</v>
      </c>
      <c r="D147" t="s">
        <v>56</v>
      </c>
      <c r="E147" s="4">
        <v>633659.44272445899</v>
      </c>
    </row>
    <row r="148" spans="1:5" x14ac:dyDescent="0.25">
      <c r="A148" t="s">
        <v>9</v>
      </c>
      <c r="B148" t="s">
        <v>5</v>
      </c>
      <c r="C148" t="s">
        <v>25</v>
      </c>
      <c r="D148" t="s">
        <v>57</v>
      </c>
      <c r="E148" s="4">
        <v>637746.13003095996</v>
      </c>
    </row>
    <row r="149" spans="1:5" x14ac:dyDescent="0.25">
      <c r="A149" t="s">
        <v>10</v>
      </c>
      <c r="B149" t="s">
        <v>6</v>
      </c>
      <c r="C149" t="s">
        <v>26</v>
      </c>
      <c r="D149" t="s">
        <v>58</v>
      </c>
      <c r="E149" s="4">
        <v>641832.81733746198</v>
      </c>
    </row>
    <row r="150" spans="1:5" x14ac:dyDescent="0.25">
      <c r="A150" t="s">
        <v>11</v>
      </c>
      <c r="B150" t="s">
        <v>21</v>
      </c>
      <c r="C150" t="s">
        <v>27</v>
      </c>
      <c r="D150" t="s">
        <v>59</v>
      </c>
      <c r="E150" s="4">
        <v>645919.50464396295</v>
      </c>
    </row>
    <row r="151" spans="1:5" x14ac:dyDescent="0.25">
      <c r="A151" t="s">
        <v>12</v>
      </c>
      <c r="B151" t="s">
        <v>3</v>
      </c>
      <c r="C151" t="s">
        <v>28</v>
      </c>
      <c r="D151" t="s">
        <v>57</v>
      </c>
      <c r="E151" s="4">
        <v>650006.19195046497</v>
      </c>
    </row>
    <row r="152" spans="1:5" x14ac:dyDescent="0.25">
      <c r="A152" t="s">
        <v>13</v>
      </c>
      <c r="B152" t="s">
        <v>1</v>
      </c>
      <c r="C152" t="s">
        <v>29</v>
      </c>
      <c r="D152" t="s">
        <v>58</v>
      </c>
      <c r="E152" s="4">
        <v>654092.87925696606</v>
      </c>
    </row>
    <row r="153" spans="1:5" x14ac:dyDescent="0.25">
      <c r="A153" t="s">
        <v>14</v>
      </c>
      <c r="B153" t="s">
        <v>2</v>
      </c>
      <c r="C153" t="s">
        <v>30</v>
      </c>
      <c r="D153" t="s">
        <v>59</v>
      </c>
      <c r="E153" s="4">
        <v>658179.56656346796</v>
      </c>
    </row>
    <row r="154" spans="1:5" x14ac:dyDescent="0.25">
      <c r="A154" t="s">
        <v>15</v>
      </c>
      <c r="B154" t="s">
        <v>22</v>
      </c>
      <c r="C154" t="s">
        <v>31</v>
      </c>
      <c r="D154" t="s">
        <v>57</v>
      </c>
      <c r="E154" s="4">
        <v>662266.25386996905</v>
      </c>
    </row>
    <row r="155" spans="1:5" x14ac:dyDescent="0.25">
      <c r="A155" t="s">
        <v>16</v>
      </c>
      <c r="B155" t="s">
        <v>7</v>
      </c>
      <c r="C155" t="s">
        <v>25</v>
      </c>
      <c r="D155" t="s">
        <v>58</v>
      </c>
      <c r="E155" s="4">
        <v>666352.94117647095</v>
      </c>
    </row>
    <row r="156" spans="1:5" x14ac:dyDescent="0.25">
      <c r="A156" t="s">
        <v>17</v>
      </c>
      <c r="B156" t="s">
        <v>4</v>
      </c>
      <c r="C156" t="s">
        <v>26</v>
      </c>
      <c r="D156" t="s">
        <v>59</v>
      </c>
      <c r="E156" s="4">
        <v>670439.62848297297</v>
      </c>
    </row>
    <row r="157" spans="1:5" x14ac:dyDescent="0.25">
      <c r="A157" t="s">
        <v>9</v>
      </c>
      <c r="B157" t="s">
        <v>5</v>
      </c>
      <c r="C157" t="s">
        <v>25</v>
      </c>
      <c r="D157" t="s">
        <v>57</v>
      </c>
      <c r="E157" s="4">
        <v>674526.31578947406</v>
      </c>
    </row>
    <row r="158" spans="1:5" x14ac:dyDescent="0.25">
      <c r="A158" t="s">
        <v>10</v>
      </c>
      <c r="B158" t="s">
        <v>6</v>
      </c>
      <c r="C158" t="s">
        <v>26</v>
      </c>
      <c r="D158" t="s">
        <v>58</v>
      </c>
      <c r="E158" s="4">
        <v>678613.00309597596</v>
      </c>
    </row>
    <row r="159" spans="1:5" x14ac:dyDescent="0.25">
      <c r="A159" t="s">
        <v>11</v>
      </c>
      <c r="B159" t="s">
        <v>21</v>
      </c>
      <c r="C159" t="s">
        <v>27</v>
      </c>
      <c r="D159" t="s">
        <v>59</v>
      </c>
      <c r="E159" s="4">
        <v>682699.69040247705</v>
      </c>
    </row>
    <row r="160" spans="1:5" x14ac:dyDescent="0.25">
      <c r="A160" t="s">
        <v>12</v>
      </c>
      <c r="B160" t="s">
        <v>3</v>
      </c>
      <c r="C160" t="s">
        <v>28</v>
      </c>
      <c r="D160" t="s">
        <v>57</v>
      </c>
      <c r="E160" s="4">
        <v>686786.37770897895</v>
      </c>
    </row>
    <row r="161" spans="1:5" x14ac:dyDescent="0.25">
      <c r="A161" t="s">
        <v>13</v>
      </c>
      <c r="B161" t="s">
        <v>1</v>
      </c>
      <c r="C161" t="s">
        <v>29</v>
      </c>
      <c r="D161" t="s">
        <v>58</v>
      </c>
      <c r="E161" s="4">
        <v>690873.06501548004</v>
      </c>
    </row>
    <row r="162" spans="1:5" x14ac:dyDescent="0.25">
      <c r="A162" t="s">
        <v>14</v>
      </c>
      <c r="B162" t="s">
        <v>2</v>
      </c>
      <c r="C162" t="s">
        <v>30</v>
      </c>
      <c r="D162" t="s">
        <v>59</v>
      </c>
      <c r="E162" s="4">
        <v>694959.75232198206</v>
      </c>
    </row>
    <row r="163" spans="1:5" x14ac:dyDescent="0.25">
      <c r="A163" t="s">
        <v>15</v>
      </c>
      <c r="B163" t="s">
        <v>22</v>
      </c>
      <c r="C163" t="s">
        <v>31</v>
      </c>
      <c r="D163" t="s">
        <v>57</v>
      </c>
      <c r="E163" s="4">
        <v>699046.43962848303</v>
      </c>
    </row>
    <row r="164" spans="1:5" x14ac:dyDescent="0.25">
      <c r="A164" t="s">
        <v>16</v>
      </c>
      <c r="B164" t="s">
        <v>7</v>
      </c>
      <c r="C164" t="s">
        <v>25</v>
      </c>
      <c r="D164" t="s">
        <v>58</v>
      </c>
      <c r="E164" s="4">
        <v>703133.12693498505</v>
      </c>
    </row>
    <row r="165" spans="1:5" x14ac:dyDescent="0.25">
      <c r="A165" t="s">
        <v>17</v>
      </c>
      <c r="B165" t="s">
        <v>4</v>
      </c>
      <c r="C165" t="s">
        <v>26</v>
      </c>
      <c r="D165" t="s">
        <v>59</v>
      </c>
      <c r="E165" s="4">
        <v>707219.81424148602</v>
      </c>
    </row>
    <row r="166" spans="1:5" x14ac:dyDescent="0.25">
      <c r="A166" t="s">
        <v>9</v>
      </c>
      <c r="B166" t="s">
        <v>5</v>
      </c>
      <c r="C166" t="s">
        <v>25</v>
      </c>
      <c r="D166" t="s">
        <v>60</v>
      </c>
      <c r="E166" s="4">
        <v>711306.50154798804</v>
      </c>
    </row>
    <row r="167" spans="1:5" x14ac:dyDescent="0.25">
      <c r="A167" t="s">
        <v>10</v>
      </c>
      <c r="B167" t="s">
        <v>6</v>
      </c>
      <c r="C167" t="s">
        <v>26</v>
      </c>
      <c r="D167" t="s">
        <v>61</v>
      </c>
      <c r="E167" s="4">
        <v>715393.18885449006</v>
      </c>
    </row>
    <row r="168" spans="1:5" x14ac:dyDescent="0.25">
      <c r="A168" t="s">
        <v>11</v>
      </c>
      <c r="B168" t="s">
        <v>21</v>
      </c>
      <c r="C168" t="s">
        <v>27</v>
      </c>
      <c r="D168" t="s">
        <v>62</v>
      </c>
      <c r="E168" s="4">
        <v>719479.87616099103</v>
      </c>
    </row>
    <row r="169" spans="1:5" x14ac:dyDescent="0.25">
      <c r="A169" t="s">
        <v>12</v>
      </c>
      <c r="B169" t="s">
        <v>3</v>
      </c>
      <c r="C169" t="s">
        <v>28</v>
      </c>
      <c r="D169" t="s">
        <v>60</v>
      </c>
      <c r="E169" s="4">
        <v>723566.56346749305</v>
      </c>
    </row>
    <row r="170" spans="1:5" x14ac:dyDescent="0.25">
      <c r="A170" t="s">
        <v>13</v>
      </c>
      <c r="B170" t="s">
        <v>1</v>
      </c>
      <c r="C170" t="s">
        <v>29</v>
      </c>
      <c r="D170" t="s">
        <v>61</v>
      </c>
      <c r="E170" s="4">
        <v>727653.25077399402</v>
      </c>
    </row>
    <row r="171" spans="1:5" x14ac:dyDescent="0.25">
      <c r="A171" t="s">
        <v>14</v>
      </c>
      <c r="B171" t="s">
        <v>2</v>
      </c>
      <c r="C171" t="s">
        <v>30</v>
      </c>
      <c r="D171" t="s">
        <v>62</v>
      </c>
      <c r="E171" s="4">
        <v>731739.93808049604</v>
      </c>
    </row>
    <row r="172" spans="1:5" x14ac:dyDescent="0.25">
      <c r="A172" t="s">
        <v>15</v>
      </c>
      <c r="B172" t="s">
        <v>22</v>
      </c>
      <c r="C172" t="s">
        <v>31</v>
      </c>
      <c r="D172" t="s">
        <v>60</v>
      </c>
      <c r="E172" s="4">
        <v>735826.62538699701</v>
      </c>
    </row>
    <row r="173" spans="1:5" x14ac:dyDescent="0.25">
      <c r="A173" t="s">
        <v>16</v>
      </c>
      <c r="B173" t="s">
        <v>7</v>
      </c>
      <c r="C173" t="s">
        <v>25</v>
      </c>
      <c r="D173" t="s">
        <v>61</v>
      </c>
      <c r="E173" s="4">
        <v>739913.31269349903</v>
      </c>
    </row>
    <row r="174" spans="1:5" x14ac:dyDescent="0.25">
      <c r="A174" t="s">
        <v>17</v>
      </c>
      <c r="B174" t="s">
        <v>4</v>
      </c>
      <c r="C174" t="s">
        <v>26</v>
      </c>
      <c r="D174" t="s">
        <v>62</v>
      </c>
      <c r="E174" s="4">
        <v>744000</v>
      </c>
    </row>
    <row r="175" spans="1:5" x14ac:dyDescent="0.25">
      <c r="A175" t="s">
        <v>9</v>
      </c>
      <c r="B175" t="s">
        <v>5</v>
      </c>
      <c r="C175" t="s">
        <v>25</v>
      </c>
      <c r="D175" t="s">
        <v>60</v>
      </c>
      <c r="E175" s="4">
        <v>748086.68730650202</v>
      </c>
    </row>
    <row r="176" spans="1:5" x14ac:dyDescent="0.25">
      <c r="A176" t="s">
        <v>10</v>
      </c>
      <c r="B176" t="s">
        <v>6</v>
      </c>
      <c r="C176" t="s">
        <v>26</v>
      </c>
      <c r="D176" t="s">
        <v>61</v>
      </c>
      <c r="E176" s="4">
        <v>752173.37461300299</v>
      </c>
    </row>
    <row r="177" spans="1:5" x14ac:dyDescent="0.25">
      <c r="A177" t="s">
        <v>11</v>
      </c>
      <c r="B177" t="s">
        <v>21</v>
      </c>
      <c r="C177" t="s">
        <v>27</v>
      </c>
      <c r="D177" t="s">
        <v>62</v>
      </c>
      <c r="E177" s="4">
        <v>756260.06191950501</v>
      </c>
    </row>
    <row r="178" spans="1:5" x14ac:dyDescent="0.25">
      <c r="A178" t="s">
        <v>12</v>
      </c>
      <c r="B178" t="s">
        <v>3</v>
      </c>
      <c r="C178" t="s">
        <v>28</v>
      </c>
      <c r="D178" t="s">
        <v>60</v>
      </c>
      <c r="E178" s="4">
        <v>760346.74922600703</v>
      </c>
    </row>
    <row r="179" spans="1:5" x14ac:dyDescent="0.25">
      <c r="A179" t="s">
        <v>13</v>
      </c>
      <c r="B179" t="s">
        <v>1</v>
      </c>
      <c r="C179" t="s">
        <v>29</v>
      </c>
      <c r="D179" t="s">
        <v>61</v>
      </c>
      <c r="E179" s="4">
        <v>764433.436532508</v>
      </c>
    </row>
    <row r="180" spans="1:5" x14ac:dyDescent="0.25">
      <c r="A180" t="s">
        <v>14</v>
      </c>
      <c r="B180" t="s">
        <v>2</v>
      </c>
      <c r="C180" t="s">
        <v>30</v>
      </c>
      <c r="D180" t="s">
        <v>62</v>
      </c>
      <c r="E180" s="4">
        <v>768520.12383901002</v>
      </c>
    </row>
    <row r="181" spans="1:5" x14ac:dyDescent="0.25">
      <c r="A181" t="s">
        <v>15</v>
      </c>
      <c r="B181" t="s">
        <v>22</v>
      </c>
      <c r="C181" t="s">
        <v>31</v>
      </c>
      <c r="D181" t="s">
        <v>60</v>
      </c>
      <c r="E181" s="4">
        <v>772606.81114551099</v>
      </c>
    </row>
    <row r="182" spans="1:5" x14ac:dyDescent="0.25">
      <c r="A182" t="s">
        <v>16</v>
      </c>
      <c r="B182" t="s">
        <v>7</v>
      </c>
      <c r="C182" t="s">
        <v>25</v>
      </c>
      <c r="D182" t="s">
        <v>61</v>
      </c>
      <c r="E182" s="4">
        <v>776693.49845201301</v>
      </c>
    </row>
    <row r="183" spans="1:5" x14ac:dyDescent="0.25">
      <c r="A183" t="s">
        <v>17</v>
      </c>
      <c r="B183" t="s">
        <v>4</v>
      </c>
      <c r="C183" t="s">
        <v>26</v>
      </c>
      <c r="D183" t="s">
        <v>62</v>
      </c>
      <c r="E183" s="4">
        <v>780780.18575851398</v>
      </c>
    </row>
    <row r="184" spans="1:5" x14ac:dyDescent="0.25">
      <c r="A184" t="s">
        <v>9</v>
      </c>
      <c r="B184" t="s">
        <v>5</v>
      </c>
      <c r="C184" t="s">
        <v>25</v>
      </c>
      <c r="D184" t="s">
        <v>63</v>
      </c>
      <c r="E184" s="4">
        <v>784866.873065016</v>
      </c>
    </row>
    <row r="185" spans="1:5" x14ac:dyDescent="0.25">
      <c r="A185" t="s">
        <v>10</v>
      </c>
      <c r="B185" t="s">
        <v>6</v>
      </c>
      <c r="C185" t="s">
        <v>26</v>
      </c>
      <c r="D185" t="s">
        <v>61</v>
      </c>
      <c r="E185" s="4">
        <v>752173.37461300299</v>
      </c>
    </row>
  </sheetData>
  <sortState xmlns:xlrd2="http://schemas.microsoft.com/office/spreadsheetml/2017/richdata2" ref="B4:B12">
    <sortCondition ref="B4"/>
  </sortState>
  <mergeCells count="1">
    <mergeCell ref="A1:E1"/>
  </mergeCells>
  <phoneticPr fontId="1" type="noConversion"/>
  <conditionalFormatting sqref="A4:E185">
    <cfRule type="expression" dxfId="1" priority="1">
      <formula>ISEVEN(ROW())</formula>
    </cfRule>
    <cfRule type="expression" dxfId="0" priority="3">
      <formula>ISODD(ROW())</formula>
    </cfRule>
  </conditionalFormatting>
  <printOptions horizontalCentered="1"/>
  <pageMargins left="0.70866141732283472" right="0.70866141732283472" top="0.78740157480314965" bottom="0.74803149606299213" header="0.27559055118110237" footer="0.31496062992125984"/>
  <pageSetup paperSize="9" orientation="portrait" r:id="rId1"/>
  <headerFooter>
    <oddHeader>&amp;L&amp;D
&amp;T&amp;C&amp;"Algerian,Negrita"&amp;16FENIX SRL&amp;14
&amp;"Arial,Normal"&amp;10INSUMOS DE BELLEZA&amp;R&amp;G</oddHeader>
    <oddFooter>&amp;LRUTA: &amp;Z&amp;F
NOMBRE: &amp;F&amp;CNOMBRE HOJA: &amp;A&amp;RTOTAL DE PÁGINAS: &amp;N
PÁG.: &amp;P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66F4F-1041-40D4-8120-DE401EBBB9CE}">
  <sheetPr codeName="Hoja4" filterMode="1"/>
  <dimension ref="A1:M14"/>
  <sheetViews>
    <sheetView topLeftCell="L1" zoomScale="95" zoomScaleNormal="95" workbookViewId="0">
      <selection sqref="A1:XFD1048576"/>
    </sheetView>
  </sheetViews>
  <sheetFormatPr baseColWidth="10" defaultColWidth="20.7109375" defaultRowHeight="15" x14ac:dyDescent="0.25"/>
  <cols>
    <col min="1" max="1" width="20.85546875" bestFit="1" customWidth="1"/>
    <col min="2" max="2" width="14.85546875" bestFit="1" customWidth="1"/>
    <col min="9" max="9" width="20.85546875" bestFit="1" customWidth="1"/>
    <col min="13" max="13" width="11.85546875" bestFit="1" customWidth="1"/>
  </cols>
  <sheetData>
    <row r="1" spans="1:13" x14ac:dyDescent="0.25">
      <c r="A1" s="6" t="s">
        <v>8</v>
      </c>
      <c r="B1" s="6" t="s">
        <v>0</v>
      </c>
      <c r="C1" s="6" t="s">
        <v>18</v>
      </c>
      <c r="D1" s="6" t="s">
        <v>24</v>
      </c>
      <c r="E1" s="6" t="s">
        <v>32</v>
      </c>
      <c r="I1" s="6" t="s">
        <v>8</v>
      </c>
      <c r="J1" s="6" t="s">
        <v>0</v>
      </c>
      <c r="K1" s="6" t="s">
        <v>18</v>
      </c>
      <c r="L1" s="6" t="s">
        <v>24</v>
      </c>
      <c r="M1" s="6" t="s">
        <v>32</v>
      </c>
    </row>
    <row r="2" spans="1:13" x14ac:dyDescent="0.25">
      <c r="A2" t="s">
        <v>16</v>
      </c>
      <c r="E2" s="4"/>
      <c r="I2" t="str">
        <f t="shared" ref="I2:L3" si="0">IF(ISBLANK(A2),"",A2)</f>
        <v>Navarro, Sofia Kiara</v>
      </c>
      <c r="J2" t="str">
        <f t="shared" si="0"/>
        <v/>
      </c>
      <c r="K2" t="str">
        <f t="shared" si="0"/>
        <v/>
      </c>
      <c r="L2" t="str">
        <f t="shared" si="0"/>
        <v/>
      </c>
      <c r="M2" s="7">
        <f>IFERROR(IF(E2=0,VLOOKUP(I2,Tabla2[],5,0),E2),"")</f>
        <v>133500</v>
      </c>
    </row>
    <row r="3" spans="1:13" x14ac:dyDescent="0.25">
      <c r="A3" t="s">
        <v>12</v>
      </c>
      <c r="I3" t="str">
        <f t="shared" si="0"/>
        <v>Solis, Saúl Carlos</v>
      </c>
      <c r="J3" t="str">
        <f t="shared" si="0"/>
        <v/>
      </c>
      <c r="K3" t="str">
        <f t="shared" si="0"/>
        <v/>
      </c>
      <c r="L3" t="str">
        <f t="shared" si="0"/>
        <v/>
      </c>
      <c r="M3" s="7">
        <f>IFERROR(IF(E3=0,VLOOKUP(I3,Tabla2[],5,0),E3),"")</f>
        <v>50000</v>
      </c>
    </row>
    <row r="5" spans="1:13" x14ac:dyDescent="0.25">
      <c r="A5" t="s">
        <v>8</v>
      </c>
      <c r="B5" t="s">
        <v>0</v>
      </c>
      <c r="C5" t="s">
        <v>18</v>
      </c>
      <c r="D5" t="s">
        <v>24</v>
      </c>
      <c r="E5" t="s">
        <v>32</v>
      </c>
    </row>
    <row r="6" spans="1:13" hidden="1" x14ac:dyDescent="0.25">
      <c r="A6" t="s">
        <v>9</v>
      </c>
      <c r="B6" t="s">
        <v>5</v>
      </c>
      <c r="C6" t="s">
        <v>19</v>
      </c>
      <c r="D6" t="s">
        <v>25</v>
      </c>
      <c r="E6" s="4">
        <v>25000</v>
      </c>
    </row>
    <row r="7" spans="1:13" hidden="1" x14ac:dyDescent="0.25">
      <c r="A7" t="s">
        <v>10</v>
      </c>
      <c r="B7" t="s">
        <v>6</v>
      </c>
      <c r="C7" t="s">
        <v>20</v>
      </c>
      <c r="D7" t="s">
        <v>26</v>
      </c>
      <c r="E7" s="4">
        <v>35000</v>
      </c>
    </row>
    <row r="8" spans="1:13" hidden="1" x14ac:dyDescent="0.25">
      <c r="A8" t="s">
        <v>11</v>
      </c>
      <c r="B8" t="s">
        <v>21</v>
      </c>
      <c r="C8" t="s">
        <v>23</v>
      </c>
      <c r="D8" t="s">
        <v>27</v>
      </c>
      <c r="E8" s="4">
        <v>45000</v>
      </c>
    </row>
    <row r="9" spans="1:13" x14ac:dyDescent="0.25">
      <c r="A9" t="s">
        <v>12</v>
      </c>
      <c r="B9" t="s">
        <v>3</v>
      </c>
      <c r="C9" t="s">
        <v>36</v>
      </c>
      <c r="D9" t="s">
        <v>28</v>
      </c>
      <c r="E9" s="4">
        <v>50000</v>
      </c>
    </row>
    <row r="10" spans="1:13" hidden="1" x14ac:dyDescent="0.25">
      <c r="A10" t="s">
        <v>13</v>
      </c>
      <c r="B10" t="s">
        <v>1</v>
      </c>
      <c r="C10" t="s">
        <v>37</v>
      </c>
      <c r="D10" t="s">
        <v>29</v>
      </c>
      <c r="E10" s="4">
        <v>100000</v>
      </c>
    </row>
    <row r="11" spans="1:13" hidden="1" x14ac:dyDescent="0.25">
      <c r="A11" t="s">
        <v>14</v>
      </c>
      <c r="B11" t="s">
        <v>2</v>
      </c>
      <c r="C11" t="s">
        <v>38</v>
      </c>
      <c r="D11" t="s">
        <v>30</v>
      </c>
      <c r="E11" s="4">
        <v>100500</v>
      </c>
    </row>
    <row r="12" spans="1:13" hidden="1" x14ac:dyDescent="0.25">
      <c r="A12" t="s">
        <v>15</v>
      </c>
      <c r="B12" t="s">
        <v>22</v>
      </c>
      <c r="C12" t="s">
        <v>39</v>
      </c>
      <c r="D12" t="s">
        <v>31</v>
      </c>
      <c r="E12" s="4">
        <v>117000</v>
      </c>
    </row>
    <row r="13" spans="1:13" x14ac:dyDescent="0.25">
      <c r="A13" t="s">
        <v>16</v>
      </c>
      <c r="B13" t="s">
        <v>7</v>
      </c>
      <c r="C13" t="s">
        <v>40</v>
      </c>
      <c r="D13" t="s">
        <v>25</v>
      </c>
      <c r="E13" s="4">
        <v>133500</v>
      </c>
    </row>
    <row r="14" spans="1:13" hidden="1" x14ac:dyDescent="0.25">
      <c r="A14" t="s">
        <v>17</v>
      </c>
      <c r="B14" t="s">
        <v>4</v>
      </c>
      <c r="C14" t="s">
        <v>41</v>
      </c>
      <c r="D14" t="s">
        <v>26</v>
      </c>
      <c r="E14" s="4">
        <v>150000</v>
      </c>
    </row>
  </sheetData>
  <phoneticPr fontId="1" type="noConversion"/>
  <dataValidations count="5">
    <dataValidation type="list" allowBlank="1" showInputMessage="1" showErrorMessage="1" sqref="A2:A3" xr:uid="{DA4E0C41-26D0-4B00-87C8-22A8D7D0ADA1}">
      <formula1>empleados</formula1>
    </dataValidation>
    <dataValidation type="list" allowBlank="1" showInputMessage="1" showErrorMessage="1" sqref="B2:B3" xr:uid="{02684FB1-984D-41E1-B23F-5866255EBE0F}">
      <formula1>Seccion</formula1>
    </dataValidation>
    <dataValidation type="list" allowBlank="1" showInputMessage="1" showErrorMessage="1" sqref="C2:C3" xr:uid="{D335FE1A-4D3D-410E-9357-1D1199C4992D}">
      <formula1>horarios</formula1>
    </dataValidation>
    <dataValidation type="list" allowBlank="1" showInputMessage="1" showErrorMessage="1" sqref="D2:D3" xr:uid="{C18C3A08-1BBC-4552-B29D-49FDBABB9986}">
      <formula1>Dias</formula1>
    </dataValidation>
    <dataValidation type="list" allowBlank="1" showInputMessage="1" showErrorMessage="1" sqref="E2:E3" xr:uid="{F2C6A24B-42A6-4FF3-90C7-581D5A80A708}">
      <formula1>Sueldos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AE6B-5DDB-49C2-B73F-2C364CF86595}">
  <sheetPr codeName="Hoja2"/>
  <dimension ref="A1"/>
  <sheetViews>
    <sheetView workbookViewId="0">
      <selection sqref="A1:XFD1048576"/>
    </sheetView>
  </sheetViews>
  <sheetFormatPr baseColWidth="10" defaultColWidth="20.710937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F1ED0-2567-4BAD-9FAA-DA44805E352F}">
  <sheetPr codeName="Hoja3"/>
  <dimension ref="A1:L17"/>
  <sheetViews>
    <sheetView workbookViewId="0">
      <selection activeCell="B12" sqref="B12"/>
    </sheetView>
  </sheetViews>
  <sheetFormatPr baseColWidth="10" defaultColWidth="20.7109375" defaultRowHeight="15" x14ac:dyDescent="0.25"/>
  <cols>
    <col min="1" max="1" width="20.85546875" bestFit="1" customWidth="1"/>
    <col min="5" max="5" width="20.7109375" customWidth="1"/>
    <col min="8" max="8" width="20.85546875" bestFit="1" customWidth="1"/>
    <col min="10" max="10" width="11.85546875" bestFit="1" customWidth="1"/>
  </cols>
  <sheetData>
    <row r="1" spans="1:12" x14ac:dyDescent="0.25">
      <c r="A1" s="2" t="s">
        <v>33</v>
      </c>
      <c r="B1" s="2" t="s">
        <v>0</v>
      </c>
      <c r="C1" s="2" t="s">
        <v>34</v>
      </c>
      <c r="D1" s="2" t="s">
        <v>24</v>
      </c>
      <c r="E1" s="2" t="s">
        <v>35</v>
      </c>
      <c r="H1" s="2" t="s">
        <v>33</v>
      </c>
      <c r="I1" s="2" t="s">
        <v>0</v>
      </c>
      <c r="J1" s="2" t="s">
        <v>34</v>
      </c>
      <c r="K1" s="2" t="s">
        <v>24</v>
      </c>
      <c r="L1" s="2" t="s">
        <v>35</v>
      </c>
    </row>
    <row r="2" spans="1:12" x14ac:dyDescent="0.25">
      <c r="A2" t="s">
        <v>12</v>
      </c>
      <c r="E2" s="4"/>
      <c r="H2" s="3" t="str">
        <f>IF(ISBLANK(A2),"",A2)</f>
        <v>Solis, Saúl Carlos</v>
      </c>
      <c r="I2" s="3" t="str">
        <f t="shared" ref="I2:K2" si="0">IF(ISBLANK(B2),"",B2)</f>
        <v/>
      </c>
      <c r="J2" s="3" t="str">
        <f t="shared" si="0"/>
        <v/>
      </c>
      <c r="K2" s="3" t="str">
        <f t="shared" si="0"/>
        <v/>
      </c>
      <c r="L2" s="5" t="str">
        <f>IF(ISBLANK(E2),"",E2)</f>
        <v/>
      </c>
    </row>
    <row r="3" spans="1:12" x14ac:dyDescent="0.25">
      <c r="E3" s="4"/>
      <c r="H3" s="3" t="str">
        <f t="shared" ref="H3:H4" si="1">IF(ISBLANK(A3),"",A3)</f>
        <v/>
      </c>
      <c r="I3" s="3" t="str">
        <f t="shared" ref="I3:I4" si="2">IF(ISBLANK(B3),"",B3)</f>
        <v/>
      </c>
      <c r="J3" s="3" t="str">
        <f t="shared" ref="J3:J4" si="3">IF(ISBLANK(C3),"",C3)</f>
        <v/>
      </c>
      <c r="K3" s="3" t="str">
        <f t="shared" ref="K3:K4" si="4">IF(ISBLANK(D3),"",D3)</f>
        <v/>
      </c>
      <c r="L3" s="5" t="str">
        <f t="shared" ref="L3:L4" si="5">IF(ISBLANK(E3),"",E3)</f>
        <v/>
      </c>
    </row>
    <row r="4" spans="1:12" x14ac:dyDescent="0.25">
      <c r="E4" s="4"/>
      <c r="H4" s="3" t="str">
        <f t="shared" si="1"/>
        <v/>
      </c>
      <c r="I4" s="3" t="str">
        <f t="shared" si="2"/>
        <v/>
      </c>
      <c r="J4" s="3" t="str">
        <f t="shared" si="3"/>
        <v/>
      </c>
      <c r="K4" s="3" t="str">
        <f t="shared" si="4"/>
        <v/>
      </c>
      <c r="L4" s="5" t="str">
        <f t="shared" si="5"/>
        <v/>
      </c>
    </row>
    <row r="5" spans="1:12" ht="15.75" thickBot="1" x14ac:dyDescent="0.3"/>
    <row r="6" spans="1:12" ht="15.75" thickBot="1" x14ac:dyDescent="0.3">
      <c r="A6" s="1" t="s">
        <v>33</v>
      </c>
      <c r="B6" s="1" t="s">
        <v>0</v>
      </c>
      <c r="C6" s="1" t="s">
        <v>34</v>
      </c>
      <c r="D6" s="1" t="s">
        <v>24</v>
      </c>
      <c r="E6" s="1" t="s">
        <v>35</v>
      </c>
    </row>
    <row r="7" spans="1:12" x14ac:dyDescent="0.25">
      <c r="A7" t="s">
        <v>9</v>
      </c>
      <c r="B7" t="s">
        <v>21</v>
      </c>
      <c r="C7" t="s">
        <v>23</v>
      </c>
      <c r="D7" t="s">
        <v>25</v>
      </c>
      <c r="E7" s="8">
        <v>100000</v>
      </c>
    </row>
    <row r="8" spans="1:12" x14ac:dyDescent="0.25">
      <c r="A8" t="s">
        <v>10</v>
      </c>
      <c r="B8" t="s">
        <v>5</v>
      </c>
      <c r="C8" t="s">
        <v>19</v>
      </c>
      <c r="D8" t="s">
        <v>26</v>
      </c>
      <c r="E8" s="4">
        <v>35000</v>
      </c>
    </row>
    <row r="9" spans="1:12" x14ac:dyDescent="0.25">
      <c r="A9" t="s">
        <v>11</v>
      </c>
      <c r="B9" t="s">
        <v>5</v>
      </c>
      <c r="C9" t="s">
        <v>20</v>
      </c>
      <c r="D9" t="s">
        <v>27</v>
      </c>
      <c r="E9" s="4">
        <v>35000</v>
      </c>
    </row>
    <row r="10" spans="1:12" x14ac:dyDescent="0.25">
      <c r="A10" t="s">
        <v>12</v>
      </c>
      <c r="B10" t="s">
        <v>3</v>
      </c>
      <c r="C10" t="s">
        <v>19</v>
      </c>
      <c r="D10" t="s">
        <v>29</v>
      </c>
      <c r="E10" s="4">
        <v>45000</v>
      </c>
    </row>
    <row r="11" spans="1:12" x14ac:dyDescent="0.25">
      <c r="A11" t="s">
        <v>13</v>
      </c>
      <c r="B11" t="s">
        <v>1</v>
      </c>
      <c r="C11" t="s">
        <v>19</v>
      </c>
      <c r="D11" t="s">
        <v>28</v>
      </c>
      <c r="E11" s="4">
        <v>25000</v>
      </c>
    </row>
    <row r="12" spans="1:12" x14ac:dyDescent="0.25">
      <c r="A12" t="s">
        <v>14</v>
      </c>
      <c r="B12" t="s">
        <v>2</v>
      </c>
      <c r="C12" t="s">
        <v>20</v>
      </c>
      <c r="D12" t="s">
        <v>27</v>
      </c>
      <c r="E12" s="4">
        <v>25000</v>
      </c>
    </row>
    <row r="13" spans="1:12" x14ac:dyDescent="0.25">
      <c r="A13" t="s">
        <v>15</v>
      </c>
      <c r="B13" t="s">
        <v>22</v>
      </c>
      <c r="C13" t="s">
        <v>23</v>
      </c>
      <c r="D13" t="s">
        <v>25</v>
      </c>
      <c r="E13" s="4">
        <v>50000</v>
      </c>
    </row>
    <row r="14" spans="1:12" x14ac:dyDescent="0.25">
      <c r="A14" t="s">
        <v>16</v>
      </c>
      <c r="B14" t="s">
        <v>7</v>
      </c>
      <c r="C14" t="s">
        <v>23</v>
      </c>
      <c r="D14" t="s">
        <v>25</v>
      </c>
      <c r="E14" s="4">
        <v>50000</v>
      </c>
    </row>
    <row r="15" spans="1:12" x14ac:dyDescent="0.25">
      <c r="A15" t="s">
        <v>17</v>
      </c>
      <c r="B15" t="s">
        <v>4</v>
      </c>
      <c r="C15" t="s">
        <v>23</v>
      </c>
      <c r="D15" t="s">
        <v>25</v>
      </c>
      <c r="E15" s="4">
        <v>45000</v>
      </c>
    </row>
    <row r="16" spans="1:12" x14ac:dyDescent="0.25">
      <c r="A16" t="s">
        <v>10</v>
      </c>
      <c r="B16" t="s">
        <v>6</v>
      </c>
      <c r="C16" t="s">
        <v>20</v>
      </c>
      <c r="D16" t="s">
        <v>27</v>
      </c>
      <c r="E16" s="4">
        <v>35000</v>
      </c>
    </row>
    <row r="17" spans="1:5" x14ac:dyDescent="0.25">
      <c r="A17" t="s">
        <v>14</v>
      </c>
      <c r="B17" t="s">
        <v>3</v>
      </c>
      <c r="C17" t="s">
        <v>20</v>
      </c>
      <c r="D17" t="s">
        <v>27</v>
      </c>
      <c r="E17" s="4">
        <v>45000</v>
      </c>
    </row>
  </sheetData>
  <dataValidations count="10">
    <dataValidation type="list" showInputMessage="1" showErrorMessage="1" errorTitle="Error al ingresar datos" error="No se puede dejar celdas vacias" promptTitle="Seleccion un empleado" prompt="Elija el empleado de acuerdo a su categoria" sqref="A7:A25" xr:uid="{AF7B8EFE-01AB-4C02-A3EF-DB2677443EEB}">
      <formula1>empleados</formula1>
    </dataValidation>
    <dataValidation type="list" showInputMessage="1" showErrorMessage="1" errorTitle="Error en el ingreso de datos" error="No se puede dejar celdas vacias" promptTitle="Ingrese la Sección" prompt="Selección la sección donde trabaja el empleado" sqref="B7:B25" xr:uid="{B3882905-8AB2-4E36-944F-2D1D29B7B95D}">
      <formula1>Seccion</formula1>
    </dataValidation>
    <dataValidation type="list" showInputMessage="1" showErrorMessage="1" errorTitle="Error al ingresar datos" error="No se puede dejar celdas vacias" promptTitle="Ingrese los turnos de trabajo" prompt="Ingrese por favor los horarios de trabajos de los empleados" sqref="C7:C25" xr:uid="{790C116E-69B1-49A1-8967-B3FE02C70858}">
      <formula1>horarios</formula1>
    </dataValidation>
    <dataValidation type="list" showInputMessage="1" showErrorMessage="1" errorTitle="Error al ingresar los datos" error="No se puede dejar celdas vacias" promptTitle="ingrese los dias" prompt="Ingrese los días en que trabaja el empleado" sqref="D7:D25" xr:uid="{4693637F-55D2-4686-B3D4-F00AE9631159}">
      <formula1>Dias</formula1>
    </dataValidation>
    <dataValidation type="list" showInputMessage="1" showErrorMessage="1" errorTitle="Error al ingresar datos" error="No se puede dejar celdas vacias" promptTitle="Ingrese el sueldo" prompt="Ingrese el sueldo correspondiente de acuerdo a su cargo" sqref="E7:E25" xr:uid="{81FCFE15-C8D8-43CE-8B87-0C55E1AEAB06}">
      <formula1>Sueldos</formula1>
    </dataValidation>
    <dataValidation type="list" allowBlank="1" showInputMessage="1" showErrorMessage="1" errorTitle="campo vacío" error="Ingrese un nombre" promptTitle="Empleado" prompt="Seleccione un empleado a filtrar" sqref="A2:A4" xr:uid="{C884E4AC-0F1B-4E62-87E8-354FA39894AA}">
      <formula1>$A$7:$A$24</formula1>
    </dataValidation>
    <dataValidation type="list" allowBlank="1" showInputMessage="1" showErrorMessage="1" errorTitle="Sección" error="Ingrese una sección" promptTitle="Sección" prompt="Seleccione la sección donde trabaja" sqref="B2:B4" xr:uid="{E9004082-3F8E-4FA2-B093-0036A35350E3}">
      <formula1>$B$7:$B$24</formula1>
    </dataValidation>
    <dataValidation type="list" allowBlank="1" showInputMessage="1" showErrorMessage="1" errorTitle="celda vacía" error="No se ingreso el turno" promptTitle="Horario" prompt="Ingrese el Turno en que trabaja" sqref="C2:C4" xr:uid="{87BD9742-482C-423E-975C-BD2C1A2F37FD}">
      <formula1>$C$7:$C$24</formula1>
    </dataValidation>
    <dataValidation type="list" allowBlank="1" showInputMessage="1" showErrorMessage="1" errorTitle="celda vacía" error="No se ingreso el día" promptTitle="Días" prompt="Ingrese el día en que trabaja" sqref="D3:D4 D2" xr:uid="{27D4F717-0F48-4F07-BEE8-81392D2CDC29}">
      <formula1>$D$7:$D$24</formula1>
    </dataValidation>
    <dataValidation type="list" allowBlank="1" showInputMessage="1" showErrorMessage="1" sqref="E2:E4" xr:uid="{8460B1E9-89D3-469E-9550-D6C5AF43E36E}">
      <formula1>Sueldos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datos de entradas</vt:lpstr>
      <vt:lpstr>nue</vt:lpstr>
      <vt:lpstr>Hoja1</vt:lpstr>
      <vt:lpstr>planilla</vt:lpstr>
      <vt:lpstr>'datos de entradas'!Área_de_impresión</vt:lpstr>
      <vt:lpstr>nue!Criterios</vt:lpstr>
      <vt:lpstr>planilla!Criterios</vt:lpstr>
      <vt:lpstr>Dias</vt:lpstr>
      <vt:lpstr>empleados</vt:lpstr>
      <vt:lpstr>horarios</vt:lpstr>
      <vt:lpstr>Seccion</vt:lpstr>
      <vt:lpstr>Sueldos</vt:lpstr>
      <vt:lpstr>'datos de entradas'!Títulos_a_imprimir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Uñate</dc:creator>
  <cp:lastModifiedBy>Alejandro Uñate</cp:lastModifiedBy>
  <cp:lastPrinted>2022-03-31T06:26:51Z</cp:lastPrinted>
  <dcterms:created xsi:type="dcterms:W3CDTF">2021-12-26T20:00:46Z</dcterms:created>
  <dcterms:modified xsi:type="dcterms:W3CDTF">2022-03-31T06:27:03Z</dcterms:modified>
</cp:coreProperties>
</file>